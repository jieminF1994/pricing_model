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AFM\rila_prod_v1.0_beta_v1.2\Projects\Fixed Indexed Annuity\ProjectData\2013YearEnd\Assumptions\"/>
    </mc:Choice>
  </mc:AlternateContent>
  <xr:revisionPtr revIDLastSave="0" documentId="13_ncr:1_{371495C9-3AC0-45D7-AD72-FBB3C50AA655}" xr6:coauthVersionLast="47" xr6:coauthVersionMax="47" xr10:uidLastSave="{00000000-0000-0000-0000-000000000000}"/>
  <bookViews>
    <workbookView xWindow="-120" yWindow="-120" windowWidth="51840" windowHeight="21240" tabRatio="535" firstSheet="1" activeTab="2" xr2:uid="{00000000-000D-0000-FFFF-FFFF00000000}"/>
  </bookViews>
  <sheets>
    <sheet name="Change Log" sheetId="12" r:id="rId1"/>
    <sheet name="Table of Contents" sheetId="13" r:id="rId2"/>
    <sheet name="Scenarios" sheetId="14" r:id="rId3"/>
    <sheet name="NAIC PBR Sprd and Dflt Source" sheetId="16" r:id="rId4"/>
    <sheet name="Generation" sheetId="15" r:id="rId5"/>
  </sheets>
  <functionGroups builtInGroupCount="19"/>
  <definedNames>
    <definedName name="CalibIndexRateData">Generation!$B$173:$C$177</definedName>
    <definedName name="CalibIndexRateOptData">Generation!$B$180:$E$185</definedName>
    <definedName name="CalibIndexRates">Generation!$B$216:$F$240</definedName>
    <definedName name="CalibYldCurveBondData">Generation!$B$166:$J$170</definedName>
    <definedName name="CalibYldCurveData">Generation!$B$152:$C$155</definedName>
    <definedName name="CalibYldCurveRates">Generation!$B$188:$I$206</definedName>
    <definedName name="CalibYldCurveSprds">Generation!$B$209:$G$213</definedName>
    <definedName name="CalibYldCurveSwapData">Generation!$B$158:$F$163</definedName>
    <definedName name="CreditSprdDeterminsitic">Scenarios!$B$37:$K$40</definedName>
    <definedName name="CreditSprdDeterminsitic_VM21">Scenarios!$B$49:$K$72</definedName>
    <definedName name="CreditSprdDeterminsiticSub">Scenarios!$B$43:$BG$46</definedName>
    <definedName name="CreditSprdStochMult">Scenarios!$B$75:$D$79</definedName>
    <definedName name="DfltRateDeterministic">Scenarios!$B$82:$K$84</definedName>
    <definedName name="DfltRateDeterministic_VM21">Scenarios!$B$92:$N$113</definedName>
    <definedName name="DfltRateDeterministicSub">Scenarios!$B$87:$D$89</definedName>
    <definedName name="DfltRateStochMult">Scenarios!$B$116:$D$120</definedName>
    <definedName name="EconDataCorrelation">Generation!$B$129:$L$140</definedName>
    <definedName name="EconDataCorrelationSub">Generation!$B$143:$G$149</definedName>
    <definedName name="EconDataIndexRateMRData">Generation!$B$111:$F$114</definedName>
    <definedName name="EconDataIndexRateVol">Generation!$B$117:$Q$121</definedName>
    <definedName name="EconDataMiscRates">Generation!$B$124:$C$126</definedName>
    <definedName name="EconDataYldCurveMRRates">Generation!$B$99:$L$102</definedName>
    <definedName name="EconDataYldCurveVol">Generation!$B$105:$H$108</definedName>
    <definedName name="Generation">Generation!$B$4:$D$96</definedName>
    <definedName name="IndexVolDeterministicSub">Scenarios!$B$145:$IH$150</definedName>
    <definedName name="IndexVolDeterminstic">Scenarios!$B$137:$Q$143</definedName>
    <definedName name="IndexVolStochMult">Scenarios!$B$153:$E$156</definedName>
    <definedName name="InflDeterministic">Scenarios!$B$31:$C$34</definedName>
    <definedName name="IntVolDeterministic">Scenarios!$B$122:$AF$128</definedName>
    <definedName name="IntVolStochMult">Scenarios!$B$131:$D$135</definedName>
    <definedName name="Scenarios">Scenarios!$B$4:$E$28</definedName>
    <definedName name="wrn.all_pages_PandL.">{"page 1",#N/A,FALSE,"A";"page 2",#N/A,FALSE,"A";"page 3",#N/A,FALSE,"A";"page 4",#N/A,FALSE,"A";"page 5",#N/A,FALSE,"A"}</definedName>
    <definedName name="wrn.all_pages_PandL._1">{"page 1",#N/A,FALSE,"A";"page 2",#N/A,FALSE,"A";"page 3",#N/A,FALSE,"A";"page 4",#N/A,FALSE,"A";"page 5",#N/A,FALSE,"A"}</definedName>
    <definedName name="wrn.all_pages_PandL._1_1">{"page 1",#N/A,FALSE,"A";"page 2",#N/A,FALSE,"A";"page 3",#N/A,FALSE,"A";"page 4",#N/A,FALSE,"A";"page 5",#N/A,FALSE,"A"}</definedName>
    <definedName name="wrn.all_pages_PandL._1_1_1">{"page 1",#N/A,FALSE,"A";"page 2",#N/A,FALSE,"A";"page 3",#N/A,FALSE,"A";"page 4",#N/A,FALSE,"A";"page 5",#N/A,FALSE,"A"}</definedName>
    <definedName name="wrn.all_pages_PandL._1_1_1_1">{"page 1",#N/A,FALSE,"A";"page 2",#N/A,FALSE,"A";"page 3",#N/A,FALSE,"A";"page 4",#N/A,FALSE,"A";"page 5",#N/A,FALSE,"A"}</definedName>
    <definedName name="wrn.all_pages_PandL._1_1_1_1_1">{"page 1",#N/A,FALSE,"A";"page 2",#N/A,FALSE,"A";"page 3",#N/A,FALSE,"A";"page 4",#N/A,FALSE,"A";"page 5",#N/A,FALSE,"A"}</definedName>
    <definedName name="wrn.all_pages_PandL._1_1_1_1_2">{"page 1",#N/A,FALSE,"A";"page 2",#N/A,FALSE,"A";"page 3",#N/A,FALSE,"A";"page 4",#N/A,FALSE,"A";"page 5",#N/A,FALSE,"A"}</definedName>
    <definedName name="wrn.all_pages_PandL._1_1_1_2">{"page 1",#N/A,FALSE,"A";"page 2",#N/A,FALSE,"A";"page 3",#N/A,FALSE,"A";"page 4",#N/A,FALSE,"A";"page 5",#N/A,FALSE,"A"}</definedName>
    <definedName name="wrn.all_pages_PandL._1_1_1_3">{"page 1",#N/A,FALSE,"A";"page 2",#N/A,FALSE,"A";"page 3",#N/A,FALSE,"A";"page 4",#N/A,FALSE,"A";"page 5",#N/A,FALSE,"A"}</definedName>
    <definedName name="wrn.all_pages_PandL._1_1_2">{"page 1",#N/A,FALSE,"A";"page 2",#N/A,FALSE,"A";"page 3",#N/A,FALSE,"A";"page 4",#N/A,FALSE,"A";"page 5",#N/A,FALSE,"A"}</definedName>
    <definedName name="wrn.all_pages_PandL._1_1_2_1">{"page 1",#N/A,FALSE,"A";"page 2",#N/A,FALSE,"A";"page 3",#N/A,FALSE,"A";"page 4",#N/A,FALSE,"A";"page 5",#N/A,FALSE,"A"}</definedName>
    <definedName name="wrn.all_pages_PandL._1_1_2_2">{"page 1",#N/A,FALSE,"A";"page 2",#N/A,FALSE,"A";"page 3",#N/A,FALSE,"A";"page 4",#N/A,FALSE,"A";"page 5",#N/A,FALSE,"A"}</definedName>
    <definedName name="wrn.all_pages_PandL._1_1_3">{"page 1",#N/A,FALSE,"A";"page 2",#N/A,FALSE,"A";"page 3",#N/A,FALSE,"A";"page 4",#N/A,FALSE,"A";"page 5",#N/A,FALSE,"A"}</definedName>
    <definedName name="wrn.all_pages_PandL._1_1_4">{"page 1",#N/A,FALSE,"A";"page 2",#N/A,FALSE,"A";"page 3",#N/A,FALSE,"A";"page 4",#N/A,FALSE,"A";"page 5",#N/A,FALSE,"A"}</definedName>
    <definedName name="wrn.all_pages_PandL._1_2">{"page 1",#N/A,FALSE,"A";"page 2",#N/A,FALSE,"A";"page 3",#N/A,FALSE,"A";"page 4",#N/A,FALSE,"A";"page 5",#N/A,FALSE,"A"}</definedName>
    <definedName name="wrn.all_pages_PandL._1_2_1">{"page 1",#N/A,FALSE,"A";"page 2",#N/A,FALSE,"A";"page 3",#N/A,FALSE,"A";"page 4",#N/A,FALSE,"A";"page 5",#N/A,FALSE,"A"}</definedName>
    <definedName name="wrn.all_pages_PandL._1_2_1_1">{"page 1",#N/A,FALSE,"A";"page 2",#N/A,FALSE,"A";"page 3",#N/A,FALSE,"A";"page 4",#N/A,FALSE,"A";"page 5",#N/A,FALSE,"A"}</definedName>
    <definedName name="wrn.all_pages_PandL._1_2_1_2">{"page 1",#N/A,FALSE,"A";"page 2",#N/A,FALSE,"A";"page 3",#N/A,FALSE,"A";"page 4",#N/A,FALSE,"A";"page 5",#N/A,FALSE,"A"}</definedName>
    <definedName name="wrn.all_pages_PandL._1_2_2">{"page 1",#N/A,FALSE,"A";"page 2",#N/A,FALSE,"A";"page 3",#N/A,FALSE,"A";"page 4",#N/A,FALSE,"A";"page 5",#N/A,FALSE,"A"}</definedName>
    <definedName name="wrn.all_pages_PandL._1_2_3">{"page 1",#N/A,FALSE,"A";"page 2",#N/A,FALSE,"A";"page 3",#N/A,FALSE,"A";"page 4",#N/A,FALSE,"A";"page 5",#N/A,FALSE,"A"}</definedName>
    <definedName name="wrn.all_pages_PandL._1_3">{"page 1",#N/A,FALSE,"A";"page 2",#N/A,FALSE,"A";"page 3",#N/A,FALSE,"A";"page 4",#N/A,FALSE,"A";"page 5",#N/A,FALSE,"A"}</definedName>
    <definedName name="wrn.all_pages_PandL._1_4">{"page 1",#N/A,FALSE,"A";"page 2",#N/A,FALSE,"A";"page 3",#N/A,FALSE,"A";"page 4",#N/A,FALSE,"A";"page 5",#N/A,FALSE,"A"}</definedName>
    <definedName name="wrn.all_pages_PandL._2">{"page 1",#N/A,FALSE,"A";"page 2",#N/A,FALSE,"A";"page 3",#N/A,FALSE,"A";"page 4",#N/A,FALSE,"A";"page 5",#N/A,FALSE,"A"}</definedName>
    <definedName name="wrn.all_pages_PandL._2_1">{"page 1",#N/A,FALSE,"A";"page 2",#N/A,FALSE,"A";"page 3",#N/A,FALSE,"A";"page 4",#N/A,FALSE,"A";"page 5",#N/A,FALSE,"A"}</definedName>
    <definedName name="wrn.all_pages_PandL._2_1_1">{"page 1",#N/A,FALSE,"A";"page 2",#N/A,FALSE,"A";"page 3",#N/A,FALSE,"A";"page 4",#N/A,FALSE,"A";"page 5",#N/A,FALSE,"A"}</definedName>
    <definedName name="wrn.all_pages_PandL._2_1_1_1">{"page 1",#N/A,FALSE,"A";"page 2",#N/A,FALSE,"A";"page 3",#N/A,FALSE,"A";"page 4",#N/A,FALSE,"A";"page 5",#N/A,FALSE,"A"}</definedName>
    <definedName name="wrn.all_pages_PandL._2_1_1_2">{"page 1",#N/A,FALSE,"A";"page 2",#N/A,FALSE,"A";"page 3",#N/A,FALSE,"A";"page 4",#N/A,FALSE,"A";"page 5",#N/A,FALSE,"A"}</definedName>
    <definedName name="wrn.all_pages_PandL._2_1_2">{"page 1",#N/A,FALSE,"A";"page 2",#N/A,FALSE,"A";"page 3",#N/A,FALSE,"A";"page 4",#N/A,FALSE,"A";"page 5",#N/A,FALSE,"A"}</definedName>
    <definedName name="wrn.all_pages_PandL._2_1_3">{"page 1",#N/A,FALSE,"A";"page 2",#N/A,FALSE,"A";"page 3",#N/A,FALSE,"A";"page 4",#N/A,FALSE,"A";"page 5",#N/A,FALSE,"A"}</definedName>
    <definedName name="wrn.all_pages_PandL._2_2">{"page 1",#N/A,FALSE,"A";"page 2",#N/A,FALSE,"A";"page 3",#N/A,FALSE,"A";"page 4",#N/A,FALSE,"A";"page 5",#N/A,FALSE,"A"}</definedName>
    <definedName name="wrn.all_pages_PandL._2_2_1">{"page 1",#N/A,FALSE,"A";"page 2",#N/A,FALSE,"A";"page 3",#N/A,FALSE,"A";"page 4",#N/A,FALSE,"A";"page 5",#N/A,FALSE,"A"}</definedName>
    <definedName name="wrn.all_pages_PandL._2_2_2">{"page 1",#N/A,FALSE,"A";"page 2",#N/A,FALSE,"A";"page 3",#N/A,FALSE,"A";"page 4",#N/A,FALSE,"A";"page 5",#N/A,FALSE,"A"}</definedName>
    <definedName name="wrn.all_pages_PandL._2_3">{"page 1",#N/A,FALSE,"A";"page 2",#N/A,FALSE,"A";"page 3",#N/A,FALSE,"A";"page 4",#N/A,FALSE,"A";"page 5",#N/A,FALSE,"A"}</definedName>
    <definedName name="wrn.all_pages_PandL._2_4">{"page 1",#N/A,FALSE,"A";"page 2",#N/A,FALSE,"A";"page 3",#N/A,FALSE,"A";"page 4",#N/A,FALSE,"A";"page 5",#N/A,FALSE,"A"}</definedName>
    <definedName name="wrn.all_pages_PandL._3">{"page 1",#N/A,FALSE,"A";"page 2",#N/A,FALSE,"A";"page 3",#N/A,FALSE,"A";"page 4",#N/A,FALSE,"A";"page 5",#N/A,FALSE,"A"}</definedName>
    <definedName name="wrn.all_pages_PandL._3_1">{"page 1",#N/A,FALSE,"A";"page 2",#N/A,FALSE,"A";"page 3",#N/A,FALSE,"A";"page 4",#N/A,FALSE,"A";"page 5",#N/A,FALSE,"A"}</definedName>
    <definedName name="wrn.all_pages_PandL._3_1_1">{"page 1",#N/A,FALSE,"A";"page 2",#N/A,FALSE,"A";"page 3",#N/A,FALSE,"A";"page 4",#N/A,FALSE,"A";"page 5",#N/A,FALSE,"A"}</definedName>
    <definedName name="wrn.all_pages_PandL._3_1_1_1">{"page 1",#N/A,FALSE,"A";"page 2",#N/A,FALSE,"A";"page 3",#N/A,FALSE,"A";"page 4",#N/A,FALSE,"A";"page 5",#N/A,FALSE,"A"}</definedName>
    <definedName name="wrn.all_pages_PandL._3_1_1_2">{"page 1",#N/A,FALSE,"A";"page 2",#N/A,FALSE,"A";"page 3",#N/A,FALSE,"A";"page 4",#N/A,FALSE,"A";"page 5",#N/A,FALSE,"A"}</definedName>
    <definedName name="wrn.all_pages_PandL._3_1_2">{"page 1",#N/A,FALSE,"A";"page 2",#N/A,FALSE,"A";"page 3",#N/A,FALSE,"A";"page 4",#N/A,FALSE,"A";"page 5",#N/A,FALSE,"A"}</definedName>
    <definedName name="wrn.all_pages_PandL._3_1_3">{"page 1",#N/A,FALSE,"A";"page 2",#N/A,FALSE,"A";"page 3",#N/A,FALSE,"A";"page 4",#N/A,FALSE,"A";"page 5",#N/A,FALSE,"A"}</definedName>
    <definedName name="wrn.all_pages_PandL._3_2">{"page 1",#N/A,FALSE,"A";"page 2",#N/A,FALSE,"A";"page 3",#N/A,FALSE,"A";"page 4",#N/A,FALSE,"A";"page 5",#N/A,FALSE,"A"}</definedName>
    <definedName name="wrn.all_pages_PandL._3_2_1">{"page 1",#N/A,FALSE,"A";"page 2",#N/A,FALSE,"A";"page 3",#N/A,FALSE,"A";"page 4",#N/A,FALSE,"A";"page 5",#N/A,FALSE,"A"}</definedName>
    <definedName name="wrn.all_pages_PandL._3_2_2">{"page 1",#N/A,FALSE,"A";"page 2",#N/A,FALSE,"A";"page 3",#N/A,FALSE,"A";"page 4",#N/A,FALSE,"A";"page 5",#N/A,FALSE,"A"}</definedName>
    <definedName name="wrn.all_pages_PandL._3_3">{"page 1",#N/A,FALSE,"A";"page 2",#N/A,FALSE,"A";"page 3",#N/A,FALSE,"A";"page 4",#N/A,FALSE,"A";"page 5",#N/A,FALSE,"A"}</definedName>
    <definedName name="wrn.all_pages_PandL._3_4">{"page 1",#N/A,FALSE,"A";"page 2",#N/A,FALSE,"A";"page 3",#N/A,FALSE,"A";"page 4",#N/A,FALSE,"A";"page 5",#N/A,FALSE,"A"}</definedName>
    <definedName name="wrn.all_pages_PandL._4">{"page 1",#N/A,FALSE,"A";"page 2",#N/A,FALSE,"A";"page 3",#N/A,FALSE,"A";"page 4",#N/A,FALSE,"A";"page 5",#N/A,FALSE,"A"}</definedName>
    <definedName name="wrn.all_pages_PandL._4_1">{"page 1",#N/A,FALSE,"A";"page 2",#N/A,FALSE,"A";"page 3",#N/A,FALSE,"A";"page 4",#N/A,FALSE,"A";"page 5",#N/A,FALSE,"A"}</definedName>
    <definedName name="wrn.all_pages_PandL._4_1_1">{"page 1",#N/A,FALSE,"A";"page 2",#N/A,FALSE,"A";"page 3",#N/A,FALSE,"A";"page 4",#N/A,FALSE,"A";"page 5",#N/A,FALSE,"A"}</definedName>
    <definedName name="wrn.all_pages_PandL._4_1_1_1">{"page 1",#N/A,FALSE,"A";"page 2",#N/A,FALSE,"A";"page 3",#N/A,FALSE,"A";"page 4",#N/A,FALSE,"A";"page 5",#N/A,FALSE,"A"}</definedName>
    <definedName name="wrn.all_pages_PandL._4_1_1_2">{"page 1",#N/A,FALSE,"A";"page 2",#N/A,FALSE,"A";"page 3",#N/A,FALSE,"A";"page 4",#N/A,FALSE,"A";"page 5",#N/A,FALSE,"A"}</definedName>
    <definedName name="wrn.all_pages_PandL._4_1_2">{"page 1",#N/A,FALSE,"A";"page 2",#N/A,FALSE,"A";"page 3",#N/A,FALSE,"A";"page 4",#N/A,FALSE,"A";"page 5",#N/A,FALSE,"A"}</definedName>
    <definedName name="wrn.all_pages_PandL._4_1_3">{"page 1",#N/A,FALSE,"A";"page 2",#N/A,FALSE,"A";"page 3",#N/A,FALSE,"A";"page 4",#N/A,FALSE,"A";"page 5",#N/A,FALSE,"A"}</definedName>
    <definedName name="wrn.all_pages_PandL._4_2">{"page 1",#N/A,FALSE,"A";"page 2",#N/A,FALSE,"A";"page 3",#N/A,FALSE,"A";"page 4",#N/A,FALSE,"A";"page 5",#N/A,FALSE,"A"}</definedName>
    <definedName name="wrn.all_pages_PandL._4_2_1">{"page 1",#N/A,FALSE,"A";"page 2",#N/A,FALSE,"A";"page 3",#N/A,FALSE,"A";"page 4",#N/A,FALSE,"A";"page 5",#N/A,FALSE,"A"}</definedName>
    <definedName name="wrn.all_pages_PandL._4_2_2">{"page 1",#N/A,FALSE,"A";"page 2",#N/A,FALSE,"A";"page 3",#N/A,FALSE,"A";"page 4",#N/A,FALSE,"A";"page 5",#N/A,FALSE,"A"}</definedName>
    <definedName name="wrn.all_pages_PandL._4_3">{"page 1",#N/A,FALSE,"A";"page 2",#N/A,FALSE,"A";"page 3",#N/A,FALSE,"A";"page 4",#N/A,FALSE,"A";"page 5",#N/A,FALSE,"A"}</definedName>
    <definedName name="wrn.all_pages_PandL._4_4">{"page 1",#N/A,FALSE,"A";"page 2",#N/A,FALSE,"A";"page 3",#N/A,FALSE,"A";"page 4",#N/A,FALSE,"A";"page 5",#N/A,FALSE,"A"}</definedName>
    <definedName name="wrn.all_pages_PandL._5">{"page 1",#N/A,FALSE,"A";"page 2",#N/A,FALSE,"A";"page 3",#N/A,FALSE,"A";"page 4",#N/A,FALSE,"A";"page 5",#N/A,FALSE,"A"}</definedName>
    <definedName name="wrn.all_pages_PandL._5_1">{"page 1",#N/A,FALSE,"A";"page 2",#N/A,FALSE,"A";"page 3",#N/A,FALSE,"A";"page 4",#N/A,FALSE,"A";"page 5",#N/A,FALSE,"A"}</definedName>
    <definedName name="wrn.all_pages_PandL._5_1_1">{"page 1",#N/A,FALSE,"A";"page 2",#N/A,FALSE,"A";"page 3",#N/A,FALSE,"A";"page 4",#N/A,FALSE,"A";"page 5",#N/A,FALSE,"A"}</definedName>
    <definedName name="wrn.all_pages_PandL._5_1_1_1">{"page 1",#N/A,FALSE,"A";"page 2",#N/A,FALSE,"A";"page 3",#N/A,FALSE,"A";"page 4",#N/A,FALSE,"A";"page 5",#N/A,FALSE,"A"}</definedName>
    <definedName name="wrn.all_pages_PandL._5_1_1_2">{"page 1",#N/A,FALSE,"A";"page 2",#N/A,FALSE,"A";"page 3",#N/A,FALSE,"A";"page 4",#N/A,FALSE,"A";"page 5",#N/A,FALSE,"A"}</definedName>
    <definedName name="wrn.all_pages_PandL._5_1_2">{"page 1",#N/A,FALSE,"A";"page 2",#N/A,FALSE,"A";"page 3",#N/A,FALSE,"A";"page 4",#N/A,FALSE,"A";"page 5",#N/A,FALSE,"A"}</definedName>
    <definedName name="wrn.all_pages_PandL._5_1_3">{"page 1",#N/A,FALSE,"A";"page 2",#N/A,FALSE,"A";"page 3",#N/A,FALSE,"A";"page 4",#N/A,FALSE,"A";"page 5",#N/A,FALSE,"A"}</definedName>
    <definedName name="wrn.all_pages_PandL._5_2">{"page 1",#N/A,FALSE,"A";"page 2",#N/A,FALSE,"A";"page 3",#N/A,FALSE,"A";"page 4",#N/A,FALSE,"A";"page 5",#N/A,FALSE,"A"}</definedName>
    <definedName name="wrn.all_pages_PandL._5_2_1">{"page 1",#N/A,FALSE,"A";"page 2",#N/A,FALSE,"A";"page 3",#N/A,FALSE,"A";"page 4",#N/A,FALSE,"A";"page 5",#N/A,FALSE,"A"}</definedName>
    <definedName name="wrn.all_pages_PandL._5_2_2">{"page 1",#N/A,FALSE,"A";"page 2",#N/A,FALSE,"A";"page 3",#N/A,FALSE,"A";"page 4",#N/A,FALSE,"A";"page 5",#N/A,FALSE,"A"}</definedName>
    <definedName name="wrn.all_pages_PandL._5_3">{"page 1",#N/A,FALSE,"A";"page 2",#N/A,FALSE,"A";"page 3",#N/A,FALSE,"A";"page 4",#N/A,FALSE,"A";"page 5",#N/A,FALSE,"A"}</definedName>
    <definedName name="wrn.all_pages_PandL._5_4">{"page 1",#N/A,FALSE,"A";"page 2",#N/A,FALSE,"A";"page 3",#N/A,FALSE,"A";"page 4",#N/A,FALSE,"A";"page 5",#N/A,FALSE,"A"}</definedName>
    <definedName name="wrn.GEPS95T.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1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1_1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1_1_1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1_1_1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1_1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1_1_3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1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1_2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1_2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1_3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1_4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2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2_1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2_1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2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2_3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3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1_4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2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2_1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2_1_1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2_1_1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2_1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2_1_3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2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2_2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2_2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2_3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2_4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3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3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3_1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3_1_1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3_1_1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3_1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3_1_3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3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3_2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3_2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3_3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3_4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4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4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4_1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4_1_1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4_1_1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4_1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4_1_3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4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4_2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4_2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4_3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4_4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5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5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5_1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5_1_1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5_1_1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5_1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5_1_3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5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5_2_1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5_2_2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5_3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GEPS95T._5_4">{#N/A,#N/A,FALSE,"GEPSCONS";#N/A,#N/A,FALSE,"GEPG";#N/A,#N/A,FALSE,"GENE";#N/A,#N/A,FALSE,"HDQTRS";#N/A,#N/A,FALSE,"NP";#N/A,#N/A,FALSE,"ENVIR";#N/A,#N/A,FALSE,"EQUIP";#N/A,#N/A,FALSE,"PPSD";#N/A,#N/A,FALSE,"PGSD";#N/A,#N/A,FALSE,"ASD";#N/A,#N/A,FALSE,"Parts&amp;GSH";#N/A,#N/A,FALSE,"O&amp;M";#N/A,#N/A,FALSE,"GEESI";#N/A,#N/A,FALSE,"GEPSLi"}</definedName>
    <definedName name="wrn.Monthly._.Report.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1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1_1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1_1_1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1_1_1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1_1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1_1_3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1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1_2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1_2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1_3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1_4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2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2_1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2_1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2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2_3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3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1_4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2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2_1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2_1_1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2_1_1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2_1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2_1_3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2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2_2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2_2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2_3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2_4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3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3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3_1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3_1_1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3_1_1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3_1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3_1_3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3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3_2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3_2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3_3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3_4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4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4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4_1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4_1_1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4_1_1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4_1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4_1_3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4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4_2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4_2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4_3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4_4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5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5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5_1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5_1_1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5_1_1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5_1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5_1_3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5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5_2_1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5_2_2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5_3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Monthly._.Report._5_4">{#N/A,#N/A,TRUE,"CntrlRefs";#N/A,#N/A,TRUE,"Input_PL";#N/A,#N/A,TRUE,"Input_BS";#N/A,#N/A,TRUE,"BS_Summary";#N/A,#N/A,TRUE,"Input_Interco";#N/A,#N/A,TRUE,"PL_Mth";#N/A,#N/A,TRUE,"PL_Qtr";#N/A,#N/A,TRUE,"PL_YTD";#N/A,#N/A,TRUE,"CashFlow"}</definedName>
    <definedName name="wrn.Quarterly._.Report.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1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1_1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1_1_1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1_1_1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1_1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1_1_3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1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1_2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1_2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1_3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1_4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2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2_1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2_1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2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2_3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3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1_4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2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2_1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2_1_1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2_1_1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2_1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2_1_3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2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2_2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2_2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2_3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2_4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3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3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3_1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3_1_1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3_1_1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3_1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3_1_3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3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3_2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3_2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3_3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3_4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4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4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4_1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4_1_1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4_1_1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4_1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4_1_3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4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4_2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4_2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4_3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4_4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5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5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5_1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5_1_1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5_1_1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5_1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5_1_3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5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5_2_1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5_2_2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5_3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Quarterly._.Report._5_4">{#N/A,#N/A,TRUE,"CntrlRefs";#N/A,#N/A,TRUE,"Input_PL";#N/A,#N/A,TRUE,"PL_Mth";#N/A,#N/A,TRUE,"PL_Qtr";#N/A,#N/A,TRUE,"PL_YTD";#N/A,#N/A,TRUE,"BS_Summary";#N/A,#N/A,TRUE,"Input_BS";#N/A,#N/A,TRUE,"Deprn";#N/A,#N/A,TRUE,"CashFlow";#N/A,#N/A,TRUE,"PP&amp;E";#N/A,#N/A,TRUE,"CBFlash";#N/A,#N/A,TRUE,"Input_SS";#N/A,#N/A,TRUE,"HLQtd";#N/A,#N/A,TRUE,"HLYTD";#N/A,#N/A,TRUE,"ARStats"}</definedName>
    <definedName name="wrn.Total.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1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1_1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1_1_1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1_1_1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1_1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1_1_3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1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1_2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1_2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1_3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1_4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2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2_1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2_1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2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2_3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3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1_4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2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2_1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2_1_1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2_1_1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2_1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2_1_3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2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2_2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2_2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2_3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2_4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3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3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3_1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3_1_1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3_1_1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3_1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3_1_3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3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3_2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3_2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3_3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3_4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4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4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4_1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4_1_1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4_1_1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4_1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4_1_3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4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4_2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4_2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4_3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4_4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5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5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5_1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5_1_1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5_1_1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5_1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5_1_3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5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5_2_1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5_2_2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5_3">{"Total-All",#N/A,TRUE,"Total";"HQ-Corr-All",#N/A,TRUE,"HQCorr";"Neth.-All",#N/A,TRUE,"Netherlands";"HQ-BB-All",#N/A,TRUE,"HQ-BB";"Belgium-All",#N/A,TRUE,"Belgium";"France-All",#N/A,TRUE,"France";"Germany-All",#N/A,TRUE,"Germany";"UK-All",#N/A,TRUE,"UK"}</definedName>
    <definedName name="wrn.Total._5_4">{"Total-All",#N/A,TRUE,"Total";"HQ-Corr-All",#N/A,TRUE,"HQCorr";"Neth.-All",#N/A,TRUE,"Netherlands";"HQ-BB-All",#N/A,TRUE,"HQ-BB";"Belgium-All",#N/A,TRUE,"Belgium";"France-All",#N/A,TRUE,"France";"Germany-All",#N/A,TRUE,"Germany";"UK-All",#N/A,TRUE,"UK"}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11" i="14" l="1"/>
  <c r="M111" i="14"/>
  <c r="L111" i="14"/>
  <c r="K111" i="14"/>
  <c r="J111" i="14"/>
  <c r="I111" i="14"/>
  <c r="H111" i="14"/>
  <c r="G111" i="14"/>
  <c r="F111" i="14"/>
  <c r="E111" i="14"/>
  <c r="B3" i="14"/>
  <c r="B30" i="14"/>
  <c r="B116" i="15"/>
  <c r="B115" i="14"/>
  <c r="B36" i="14"/>
  <c r="B42" i="14"/>
  <c r="B130" i="14"/>
  <c r="B3" i="15"/>
  <c r="B137" i="14"/>
  <c r="B104" i="15"/>
  <c r="B123" i="15"/>
  <c r="B122" i="14"/>
  <c r="B91" i="14"/>
  <c r="B86" i="14"/>
  <c r="B81" i="14"/>
  <c r="B74" i="14"/>
  <c r="B48" i="14"/>
  <c r="B215" i="15"/>
  <c r="B128" i="15"/>
  <c r="B142" i="15"/>
  <c r="B145" i="14"/>
  <c r="B151" i="15"/>
  <c r="B157" i="15"/>
  <c r="B152" i="14"/>
  <c r="B165" i="15"/>
  <c r="B110" i="15"/>
  <c r="B172" i="15"/>
  <c r="B179" i="15"/>
  <c r="B208" i="15"/>
  <c r="B98" i="15"/>
  <c r="B187" i="15"/>
  <c r="F94" i="14" l="1"/>
  <c r="G94" i="14"/>
  <c r="H94" i="14"/>
  <c r="I94" i="14"/>
  <c r="J94" i="14"/>
  <c r="K94" i="14"/>
  <c r="L94" i="14"/>
  <c r="M94" i="14"/>
  <c r="N94" i="14"/>
  <c r="F95" i="14"/>
  <c r="G95" i="14"/>
  <c r="H95" i="14"/>
  <c r="I95" i="14"/>
  <c r="J95" i="14"/>
  <c r="K95" i="14"/>
  <c r="L95" i="14"/>
  <c r="M95" i="14"/>
  <c r="N95" i="14"/>
  <c r="F96" i="14"/>
  <c r="G96" i="14"/>
  <c r="H96" i="14"/>
  <c r="I96" i="14"/>
  <c r="J96" i="14"/>
  <c r="K96" i="14"/>
  <c r="L96" i="14"/>
  <c r="M96" i="14"/>
  <c r="N96" i="14"/>
  <c r="F97" i="14"/>
  <c r="G97" i="14"/>
  <c r="H97" i="14"/>
  <c r="I97" i="14"/>
  <c r="J97" i="14"/>
  <c r="K97" i="14"/>
  <c r="L97" i="14"/>
  <c r="M97" i="14"/>
  <c r="N97" i="14"/>
  <c r="F98" i="14"/>
  <c r="G98" i="14"/>
  <c r="H98" i="14"/>
  <c r="I98" i="14"/>
  <c r="J98" i="14"/>
  <c r="K98" i="14"/>
  <c r="L98" i="14"/>
  <c r="M98" i="14"/>
  <c r="N98" i="14"/>
  <c r="F99" i="14"/>
  <c r="G99" i="14"/>
  <c r="H99" i="14"/>
  <c r="I99" i="14"/>
  <c r="J99" i="14"/>
  <c r="K99" i="14"/>
  <c r="L99" i="14"/>
  <c r="M99" i="14"/>
  <c r="N99" i="14"/>
  <c r="F100" i="14"/>
  <c r="G100" i="14"/>
  <c r="H100" i="14"/>
  <c r="I100" i="14"/>
  <c r="J100" i="14"/>
  <c r="K100" i="14"/>
  <c r="L100" i="14"/>
  <c r="M100" i="14"/>
  <c r="N100" i="14"/>
  <c r="F101" i="14"/>
  <c r="G101" i="14"/>
  <c r="H101" i="14"/>
  <c r="I101" i="14"/>
  <c r="J101" i="14"/>
  <c r="K101" i="14"/>
  <c r="L101" i="14"/>
  <c r="M101" i="14"/>
  <c r="N101" i="14"/>
  <c r="F104" i="14"/>
  <c r="G104" i="14"/>
  <c r="H104" i="14"/>
  <c r="I104" i="14"/>
  <c r="J104" i="14"/>
  <c r="K104" i="14"/>
  <c r="L104" i="14"/>
  <c r="M104" i="14"/>
  <c r="N104" i="14"/>
  <c r="F105" i="14"/>
  <c r="G105" i="14"/>
  <c r="H105" i="14"/>
  <c r="I105" i="14"/>
  <c r="J105" i="14"/>
  <c r="K105" i="14"/>
  <c r="L105" i="14"/>
  <c r="M105" i="14"/>
  <c r="N105" i="14"/>
  <c r="F106" i="14"/>
  <c r="G106" i="14"/>
  <c r="H106" i="14"/>
  <c r="I106" i="14"/>
  <c r="J106" i="14"/>
  <c r="K106" i="14"/>
  <c r="L106" i="14"/>
  <c r="M106" i="14"/>
  <c r="N106" i="14"/>
  <c r="F107" i="14"/>
  <c r="G107" i="14"/>
  <c r="H107" i="14"/>
  <c r="I107" i="14"/>
  <c r="J107" i="14"/>
  <c r="K107" i="14"/>
  <c r="L107" i="14"/>
  <c r="M107" i="14"/>
  <c r="N107" i="14"/>
  <c r="F108" i="14"/>
  <c r="G108" i="14"/>
  <c r="H108" i="14"/>
  <c r="I108" i="14"/>
  <c r="J108" i="14"/>
  <c r="K108" i="14"/>
  <c r="L108" i="14"/>
  <c r="M108" i="14"/>
  <c r="N108" i="14"/>
  <c r="F109" i="14"/>
  <c r="G109" i="14"/>
  <c r="H109" i="14"/>
  <c r="I109" i="14"/>
  <c r="J109" i="14"/>
  <c r="K109" i="14"/>
  <c r="L109" i="14"/>
  <c r="M109" i="14"/>
  <c r="N109" i="14"/>
  <c r="F110" i="14"/>
  <c r="G110" i="14"/>
  <c r="H110" i="14"/>
  <c r="I110" i="14"/>
  <c r="J110" i="14"/>
  <c r="K110" i="14"/>
  <c r="L110" i="14"/>
  <c r="M110" i="14"/>
  <c r="N110" i="14"/>
  <c r="E95" i="14"/>
  <c r="E96" i="14"/>
  <c r="E97" i="14"/>
  <c r="E98" i="14"/>
  <c r="E99" i="14"/>
  <c r="E100" i="14"/>
  <c r="E101" i="14"/>
  <c r="E104" i="14"/>
  <c r="E105" i="14"/>
  <c r="E106" i="14"/>
  <c r="E107" i="14"/>
  <c r="E108" i="14"/>
  <c r="E109" i="14"/>
  <c r="E110" i="14"/>
  <c r="E94" i="14"/>
  <c r="X114" i="16"/>
  <c r="W114" i="16"/>
  <c r="V114" i="16"/>
  <c r="U114" i="16"/>
  <c r="T114" i="16"/>
  <c r="S114" i="16"/>
  <c r="R114" i="16"/>
  <c r="Q114" i="16"/>
  <c r="P114" i="16"/>
  <c r="O114" i="16"/>
  <c r="L114" i="16"/>
  <c r="K114" i="16"/>
  <c r="J114" i="16"/>
  <c r="I114" i="16"/>
  <c r="H114" i="16"/>
  <c r="G114" i="16"/>
  <c r="F114" i="16"/>
  <c r="E114" i="16"/>
  <c r="D114" i="16"/>
  <c r="C114" i="16"/>
  <c r="X73" i="16"/>
  <c r="W73" i="16"/>
  <c r="V73" i="16"/>
  <c r="U73" i="16"/>
  <c r="T73" i="16"/>
  <c r="S73" i="16"/>
  <c r="R73" i="16"/>
  <c r="Q73" i="16"/>
  <c r="P73" i="16"/>
  <c r="O73" i="16"/>
  <c r="L73" i="16"/>
  <c r="K73" i="16"/>
  <c r="J73" i="16"/>
  <c r="I73" i="16"/>
  <c r="H73" i="16"/>
  <c r="G73" i="16"/>
  <c r="F73" i="16"/>
  <c r="E73" i="16"/>
  <c r="D73" i="16"/>
  <c r="C73" i="16"/>
  <c r="G62" i="14" l="1"/>
  <c r="E63" i="14"/>
  <c r="E71" i="14"/>
  <c r="F65" i="14"/>
  <c r="G72" i="14"/>
  <c r="H62" i="14"/>
  <c r="F69" i="14"/>
  <c r="J71" i="14"/>
  <c r="F70" i="14"/>
  <c r="J64" i="14"/>
  <c r="E68" i="14"/>
  <c r="G71" i="14"/>
  <c r="K69" i="14"/>
  <c r="G67" i="14"/>
  <c r="K65" i="14"/>
  <c r="I64" i="14"/>
  <c r="G63" i="14"/>
  <c r="H66" i="14"/>
  <c r="E69" i="14"/>
  <c r="J68" i="14"/>
  <c r="F62" i="14"/>
  <c r="I72" i="14"/>
  <c r="I68" i="14"/>
  <c r="E67" i="14"/>
  <c r="H72" i="14"/>
  <c r="F71" i="14"/>
  <c r="J69" i="14"/>
  <c r="H68" i="14"/>
  <c r="F67" i="14"/>
  <c r="J65" i="14"/>
  <c r="H64" i="14"/>
  <c r="F63" i="14"/>
  <c r="K70" i="14"/>
  <c r="I69" i="14"/>
  <c r="G68" i="14"/>
  <c r="K66" i="14"/>
  <c r="I65" i="14"/>
  <c r="G64" i="14"/>
  <c r="K62" i="14"/>
  <c r="J63" i="14"/>
  <c r="H71" i="14"/>
  <c r="H67" i="14"/>
  <c r="H63" i="14"/>
  <c r="F51" i="14"/>
  <c r="E62" i="14"/>
  <c r="E65" i="14"/>
  <c r="F72" i="14"/>
  <c r="J70" i="14"/>
  <c r="H69" i="14"/>
  <c r="F68" i="14"/>
  <c r="J66" i="14"/>
  <c r="H65" i="14"/>
  <c r="F64" i="14"/>
  <c r="J62" i="14"/>
  <c r="J67" i="14"/>
  <c r="J72" i="14"/>
  <c r="F66" i="14"/>
  <c r="E66" i="14"/>
  <c r="E72" i="14"/>
  <c r="E64" i="14"/>
  <c r="K71" i="14"/>
  <c r="I70" i="14"/>
  <c r="G69" i="14"/>
  <c r="K67" i="14"/>
  <c r="I66" i="14"/>
  <c r="G65" i="14"/>
  <c r="K63" i="14"/>
  <c r="I62" i="14"/>
  <c r="H70" i="14"/>
  <c r="E70" i="14"/>
  <c r="K72" i="14"/>
  <c r="I71" i="14"/>
  <c r="G70" i="14"/>
  <c r="K68" i="14"/>
  <c r="I67" i="14"/>
  <c r="G66" i="14"/>
  <c r="K64" i="14"/>
  <c r="I63" i="14"/>
  <c r="E55" i="14"/>
  <c r="I61" i="14"/>
  <c r="G60" i="14"/>
  <c r="K58" i="14"/>
  <c r="I57" i="14"/>
  <c r="G56" i="14"/>
  <c r="K54" i="14"/>
  <c r="I53" i="14"/>
  <c r="G52" i="14"/>
  <c r="E54" i="14"/>
  <c r="H61" i="14"/>
  <c r="F60" i="14"/>
  <c r="J58" i="14"/>
  <c r="H57" i="14"/>
  <c r="F56" i="14"/>
  <c r="J54" i="14"/>
  <c r="H53" i="14"/>
  <c r="F52" i="14"/>
  <c r="E61" i="14"/>
  <c r="E53" i="14"/>
  <c r="G61" i="14"/>
  <c r="K59" i="14"/>
  <c r="I58" i="14"/>
  <c r="G57" i="14"/>
  <c r="K55" i="14"/>
  <c r="I54" i="14"/>
  <c r="G53" i="14"/>
  <c r="K51" i="14"/>
  <c r="E60" i="14"/>
  <c r="E52" i="14"/>
  <c r="F61" i="14"/>
  <c r="J59" i="14"/>
  <c r="H58" i="14"/>
  <c r="F57" i="14"/>
  <c r="J55" i="14"/>
  <c r="H54" i="14"/>
  <c r="F53" i="14"/>
  <c r="J51" i="14"/>
  <c r="E59" i="14"/>
  <c r="K60" i="14"/>
  <c r="I59" i="14"/>
  <c r="G58" i="14"/>
  <c r="K56" i="14"/>
  <c r="I55" i="14"/>
  <c r="G54" i="14"/>
  <c r="K52" i="14"/>
  <c r="I51" i="14"/>
  <c r="E58" i="14"/>
  <c r="J60" i="14"/>
  <c r="H59" i="14"/>
  <c r="F58" i="14"/>
  <c r="J56" i="14"/>
  <c r="H55" i="14"/>
  <c r="F54" i="14"/>
  <c r="J52" i="14"/>
  <c r="H51" i="14"/>
  <c r="E51" i="14"/>
  <c r="E57" i="14"/>
  <c r="K61" i="14"/>
  <c r="I60" i="14"/>
  <c r="G59" i="14"/>
  <c r="K57" i="14"/>
  <c r="I56" i="14"/>
  <c r="G55" i="14"/>
  <c r="K53" i="14"/>
  <c r="I52" i="14"/>
  <c r="G51" i="14"/>
  <c r="E56" i="14"/>
  <c r="J61" i="14"/>
  <c r="H60" i="14"/>
  <c r="F59" i="14"/>
  <c r="J57" i="14"/>
  <c r="H56" i="14"/>
  <c r="F55" i="14"/>
  <c r="J53" i="14"/>
  <c r="H52" i="14"/>
  <c r="D64" i="15" l="1"/>
</calcChain>
</file>

<file path=xl/sharedStrings.xml><?xml version="1.0" encoding="utf-8"?>
<sst xmlns="http://schemas.openxmlformats.org/spreadsheetml/2006/main" count="1172" uniqueCount="271">
  <si>
    <t>VarID</t>
  </si>
  <si>
    <t>#</t>
  </si>
  <si>
    <t>Date</t>
  </si>
  <si>
    <t>Name</t>
  </si>
  <si>
    <t>Comments</t>
  </si>
  <si>
    <t>No</t>
  </si>
  <si>
    <t>NONE</t>
  </si>
  <si>
    <t>Table of Contents</t>
  </si>
  <si>
    <t>Default</t>
  </si>
  <si>
    <t>Go to TOC</t>
  </si>
  <si>
    <t>Scenarios: Rates</t>
  </si>
  <si>
    <t>inner_loop_valn_scen_id</t>
  </si>
  <si>
    <t>Previous</t>
  </si>
  <si>
    <t>missing_val_defn</t>
  </si>
  <si>
    <t>Retain</t>
  </si>
  <si>
    <t>yld_curve_mem_defn</t>
  </si>
  <si>
    <t>open_file_retry_attempts</t>
  </si>
  <si>
    <t>Scenarios: Assumptions</t>
  </si>
  <si>
    <t>Stochastic</t>
  </si>
  <si>
    <t>infl_defn</t>
  </si>
  <si>
    <t>infl_deterministic</t>
  </si>
  <si>
    <t>credit_sprd_deterministic</t>
  </si>
  <si>
    <t>credit_sprd_stoch_mult</t>
  </si>
  <si>
    <t>dflt_rate_deterministic</t>
  </si>
  <si>
    <t>dflt_rate_stoch_mult</t>
  </si>
  <si>
    <t>int_vol_deterministic</t>
  </si>
  <si>
    <t>int_vol_stoch_mult</t>
  </si>
  <si>
    <t>index_vol_deterministic</t>
  </si>
  <si>
    <t>index_vol_stoch_mult</t>
  </si>
  <si>
    <t>Generation: Control</t>
  </si>
  <si>
    <t>gen_approach_defn</t>
  </si>
  <si>
    <t>Real World</t>
  </si>
  <si>
    <t>gen_basis_defn</t>
  </si>
  <si>
    <t>gen_scenarios</t>
  </si>
  <si>
    <t>gen_mths</t>
  </si>
  <si>
    <t>Monthly</t>
  </si>
  <si>
    <t>gen_rates_freq</t>
  </si>
  <si>
    <t>gen_hist_mths</t>
  </si>
  <si>
    <t>gen_initial_valn_period</t>
  </si>
  <si>
    <t>All Rates</t>
  </si>
  <si>
    <t>gen_random_seed</t>
  </si>
  <si>
    <t>5 10</t>
  </si>
  <si>
    <t>gen_rn_bonds_term</t>
  </si>
  <si>
    <t>gen_rw_mrp_mean_yrs_1</t>
  </si>
  <si>
    <t>gen_rw_mrp_mean_yrs_2</t>
  </si>
  <si>
    <t>gen_rw_mrp_median_yrs</t>
  </si>
  <si>
    <t>gen_mean_reversion_mths</t>
  </si>
  <si>
    <t>Generation: Economy Data</t>
  </si>
  <si>
    <t>econ_data_yld_curve_term_selected</t>
  </si>
  <si>
    <t>econ_data_yld_curve_mr_rates</t>
  </si>
  <si>
    <t>econ_data_yld_curve_vol</t>
  </si>
  <si>
    <t>econ_data_index_rate_mr_grwth</t>
  </si>
  <si>
    <t>econ_data_index_rate_mr_term</t>
  </si>
  <si>
    <t>econ_data_index_rate_mr_inc_ret</t>
  </si>
  <si>
    <t>econ_data_index_rate_mr_sprd</t>
  </si>
  <si>
    <t>econ_data_index_rate_moneyness_selected</t>
  </si>
  <si>
    <t>econ_data_index_rate_tenor_selected</t>
  </si>
  <si>
    <t>econ_data_index_rate_vol</t>
  </si>
  <si>
    <t>econ_data_misc_rates</t>
  </si>
  <si>
    <t>econ_data_correlation</t>
  </si>
  <si>
    <t>calib_yld_curve_rates_rate_term</t>
  </si>
  <si>
    <t>calib_yld_curve_rates_tgt_horizon</t>
  </si>
  <si>
    <t>calib_yld_curve_rates_percentile</t>
  </si>
  <si>
    <t>calib_yld_curve_rates_percentile_tgt</t>
  </si>
  <si>
    <t>calib_yld_curve_rates_rate_adj_a</t>
  </si>
  <si>
    <t>calib_yld_curve_rates_rate_adj_b</t>
  </si>
  <si>
    <t>calib_yld_curve_rates_pass_pct</t>
  </si>
  <si>
    <t>calib_yld_curve_sprds_tgt_horizon</t>
  </si>
  <si>
    <t>calib_yld_curve_sprds_percentile</t>
  </si>
  <si>
    <t>calib_yld_curve_sprds_percentile_tgt</t>
  </si>
  <si>
    <t>calib_yld_curve_sprds_sprd_adj</t>
  </si>
  <si>
    <t>calib_yld_curve_sprds_pass_pct</t>
  </si>
  <si>
    <t>calib_index_rates_tgt_horizon</t>
  </si>
  <si>
    <t>calib_index_rates_percentile</t>
  </si>
  <si>
    <t>calib_index_rates_percentile_tgt</t>
  </si>
  <si>
    <t>calib_index_rates_pass_pct</t>
  </si>
  <si>
    <t>assump_set_id</t>
  </si>
  <si>
    <t>Economy input page – Scenarios</t>
  </si>
  <si>
    <t>Economy input page – Generation</t>
  </si>
  <si>
    <t>US</t>
  </si>
  <si>
    <t>IncReturn</t>
  </si>
  <si>
    <t>GrwthRate</t>
  </si>
  <si>
    <t>ScenYr</t>
  </si>
  <si>
    <t>RateSprd</t>
  </si>
  <si>
    <t>Govt</t>
  </si>
  <si>
    <t>CorrId1</t>
  </si>
  <si>
    <t>Money</t>
  </si>
  <si>
    <t>Bond</t>
  </si>
  <si>
    <t>Small</t>
  </si>
  <si>
    <t>CorrId2</t>
  </si>
  <si>
    <t>Aggr</t>
  </si>
  <si>
    <t>Bal</t>
  </si>
  <si>
    <t>Intl</t>
  </si>
  <si>
    <t>USITGVT</t>
  </si>
  <si>
    <t>USLTCORP</t>
  </si>
  <si>
    <t>Scenarios</t>
  </si>
  <si>
    <t>Generation</t>
  </si>
  <si>
    <t>AAA</t>
  </si>
  <si>
    <t>BBB</t>
  </si>
  <si>
    <t>date</t>
  </si>
  <si>
    <t>quality_id</t>
  </si>
  <si>
    <t>rate_term</t>
  </si>
  <si>
    <t>[See below]</t>
  </si>
  <si>
    <t>Back To Main</t>
  </si>
  <si>
    <t>A</t>
  </si>
  <si>
    <t>BB</t>
  </si>
  <si>
    <t>AA</t>
  </si>
  <si>
    <t>B</t>
  </si>
  <si>
    <t>yld_curve_id</t>
  </si>
  <si>
    <t>moneyness</t>
  </si>
  <si>
    <t>index_id</t>
  </si>
  <si>
    <t>scen_index_id</t>
  </si>
  <si>
    <t>rate_type</t>
  </si>
  <si>
    <t>econ_data_yld_curve_selected</t>
  </si>
  <si>
    <t>econ_data_index_rate_selected</t>
  </si>
  <si>
    <t>econ_data_misc_rates_selected</t>
  </si>
  <si>
    <t>Infl</t>
  </si>
  <si>
    <t>test_num</t>
  </si>
  <si>
    <t>calib_test_num</t>
  </si>
  <si>
    <t>Baseline</t>
  </si>
  <si>
    <t>C</t>
  </si>
  <si>
    <t>D</t>
  </si>
  <si>
    <t>inner_loop_valn_scen_reuse_defn</t>
  </si>
  <si>
    <t>index_val_hist</t>
  </si>
  <si>
    <t>Generation: Shock Control</t>
  </si>
  <si>
    <t>RN Generation: Calibration Data</t>
  </si>
  <si>
    <t>RW Generation: Calibration Data</t>
  </si>
  <si>
    <t>Normal Scenarios</t>
  </si>
  <si>
    <t>gen_defn</t>
  </si>
  <si>
    <t>gen_detail_defn</t>
  </si>
  <si>
    <t>gen_detail_scen</t>
  </si>
  <si>
    <t>Constant</t>
  </si>
  <si>
    <t>gen_rn_int_proj_defn</t>
  </si>
  <si>
    <t>gen_calib_defn</t>
  </si>
  <si>
    <t>gen_calib_retry_attempts</t>
  </si>
  <si>
    <t>gen_calib_detail_defn</t>
  </si>
  <si>
    <t>econ_data_yld_curve_vol_mr_term_selected</t>
  </si>
  <si>
    <t>eqt_price_shock_defn</t>
  </si>
  <si>
    <t>&lt;*assump*&gt;Hedging.xlsm (HedgeValnControl)</t>
  </si>
  <si>
    <t>int_rate_shock_defn</t>
  </si>
  <si>
    <t>int_rate_shock_id</t>
  </si>
  <si>
    <t>int_rate_shock</t>
  </si>
  <si>
    <t>&lt;*assump*&gt;Hedging.xlsm (HedgeValnIntRateShockTbl)</t>
  </si>
  <si>
    <t>eqt_vol_shock_defn</t>
  </si>
  <si>
    <t>eqt_vol_shock_id</t>
  </si>
  <si>
    <t>eqt_vol_shock</t>
  </si>
  <si>
    <t>&lt;*assump*&gt;Hedging.xlsm (HedgeValnEqtVolShockTbl)</t>
  </si>
  <si>
    <t>phldr_shock_defn</t>
  </si>
  <si>
    <t>scen_file_name_addn</t>
  </si>
  <si>
    <t>calib_yld_curve_selected</t>
  </si>
  <si>
    <t>Swaption Volatility</t>
  </si>
  <si>
    <t>calib_yld_curve_data_source_defn</t>
  </si>
  <si>
    <t>calib_yld_curve_normalize_wghts_defn</t>
  </si>
  <si>
    <t>calib_yld_curve_swap_maturities_selected</t>
  </si>
  <si>
    <t>calib_yld_curve_swap_tenors_selected</t>
  </si>
  <si>
    <t>calib_yld_curve_swaption_vol</t>
  </si>
  <si>
    <t>calib_yld_curve_swaption_wght</t>
  </si>
  <si>
    <t>calib_yld_curve_bond_terms_selected</t>
  </si>
  <si>
    <t>calib_yld_curve_bond_vol</t>
  </si>
  <si>
    <t>calib_yld_curve_bond_wght</t>
  </si>
  <si>
    <t>calib_index_rate_selected</t>
  </si>
  <si>
    <t>calib_index_rate_normalize_wghts_defn</t>
  </si>
  <si>
    <t>calib_index_rate_div_yld</t>
  </si>
  <si>
    <t>Call</t>
  </si>
  <si>
    <t>calib_index_rate_opt_defn</t>
  </si>
  <si>
    <t>calib_index_rate_moneyness_selected</t>
  </si>
  <si>
    <t>calib_index_rate_terms_selected</t>
  </si>
  <si>
    <t>calib_index_rate_opt_vol</t>
  </si>
  <si>
    <t>calib_index_rate_opt_wght</t>
  </si>
  <si>
    <t>swap_maturity</t>
  </si>
  <si>
    <t>swap_tenor</t>
  </si>
  <si>
    <t>VarId</t>
  </si>
  <si>
    <t>shock_freq</t>
  </si>
  <si>
    <t>&lt;*scen*&gt;YYYYMMScenarios.csv</t>
  </si>
  <si>
    <t>&lt;*scen*&gt;201312MonthlyProjectedScenarios.csv</t>
  </si>
  <si>
    <t>Spot Spreads</t>
  </si>
  <si>
    <t>credit_sprd_defn</t>
  </si>
  <si>
    <t>Random Scenarios</t>
  </si>
  <si>
    <t>gen_rw_stoch_defn</t>
  </si>
  <si>
    <t>swap_curve_tenors_input_aig</t>
  </si>
  <si>
    <t>6, 12, 24, 36, 60, 84, 120, 180, 240, 360</t>
  </si>
  <si>
    <t>swap_curve_rate_id_aig</t>
  </si>
  <si>
    <t>Swap</t>
  </si>
  <si>
    <t>12, 24, 36, 60, 84, 120, 180, 360</t>
  </si>
  <si>
    <t>CCC</t>
  </si>
  <si>
    <t>Yield Spreads</t>
  </si>
  <si>
    <t>VM21</t>
  </si>
  <si>
    <t>0.25 5 7 10</t>
  </si>
  <si>
    <t>0.25, 0.5, 1, 2, 3, 5, 7, 10, 20, 30</t>
  </si>
  <si>
    <t>12, 60, 120</t>
  </si>
  <si>
    <t>Yes</t>
  </si>
  <si>
    <t>None</t>
  </si>
  <si>
    <t>Academy Selected Scenarios</t>
  </si>
  <si>
    <t>cal_yr_relative</t>
  </si>
  <si>
    <t>URL</t>
  </si>
  <si>
    <t>https://content.naic.org/pbr_data.htm</t>
  </si>
  <si>
    <t>Table A. Baseline Annual Default Costs (in bps) using Moody’s Data as of December 2022 *</t>
  </si>
  <si>
    <t>Calendar Years 1970 - 2022 Raw Data</t>
  </si>
  <si>
    <t>PBR</t>
  </si>
  <si>
    <t>Moody's</t>
  </si>
  <si>
    <t>Credit</t>
  </si>
  <si>
    <t xml:space="preserve">Weighted Average Life </t>
  </si>
  <si>
    <t>Rating</t>
  </si>
  <si>
    <t>Aaa</t>
  </si>
  <si>
    <t>Aa1</t>
  </si>
  <si>
    <t>Aa2</t>
  </si>
  <si>
    <t>Aa3</t>
  </si>
  <si>
    <t>A1</t>
  </si>
  <si>
    <t>A2</t>
  </si>
  <si>
    <t>A3</t>
  </si>
  <si>
    <t>Baa1</t>
  </si>
  <si>
    <t>Baa2</t>
  </si>
  <si>
    <t>Baa3</t>
  </si>
  <si>
    <t>Ba1</t>
  </si>
  <si>
    <t>Ba2</t>
  </si>
  <si>
    <t>Ba3</t>
  </si>
  <si>
    <t>B1</t>
  </si>
  <si>
    <t>B2</t>
  </si>
  <si>
    <t>B3</t>
  </si>
  <si>
    <t>Caa1</t>
  </si>
  <si>
    <t>Caa2</t>
  </si>
  <si>
    <t>Caa3</t>
  </si>
  <si>
    <t>Ca</t>
  </si>
  <si>
    <t>* This table is effective on 6/30/2023</t>
  </si>
  <si>
    <t>WAL</t>
  </si>
  <si>
    <t xml:space="preserve">Investment Grade PBR Credit Rating </t>
  </si>
  <si>
    <t xml:space="preserve">Below Investment Grade PBR Credit Rating </t>
  </si>
  <si>
    <t>(Weighted</t>
  </si>
  <si>
    <t>Ave Life)</t>
  </si>
  <si>
    <t>Aaa/AAA</t>
  </si>
  <si>
    <t>Aa1/AA+</t>
  </si>
  <si>
    <t>Aa2/AA</t>
  </si>
  <si>
    <t>Aa3/AA-</t>
  </si>
  <si>
    <t>A1/A+</t>
  </si>
  <si>
    <t>A2/A</t>
  </si>
  <si>
    <t>A3/A-</t>
  </si>
  <si>
    <t>Baa1/BBB+</t>
  </si>
  <si>
    <t>Baa2/BBB</t>
  </si>
  <si>
    <t>Baa3/BBB-</t>
  </si>
  <si>
    <t>Ba1/BB+</t>
  </si>
  <si>
    <t>Ba2/BB</t>
  </si>
  <si>
    <t>Ba3/BB-</t>
  </si>
  <si>
    <t>B1/B+</t>
  </si>
  <si>
    <t>B2/B</t>
  </si>
  <si>
    <t>B3/B-</t>
  </si>
  <si>
    <t>Caa1/CCC+</t>
  </si>
  <si>
    <t>Caa2/CCC</t>
  </si>
  <si>
    <t>Caa3/CCC-</t>
  </si>
  <si>
    <t>Ca/CC</t>
  </si>
  <si>
    <t>Average</t>
  </si>
  <si>
    <t>Default Costs</t>
  </si>
  <si>
    <t>CC</t>
  </si>
  <si>
    <t>RAFM Mapping</t>
  </si>
  <si>
    <t>RAFM Rating -&gt;</t>
  </si>
  <si>
    <t>Swap_ITM</t>
  </si>
  <si>
    <t>Credit Spreads - Current</t>
  </si>
  <si>
    <t>Below Investment Grade PBR Credit Rating and Moody's/S&amp;P Ratings</t>
  </si>
  <si>
    <t>Average Life)</t>
  </si>
  <si>
    <t>Credit Spreads - Long-Term</t>
  </si>
  <si>
    <t>US, AGGR</t>
  </si>
  <si>
    <t>CML</t>
  </si>
  <si>
    <t>RML</t>
  </si>
  <si>
    <t>Table G. (03/28/2024) Below Investment Grade Current Benchmark Spreads (in bps)</t>
  </si>
  <si>
    <t>Table F (03/28/2024)  Investment Grade Current Benchmark Spreads (in bps)</t>
  </si>
  <si>
    <t>Table H (3/31/2024) Investment Grade Long Term Benchmark Spreads (in bps)</t>
  </si>
  <si>
    <t>Table I (3/31/2024) Below Investment Grade Long Term Benchmark Spreads (in bps)</t>
  </si>
  <si>
    <t>* This table is effective on 12/31/2023</t>
  </si>
  <si>
    <t>Table A. Baseline Annual Default Costs (in bps) using Moody’s Data as of December 2023 *</t>
  </si>
  <si>
    <t>Calendar Years 1970 - 2023 Raw Data</t>
  </si>
  <si>
    <t>VM21 Deterministic</t>
  </si>
  <si>
    <t>&lt;*scen*&gt;det_scenario_file.csv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</si>
</sst>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0.000000"/>
    <numFmt numFmtId="165" formatCode="0.00000"/>
    <numFmt numFmtId="166" formatCode="0.0000"/>
    <numFmt numFmtId="167" formatCode="0.0%"/>
    <numFmt numFmtId="168" formatCode="0.0000%"/>
    <numFmt numFmtId="169" formatCode="0.000%"/>
    <numFmt numFmtId="170" formatCode="#,##0.0"/>
  </numFmts>
  <fonts count="30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u/>
      <sz val="10"/>
      <color theme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8"/>
      <color rgb="FF000000"/>
      <name val="Calibri"/>
      <family val="2"/>
    </font>
    <font>
      <b/>
      <sz val="11"/>
      <color theme="1"/>
      <name val="Arial"/>
      <family val="2"/>
    </font>
    <font>
      <b/>
      <u/>
      <sz val="11"/>
      <color theme="10"/>
      <name val="Arial"/>
      <family val="2"/>
    </font>
    <font>
      <sz val="11"/>
      <color indexed="8"/>
      <name val="Calibri"/>
      <family val="2"/>
    </font>
    <font>
      <b/>
      <sz val="8"/>
      <color indexed="8"/>
      <name val="Arial"/>
      <family val="2"/>
    </font>
    <font>
      <b/>
      <sz val="8"/>
      <color indexed="8"/>
      <name val="Calibri"/>
      <family val="2"/>
    </font>
    <font>
      <b/>
      <sz val="11"/>
      <color indexed="8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b/>
      <sz val="11"/>
      <color indexed="8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indexed="64"/>
      </left>
      <right/>
      <top style="thin">
        <color rgb="FFA6A6A6"/>
      </top>
      <bottom/>
      <diagonal/>
    </border>
    <border>
      <left style="thin">
        <color indexed="64"/>
      </left>
      <right/>
      <top/>
      <bottom style="thin">
        <color rgb="FFA6A6A6"/>
      </bottom>
      <diagonal/>
    </border>
    <border>
      <left/>
      <right style="thin">
        <color rgb="FFA6A6A6"/>
      </right>
      <top style="thin">
        <color theme="0" tint="-0.34998626667073579"/>
      </top>
      <bottom/>
      <diagonal/>
    </border>
    <border>
      <left style="thin">
        <color rgb="FFA6A6A6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0">
    <xf numFmtId="0" fontId="0" fillId="0" borderId="0"/>
    <xf numFmtId="0" fontId="2" fillId="3" borderId="0">
      <alignment horizontal="left" vertical="top" wrapText="1"/>
    </xf>
    <xf numFmtId="0" fontId="2" fillId="3" borderId="0">
      <alignment horizontal="lef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3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5" fillId="4" borderId="0">
      <alignment horizontal="left" vertical="top" wrapText="1"/>
    </xf>
    <xf numFmtId="0" fontId="3" fillId="4" borderId="0">
      <alignment horizontal="righ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7" fillId="0" borderId="0" applyNumberFormat="0" applyFill="0" applyBorder="0" applyAlignment="0" applyProtection="0"/>
    <xf numFmtId="0" fontId="4" fillId="5" borderId="0">
      <alignment horizontal="left" vertical="top" wrapText="1"/>
    </xf>
    <xf numFmtId="0" fontId="5" fillId="4" borderId="0">
      <alignment horizontal="left" vertical="top" wrapText="1"/>
    </xf>
    <xf numFmtId="9" fontId="14" fillId="0" borderId="0" applyFont="0" applyFill="0" applyBorder="0" applyAlignment="0" applyProtection="0"/>
  </cellStyleXfs>
  <cellXfs count="26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vertical="center"/>
    </xf>
    <xf numFmtId="0" fontId="7" fillId="0" borderId="0" xfId="16"/>
    <xf numFmtId="0" fontId="0" fillId="0" borderId="0" xfId="0" applyFill="1" applyAlignment="1">
      <alignment horizontal="right" vertical="top"/>
    </xf>
    <xf numFmtId="0" fontId="0" fillId="0" borderId="0" xfId="0" applyAlignment="1">
      <alignment horizontal="right" vertical="top"/>
    </xf>
    <xf numFmtId="14" fontId="0" fillId="0" borderId="1" xfId="0" quotePrefix="1" applyNumberFormat="1" applyBorder="1" applyAlignment="1">
      <alignment horizontal="center" vertical="top" wrapText="1"/>
    </xf>
    <xf numFmtId="0" fontId="10" fillId="0" borderId="0" xfId="0" applyFont="1" applyBorder="1" applyAlignment="1">
      <alignment horizontal="right" vertical="top"/>
    </xf>
    <xf numFmtId="0" fontId="7" fillId="0" borderId="0" xfId="16" applyFill="1" applyAlignment="1">
      <alignment horizontal="left" vertical="top"/>
    </xf>
    <xf numFmtId="0" fontId="0" fillId="0" borderId="0" xfId="0" applyAlignment="1">
      <alignment horizontal="left" vertical="top"/>
    </xf>
    <xf numFmtId="0" fontId="8" fillId="0" borderId="0" xfId="0" applyFont="1" applyAlignment="1">
      <alignment horizontal="left" vertical="top"/>
    </xf>
    <xf numFmtId="0" fontId="1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left" vertical="top"/>
    </xf>
    <xf numFmtId="0" fontId="0" fillId="6" borderId="0" xfId="0" applyFont="1" applyFill="1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8" fillId="0" borderId="0" xfId="0" applyFont="1" applyBorder="1" applyAlignment="1">
      <alignment horizontal="right" vertical="top"/>
    </xf>
    <xf numFmtId="0" fontId="1" fillId="0" borderId="0" xfId="0" applyFont="1" applyFill="1" applyBorder="1" applyAlignment="1">
      <alignment horizontal="left" vertical="top"/>
    </xf>
    <xf numFmtId="0" fontId="7" fillId="0" borderId="0" xfId="16" applyFill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164" fontId="0" fillId="0" borderId="0" xfId="0" applyNumberFormat="1" applyBorder="1" applyAlignment="1">
      <alignment horizontal="left" vertical="top"/>
    </xf>
    <xf numFmtId="0" fontId="0" fillId="0" borderId="0" xfId="0"/>
    <xf numFmtId="0" fontId="9" fillId="0" borderId="0" xfId="0" applyFont="1" applyAlignment="1">
      <alignment horizontal="center" vertical="center"/>
    </xf>
    <xf numFmtId="0" fontId="1" fillId="6" borderId="0" xfId="0" applyFont="1" applyFill="1" applyBorder="1" applyAlignment="1">
      <alignment horizontal="right" vertical="top"/>
    </xf>
    <xf numFmtId="0" fontId="0" fillId="6" borderId="0" xfId="0" applyFill="1" applyBorder="1" applyAlignment="1">
      <alignment horizontal="left" vertical="top"/>
    </xf>
    <xf numFmtId="14" fontId="0" fillId="0" borderId="1" xfId="0" applyNumberFormat="1" applyBorder="1" applyAlignment="1">
      <alignment horizontal="center" vertical="top" wrapText="1"/>
    </xf>
    <xf numFmtId="0" fontId="8" fillId="0" borderId="0" xfId="0" applyFont="1"/>
    <xf numFmtId="0" fontId="8" fillId="0" borderId="0" xfId="0" applyFont="1" applyAlignment="1">
      <alignment horizontal="right" vertical="top"/>
    </xf>
    <xf numFmtId="0" fontId="8" fillId="0" borderId="0" xfId="0" applyFont="1" applyFill="1" applyAlignment="1">
      <alignment horizontal="right" vertical="top"/>
    </xf>
    <xf numFmtId="167" fontId="8" fillId="0" borderId="0" xfId="19" applyNumberFormat="1" applyFont="1" applyAlignment="1">
      <alignment horizontal="right" vertical="top"/>
    </xf>
    <xf numFmtId="0" fontId="8" fillId="0" borderId="0" xfId="16" applyFont="1"/>
    <xf numFmtId="0" fontId="7" fillId="0" borderId="0" xfId="16" applyBorder="1" applyAlignment="1">
      <alignment horizontal="left" vertical="top"/>
    </xf>
    <xf numFmtId="10" fontId="8" fillId="0" borderId="0" xfId="19" applyNumberFormat="1" applyFont="1" applyBorder="1" applyAlignment="1">
      <alignment horizontal="right" vertical="top"/>
    </xf>
    <xf numFmtId="168" fontId="8" fillId="0" borderId="0" xfId="19" applyNumberFormat="1" applyFont="1" applyAlignment="1">
      <alignment horizontal="left" vertical="top"/>
    </xf>
    <xf numFmtId="168" fontId="8" fillId="0" borderId="0" xfId="19" applyNumberFormat="1" applyFont="1" applyBorder="1" applyAlignment="1">
      <alignment horizontal="right" vertical="top"/>
    </xf>
    <xf numFmtId="0" fontId="7" fillId="0" borderId="0" xfId="16" applyAlignment="1">
      <alignment horizontal="left" vertical="top"/>
    </xf>
    <xf numFmtId="168" fontId="0" fillId="0" borderId="0" xfId="19" applyNumberFormat="1" applyFont="1" applyBorder="1" applyAlignment="1">
      <alignment horizontal="left" vertical="top"/>
    </xf>
    <xf numFmtId="166" fontId="0" fillId="0" borderId="0" xfId="0" applyNumberFormat="1" applyBorder="1" applyAlignment="1">
      <alignment horizontal="left" vertical="top"/>
    </xf>
    <xf numFmtId="0" fontId="0" fillId="0" borderId="0" xfId="0"/>
    <xf numFmtId="0" fontId="8" fillId="6" borderId="0" xfId="0" applyFont="1" applyFill="1" applyBorder="1" applyAlignment="1">
      <alignment horizontal="left" vertical="top"/>
    </xf>
    <xf numFmtId="0" fontId="13" fillId="6" borderId="0" xfId="0" applyFont="1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1" fillId="6" borderId="0" xfId="0" applyFont="1" applyFill="1" applyBorder="1" applyAlignment="1">
      <alignment horizontal="left" vertical="top"/>
    </xf>
    <xf numFmtId="166" fontId="8" fillId="6" borderId="0" xfId="0" applyNumberFormat="1" applyFont="1" applyFill="1" applyBorder="1" applyAlignment="1">
      <alignment horizontal="right" vertical="top"/>
    </xf>
    <xf numFmtId="0" fontId="0" fillId="6" borderId="0" xfId="0" applyFill="1" applyBorder="1" applyAlignment="1">
      <alignment horizontal="right" vertical="top"/>
    </xf>
    <xf numFmtId="0" fontId="13" fillId="6" borderId="2" xfId="0" applyFont="1" applyFill="1" applyBorder="1" applyAlignment="1">
      <alignment horizontal="right" vertical="top" wrapText="1"/>
    </xf>
    <xf numFmtId="0" fontId="0" fillId="6" borderId="3" xfId="0" applyFont="1" applyFill="1" applyBorder="1" applyAlignment="1">
      <alignment horizontal="right" vertical="top"/>
    </xf>
    <xf numFmtId="0" fontId="13" fillId="6" borderId="5" xfId="0" applyFont="1" applyFill="1" applyBorder="1" applyAlignment="1">
      <alignment horizontal="left" vertical="top" wrapText="1"/>
    </xf>
    <xf numFmtId="0" fontId="0" fillId="0" borderId="6" xfId="0" applyBorder="1" applyAlignment="1">
      <alignment horizontal="right" vertical="top"/>
    </xf>
    <xf numFmtId="0" fontId="0" fillId="0" borderId="5" xfId="0" applyBorder="1" applyAlignment="1">
      <alignment horizontal="right" vertical="top"/>
    </xf>
    <xf numFmtId="0" fontId="1" fillId="0" borderId="5" xfId="0" applyFont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68" fontId="7" fillId="7" borderId="5" xfId="16" applyNumberFormat="1" applyFill="1" applyBorder="1" applyAlignment="1">
      <alignment horizontal="left" vertical="top"/>
    </xf>
    <xf numFmtId="0" fontId="7" fillId="7" borderId="5" xfId="16" applyFill="1" applyBorder="1" applyAlignment="1">
      <alignment horizontal="left" vertical="top"/>
    </xf>
    <xf numFmtId="164" fontId="0" fillId="0" borderId="5" xfId="0" applyNumberFormat="1" applyBorder="1" applyAlignment="1">
      <alignment horizontal="left" vertical="top"/>
    </xf>
    <xf numFmtId="168" fontId="0" fillId="6" borderId="5" xfId="19" applyNumberFormat="1" applyFont="1" applyFill="1" applyBorder="1" applyAlignment="1">
      <alignment horizontal="left" vertical="top"/>
    </xf>
    <xf numFmtId="168" fontId="0" fillId="6" borderId="7" xfId="19" applyNumberFormat="1" applyFont="1" applyFill="1" applyBorder="1" applyAlignment="1">
      <alignment horizontal="left" vertical="top"/>
    </xf>
    <xf numFmtId="168" fontId="8" fillId="0" borderId="8" xfId="19" applyNumberFormat="1" applyFont="1" applyBorder="1" applyAlignment="1">
      <alignment horizontal="right" vertical="top"/>
    </xf>
    <xf numFmtId="0" fontId="0" fillId="6" borderId="4" xfId="0" applyFont="1" applyFill="1" applyBorder="1" applyAlignment="1">
      <alignment horizontal="right" vertical="top"/>
    </xf>
    <xf numFmtId="0" fontId="0" fillId="6" borderId="6" xfId="0" applyFont="1" applyFill="1" applyBorder="1" applyAlignment="1">
      <alignment horizontal="right" vertical="top"/>
    </xf>
    <xf numFmtId="0" fontId="8" fillId="0" borderId="6" xfId="0" applyFont="1" applyBorder="1" applyAlignment="1">
      <alignment horizontal="right" vertical="top"/>
    </xf>
    <xf numFmtId="168" fontId="8" fillId="0" borderId="6" xfId="19" applyNumberFormat="1" applyFont="1" applyBorder="1" applyAlignment="1">
      <alignment horizontal="right" vertical="top"/>
    </xf>
    <xf numFmtId="166" fontId="8" fillId="0" borderId="6" xfId="0" applyNumberFormat="1" applyFont="1" applyBorder="1" applyAlignment="1">
      <alignment horizontal="right" vertical="top"/>
    </xf>
    <xf numFmtId="165" fontId="8" fillId="0" borderId="6" xfId="0" applyNumberFormat="1" applyFont="1" applyBorder="1" applyAlignment="1">
      <alignment horizontal="right" vertical="top"/>
    </xf>
    <xf numFmtId="164" fontId="8" fillId="0" borderId="6" xfId="0" applyNumberFormat="1" applyFont="1" applyBorder="1" applyAlignment="1">
      <alignment horizontal="right" vertical="top"/>
    </xf>
    <xf numFmtId="168" fontId="8" fillId="0" borderId="9" xfId="19" applyNumberFormat="1" applyFont="1" applyBorder="1" applyAlignment="1">
      <alignment horizontal="right" vertical="top"/>
    </xf>
    <xf numFmtId="0" fontId="8" fillId="0" borderId="5" xfId="0" applyFont="1" applyBorder="1" applyAlignment="1">
      <alignment horizontal="left" vertical="top"/>
    </xf>
    <xf numFmtId="168" fontId="7" fillId="7" borderId="5" xfId="19" applyNumberFormat="1" applyFont="1" applyFill="1" applyBorder="1" applyAlignment="1">
      <alignment horizontal="left" vertical="top"/>
    </xf>
    <xf numFmtId="168" fontId="7" fillId="7" borderId="7" xfId="16" applyNumberFormat="1" applyFill="1" applyBorder="1" applyAlignment="1">
      <alignment horizontal="left" vertical="top"/>
    </xf>
    <xf numFmtId="0" fontId="0" fillId="6" borderId="2" xfId="0" applyFill="1" applyBorder="1" applyAlignment="1">
      <alignment horizontal="right" vertical="top"/>
    </xf>
    <xf numFmtId="0" fontId="1" fillId="6" borderId="3" xfId="0" applyFont="1" applyFill="1" applyBorder="1" applyAlignment="1">
      <alignment horizontal="right" vertical="top"/>
    </xf>
    <xf numFmtId="0" fontId="0" fillId="6" borderId="3" xfId="0" applyFill="1" applyBorder="1" applyAlignment="1">
      <alignment horizontal="right" vertical="top"/>
    </xf>
    <xf numFmtId="0" fontId="0" fillId="6" borderId="4" xfId="0" applyFill="1" applyBorder="1" applyAlignment="1">
      <alignment horizontal="right" vertical="top"/>
    </xf>
    <xf numFmtId="0" fontId="0" fillId="6" borderId="5" xfId="0" applyFill="1" applyBorder="1" applyAlignment="1">
      <alignment horizontal="right" vertical="top"/>
    </xf>
    <xf numFmtId="0" fontId="0" fillId="6" borderId="6" xfId="0" applyFill="1" applyBorder="1" applyAlignment="1">
      <alignment horizontal="right" vertical="top"/>
    </xf>
    <xf numFmtId="0" fontId="1" fillId="6" borderId="5" xfId="0" applyFont="1" applyFill="1" applyBorder="1" applyAlignment="1">
      <alignment horizontal="left" vertical="top"/>
    </xf>
    <xf numFmtId="14" fontId="0" fillId="6" borderId="5" xfId="0" applyNumberFormat="1" applyFill="1" applyBorder="1" applyAlignment="1">
      <alignment horizontal="left" vertical="top"/>
    </xf>
    <xf numFmtId="14" fontId="0" fillId="6" borderId="7" xfId="0" applyNumberFormat="1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8" fillId="0" borderId="8" xfId="0" applyFont="1" applyBorder="1" applyAlignment="1">
      <alignment horizontal="right" vertical="top"/>
    </xf>
    <xf numFmtId="169" fontId="8" fillId="0" borderId="0" xfId="19" applyNumberFormat="1" applyFont="1" applyBorder="1" applyAlignment="1">
      <alignment horizontal="right" vertical="top"/>
    </xf>
    <xf numFmtId="169" fontId="8" fillId="0" borderId="6" xfId="19" applyNumberFormat="1" applyFont="1" applyBorder="1" applyAlignment="1">
      <alignment horizontal="right" vertical="top"/>
    </xf>
    <xf numFmtId="169" fontId="8" fillId="0" borderId="8" xfId="19" applyNumberFormat="1" applyFont="1" applyBorder="1" applyAlignment="1">
      <alignment horizontal="right" vertical="top"/>
    </xf>
    <xf numFmtId="169" fontId="8" fillId="0" borderId="9" xfId="19" applyNumberFormat="1" applyFont="1" applyBorder="1" applyAlignment="1">
      <alignment horizontal="right" vertical="top"/>
    </xf>
    <xf numFmtId="0" fontId="1" fillId="6" borderId="2" xfId="0" applyFont="1" applyFill="1" applyBorder="1" applyAlignment="1">
      <alignment horizontal="right"/>
    </xf>
    <xf numFmtId="0" fontId="0" fillId="6" borderId="3" xfId="0" applyFont="1" applyFill="1" applyBorder="1" applyAlignment="1">
      <alignment horizontal="right"/>
    </xf>
    <xf numFmtId="0" fontId="0" fillId="6" borderId="4" xfId="0" applyFont="1" applyFill="1" applyBorder="1" applyAlignment="1">
      <alignment horizontal="right"/>
    </xf>
    <xf numFmtId="0" fontId="1" fillId="6" borderId="5" xfId="0" applyFont="1" applyFill="1" applyBorder="1" applyAlignment="1">
      <alignment horizontal="right"/>
    </xf>
    <xf numFmtId="165" fontId="0" fillId="6" borderId="0" xfId="0" applyNumberFormat="1" applyFont="1" applyFill="1" applyBorder="1" applyAlignment="1">
      <alignment horizontal="right"/>
    </xf>
    <xf numFmtId="165" fontId="0" fillId="6" borderId="6" xfId="0" applyNumberFormat="1" applyFont="1" applyFill="1" applyBorder="1" applyAlignment="1">
      <alignment horizontal="right"/>
    </xf>
    <xf numFmtId="0" fontId="1" fillId="6" borderId="5" xfId="0" applyFont="1" applyFill="1" applyBorder="1"/>
    <xf numFmtId="0" fontId="0" fillId="6" borderId="0" xfId="0" applyFill="1" applyBorder="1" applyAlignment="1">
      <alignment horizontal="right"/>
    </xf>
    <xf numFmtId="0" fontId="0" fillId="6" borderId="0" xfId="0" applyFill="1" applyBorder="1"/>
    <xf numFmtId="0" fontId="0" fillId="6" borderId="6" xfId="0" applyFill="1" applyBorder="1"/>
    <xf numFmtId="14" fontId="0" fillId="6" borderId="5" xfId="0" applyNumberFormat="1" applyFill="1" applyBorder="1" applyAlignment="1">
      <alignment horizontal="left"/>
    </xf>
    <xf numFmtId="168" fontId="0" fillId="0" borderId="0" xfId="19" applyNumberFormat="1" applyFont="1" applyBorder="1" applyAlignment="1">
      <alignment horizontal="right" vertical="top"/>
    </xf>
    <xf numFmtId="168" fontId="0" fillId="0" borderId="6" xfId="19" applyNumberFormat="1" applyFont="1" applyBorder="1" applyAlignment="1">
      <alignment horizontal="right" vertical="top"/>
    </xf>
    <xf numFmtId="14" fontId="0" fillId="6" borderId="7" xfId="0" applyNumberFormat="1" applyFill="1" applyBorder="1" applyAlignment="1">
      <alignment horizontal="left"/>
    </xf>
    <xf numFmtId="168" fontId="0" fillId="0" borderId="8" xfId="19" applyNumberFormat="1" applyFont="1" applyBorder="1" applyAlignment="1">
      <alignment horizontal="right" vertical="top"/>
    </xf>
    <xf numFmtId="168" fontId="0" fillId="0" borderId="9" xfId="19" applyNumberFormat="1" applyFont="1" applyBorder="1" applyAlignment="1">
      <alignment horizontal="right" vertical="top"/>
    </xf>
    <xf numFmtId="0" fontId="1" fillId="6" borderId="2" xfId="0" applyFont="1" applyFill="1" applyBorder="1" applyAlignment="1">
      <alignment horizontal="right" vertical="top"/>
    </xf>
    <xf numFmtId="0" fontId="0" fillId="6" borderId="5" xfId="0" applyFill="1" applyBorder="1"/>
    <xf numFmtId="0" fontId="0" fillId="6" borderId="7" xfId="0" applyFill="1" applyBorder="1"/>
    <xf numFmtId="0" fontId="8" fillId="6" borderId="3" xfId="0" applyFont="1" applyFill="1" applyBorder="1" applyAlignment="1">
      <alignment horizontal="right"/>
    </xf>
    <xf numFmtId="0" fontId="8" fillId="6" borderId="3" xfId="0" applyFont="1" applyFill="1" applyBorder="1" applyAlignment="1">
      <alignment horizontal="right" vertical="top"/>
    </xf>
    <xf numFmtId="0" fontId="8" fillId="6" borderId="4" xfId="0" applyFont="1" applyFill="1" applyBorder="1" applyAlignment="1">
      <alignment horizontal="right" vertical="top"/>
    </xf>
    <xf numFmtId="0" fontId="13" fillId="6" borderId="0" xfId="0" applyFont="1" applyFill="1" applyBorder="1"/>
    <xf numFmtId="0" fontId="13" fillId="6" borderId="0" xfId="0" applyFont="1" applyFill="1" applyBorder="1" applyAlignment="1">
      <alignment horizontal="right" vertical="top"/>
    </xf>
    <xf numFmtId="0" fontId="13" fillId="6" borderId="6" xfId="0" applyFont="1" applyFill="1" applyBorder="1" applyAlignment="1">
      <alignment horizontal="right" vertical="top"/>
    </xf>
    <xf numFmtId="0" fontId="0" fillId="6" borderId="5" xfId="0" applyFill="1" applyBorder="1" applyAlignment="1">
      <alignment horizontal="left"/>
    </xf>
    <xf numFmtId="10" fontId="8" fillId="0" borderId="6" xfId="19" applyNumberFormat="1" applyFont="1" applyBorder="1" applyAlignment="1">
      <alignment horizontal="right" vertical="top"/>
    </xf>
    <xf numFmtId="0" fontId="0" fillId="6" borderId="7" xfId="0" applyFill="1" applyBorder="1" applyAlignment="1">
      <alignment horizontal="left" vertical="top"/>
    </xf>
    <xf numFmtId="10" fontId="8" fillId="0" borderId="8" xfId="19" applyNumberFormat="1" applyFont="1" applyBorder="1" applyAlignment="1">
      <alignment horizontal="right" vertical="top"/>
    </xf>
    <xf numFmtId="10" fontId="8" fillId="0" borderId="9" xfId="19" applyNumberFormat="1" applyFont="1" applyBorder="1" applyAlignment="1">
      <alignment horizontal="right" vertical="top"/>
    </xf>
    <xf numFmtId="0" fontId="1" fillId="6" borderId="6" xfId="0" applyFont="1" applyFill="1" applyBorder="1" applyAlignment="1">
      <alignment horizontal="right" vertical="top"/>
    </xf>
    <xf numFmtId="0" fontId="1" fillId="6" borderId="5" xfId="0" applyFont="1" applyFill="1" applyBorder="1" applyAlignment="1">
      <alignment horizontal="right" vertical="top"/>
    </xf>
    <xf numFmtId="166" fontId="8" fillId="6" borderId="6" xfId="0" applyNumberFormat="1" applyFont="1" applyFill="1" applyBorder="1" applyAlignment="1">
      <alignment horizontal="right" vertical="top"/>
    </xf>
    <xf numFmtId="0" fontId="13" fillId="6" borderId="0" xfId="0" applyFont="1" applyFill="1" applyBorder="1" applyAlignment="1">
      <alignment horizontal="right"/>
    </xf>
    <xf numFmtId="0" fontId="13" fillId="6" borderId="6" xfId="0" applyFont="1" applyFill="1" applyBorder="1" applyAlignment="1">
      <alignment horizontal="right"/>
    </xf>
    <xf numFmtId="165" fontId="0" fillId="6" borderId="0" xfId="0" applyNumberFormat="1" applyFont="1" applyFill="1" applyBorder="1" applyAlignment="1">
      <alignment horizontal="right" vertical="top"/>
    </xf>
    <xf numFmtId="165" fontId="0" fillId="6" borderId="6" xfId="0" applyNumberFormat="1" applyFont="1" applyFill="1" applyBorder="1" applyAlignment="1">
      <alignment horizontal="right" vertical="top"/>
    </xf>
    <xf numFmtId="0" fontId="0" fillId="6" borderId="6" xfId="0" applyFill="1" applyBorder="1" applyAlignment="1">
      <alignment horizontal="right"/>
    </xf>
    <xf numFmtId="14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left" vertical="top"/>
    </xf>
    <xf numFmtId="0" fontId="8" fillId="6" borderId="4" xfId="0" applyFont="1" applyFill="1" applyBorder="1" applyAlignment="1">
      <alignment horizontal="right"/>
    </xf>
    <xf numFmtId="0" fontId="13" fillId="6" borderId="6" xfId="0" applyFont="1" applyFill="1" applyBorder="1"/>
    <xf numFmtId="0" fontId="0" fillId="6" borderId="7" xfId="0" applyFill="1" applyBorder="1" applyAlignment="1">
      <alignment horizontal="left"/>
    </xf>
    <xf numFmtId="0" fontId="7" fillId="0" borderId="0" xfId="16"/>
    <xf numFmtId="0" fontId="7" fillId="0" borderId="0" xfId="16"/>
    <xf numFmtId="0" fontId="0" fillId="0" borderId="0" xfId="0"/>
    <xf numFmtId="2" fontId="8" fillId="0" borderId="0" xfId="19" applyNumberFormat="1" applyFont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8" fillId="0" borderId="11" xfId="0" applyFont="1" applyBorder="1" applyAlignment="1">
      <alignment horizontal="right" vertical="top"/>
    </xf>
    <xf numFmtId="168" fontId="8" fillId="0" borderId="11" xfId="19" applyNumberFormat="1" applyFont="1" applyBorder="1" applyAlignment="1">
      <alignment horizontal="right" vertical="top"/>
    </xf>
    <xf numFmtId="0" fontId="1" fillId="0" borderId="10" xfId="0" applyFont="1" applyBorder="1" applyAlignment="1">
      <alignment horizontal="left" vertical="top"/>
    </xf>
    <xf numFmtId="0" fontId="0" fillId="7" borderId="10" xfId="0" applyFill="1" applyBorder="1" applyAlignment="1">
      <alignment horizontal="left" vertical="top"/>
    </xf>
    <xf numFmtId="164" fontId="0" fillId="0" borderId="10" xfId="0" applyNumberFormat="1" applyBorder="1" applyAlignment="1">
      <alignment horizontal="left" vertical="top"/>
    </xf>
    <xf numFmtId="164" fontId="8" fillId="0" borderId="11" xfId="0" applyNumberFormat="1" applyFont="1" applyBorder="1" applyAlignment="1">
      <alignment horizontal="right" vertical="top"/>
    </xf>
    <xf numFmtId="0" fontId="7" fillId="7" borderId="10" xfId="16" applyFill="1" applyBorder="1"/>
    <xf numFmtId="0" fontId="8" fillId="7" borderId="11" xfId="0" applyFont="1" applyFill="1" applyBorder="1" applyAlignment="1">
      <alignment horizontal="right" vertical="top"/>
    </xf>
    <xf numFmtId="0" fontId="8" fillId="0" borderId="0" xfId="0" applyFont="1" applyBorder="1"/>
    <xf numFmtId="0" fontId="8" fillId="6" borderId="0" xfId="0" applyFont="1" applyFill="1" applyBorder="1" applyAlignment="1">
      <alignment horizontal="right" vertical="top"/>
    </xf>
    <xf numFmtId="0" fontId="1" fillId="6" borderId="12" xfId="0" applyFont="1" applyFill="1" applyBorder="1" applyAlignment="1">
      <alignment horizontal="left" vertical="top"/>
    </xf>
    <xf numFmtId="0" fontId="13" fillId="6" borderId="12" xfId="0" applyFont="1" applyFill="1" applyBorder="1" applyAlignment="1">
      <alignment horizontal="right" vertical="top"/>
    </xf>
    <xf numFmtId="14" fontId="0" fillId="6" borderId="0" xfId="0" applyNumberFormat="1" applyFill="1" applyAlignment="1">
      <alignment horizontal="left" vertical="top"/>
    </xf>
    <xf numFmtId="0" fontId="0" fillId="0" borderId="0" xfId="19" applyNumberFormat="1" applyFont="1" applyBorder="1" applyAlignment="1">
      <alignment horizontal="left" vertical="top"/>
    </xf>
    <xf numFmtId="0" fontId="7" fillId="0" borderId="0" xfId="16"/>
    <xf numFmtId="0" fontId="0" fillId="0" borderId="0" xfId="0"/>
    <xf numFmtId="1" fontId="0" fillId="6" borderId="5" xfId="0" applyNumberFormat="1" applyFill="1" applyBorder="1" applyAlignment="1">
      <alignment horizontal="left"/>
    </xf>
    <xf numFmtId="0" fontId="16" fillId="0" borderId="19" xfId="0" applyFont="1" applyBorder="1" applyAlignment="1">
      <alignment horizontal="center"/>
    </xf>
    <xf numFmtId="0" fontId="16" fillId="0" borderId="0" xfId="0" applyFont="1"/>
    <xf numFmtId="0" fontId="16" fillId="0" borderId="13" xfId="0" applyFont="1" applyBorder="1"/>
    <xf numFmtId="0" fontId="16" fillId="0" borderId="14" xfId="0" applyFont="1" applyBorder="1"/>
    <xf numFmtId="0" fontId="16" fillId="0" borderId="15" xfId="0" applyFont="1" applyBorder="1"/>
    <xf numFmtId="0" fontId="16" fillId="0" borderId="20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10" xfId="0" applyFont="1" applyBorder="1"/>
    <xf numFmtId="0" fontId="16" fillId="0" borderId="11" xfId="0" applyFont="1" applyBorder="1"/>
    <xf numFmtId="0" fontId="16" fillId="0" borderId="16" xfId="0" applyFont="1" applyBorder="1"/>
    <xf numFmtId="0" fontId="16" fillId="0" borderId="17" xfId="0" applyFont="1" applyBorder="1"/>
    <xf numFmtId="0" fontId="16" fillId="0" borderId="18" xfId="0" applyFont="1" applyBorder="1"/>
    <xf numFmtId="0" fontId="17" fillId="0" borderId="0" xfId="0" applyFont="1"/>
    <xf numFmtId="0" fontId="18" fillId="0" borderId="19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1" fillId="6" borderId="0" xfId="0" applyFont="1" applyFill="1" applyAlignment="1">
      <alignment horizontal="left" vertical="center" indent="2"/>
    </xf>
    <xf numFmtId="0" fontId="22" fillId="6" borderId="0" xfId="16" applyFont="1" applyFill="1" applyAlignment="1">
      <alignment horizontal="left" vertical="center" indent="2"/>
    </xf>
    <xf numFmtId="0" fontId="16" fillId="0" borderId="0" xfId="0" applyFont="1" applyBorder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6" borderId="25" xfId="0" applyNumberFormat="1" applyFill="1" applyBorder="1" applyAlignment="1">
      <alignment horizontal="left"/>
    </xf>
    <xf numFmtId="168" fontId="0" fillId="0" borderId="26" xfId="19" applyNumberFormat="1" applyFont="1" applyBorder="1" applyAlignment="1">
      <alignment horizontal="right" vertical="top"/>
    </xf>
    <xf numFmtId="168" fontId="0" fillId="0" borderId="0" xfId="19" applyNumberFormat="1" applyFont="1" applyFill="1" applyBorder="1" applyAlignment="1">
      <alignment horizontal="right" vertical="top"/>
    </xf>
    <xf numFmtId="0" fontId="0" fillId="0" borderId="0" xfId="0"/>
    <xf numFmtId="0" fontId="19" fillId="0" borderId="22" xfId="0" applyFont="1" applyBorder="1" applyAlignment="1">
      <alignment horizontal="center"/>
    </xf>
    <xf numFmtId="0" fontId="19" fillId="0" borderId="23" xfId="0" applyFont="1" applyBorder="1" applyAlignment="1">
      <alignment horizontal="center"/>
    </xf>
    <xf numFmtId="0" fontId="19" fillId="0" borderId="24" xfId="0" applyFont="1" applyBorder="1" applyAlignment="1">
      <alignment horizontal="center"/>
    </xf>
    <xf numFmtId="0" fontId="0" fillId="6" borderId="4" xfId="0" applyFill="1" applyBorder="1" applyAlignment="1">
      <alignment horizontal="right"/>
    </xf>
    <xf numFmtId="0" fontId="0" fillId="6" borderId="27" xfId="0" applyFill="1" applyBorder="1" applyAlignment="1">
      <alignment horizontal="right" vertical="top"/>
    </xf>
    <xf numFmtId="0" fontId="0" fillId="6" borderId="0" xfId="0" applyFill="1" applyAlignment="1">
      <alignment horizontal="right" vertical="top"/>
    </xf>
    <xf numFmtId="168" fontId="0" fillId="0" borderId="28" xfId="19" applyNumberFormat="1" applyFont="1" applyBorder="1" applyAlignment="1">
      <alignment horizontal="right" vertical="top"/>
    </xf>
    <xf numFmtId="0" fontId="0" fillId="6" borderId="3" xfId="0" applyFill="1" applyBorder="1" applyAlignment="1">
      <alignment horizontal="right"/>
    </xf>
    <xf numFmtId="165" fontId="0" fillId="6" borderId="6" xfId="0" applyNumberFormat="1" applyFill="1" applyBorder="1" applyAlignment="1">
      <alignment horizontal="right"/>
    </xf>
    <xf numFmtId="168" fontId="0" fillId="0" borderId="29" xfId="19" applyNumberFormat="1" applyFont="1" applyBorder="1" applyAlignment="1">
      <alignment horizontal="right" vertical="top"/>
    </xf>
    <xf numFmtId="1" fontId="0" fillId="6" borderId="7" xfId="0" applyNumberFormat="1" applyFill="1" applyBorder="1" applyAlignment="1">
      <alignment horizontal="left"/>
    </xf>
    <xf numFmtId="0" fontId="0" fillId="6" borderId="0" xfId="0" applyFill="1"/>
    <xf numFmtId="0" fontId="0" fillId="8" borderId="5" xfId="0" applyFill="1" applyBorder="1" applyAlignment="1">
      <alignment horizontal="left" vertical="top"/>
    </xf>
    <xf numFmtId="0" fontId="11" fillId="0" borderId="0" xfId="0" applyFont="1" applyFill="1" applyBorder="1" applyAlignment="1">
      <alignment horizontal="left" vertical="top"/>
    </xf>
    <xf numFmtId="1" fontId="0" fillId="6" borderId="30" xfId="0" applyNumberFormat="1" applyFill="1" applyBorder="1" applyAlignment="1">
      <alignment horizontal="left"/>
    </xf>
    <xf numFmtId="168" fontId="0" fillId="0" borderId="17" xfId="19" applyNumberFormat="1" applyFont="1" applyBorder="1" applyAlignment="1">
      <alignment horizontal="right" vertical="top"/>
    </xf>
    <xf numFmtId="0" fontId="7" fillId="0" borderId="0" xfId="16"/>
    <xf numFmtId="0" fontId="24" fillId="0" borderId="31" xfId="0" applyNumberFormat="1" applyFont="1" applyFill="1" applyBorder="1" applyAlignment="1" applyProtection="1">
      <alignment horizontal="center"/>
    </xf>
    <xf numFmtId="0" fontId="24" fillId="0" borderId="32" xfId="0" applyNumberFormat="1" applyFont="1" applyFill="1" applyBorder="1" applyAlignment="1" applyProtection="1">
      <alignment horizontal="center"/>
    </xf>
    <xf numFmtId="0" fontId="24" fillId="0" borderId="37" xfId="0" applyNumberFormat="1" applyFont="1" applyFill="1" applyBorder="1" applyAlignment="1" applyProtection="1">
      <alignment horizontal="center"/>
    </xf>
    <xf numFmtId="0" fontId="24" fillId="0" borderId="38" xfId="0" applyNumberFormat="1" applyFont="1" applyFill="1" applyBorder="1" applyAlignment="1" applyProtection="1">
      <alignment horizontal="center"/>
    </xf>
    <xf numFmtId="0" fontId="25" fillId="0" borderId="32" xfId="0" applyNumberFormat="1" applyFont="1" applyFill="1" applyBorder="1" applyAlignment="1" applyProtection="1">
      <alignment horizontal="center"/>
    </xf>
    <xf numFmtId="43" fontId="24" fillId="0" borderId="32" xfId="0" applyNumberFormat="1" applyFont="1" applyFill="1" applyBorder="1" applyAlignment="1" applyProtection="1">
      <alignment horizontal="center"/>
    </xf>
    <xf numFmtId="0" fontId="26" fillId="0" borderId="0" xfId="0" applyNumberFormat="1" applyFont="1" applyFill="1" applyBorder="1" applyAlignment="1" applyProtection="1"/>
    <xf numFmtId="0" fontId="26" fillId="0" borderId="0" xfId="0" applyNumberFormat="1" applyFont="1" applyFill="1" applyBorder="1" applyAlignment="1" applyProtection="1">
      <alignment horizontal="left" vertical="top"/>
    </xf>
    <xf numFmtId="0" fontId="28" fillId="0" borderId="0" xfId="0" applyNumberFormat="1" applyFont="1" applyFill="1" applyBorder="1" applyAlignment="1" applyProtection="1"/>
    <xf numFmtId="0" fontId="27" fillId="0" borderId="31" xfId="0" applyNumberFormat="1" applyFont="1" applyFill="1" applyBorder="1" applyAlignment="1" applyProtection="1">
      <alignment horizontal="center"/>
    </xf>
    <xf numFmtId="0" fontId="27" fillId="0" borderId="37" xfId="0" applyNumberFormat="1" applyFont="1" applyFill="1" applyBorder="1" applyAlignment="1" applyProtection="1">
      <alignment horizontal="center"/>
    </xf>
    <xf numFmtId="0" fontId="27" fillId="0" borderId="38" xfId="0" applyNumberFormat="1" applyFont="1" applyFill="1" applyBorder="1" applyAlignment="1" applyProtection="1">
      <alignment horizontal="center"/>
    </xf>
    <xf numFmtId="2" fontId="24" fillId="0" borderId="32" xfId="0" applyNumberFormat="1" applyFont="1" applyFill="1" applyBorder="1" applyAlignment="1" applyProtection="1">
      <alignment horizontal="center"/>
    </xf>
    <xf numFmtId="4" fontId="24" fillId="0" borderId="32" xfId="0" applyNumberFormat="1" applyFont="1" applyFill="1" applyBorder="1" applyAlignment="1" applyProtection="1">
      <alignment horizontal="center"/>
    </xf>
    <xf numFmtId="170" fontId="24" fillId="0" borderId="32" xfId="0" applyNumberFormat="1" applyFont="1" applyFill="1" applyBorder="1" applyAlignment="1" applyProtection="1">
      <alignment horizontal="center"/>
    </xf>
    <xf numFmtId="0" fontId="23" fillId="0" borderId="31" xfId="0" applyNumberFormat="1" applyFont="1" applyFill="1" applyBorder="1" applyAlignment="1" applyProtection="1">
      <alignment horizontal="center"/>
    </xf>
    <xf numFmtId="0" fontId="23" fillId="0" borderId="41" xfId="0" applyNumberFormat="1" applyFont="1" applyFill="1" applyBorder="1" applyAlignment="1" applyProtection="1"/>
    <xf numFmtId="0" fontId="23" fillId="0" borderId="43" xfId="0" applyNumberFormat="1" applyFont="1" applyFill="1" applyBorder="1" applyAlignment="1" applyProtection="1"/>
    <xf numFmtId="0" fontId="23" fillId="0" borderId="42" xfId="0" applyNumberFormat="1" applyFont="1" applyFill="1" applyBorder="1" applyAlignment="1" applyProtection="1"/>
    <xf numFmtId="0" fontId="23" fillId="0" borderId="37" xfId="0" applyNumberFormat="1" applyFont="1" applyFill="1" applyBorder="1" applyAlignment="1" applyProtection="1">
      <alignment horizontal="center"/>
    </xf>
    <xf numFmtId="0" fontId="23" fillId="0" borderId="39" xfId="0" applyNumberFormat="1" applyFont="1" applyFill="1" applyBorder="1" applyAlignment="1" applyProtection="1">
      <alignment horizontal="centerContinuous"/>
    </xf>
    <xf numFmtId="0" fontId="23" fillId="0" borderId="40" xfId="0" applyNumberFormat="1" applyFont="1" applyFill="1" applyBorder="1" applyAlignment="1" applyProtection="1">
      <alignment horizontal="centerContinuous"/>
    </xf>
    <xf numFmtId="0" fontId="23" fillId="0" borderId="44" xfId="0" applyNumberFormat="1" applyFont="1" applyFill="1" applyBorder="1" applyAlignment="1" applyProtection="1">
      <alignment horizontal="centerContinuous"/>
    </xf>
    <xf numFmtId="0" fontId="23" fillId="0" borderId="38" xfId="0" applyNumberFormat="1" applyFont="1" applyFill="1" applyBorder="1" applyAlignment="1" applyProtection="1">
      <alignment horizontal="center"/>
    </xf>
    <xf numFmtId="0" fontId="23" fillId="0" borderId="34" xfId="0" applyNumberFormat="1" applyFont="1" applyFill="1" applyBorder="1" applyAlignment="1" applyProtection="1">
      <alignment horizontal="center"/>
    </xf>
    <xf numFmtId="0" fontId="23" fillId="0" borderId="36" xfId="0" applyNumberFormat="1" applyFont="1" applyFill="1" applyBorder="1" applyAlignment="1" applyProtection="1">
      <alignment horizontal="center"/>
    </xf>
    <xf numFmtId="0" fontId="23" fillId="0" borderId="35" xfId="0" applyNumberFormat="1" applyFont="1" applyFill="1" applyBorder="1" applyAlignment="1" applyProtection="1">
      <alignment horizontal="center"/>
    </xf>
    <xf numFmtId="2" fontId="23" fillId="0" borderId="41" xfId="0" applyNumberFormat="1" applyFont="1" applyFill="1" applyBorder="1" applyAlignment="1" applyProtection="1"/>
    <xf numFmtId="2" fontId="23" fillId="0" borderId="43" xfId="0" applyNumberFormat="1" applyFont="1" applyFill="1" applyBorder="1" applyAlignment="1" applyProtection="1"/>
    <xf numFmtId="2" fontId="23" fillId="0" borderId="42" xfId="0" applyNumberFormat="1" applyFont="1" applyFill="1" applyBorder="1" applyAlignment="1" applyProtection="1"/>
    <xf numFmtId="2" fontId="23" fillId="0" borderId="33" xfId="0" applyNumberFormat="1" applyFont="1" applyFill="1" applyBorder="1" applyAlignment="1" applyProtection="1"/>
    <xf numFmtId="2" fontId="23" fillId="0" borderId="0" xfId="0" applyNumberFormat="1" applyFont="1" applyFill="1" applyBorder="1" applyAlignment="1" applyProtection="1"/>
    <xf numFmtId="2" fontId="23" fillId="0" borderId="45" xfId="0" applyNumberFormat="1" applyFont="1" applyFill="1" applyBorder="1" applyAlignment="1" applyProtection="1"/>
    <xf numFmtId="2" fontId="23" fillId="0" borderId="39" xfId="0" applyNumberFormat="1" applyFont="1" applyFill="1" applyBorder="1" applyAlignment="1" applyProtection="1"/>
    <xf numFmtId="2" fontId="23" fillId="0" borderId="40" xfId="0" applyNumberFormat="1" applyFont="1" applyFill="1" applyBorder="1" applyAlignment="1" applyProtection="1"/>
    <xf numFmtId="2" fontId="23" fillId="0" borderId="44" xfId="0" applyNumberFormat="1" applyFont="1" applyFill="1" applyBorder="1" applyAlignment="1" applyProtection="1"/>
    <xf numFmtId="0" fontId="0" fillId="6" borderId="46" xfId="0" applyFill="1" applyBorder="1" applyAlignment="1">
      <alignment horizontal="right" vertical="top"/>
    </xf>
    <xf numFmtId="0" fontId="7" fillId="0" borderId="0" xfId="16"/>
    <xf numFmtId="0" fontId="9" fillId="0" borderId="0" xfId="0" applyFont="1" applyAlignment="1">
      <alignment horizontal="center" vertical="center"/>
    </xf>
    <xf numFmtId="0" fontId="12" fillId="0" borderId="0" xfId="16" applyFont="1"/>
    <xf numFmtId="0" fontId="0" fillId="0" borderId="0" xfId="0"/>
    <xf numFmtId="0" fontId="24" fillId="0" borderId="34" xfId="0" applyNumberFormat="1" applyFont="1" applyFill="1" applyBorder="1" applyAlignment="1" applyProtection="1">
      <alignment horizontal="center"/>
    </xf>
    <xf numFmtId="0" fontId="24" fillId="0" borderId="36" xfId="0" applyNumberFormat="1" applyFont="1" applyFill="1" applyBorder="1" applyAlignment="1" applyProtection="1">
      <alignment horizontal="center"/>
    </xf>
    <xf numFmtId="0" fontId="24" fillId="0" borderId="35" xfId="0" applyNumberFormat="1" applyFont="1" applyFill="1" applyBorder="1" applyAlignment="1" applyProtection="1">
      <alignment horizontal="center"/>
    </xf>
    <xf numFmtId="0" fontId="29" fillId="0" borderId="41" xfId="0" applyNumberFormat="1" applyFont="1" applyFill="1" applyBorder="1" applyAlignment="1" applyProtection="1">
      <alignment horizontal="center"/>
    </xf>
    <xf numFmtId="0" fontId="29" fillId="0" borderId="43" xfId="0" applyNumberFormat="1" applyFont="1" applyFill="1" applyBorder="1" applyAlignment="1" applyProtection="1">
      <alignment horizontal="center"/>
    </xf>
    <xf numFmtId="0" fontId="29" fillId="0" borderId="42" xfId="0" applyNumberFormat="1" applyFont="1" applyFill="1" applyBorder="1" applyAlignment="1" applyProtection="1">
      <alignment horizontal="center"/>
    </xf>
    <xf numFmtId="0" fontId="29" fillId="0" borderId="39" xfId="0" applyNumberFormat="1" applyFont="1" applyFill="1" applyBorder="1" applyAlignment="1" applyProtection="1">
      <alignment horizontal="center"/>
    </xf>
    <xf numFmtId="0" fontId="29" fillId="0" borderId="40" xfId="0" applyNumberFormat="1" applyFont="1" applyFill="1" applyBorder="1" applyAlignment="1" applyProtection="1">
      <alignment horizontal="center"/>
    </xf>
    <xf numFmtId="0" fontId="29" fillId="0" borderId="44" xfId="0" applyNumberFormat="1" applyFont="1" applyFill="1" applyBorder="1" applyAlignment="1" applyProtection="1">
      <alignment horizontal="center"/>
    </xf>
    <xf numFmtId="0" fontId="15" fillId="0" borderId="13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26" fillId="0" borderId="34" xfId="0" applyNumberFormat="1" applyFont="1" applyFill="1" applyBorder="1" applyAlignment="1" applyProtection="1">
      <alignment horizontal="left"/>
    </xf>
    <xf numFmtId="0" fontId="26" fillId="0" borderId="36" xfId="0" applyNumberFormat="1" applyFont="1" applyFill="1" applyBorder="1" applyAlignment="1" applyProtection="1">
      <alignment horizontal="left"/>
    </xf>
    <xf numFmtId="0" fontId="26" fillId="0" borderId="35" xfId="0" applyNumberFormat="1" applyFont="1" applyFill="1" applyBorder="1" applyAlignment="1" applyProtection="1">
      <alignment horizontal="left"/>
    </xf>
  </cellXfs>
  <cellStyles count="20">
    <cellStyle name="BodyStyle00" xfId="1" xr:uid="{00000000-0005-0000-0000-000000000000}"/>
    <cellStyle name="BodyStyle01" xfId="2" xr:uid="{00000000-0005-0000-0000-000001000000}"/>
    <cellStyle name="BodyStyle010" xfId="13" xr:uid="{00000000-0005-0000-0000-000002000000}"/>
    <cellStyle name="BodyStyle011_aa_1" xfId="3" xr:uid="{00000000-0005-0000-0000-000003000000}"/>
    <cellStyle name="BodyStyle014_aa" xfId="4" xr:uid="{00000000-0005-0000-0000-000004000000}"/>
    <cellStyle name="BodyStyle015_aa" xfId="5" xr:uid="{00000000-0005-0000-0000-000005000000}"/>
    <cellStyle name="BodyStyle02_aa" xfId="6" xr:uid="{00000000-0005-0000-0000-000006000000}"/>
    <cellStyle name="BodyStyle03_aa" xfId="7" xr:uid="{00000000-0005-0000-0000-000007000000}"/>
    <cellStyle name="BodyStyle04" xfId="14" xr:uid="{00000000-0005-0000-0000-000008000000}"/>
    <cellStyle name="BodyStyle05" xfId="17" xr:uid="{00000000-0005-0000-0000-000009000000}"/>
    <cellStyle name="BodyStyle06" xfId="8" xr:uid="{00000000-0005-0000-0000-00000A000000}"/>
    <cellStyle name="BodyStyle06 2" xfId="9" xr:uid="{00000000-0005-0000-0000-00000B000000}"/>
    <cellStyle name="BodyStyle06 3" xfId="10" xr:uid="{00000000-0005-0000-0000-00000C000000}"/>
    <cellStyle name="BodyStyle06 4" xfId="11" xr:uid="{00000000-0005-0000-0000-00000D000000}"/>
    <cellStyle name="BodyStyle06 4 2" xfId="12" xr:uid="{00000000-0005-0000-0000-00000E000000}"/>
    <cellStyle name="BodyStyle07" xfId="15" xr:uid="{00000000-0005-0000-0000-00000F000000}"/>
    <cellStyle name="BodyStyle08" xfId="18" xr:uid="{00000000-0005-0000-0000-000010000000}"/>
    <cellStyle name="Hyperlink" xfId="16" builtinId="8"/>
    <cellStyle name="Normal" xfId="0" builtinId="0"/>
    <cellStyle name="Percent" xfId="19" builtinId="5"/>
  </cellStyles>
  <dxfs count="100"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</dxfs>
  <tableStyles count="0" defaultTableStyle="TableStyleMedium2" defaultPivotStyle="PivotStyleLight16"/>
  <colors>
    <mruColors>
      <color rgb="FFFF66FF"/>
      <color rgb="FFA6A6A6"/>
      <color rgb="FF0033CC"/>
      <color rgb="FF0000FF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content.naic.org/pbr_data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workbookViewId="0"/>
  </sheetViews>
  <sheetFormatPr defaultRowHeight="12.75" x14ac:dyDescent="0.2"/>
  <cols>
    <col min="1" max="1" width="3.28515625" customWidth="1"/>
    <col min="2" max="2" width="11.85546875" customWidth="1"/>
    <col min="3" max="3" width="26" customWidth="1"/>
    <col min="4" max="4" width="80" customWidth="1"/>
  </cols>
  <sheetData>
    <row r="1" spans="1:4" ht="20.25" customHeight="1" x14ac:dyDescent="0.2">
      <c r="A1" s="1" t="s">
        <v>1</v>
      </c>
      <c r="B1" s="2" t="s">
        <v>2</v>
      </c>
      <c r="C1" s="2" t="s">
        <v>3</v>
      </c>
      <c r="D1" s="3" t="s">
        <v>4</v>
      </c>
    </row>
    <row r="2" spans="1:4" x14ac:dyDescent="0.2">
      <c r="A2" s="4"/>
      <c r="B2" s="7"/>
      <c r="C2" s="7"/>
      <c r="D2" s="8"/>
    </row>
    <row r="3" spans="1:4" x14ac:dyDescent="0.2">
      <c r="A3" s="6"/>
      <c r="B3" s="14"/>
      <c r="C3" s="7"/>
      <c r="D3" s="5"/>
    </row>
    <row r="4" spans="1:4" x14ac:dyDescent="0.2">
      <c r="A4" s="6"/>
      <c r="B4" s="32"/>
      <c r="C4" s="9"/>
      <c r="D4" s="5"/>
    </row>
    <row r="5" spans="1:4" x14ac:dyDescent="0.2">
      <c r="A5" s="6"/>
      <c r="B5" s="9"/>
      <c r="C5" s="9"/>
      <c r="D5" s="5"/>
    </row>
    <row r="6" spans="1:4" x14ac:dyDescent="0.2">
      <c r="A6" s="6"/>
      <c r="B6" s="9"/>
      <c r="C6" s="9"/>
      <c r="D6" s="5"/>
    </row>
    <row r="7" spans="1:4" x14ac:dyDescent="0.2">
      <c r="A7" s="6"/>
      <c r="B7" s="9"/>
      <c r="C7" s="9"/>
      <c r="D7" s="5"/>
    </row>
    <row r="8" spans="1:4" x14ac:dyDescent="0.2">
      <c r="A8" s="6"/>
      <c r="B8" s="9"/>
      <c r="C8" s="9"/>
      <c r="D8" s="5"/>
    </row>
    <row r="9" spans="1:4" x14ac:dyDescent="0.2">
      <c r="A9" s="6"/>
      <c r="B9" s="9"/>
      <c r="C9" s="9"/>
      <c r="D9" s="5"/>
    </row>
    <row r="10" spans="1:4" x14ac:dyDescent="0.2">
      <c r="A10" s="6"/>
      <c r="B10" s="9"/>
      <c r="C10" s="9"/>
      <c r="D10" s="5"/>
    </row>
    <row r="11" spans="1:4" x14ac:dyDescent="0.2">
      <c r="A11" s="6"/>
      <c r="B11" s="9"/>
      <c r="C11" s="9"/>
      <c r="D11" s="5"/>
    </row>
    <row r="12" spans="1:4" x14ac:dyDescent="0.2">
      <c r="A12" s="6"/>
      <c r="B12" s="9"/>
      <c r="C12" s="9"/>
      <c r="D12" s="5"/>
    </row>
    <row r="13" spans="1:4" x14ac:dyDescent="0.2">
      <c r="A13" s="6"/>
      <c r="B13" s="9"/>
      <c r="C13" s="9"/>
      <c r="D13" s="5"/>
    </row>
    <row r="14" spans="1:4" x14ac:dyDescent="0.2">
      <c r="A14" s="6"/>
      <c r="B14" s="9"/>
      <c r="C14" s="9"/>
      <c r="D14" s="5"/>
    </row>
    <row r="15" spans="1:4" x14ac:dyDescent="0.2">
      <c r="A15" s="6"/>
      <c r="B15" s="9"/>
      <c r="C15" s="9"/>
      <c r="D15" s="5"/>
    </row>
    <row r="16" spans="1:4" x14ac:dyDescent="0.2">
      <c r="A16" s="6"/>
      <c r="B16" s="9"/>
      <c r="C16" s="9"/>
      <c r="D16" s="5"/>
    </row>
    <row r="17" spans="1:4" x14ac:dyDescent="0.2">
      <c r="A17" s="6"/>
      <c r="B17" s="9"/>
      <c r="C17" s="9"/>
      <c r="D17" s="5"/>
    </row>
    <row r="18" spans="1:4" x14ac:dyDescent="0.2">
      <c r="A18" s="6"/>
      <c r="B18" s="9"/>
      <c r="C18" s="9"/>
      <c r="D18" s="5"/>
    </row>
    <row r="19" spans="1:4" x14ac:dyDescent="0.2">
      <c r="A19" s="6"/>
      <c r="B19" s="9"/>
      <c r="C19" s="9"/>
      <c r="D19" s="5"/>
    </row>
    <row r="20" spans="1:4" x14ac:dyDescent="0.2">
      <c r="A20" s="6"/>
      <c r="B20" s="9"/>
      <c r="C20" s="9"/>
      <c r="D20" s="5"/>
    </row>
    <row r="21" spans="1:4" x14ac:dyDescent="0.2">
      <c r="A21" s="6"/>
      <c r="B21" s="9"/>
      <c r="C21" s="9"/>
      <c r="D21" s="5"/>
    </row>
    <row r="22" spans="1:4" x14ac:dyDescent="0.2">
      <c r="A22" s="6"/>
      <c r="B22" s="9"/>
      <c r="C22" s="9"/>
      <c r="D22" s="5"/>
    </row>
    <row r="23" spans="1:4" x14ac:dyDescent="0.2">
      <c r="A23" s="6"/>
      <c r="B23" s="9"/>
      <c r="C23" s="9"/>
      <c r="D23" s="5"/>
    </row>
    <row r="24" spans="1:4" x14ac:dyDescent="0.2">
      <c r="A24" s="6"/>
      <c r="B24" s="9"/>
      <c r="C24" s="9"/>
      <c r="D24" s="5"/>
    </row>
    <row r="25" spans="1:4" x14ac:dyDescent="0.2">
      <c r="A25" s="6"/>
      <c r="B25" s="9"/>
      <c r="C25" s="9"/>
      <c r="D25" s="5"/>
    </row>
    <row r="26" spans="1:4" x14ac:dyDescent="0.2">
      <c r="A26" s="6"/>
      <c r="B26" s="9"/>
      <c r="C26" s="9"/>
      <c r="D26" s="5"/>
    </row>
    <row r="27" spans="1:4" x14ac:dyDescent="0.2">
      <c r="A27" s="6"/>
      <c r="B27" s="9"/>
      <c r="C27" s="9"/>
      <c r="D27" s="5"/>
    </row>
    <row r="28" spans="1:4" x14ac:dyDescent="0.2">
      <c r="A28" s="6"/>
      <c r="B28" s="9"/>
      <c r="C28" s="9"/>
      <c r="D28" s="5"/>
    </row>
    <row r="29" spans="1:4" x14ac:dyDescent="0.2">
      <c r="A29" s="6"/>
      <c r="B29" s="9"/>
      <c r="C29" s="9"/>
      <c r="D29" s="5"/>
    </row>
    <row r="30" spans="1:4" x14ac:dyDescent="0.2">
      <c r="A30" s="6"/>
      <c r="B30" s="9"/>
      <c r="C30" s="9"/>
      <c r="D30" s="5"/>
    </row>
    <row r="31" spans="1:4" x14ac:dyDescent="0.2">
      <c r="A31" s="6"/>
      <c r="B31" s="9"/>
      <c r="C31" s="9"/>
      <c r="D31" s="5"/>
    </row>
    <row r="32" spans="1:4" x14ac:dyDescent="0.2">
      <c r="A32" s="6"/>
      <c r="B32" s="9"/>
      <c r="C32" s="9"/>
      <c r="D32" s="5"/>
    </row>
    <row r="33" spans="1:4" x14ac:dyDescent="0.2">
      <c r="A33" s="6"/>
      <c r="B33" s="9"/>
      <c r="C33" s="9"/>
      <c r="D33" s="5"/>
    </row>
    <row r="34" spans="1:4" x14ac:dyDescent="0.2">
      <c r="A34" s="6"/>
      <c r="B34" s="9"/>
      <c r="C34" s="9"/>
      <c r="D34" s="5"/>
    </row>
    <row r="35" spans="1:4" x14ac:dyDescent="0.2">
      <c r="A35" s="6"/>
      <c r="B35" s="9"/>
      <c r="C35" s="9"/>
      <c r="D35" s="5"/>
    </row>
    <row r="36" spans="1:4" x14ac:dyDescent="0.2">
      <c r="A36" s="6"/>
      <c r="B36" s="9"/>
      <c r="C36" s="9"/>
      <c r="D36" s="5"/>
    </row>
    <row r="37" spans="1:4" x14ac:dyDescent="0.2">
      <c r="A37" s="6"/>
      <c r="B37" s="9"/>
      <c r="C37" s="9"/>
      <c r="D37" s="5"/>
    </row>
    <row r="38" spans="1:4" x14ac:dyDescent="0.2">
      <c r="A38" s="6"/>
      <c r="B38" s="9"/>
      <c r="C38" s="9"/>
      <c r="D38" s="5"/>
    </row>
    <row r="39" spans="1:4" x14ac:dyDescent="0.2">
      <c r="A39" s="6"/>
      <c r="B39" s="9"/>
      <c r="C39" s="9"/>
      <c r="D39" s="5"/>
    </row>
    <row r="40" spans="1:4" x14ac:dyDescent="0.2">
      <c r="A40" s="6"/>
      <c r="B40" s="9"/>
      <c r="C40" s="9"/>
      <c r="D40" s="5"/>
    </row>
    <row r="41" spans="1:4" x14ac:dyDescent="0.2">
      <c r="A41" s="6"/>
      <c r="B41" s="9"/>
      <c r="C41" s="9"/>
      <c r="D41" s="5"/>
    </row>
    <row r="42" spans="1:4" x14ac:dyDescent="0.2">
      <c r="A42" s="6"/>
      <c r="B42" s="9"/>
      <c r="C42" s="9"/>
      <c r="D42" s="5"/>
    </row>
    <row r="43" spans="1:4" x14ac:dyDescent="0.2">
      <c r="A43" s="6"/>
      <c r="B43" s="9"/>
      <c r="C43" s="9"/>
      <c r="D43" s="5"/>
    </row>
    <row r="44" spans="1:4" x14ac:dyDescent="0.2">
      <c r="A44" s="6"/>
      <c r="B44" s="9"/>
      <c r="C44" s="9"/>
      <c r="D44" s="5"/>
    </row>
    <row r="45" spans="1:4" x14ac:dyDescent="0.2">
      <c r="A45" s="6"/>
      <c r="B45" s="9"/>
      <c r="C45" s="9"/>
      <c r="D45" s="5"/>
    </row>
    <row r="46" spans="1:4" x14ac:dyDescent="0.2">
      <c r="A46" s="6"/>
      <c r="B46" s="9"/>
      <c r="C46" s="9"/>
      <c r="D46" s="5"/>
    </row>
    <row r="47" spans="1:4" x14ac:dyDescent="0.2">
      <c r="A47" s="6"/>
      <c r="B47" s="9"/>
      <c r="C47" s="9"/>
      <c r="D47" s="5"/>
    </row>
    <row r="48" spans="1:4" x14ac:dyDescent="0.2">
      <c r="A48" s="6"/>
      <c r="B48" s="9"/>
      <c r="C48" s="9"/>
      <c r="D48" s="5"/>
    </row>
    <row r="49" spans="1:4" x14ac:dyDescent="0.2">
      <c r="A49" s="6"/>
      <c r="B49" s="9"/>
      <c r="C49" s="9"/>
      <c r="D49" s="5"/>
    </row>
    <row r="50" spans="1:4" x14ac:dyDescent="0.2">
      <c r="A50" s="6"/>
      <c r="B50" s="9"/>
      <c r="C50" s="9"/>
      <c r="D50" s="5"/>
    </row>
    <row r="51" spans="1:4" x14ac:dyDescent="0.2">
      <c r="A51" s="6"/>
      <c r="B51" s="9"/>
      <c r="C51" s="9"/>
      <c r="D51" s="5"/>
    </row>
    <row r="52" spans="1:4" x14ac:dyDescent="0.2">
      <c r="A52" s="6"/>
      <c r="B52" s="9"/>
      <c r="C52" s="9"/>
      <c r="D52" s="5"/>
    </row>
    <row r="53" spans="1:4" x14ac:dyDescent="0.2">
      <c r="A53" s="6"/>
      <c r="B53" s="9"/>
      <c r="C53" s="9"/>
      <c r="D53" s="5"/>
    </row>
    <row r="54" spans="1:4" x14ac:dyDescent="0.2">
      <c r="A54" s="6"/>
      <c r="B54" s="9"/>
      <c r="C54" s="9"/>
      <c r="D54" s="5"/>
    </row>
    <row r="55" spans="1:4" x14ac:dyDescent="0.2">
      <c r="A55" s="6"/>
      <c r="B55" s="9"/>
      <c r="C55" s="9"/>
      <c r="D55" s="5"/>
    </row>
    <row r="56" spans="1:4" x14ac:dyDescent="0.2">
      <c r="A56" s="6"/>
      <c r="B56" s="9"/>
      <c r="C56" s="9"/>
      <c r="D56" s="5"/>
    </row>
    <row r="57" spans="1:4" x14ac:dyDescent="0.2">
      <c r="A57" s="6"/>
      <c r="B57" s="9"/>
      <c r="C57" s="9"/>
      <c r="D57" s="5"/>
    </row>
    <row r="58" spans="1:4" x14ac:dyDescent="0.2">
      <c r="A58" s="6"/>
      <c r="B58" s="9"/>
      <c r="C58" s="9"/>
      <c r="D58" s="5"/>
    </row>
    <row r="59" spans="1:4" x14ac:dyDescent="0.2">
      <c r="A59" s="6"/>
      <c r="B59" s="9"/>
      <c r="C59" s="9"/>
      <c r="D59" s="5"/>
    </row>
    <row r="60" spans="1:4" x14ac:dyDescent="0.2">
      <c r="A60" s="6"/>
      <c r="B60" s="9"/>
      <c r="C60" s="9"/>
      <c r="D60" s="5"/>
    </row>
    <row r="61" spans="1:4" x14ac:dyDescent="0.2">
      <c r="A61" s="6"/>
      <c r="B61" s="9"/>
      <c r="C61" s="9"/>
      <c r="D61" s="5"/>
    </row>
    <row r="62" spans="1:4" x14ac:dyDescent="0.2">
      <c r="A62" s="6"/>
      <c r="B62" s="9"/>
      <c r="C62" s="9"/>
      <c r="D62" s="5"/>
    </row>
    <row r="63" spans="1:4" x14ac:dyDescent="0.2">
      <c r="A63" s="6"/>
      <c r="B63" s="9"/>
      <c r="C63" s="9"/>
      <c r="D63" s="5"/>
    </row>
    <row r="64" spans="1:4" x14ac:dyDescent="0.2">
      <c r="A64" s="6"/>
      <c r="B64" s="9"/>
      <c r="C64" s="9"/>
      <c r="D64" s="5"/>
    </row>
    <row r="65" spans="1:4" x14ac:dyDescent="0.2">
      <c r="A65" s="6"/>
      <c r="B65" s="9"/>
      <c r="C65" s="9"/>
      <c r="D65" s="5"/>
    </row>
    <row r="66" spans="1:4" x14ac:dyDescent="0.2">
      <c r="A66" s="6"/>
      <c r="B66" s="9"/>
      <c r="C66" s="9"/>
      <c r="D66" s="5"/>
    </row>
    <row r="67" spans="1:4" x14ac:dyDescent="0.2">
      <c r="A67" s="6"/>
      <c r="B67" s="9"/>
      <c r="C67" s="9"/>
      <c r="D67" s="5"/>
    </row>
    <row r="68" spans="1:4" x14ac:dyDescent="0.2">
      <c r="A68" s="6"/>
      <c r="B68" s="9"/>
      <c r="C68" s="9"/>
      <c r="D68" s="5"/>
    </row>
    <row r="69" spans="1:4" x14ac:dyDescent="0.2">
      <c r="A69" s="6"/>
      <c r="B69" s="9"/>
      <c r="C69" s="9"/>
      <c r="D69" s="5"/>
    </row>
    <row r="70" spans="1:4" x14ac:dyDescent="0.2">
      <c r="A70" s="6"/>
      <c r="B70" s="9"/>
      <c r="C70" s="9"/>
      <c r="D70" s="5"/>
    </row>
    <row r="71" spans="1:4" x14ac:dyDescent="0.2">
      <c r="A71" s="6"/>
      <c r="B71" s="9"/>
      <c r="C71" s="9"/>
      <c r="D71" s="5"/>
    </row>
    <row r="72" spans="1:4" x14ac:dyDescent="0.2">
      <c r="A72" s="6"/>
      <c r="B72" s="9"/>
      <c r="C72" s="9"/>
      <c r="D72" s="5"/>
    </row>
    <row r="73" spans="1:4" x14ac:dyDescent="0.2">
      <c r="A73" s="6"/>
      <c r="B73" s="9"/>
      <c r="C73" s="9"/>
      <c r="D73" s="5"/>
    </row>
    <row r="74" spans="1:4" x14ac:dyDescent="0.2">
      <c r="A74" s="6"/>
      <c r="B74" s="9"/>
      <c r="C74" s="9"/>
      <c r="D74" s="5"/>
    </row>
    <row r="75" spans="1:4" x14ac:dyDescent="0.2">
      <c r="A75" s="6"/>
      <c r="B75" s="9"/>
      <c r="C75" s="9"/>
      <c r="D75" s="5"/>
    </row>
    <row r="76" spans="1:4" x14ac:dyDescent="0.2">
      <c r="A76" s="6"/>
      <c r="B76" s="9"/>
      <c r="C76" s="9"/>
      <c r="D76" s="5"/>
    </row>
    <row r="77" spans="1:4" x14ac:dyDescent="0.2">
      <c r="A77" s="6"/>
      <c r="B77" s="9"/>
      <c r="C77" s="9"/>
      <c r="D77" s="5"/>
    </row>
    <row r="78" spans="1:4" x14ac:dyDescent="0.2">
      <c r="A78" s="6"/>
      <c r="B78" s="9"/>
      <c r="C78" s="9"/>
      <c r="D78" s="5"/>
    </row>
    <row r="79" spans="1:4" x14ac:dyDescent="0.2">
      <c r="A79" s="6"/>
      <c r="B79" s="9"/>
      <c r="C79" s="9"/>
      <c r="D79" s="5"/>
    </row>
    <row r="80" spans="1:4" x14ac:dyDescent="0.2">
      <c r="A80" s="6"/>
      <c r="B80" s="9"/>
      <c r="C80" s="9"/>
      <c r="D80" s="5"/>
    </row>
    <row r="81" spans="1:4" x14ac:dyDescent="0.2">
      <c r="A81" s="6"/>
      <c r="B81" s="9"/>
      <c r="C81" s="9"/>
      <c r="D81" s="5"/>
    </row>
    <row r="82" spans="1:4" x14ac:dyDescent="0.2">
      <c r="A82" s="6"/>
      <c r="B82" s="9"/>
      <c r="C82" s="9"/>
      <c r="D82" s="5"/>
    </row>
    <row r="83" spans="1:4" x14ac:dyDescent="0.2">
      <c r="A83" s="6"/>
      <c r="B83" s="9"/>
      <c r="C83" s="9"/>
      <c r="D83" s="5"/>
    </row>
    <row r="84" spans="1:4" x14ac:dyDescent="0.2">
      <c r="A84" s="6"/>
      <c r="B84" s="9"/>
      <c r="C84" s="9"/>
      <c r="D84" s="5"/>
    </row>
    <row r="85" spans="1:4" x14ac:dyDescent="0.2">
      <c r="A85" s="6"/>
      <c r="B85" s="9"/>
      <c r="C85" s="9"/>
      <c r="D85" s="5"/>
    </row>
    <row r="86" spans="1:4" x14ac:dyDescent="0.2">
      <c r="A86" s="6"/>
      <c r="B86" s="9"/>
      <c r="C86" s="9"/>
      <c r="D86" s="5"/>
    </row>
    <row r="87" spans="1:4" x14ac:dyDescent="0.2">
      <c r="A87" s="6"/>
      <c r="B87" s="9"/>
      <c r="C87" s="9"/>
      <c r="D87" s="5"/>
    </row>
    <row r="88" spans="1:4" x14ac:dyDescent="0.2">
      <c r="A88" s="6"/>
      <c r="B88" s="9"/>
      <c r="C88" s="9"/>
      <c r="D88" s="5"/>
    </row>
    <row r="89" spans="1:4" x14ac:dyDescent="0.2">
      <c r="A89" s="6"/>
      <c r="B89" s="9"/>
      <c r="C89" s="9"/>
      <c r="D89" s="5"/>
    </row>
    <row r="90" spans="1:4" x14ac:dyDescent="0.2">
      <c r="A90" s="6"/>
      <c r="B90" s="9"/>
      <c r="C90" s="9"/>
      <c r="D90" s="5"/>
    </row>
    <row r="91" spans="1:4" x14ac:dyDescent="0.2">
      <c r="A91" s="6"/>
      <c r="B91" s="9"/>
      <c r="C91" s="9"/>
      <c r="D91" s="5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>
      <selection sqref="A1:C2"/>
    </sheetView>
  </sheetViews>
  <sheetFormatPr defaultRowHeight="12.75" x14ac:dyDescent="0.2"/>
  <cols>
    <col min="1" max="1" width="7.7109375" customWidth="1"/>
    <col min="2" max="2" width="8.5703125" customWidth="1"/>
    <col min="3" max="3" width="46.7109375" bestFit="1" customWidth="1"/>
    <col min="6" max="6" width="38.7109375" customWidth="1"/>
  </cols>
  <sheetData>
    <row r="1" spans="1:6" x14ac:dyDescent="0.2">
      <c r="A1" s="243" t="s">
        <v>7</v>
      </c>
      <c r="B1" s="243"/>
      <c r="C1" s="243"/>
      <c r="D1" s="10"/>
      <c r="E1" s="10"/>
      <c r="F1" s="10"/>
    </row>
    <row r="2" spans="1:6" x14ac:dyDescent="0.2">
      <c r="A2" s="243"/>
      <c r="B2" s="243"/>
      <c r="C2" s="243"/>
      <c r="D2" s="10"/>
      <c r="E2" s="10"/>
      <c r="F2" s="10"/>
    </row>
    <row r="3" spans="1:6" s="28" customFormat="1" ht="12.75" customHeight="1" x14ac:dyDescent="0.2">
      <c r="A3" s="29"/>
      <c r="B3" s="29"/>
      <c r="C3" s="29"/>
      <c r="D3" s="10"/>
      <c r="E3" s="10"/>
      <c r="F3" s="10"/>
    </row>
    <row r="4" spans="1:6" x14ac:dyDescent="0.2">
      <c r="A4" s="244" t="s">
        <v>95</v>
      </c>
      <c r="B4" s="244"/>
    </row>
    <row r="5" spans="1:6" x14ac:dyDescent="0.2">
      <c r="B5" s="242" t="s">
        <v>10</v>
      </c>
      <c r="C5" s="242"/>
    </row>
    <row r="6" spans="1:6" x14ac:dyDescent="0.2">
      <c r="B6" s="135" t="s">
        <v>17</v>
      </c>
      <c r="C6" s="37"/>
    </row>
    <row r="8" spans="1:6" x14ac:dyDescent="0.2">
      <c r="A8" s="244" t="s">
        <v>96</v>
      </c>
      <c r="B8" s="244"/>
    </row>
    <row r="9" spans="1:6" x14ac:dyDescent="0.2">
      <c r="B9" s="242" t="s">
        <v>29</v>
      </c>
      <c r="C9" s="242"/>
    </row>
    <row r="10" spans="1:6" s="137" customFormat="1" x14ac:dyDescent="0.2">
      <c r="B10" s="38" t="s">
        <v>47</v>
      </c>
      <c r="C10" s="136"/>
    </row>
    <row r="11" spans="1:6" s="137" customFormat="1" x14ac:dyDescent="0.2">
      <c r="B11" s="242" t="s">
        <v>124</v>
      </c>
      <c r="C11" s="242"/>
    </row>
    <row r="12" spans="1:6" s="137" customFormat="1" x14ac:dyDescent="0.2">
      <c r="B12" s="242" t="s">
        <v>125</v>
      </c>
      <c r="C12" s="242"/>
    </row>
    <row r="13" spans="1:6" s="137" customFormat="1" x14ac:dyDescent="0.2">
      <c r="B13" s="242" t="s">
        <v>126</v>
      </c>
      <c r="C13" s="242"/>
    </row>
    <row r="14" spans="1:6" x14ac:dyDescent="0.2">
      <c r="C14" s="11"/>
    </row>
    <row r="15" spans="1:6" x14ac:dyDescent="0.2">
      <c r="B15" s="245"/>
      <c r="C15" s="245"/>
    </row>
    <row r="17" spans="2:3" x14ac:dyDescent="0.2">
      <c r="B17" s="245"/>
      <c r="C17" s="245"/>
    </row>
    <row r="18" spans="2:3" x14ac:dyDescent="0.2">
      <c r="C18" s="11"/>
    </row>
    <row r="19" spans="2:3" x14ac:dyDescent="0.2">
      <c r="B19" s="245"/>
      <c r="C19" s="245"/>
    </row>
  </sheetData>
  <mergeCells count="11">
    <mergeCell ref="B11:C11"/>
    <mergeCell ref="B13:C13"/>
    <mergeCell ref="B15:C15"/>
    <mergeCell ref="B17:C17"/>
    <mergeCell ref="B19:C19"/>
    <mergeCell ref="B12:C12"/>
    <mergeCell ref="B9:C9"/>
    <mergeCell ref="A1:C2"/>
    <mergeCell ref="A4:B4"/>
    <mergeCell ref="B5:C5"/>
    <mergeCell ref="A8:B8"/>
  </mergeCells>
  <hyperlinks>
    <hyperlink ref="A4" location="Scenarios!A1" display="2. Scenarios" xr:uid="{00000000-0004-0000-0100-000000000000}"/>
    <hyperlink ref="A8" location="Generation!A1" display="3. Generation" xr:uid="{00000000-0004-0000-0100-000001000000}"/>
    <hyperlink ref="B5:C5" location="Scenarios!B7" display="Scenarios: Rates" xr:uid="{00000000-0004-0000-0100-000002000000}"/>
    <hyperlink ref="B6" location="Scenarios!B19" display="Scenarios: Assumptions" xr:uid="{00000000-0004-0000-0100-000003000000}"/>
    <hyperlink ref="B9:C9" location="Generation!B7" display="Generation: Control" xr:uid="{00000000-0004-0000-0100-000004000000}"/>
    <hyperlink ref="B10" location="Generation!B29" display="Generation: Economy Data" xr:uid="{00000000-0004-0000-0100-000005000000}"/>
    <hyperlink ref="B12:C12" location="Generation!B58" display="RN Generation: Calibration Data" xr:uid="{00000000-0004-0000-0100-000006000000}"/>
    <hyperlink ref="B13:C13" location="Generation!B78" display="RW Generation: Calibration Data" xr:uid="{00000000-0004-0000-0100-000007000000}"/>
    <hyperlink ref="B11:C11" location="Generation!B47" display="Generation: Shock Control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H157"/>
  <sheetViews>
    <sheetView showGridLines="0" tabSelected="1" zoomScaleNormal="100" workbookViewId="0">
      <pane xSplit="2" ySplit="5" topLeftCell="C6" activePane="bottomRight" state="frozen"/>
      <selection sqref="A1:C2"/>
      <selection pane="topRight" sqref="A1:C2"/>
      <selection pane="bottomLeft" sqref="A1:C2"/>
      <selection pane="bottomRight" activeCell="H14" sqref="H14"/>
    </sheetView>
  </sheetViews>
  <sheetFormatPr defaultColWidth="17.5703125" defaultRowHeight="12.75" x14ac:dyDescent="0.2"/>
  <cols>
    <col min="1" max="1" width="30.7109375" style="17" customWidth="1"/>
    <col min="2" max="2" width="35.140625" style="13" customWidth="1"/>
    <col min="3" max="3" width="20.140625" style="13" customWidth="1"/>
    <col min="4" max="4" width="20.42578125" style="13" customWidth="1"/>
    <col min="5" max="5" width="22.7109375" style="13" customWidth="1"/>
    <col min="6" max="6" width="21.140625" style="13" customWidth="1"/>
    <col min="7" max="32" width="17.5703125" style="13" customWidth="1"/>
    <col min="33" max="16384" width="17.5703125" style="13"/>
  </cols>
  <sheetData>
    <row r="1" spans="1:5" ht="15.75" x14ac:dyDescent="0.2">
      <c r="A1" s="16" t="s">
        <v>9</v>
      </c>
      <c r="B1" s="20" t="s">
        <v>77</v>
      </c>
    </row>
    <row r="3" spans="1:5" x14ac:dyDescent="0.2">
      <c r="B3" s="19" t="str">
        <f ca="1">GetNameRange(B5)</f>
        <v>Scenarios</v>
      </c>
    </row>
    <row r="4" spans="1:5" x14ac:dyDescent="0.2">
      <c r="A4" s="48"/>
      <c r="B4" s="52" t="s">
        <v>76</v>
      </c>
      <c r="C4" s="66" t="s">
        <v>119</v>
      </c>
      <c r="D4" s="66" t="s">
        <v>186</v>
      </c>
      <c r="E4" s="66" t="s">
        <v>269</v>
      </c>
    </row>
    <row r="5" spans="1:5" x14ac:dyDescent="0.2">
      <c r="A5" s="49" t="s">
        <v>8</v>
      </c>
      <c r="B5" s="54" t="s">
        <v>0</v>
      </c>
      <c r="C5" s="67"/>
      <c r="D5" s="67"/>
      <c r="E5" s="67"/>
    </row>
    <row r="6" spans="1:5" x14ac:dyDescent="0.2">
      <c r="A6" s="24"/>
      <c r="B6" s="56"/>
      <c r="C6" s="55"/>
      <c r="D6" s="55"/>
      <c r="E6" s="55"/>
    </row>
    <row r="7" spans="1:5" x14ac:dyDescent="0.2">
      <c r="B7" s="57" t="s">
        <v>10</v>
      </c>
      <c r="C7" s="55"/>
      <c r="D7" s="55"/>
      <c r="E7" s="55"/>
    </row>
    <row r="8" spans="1:5" x14ac:dyDescent="0.2">
      <c r="A8" s="17" t="s">
        <v>173</v>
      </c>
      <c r="B8" s="58" t="s">
        <v>11</v>
      </c>
      <c r="C8" s="68" t="s">
        <v>174</v>
      </c>
      <c r="D8" s="68" t="s">
        <v>174</v>
      </c>
      <c r="E8" s="68" t="s">
        <v>270</v>
      </c>
    </row>
    <row r="9" spans="1:5" x14ac:dyDescent="0.2">
      <c r="A9" s="26" t="s">
        <v>39</v>
      </c>
      <c r="B9" s="58" t="s">
        <v>122</v>
      </c>
      <c r="C9" s="68" t="s">
        <v>39</v>
      </c>
      <c r="D9" s="68" t="s">
        <v>191</v>
      </c>
      <c r="E9" s="68" t="s">
        <v>191</v>
      </c>
    </row>
    <row r="10" spans="1:5" x14ac:dyDescent="0.2">
      <c r="A10" s="18" t="s">
        <v>12</v>
      </c>
      <c r="B10" s="58" t="s">
        <v>13</v>
      </c>
      <c r="C10" s="68" t="s">
        <v>12</v>
      </c>
      <c r="D10" s="68" t="s">
        <v>12</v>
      </c>
      <c r="E10" s="68" t="s">
        <v>12</v>
      </c>
    </row>
    <row r="11" spans="1:5" x14ac:dyDescent="0.2">
      <c r="A11" s="18" t="s">
        <v>14</v>
      </c>
      <c r="B11" s="58" t="s">
        <v>15</v>
      </c>
      <c r="C11" s="68" t="s">
        <v>14</v>
      </c>
      <c r="D11" s="68" t="s">
        <v>14</v>
      </c>
      <c r="E11" s="68" t="s">
        <v>14</v>
      </c>
    </row>
    <row r="12" spans="1:5" x14ac:dyDescent="0.2">
      <c r="A12" s="18">
        <v>8</v>
      </c>
      <c r="B12" s="58" t="s">
        <v>16</v>
      </c>
      <c r="C12" s="68">
        <v>8</v>
      </c>
      <c r="D12" s="68">
        <v>8</v>
      </c>
      <c r="E12" s="68">
        <v>8</v>
      </c>
    </row>
    <row r="13" spans="1:5" x14ac:dyDescent="0.2">
      <c r="A13" s="18" t="s">
        <v>182</v>
      </c>
      <c r="B13" s="58" t="s">
        <v>181</v>
      </c>
      <c r="C13" s="68" t="s">
        <v>254</v>
      </c>
      <c r="D13" s="68" t="s">
        <v>254</v>
      </c>
      <c r="E13" s="68" t="s">
        <v>254</v>
      </c>
    </row>
    <row r="14" spans="1:5" x14ac:dyDescent="0.2">
      <c r="A14" s="18" t="s">
        <v>180</v>
      </c>
      <c r="B14" s="58" t="s">
        <v>179</v>
      </c>
      <c r="C14" s="68" t="s">
        <v>183</v>
      </c>
      <c r="D14" s="68" t="s">
        <v>183</v>
      </c>
      <c r="E14" s="68" t="s">
        <v>183</v>
      </c>
    </row>
    <row r="15" spans="1:5" x14ac:dyDescent="0.2">
      <c r="A15" s="18"/>
      <c r="B15" s="74"/>
      <c r="C15" s="68"/>
      <c r="D15" s="68"/>
      <c r="E15" s="68"/>
    </row>
    <row r="16" spans="1:5" x14ac:dyDescent="0.2">
      <c r="B16" s="57" t="s">
        <v>17</v>
      </c>
      <c r="C16" s="68"/>
      <c r="D16" s="68"/>
      <c r="E16" s="68"/>
    </row>
    <row r="17" spans="1:5" x14ac:dyDescent="0.2">
      <c r="A17" s="18" t="s">
        <v>18</v>
      </c>
      <c r="B17" s="58" t="s">
        <v>19</v>
      </c>
      <c r="C17" s="68" t="s">
        <v>18</v>
      </c>
      <c r="D17" s="68" t="s">
        <v>18</v>
      </c>
      <c r="E17" s="68" t="s">
        <v>18</v>
      </c>
    </row>
    <row r="18" spans="1:5" x14ac:dyDescent="0.2">
      <c r="A18" s="40">
        <v>0</v>
      </c>
      <c r="B18" s="75" t="s">
        <v>20</v>
      </c>
      <c r="C18" s="69" t="s">
        <v>102</v>
      </c>
      <c r="D18" s="69" t="s">
        <v>102</v>
      </c>
      <c r="E18" s="69" t="s">
        <v>102</v>
      </c>
    </row>
    <row r="19" spans="1:5" x14ac:dyDescent="0.2">
      <c r="A19" s="18" t="s">
        <v>175</v>
      </c>
      <c r="B19" s="58" t="s">
        <v>176</v>
      </c>
      <c r="C19" s="68" t="s">
        <v>185</v>
      </c>
      <c r="D19" s="68" t="s">
        <v>185</v>
      </c>
      <c r="E19" s="68" t="s">
        <v>185</v>
      </c>
    </row>
    <row r="20" spans="1:5" x14ac:dyDescent="0.2">
      <c r="A20" s="40">
        <v>0</v>
      </c>
      <c r="B20" s="75" t="s">
        <v>21</v>
      </c>
      <c r="C20" s="69" t="s">
        <v>102</v>
      </c>
      <c r="D20" s="69" t="s">
        <v>102</v>
      </c>
      <c r="E20" s="69" t="s">
        <v>102</v>
      </c>
    </row>
    <row r="21" spans="1:5" x14ac:dyDescent="0.2">
      <c r="A21" s="40">
        <v>0</v>
      </c>
      <c r="B21" s="60" t="s">
        <v>22</v>
      </c>
      <c r="C21" s="69" t="s">
        <v>102</v>
      </c>
      <c r="D21" s="69" t="s">
        <v>102</v>
      </c>
      <c r="E21" s="69" t="s">
        <v>102</v>
      </c>
    </row>
    <row r="22" spans="1:5" x14ac:dyDescent="0.2">
      <c r="A22" s="40">
        <v>0</v>
      </c>
      <c r="B22" s="60" t="s">
        <v>23</v>
      </c>
      <c r="C22" s="69" t="s">
        <v>102</v>
      </c>
      <c r="D22" s="69" t="s">
        <v>102</v>
      </c>
      <c r="E22" s="69" t="s">
        <v>102</v>
      </c>
    </row>
    <row r="23" spans="1:5" x14ac:dyDescent="0.2">
      <c r="A23" s="40">
        <v>0</v>
      </c>
      <c r="B23" s="60" t="s">
        <v>24</v>
      </c>
      <c r="C23" s="69" t="s">
        <v>102</v>
      </c>
      <c r="D23" s="69" t="s">
        <v>102</v>
      </c>
      <c r="E23" s="69" t="s">
        <v>102</v>
      </c>
    </row>
    <row r="24" spans="1:5" x14ac:dyDescent="0.2">
      <c r="A24" s="40">
        <v>0</v>
      </c>
      <c r="B24" s="60" t="s">
        <v>25</v>
      </c>
      <c r="C24" s="69" t="s">
        <v>102</v>
      </c>
      <c r="D24" s="69" t="s">
        <v>102</v>
      </c>
      <c r="E24" s="69" t="s">
        <v>102</v>
      </c>
    </row>
    <row r="25" spans="1:5" x14ac:dyDescent="0.2">
      <c r="A25" s="40">
        <v>0</v>
      </c>
      <c r="B25" s="60" t="s">
        <v>26</v>
      </c>
      <c r="C25" s="69" t="s">
        <v>102</v>
      </c>
      <c r="D25" s="69" t="s">
        <v>102</v>
      </c>
      <c r="E25" s="69" t="s">
        <v>102</v>
      </c>
    </row>
    <row r="26" spans="1:5" x14ac:dyDescent="0.2">
      <c r="A26" s="40">
        <v>0</v>
      </c>
      <c r="B26" s="60" t="s">
        <v>27</v>
      </c>
      <c r="C26" s="69" t="s">
        <v>102</v>
      </c>
      <c r="D26" s="69" t="s">
        <v>102</v>
      </c>
      <c r="E26" s="69" t="s">
        <v>102</v>
      </c>
    </row>
    <row r="27" spans="1:5" x14ac:dyDescent="0.2">
      <c r="A27" s="40">
        <v>0</v>
      </c>
      <c r="B27" s="76" t="s">
        <v>28</v>
      </c>
      <c r="C27" s="73" t="s">
        <v>102</v>
      </c>
      <c r="D27" s="73" t="s">
        <v>102</v>
      </c>
      <c r="E27" s="73" t="s">
        <v>102</v>
      </c>
    </row>
    <row r="28" spans="1:5" x14ac:dyDescent="0.2">
      <c r="A28" s="138">
        <v>0</v>
      </c>
      <c r="B28" s="76" t="s">
        <v>123</v>
      </c>
      <c r="C28" s="73" t="s">
        <v>102</v>
      </c>
      <c r="D28" s="73" t="s">
        <v>102</v>
      </c>
      <c r="E28" s="73" t="s">
        <v>102</v>
      </c>
    </row>
    <row r="30" spans="1:5" x14ac:dyDescent="0.2">
      <c r="A30" s="16" t="s">
        <v>9</v>
      </c>
      <c r="B30" s="19" t="str">
        <f ca="1">GetNameRange(B32)</f>
        <v>InflDeterministic</v>
      </c>
    </row>
    <row r="31" spans="1:5" x14ac:dyDescent="0.2">
      <c r="A31" s="42" t="s">
        <v>103</v>
      </c>
      <c r="B31" s="108" t="s">
        <v>76</v>
      </c>
      <c r="C31" s="66" t="s">
        <v>119</v>
      </c>
      <c r="D31" s="22"/>
    </row>
    <row r="32" spans="1:5" x14ac:dyDescent="0.2">
      <c r="B32" s="83" t="s">
        <v>99</v>
      </c>
      <c r="C32" s="122"/>
      <c r="D32" s="22"/>
    </row>
    <row r="33" spans="1:73" x14ac:dyDescent="0.2">
      <c r="B33" s="84">
        <v>1</v>
      </c>
      <c r="C33" s="104">
        <v>0</v>
      </c>
      <c r="D33" s="22"/>
    </row>
    <row r="34" spans="1:73" x14ac:dyDescent="0.2">
      <c r="B34" s="85">
        <v>2958101</v>
      </c>
      <c r="C34" s="107">
        <v>0</v>
      </c>
      <c r="D34" s="22"/>
    </row>
    <row r="36" spans="1:73" x14ac:dyDescent="0.2">
      <c r="A36" s="16" t="s">
        <v>9</v>
      </c>
      <c r="B36" s="19" t="str">
        <f ca="1">GetNameRange(B38)</f>
        <v>CreditSprdDeterminsitic</v>
      </c>
      <c r="E36" s="12"/>
      <c r="F36" s="12"/>
      <c r="G36" s="12"/>
      <c r="H36" s="12"/>
      <c r="I36" s="12"/>
      <c r="J36" s="12"/>
    </row>
    <row r="37" spans="1:73" x14ac:dyDescent="0.2">
      <c r="A37" s="42" t="s">
        <v>103</v>
      </c>
      <c r="B37" s="92" t="s">
        <v>100</v>
      </c>
      <c r="C37" s="93" t="s">
        <v>84</v>
      </c>
      <c r="D37" s="93" t="s">
        <v>97</v>
      </c>
      <c r="E37" s="93" t="s">
        <v>97</v>
      </c>
      <c r="F37" s="93" t="s">
        <v>97</v>
      </c>
      <c r="G37" s="93" t="s">
        <v>97</v>
      </c>
      <c r="H37" s="93" t="s">
        <v>98</v>
      </c>
      <c r="I37" s="93" t="s">
        <v>98</v>
      </c>
      <c r="J37" s="93" t="s">
        <v>98</v>
      </c>
      <c r="K37" s="94" t="s">
        <v>98</v>
      </c>
    </row>
    <row r="38" spans="1:73" x14ac:dyDescent="0.2">
      <c r="B38" s="95" t="s">
        <v>101</v>
      </c>
      <c r="C38" s="96">
        <v>1</v>
      </c>
      <c r="D38" s="96">
        <v>0.25</v>
      </c>
      <c r="E38" s="96">
        <v>1</v>
      </c>
      <c r="F38" s="96">
        <v>5</v>
      </c>
      <c r="G38" s="96">
        <v>30</v>
      </c>
      <c r="H38" s="96">
        <v>0.25</v>
      </c>
      <c r="I38" s="96">
        <v>1</v>
      </c>
      <c r="J38" s="96">
        <v>5</v>
      </c>
      <c r="K38" s="97">
        <v>30</v>
      </c>
    </row>
    <row r="39" spans="1:73" x14ac:dyDescent="0.2">
      <c r="B39" s="98" t="s">
        <v>99</v>
      </c>
      <c r="C39" s="99"/>
      <c r="D39" s="100"/>
      <c r="E39" s="100"/>
      <c r="F39" s="100"/>
      <c r="G39" s="100"/>
      <c r="H39" s="100"/>
      <c r="I39" s="100"/>
      <c r="J39" s="100"/>
      <c r="K39" s="101"/>
    </row>
    <row r="40" spans="1:73" x14ac:dyDescent="0.2">
      <c r="B40" s="102">
        <v>45382</v>
      </c>
      <c r="C40" s="103">
        <v>0</v>
      </c>
      <c r="D40" s="103">
        <v>0</v>
      </c>
      <c r="E40" s="103">
        <v>0</v>
      </c>
      <c r="F40" s="103">
        <v>0</v>
      </c>
      <c r="G40" s="103">
        <v>0</v>
      </c>
      <c r="H40" s="103">
        <v>0</v>
      </c>
      <c r="I40" s="103">
        <v>0</v>
      </c>
      <c r="J40" s="103">
        <v>0</v>
      </c>
      <c r="K40" s="104">
        <v>0</v>
      </c>
    </row>
    <row r="41" spans="1:73" x14ac:dyDescent="0.2">
      <c r="B41" s="130"/>
      <c r="C41" s="103"/>
      <c r="D41" s="103"/>
      <c r="E41" s="103"/>
      <c r="F41" s="103"/>
      <c r="G41" s="103"/>
      <c r="H41" s="103"/>
      <c r="I41" s="103"/>
      <c r="J41" s="103"/>
      <c r="K41" s="103"/>
    </row>
    <row r="42" spans="1:73" x14ac:dyDescent="0.2">
      <c r="A42" s="16" t="s">
        <v>9</v>
      </c>
      <c r="B42" s="19" t="str">
        <f ca="1">GetNameRange(B44)</f>
        <v>CreditSprdDeterminsiticSub</v>
      </c>
      <c r="C42" s="103"/>
      <c r="D42" s="103"/>
      <c r="E42" s="103"/>
      <c r="F42" s="103"/>
      <c r="G42" s="103"/>
      <c r="H42" s="103"/>
      <c r="I42" s="103"/>
      <c r="J42" s="103"/>
      <c r="K42" s="103"/>
      <c r="BI42" s="103"/>
      <c r="BJ42" s="103"/>
      <c r="BK42" s="103"/>
      <c r="BL42" s="103"/>
      <c r="BM42" s="103"/>
      <c r="BN42" s="103"/>
      <c r="BO42" s="103"/>
      <c r="BP42" s="103"/>
      <c r="BQ42" s="103"/>
      <c r="BR42" s="103"/>
      <c r="BS42" s="103"/>
      <c r="BT42" s="103"/>
      <c r="BU42" s="103"/>
    </row>
    <row r="43" spans="1:73" x14ac:dyDescent="0.2">
      <c r="A43" s="42" t="s">
        <v>103</v>
      </c>
      <c r="B43" s="92" t="s">
        <v>100</v>
      </c>
      <c r="C43" s="93" t="s">
        <v>84</v>
      </c>
      <c r="D43" s="93" t="s">
        <v>97</v>
      </c>
      <c r="E43" s="93" t="s">
        <v>97</v>
      </c>
      <c r="F43" s="93" t="s">
        <v>97</v>
      </c>
      <c r="G43" s="93" t="s">
        <v>97</v>
      </c>
      <c r="H43" s="93" t="s">
        <v>97</v>
      </c>
      <c r="I43" s="93" t="s">
        <v>97</v>
      </c>
      <c r="J43" s="93" t="s">
        <v>97</v>
      </c>
      <c r="K43" s="93" t="s">
        <v>106</v>
      </c>
      <c r="L43" s="93" t="s">
        <v>106</v>
      </c>
      <c r="M43" s="93" t="s">
        <v>106</v>
      </c>
      <c r="N43" s="93" t="s">
        <v>106</v>
      </c>
      <c r="O43" s="93" t="s">
        <v>106</v>
      </c>
      <c r="P43" s="93" t="s">
        <v>106</v>
      </c>
      <c r="Q43" s="93" t="s">
        <v>106</v>
      </c>
      <c r="R43" s="93" t="s">
        <v>104</v>
      </c>
      <c r="S43" s="93" t="s">
        <v>104</v>
      </c>
      <c r="T43" s="93" t="s">
        <v>104</v>
      </c>
      <c r="U43" s="93" t="s">
        <v>104</v>
      </c>
      <c r="V43" s="93" t="s">
        <v>104</v>
      </c>
      <c r="W43" s="93" t="s">
        <v>104</v>
      </c>
      <c r="X43" s="93" t="s">
        <v>104</v>
      </c>
      <c r="Y43" s="93" t="s">
        <v>98</v>
      </c>
      <c r="Z43" s="93" t="s">
        <v>98</v>
      </c>
      <c r="AA43" s="93" t="s">
        <v>98</v>
      </c>
      <c r="AB43" s="93" t="s">
        <v>98</v>
      </c>
      <c r="AC43" s="93" t="s">
        <v>98</v>
      </c>
      <c r="AD43" s="93" t="s">
        <v>98</v>
      </c>
      <c r="AE43" s="93" t="s">
        <v>98</v>
      </c>
      <c r="AF43" s="93" t="s">
        <v>105</v>
      </c>
      <c r="AG43" s="93" t="s">
        <v>105</v>
      </c>
      <c r="AH43" s="93" t="s">
        <v>105</v>
      </c>
      <c r="AI43" s="93" t="s">
        <v>105</v>
      </c>
      <c r="AJ43" s="93" t="s">
        <v>105</v>
      </c>
      <c r="AK43" s="93" t="s">
        <v>105</v>
      </c>
      <c r="AL43" s="93" t="s">
        <v>105</v>
      </c>
      <c r="AM43" s="93" t="s">
        <v>107</v>
      </c>
      <c r="AN43" s="93" t="s">
        <v>107</v>
      </c>
      <c r="AO43" s="93" t="s">
        <v>107</v>
      </c>
      <c r="AP43" s="93" t="s">
        <v>107</v>
      </c>
      <c r="AQ43" s="93" t="s">
        <v>107</v>
      </c>
      <c r="AR43" s="93" t="s">
        <v>107</v>
      </c>
      <c r="AS43" s="93" t="s">
        <v>107</v>
      </c>
      <c r="AT43" s="93" t="s">
        <v>120</v>
      </c>
      <c r="AU43" s="93" t="s">
        <v>120</v>
      </c>
      <c r="AV43" s="93" t="s">
        <v>120</v>
      </c>
      <c r="AW43" s="93" t="s">
        <v>120</v>
      </c>
      <c r="AX43" s="93" t="s">
        <v>120</v>
      </c>
      <c r="AY43" s="93" t="s">
        <v>120</v>
      </c>
      <c r="AZ43" s="93" t="s">
        <v>120</v>
      </c>
      <c r="BA43" s="93" t="s">
        <v>121</v>
      </c>
      <c r="BB43" s="93" t="s">
        <v>121</v>
      </c>
      <c r="BC43" s="93" t="s">
        <v>121</v>
      </c>
      <c r="BD43" s="93" t="s">
        <v>121</v>
      </c>
      <c r="BE43" s="93" t="s">
        <v>121</v>
      </c>
      <c r="BF43" s="93" t="s">
        <v>121</v>
      </c>
      <c r="BG43" s="94" t="s">
        <v>121</v>
      </c>
      <c r="BI43" s="103"/>
      <c r="BJ43" s="103"/>
      <c r="BK43" s="103"/>
      <c r="BL43" s="103"/>
      <c r="BM43" s="103"/>
      <c r="BN43" s="103"/>
      <c r="BO43" s="103"/>
      <c r="BP43" s="103"/>
      <c r="BQ43" s="103"/>
      <c r="BR43" s="103"/>
      <c r="BS43" s="103"/>
      <c r="BT43" s="103"/>
      <c r="BU43" s="103"/>
    </row>
    <row r="44" spans="1:73" x14ac:dyDescent="0.2">
      <c r="B44" s="95" t="s">
        <v>101</v>
      </c>
      <c r="C44" s="96">
        <v>1</v>
      </c>
      <c r="D44" s="96">
        <v>0.25</v>
      </c>
      <c r="E44" s="96">
        <v>0.5</v>
      </c>
      <c r="F44" s="96">
        <v>1</v>
      </c>
      <c r="G44" s="96">
        <v>2</v>
      </c>
      <c r="H44" s="96">
        <v>3</v>
      </c>
      <c r="I44" s="96">
        <v>4</v>
      </c>
      <c r="J44" s="96">
        <v>5</v>
      </c>
      <c r="K44" s="96">
        <v>0.25</v>
      </c>
      <c r="L44" s="96">
        <v>0.5</v>
      </c>
      <c r="M44" s="96">
        <v>1</v>
      </c>
      <c r="N44" s="96">
        <v>2</v>
      </c>
      <c r="O44" s="96">
        <v>3</v>
      </c>
      <c r="P44" s="96">
        <v>4</v>
      </c>
      <c r="Q44" s="96">
        <v>5</v>
      </c>
      <c r="R44" s="96">
        <v>0.25</v>
      </c>
      <c r="S44" s="96">
        <v>0.5</v>
      </c>
      <c r="T44" s="96">
        <v>1</v>
      </c>
      <c r="U44" s="96">
        <v>2</v>
      </c>
      <c r="V44" s="96">
        <v>3</v>
      </c>
      <c r="W44" s="96">
        <v>4</v>
      </c>
      <c r="X44" s="96">
        <v>5</v>
      </c>
      <c r="Y44" s="96">
        <v>0.25</v>
      </c>
      <c r="Z44" s="96">
        <v>0.5</v>
      </c>
      <c r="AA44" s="96">
        <v>1</v>
      </c>
      <c r="AB44" s="96">
        <v>2</v>
      </c>
      <c r="AC44" s="96">
        <v>3</v>
      </c>
      <c r="AD44" s="96">
        <v>4</v>
      </c>
      <c r="AE44" s="96">
        <v>5</v>
      </c>
      <c r="AF44" s="96">
        <v>0.25</v>
      </c>
      <c r="AG44" s="96">
        <v>0.5</v>
      </c>
      <c r="AH44" s="96">
        <v>1</v>
      </c>
      <c r="AI44" s="96">
        <v>2</v>
      </c>
      <c r="AJ44" s="96">
        <v>3</v>
      </c>
      <c r="AK44" s="96">
        <v>4</v>
      </c>
      <c r="AL44" s="96">
        <v>5</v>
      </c>
      <c r="AM44" s="96">
        <v>0.25</v>
      </c>
      <c r="AN44" s="96">
        <v>0.5</v>
      </c>
      <c r="AO44" s="96">
        <v>1</v>
      </c>
      <c r="AP44" s="96">
        <v>2</v>
      </c>
      <c r="AQ44" s="96">
        <v>3</v>
      </c>
      <c r="AR44" s="96">
        <v>4</v>
      </c>
      <c r="AS44" s="96">
        <v>5</v>
      </c>
      <c r="AT44" s="96">
        <v>0.25</v>
      </c>
      <c r="AU44" s="96">
        <v>0.5</v>
      </c>
      <c r="AV44" s="96">
        <v>1</v>
      </c>
      <c r="AW44" s="96">
        <v>2</v>
      </c>
      <c r="AX44" s="96">
        <v>3</v>
      </c>
      <c r="AY44" s="96">
        <v>4</v>
      </c>
      <c r="AZ44" s="96">
        <v>5</v>
      </c>
      <c r="BA44" s="96">
        <v>0.25</v>
      </c>
      <c r="BB44" s="96">
        <v>0.5</v>
      </c>
      <c r="BC44" s="96">
        <v>1</v>
      </c>
      <c r="BD44" s="96">
        <v>2</v>
      </c>
      <c r="BE44" s="96">
        <v>3</v>
      </c>
      <c r="BF44" s="96">
        <v>4</v>
      </c>
      <c r="BG44" s="97">
        <v>5</v>
      </c>
      <c r="BI44" s="103"/>
      <c r="BJ44" s="103"/>
      <c r="BK44" s="103"/>
      <c r="BL44" s="103"/>
      <c r="BM44" s="103"/>
      <c r="BN44" s="103"/>
      <c r="BO44" s="103"/>
      <c r="BP44" s="103"/>
      <c r="BQ44" s="103"/>
      <c r="BR44" s="103"/>
      <c r="BS44" s="103"/>
      <c r="BT44" s="103"/>
      <c r="BU44" s="103"/>
    </row>
    <row r="45" spans="1:73" x14ac:dyDescent="0.2">
      <c r="B45" s="98" t="s">
        <v>99</v>
      </c>
      <c r="C45" s="99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100"/>
      <c r="AY45" s="100"/>
      <c r="AZ45" s="100"/>
      <c r="BA45" s="100"/>
      <c r="BB45" s="100"/>
      <c r="BC45" s="100"/>
      <c r="BD45" s="100"/>
      <c r="BE45" s="100"/>
      <c r="BF45" s="100"/>
      <c r="BG45" s="101"/>
      <c r="BI45" s="103"/>
      <c r="BJ45" s="103"/>
      <c r="BK45" s="103"/>
      <c r="BL45" s="103"/>
      <c r="BM45" s="103"/>
      <c r="BN45" s="103"/>
      <c r="BO45" s="103"/>
      <c r="BP45" s="103"/>
      <c r="BQ45" s="103"/>
      <c r="BR45" s="103"/>
      <c r="BS45" s="103"/>
      <c r="BT45" s="103"/>
      <c r="BU45" s="103"/>
    </row>
    <row r="46" spans="1:73" x14ac:dyDescent="0.2">
      <c r="B46" s="102">
        <v>45382</v>
      </c>
      <c r="C46" s="106">
        <v>0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7">
        <v>0</v>
      </c>
      <c r="BI46" s="103"/>
      <c r="BJ46" s="103"/>
      <c r="BK46" s="103"/>
      <c r="BL46" s="103"/>
      <c r="BM46" s="103"/>
      <c r="BN46" s="103"/>
      <c r="BO46" s="103"/>
      <c r="BP46" s="103"/>
      <c r="BQ46" s="103"/>
      <c r="BR46" s="103"/>
      <c r="BS46" s="103"/>
      <c r="BT46" s="103"/>
      <c r="BU46" s="103"/>
    </row>
    <row r="47" spans="1:73" x14ac:dyDescent="0.2">
      <c r="B47" s="130"/>
      <c r="C47" s="103"/>
      <c r="D47" s="103"/>
      <c r="E47" s="103"/>
      <c r="F47" s="103"/>
      <c r="G47" s="103"/>
      <c r="H47" s="103"/>
      <c r="I47" s="103"/>
      <c r="J47" s="103"/>
      <c r="K47" s="103"/>
    </row>
    <row r="48" spans="1:73" x14ac:dyDescent="0.2">
      <c r="A48" s="16" t="s">
        <v>9</v>
      </c>
      <c r="B48" s="19" t="str">
        <f ca="1">GetNameRange(B49)</f>
        <v>CreditSprdDeterminsitic_VM21</v>
      </c>
      <c r="C48" s="186"/>
      <c r="D48" s="103"/>
      <c r="E48" s="103"/>
      <c r="F48" s="103"/>
      <c r="G48" s="103"/>
      <c r="H48" s="103"/>
      <c r="I48" s="103"/>
      <c r="J48" s="103"/>
      <c r="K48" s="103"/>
    </row>
    <row r="49" spans="1:12" x14ac:dyDescent="0.2">
      <c r="A49" s="42" t="s">
        <v>103</v>
      </c>
      <c r="B49" s="92"/>
      <c r="C49" s="92"/>
      <c r="D49" s="92" t="s">
        <v>100</v>
      </c>
      <c r="E49" s="195" t="s">
        <v>97</v>
      </c>
      <c r="F49" s="195" t="s">
        <v>106</v>
      </c>
      <c r="G49" s="195" t="s">
        <v>104</v>
      </c>
      <c r="H49" s="195" t="s">
        <v>98</v>
      </c>
      <c r="I49" s="195" t="s">
        <v>105</v>
      </c>
      <c r="J49" s="195" t="s">
        <v>107</v>
      </c>
      <c r="K49" s="191" t="s">
        <v>184</v>
      </c>
      <c r="L49"/>
    </row>
    <row r="50" spans="1:12" x14ac:dyDescent="0.2">
      <c r="B50" s="98" t="s">
        <v>99</v>
      </c>
      <c r="C50" s="98" t="s">
        <v>193</v>
      </c>
      <c r="D50" s="95" t="s">
        <v>101</v>
      </c>
      <c r="E50" s="199"/>
      <c r="F50" s="199"/>
      <c r="G50" s="199"/>
      <c r="H50" s="199"/>
      <c r="I50" s="199"/>
      <c r="J50" s="199"/>
      <c r="K50" s="101"/>
      <c r="L50"/>
    </row>
    <row r="51" spans="1:12" x14ac:dyDescent="0.2">
      <c r="B51" s="102">
        <v>45382</v>
      </c>
      <c r="C51" s="156">
        <v>1</v>
      </c>
      <c r="D51" s="156">
        <v>1</v>
      </c>
      <c r="E51" s="103">
        <f>INDEX('NAIC PBR Sprd and Dflt Source'!$C$41:$X$70,MATCH($D51,'NAIC PBR Sprd and Dflt Source'!$B$41:$B$70,0),MATCH(E$49,'NAIC PBR Sprd and Dflt Source'!$C$73:$X$73,0))/10000</f>
        <v>8.34E-4</v>
      </c>
      <c r="F51" s="103">
        <f>INDEX('NAIC PBR Sprd and Dflt Source'!$C$41:$X$70,MATCH($D51,'NAIC PBR Sprd and Dflt Source'!$B$41:$B$70,0),MATCH(F$49,'NAIC PBR Sprd and Dflt Source'!$C$73:$X$73,0))/10000</f>
        <v>2.7910000000000001E-3</v>
      </c>
      <c r="G51" s="103">
        <f>INDEX('NAIC PBR Sprd and Dflt Source'!$C$41:$X$70,MATCH($D51,'NAIC PBR Sprd and Dflt Source'!$B$41:$B$70,0),MATCH(G$49,'NAIC PBR Sprd and Dflt Source'!$C$73:$X$73,0))/10000</f>
        <v>5.2270000000000007E-3</v>
      </c>
      <c r="H51" s="103">
        <f>INDEX('NAIC PBR Sprd and Dflt Source'!$C$41:$X$70,MATCH($D51,'NAIC PBR Sprd and Dflt Source'!$B$41:$B$70,0),MATCH(H$49,'NAIC PBR Sprd and Dflt Source'!$C$73:$X$73,0))/10000</f>
        <v>8.0349999999999987E-3</v>
      </c>
      <c r="I51" s="103">
        <f>INDEX('NAIC PBR Sprd and Dflt Source'!$C$41:$X$70,MATCH($D51,'NAIC PBR Sprd and Dflt Source'!$B$41:$B$70,0),MATCH(I$49,'NAIC PBR Sprd and Dflt Source'!$C$73:$X$73,0))/10000</f>
        <v>2.0074999999999999E-2</v>
      </c>
      <c r="J51" s="103">
        <f>INDEX('NAIC PBR Sprd and Dflt Source'!$C$41:$X$70,MATCH($D51,'NAIC PBR Sprd and Dflt Source'!$B$41:$B$70,0),MATCH(J$49,'NAIC PBR Sprd and Dflt Source'!$C$73:$X$73,0))/10000</f>
        <v>3.1899000000000004E-2</v>
      </c>
      <c r="K51" s="104">
        <f>INDEX('NAIC PBR Sprd and Dflt Source'!$C$41:$X$70,MATCH($D51,'NAIC PBR Sprd and Dflt Source'!$B$41:$B$70,0),MATCH(K$49,'NAIC PBR Sprd and Dflt Source'!$C$73:$X$73,0))/10000</f>
        <v>8.5199999999999998E-2</v>
      </c>
      <c r="L51"/>
    </row>
    <row r="52" spans="1:12" x14ac:dyDescent="0.2">
      <c r="B52" s="102">
        <v>45382</v>
      </c>
      <c r="C52" s="156">
        <v>1</v>
      </c>
      <c r="D52" s="156">
        <v>2</v>
      </c>
      <c r="E52" s="103">
        <f>INDEX('NAIC PBR Sprd and Dflt Source'!$C$41:$X$70,MATCH($D52,'NAIC PBR Sprd and Dflt Source'!$B$41:$B$70,0),MATCH(E$49,'NAIC PBR Sprd and Dflt Source'!$C$73:$X$73,0))/10000</f>
        <v>2.153E-3</v>
      </c>
      <c r="F52" s="103">
        <f>INDEX('NAIC PBR Sprd and Dflt Source'!$C$41:$X$70,MATCH($D52,'NAIC PBR Sprd and Dflt Source'!$B$41:$B$70,0),MATCH(F$49,'NAIC PBR Sprd and Dflt Source'!$C$73:$X$73,0))/10000</f>
        <v>3.3229999999999996E-3</v>
      </c>
      <c r="G52" s="103">
        <f>INDEX('NAIC PBR Sprd and Dflt Source'!$C$41:$X$70,MATCH($D52,'NAIC PBR Sprd and Dflt Source'!$B$41:$B$70,0),MATCH(G$49,'NAIC PBR Sprd and Dflt Source'!$C$73:$X$73,0))/10000</f>
        <v>5.8500000000000002E-3</v>
      </c>
      <c r="H52" s="103">
        <f>INDEX('NAIC PBR Sprd and Dflt Source'!$C$41:$X$70,MATCH($D52,'NAIC PBR Sprd and Dflt Source'!$B$41:$B$70,0),MATCH(H$49,'NAIC PBR Sprd and Dflt Source'!$C$73:$X$73,0))/10000</f>
        <v>8.6920000000000001E-3</v>
      </c>
      <c r="I52" s="103">
        <f>INDEX('NAIC PBR Sprd and Dflt Source'!$C$41:$X$70,MATCH($D52,'NAIC PBR Sprd and Dflt Source'!$B$41:$B$70,0),MATCH(I$49,'NAIC PBR Sprd and Dflt Source'!$C$73:$X$73,0))/10000</f>
        <v>2.0074999999999999E-2</v>
      </c>
      <c r="J52" s="103">
        <f>INDEX('NAIC PBR Sprd and Dflt Source'!$C$41:$X$70,MATCH($D52,'NAIC PBR Sprd and Dflt Source'!$B$41:$B$70,0),MATCH(J$49,'NAIC PBR Sprd and Dflt Source'!$C$73:$X$73,0))/10000</f>
        <v>3.1899000000000004E-2</v>
      </c>
      <c r="K52" s="104">
        <f>INDEX('NAIC PBR Sprd and Dflt Source'!$C$41:$X$70,MATCH($D52,'NAIC PBR Sprd and Dflt Source'!$B$41:$B$70,0),MATCH(K$49,'NAIC PBR Sprd and Dflt Source'!$C$73:$X$73,0))/10000</f>
        <v>8.5199999999999998E-2</v>
      </c>
      <c r="L52"/>
    </row>
    <row r="53" spans="1:12" x14ac:dyDescent="0.2">
      <c r="B53" s="102">
        <v>45382</v>
      </c>
      <c r="C53" s="156">
        <v>1</v>
      </c>
      <c r="D53" s="156">
        <v>3</v>
      </c>
      <c r="E53" s="103">
        <f>INDEX('NAIC PBR Sprd and Dflt Source'!$C$41:$X$70,MATCH($D53,'NAIC PBR Sprd and Dflt Source'!$B$41:$B$70,0),MATCH(E$49,'NAIC PBR Sprd and Dflt Source'!$C$73:$X$73,0))/10000</f>
        <v>3.4719999999999998E-3</v>
      </c>
      <c r="F53" s="103">
        <f>INDEX('NAIC PBR Sprd and Dflt Source'!$C$41:$X$70,MATCH($D53,'NAIC PBR Sprd and Dflt Source'!$B$41:$B$70,0),MATCH(F$49,'NAIC PBR Sprd and Dflt Source'!$C$73:$X$73,0))/10000</f>
        <v>3.8539999999999998E-3</v>
      </c>
      <c r="G53" s="103">
        <f>INDEX('NAIC PBR Sprd and Dflt Source'!$C$41:$X$70,MATCH($D53,'NAIC PBR Sprd and Dflt Source'!$B$41:$B$70,0),MATCH(G$49,'NAIC PBR Sprd and Dflt Source'!$C$73:$X$73,0))/10000</f>
        <v>6.4739999999999997E-3</v>
      </c>
      <c r="H53" s="103">
        <f>INDEX('NAIC PBR Sprd and Dflt Source'!$C$41:$X$70,MATCH($D53,'NAIC PBR Sprd and Dflt Source'!$B$41:$B$70,0),MATCH(H$49,'NAIC PBR Sprd and Dflt Source'!$C$73:$X$73,0))/10000</f>
        <v>9.3489999999999997E-3</v>
      </c>
      <c r="I53" s="103">
        <f>INDEX('NAIC PBR Sprd and Dflt Source'!$C$41:$X$70,MATCH($D53,'NAIC PBR Sprd and Dflt Source'!$B$41:$B$70,0),MATCH(I$49,'NAIC PBR Sprd and Dflt Source'!$C$73:$X$73,0))/10000</f>
        <v>2.0074999999999999E-2</v>
      </c>
      <c r="J53" s="103">
        <f>INDEX('NAIC PBR Sprd and Dflt Source'!$C$41:$X$70,MATCH($D53,'NAIC PBR Sprd and Dflt Source'!$B$41:$B$70,0),MATCH(J$49,'NAIC PBR Sprd and Dflt Source'!$C$73:$X$73,0))/10000</f>
        <v>3.1899000000000004E-2</v>
      </c>
      <c r="K53" s="104">
        <f>INDEX('NAIC PBR Sprd and Dflt Source'!$C$41:$X$70,MATCH($D53,'NAIC PBR Sprd and Dflt Source'!$B$41:$B$70,0),MATCH(K$49,'NAIC PBR Sprd and Dflt Source'!$C$73:$X$73,0))/10000</f>
        <v>8.5199999999999998E-2</v>
      </c>
      <c r="L53"/>
    </row>
    <row r="54" spans="1:12" x14ac:dyDescent="0.2">
      <c r="B54" s="102">
        <v>45382</v>
      </c>
      <c r="C54" s="156">
        <v>1</v>
      </c>
      <c r="D54" s="156">
        <v>4</v>
      </c>
      <c r="E54" s="103">
        <f>INDEX('NAIC PBR Sprd and Dflt Source'!$C$41:$X$70,MATCH($D54,'NAIC PBR Sprd and Dflt Source'!$B$41:$B$70,0),MATCH(E$49,'NAIC PBR Sprd and Dflt Source'!$C$73:$X$73,0))/10000</f>
        <v>4.7920000000000003E-3</v>
      </c>
      <c r="F54" s="103">
        <f>INDEX('NAIC PBR Sprd and Dflt Source'!$C$41:$X$70,MATCH($D54,'NAIC PBR Sprd and Dflt Source'!$B$41:$B$70,0),MATCH(F$49,'NAIC PBR Sprd and Dflt Source'!$C$73:$X$73,0))/10000</f>
        <v>4.385E-3</v>
      </c>
      <c r="G54" s="103">
        <f>INDEX('NAIC PBR Sprd and Dflt Source'!$C$41:$X$70,MATCH($D54,'NAIC PBR Sprd and Dflt Source'!$B$41:$B$70,0),MATCH(G$49,'NAIC PBR Sprd and Dflt Source'!$C$73:$X$73,0))/10000</f>
        <v>7.097E-3</v>
      </c>
      <c r="H54" s="103">
        <f>INDEX('NAIC PBR Sprd and Dflt Source'!$C$41:$X$70,MATCH($D54,'NAIC PBR Sprd and Dflt Source'!$B$41:$B$70,0),MATCH(H$49,'NAIC PBR Sprd and Dflt Source'!$C$73:$X$73,0))/10000</f>
        <v>1.0006000000000001E-2</v>
      </c>
      <c r="I54" s="103">
        <f>INDEX('NAIC PBR Sprd and Dflt Source'!$C$41:$X$70,MATCH($D54,'NAIC PBR Sprd and Dflt Source'!$B$41:$B$70,0),MATCH(I$49,'NAIC PBR Sprd and Dflt Source'!$C$73:$X$73,0))/10000</f>
        <v>2.0074999999999999E-2</v>
      </c>
      <c r="J54" s="103">
        <f>INDEX('NAIC PBR Sprd and Dflt Source'!$C$41:$X$70,MATCH($D54,'NAIC PBR Sprd and Dflt Source'!$B$41:$B$70,0),MATCH(J$49,'NAIC PBR Sprd and Dflt Source'!$C$73:$X$73,0))/10000</f>
        <v>3.1899000000000004E-2</v>
      </c>
      <c r="K54" s="104">
        <f>INDEX('NAIC PBR Sprd and Dflt Source'!$C$41:$X$70,MATCH($D54,'NAIC PBR Sprd and Dflt Source'!$B$41:$B$70,0),MATCH(K$49,'NAIC PBR Sprd and Dflt Source'!$C$73:$X$73,0))/10000</f>
        <v>8.5199999999999998E-2</v>
      </c>
      <c r="L54"/>
    </row>
    <row r="55" spans="1:12" x14ac:dyDescent="0.2">
      <c r="B55" s="102">
        <v>45382</v>
      </c>
      <c r="C55" s="156">
        <v>1</v>
      </c>
      <c r="D55" s="156">
        <v>5</v>
      </c>
      <c r="E55" s="103">
        <f>INDEX('NAIC PBR Sprd and Dflt Source'!$C$41:$X$70,MATCH($D55,'NAIC PBR Sprd and Dflt Source'!$B$41:$B$70,0),MATCH(E$49,'NAIC PBR Sprd and Dflt Source'!$C$73:$X$73,0))/10000</f>
        <v>4.4740000000000005E-3</v>
      </c>
      <c r="F55" s="103">
        <f>INDEX('NAIC PBR Sprd and Dflt Source'!$C$41:$X$70,MATCH($D55,'NAIC PBR Sprd and Dflt Source'!$B$41:$B$70,0),MATCH(F$49,'NAIC PBR Sprd and Dflt Source'!$C$73:$X$73,0))/10000</f>
        <v>4.5969999999999995E-3</v>
      </c>
      <c r="G55" s="103">
        <f>INDEX('NAIC PBR Sprd and Dflt Source'!$C$41:$X$70,MATCH($D55,'NAIC PBR Sprd and Dflt Source'!$B$41:$B$70,0),MATCH(G$49,'NAIC PBR Sprd and Dflt Source'!$C$73:$X$73,0))/10000</f>
        <v>7.633E-3</v>
      </c>
      <c r="H55" s="103">
        <f>INDEX('NAIC PBR Sprd and Dflt Source'!$C$41:$X$70,MATCH($D55,'NAIC PBR Sprd and Dflt Source'!$B$41:$B$70,0),MATCH(H$49,'NAIC PBR Sprd and Dflt Source'!$C$73:$X$73,0))/10000</f>
        <v>1.0846E-2</v>
      </c>
      <c r="I55" s="103">
        <f>INDEX('NAIC PBR Sprd and Dflt Source'!$C$41:$X$70,MATCH($D55,'NAIC PBR Sprd and Dflt Source'!$B$41:$B$70,0),MATCH(I$49,'NAIC PBR Sprd and Dflt Source'!$C$73:$X$73,0))/10000</f>
        <v>2.0074999999999999E-2</v>
      </c>
      <c r="J55" s="103">
        <f>INDEX('NAIC PBR Sprd and Dflt Source'!$C$41:$X$70,MATCH($D55,'NAIC PBR Sprd and Dflt Source'!$B$41:$B$70,0),MATCH(J$49,'NAIC PBR Sprd and Dflt Source'!$C$73:$X$73,0))/10000</f>
        <v>3.1899000000000004E-2</v>
      </c>
      <c r="K55" s="104">
        <f>INDEX('NAIC PBR Sprd and Dflt Source'!$C$41:$X$70,MATCH($D55,'NAIC PBR Sprd and Dflt Source'!$B$41:$B$70,0),MATCH(K$49,'NAIC PBR Sprd and Dflt Source'!$C$73:$X$73,0))/10000</f>
        <v>8.5199999999999998E-2</v>
      </c>
      <c r="L55"/>
    </row>
    <row r="56" spans="1:12" x14ac:dyDescent="0.2">
      <c r="B56" s="102">
        <v>45382</v>
      </c>
      <c r="C56" s="156">
        <v>1</v>
      </c>
      <c r="D56" s="156">
        <v>7</v>
      </c>
      <c r="E56" s="103">
        <f>INDEX('NAIC PBR Sprd and Dflt Source'!$C$41:$X$70,MATCH($D56,'NAIC PBR Sprd and Dflt Source'!$B$41:$B$70,0),MATCH(E$49,'NAIC PBR Sprd and Dflt Source'!$C$73:$X$73,0))/10000</f>
        <v>4.9259999999999998E-3</v>
      </c>
      <c r="F56" s="103">
        <f>INDEX('NAIC PBR Sprd and Dflt Source'!$C$41:$X$70,MATCH($D56,'NAIC PBR Sprd and Dflt Source'!$B$41:$B$70,0),MATCH(F$49,'NAIC PBR Sprd and Dflt Source'!$C$73:$X$73,0))/10000</f>
        <v>5.2789999999999998E-3</v>
      </c>
      <c r="G56" s="103">
        <f>INDEX('NAIC PBR Sprd and Dflt Source'!$C$41:$X$70,MATCH($D56,'NAIC PBR Sprd and Dflt Source'!$B$41:$B$70,0),MATCH(G$49,'NAIC PBR Sprd and Dflt Source'!$C$73:$X$73,0))/10000</f>
        <v>8.7770000000000001E-3</v>
      </c>
      <c r="H56" s="103">
        <f>INDEX('NAIC PBR Sprd and Dflt Source'!$C$41:$X$70,MATCH($D56,'NAIC PBR Sprd and Dflt Source'!$B$41:$B$70,0),MATCH(H$49,'NAIC PBR Sprd and Dflt Source'!$C$73:$X$73,0))/10000</f>
        <v>1.2289E-2</v>
      </c>
      <c r="I56" s="103">
        <f>INDEX('NAIC PBR Sprd and Dflt Source'!$C$41:$X$70,MATCH($D56,'NAIC PBR Sprd and Dflt Source'!$B$41:$B$70,0),MATCH(I$49,'NAIC PBR Sprd and Dflt Source'!$C$73:$X$73,0))/10000</f>
        <v>2.0074999999999999E-2</v>
      </c>
      <c r="J56" s="103">
        <f>INDEX('NAIC PBR Sprd and Dflt Source'!$C$41:$X$70,MATCH($D56,'NAIC PBR Sprd and Dflt Source'!$B$41:$B$70,0),MATCH(J$49,'NAIC PBR Sprd and Dflt Source'!$C$73:$X$73,0))/10000</f>
        <v>3.1899000000000004E-2</v>
      </c>
      <c r="K56" s="104">
        <f>INDEX('NAIC PBR Sprd and Dflt Source'!$C$41:$X$70,MATCH($D56,'NAIC PBR Sprd and Dflt Source'!$B$41:$B$70,0),MATCH(K$49,'NAIC PBR Sprd and Dflt Source'!$C$73:$X$73,0))/10000</f>
        <v>8.5199999999999998E-2</v>
      </c>
      <c r="L56"/>
    </row>
    <row r="57" spans="1:12" x14ac:dyDescent="0.2">
      <c r="B57" s="102">
        <v>45382</v>
      </c>
      <c r="C57" s="156">
        <v>1</v>
      </c>
      <c r="D57" s="156">
        <v>10</v>
      </c>
      <c r="E57" s="103">
        <f>INDEX('NAIC PBR Sprd and Dflt Source'!$C$41:$X$70,MATCH($D57,'NAIC PBR Sprd and Dflt Source'!$B$41:$B$70,0),MATCH(E$49,'NAIC PBR Sprd and Dflt Source'!$C$73:$X$73,0))/10000</f>
        <v>6.3030000000000004E-3</v>
      </c>
      <c r="F57" s="103">
        <f>INDEX('NAIC PBR Sprd and Dflt Source'!$C$41:$X$70,MATCH($D57,'NAIC PBR Sprd and Dflt Source'!$B$41:$B$70,0),MATCH(F$49,'NAIC PBR Sprd and Dflt Source'!$C$73:$X$73,0))/10000</f>
        <v>6.267E-3</v>
      </c>
      <c r="G57" s="103">
        <f>INDEX('NAIC PBR Sprd and Dflt Source'!$C$41:$X$70,MATCH($D57,'NAIC PBR Sprd and Dflt Source'!$B$41:$B$70,0),MATCH(G$49,'NAIC PBR Sprd and Dflt Source'!$C$73:$X$73,0))/10000</f>
        <v>9.9469999999999992E-3</v>
      </c>
      <c r="H57" s="103">
        <f>INDEX('NAIC PBR Sprd and Dflt Source'!$C$41:$X$70,MATCH($D57,'NAIC PBR Sprd and Dflt Source'!$B$41:$B$70,0),MATCH(H$49,'NAIC PBR Sprd and Dflt Source'!$C$73:$X$73,0))/10000</f>
        <v>1.3524000000000001E-2</v>
      </c>
      <c r="I57" s="103">
        <f>INDEX('NAIC PBR Sprd and Dflt Source'!$C$41:$X$70,MATCH($D57,'NAIC PBR Sprd and Dflt Source'!$B$41:$B$70,0),MATCH(I$49,'NAIC PBR Sprd and Dflt Source'!$C$73:$X$73,0))/10000</f>
        <v>2.0074999999999999E-2</v>
      </c>
      <c r="J57" s="103">
        <f>INDEX('NAIC PBR Sprd and Dflt Source'!$C$41:$X$70,MATCH($D57,'NAIC PBR Sprd and Dflt Source'!$B$41:$B$70,0),MATCH(J$49,'NAIC PBR Sprd and Dflt Source'!$C$73:$X$73,0))/10000</f>
        <v>3.1899000000000004E-2</v>
      </c>
      <c r="K57" s="104">
        <f>INDEX('NAIC PBR Sprd and Dflt Source'!$C$41:$X$70,MATCH($D57,'NAIC PBR Sprd and Dflt Source'!$B$41:$B$70,0),MATCH(K$49,'NAIC PBR Sprd and Dflt Source'!$C$73:$X$73,0))/10000</f>
        <v>8.5199999999999998E-2</v>
      </c>
      <c r="L57"/>
    </row>
    <row r="58" spans="1:12" x14ac:dyDescent="0.2">
      <c r="B58" s="102">
        <v>45382</v>
      </c>
      <c r="C58" s="156">
        <v>1</v>
      </c>
      <c r="D58" s="156">
        <v>15</v>
      </c>
      <c r="E58" s="103">
        <f>INDEX('NAIC PBR Sprd and Dflt Source'!$C$41:$X$70,MATCH($D58,'NAIC PBR Sprd and Dflt Source'!$B$41:$B$70,0),MATCH(E$49,'NAIC PBR Sprd and Dflt Source'!$C$73:$X$73,0))/10000</f>
        <v>5.4970000000000001E-3</v>
      </c>
      <c r="F58" s="103">
        <f>INDEX('NAIC PBR Sprd and Dflt Source'!$C$41:$X$70,MATCH($D58,'NAIC PBR Sprd and Dflt Source'!$B$41:$B$70,0),MATCH(F$49,'NAIC PBR Sprd and Dflt Source'!$C$73:$X$73,0))/10000</f>
        <v>6.5110000000000003E-3</v>
      </c>
      <c r="G58" s="103">
        <f>INDEX('NAIC PBR Sprd and Dflt Source'!$C$41:$X$70,MATCH($D58,'NAIC PBR Sprd and Dflt Source'!$B$41:$B$70,0),MATCH(G$49,'NAIC PBR Sprd and Dflt Source'!$C$73:$X$73,0))/10000</f>
        <v>9.7090000000000006E-3</v>
      </c>
      <c r="H58" s="103">
        <f>INDEX('NAIC PBR Sprd and Dflt Source'!$C$41:$X$70,MATCH($D58,'NAIC PBR Sprd and Dflt Source'!$B$41:$B$70,0),MATCH(H$49,'NAIC PBR Sprd and Dflt Source'!$C$73:$X$73,0))/10000</f>
        <v>1.3674E-2</v>
      </c>
      <c r="I58" s="103">
        <f>INDEX('NAIC PBR Sprd and Dflt Source'!$C$41:$X$70,MATCH($D58,'NAIC PBR Sprd and Dflt Source'!$B$41:$B$70,0),MATCH(I$49,'NAIC PBR Sprd and Dflt Source'!$C$73:$X$73,0))/10000</f>
        <v>2.0074999999999999E-2</v>
      </c>
      <c r="J58" s="103">
        <f>INDEX('NAIC PBR Sprd and Dflt Source'!$C$41:$X$70,MATCH($D58,'NAIC PBR Sprd and Dflt Source'!$B$41:$B$70,0),MATCH(J$49,'NAIC PBR Sprd and Dflt Source'!$C$73:$X$73,0))/10000</f>
        <v>3.1899000000000004E-2</v>
      </c>
      <c r="K58" s="104">
        <f>INDEX('NAIC PBR Sprd and Dflt Source'!$C$41:$X$70,MATCH($D58,'NAIC PBR Sprd and Dflt Source'!$B$41:$B$70,0),MATCH(K$49,'NAIC PBR Sprd and Dflt Source'!$C$73:$X$73,0))/10000</f>
        <v>8.5199999999999998E-2</v>
      </c>
      <c r="L58"/>
    </row>
    <row r="59" spans="1:12" x14ac:dyDescent="0.2">
      <c r="B59" s="102">
        <v>45382</v>
      </c>
      <c r="C59" s="156">
        <v>1</v>
      </c>
      <c r="D59" s="156">
        <v>20</v>
      </c>
      <c r="E59" s="103">
        <f>INDEX('NAIC PBR Sprd and Dflt Source'!$C$41:$X$70,MATCH($D59,'NAIC PBR Sprd and Dflt Source'!$B$41:$B$70,0),MATCH(E$49,'NAIC PBR Sprd and Dflt Source'!$C$73:$X$73,0))/10000</f>
        <v>4.692E-3</v>
      </c>
      <c r="F59" s="103">
        <f>INDEX('NAIC PBR Sprd and Dflt Source'!$C$41:$X$70,MATCH($D59,'NAIC PBR Sprd and Dflt Source'!$B$41:$B$70,0),MATCH(F$49,'NAIC PBR Sprd and Dflt Source'!$C$73:$X$73,0))/10000</f>
        <v>6.7540000000000005E-3</v>
      </c>
      <c r="G59" s="103">
        <f>INDEX('NAIC PBR Sprd and Dflt Source'!$C$41:$X$70,MATCH($D59,'NAIC PBR Sprd and Dflt Source'!$B$41:$B$70,0),MATCH(G$49,'NAIC PBR Sprd and Dflt Source'!$C$73:$X$73,0))/10000</f>
        <v>9.4709999999999985E-3</v>
      </c>
      <c r="H59" s="103">
        <f>INDEX('NAIC PBR Sprd and Dflt Source'!$C$41:$X$70,MATCH($D59,'NAIC PBR Sprd and Dflt Source'!$B$41:$B$70,0),MATCH(H$49,'NAIC PBR Sprd and Dflt Source'!$C$73:$X$73,0))/10000</f>
        <v>1.3824000000000001E-2</v>
      </c>
      <c r="I59" s="103">
        <f>INDEX('NAIC PBR Sprd and Dflt Source'!$C$41:$X$70,MATCH($D59,'NAIC PBR Sprd and Dflt Source'!$B$41:$B$70,0),MATCH(I$49,'NAIC PBR Sprd and Dflt Source'!$C$73:$X$73,0))/10000</f>
        <v>2.0074999999999999E-2</v>
      </c>
      <c r="J59" s="103">
        <f>INDEX('NAIC PBR Sprd and Dflt Source'!$C$41:$X$70,MATCH($D59,'NAIC PBR Sprd and Dflt Source'!$B$41:$B$70,0),MATCH(J$49,'NAIC PBR Sprd and Dflt Source'!$C$73:$X$73,0))/10000</f>
        <v>3.1899000000000004E-2</v>
      </c>
      <c r="K59" s="104">
        <f>INDEX('NAIC PBR Sprd and Dflt Source'!$C$41:$X$70,MATCH($D59,'NAIC PBR Sprd and Dflt Source'!$B$41:$B$70,0),MATCH(K$49,'NAIC PBR Sprd and Dflt Source'!$C$73:$X$73,0))/10000</f>
        <v>8.5199999999999998E-2</v>
      </c>
      <c r="L59"/>
    </row>
    <row r="60" spans="1:12" x14ac:dyDescent="0.2">
      <c r="B60" s="102">
        <v>45382</v>
      </c>
      <c r="C60" s="156">
        <v>1</v>
      </c>
      <c r="D60" s="156">
        <v>25</v>
      </c>
      <c r="E60" s="103">
        <f>INDEX('NAIC PBR Sprd and Dflt Source'!$C$41:$X$70,MATCH($D60,'NAIC PBR Sprd and Dflt Source'!$B$41:$B$70,0),MATCH(E$49,'NAIC PBR Sprd and Dflt Source'!$C$73:$X$73,0))/10000</f>
        <v>3.8869999999999998E-3</v>
      </c>
      <c r="F60" s="103">
        <f>INDEX('NAIC PBR Sprd and Dflt Source'!$C$41:$X$70,MATCH($D60,'NAIC PBR Sprd and Dflt Source'!$B$41:$B$70,0),MATCH(F$49,'NAIC PBR Sprd and Dflt Source'!$C$73:$X$73,0))/10000</f>
        <v>6.9980000000000007E-3</v>
      </c>
      <c r="G60" s="103">
        <f>INDEX('NAIC PBR Sprd and Dflt Source'!$C$41:$X$70,MATCH($D60,'NAIC PBR Sprd and Dflt Source'!$B$41:$B$70,0),MATCH(G$49,'NAIC PBR Sprd and Dflt Source'!$C$73:$X$73,0))/10000</f>
        <v>9.2319999999999989E-3</v>
      </c>
      <c r="H60" s="103">
        <f>INDEX('NAIC PBR Sprd and Dflt Source'!$C$41:$X$70,MATCH($D60,'NAIC PBR Sprd and Dflt Source'!$B$41:$B$70,0),MATCH(H$49,'NAIC PBR Sprd and Dflt Source'!$C$73:$X$73,0))/10000</f>
        <v>1.3974E-2</v>
      </c>
      <c r="I60" s="103">
        <f>INDEX('NAIC PBR Sprd and Dflt Source'!$C$41:$X$70,MATCH($D60,'NAIC PBR Sprd and Dflt Source'!$B$41:$B$70,0),MATCH(I$49,'NAIC PBR Sprd and Dflt Source'!$C$73:$X$73,0))/10000</f>
        <v>2.0074999999999999E-2</v>
      </c>
      <c r="J60" s="103">
        <f>INDEX('NAIC PBR Sprd and Dflt Source'!$C$41:$X$70,MATCH($D60,'NAIC PBR Sprd and Dflt Source'!$B$41:$B$70,0),MATCH(J$49,'NAIC PBR Sprd and Dflt Source'!$C$73:$X$73,0))/10000</f>
        <v>3.1899000000000004E-2</v>
      </c>
      <c r="K60" s="104">
        <f>INDEX('NAIC PBR Sprd and Dflt Source'!$C$41:$X$70,MATCH($D60,'NAIC PBR Sprd and Dflt Source'!$B$41:$B$70,0),MATCH(K$49,'NAIC PBR Sprd and Dflt Source'!$C$73:$X$73,0))/10000</f>
        <v>8.5199999999999998E-2</v>
      </c>
      <c r="L60"/>
    </row>
    <row r="61" spans="1:12" x14ac:dyDescent="0.2">
      <c r="B61" s="102">
        <v>45382</v>
      </c>
      <c r="C61" s="156">
        <v>1</v>
      </c>
      <c r="D61" s="156">
        <v>30</v>
      </c>
      <c r="E61" s="106">
        <f>INDEX('NAIC PBR Sprd and Dflt Source'!$C$41:$X$70,MATCH($D61,'NAIC PBR Sprd and Dflt Source'!$B$41:$B$70,0),MATCH(E$49,'NAIC PBR Sprd and Dflt Source'!$C$73:$X$73,0))/10000</f>
        <v>3.0820000000000001E-3</v>
      </c>
      <c r="F61" s="106">
        <f>INDEX('NAIC PBR Sprd and Dflt Source'!$C$41:$X$70,MATCH($D61,'NAIC PBR Sprd and Dflt Source'!$B$41:$B$70,0),MATCH(F$49,'NAIC PBR Sprd and Dflt Source'!$C$73:$X$73,0))/10000</f>
        <v>7.2420000000000002E-3</v>
      </c>
      <c r="G61" s="106">
        <f>INDEX('NAIC PBR Sprd and Dflt Source'!$C$41:$X$70,MATCH($D61,'NAIC PBR Sprd and Dflt Source'!$B$41:$B$70,0),MATCH(G$49,'NAIC PBR Sprd and Dflt Source'!$C$73:$X$73,0))/10000</f>
        <v>8.9940000000000003E-3</v>
      </c>
      <c r="H61" s="106">
        <f>INDEX('NAIC PBR Sprd and Dflt Source'!$C$41:$X$70,MATCH($D61,'NAIC PBR Sprd and Dflt Source'!$B$41:$B$70,0),MATCH(H$49,'NAIC PBR Sprd and Dflt Source'!$C$73:$X$73,0))/10000</f>
        <v>1.4124000000000001E-2</v>
      </c>
      <c r="I61" s="106">
        <f>INDEX('NAIC PBR Sprd and Dflt Source'!$C$41:$X$70,MATCH($D61,'NAIC PBR Sprd and Dflt Source'!$B$41:$B$70,0),MATCH(I$49,'NAIC PBR Sprd and Dflt Source'!$C$73:$X$73,0))/10000</f>
        <v>2.0074999999999999E-2</v>
      </c>
      <c r="J61" s="106">
        <f>INDEX('NAIC PBR Sprd and Dflt Source'!$C$41:$X$70,MATCH($D61,'NAIC PBR Sprd and Dflt Source'!$B$41:$B$70,0),MATCH(J$49,'NAIC PBR Sprd and Dflt Source'!$C$73:$X$73,0))/10000</f>
        <v>3.1899000000000004E-2</v>
      </c>
      <c r="K61" s="107">
        <f>INDEX('NAIC PBR Sprd and Dflt Source'!$C$41:$X$70,MATCH($D61,'NAIC PBR Sprd and Dflt Source'!$B$41:$B$70,0),MATCH(K$49,'NAIC PBR Sprd and Dflt Source'!$C$73:$X$73,0))/10000</f>
        <v>8.5199999999999998E-2</v>
      </c>
      <c r="L61"/>
    </row>
    <row r="62" spans="1:12" x14ac:dyDescent="0.2">
      <c r="B62" s="102">
        <v>45382</v>
      </c>
      <c r="C62" s="156">
        <v>4</v>
      </c>
      <c r="D62" s="156">
        <v>1</v>
      </c>
      <c r="E62" s="103">
        <f>INDEX('NAIC PBR Sprd and Dflt Source'!$C$82:$X$111,MATCH($D62,'NAIC PBR Sprd and Dflt Source'!$B$82:$B$111,0),MATCH(E$49,'NAIC PBR Sprd and Dflt Source'!$C$114:$X$114,0))/10000</f>
        <v>2.7539999999999999E-3</v>
      </c>
      <c r="F62" s="103">
        <f>INDEX('NAIC PBR Sprd and Dflt Source'!$C$82:$X$111,MATCH($D62,'NAIC PBR Sprd and Dflt Source'!$B$82:$B$111,0),MATCH(F$49,'NAIC PBR Sprd and Dflt Source'!$C$114:$X$114,0))/10000</f>
        <v>4.398E-3</v>
      </c>
      <c r="G62" s="103">
        <f>INDEX('NAIC PBR Sprd and Dflt Source'!$C$82:$X$111,MATCH($D62,'NAIC PBR Sprd and Dflt Source'!$B$82:$B$111,0),MATCH(G$49,'NAIC PBR Sprd and Dflt Source'!$C$114:$X$114,0))/10000</f>
        <v>6.7749999999999998E-3</v>
      </c>
      <c r="H62" s="103">
        <f>INDEX('NAIC PBR Sprd and Dflt Source'!$C$82:$X$111,MATCH($D62,'NAIC PBR Sprd and Dflt Source'!$B$82:$B$111,0),MATCH(H$49,'NAIC PBR Sprd and Dflt Source'!$C$114:$X$114,0))/10000</f>
        <v>1.1723000000000001E-2</v>
      </c>
      <c r="I62" s="103">
        <f>INDEX('NAIC PBR Sprd and Dflt Source'!$C$82:$X$111,MATCH($D62,'NAIC PBR Sprd and Dflt Source'!$B$82:$B$111,0),MATCH(I$49,'NAIC PBR Sprd and Dflt Source'!$C$114:$X$114,0))/10000</f>
        <v>3.3918000000000004E-2</v>
      </c>
      <c r="J62" s="103">
        <f>INDEX('NAIC PBR Sprd and Dflt Source'!$C$82:$X$111,MATCH($D62,'NAIC PBR Sprd and Dflt Source'!$B$82:$B$111,0),MATCH(J$49,'NAIC PBR Sprd and Dflt Source'!$C$114:$X$114,0))/10000</f>
        <v>5.1144999999999996E-2</v>
      </c>
      <c r="K62" s="104">
        <f>INDEX('NAIC PBR Sprd and Dflt Source'!$C$82:$X$111,MATCH($D62,'NAIC PBR Sprd and Dflt Source'!$B$82:$B$111,0),MATCH(K$49,'NAIC PBR Sprd and Dflt Source'!$C$114:$X$114,0))/10000</f>
        <v>9.9473000000000006E-2</v>
      </c>
      <c r="L62"/>
    </row>
    <row r="63" spans="1:12" x14ac:dyDescent="0.2">
      <c r="B63" s="102">
        <v>45382</v>
      </c>
      <c r="C63" s="156">
        <v>4</v>
      </c>
      <c r="D63" s="156">
        <v>2</v>
      </c>
      <c r="E63" s="103">
        <f>INDEX('NAIC PBR Sprd and Dflt Source'!$C$82:$X$111,MATCH($D63,'NAIC PBR Sprd and Dflt Source'!$B$82:$B$111,0),MATCH(E$49,'NAIC PBR Sprd and Dflt Source'!$C$114:$X$114,0))/10000</f>
        <v>3.271E-3</v>
      </c>
      <c r="F63" s="103">
        <f>INDEX('NAIC PBR Sprd and Dflt Source'!$C$82:$X$111,MATCH($D63,'NAIC PBR Sprd and Dflt Source'!$B$82:$B$111,0),MATCH(F$49,'NAIC PBR Sprd and Dflt Source'!$C$114:$X$114,0))/10000</f>
        <v>5.2259999999999997E-3</v>
      </c>
      <c r="G63" s="103">
        <f>INDEX('NAIC PBR Sprd and Dflt Source'!$C$82:$X$111,MATCH($D63,'NAIC PBR Sprd and Dflt Source'!$B$82:$B$111,0),MATCH(G$49,'NAIC PBR Sprd and Dflt Source'!$C$114:$X$114,0))/10000</f>
        <v>7.8250000000000004E-3</v>
      </c>
      <c r="H63" s="103">
        <f>INDEX('NAIC PBR Sprd and Dflt Source'!$C$82:$X$111,MATCH($D63,'NAIC PBR Sprd and Dflt Source'!$B$82:$B$111,0),MATCH(H$49,'NAIC PBR Sprd and Dflt Source'!$C$114:$X$114,0))/10000</f>
        <v>1.3009E-2</v>
      </c>
      <c r="I63" s="103">
        <f>INDEX('NAIC PBR Sprd and Dflt Source'!$C$82:$X$111,MATCH($D63,'NAIC PBR Sprd and Dflt Source'!$B$82:$B$111,0),MATCH(I$49,'NAIC PBR Sprd and Dflt Source'!$C$114:$X$114,0))/10000</f>
        <v>3.3918000000000004E-2</v>
      </c>
      <c r="J63" s="103">
        <f>INDEX('NAIC PBR Sprd and Dflt Source'!$C$82:$X$111,MATCH($D63,'NAIC PBR Sprd and Dflt Source'!$B$82:$B$111,0),MATCH(J$49,'NAIC PBR Sprd and Dflt Source'!$C$114:$X$114,0))/10000</f>
        <v>5.1144999999999996E-2</v>
      </c>
      <c r="K63" s="104">
        <f>INDEX('NAIC PBR Sprd and Dflt Source'!$C$82:$X$111,MATCH($D63,'NAIC PBR Sprd and Dflt Source'!$B$82:$B$111,0),MATCH(K$49,'NAIC PBR Sprd and Dflt Source'!$C$114:$X$114,0))/10000</f>
        <v>9.9473000000000006E-2</v>
      </c>
      <c r="L63"/>
    </row>
    <row r="64" spans="1:12" x14ac:dyDescent="0.2">
      <c r="B64" s="102">
        <v>45382</v>
      </c>
      <c r="C64" s="156">
        <v>4</v>
      </c>
      <c r="D64" s="156">
        <v>3</v>
      </c>
      <c r="E64" s="103">
        <f>INDEX('NAIC PBR Sprd and Dflt Source'!$C$82:$X$111,MATCH($D64,'NAIC PBR Sprd and Dflt Source'!$B$82:$B$111,0),MATCH(E$49,'NAIC PBR Sprd and Dflt Source'!$C$114:$X$114,0))/10000</f>
        <v>3.7880000000000001E-3</v>
      </c>
      <c r="F64" s="103">
        <f>INDEX('NAIC PBR Sprd and Dflt Source'!$C$82:$X$111,MATCH($D64,'NAIC PBR Sprd and Dflt Source'!$B$82:$B$111,0),MATCH(F$49,'NAIC PBR Sprd and Dflt Source'!$C$114:$X$114,0))/10000</f>
        <v>6.0530000000000002E-3</v>
      </c>
      <c r="G64" s="103">
        <f>INDEX('NAIC PBR Sprd and Dflt Source'!$C$82:$X$111,MATCH($D64,'NAIC PBR Sprd and Dflt Source'!$B$82:$B$111,0),MATCH(G$49,'NAIC PBR Sprd and Dflt Source'!$C$114:$X$114,0))/10000</f>
        <v>8.8739999999999999E-3</v>
      </c>
      <c r="H64" s="103">
        <f>INDEX('NAIC PBR Sprd and Dflt Source'!$C$82:$X$111,MATCH($D64,'NAIC PBR Sprd and Dflt Source'!$B$82:$B$111,0),MATCH(H$49,'NAIC PBR Sprd and Dflt Source'!$C$114:$X$114,0))/10000</f>
        <v>1.4294999999999999E-2</v>
      </c>
      <c r="I64" s="103">
        <f>INDEX('NAIC PBR Sprd and Dflt Source'!$C$82:$X$111,MATCH($D64,'NAIC PBR Sprd and Dflt Source'!$B$82:$B$111,0),MATCH(I$49,'NAIC PBR Sprd and Dflt Source'!$C$114:$X$114,0))/10000</f>
        <v>3.3918000000000004E-2</v>
      </c>
      <c r="J64" s="103">
        <f>INDEX('NAIC PBR Sprd and Dflt Source'!$C$82:$X$111,MATCH($D64,'NAIC PBR Sprd and Dflt Source'!$B$82:$B$111,0),MATCH(J$49,'NAIC PBR Sprd and Dflt Source'!$C$114:$X$114,0))/10000</f>
        <v>5.1144999999999996E-2</v>
      </c>
      <c r="K64" s="104">
        <f>INDEX('NAIC PBR Sprd and Dflt Source'!$C$82:$X$111,MATCH($D64,'NAIC PBR Sprd and Dflt Source'!$B$82:$B$111,0),MATCH(K$49,'NAIC PBR Sprd and Dflt Source'!$C$114:$X$114,0))/10000</f>
        <v>9.9473000000000006E-2</v>
      </c>
      <c r="L64"/>
    </row>
    <row r="65" spans="1:12" x14ac:dyDescent="0.2">
      <c r="B65" s="102">
        <v>45382</v>
      </c>
      <c r="C65" s="156">
        <v>4</v>
      </c>
      <c r="D65" s="156">
        <v>4</v>
      </c>
      <c r="E65" s="103">
        <f>INDEX('NAIC PBR Sprd and Dflt Source'!$C$82:$X$111,MATCH($D65,'NAIC PBR Sprd and Dflt Source'!$B$82:$B$111,0),MATCH(E$49,'NAIC PBR Sprd and Dflt Source'!$C$114:$X$114,0))/10000</f>
        <v>4.3039999999999997E-3</v>
      </c>
      <c r="F65" s="103">
        <f>INDEX('NAIC PBR Sprd and Dflt Source'!$C$82:$X$111,MATCH($D65,'NAIC PBR Sprd and Dflt Source'!$B$82:$B$111,0),MATCH(F$49,'NAIC PBR Sprd and Dflt Source'!$C$114:$X$114,0))/10000</f>
        <v>6.881E-3</v>
      </c>
      <c r="G65" s="103">
        <f>INDEX('NAIC PBR Sprd and Dflt Source'!$C$82:$X$111,MATCH($D65,'NAIC PBR Sprd and Dflt Source'!$B$82:$B$111,0),MATCH(G$49,'NAIC PBR Sprd and Dflt Source'!$C$114:$X$114,0))/10000</f>
        <v>9.9239999999999988E-3</v>
      </c>
      <c r="H65" s="103">
        <f>INDEX('NAIC PBR Sprd and Dflt Source'!$C$82:$X$111,MATCH($D65,'NAIC PBR Sprd and Dflt Source'!$B$82:$B$111,0),MATCH(H$49,'NAIC PBR Sprd and Dflt Source'!$C$114:$X$114,0))/10000</f>
        <v>1.5581999999999999E-2</v>
      </c>
      <c r="I65" s="103">
        <f>INDEX('NAIC PBR Sprd and Dflt Source'!$C$82:$X$111,MATCH($D65,'NAIC PBR Sprd and Dflt Source'!$B$82:$B$111,0),MATCH(I$49,'NAIC PBR Sprd and Dflt Source'!$C$114:$X$114,0))/10000</f>
        <v>3.3918000000000004E-2</v>
      </c>
      <c r="J65" s="103">
        <f>INDEX('NAIC PBR Sprd and Dflt Source'!$C$82:$X$111,MATCH($D65,'NAIC PBR Sprd and Dflt Source'!$B$82:$B$111,0),MATCH(J$49,'NAIC PBR Sprd and Dflt Source'!$C$114:$X$114,0))/10000</f>
        <v>5.1144999999999996E-2</v>
      </c>
      <c r="K65" s="104">
        <f>INDEX('NAIC PBR Sprd and Dflt Source'!$C$82:$X$111,MATCH($D65,'NAIC PBR Sprd and Dflt Source'!$B$82:$B$111,0),MATCH(K$49,'NAIC PBR Sprd and Dflt Source'!$C$114:$X$114,0))/10000</f>
        <v>9.9473000000000006E-2</v>
      </c>
      <c r="L65"/>
    </row>
    <row r="66" spans="1:12" x14ac:dyDescent="0.2">
      <c r="B66" s="102">
        <v>45382</v>
      </c>
      <c r="C66" s="156">
        <v>4</v>
      </c>
      <c r="D66" s="156">
        <v>5</v>
      </c>
      <c r="E66" s="103">
        <f>INDEX('NAIC PBR Sprd and Dflt Source'!$C$82:$X$111,MATCH($D66,'NAIC PBR Sprd and Dflt Source'!$B$82:$B$111,0),MATCH(E$49,'NAIC PBR Sprd and Dflt Source'!$C$114:$X$114,0))/10000</f>
        <v>5.0560000000000006E-3</v>
      </c>
      <c r="F66" s="103">
        <f>INDEX('NAIC PBR Sprd and Dflt Source'!$C$82:$X$111,MATCH($D66,'NAIC PBR Sprd and Dflt Source'!$B$82:$B$111,0),MATCH(F$49,'NAIC PBR Sprd and Dflt Source'!$C$114:$X$114,0))/10000</f>
        <v>7.5310000000000004E-3</v>
      </c>
      <c r="G66" s="103">
        <f>INDEX('NAIC PBR Sprd and Dflt Source'!$C$82:$X$111,MATCH($D66,'NAIC PBR Sprd and Dflt Source'!$B$82:$B$111,0),MATCH(G$49,'NAIC PBR Sprd and Dflt Source'!$C$114:$X$114,0))/10000</f>
        <v>1.0827E-2</v>
      </c>
      <c r="H66" s="103">
        <f>INDEX('NAIC PBR Sprd and Dflt Source'!$C$82:$X$111,MATCH($D66,'NAIC PBR Sprd and Dflt Source'!$B$82:$B$111,0),MATCH(H$49,'NAIC PBR Sprd and Dflt Source'!$C$114:$X$114,0))/10000</f>
        <v>1.6777E-2</v>
      </c>
      <c r="I66" s="103">
        <f>INDEX('NAIC PBR Sprd and Dflt Source'!$C$82:$X$111,MATCH($D66,'NAIC PBR Sprd and Dflt Source'!$B$82:$B$111,0),MATCH(I$49,'NAIC PBR Sprd and Dflt Source'!$C$114:$X$114,0))/10000</f>
        <v>3.3918000000000004E-2</v>
      </c>
      <c r="J66" s="103">
        <f>INDEX('NAIC PBR Sprd and Dflt Source'!$C$82:$X$111,MATCH($D66,'NAIC PBR Sprd and Dflt Source'!$B$82:$B$111,0),MATCH(J$49,'NAIC PBR Sprd and Dflt Source'!$C$114:$X$114,0))/10000</f>
        <v>5.1144999999999996E-2</v>
      </c>
      <c r="K66" s="104">
        <f>INDEX('NAIC PBR Sprd and Dflt Source'!$C$82:$X$111,MATCH($D66,'NAIC PBR Sprd and Dflt Source'!$B$82:$B$111,0),MATCH(K$49,'NAIC PBR Sprd and Dflt Source'!$C$114:$X$114,0))/10000</f>
        <v>9.9473000000000006E-2</v>
      </c>
      <c r="L66"/>
    </row>
    <row r="67" spans="1:12" x14ac:dyDescent="0.2">
      <c r="B67" s="102">
        <v>45382</v>
      </c>
      <c r="C67" s="156">
        <v>4</v>
      </c>
      <c r="D67" s="156">
        <v>7</v>
      </c>
      <c r="E67" s="103">
        <f>INDEX('NAIC PBR Sprd and Dflt Source'!$C$82:$X$111,MATCH($D67,'NAIC PBR Sprd and Dflt Source'!$B$82:$B$111,0),MATCH(E$49,'NAIC PBR Sprd and Dflt Source'!$C$114:$X$114,0))/10000</f>
        <v>6.1710000000000003E-3</v>
      </c>
      <c r="F67" s="103">
        <f>INDEX('NAIC PBR Sprd and Dflt Source'!$C$82:$X$111,MATCH($D67,'NAIC PBR Sprd and Dflt Source'!$B$82:$B$111,0),MATCH(F$49,'NAIC PBR Sprd and Dflt Source'!$C$114:$X$114,0))/10000</f>
        <v>8.6700000000000006E-3</v>
      </c>
      <c r="G67" s="103">
        <f>INDEX('NAIC PBR Sprd and Dflt Source'!$C$82:$X$111,MATCH($D67,'NAIC PBR Sprd and Dflt Source'!$B$82:$B$111,0),MATCH(G$49,'NAIC PBR Sprd and Dflt Source'!$C$114:$X$114,0))/10000</f>
        <v>1.2114E-2</v>
      </c>
      <c r="H67" s="103">
        <f>INDEX('NAIC PBR Sprd and Dflt Source'!$C$82:$X$111,MATCH($D67,'NAIC PBR Sprd and Dflt Source'!$B$82:$B$111,0),MATCH(H$49,'NAIC PBR Sprd and Dflt Source'!$C$114:$X$114,0))/10000</f>
        <v>1.8386000000000003E-2</v>
      </c>
      <c r="I67" s="103">
        <f>INDEX('NAIC PBR Sprd and Dflt Source'!$C$82:$X$111,MATCH($D67,'NAIC PBR Sprd and Dflt Source'!$B$82:$B$111,0),MATCH(I$49,'NAIC PBR Sprd and Dflt Source'!$C$114:$X$114,0))/10000</f>
        <v>3.3918000000000004E-2</v>
      </c>
      <c r="J67" s="103">
        <f>INDEX('NAIC PBR Sprd and Dflt Source'!$C$82:$X$111,MATCH($D67,'NAIC PBR Sprd and Dflt Source'!$B$82:$B$111,0),MATCH(J$49,'NAIC PBR Sprd and Dflt Source'!$C$114:$X$114,0))/10000</f>
        <v>5.1144999999999996E-2</v>
      </c>
      <c r="K67" s="104">
        <f>INDEX('NAIC PBR Sprd and Dflt Source'!$C$82:$X$111,MATCH($D67,'NAIC PBR Sprd and Dflt Source'!$B$82:$B$111,0),MATCH(K$49,'NAIC PBR Sprd and Dflt Source'!$C$114:$X$114,0))/10000</f>
        <v>9.9473000000000006E-2</v>
      </c>
      <c r="L67"/>
    </row>
    <row r="68" spans="1:12" x14ac:dyDescent="0.2">
      <c r="B68" s="102">
        <v>45382</v>
      </c>
      <c r="C68" s="156">
        <v>4</v>
      </c>
      <c r="D68" s="156">
        <v>10</v>
      </c>
      <c r="E68" s="103">
        <f>INDEX('NAIC PBR Sprd and Dflt Source'!$C$82:$X$111,MATCH($D68,'NAIC PBR Sprd and Dflt Source'!$B$82:$B$111,0),MATCH(E$49,'NAIC PBR Sprd and Dflt Source'!$C$114:$X$114,0))/10000</f>
        <v>7.0489999999999997E-3</v>
      </c>
      <c r="F68" s="103">
        <f>INDEX('NAIC PBR Sprd and Dflt Source'!$C$82:$X$111,MATCH($D68,'NAIC PBR Sprd and Dflt Source'!$B$82:$B$111,0),MATCH(F$49,'NAIC PBR Sprd and Dflt Source'!$C$114:$X$114,0))/10000</f>
        <v>9.8519999999999996E-3</v>
      </c>
      <c r="G68" s="103">
        <f>INDEX('NAIC PBR Sprd and Dflt Source'!$C$82:$X$111,MATCH($D68,'NAIC PBR Sprd and Dflt Source'!$B$82:$B$111,0),MATCH(G$49,'NAIC PBR Sprd and Dflt Source'!$C$114:$X$114,0))/10000</f>
        <v>1.3021000000000001E-2</v>
      </c>
      <c r="H68" s="103">
        <f>INDEX('NAIC PBR Sprd and Dflt Source'!$C$82:$X$111,MATCH($D68,'NAIC PBR Sprd and Dflt Source'!$B$82:$B$111,0),MATCH(H$49,'NAIC PBR Sprd and Dflt Source'!$C$114:$X$114,0))/10000</f>
        <v>1.9408000000000002E-2</v>
      </c>
      <c r="I68" s="103">
        <f>INDEX('NAIC PBR Sprd and Dflt Source'!$C$82:$X$111,MATCH($D68,'NAIC PBR Sprd and Dflt Source'!$B$82:$B$111,0),MATCH(I$49,'NAIC PBR Sprd and Dflt Source'!$C$114:$X$114,0))/10000</f>
        <v>3.3918000000000004E-2</v>
      </c>
      <c r="J68" s="103">
        <f>INDEX('NAIC PBR Sprd and Dflt Source'!$C$82:$X$111,MATCH($D68,'NAIC PBR Sprd and Dflt Source'!$B$82:$B$111,0),MATCH(J$49,'NAIC PBR Sprd and Dflt Source'!$C$114:$X$114,0))/10000</f>
        <v>5.1144999999999996E-2</v>
      </c>
      <c r="K68" s="104">
        <f>INDEX('NAIC PBR Sprd and Dflt Source'!$C$82:$X$111,MATCH($D68,'NAIC PBR Sprd and Dflt Source'!$B$82:$B$111,0),MATCH(K$49,'NAIC PBR Sprd and Dflt Source'!$C$114:$X$114,0))/10000</f>
        <v>9.9473000000000006E-2</v>
      </c>
      <c r="L68"/>
    </row>
    <row r="69" spans="1:12" x14ac:dyDescent="0.2">
      <c r="B69" s="102">
        <v>45382</v>
      </c>
      <c r="C69" s="156">
        <v>4</v>
      </c>
      <c r="D69" s="156">
        <v>15</v>
      </c>
      <c r="E69" s="103">
        <f>INDEX('NAIC PBR Sprd and Dflt Source'!$C$82:$X$111,MATCH($D69,'NAIC PBR Sprd and Dflt Source'!$B$82:$B$111,0),MATCH(E$49,'NAIC PBR Sprd and Dflt Source'!$C$114:$X$114,0))/10000</f>
        <v>7.8049999999999994E-3</v>
      </c>
      <c r="F69" s="103">
        <f>INDEX('NAIC PBR Sprd and Dflt Source'!$C$82:$X$111,MATCH($D69,'NAIC PBR Sprd and Dflt Source'!$B$82:$B$111,0),MATCH(F$49,'NAIC PBR Sprd and Dflt Source'!$C$114:$X$114,0))/10000</f>
        <v>1.0874E-2</v>
      </c>
      <c r="G69" s="103">
        <f>INDEX('NAIC PBR Sprd and Dflt Source'!$C$82:$X$111,MATCH($D69,'NAIC PBR Sprd and Dflt Source'!$B$82:$B$111,0),MATCH(G$49,'NAIC PBR Sprd and Dflt Source'!$C$114:$X$114,0))/10000</f>
        <v>1.3702000000000001E-2</v>
      </c>
      <c r="H69" s="103">
        <f>INDEX('NAIC PBR Sprd and Dflt Source'!$C$82:$X$111,MATCH($D69,'NAIC PBR Sprd and Dflt Source'!$B$82:$B$111,0),MATCH(H$49,'NAIC PBR Sprd and Dflt Source'!$C$114:$X$114,0))/10000</f>
        <v>2.0392E-2</v>
      </c>
      <c r="I69" s="103">
        <f>INDEX('NAIC PBR Sprd and Dflt Source'!$C$82:$X$111,MATCH($D69,'NAIC PBR Sprd and Dflt Source'!$B$82:$B$111,0),MATCH(I$49,'NAIC PBR Sprd and Dflt Source'!$C$114:$X$114,0))/10000</f>
        <v>3.3918000000000004E-2</v>
      </c>
      <c r="J69" s="103">
        <f>INDEX('NAIC PBR Sprd and Dflt Source'!$C$82:$X$111,MATCH($D69,'NAIC PBR Sprd and Dflt Source'!$B$82:$B$111,0),MATCH(J$49,'NAIC PBR Sprd and Dflt Source'!$C$114:$X$114,0))/10000</f>
        <v>5.1144999999999996E-2</v>
      </c>
      <c r="K69" s="104">
        <f>INDEX('NAIC PBR Sprd and Dflt Source'!$C$82:$X$111,MATCH($D69,'NAIC PBR Sprd and Dflt Source'!$B$82:$B$111,0),MATCH(K$49,'NAIC PBR Sprd and Dflt Source'!$C$114:$X$114,0))/10000</f>
        <v>9.9473000000000006E-2</v>
      </c>
      <c r="L69"/>
    </row>
    <row r="70" spans="1:12" x14ac:dyDescent="0.2">
      <c r="B70" s="102">
        <v>45382</v>
      </c>
      <c r="C70" s="156">
        <v>4</v>
      </c>
      <c r="D70" s="156">
        <v>20</v>
      </c>
      <c r="E70" s="103">
        <f>INDEX('NAIC PBR Sprd and Dflt Source'!$C$82:$X$111,MATCH($D70,'NAIC PBR Sprd and Dflt Source'!$B$82:$B$111,0),MATCH(E$49,'NAIC PBR Sprd and Dflt Source'!$C$114:$X$114,0))/10000</f>
        <v>8.5620000000000002E-3</v>
      </c>
      <c r="F70" s="103">
        <f>INDEX('NAIC PBR Sprd and Dflt Source'!$C$82:$X$111,MATCH($D70,'NAIC PBR Sprd and Dflt Source'!$B$82:$B$111,0),MATCH(F$49,'NAIC PBR Sprd and Dflt Source'!$C$114:$X$114,0))/10000</f>
        <v>1.1895999999999999E-2</v>
      </c>
      <c r="G70" s="103">
        <f>INDEX('NAIC PBR Sprd and Dflt Source'!$C$82:$X$111,MATCH($D70,'NAIC PBR Sprd and Dflt Source'!$B$82:$B$111,0),MATCH(G$49,'NAIC PBR Sprd and Dflt Source'!$C$114:$X$114,0))/10000</f>
        <v>1.4383000000000002E-2</v>
      </c>
      <c r="H70" s="103">
        <f>INDEX('NAIC PBR Sprd and Dflt Source'!$C$82:$X$111,MATCH($D70,'NAIC PBR Sprd and Dflt Source'!$B$82:$B$111,0),MATCH(H$49,'NAIC PBR Sprd and Dflt Source'!$C$114:$X$114,0))/10000</f>
        <v>2.1375000000000002E-2</v>
      </c>
      <c r="I70" s="103">
        <f>INDEX('NAIC PBR Sprd and Dflt Source'!$C$82:$X$111,MATCH($D70,'NAIC PBR Sprd and Dflt Source'!$B$82:$B$111,0),MATCH(I$49,'NAIC PBR Sprd and Dflt Source'!$C$114:$X$114,0))/10000</f>
        <v>3.3918000000000004E-2</v>
      </c>
      <c r="J70" s="103">
        <f>INDEX('NAIC PBR Sprd and Dflt Source'!$C$82:$X$111,MATCH($D70,'NAIC PBR Sprd and Dflt Source'!$B$82:$B$111,0),MATCH(J$49,'NAIC PBR Sprd and Dflt Source'!$C$114:$X$114,0))/10000</f>
        <v>5.1144999999999996E-2</v>
      </c>
      <c r="K70" s="104">
        <f>INDEX('NAIC PBR Sprd and Dflt Source'!$C$82:$X$111,MATCH($D70,'NAIC PBR Sprd and Dflt Source'!$B$82:$B$111,0),MATCH(K$49,'NAIC PBR Sprd and Dflt Source'!$C$114:$X$114,0))/10000</f>
        <v>9.9473000000000006E-2</v>
      </c>
      <c r="L70"/>
    </row>
    <row r="71" spans="1:12" x14ac:dyDescent="0.2">
      <c r="B71" s="102">
        <v>45382</v>
      </c>
      <c r="C71" s="156">
        <v>4</v>
      </c>
      <c r="D71" s="156">
        <v>25</v>
      </c>
      <c r="E71" s="103">
        <f>INDEX('NAIC PBR Sprd and Dflt Source'!$C$82:$X$111,MATCH($D71,'NAIC PBR Sprd and Dflt Source'!$B$82:$B$111,0),MATCH(E$49,'NAIC PBR Sprd and Dflt Source'!$C$114:$X$114,0))/10000</f>
        <v>9.3189999999999992E-3</v>
      </c>
      <c r="F71" s="103">
        <f>INDEX('NAIC PBR Sprd and Dflt Source'!$C$82:$X$111,MATCH($D71,'NAIC PBR Sprd and Dflt Source'!$B$82:$B$111,0),MATCH(F$49,'NAIC PBR Sprd and Dflt Source'!$C$114:$X$114,0))/10000</f>
        <v>1.2918000000000001E-2</v>
      </c>
      <c r="G71" s="103">
        <f>INDEX('NAIC PBR Sprd and Dflt Source'!$C$82:$X$111,MATCH($D71,'NAIC PBR Sprd and Dflt Source'!$B$82:$B$111,0),MATCH(G$49,'NAIC PBR Sprd and Dflt Source'!$C$114:$X$114,0))/10000</f>
        <v>1.5063E-2</v>
      </c>
      <c r="H71" s="103">
        <f>INDEX('NAIC PBR Sprd and Dflt Source'!$C$82:$X$111,MATCH($D71,'NAIC PBR Sprd and Dflt Source'!$B$82:$B$111,0),MATCH(H$49,'NAIC PBR Sprd and Dflt Source'!$C$114:$X$114,0))/10000</f>
        <v>2.2358000000000003E-2</v>
      </c>
      <c r="I71" s="103">
        <f>INDEX('NAIC PBR Sprd and Dflt Source'!$C$82:$X$111,MATCH($D71,'NAIC PBR Sprd and Dflt Source'!$B$82:$B$111,0),MATCH(I$49,'NAIC PBR Sprd and Dflt Source'!$C$114:$X$114,0))/10000</f>
        <v>3.3918000000000004E-2</v>
      </c>
      <c r="J71" s="103">
        <f>INDEX('NAIC PBR Sprd and Dflt Source'!$C$82:$X$111,MATCH($D71,'NAIC PBR Sprd and Dflt Source'!$B$82:$B$111,0),MATCH(J$49,'NAIC PBR Sprd and Dflt Source'!$C$114:$X$114,0))/10000</f>
        <v>5.1144999999999996E-2</v>
      </c>
      <c r="K71" s="104">
        <f>INDEX('NAIC PBR Sprd and Dflt Source'!$C$82:$X$111,MATCH($D71,'NAIC PBR Sprd and Dflt Source'!$B$82:$B$111,0),MATCH(K$49,'NAIC PBR Sprd and Dflt Source'!$C$114:$X$114,0))/10000</f>
        <v>9.9473000000000006E-2</v>
      </c>
      <c r="L71"/>
    </row>
    <row r="72" spans="1:12" x14ac:dyDescent="0.2">
      <c r="B72" s="102">
        <v>45382</v>
      </c>
      <c r="C72" s="198">
        <v>4</v>
      </c>
      <c r="D72" s="198">
        <v>30</v>
      </c>
      <c r="E72" s="106">
        <f>INDEX('NAIC PBR Sprd and Dflt Source'!$C$82:$X$111,MATCH($D72,'NAIC PBR Sprd and Dflt Source'!$B$82:$B$111,0),MATCH(E$49,'NAIC PBR Sprd and Dflt Source'!$C$114:$X$114,0))/10000</f>
        <v>1.0075000000000001E-2</v>
      </c>
      <c r="F72" s="106">
        <f>INDEX('NAIC PBR Sprd and Dflt Source'!$C$82:$X$111,MATCH($D72,'NAIC PBR Sprd and Dflt Source'!$B$82:$B$111,0),MATCH(F$49,'NAIC PBR Sprd and Dflt Source'!$C$114:$X$114,0))/10000</f>
        <v>1.3940000000000001E-2</v>
      </c>
      <c r="G72" s="106">
        <f>INDEX('NAIC PBR Sprd and Dflt Source'!$C$82:$X$111,MATCH($D72,'NAIC PBR Sprd and Dflt Source'!$B$82:$B$111,0),MATCH(G$49,'NAIC PBR Sprd and Dflt Source'!$C$114:$X$114,0))/10000</f>
        <v>1.5744000000000001E-2</v>
      </c>
      <c r="H72" s="106">
        <f>INDEX('NAIC PBR Sprd and Dflt Source'!$C$82:$X$111,MATCH($D72,'NAIC PBR Sprd and Dflt Source'!$B$82:$B$111,0),MATCH(H$49,'NAIC PBR Sprd and Dflt Source'!$C$114:$X$114,0))/10000</f>
        <v>2.3341000000000001E-2</v>
      </c>
      <c r="I72" s="106">
        <f>INDEX('NAIC PBR Sprd and Dflt Source'!$C$82:$X$111,MATCH($D72,'NAIC PBR Sprd and Dflt Source'!$B$82:$B$111,0),MATCH(I$49,'NAIC PBR Sprd and Dflt Source'!$C$114:$X$114,0))/10000</f>
        <v>3.3918000000000004E-2</v>
      </c>
      <c r="J72" s="106">
        <f>INDEX('NAIC PBR Sprd and Dflt Source'!$C$82:$X$111,MATCH($D72,'NAIC PBR Sprd and Dflt Source'!$B$82:$B$111,0),MATCH(J$49,'NAIC PBR Sprd and Dflt Source'!$C$114:$X$114,0))/10000</f>
        <v>5.1144999999999996E-2</v>
      </c>
      <c r="K72" s="107">
        <f>INDEX('NAIC PBR Sprd and Dflt Source'!$C$82:$X$111,MATCH($D72,'NAIC PBR Sprd and Dflt Source'!$B$82:$B$111,0),MATCH(K$49,'NAIC PBR Sprd and Dflt Source'!$C$114:$X$114,0))/10000</f>
        <v>9.9473000000000006E-2</v>
      </c>
      <c r="L72"/>
    </row>
    <row r="73" spans="1:12" x14ac:dyDescent="0.2">
      <c r="B73" s="130"/>
      <c r="C73" s="103"/>
      <c r="D73" s="103"/>
      <c r="E73" s="103"/>
      <c r="F73" s="103"/>
      <c r="G73" s="103"/>
      <c r="H73" s="103"/>
      <c r="I73" s="103"/>
      <c r="J73" s="103"/>
      <c r="K73" s="103"/>
    </row>
    <row r="74" spans="1:12" x14ac:dyDescent="0.2">
      <c r="A74" s="16" t="s">
        <v>9</v>
      </c>
      <c r="B74" s="19" t="str">
        <f ca="1">GetNameRange(B76)</f>
        <v>CreditSprdStochMult</v>
      </c>
      <c r="G74" s="12"/>
      <c r="H74" s="12"/>
      <c r="I74" s="12"/>
      <c r="J74" s="12"/>
    </row>
    <row r="75" spans="1:12" x14ac:dyDescent="0.2">
      <c r="A75" s="42" t="s">
        <v>103</v>
      </c>
      <c r="B75" s="108" t="s">
        <v>100</v>
      </c>
      <c r="C75" s="53" t="s">
        <v>104</v>
      </c>
      <c r="D75" s="66" t="s">
        <v>105</v>
      </c>
      <c r="G75" s="12"/>
      <c r="H75" s="12"/>
      <c r="I75" s="12"/>
      <c r="J75" s="12"/>
    </row>
    <row r="76" spans="1:12" x14ac:dyDescent="0.2">
      <c r="A76" s="13"/>
      <c r="B76" s="98" t="s">
        <v>108</v>
      </c>
      <c r="C76" s="51"/>
      <c r="D76" s="82"/>
      <c r="G76" s="12"/>
      <c r="H76" s="12"/>
      <c r="I76" s="12"/>
      <c r="J76" s="12"/>
    </row>
    <row r="77" spans="1:12" x14ac:dyDescent="0.2">
      <c r="B77" s="109" t="s">
        <v>84</v>
      </c>
      <c r="C77" s="103">
        <v>0</v>
      </c>
      <c r="D77" s="104">
        <v>0</v>
      </c>
      <c r="G77" s="12"/>
      <c r="H77" s="12"/>
      <c r="I77" s="12"/>
      <c r="J77" s="12"/>
    </row>
    <row r="78" spans="1:12" x14ac:dyDescent="0.2">
      <c r="B78" s="109" t="s">
        <v>106</v>
      </c>
      <c r="C78" s="103">
        <v>0</v>
      </c>
      <c r="D78" s="104">
        <v>0</v>
      </c>
      <c r="G78" s="12"/>
      <c r="H78" s="12"/>
      <c r="I78" s="12"/>
      <c r="J78" s="12"/>
    </row>
    <row r="79" spans="1:12" x14ac:dyDescent="0.2">
      <c r="B79" s="110" t="s">
        <v>107</v>
      </c>
      <c r="C79" s="106">
        <v>0</v>
      </c>
      <c r="D79" s="107">
        <v>0</v>
      </c>
      <c r="G79" s="12"/>
      <c r="H79" s="12"/>
      <c r="I79" s="12"/>
      <c r="J79" s="12"/>
    </row>
    <row r="80" spans="1:12" x14ac:dyDescent="0.2">
      <c r="E80" s="12"/>
      <c r="F80" s="12"/>
      <c r="G80" s="12"/>
      <c r="H80" s="12"/>
      <c r="I80" s="12"/>
      <c r="J80" s="12"/>
    </row>
    <row r="81" spans="1:14" x14ac:dyDescent="0.2">
      <c r="A81" s="16" t="s">
        <v>9</v>
      </c>
      <c r="B81" s="19" t="str">
        <f ca="1">GetNameRange(B83)</f>
        <v>DfltRateDeterministic</v>
      </c>
      <c r="E81" s="12"/>
      <c r="F81" s="12"/>
      <c r="G81" s="12"/>
      <c r="H81" s="12"/>
      <c r="I81" s="12"/>
      <c r="J81" s="12"/>
    </row>
    <row r="82" spans="1:14" x14ac:dyDescent="0.2">
      <c r="A82" s="42" t="s">
        <v>103</v>
      </c>
      <c r="B82" s="108" t="s">
        <v>100</v>
      </c>
      <c r="C82" s="192" t="s">
        <v>104</v>
      </c>
      <c r="D82" s="79" t="s">
        <v>106</v>
      </c>
      <c r="E82" s="79" t="s">
        <v>97</v>
      </c>
      <c r="F82" s="79" t="s">
        <v>107</v>
      </c>
      <c r="G82" s="79" t="s">
        <v>105</v>
      </c>
      <c r="H82" s="79" t="s">
        <v>98</v>
      </c>
      <c r="I82" s="80" t="s">
        <v>184</v>
      </c>
      <c r="J82" s="80" t="s">
        <v>260</v>
      </c>
      <c r="K82" s="80" t="s">
        <v>261</v>
      </c>
    </row>
    <row r="83" spans="1:14" x14ac:dyDescent="0.2">
      <c r="A83" s="13"/>
      <c r="B83" s="98" t="s">
        <v>99</v>
      </c>
      <c r="C83" s="241"/>
      <c r="D83" s="193"/>
      <c r="E83" s="193"/>
      <c r="F83" s="193"/>
      <c r="G83" s="193"/>
      <c r="H83" s="193"/>
      <c r="I83" s="82"/>
      <c r="J83" s="82"/>
      <c r="K83" s="82"/>
    </row>
    <row r="84" spans="1:14" x14ac:dyDescent="0.2">
      <c r="B84" s="102">
        <v>45382</v>
      </c>
      <c r="C84" s="194">
        <v>0</v>
      </c>
      <c r="D84" s="106">
        <v>0</v>
      </c>
      <c r="E84" s="106">
        <v>0</v>
      </c>
      <c r="F84" s="106">
        <v>0</v>
      </c>
      <c r="G84" s="106">
        <v>0</v>
      </c>
      <c r="H84" s="106">
        <v>0</v>
      </c>
      <c r="I84" s="107">
        <v>0</v>
      </c>
      <c r="J84" s="107">
        <v>0</v>
      </c>
      <c r="K84" s="107">
        <v>0</v>
      </c>
    </row>
    <row r="85" spans="1:14" x14ac:dyDescent="0.2">
      <c r="B85" s="130"/>
      <c r="C85" s="103"/>
      <c r="E85" s="12"/>
      <c r="F85" s="12"/>
      <c r="G85" s="12"/>
      <c r="H85" s="12"/>
      <c r="I85" s="12"/>
      <c r="J85" s="12"/>
    </row>
    <row r="86" spans="1:14" x14ac:dyDescent="0.2">
      <c r="A86" s="16" t="s">
        <v>9</v>
      </c>
      <c r="B86" s="19" t="str">
        <f ca="1">GetNameRange(B87)</f>
        <v>DfltRateDeterministicSub</v>
      </c>
      <c r="C86" s="103"/>
      <c r="E86" s="12"/>
      <c r="F86" s="12"/>
      <c r="G86" s="12"/>
      <c r="H86" s="12"/>
      <c r="I86" s="12"/>
      <c r="J86" s="12"/>
    </row>
    <row r="87" spans="1:14" x14ac:dyDescent="0.2">
      <c r="A87" s="42" t="s">
        <v>103</v>
      </c>
      <c r="B87" s="108" t="s">
        <v>100</v>
      </c>
      <c r="C87" s="53" t="s">
        <v>106</v>
      </c>
      <c r="D87" s="66" t="s">
        <v>107</v>
      </c>
      <c r="E87" s="12"/>
      <c r="F87" s="12"/>
      <c r="G87" s="12"/>
      <c r="H87" s="12"/>
      <c r="I87" s="12"/>
      <c r="J87" s="12"/>
    </row>
    <row r="88" spans="1:14" x14ac:dyDescent="0.2">
      <c r="B88" s="98" t="s">
        <v>99</v>
      </c>
      <c r="C88" s="51"/>
      <c r="D88" s="82"/>
      <c r="E88" s="12"/>
      <c r="F88" s="12"/>
      <c r="G88" s="12"/>
      <c r="H88" s="12"/>
      <c r="I88" s="12"/>
      <c r="J88" s="12"/>
    </row>
    <row r="89" spans="1:14" x14ac:dyDescent="0.2">
      <c r="B89" s="102">
        <v>45382</v>
      </c>
      <c r="C89" s="194">
        <v>0</v>
      </c>
      <c r="D89" s="106">
        <v>0</v>
      </c>
      <c r="E89" s="12"/>
      <c r="F89" s="12"/>
      <c r="G89" s="12"/>
      <c r="H89" s="12"/>
      <c r="I89" s="12"/>
      <c r="J89" s="12"/>
    </row>
    <row r="90" spans="1:14" x14ac:dyDescent="0.2">
      <c r="B90" s="130"/>
      <c r="C90" s="103"/>
    </row>
    <row r="91" spans="1:14" x14ac:dyDescent="0.2">
      <c r="A91" s="16" t="s">
        <v>9</v>
      </c>
      <c r="B91" s="19" t="str">
        <f ca="1">GetNameRange(B93)</f>
        <v>DfltRateDeterministic_VM21</v>
      </c>
      <c r="C91" s="12"/>
      <c r="E91" s="12"/>
      <c r="F91" s="12"/>
      <c r="G91" s="12"/>
      <c r="H91" s="12"/>
      <c r="I91" s="12"/>
      <c r="J91" s="12"/>
    </row>
    <row r="92" spans="1:14" x14ac:dyDescent="0.2">
      <c r="A92" s="42" t="s">
        <v>103</v>
      </c>
      <c r="B92" s="108"/>
      <c r="C92" s="108"/>
      <c r="D92" s="108" t="s">
        <v>101</v>
      </c>
      <c r="E92" s="195">
        <v>1</v>
      </c>
      <c r="F92" s="195">
        <v>2</v>
      </c>
      <c r="G92" s="195">
        <v>3</v>
      </c>
      <c r="H92" s="195">
        <v>4</v>
      </c>
      <c r="I92" s="195">
        <v>5</v>
      </c>
      <c r="J92" s="195">
        <v>6</v>
      </c>
      <c r="K92" s="195">
        <v>7</v>
      </c>
      <c r="L92" s="195">
        <v>8</v>
      </c>
      <c r="M92" s="195">
        <v>9</v>
      </c>
      <c r="N92" s="191">
        <v>10</v>
      </c>
    </row>
    <row r="93" spans="1:14" x14ac:dyDescent="0.2">
      <c r="B93" s="98" t="s">
        <v>99</v>
      </c>
      <c r="C93" s="98" t="s">
        <v>193</v>
      </c>
      <c r="D93" s="98" t="s">
        <v>100</v>
      </c>
      <c r="E93" s="99"/>
      <c r="F93" s="51"/>
      <c r="G93" s="51"/>
      <c r="H93" s="51"/>
      <c r="I93" s="51"/>
      <c r="J93" s="51"/>
      <c r="K93" s="51"/>
      <c r="L93" s="51"/>
      <c r="M93" s="51"/>
      <c r="N93" s="196"/>
    </row>
    <row r="94" spans="1:14" x14ac:dyDescent="0.2">
      <c r="B94" s="102">
        <v>45382</v>
      </c>
      <c r="C94" s="184">
        <v>1</v>
      </c>
      <c r="D94" s="184" t="s">
        <v>97</v>
      </c>
      <c r="E94" s="185">
        <f>INDEX('NAIC PBR Sprd and Dflt Source'!$D$10:$M$29,MATCH($D94,'NAIC PBR Sprd and Dflt Source'!$O$10:$O$29,0),MATCH(E$92,'NAIC PBR Sprd and Dflt Source'!$D$9:$M$9,0))/10000</f>
        <v>1.9999999999999999E-6</v>
      </c>
      <c r="F94" s="185">
        <f>INDEX('NAIC PBR Sprd and Dflt Source'!$D$10:$M$29,MATCH($D94,'NAIC PBR Sprd and Dflt Source'!$O$10:$O$29,0),MATCH(F$92,'NAIC PBR Sprd and Dflt Source'!$D$9:$M$9,0))/10000</f>
        <v>9.9999999999999995E-7</v>
      </c>
      <c r="G94" s="185">
        <f>INDEX('NAIC PBR Sprd and Dflt Source'!$D$10:$M$29,MATCH($D94,'NAIC PBR Sprd and Dflt Source'!$O$10:$O$29,0),MATCH(G$92,'NAIC PBR Sprd and Dflt Source'!$D$9:$M$9,0))/10000</f>
        <v>3.0000000000000001E-6</v>
      </c>
      <c r="H94" s="185">
        <f>INDEX('NAIC PBR Sprd and Dflt Source'!$D$10:$M$29,MATCH($D94,'NAIC PBR Sprd and Dflt Source'!$O$10:$O$29,0),MATCH(H$92,'NAIC PBR Sprd and Dflt Source'!$D$9:$M$9,0))/10000</f>
        <v>6.0000000000000002E-6</v>
      </c>
      <c r="I94" s="185">
        <f>INDEX('NAIC PBR Sprd and Dflt Source'!$D$10:$M$29,MATCH($D94,'NAIC PBR Sprd and Dflt Source'!$O$10:$O$29,0),MATCH(I$92,'NAIC PBR Sprd and Dflt Source'!$D$9:$M$9,0))/10000</f>
        <v>7.0000000000000007E-6</v>
      </c>
      <c r="J94" s="185">
        <f>INDEX('NAIC PBR Sprd and Dflt Source'!$D$10:$M$29,MATCH($D94,'NAIC PBR Sprd and Dflt Source'!$O$10:$O$29,0),MATCH(J$92,'NAIC PBR Sprd and Dflt Source'!$D$9:$M$9,0))/10000</f>
        <v>7.9999999999999996E-6</v>
      </c>
      <c r="K94" s="185">
        <f>INDEX('NAIC PBR Sprd and Dflt Source'!$D$10:$M$29,MATCH($D94,'NAIC PBR Sprd and Dflt Source'!$O$10:$O$29,0),MATCH(K$92,'NAIC PBR Sprd and Dflt Source'!$D$9:$M$9,0))/10000</f>
        <v>9.0000000000000002E-6</v>
      </c>
      <c r="L94" s="185">
        <f>INDEX('NAIC PBR Sprd and Dflt Source'!$D$10:$M$29,MATCH($D94,'NAIC PBR Sprd and Dflt Source'!$O$10:$O$29,0),MATCH(L$92,'NAIC PBR Sprd and Dflt Source'!$D$9:$M$9,0))/10000</f>
        <v>1.0000000000000001E-5</v>
      </c>
      <c r="M94" s="185">
        <f>INDEX('NAIC PBR Sprd and Dflt Source'!$D$10:$M$29,MATCH($D94,'NAIC PBR Sprd and Dflt Source'!$O$10:$O$29,0),MATCH(M$92,'NAIC PBR Sprd and Dflt Source'!$D$9:$M$9,0))/10000</f>
        <v>1.1E-5</v>
      </c>
      <c r="N94" s="197">
        <f>INDEX('NAIC PBR Sprd and Dflt Source'!$D$10:$M$29,MATCH($D94,'NAIC PBR Sprd and Dflt Source'!$O$10:$O$29,0),MATCH(N$92,'NAIC PBR Sprd and Dflt Source'!$D$9:$M$9,0))/10000</f>
        <v>1.2E-5</v>
      </c>
    </row>
    <row r="95" spans="1:14" x14ac:dyDescent="0.2">
      <c r="B95" s="102">
        <v>45382</v>
      </c>
      <c r="C95" s="156">
        <v>1</v>
      </c>
      <c r="D95" s="156" t="s">
        <v>106</v>
      </c>
      <c r="E95" s="103">
        <f>INDEX('NAIC PBR Sprd and Dflt Source'!$D$10:$M$29,MATCH($D95,'NAIC PBR Sprd and Dflt Source'!$O$10:$O$29,0),MATCH(E$92,'NAIC PBR Sprd and Dflt Source'!$D$9:$M$9,0))/10000</f>
        <v>2.0999999999999999E-5</v>
      </c>
      <c r="F95" s="103">
        <f>INDEX('NAIC PBR Sprd and Dflt Source'!$D$10:$M$29,MATCH($D95,'NAIC PBR Sprd and Dflt Source'!$O$10:$O$29,0),MATCH(F$92,'NAIC PBR Sprd and Dflt Source'!$D$9:$M$9,0))/10000</f>
        <v>5.8999999999999998E-5</v>
      </c>
      <c r="G95" s="103">
        <f>INDEX('NAIC PBR Sprd and Dflt Source'!$D$10:$M$29,MATCH($D95,'NAIC PBR Sprd and Dflt Source'!$O$10:$O$29,0),MATCH(G$92,'NAIC PBR Sprd and Dflt Source'!$D$9:$M$9,0))/10000</f>
        <v>1.1200000000000001E-4</v>
      </c>
      <c r="H95" s="103">
        <f>INDEX('NAIC PBR Sprd and Dflt Source'!$D$10:$M$29,MATCH($D95,'NAIC PBR Sprd and Dflt Source'!$O$10:$O$29,0),MATCH(H$92,'NAIC PBR Sprd and Dflt Source'!$D$9:$M$9,0))/10000</f>
        <v>1.45E-4</v>
      </c>
      <c r="I95" s="103">
        <f>INDEX('NAIC PBR Sprd and Dflt Source'!$D$10:$M$29,MATCH($D95,'NAIC PBR Sprd and Dflt Source'!$O$10:$O$29,0),MATCH(I$92,'NAIC PBR Sprd and Dflt Source'!$D$9:$M$9,0))/10000</f>
        <v>1.64E-4</v>
      </c>
      <c r="J95" s="103">
        <f>INDEX('NAIC PBR Sprd and Dflt Source'!$D$10:$M$29,MATCH($D95,'NAIC PBR Sprd and Dflt Source'!$O$10:$O$29,0),MATCH(J$92,'NAIC PBR Sprd and Dflt Source'!$D$9:$M$9,0))/10000</f>
        <v>1.7900000000000001E-4</v>
      </c>
      <c r="K95" s="103">
        <f>INDEX('NAIC PBR Sprd and Dflt Source'!$D$10:$M$29,MATCH($D95,'NAIC PBR Sprd and Dflt Source'!$O$10:$O$29,0),MATCH(K$92,'NAIC PBR Sprd and Dflt Source'!$D$9:$M$9,0))/10000</f>
        <v>1.8999999999999998E-4</v>
      </c>
      <c r="L95" s="103">
        <f>INDEX('NAIC PBR Sprd and Dflt Source'!$D$10:$M$29,MATCH($D95,'NAIC PBR Sprd and Dflt Source'!$O$10:$O$29,0),MATCH(L$92,'NAIC PBR Sprd and Dflt Source'!$D$9:$M$9,0))/10000</f>
        <v>2.0099999999999998E-4</v>
      </c>
      <c r="M95" s="103">
        <f>INDEX('NAIC PBR Sprd and Dflt Source'!$D$10:$M$29,MATCH($D95,'NAIC PBR Sprd and Dflt Source'!$O$10:$O$29,0),MATCH(M$92,'NAIC PBR Sprd and Dflt Source'!$D$9:$M$9,0))/10000</f>
        <v>2.1699999999999999E-4</v>
      </c>
      <c r="N95" s="104">
        <f>INDEX('NAIC PBR Sprd and Dflt Source'!$D$10:$M$29,MATCH($D95,'NAIC PBR Sprd and Dflt Source'!$O$10:$O$29,0),MATCH(N$92,'NAIC PBR Sprd and Dflt Source'!$D$9:$M$9,0))/10000</f>
        <v>2.3500000000000002E-4</v>
      </c>
    </row>
    <row r="96" spans="1:14" x14ac:dyDescent="0.2">
      <c r="B96" s="102">
        <v>45382</v>
      </c>
      <c r="C96" s="156">
        <v>1</v>
      </c>
      <c r="D96" s="156" t="s">
        <v>104</v>
      </c>
      <c r="E96" s="103">
        <f>INDEX('NAIC PBR Sprd and Dflt Source'!$D$10:$M$29,MATCH($D96,'NAIC PBR Sprd and Dflt Source'!$O$10:$O$29,0),MATCH(E$92,'NAIC PBR Sprd and Dflt Source'!$D$9:$M$9,0))/10000</f>
        <v>1.66E-4</v>
      </c>
      <c r="F96" s="103">
        <f>INDEX('NAIC PBR Sprd and Dflt Source'!$D$10:$M$29,MATCH($D96,'NAIC PBR Sprd and Dflt Source'!$O$10:$O$29,0),MATCH(F$92,'NAIC PBR Sprd and Dflt Source'!$D$9:$M$9,0))/10000</f>
        <v>5.1800000000000001E-4</v>
      </c>
      <c r="G96" s="103">
        <f>INDEX('NAIC PBR Sprd and Dflt Source'!$D$10:$M$29,MATCH($D96,'NAIC PBR Sprd and Dflt Source'!$O$10:$O$29,0),MATCH(G$92,'NAIC PBR Sprd and Dflt Source'!$D$9:$M$9,0))/10000</f>
        <v>9.5999999999999992E-4</v>
      </c>
      <c r="H96" s="103">
        <f>INDEX('NAIC PBR Sprd and Dflt Source'!$D$10:$M$29,MATCH($D96,'NAIC PBR Sprd and Dflt Source'!$O$10:$O$29,0),MATCH(H$92,'NAIC PBR Sprd and Dflt Source'!$D$9:$M$9,0))/10000</f>
        <v>1.07E-3</v>
      </c>
      <c r="I96" s="103">
        <f>INDEX('NAIC PBR Sprd and Dflt Source'!$D$10:$M$29,MATCH($D96,'NAIC PBR Sprd and Dflt Source'!$O$10:$O$29,0),MATCH(I$92,'NAIC PBR Sprd and Dflt Source'!$D$9:$M$9,0))/10000</f>
        <v>1.1300000000000001E-3</v>
      </c>
      <c r="J96" s="103">
        <f>INDEX('NAIC PBR Sprd and Dflt Source'!$D$10:$M$29,MATCH($D96,'NAIC PBR Sprd and Dflt Source'!$O$10:$O$29,0),MATCH(J$92,'NAIC PBR Sprd and Dflt Source'!$D$9:$M$9,0))/10000</f>
        <v>1.1800000000000001E-3</v>
      </c>
      <c r="K96" s="103">
        <f>INDEX('NAIC PBR Sprd and Dflt Source'!$D$10:$M$29,MATCH($D96,'NAIC PBR Sprd and Dflt Source'!$O$10:$O$29,0),MATCH(K$92,'NAIC PBR Sprd and Dflt Source'!$D$9:$M$9,0))/10000</f>
        <v>1.224E-3</v>
      </c>
      <c r="L96" s="103">
        <f>INDEX('NAIC PBR Sprd and Dflt Source'!$D$10:$M$29,MATCH($D96,'NAIC PBR Sprd and Dflt Source'!$O$10:$O$29,0),MATCH(L$92,'NAIC PBR Sprd and Dflt Source'!$D$9:$M$9,0))/10000</f>
        <v>1.245E-3</v>
      </c>
      <c r="M96" s="103">
        <f>INDEX('NAIC PBR Sprd and Dflt Source'!$D$10:$M$29,MATCH($D96,'NAIC PBR Sprd and Dflt Source'!$O$10:$O$29,0),MATCH(M$92,'NAIC PBR Sprd and Dflt Source'!$D$9:$M$9,0))/10000</f>
        <v>1.307E-3</v>
      </c>
      <c r="N96" s="104">
        <f>INDEX('NAIC PBR Sprd and Dflt Source'!$D$10:$M$29,MATCH($D96,'NAIC PBR Sprd and Dflt Source'!$O$10:$O$29,0),MATCH(N$92,'NAIC PBR Sprd and Dflt Source'!$D$9:$M$9,0))/10000</f>
        <v>1.426E-3</v>
      </c>
    </row>
    <row r="97" spans="2:14" x14ac:dyDescent="0.2">
      <c r="B97" s="102">
        <v>45382</v>
      </c>
      <c r="C97" s="156">
        <v>1</v>
      </c>
      <c r="D97" s="156" t="s">
        <v>98</v>
      </c>
      <c r="E97" s="103">
        <f>INDEX('NAIC PBR Sprd and Dflt Source'!$D$10:$M$29,MATCH($D97,'NAIC PBR Sprd and Dflt Source'!$O$10:$O$29,0),MATCH(E$92,'NAIC PBR Sprd and Dflt Source'!$D$9:$M$9,0))/10000</f>
        <v>2.6829999999999996E-3</v>
      </c>
      <c r="F97" s="103">
        <f>INDEX('NAIC PBR Sprd and Dflt Source'!$D$10:$M$29,MATCH($D97,'NAIC PBR Sprd and Dflt Source'!$O$10:$O$29,0),MATCH(F$92,'NAIC PBR Sprd and Dflt Source'!$D$9:$M$9,0))/10000</f>
        <v>3.6020000000000002E-3</v>
      </c>
      <c r="G97" s="103">
        <f>INDEX('NAIC PBR Sprd and Dflt Source'!$D$10:$M$29,MATCH($D97,'NAIC PBR Sprd and Dflt Source'!$O$10:$O$29,0),MATCH(G$92,'NAIC PBR Sprd and Dflt Source'!$D$9:$M$9,0))/10000</f>
        <v>3.7240000000000003E-3</v>
      </c>
      <c r="H97" s="103">
        <f>INDEX('NAIC PBR Sprd and Dflt Source'!$D$10:$M$29,MATCH($D97,'NAIC PBR Sprd and Dflt Source'!$O$10:$O$29,0),MATCH(H$92,'NAIC PBR Sprd and Dflt Source'!$D$9:$M$9,0))/10000</f>
        <v>3.8740000000000003E-3</v>
      </c>
      <c r="I97" s="103">
        <f>INDEX('NAIC PBR Sprd and Dflt Source'!$D$10:$M$29,MATCH($D97,'NAIC PBR Sprd and Dflt Source'!$O$10:$O$29,0),MATCH(I$92,'NAIC PBR Sprd and Dflt Source'!$D$9:$M$9,0))/10000</f>
        <v>3.9870000000000001E-3</v>
      </c>
      <c r="J97" s="103">
        <f>INDEX('NAIC PBR Sprd and Dflt Source'!$D$10:$M$29,MATCH($D97,'NAIC PBR Sprd and Dflt Source'!$O$10:$O$29,0),MATCH(J$92,'NAIC PBR Sprd and Dflt Source'!$D$9:$M$9,0))/10000</f>
        <v>4.1700000000000001E-3</v>
      </c>
      <c r="K97" s="103">
        <f>INDEX('NAIC PBR Sprd and Dflt Source'!$D$10:$M$29,MATCH($D97,'NAIC PBR Sprd and Dflt Source'!$O$10:$O$29,0),MATCH(K$92,'NAIC PBR Sprd and Dflt Source'!$D$9:$M$9,0))/10000</f>
        <v>4.359E-3</v>
      </c>
      <c r="L97" s="103">
        <f>INDEX('NAIC PBR Sprd and Dflt Source'!$D$10:$M$29,MATCH($D97,'NAIC PBR Sprd and Dflt Source'!$O$10:$O$29,0),MATCH(L$92,'NAIC PBR Sprd and Dflt Source'!$D$9:$M$9,0))/10000</f>
        <v>4.509E-3</v>
      </c>
      <c r="M97" s="103">
        <f>INDEX('NAIC PBR Sprd and Dflt Source'!$D$10:$M$29,MATCH($D97,'NAIC PBR Sprd and Dflt Source'!$O$10:$O$29,0),MATCH(M$92,'NAIC PBR Sprd and Dflt Source'!$D$9:$M$9,0))/10000</f>
        <v>4.5539999999999999E-3</v>
      </c>
      <c r="N97" s="104">
        <f>INDEX('NAIC PBR Sprd and Dflt Source'!$D$10:$M$29,MATCH($D97,'NAIC PBR Sprd and Dflt Source'!$O$10:$O$29,0),MATCH(N$92,'NAIC PBR Sprd and Dflt Source'!$D$9:$M$9,0))/10000</f>
        <v>4.5230000000000001E-3</v>
      </c>
    </row>
    <row r="98" spans="2:14" x14ac:dyDescent="0.2">
      <c r="B98" s="102">
        <v>45382</v>
      </c>
      <c r="C98" s="156">
        <v>1</v>
      </c>
      <c r="D98" s="156" t="s">
        <v>105</v>
      </c>
      <c r="E98" s="103">
        <f>INDEX('NAIC PBR Sprd and Dflt Source'!$D$10:$M$29,MATCH($D98,'NAIC PBR Sprd and Dflt Source'!$O$10:$O$29,0),MATCH(E$92,'NAIC PBR Sprd and Dflt Source'!$D$9:$M$9,0))/10000</f>
        <v>1.3105E-2</v>
      </c>
      <c r="F98" s="103">
        <f>INDEX('NAIC PBR Sprd and Dflt Source'!$D$10:$M$29,MATCH($D98,'NAIC PBR Sprd and Dflt Source'!$O$10:$O$29,0),MATCH(F$92,'NAIC PBR Sprd and Dflt Source'!$D$9:$M$9,0))/10000</f>
        <v>1.7197999999999998E-2</v>
      </c>
      <c r="G98" s="103">
        <f>INDEX('NAIC PBR Sprd and Dflt Source'!$D$10:$M$29,MATCH($D98,'NAIC PBR Sprd and Dflt Source'!$O$10:$O$29,0),MATCH(G$92,'NAIC PBR Sprd and Dflt Source'!$D$9:$M$9,0))/10000</f>
        <v>1.8807000000000001E-2</v>
      </c>
      <c r="H98" s="103">
        <f>INDEX('NAIC PBR Sprd and Dflt Source'!$D$10:$M$29,MATCH($D98,'NAIC PBR Sprd and Dflt Source'!$O$10:$O$29,0),MATCH(H$92,'NAIC PBR Sprd and Dflt Source'!$D$9:$M$9,0))/10000</f>
        <v>2.0112000000000001E-2</v>
      </c>
      <c r="I98" s="103">
        <f>INDEX('NAIC PBR Sprd and Dflt Source'!$D$10:$M$29,MATCH($D98,'NAIC PBR Sprd and Dflt Source'!$O$10:$O$29,0),MATCH(I$92,'NAIC PBR Sprd and Dflt Source'!$D$9:$M$9,0))/10000</f>
        <v>2.095E-2</v>
      </c>
      <c r="J98" s="103">
        <f>INDEX('NAIC PBR Sprd and Dflt Source'!$D$10:$M$29,MATCH($D98,'NAIC PBR Sprd and Dflt Source'!$O$10:$O$29,0),MATCH(J$92,'NAIC PBR Sprd and Dflt Source'!$D$9:$M$9,0))/10000</f>
        <v>2.0158000000000002E-2</v>
      </c>
      <c r="K98" s="103">
        <f>INDEX('NAIC PBR Sprd and Dflt Source'!$D$10:$M$29,MATCH($D98,'NAIC PBR Sprd and Dflt Source'!$O$10:$O$29,0),MATCH(K$92,'NAIC PBR Sprd and Dflt Source'!$D$9:$M$9,0))/10000</f>
        <v>1.9512000000000002E-2</v>
      </c>
      <c r="L98" s="103">
        <f>INDEX('NAIC PBR Sprd and Dflt Source'!$D$10:$M$29,MATCH($D98,'NAIC PBR Sprd and Dflt Source'!$O$10:$O$29,0),MATCH(L$92,'NAIC PBR Sprd and Dflt Source'!$D$9:$M$9,0))/10000</f>
        <v>1.9122E-2</v>
      </c>
      <c r="M98" s="103">
        <f>INDEX('NAIC PBR Sprd and Dflt Source'!$D$10:$M$29,MATCH($D98,'NAIC PBR Sprd and Dflt Source'!$O$10:$O$29,0),MATCH(M$92,'NAIC PBR Sprd and Dflt Source'!$D$9:$M$9,0))/10000</f>
        <v>1.8968000000000002E-2</v>
      </c>
      <c r="N98" s="104">
        <f>INDEX('NAIC PBR Sprd and Dflt Source'!$D$10:$M$29,MATCH($D98,'NAIC PBR Sprd and Dflt Source'!$O$10:$O$29,0),MATCH(N$92,'NAIC PBR Sprd and Dflt Source'!$D$9:$M$9,0))/10000</f>
        <v>1.8821999999999998E-2</v>
      </c>
    </row>
    <row r="99" spans="2:14" x14ac:dyDescent="0.2">
      <c r="B99" s="102">
        <v>45382</v>
      </c>
      <c r="C99" s="156">
        <v>1</v>
      </c>
      <c r="D99" s="156" t="s">
        <v>107</v>
      </c>
      <c r="E99" s="103">
        <f>INDEX('NAIC PBR Sprd and Dflt Source'!$D$10:$M$29,MATCH($D99,'NAIC PBR Sprd and Dflt Source'!$O$10:$O$29,0),MATCH(E$92,'NAIC PBR Sprd and Dflt Source'!$D$9:$M$9,0))/10000</f>
        <v>4.6574999999999998E-2</v>
      </c>
      <c r="F99" s="103">
        <f>INDEX('NAIC PBR Sprd and Dflt Source'!$D$10:$M$29,MATCH($D99,'NAIC PBR Sprd and Dflt Source'!$O$10:$O$29,0),MATCH(F$92,'NAIC PBR Sprd and Dflt Source'!$D$9:$M$9,0))/10000</f>
        <v>4.5864000000000002E-2</v>
      </c>
      <c r="G99" s="103">
        <f>INDEX('NAIC PBR Sprd and Dflt Source'!$D$10:$M$29,MATCH($D99,'NAIC PBR Sprd and Dflt Source'!$O$10:$O$29,0),MATCH(G$92,'NAIC PBR Sprd and Dflt Source'!$D$9:$M$9,0))/10000</f>
        <v>4.6656999999999997E-2</v>
      </c>
      <c r="H99" s="103">
        <f>INDEX('NAIC PBR Sprd and Dflt Source'!$D$10:$M$29,MATCH($D99,'NAIC PBR Sprd and Dflt Source'!$O$10:$O$29,0),MATCH(H$92,'NAIC PBR Sprd and Dflt Source'!$D$9:$M$9,0))/10000</f>
        <v>4.7724999999999997E-2</v>
      </c>
      <c r="I99" s="103">
        <f>INDEX('NAIC PBR Sprd and Dflt Source'!$D$10:$M$29,MATCH($D99,'NAIC PBR Sprd and Dflt Source'!$O$10:$O$29,0),MATCH(I$92,'NAIC PBR Sprd and Dflt Source'!$D$9:$M$9,0))/10000</f>
        <v>4.9230999999999997E-2</v>
      </c>
      <c r="J99" s="103">
        <f>INDEX('NAIC PBR Sprd and Dflt Source'!$D$10:$M$29,MATCH($D99,'NAIC PBR Sprd and Dflt Source'!$O$10:$O$29,0),MATCH(J$92,'NAIC PBR Sprd and Dflt Source'!$D$9:$M$9,0))/10000</f>
        <v>4.5995999999999995E-2</v>
      </c>
      <c r="K99" s="103">
        <f>INDEX('NAIC PBR Sprd and Dflt Source'!$D$10:$M$29,MATCH($D99,'NAIC PBR Sprd and Dflt Source'!$O$10:$O$29,0),MATCH(K$92,'NAIC PBR Sprd and Dflt Source'!$D$9:$M$9,0))/10000</f>
        <v>4.3630000000000002E-2</v>
      </c>
      <c r="L99" s="103">
        <f>INDEX('NAIC PBR Sprd and Dflt Source'!$D$10:$M$29,MATCH($D99,'NAIC PBR Sprd and Dflt Source'!$O$10:$O$29,0),MATCH(L$92,'NAIC PBR Sprd and Dflt Source'!$D$9:$M$9,0))/10000</f>
        <v>4.1938999999999997E-2</v>
      </c>
      <c r="M99" s="103">
        <f>INDEX('NAIC PBR Sprd and Dflt Source'!$D$10:$M$29,MATCH($D99,'NAIC PBR Sprd and Dflt Source'!$O$10:$O$29,0),MATCH(M$92,'NAIC PBR Sprd and Dflt Source'!$D$9:$M$9,0))/10000</f>
        <v>4.0978000000000001E-2</v>
      </c>
      <c r="N99" s="104">
        <f>INDEX('NAIC PBR Sprd and Dflt Source'!$D$10:$M$29,MATCH($D99,'NAIC PBR Sprd and Dflt Source'!$O$10:$O$29,0),MATCH(N$92,'NAIC PBR Sprd and Dflt Source'!$D$9:$M$9,0))/10000</f>
        <v>4.0343999999999998E-2</v>
      </c>
    </row>
    <row r="100" spans="2:14" x14ac:dyDescent="0.2">
      <c r="B100" s="102">
        <v>45382</v>
      </c>
      <c r="C100" s="156">
        <v>1</v>
      </c>
      <c r="D100" s="156" t="s">
        <v>184</v>
      </c>
      <c r="E100" s="103">
        <f>INDEX('NAIC PBR Sprd and Dflt Source'!$D$10:$M$29,MATCH($D100,'NAIC PBR Sprd and Dflt Source'!$O$10:$O$29,0),MATCH(E$92,'NAIC PBR Sprd and Dflt Source'!$D$9:$M$9,0))/10000</f>
        <v>8.9424000000000003E-2</v>
      </c>
      <c r="F100" s="103">
        <f>INDEX('NAIC PBR Sprd and Dflt Source'!$D$10:$M$29,MATCH($D100,'NAIC PBR Sprd and Dflt Source'!$O$10:$O$29,0),MATCH(F$92,'NAIC PBR Sprd and Dflt Source'!$D$9:$M$9,0))/10000</f>
        <v>7.3524000000000006E-2</v>
      </c>
      <c r="G100" s="103">
        <f>INDEX('NAIC PBR Sprd and Dflt Source'!$D$10:$M$29,MATCH($D100,'NAIC PBR Sprd and Dflt Source'!$O$10:$O$29,0),MATCH(G$92,'NAIC PBR Sprd and Dflt Source'!$D$9:$M$9,0))/10000</f>
        <v>7.0067999999999991E-2</v>
      </c>
      <c r="H100" s="103">
        <f>INDEX('NAIC PBR Sprd and Dflt Source'!$D$10:$M$29,MATCH($D100,'NAIC PBR Sprd and Dflt Source'!$O$10:$O$29,0),MATCH(H$92,'NAIC PBR Sprd and Dflt Source'!$D$9:$M$9,0))/10000</f>
        <v>7.0039000000000004E-2</v>
      </c>
      <c r="I100" s="103">
        <f>INDEX('NAIC PBR Sprd and Dflt Source'!$D$10:$M$29,MATCH($D100,'NAIC PBR Sprd and Dflt Source'!$O$10:$O$29,0),MATCH(I$92,'NAIC PBR Sprd and Dflt Source'!$D$9:$M$9,0))/10000</f>
        <v>7.1597000000000008E-2</v>
      </c>
      <c r="J100" s="103">
        <f>INDEX('NAIC PBR Sprd and Dflt Source'!$D$10:$M$29,MATCH($D100,'NAIC PBR Sprd and Dflt Source'!$O$10:$O$29,0),MATCH(J$92,'NAIC PBR Sprd and Dflt Source'!$D$9:$M$9,0))/10000</f>
        <v>6.6245999999999999E-2</v>
      </c>
      <c r="K100" s="103">
        <f>INDEX('NAIC PBR Sprd and Dflt Source'!$D$10:$M$29,MATCH($D100,'NAIC PBR Sprd and Dflt Source'!$O$10:$O$29,0),MATCH(K$92,'NAIC PBR Sprd and Dflt Source'!$D$9:$M$9,0))/10000</f>
        <v>6.3198000000000004E-2</v>
      </c>
      <c r="L100" s="103">
        <f>INDEX('NAIC PBR Sprd and Dflt Source'!$D$10:$M$29,MATCH($D100,'NAIC PBR Sprd and Dflt Source'!$O$10:$O$29,0),MATCH(L$92,'NAIC PBR Sprd and Dflt Source'!$D$9:$M$9,0))/10000</f>
        <v>6.1335000000000001E-2</v>
      </c>
      <c r="M100" s="103">
        <f>INDEX('NAIC PBR Sprd and Dflt Source'!$D$10:$M$29,MATCH($D100,'NAIC PBR Sprd and Dflt Source'!$O$10:$O$29,0),MATCH(M$92,'NAIC PBR Sprd and Dflt Source'!$D$9:$M$9,0))/10000</f>
        <v>6.0035000000000005E-2</v>
      </c>
      <c r="N100" s="104">
        <f>INDEX('NAIC PBR Sprd and Dflt Source'!$D$10:$M$29,MATCH($D100,'NAIC PBR Sprd and Dflt Source'!$O$10:$O$29,0),MATCH(N$92,'NAIC PBR Sprd and Dflt Source'!$D$9:$M$9,0))/10000</f>
        <v>5.9409000000000003E-2</v>
      </c>
    </row>
    <row r="101" spans="2:14" x14ac:dyDescent="0.2">
      <c r="B101" s="102">
        <v>45382</v>
      </c>
      <c r="C101" s="156">
        <v>1</v>
      </c>
      <c r="D101" s="156" t="s">
        <v>251</v>
      </c>
      <c r="E101" s="103">
        <f>INDEX('NAIC PBR Sprd and Dflt Source'!$D$10:$M$29,MATCH($D101,'NAIC PBR Sprd and Dflt Source'!$O$10:$O$29,0),MATCH(E$92,'NAIC PBR Sprd and Dflt Source'!$D$9:$M$9,0))/10000</f>
        <v>0.667184</v>
      </c>
      <c r="F101" s="103">
        <f>INDEX('NAIC PBR Sprd and Dflt Source'!$D$10:$M$29,MATCH($D101,'NAIC PBR Sprd and Dflt Source'!$O$10:$O$29,0),MATCH(F$92,'NAIC PBR Sprd and Dflt Source'!$D$9:$M$9,0))/10000</f>
        <v>0.667184</v>
      </c>
      <c r="G101" s="103">
        <f>INDEX('NAIC PBR Sprd and Dflt Source'!$D$10:$M$29,MATCH($D101,'NAIC PBR Sprd and Dflt Source'!$O$10:$O$29,0),MATCH(G$92,'NAIC PBR Sprd and Dflt Source'!$D$9:$M$9,0))/10000</f>
        <v>0.667184</v>
      </c>
      <c r="H101" s="103">
        <f>INDEX('NAIC PBR Sprd and Dflt Source'!$D$10:$M$29,MATCH($D101,'NAIC PBR Sprd and Dflt Source'!$O$10:$O$29,0),MATCH(H$92,'NAIC PBR Sprd and Dflt Source'!$D$9:$M$9,0))/10000</f>
        <v>0.667184</v>
      </c>
      <c r="I101" s="103">
        <f>INDEX('NAIC PBR Sprd and Dflt Source'!$D$10:$M$29,MATCH($D101,'NAIC PBR Sprd and Dflt Source'!$O$10:$O$29,0),MATCH(I$92,'NAIC PBR Sprd and Dflt Source'!$D$9:$M$9,0))/10000</f>
        <v>0.667184</v>
      </c>
      <c r="J101" s="103">
        <f>INDEX('NAIC PBR Sprd and Dflt Source'!$D$10:$M$29,MATCH($D101,'NAIC PBR Sprd and Dflt Source'!$O$10:$O$29,0),MATCH(J$92,'NAIC PBR Sprd and Dflt Source'!$D$9:$M$9,0))/10000</f>
        <v>0.667184</v>
      </c>
      <c r="K101" s="103">
        <f>INDEX('NAIC PBR Sprd and Dflt Source'!$D$10:$M$29,MATCH($D101,'NAIC PBR Sprd and Dflt Source'!$O$10:$O$29,0),MATCH(K$92,'NAIC PBR Sprd and Dflt Source'!$D$9:$M$9,0))/10000</f>
        <v>0.667184</v>
      </c>
      <c r="L101" s="103">
        <f>INDEX('NAIC PBR Sprd and Dflt Source'!$D$10:$M$29,MATCH($D101,'NAIC PBR Sprd and Dflt Source'!$O$10:$O$29,0),MATCH(L$92,'NAIC PBR Sprd and Dflt Source'!$D$9:$M$9,0))/10000</f>
        <v>0.667184</v>
      </c>
      <c r="M101" s="103">
        <f>INDEX('NAIC PBR Sprd and Dflt Source'!$D$10:$M$29,MATCH($D101,'NAIC PBR Sprd and Dflt Source'!$O$10:$O$29,0),MATCH(M$92,'NAIC PBR Sprd and Dflt Source'!$D$9:$M$9,0))/10000</f>
        <v>0.667184</v>
      </c>
      <c r="N101" s="104">
        <f>INDEX('NAIC PBR Sprd and Dflt Source'!$D$10:$M$29,MATCH($D101,'NAIC PBR Sprd and Dflt Source'!$O$10:$O$29,0),MATCH(N$92,'NAIC PBR Sprd and Dflt Source'!$D$9:$M$9,0))/10000</f>
        <v>0.667184</v>
      </c>
    </row>
    <row r="102" spans="2:14" x14ac:dyDescent="0.2">
      <c r="B102" s="102">
        <v>45382</v>
      </c>
      <c r="C102" s="156">
        <v>1</v>
      </c>
      <c r="D102" s="156" t="s">
        <v>260</v>
      </c>
      <c r="E102" s="103">
        <v>0</v>
      </c>
      <c r="F102" s="103">
        <v>0</v>
      </c>
      <c r="G102" s="103">
        <v>0</v>
      </c>
      <c r="H102" s="103">
        <v>0</v>
      </c>
      <c r="I102" s="103">
        <v>0</v>
      </c>
      <c r="J102" s="103">
        <v>0</v>
      </c>
      <c r="K102" s="103">
        <v>0</v>
      </c>
      <c r="L102" s="103">
        <v>0</v>
      </c>
      <c r="M102" s="103">
        <v>0</v>
      </c>
      <c r="N102" s="103">
        <v>0</v>
      </c>
    </row>
    <row r="103" spans="2:14" x14ac:dyDescent="0.2">
      <c r="B103" s="102">
        <v>45382</v>
      </c>
      <c r="C103" s="156">
        <v>1</v>
      </c>
      <c r="D103" s="156" t="s">
        <v>261</v>
      </c>
      <c r="E103" s="103">
        <v>0</v>
      </c>
      <c r="F103" s="103">
        <v>0</v>
      </c>
      <c r="G103" s="103">
        <v>0</v>
      </c>
      <c r="H103" s="103">
        <v>0</v>
      </c>
      <c r="I103" s="103">
        <v>0</v>
      </c>
      <c r="J103" s="103">
        <v>0</v>
      </c>
      <c r="K103" s="103">
        <v>0</v>
      </c>
      <c r="L103" s="103">
        <v>0</v>
      </c>
      <c r="M103" s="103">
        <v>0</v>
      </c>
      <c r="N103" s="103">
        <v>0</v>
      </c>
    </row>
    <row r="104" spans="2:14" x14ac:dyDescent="0.2">
      <c r="B104" s="102">
        <v>45382</v>
      </c>
      <c r="C104" s="156">
        <v>4</v>
      </c>
      <c r="D104" s="156" t="s">
        <v>97</v>
      </c>
      <c r="E104" s="103">
        <f>INDEX('NAIC PBR Sprd and Dflt Source'!$D$10:$M$29,MATCH($D104,'NAIC PBR Sprd and Dflt Source'!$O$10:$O$29,0),MATCH(E$92,'NAIC PBR Sprd and Dflt Source'!$D$9:$M$9,0))/10000</f>
        <v>1.9999999999999999E-6</v>
      </c>
      <c r="F104" s="103">
        <f>INDEX('NAIC PBR Sprd and Dflt Source'!$D$10:$M$29,MATCH($D104,'NAIC PBR Sprd and Dflt Source'!$O$10:$O$29,0),MATCH(F$92,'NAIC PBR Sprd and Dflt Source'!$D$9:$M$9,0))/10000</f>
        <v>9.9999999999999995E-7</v>
      </c>
      <c r="G104" s="103">
        <f>INDEX('NAIC PBR Sprd and Dflt Source'!$D$10:$M$29,MATCH($D104,'NAIC PBR Sprd and Dflt Source'!$O$10:$O$29,0),MATCH(G$92,'NAIC PBR Sprd and Dflt Source'!$D$9:$M$9,0))/10000</f>
        <v>3.0000000000000001E-6</v>
      </c>
      <c r="H104" s="103">
        <f>INDEX('NAIC PBR Sprd and Dflt Source'!$D$10:$M$29,MATCH($D104,'NAIC PBR Sprd and Dflt Source'!$O$10:$O$29,0),MATCH(H$92,'NAIC PBR Sprd and Dflt Source'!$D$9:$M$9,0))/10000</f>
        <v>6.0000000000000002E-6</v>
      </c>
      <c r="I104" s="103">
        <f>INDEX('NAIC PBR Sprd and Dflt Source'!$D$10:$M$29,MATCH($D104,'NAIC PBR Sprd and Dflt Source'!$O$10:$O$29,0),MATCH(I$92,'NAIC PBR Sprd and Dflt Source'!$D$9:$M$9,0))/10000</f>
        <v>7.0000000000000007E-6</v>
      </c>
      <c r="J104" s="103">
        <f>INDEX('NAIC PBR Sprd and Dflt Source'!$D$10:$M$29,MATCH($D104,'NAIC PBR Sprd and Dflt Source'!$O$10:$O$29,0),MATCH(J$92,'NAIC PBR Sprd and Dflt Source'!$D$9:$M$9,0))/10000</f>
        <v>7.9999999999999996E-6</v>
      </c>
      <c r="K104" s="103">
        <f>INDEX('NAIC PBR Sprd and Dflt Source'!$D$10:$M$29,MATCH($D104,'NAIC PBR Sprd and Dflt Source'!$O$10:$O$29,0),MATCH(K$92,'NAIC PBR Sprd and Dflt Source'!$D$9:$M$9,0))/10000</f>
        <v>9.0000000000000002E-6</v>
      </c>
      <c r="L104" s="103">
        <f>INDEX('NAIC PBR Sprd and Dflt Source'!$D$10:$M$29,MATCH($D104,'NAIC PBR Sprd and Dflt Source'!$O$10:$O$29,0),MATCH(L$92,'NAIC PBR Sprd and Dflt Source'!$D$9:$M$9,0))/10000</f>
        <v>1.0000000000000001E-5</v>
      </c>
      <c r="M104" s="103">
        <f>INDEX('NAIC PBR Sprd and Dflt Source'!$D$10:$M$29,MATCH($D104,'NAIC PBR Sprd and Dflt Source'!$O$10:$O$29,0),MATCH(M$92,'NAIC PBR Sprd and Dflt Source'!$D$9:$M$9,0))/10000</f>
        <v>1.1E-5</v>
      </c>
      <c r="N104" s="104">
        <f>INDEX('NAIC PBR Sprd and Dflt Source'!$D$10:$M$29,MATCH($D104,'NAIC PBR Sprd and Dflt Source'!$O$10:$O$29,0),MATCH(N$92,'NAIC PBR Sprd and Dflt Source'!$D$9:$M$9,0))/10000</f>
        <v>1.2E-5</v>
      </c>
    </row>
    <row r="105" spans="2:14" x14ac:dyDescent="0.2">
      <c r="B105" s="102">
        <v>45382</v>
      </c>
      <c r="C105" s="156">
        <v>4</v>
      </c>
      <c r="D105" s="156" t="s">
        <v>106</v>
      </c>
      <c r="E105" s="103">
        <f>INDEX('NAIC PBR Sprd and Dflt Source'!$D$10:$M$29,MATCH($D105,'NAIC PBR Sprd and Dflt Source'!$O$10:$O$29,0),MATCH(E$92,'NAIC PBR Sprd and Dflt Source'!$D$9:$M$9,0))/10000</f>
        <v>2.0999999999999999E-5</v>
      </c>
      <c r="F105" s="103">
        <f>INDEX('NAIC PBR Sprd and Dflt Source'!$D$10:$M$29,MATCH($D105,'NAIC PBR Sprd and Dflt Source'!$O$10:$O$29,0),MATCH(F$92,'NAIC PBR Sprd and Dflt Source'!$D$9:$M$9,0))/10000</f>
        <v>5.8999999999999998E-5</v>
      </c>
      <c r="G105" s="103">
        <f>INDEX('NAIC PBR Sprd and Dflt Source'!$D$10:$M$29,MATCH($D105,'NAIC PBR Sprd and Dflt Source'!$O$10:$O$29,0),MATCH(G$92,'NAIC PBR Sprd and Dflt Source'!$D$9:$M$9,0))/10000</f>
        <v>1.1200000000000001E-4</v>
      </c>
      <c r="H105" s="103">
        <f>INDEX('NAIC PBR Sprd and Dflt Source'!$D$10:$M$29,MATCH($D105,'NAIC PBR Sprd and Dflt Source'!$O$10:$O$29,0),MATCH(H$92,'NAIC PBR Sprd and Dflt Source'!$D$9:$M$9,0))/10000</f>
        <v>1.45E-4</v>
      </c>
      <c r="I105" s="103">
        <f>INDEX('NAIC PBR Sprd and Dflt Source'!$D$10:$M$29,MATCH($D105,'NAIC PBR Sprd and Dflt Source'!$O$10:$O$29,0),MATCH(I$92,'NAIC PBR Sprd and Dflt Source'!$D$9:$M$9,0))/10000</f>
        <v>1.64E-4</v>
      </c>
      <c r="J105" s="103">
        <f>INDEX('NAIC PBR Sprd and Dflt Source'!$D$10:$M$29,MATCH($D105,'NAIC PBR Sprd and Dflt Source'!$O$10:$O$29,0),MATCH(J$92,'NAIC PBR Sprd and Dflt Source'!$D$9:$M$9,0))/10000</f>
        <v>1.7900000000000001E-4</v>
      </c>
      <c r="K105" s="103">
        <f>INDEX('NAIC PBR Sprd and Dflt Source'!$D$10:$M$29,MATCH($D105,'NAIC PBR Sprd and Dflt Source'!$O$10:$O$29,0),MATCH(K$92,'NAIC PBR Sprd and Dflt Source'!$D$9:$M$9,0))/10000</f>
        <v>1.8999999999999998E-4</v>
      </c>
      <c r="L105" s="103">
        <f>INDEX('NAIC PBR Sprd and Dflt Source'!$D$10:$M$29,MATCH($D105,'NAIC PBR Sprd and Dflt Source'!$O$10:$O$29,0),MATCH(L$92,'NAIC PBR Sprd and Dflt Source'!$D$9:$M$9,0))/10000</f>
        <v>2.0099999999999998E-4</v>
      </c>
      <c r="M105" s="103">
        <f>INDEX('NAIC PBR Sprd and Dflt Source'!$D$10:$M$29,MATCH($D105,'NAIC PBR Sprd and Dflt Source'!$O$10:$O$29,0),MATCH(M$92,'NAIC PBR Sprd and Dflt Source'!$D$9:$M$9,0))/10000</f>
        <v>2.1699999999999999E-4</v>
      </c>
      <c r="N105" s="104">
        <f>INDEX('NAIC PBR Sprd and Dflt Source'!$D$10:$M$29,MATCH($D105,'NAIC PBR Sprd and Dflt Source'!$O$10:$O$29,0),MATCH(N$92,'NAIC PBR Sprd and Dflt Source'!$D$9:$M$9,0))/10000</f>
        <v>2.3500000000000002E-4</v>
      </c>
    </row>
    <row r="106" spans="2:14" x14ac:dyDescent="0.2">
      <c r="B106" s="102">
        <v>45382</v>
      </c>
      <c r="C106" s="156">
        <v>4</v>
      </c>
      <c r="D106" s="156" t="s">
        <v>104</v>
      </c>
      <c r="E106" s="103">
        <f>INDEX('NAIC PBR Sprd and Dflt Source'!$D$10:$M$29,MATCH($D106,'NAIC PBR Sprd and Dflt Source'!$O$10:$O$29,0),MATCH(E$92,'NAIC PBR Sprd and Dflt Source'!$D$9:$M$9,0))/10000</f>
        <v>1.66E-4</v>
      </c>
      <c r="F106" s="103">
        <f>INDEX('NAIC PBR Sprd and Dflt Source'!$D$10:$M$29,MATCH($D106,'NAIC PBR Sprd and Dflt Source'!$O$10:$O$29,0),MATCH(F$92,'NAIC PBR Sprd and Dflt Source'!$D$9:$M$9,0))/10000</f>
        <v>5.1800000000000001E-4</v>
      </c>
      <c r="G106" s="103">
        <f>INDEX('NAIC PBR Sprd and Dflt Source'!$D$10:$M$29,MATCH($D106,'NAIC PBR Sprd and Dflt Source'!$O$10:$O$29,0),MATCH(G$92,'NAIC PBR Sprd and Dflt Source'!$D$9:$M$9,0))/10000</f>
        <v>9.5999999999999992E-4</v>
      </c>
      <c r="H106" s="103">
        <f>INDEX('NAIC PBR Sprd and Dflt Source'!$D$10:$M$29,MATCH($D106,'NAIC PBR Sprd and Dflt Source'!$O$10:$O$29,0),MATCH(H$92,'NAIC PBR Sprd and Dflt Source'!$D$9:$M$9,0))/10000</f>
        <v>1.07E-3</v>
      </c>
      <c r="I106" s="103">
        <f>INDEX('NAIC PBR Sprd and Dflt Source'!$D$10:$M$29,MATCH($D106,'NAIC PBR Sprd and Dflt Source'!$O$10:$O$29,0),MATCH(I$92,'NAIC PBR Sprd and Dflt Source'!$D$9:$M$9,0))/10000</f>
        <v>1.1300000000000001E-3</v>
      </c>
      <c r="J106" s="103">
        <f>INDEX('NAIC PBR Sprd and Dflt Source'!$D$10:$M$29,MATCH($D106,'NAIC PBR Sprd and Dflt Source'!$O$10:$O$29,0),MATCH(J$92,'NAIC PBR Sprd and Dflt Source'!$D$9:$M$9,0))/10000</f>
        <v>1.1800000000000001E-3</v>
      </c>
      <c r="K106" s="103">
        <f>INDEX('NAIC PBR Sprd and Dflt Source'!$D$10:$M$29,MATCH($D106,'NAIC PBR Sprd and Dflt Source'!$O$10:$O$29,0),MATCH(K$92,'NAIC PBR Sprd and Dflt Source'!$D$9:$M$9,0))/10000</f>
        <v>1.224E-3</v>
      </c>
      <c r="L106" s="103">
        <f>INDEX('NAIC PBR Sprd and Dflt Source'!$D$10:$M$29,MATCH($D106,'NAIC PBR Sprd and Dflt Source'!$O$10:$O$29,0),MATCH(L$92,'NAIC PBR Sprd and Dflt Source'!$D$9:$M$9,0))/10000</f>
        <v>1.245E-3</v>
      </c>
      <c r="M106" s="103">
        <f>INDEX('NAIC PBR Sprd and Dflt Source'!$D$10:$M$29,MATCH($D106,'NAIC PBR Sprd and Dflt Source'!$O$10:$O$29,0),MATCH(M$92,'NAIC PBR Sprd and Dflt Source'!$D$9:$M$9,0))/10000</f>
        <v>1.307E-3</v>
      </c>
      <c r="N106" s="104">
        <f>INDEX('NAIC PBR Sprd and Dflt Source'!$D$10:$M$29,MATCH($D106,'NAIC PBR Sprd and Dflt Source'!$O$10:$O$29,0),MATCH(N$92,'NAIC PBR Sprd and Dflt Source'!$D$9:$M$9,0))/10000</f>
        <v>1.426E-3</v>
      </c>
    </row>
    <row r="107" spans="2:14" x14ac:dyDescent="0.2">
      <c r="B107" s="102">
        <v>45382</v>
      </c>
      <c r="C107" s="156">
        <v>4</v>
      </c>
      <c r="D107" s="156" t="s">
        <v>98</v>
      </c>
      <c r="E107" s="103">
        <f>INDEX('NAIC PBR Sprd and Dflt Source'!$D$10:$M$29,MATCH($D107,'NAIC PBR Sprd and Dflt Source'!$O$10:$O$29,0),MATCH(E$92,'NAIC PBR Sprd and Dflt Source'!$D$9:$M$9,0))/10000</f>
        <v>2.6829999999999996E-3</v>
      </c>
      <c r="F107" s="103">
        <f>INDEX('NAIC PBR Sprd and Dflt Source'!$D$10:$M$29,MATCH($D107,'NAIC PBR Sprd and Dflt Source'!$O$10:$O$29,0),MATCH(F$92,'NAIC PBR Sprd and Dflt Source'!$D$9:$M$9,0))/10000</f>
        <v>3.6020000000000002E-3</v>
      </c>
      <c r="G107" s="103">
        <f>INDEX('NAIC PBR Sprd and Dflt Source'!$D$10:$M$29,MATCH($D107,'NAIC PBR Sprd and Dflt Source'!$O$10:$O$29,0),MATCH(G$92,'NAIC PBR Sprd and Dflt Source'!$D$9:$M$9,0))/10000</f>
        <v>3.7240000000000003E-3</v>
      </c>
      <c r="H107" s="103">
        <f>INDEX('NAIC PBR Sprd and Dflt Source'!$D$10:$M$29,MATCH($D107,'NAIC PBR Sprd and Dflt Source'!$O$10:$O$29,0),MATCH(H$92,'NAIC PBR Sprd and Dflt Source'!$D$9:$M$9,0))/10000</f>
        <v>3.8740000000000003E-3</v>
      </c>
      <c r="I107" s="103">
        <f>INDEX('NAIC PBR Sprd and Dflt Source'!$D$10:$M$29,MATCH($D107,'NAIC PBR Sprd and Dflt Source'!$O$10:$O$29,0),MATCH(I$92,'NAIC PBR Sprd and Dflt Source'!$D$9:$M$9,0))/10000</f>
        <v>3.9870000000000001E-3</v>
      </c>
      <c r="J107" s="103">
        <f>INDEX('NAIC PBR Sprd and Dflt Source'!$D$10:$M$29,MATCH($D107,'NAIC PBR Sprd and Dflt Source'!$O$10:$O$29,0),MATCH(J$92,'NAIC PBR Sprd and Dflt Source'!$D$9:$M$9,0))/10000</f>
        <v>4.1700000000000001E-3</v>
      </c>
      <c r="K107" s="103">
        <f>INDEX('NAIC PBR Sprd and Dflt Source'!$D$10:$M$29,MATCH($D107,'NAIC PBR Sprd and Dflt Source'!$O$10:$O$29,0),MATCH(K$92,'NAIC PBR Sprd and Dflt Source'!$D$9:$M$9,0))/10000</f>
        <v>4.359E-3</v>
      </c>
      <c r="L107" s="103">
        <f>INDEX('NAIC PBR Sprd and Dflt Source'!$D$10:$M$29,MATCH($D107,'NAIC PBR Sprd and Dflt Source'!$O$10:$O$29,0),MATCH(L$92,'NAIC PBR Sprd and Dflt Source'!$D$9:$M$9,0))/10000</f>
        <v>4.509E-3</v>
      </c>
      <c r="M107" s="103">
        <f>INDEX('NAIC PBR Sprd and Dflt Source'!$D$10:$M$29,MATCH($D107,'NAIC PBR Sprd and Dflt Source'!$O$10:$O$29,0),MATCH(M$92,'NAIC PBR Sprd and Dflt Source'!$D$9:$M$9,0))/10000</f>
        <v>4.5539999999999999E-3</v>
      </c>
      <c r="N107" s="104">
        <f>INDEX('NAIC PBR Sprd and Dflt Source'!$D$10:$M$29,MATCH($D107,'NAIC PBR Sprd and Dflt Source'!$O$10:$O$29,0),MATCH(N$92,'NAIC PBR Sprd and Dflt Source'!$D$9:$M$9,0))/10000</f>
        <v>4.5230000000000001E-3</v>
      </c>
    </row>
    <row r="108" spans="2:14" x14ac:dyDescent="0.2">
      <c r="B108" s="102">
        <v>45382</v>
      </c>
      <c r="C108" s="156">
        <v>4</v>
      </c>
      <c r="D108" s="156" t="s">
        <v>105</v>
      </c>
      <c r="E108" s="103">
        <f>INDEX('NAIC PBR Sprd and Dflt Source'!$D$10:$M$29,MATCH($D108,'NAIC PBR Sprd and Dflt Source'!$O$10:$O$29,0),MATCH(E$92,'NAIC PBR Sprd and Dflt Source'!$D$9:$M$9,0))/10000</f>
        <v>1.3105E-2</v>
      </c>
      <c r="F108" s="103">
        <f>INDEX('NAIC PBR Sprd and Dflt Source'!$D$10:$M$29,MATCH($D108,'NAIC PBR Sprd and Dflt Source'!$O$10:$O$29,0),MATCH(F$92,'NAIC PBR Sprd and Dflt Source'!$D$9:$M$9,0))/10000</f>
        <v>1.7197999999999998E-2</v>
      </c>
      <c r="G108" s="103">
        <f>INDEX('NAIC PBR Sprd and Dflt Source'!$D$10:$M$29,MATCH($D108,'NAIC PBR Sprd and Dflt Source'!$O$10:$O$29,0),MATCH(G$92,'NAIC PBR Sprd and Dflt Source'!$D$9:$M$9,0))/10000</f>
        <v>1.8807000000000001E-2</v>
      </c>
      <c r="H108" s="103">
        <f>INDEX('NAIC PBR Sprd and Dflt Source'!$D$10:$M$29,MATCH($D108,'NAIC PBR Sprd and Dflt Source'!$O$10:$O$29,0),MATCH(H$92,'NAIC PBR Sprd and Dflt Source'!$D$9:$M$9,0))/10000</f>
        <v>2.0112000000000001E-2</v>
      </c>
      <c r="I108" s="103">
        <f>INDEX('NAIC PBR Sprd and Dflt Source'!$D$10:$M$29,MATCH($D108,'NAIC PBR Sprd and Dflt Source'!$O$10:$O$29,0),MATCH(I$92,'NAIC PBR Sprd and Dflt Source'!$D$9:$M$9,0))/10000</f>
        <v>2.095E-2</v>
      </c>
      <c r="J108" s="103">
        <f>INDEX('NAIC PBR Sprd and Dflt Source'!$D$10:$M$29,MATCH($D108,'NAIC PBR Sprd and Dflt Source'!$O$10:$O$29,0),MATCH(J$92,'NAIC PBR Sprd and Dflt Source'!$D$9:$M$9,0))/10000</f>
        <v>2.0158000000000002E-2</v>
      </c>
      <c r="K108" s="103">
        <f>INDEX('NAIC PBR Sprd and Dflt Source'!$D$10:$M$29,MATCH($D108,'NAIC PBR Sprd and Dflt Source'!$O$10:$O$29,0),MATCH(K$92,'NAIC PBR Sprd and Dflt Source'!$D$9:$M$9,0))/10000</f>
        <v>1.9512000000000002E-2</v>
      </c>
      <c r="L108" s="103">
        <f>INDEX('NAIC PBR Sprd and Dflt Source'!$D$10:$M$29,MATCH($D108,'NAIC PBR Sprd and Dflt Source'!$O$10:$O$29,0),MATCH(L$92,'NAIC PBR Sprd and Dflt Source'!$D$9:$M$9,0))/10000</f>
        <v>1.9122E-2</v>
      </c>
      <c r="M108" s="103">
        <f>INDEX('NAIC PBR Sprd and Dflt Source'!$D$10:$M$29,MATCH($D108,'NAIC PBR Sprd and Dflt Source'!$O$10:$O$29,0),MATCH(M$92,'NAIC PBR Sprd and Dflt Source'!$D$9:$M$9,0))/10000</f>
        <v>1.8968000000000002E-2</v>
      </c>
      <c r="N108" s="104">
        <f>INDEX('NAIC PBR Sprd and Dflt Source'!$D$10:$M$29,MATCH($D108,'NAIC PBR Sprd and Dflt Source'!$O$10:$O$29,0),MATCH(N$92,'NAIC PBR Sprd and Dflt Source'!$D$9:$M$9,0))/10000</f>
        <v>1.8821999999999998E-2</v>
      </c>
    </row>
    <row r="109" spans="2:14" x14ac:dyDescent="0.2">
      <c r="B109" s="102">
        <v>45382</v>
      </c>
      <c r="C109" s="156">
        <v>4</v>
      </c>
      <c r="D109" s="156" t="s">
        <v>107</v>
      </c>
      <c r="E109" s="103">
        <f>INDEX('NAIC PBR Sprd and Dflt Source'!$D$10:$M$29,MATCH($D109,'NAIC PBR Sprd and Dflt Source'!$O$10:$O$29,0),MATCH(E$92,'NAIC PBR Sprd and Dflt Source'!$D$9:$M$9,0))/10000</f>
        <v>4.6574999999999998E-2</v>
      </c>
      <c r="F109" s="103">
        <f>INDEX('NAIC PBR Sprd and Dflt Source'!$D$10:$M$29,MATCH($D109,'NAIC PBR Sprd and Dflt Source'!$O$10:$O$29,0),MATCH(F$92,'NAIC PBR Sprd and Dflt Source'!$D$9:$M$9,0))/10000</f>
        <v>4.5864000000000002E-2</v>
      </c>
      <c r="G109" s="103">
        <f>INDEX('NAIC PBR Sprd and Dflt Source'!$D$10:$M$29,MATCH($D109,'NAIC PBR Sprd and Dflt Source'!$O$10:$O$29,0),MATCH(G$92,'NAIC PBR Sprd and Dflt Source'!$D$9:$M$9,0))/10000</f>
        <v>4.6656999999999997E-2</v>
      </c>
      <c r="H109" s="103">
        <f>INDEX('NAIC PBR Sprd and Dflt Source'!$D$10:$M$29,MATCH($D109,'NAIC PBR Sprd and Dflt Source'!$O$10:$O$29,0),MATCH(H$92,'NAIC PBR Sprd and Dflt Source'!$D$9:$M$9,0))/10000</f>
        <v>4.7724999999999997E-2</v>
      </c>
      <c r="I109" s="103">
        <f>INDEX('NAIC PBR Sprd and Dflt Source'!$D$10:$M$29,MATCH($D109,'NAIC PBR Sprd and Dflt Source'!$O$10:$O$29,0),MATCH(I$92,'NAIC PBR Sprd and Dflt Source'!$D$9:$M$9,0))/10000</f>
        <v>4.9230999999999997E-2</v>
      </c>
      <c r="J109" s="103">
        <f>INDEX('NAIC PBR Sprd and Dflt Source'!$D$10:$M$29,MATCH($D109,'NAIC PBR Sprd and Dflt Source'!$O$10:$O$29,0),MATCH(J$92,'NAIC PBR Sprd and Dflt Source'!$D$9:$M$9,0))/10000</f>
        <v>4.5995999999999995E-2</v>
      </c>
      <c r="K109" s="103">
        <f>INDEX('NAIC PBR Sprd and Dflt Source'!$D$10:$M$29,MATCH($D109,'NAIC PBR Sprd and Dflt Source'!$O$10:$O$29,0),MATCH(K$92,'NAIC PBR Sprd and Dflt Source'!$D$9:$M$9,0))/10000</f>
        <v>4.3630000000000002E-2</v>
      </c>
      <c r="L109" s="103">
        <f>INDEX('NAIC PBR Sprd and Dflt Source'!$D$10:$M$29,MATCH($D109,'NAIC PBR Sprd and Dflt Source'!$O$10:$O$29,0),MATCH(L$92,'NAIC PBR Sprd and Dflt Source'!$D$9:$M$9,0))/10000</f>
        <v>4.1938999999999997E-2</v>
      </c>
      <c r="M109" s="103">
        <f>INDEX('NAIC PBR Sprd and Dflt Source'!$D$10:$M$29,MATCH($D109,'NAIC PBR Sprd and Dflt Source'!$O$10:$O$29,0),MATCH(M$92,'NAIC PBR Sprd and Dflt Source'!$D$9:$M$9,0))/10000</f>
        <v>4.0978000000000001E-2</v>
      </c>
      <c r="N109" s="104">
        <f>INDEX('NAIC PBR Sprd and Dflt Source'!$D$10:$M$29,MATCH($D109,'NAIC PBR Sprd and Dflt Source'!$O$10:$O$29,0),MATCH(N$92,'NAIC PBR Sprd and Dflt Source'!$D$9:$M$9,0))/10000</f>
        <v>4.0343999999999998E-2</v>
      </c>
    </row>
    <row r="110" spans="2:14" x14ac:dyDescent="0.2">
      <c r="B110" s="102">
        <v>45382</v>
      </c>
      <c r="C110" s="156">
        <v>4</v>
      </c>
      <c r="D110" s="156" t="s">
        <v>184</v>
      </c>
      <c r="E110" s="103">
        <f>INDEX('NAIC PBR Sprd and Dflt Source'!$D$10:$M$29,MATCH($D110,'NAIC PBR Sprd and Dflt Source'!$O$10:$O$29,0),MATCH(E$92,'NAIC PBR Sprd and Dflt Source'!$D$9:$M$9,0))/10000</f>
        <v>8.9424000000000003E-2</v>
      </c>
      <c r="F110" s="103">
        <f>INDEX('NAIC PBR Sprd and Dflt Source'!$D$10:$M$29,MATCH($D110,'NAIC PBR Sprd and Dflt Source'!$O$10:$O$29,0),MATCH(F$92,'NAIC PBR Sprd and Dflt Source'!$D$9:$M$9,0))/10000</f>
        <v>7.3524000000000006E-2</v>
      </c>
      <c r="G110" s="103">
        <f>INDEX('NAIC PBR Sprd and Dflt Source'!$D$10:$M$29,MATCH($D110,'NAIC PBR Sprd and Dflt Source'!$O$10:$O$29,0),MATCH(G$92,'NAIC PBR Sprd and Dflt Source'!$D$9:$M$9,0))/10000</f>
        <v>7.0067999999999991E-2</v>
      </c>
      <c r="H110" s="103">
        <f>INDEX('NAIC PBR Sprd and Dflt Source'!$D$10:$M$29,MATCH($D110,'NAIC PBR Sprd and Dflt Source'!$O$10:$O$29,0),MATCH(H$92,'NAIC PBR Sprd and Dflt Source'!$D$9:$M$9,0))/10000</f>
        <v>7.0039000000000004E-2</v>
      </c>
      <c r="I110" s="103">
        <f>INDEX('NAIC PBR Sprd and Dflt Source'!$D$10:$M$29,MATCH($D110,'NAIC PBR Sprd and Dflt Source'!$O$10:$O$29,0),MATCH(I$92,'NAIC PBR Sprd and Dflt Source'!$D$9:$M$9,0))/10000</f>
        <v>7.1597000000000008E-2</v>
      </c>
      <c r="J110" s="103">
        <f>INDEX('NAIC PBR Sprd and Dflt Source'!$D$10:$M$29,MATCH($D110,'NAIC PBR Sprd and Dflt Source'!$O$10:$O$29,0),MATCH(J$92,'NAIC PBR Sprd and Dflt Source'!$D$9:$M$9,0))/10000</f>
        <v>6.6245999999999999E-2</v>
      </c>
      <c r="K110" s="103">
        <f>INDEX('NAIC PBR Sprd and Dflt Source'!$D$10:$M$29,MATCH($D110,'NAIC PBR Sprd and Dflt Source'!$O$10:$O$29,0),MATCH(K$92,'NAIC PBR Sprd and Dflt Source'!$D$9:$M$9,0))/10000</f>
        <v>6.3198000000000004E-2</v>
      </c>
      <c r="L110" s="103">
        <f>INDEX('NAIC PBR Sprd and Dflt Source'!$D$10:$M$29,MATCH($D110,'NAIC PBR Sprd and Dflt Source'!$O$10:$O$29,0),MATCH(L$92,'NAIC PBR Sprd and Dflt Source'!$D$9:$M$9,0))/10000</f>
        <v>6.1335000000000001E-2</v>
      </c>
      <c r="M110" s="103">
        <f>INDEX('NAIC PBR Sprd and Dflt Source'!$D$10:$M$29,MATCH($D110,'NAIC PBR Sprd and Dflt Source'!$O$10:$O$29,0),MATCH(M$92,'NAIC PBR Sprd and Dflt Source'!$D$9:$M$9,0))/10000</f>
        <v>6.0035000000000005E-2</v>
      </c>
      <c r="N110" s="104">
        <f>INDEX('NAIC PBR Sprd and Dflt Source'!$D$10:$M$29,MATCH($D110,'NAIC PBR Sprd and Dflt Source'!$O$10:$O$29,0),MATCH(N$92,'NAIC PBR Sprd and Dflt Source'!$D$9:$M$9,0))/10000</f>
        <v>5.9409000000000003E-2</v>
      </c>
    </row>
    <row r="111" spans="2:14" x14ac:dyDescent="0.2">
      <c r="B111" s="102">
        <v>45382</v>
      </c>
      <c r="C111" s="156">
        <v>4</v>
      </c>
      <c r="D111" s="156" t="s">
        <v>251</v>
      </c>
      <c r="E111" s="103">
        <f>INDEX('NAIC PBR Sprd and Dflt Source'!$D$10:$M$29,MATCH($D111,'NAIC PBR Sprd and Dflt Source'!$O$10:$O$29,0),MATCH(E$92,'NAIC PBR Sprd and Dflt Source'!$D$9:$M$9,0))/10000</f>
        <v>0.667184</v>
      </c>
      <c r="F111" s="103">
        <f>INDEX('NAIC PBR Sprd and Dflt Source'!$D$10:$M$29,MATCH($D111,'NAIC PBR Sprd and Dflt Source'!$O$10:$O$29,0),MATCH(F$92,'NAIC PBR Sprd and Dflt Source'!$D$9:$M$9,0))/10000</f>
        <v>0.667184</v>
      </c>
      <c r="G111" s="103">
        <f>INDEX('NAIC PBR Sprd and Dflt Source'!$D$10:$M$29,MATCH($D111,'NAIC PBR Sprd and Dflt Source'!$O$10:$O$29,0),MATCH(G$92,'NAIC PBR Sprd and Dflt Source'!$D$9:$M$9,0))/10000</f>
        <v>0.667184</v>
      </c>
      <c r="H111" s="103">
        <f>INDEX('NAIC PBR Sprd and Dflt Source'!$D$10:$M$29,MATCH($D111,'NAIC PBR Sprd and Dflt Source'!$O$10:$O$29,0),MATCH(H$92,'NAIC PBR Sprd and Dflt Source'!$D$9:$M$9,0))/10000</f>
        <v>0.667184</v>
      </c>
      <c r="I111" s="103">
        <f>INDEX('NAIC PBR Sprd and Dflt Source'!$D$10:$M$29,MATCH($D111,'NAIC PBR Sprd and Dflt Source'!$O$10:$O$29,0),MATCH(I$92,'NAIC PBR Sprd and Dflt Source'!$D$9:$M$9,0))/10000</f>
        <v>0.667184</v>
      </c>
      <c r="J111" s="103">
        <f>INDEX('NAIC PBR Sprd and Dflt Source'!$D$10:$M$29,MATCH($D111,'NAIC PBR Sprd and Dflt Source'!$O$10:$O$29,0),MATCH(J$92,'NAIC PBR Sprd and Dflt Source'!$D$9:$M$9,0))/10000</f>
        <v>0.667184</v>
      </c>
      <c r="K111" s="103">
        <f>INDEX('NAIC PBR Sprd and Dflt Source'!$D$10:$M$29,MATCH($D111,'NAIC PBR Sprd and Dflt Source'!$O$10:$O$29,0),MATCH(K$92,'NAIC PBR Sprd and Dflt Source'!$D$9:$M$9,0))/10000</f>
        <v>0.667184</v>
      </c>
      <c r="L111" s="103">
        <f>INDEX('NAIC PBR Sprd and Dflt Source'!$D$10:$M$29,MATCH($D111,'NAIC PBR Sprd and Dflt Source'!$O$10:$O$29,0),MATCH(L$92,'NAIC PBR Sprd and Dflt Source'!$D$9:$M$9,0))/10000</f>
        <v>0.667184</v>
      </c>
      <c r="M111" s="103">
        <f>INDEX('NAIC PBR Sprd and Dflt Source'!$D$10:$M$29,MATCH($D111,'NAIC PBR Sprd and Dflt Source'!$O$10:$O$29,0),MATCH(M$92,'NAIC PBR Sprd and Dflt Source'!$D$9:$M$9,0))/10000</f>
        <v>0.667184</v>
      </c>
      <c r="N111" s="104">
        <f>INDEX('NAIC PBR Sprd and Dflt Source'!$D$10:$M$29,MATCH($D111,'NAIC PBR Sprd and Dflt Source'!$O$10:$O$29,0),MATCH(N$92,'NAIC PBR Sprd and Dflt Source'!$D$9:$M$9,0))/10000</f>
        <v>0.667184</v>
      </c>
    </row>
    <row r="112" spans="2:14" x14ac:dyDescent="0.2">
      <c r="B112" s="102">
        <v>45382</v>
      </c>
      <c r="C112" s="156">
        <v>4</v>
      </c>
      <c r="D112" s="156" t="s">
        <v>260</v>
      </c>
      <c r="E112" s="103">
        <v>0</v>
      </c>
      <c r="F112" s="103">
        <v>0</v>
      </c>
      <c r="G112" s="103">
        <v>0</v>
      </c>
      <c r="H112" s="103">
        <v>0</v>
      </c>
      <c r="I112" s="103">
        <v>0</v>
      </c>
      <c r="J112" s="103">
        <v>0</v>
      </c>
      <c r="K112" s="103">
        <v>0</v>
      </c>
      <c r="L112" s="103">
        <v>0</v>
      </c>
      <c r="M112" s="103">
        <v>0</v>
      </c>
      <c r="N112" s="103">
        <v>0</v>
      </c>
    </row>
    <row r="113" spans="1:32" x14ac:dyDescent="0.2">
      <c r="B113" s="102">
        <v>45382</v>
      </c>
      <c r="C113" s="202">
        <v>4</v>
      </c>
      <c r="D113" s="202" t="s">
        <v>261</v>
      </c>
      <c r="E113" s="203">
        <v>0</v>
      </c>
      <c r="F113" s="203">
        <v>0</v>
      </c>
      <c r="G113" s="203">
        <v>0</v>
      </c>
      <c r="H113" s="203">
        <v>0</v>
      </c>
      <c r="I113" s="203">
        <v>0</v>
      </c>
      <c r="J113" s="203">
        <v>0</v>
      </c>
      <c r="K113" s="203">
        <v>0</v>
      </c>
      <c r="L113" s="203">
        <v>0</v>
      </c>
      <c r="M113" s="203">
        <v>0</v>
      </c>
      <c r="N113" s="203">
        <v>0</v>
      </c>
    </row>
    <row r="114" spans="1:32" x14ac:dyDescent="0.2">
      <c r="A114" s="16" t="s">
        <v>9</v>
      </c>
      <c r="B114" s="130"/>
      <c r="C114" s="103"/>
      <c r="E114" s="12"/>
      <c r="F114" s="12"/>
      <c r="G114" s="12"/>
      <c r="H114" s="12"/>
      <c r="I114" s="12"/>
      <c r="J114" s="12"/>
    </row>
    <row r="115" spans="1:32" x14ac:dyDescent="0.2">
      <c r="A115" s="42" t="s">
        <v>103</v>
      </c>
      <c r="B115" s="19" t="str">
        <f ca="1">GetNameRange(B117)</f>
        <v>DfltRateStochMult</v>
      </c>
    </row>
    <row r="116" spans="1:32" x14ac:dyDescent="0.2">
      <c r="A116" s="13"/>
      <c r="B116" s="108" t="s">
        <v>100</v>
      </c>
      <c r="C116" s="53" t="s">
        <v>104</v>
      </c>
      <c r="D116" s="66" t="s">
        <v>105</v>
      </c>
    </row>
    <row r="117" spans="1:32" x14ac:dyDescent="0.2">
      <c r="B117" s="98" t="s">
        <v>108</v>
      </c>
      <c r="C117" s="51"/>
      <c r="D117" s="82"/>
    </row>
    <row r="118" spans="1:32" x14ac:dyDescent="0.2">
      <c r="B118" s="109" t="s">
        <v>84</v>
      </c>
      <c r="C118" s="103">
        <v>0</v>
      </c>
      <c r="D118" s="104">
        <v>0</v>
      </c>
    </row>
    <row r="119" spans="1:32" x14ac:dyDescent="0.2">
      <c r="B119" s="109" t="s">
        <v>106</v>
      </c>
      <c r="C119" s="103">
        <v>0</v>
      </c>
      <c r="D119" s="104">
        <v>0</v>
      </c>
    </row>
    <row r="120" spans="1:32" x14ac:dyDescent="0.2">
      <c r="B120" s="110" t="s">
        <v>107</v>
      </c>
      <c r="C120" s="106">
        <v>0</v>
      </c>
      <c r="D120" s="107">
        <v>0</v>
      </c>
    </row>
    <row r="121" spans="1:32" x14ac:dyDescent="0.2">
      <c r="A121" s="16" t="s">
        <v>9</v>
      </c>
    </row>
    <row r="122" spans="1:32" x14ac:dyDescent="0.2">
      <c r="A122" s="42" t="s">
        <v>103</v>
      </c>
      <c r="B122" s="201" t="str">
        <f ca="1">GetNameRange(B124)</f>
        <v>IntVolDeterministic</v>
      </c>
    </row>
    <row r="123" spans="1:32" x14ac:dyDescent="0.2">
      <c r="B123" s="92" t="s">
        <v>100</v>
      </c>
      <c r="C123" s="53" t="s">
        <v>97</v>
      </c>
      <c r="D123" s="53" t="s">
        <v>97</v>
      </c>
      <c r="E123" s="53" t="s">
        <v>97</v>
      </c>
      <c r="F123" s="53" t="s">
        <v>97</v>
      </c>
      <c r="G123" s="53" t="s">
        <v>97</v>
      </c>
      <c r="H123" s="53" t="s">
        <v>97</v>
      </c>
      <c r="I123" s="53" t="s">
        <v>97</v>
      </c>
      <c r="J123" s="53" t="s">
        <v>97</v>
      </c>
      <c r="K123" s="53" t="s">
        <v>97</v>
      </c>
      <c r="L123" s="53" t="s">
        <v>97</v>
      </c>
      <c r="M123" s="53" t="s">
        <v>97</v>
      </c>
      <c r="N123" s="53" t="s">
        <v>97</v>
      </c>
      <c r="O123" s="53" t="s">
        <v>97</v>
      </c>
      <c r="P123" s="53" t="s">
        <v>97</v>
      </c>
      <c r="Q123" s="53" t="s">
        <v>97</v>
      </c>
      <c r="R123" s="53" t="s">
        <v>97</v>
      </c>
      <c r="S123" s="53" t="s">
        <v>97</v>
      </c>
      <c r="T123" s="53" t="s">
        <v>97</v>
      </c>
      <c r="U123" s="53" t="s">
        <v>97</v>
      </c>
      <c r="V123" s="53" t="s">
        <v>97</v>
      </c>
      <c r="W123" s="53" t="s">
        <v>97</v>
      </c>
      <c r="X123" s="53" t="s">
        <v>97</v>
      </c>
      <c r="Y123" s="53" t="s">
        <v>97</v>
      </c>
      <c r="Z123" s="53" t="s">
        <v>97</v>
      </c>
      <c r="AA123" s="53" t="s">
        <v>97</v>
      </c>
      <c r="AB123" s="53" t="s">
        <v>97</v>
      </c>
      <c r="AC123" s="53" t="s">
        <v>97</v>
      </c>
      <c r="AD123" s="53" t="s">
        <v>97</v>
      </c>
      <c r="AE123" s="53" t="s">
        <v>97</v>
      </c>
      <c r="AF123" s="66" t="s">
        <v>97</v>
      </c>
    </row>
    <row r="124" spans="1:32" x14ac:dyDescent="0.2">
      <c r="B124" s="95" t="s">
        <v>109</v>
      </c>
      <c r="C124" s="127">
        <v>0.9</v>
      </c>
      <c r="D124" s="96">
        <v>0.9</v>
      </c>
      <c r="E124" s="96">
        <v>0.9</v>
      </c>
      <c r="F124" s="96">
        <v>0.9</v>
      </c>
      <c r="G124" s="96">
        <v>0.9</v>
      </c>
      <c r="H124" s="96">
        <v>0.9</v>
      </c>
      <c r="I124" s="96">
        <v>0.95</v>
      </c>
      <c r="J124" s="96">
        <v>0.95</v>
      </c>
      <c r="K124" s="96">
        <v>0.95</v>
      </c>
      <c r="L124" s="96">
        <v>0.95</v>
      </c>
      <c r="M124" s="96">
        <v>0.95</v>
      </c>
      <c r="N124" s="96">
        <v>0.95</v>
      </c>
      <c r="O124" s="96">
        <v>1</v>
      </c>
      <c r="P124" s="96">
        <v>1</v>
      </c>
      <c r="Q124" s="96">
        <v>1</v>
      </c>
      <c r="R124" s="96">
        <v>1</v>
      </c>
      <c r="S124" s="96">
        <v>1</v>
      </c>
      <c r="T124" s="96">
        <v>1</v>
      </c>
      <c r="U124" s="96">
        <v>1.05</v>
      </c>
      <c r="V124" s="96">
        <v>1.05</v>
      </c>
      <c r="W124" s="96">
        <v>1.05</v>
      </c>
      <c r="X124" s="96">
        <v>1.05</v>
      </c>
      <c r="Y124" s="96">
        <v>1.05</v>
      </c>
      <c r="Z124" s="96">
        <v>1.05</v>
      </c>
      <c r="AA124" s="96">
        <v>1.1000000000000001</v>
      </c>
      <c r="AB124" s="96">
        <v>1.1000000000000001</v>
      </c>
      <c r="AC124" s="96">
        <v>1.1000000000000001</v>
      </c>
      <c r="AD124" s="96">
        <v>1.1000000000000001</v>
      </c>
      <c r="AE124" s="96">
        <v>1.1000000000000001</v>
      </c>
      <c r="AF124" s="97">
        <v>1.1000000000000001</v>
      </c>
    </row>
    <row r="125" spans="1:32" x14ac:dyDescent="0.2">
      <c r="B125" s="95" t="s">
        <v>101</v>
      </c>
      <c r="C125" s="96">
        <v>0.25</v>
      </c>
      <c r="D125" s="96">
        <v>0.5</v>
      </c>
      <c r="E125" s="96">
        <v>1</v>
      </c>
      <c r="F125" s="96">
        <v>3</v>
      </c>
      <c r="G125" s="96">
        <v>5</v>
      </c>
      <c r="H125" s="96">
        <v>20</v>
      </c>
      <c r="I125" s="96">
        <v>0.25</v>
      </c>
      <c r="J125" s="96">
        <v>0.5</v>
      </c>
      <c r="K125" s="96">
        <v>1</v>
      </c>
      <c r="L125" s="96">
        <v>3</v>
      </c>
      <c r="M125" s="96">
        <v>5</v>
      </c>
      <c r="N125" s="96">
        <v>20</v>
      </c>
      <c r="O125" s="96">
        <v>0.25</v>
      </c>
      <c r="P125" s="96">
        <v>0.5</v>
      </c>
      <c r="Q125" s="96">
        <v>1</v>
      </c>
      <c r="R125" s="96">
        <v>3</v>
      </c>
      <c r="S125" s="96">
        <v>5</v>
      </c>
      <c r="T125" s="96">
        <v>20</v>
      </c>
      <c r="U125" s="96">
        <v>0.25</v>
      </c>
      <c r="V125" s="96">
        <v>0.5</v>
      </c>
      <c r="W125" s="96">
        <v>1</v>
      </c>
      <c r="X125" s="96">
        <v>3</v>
      </c>
      <c r="Y125" s="96">
        <v>5</v>
      </c>
      <c r="Z125" s="96">
        <v>20</v>
      </c>
      <c r="AA125" s="96">
        <v>0.25</v>
      </c>
      <c r="AB125" s="96">
        <v>0.5</v>
      </c>
      <c r="AC125" s="96">
        <v>1</v>
      </c>
      <c r="AD125" s="96">
        <v>3</v>
      </c>
      <c r="AE125" s="96">
        <v>5</v>
      </c>
      <c r="AF125" s="97">
        <v>20</v>
      </c>
    </row>
    <row r="126" spans="1:32" x14ac:dyDescent="0.2">
      <c r="B126" s="98" t="s">
        <v>99</v>
      </c>
      <c r="C126" s="99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100"/>
      <c r="AD126" s="100"/>
      <c r="AE126" s="100"/>
      <c r="AF126" s="101"/>
    </row>
    <row r="127" spans="1:32" x14ac:dyDescent="0.2">
      <c r="B127" s="102">
        <v>1</v>
      </c>
      <c r="C127" s="103">
        <v>0</v>
      </c>
      <c r="D127" s="103">
        <v>0</v>
      </c>
      <c r="E127" s="103">
        <v>0</v>
      </c>
      <c r="F127" s="103">
        <v>0</v>
      </c>
      <c r="G127" s="103">
        <v>0</v>
      </c>
      <c r="H127" s="103">
        <v>0</v>
      </c>
      <c r="I127" s="103">
        <v>0</v>
      </c>
      <c r="J127" s="103">
        <v>0</v>
      </c>
      <c r="K127" s="103">
        <v>0</v>
      </c>
      <c r="L127" s="103">
        <v>0</v>
      </c>
      <c r="M127" s="103">
        <v>0</v>
      </c>
      <c r="N127" s="103">
        <v>0</v>
      </c>
      <c r="O127" s="103">
        <v>0</v>
      </c>
      <c r="P127" s="103">
        <v>0</v>
      </c>
      <c r="Q127" s="103">
        <v>0</v>
      </c>
      <c r="R127" s="103">
        <v>0</v>
      </c>
      <c r="S127" s="103">
        <v>0</v>
      </c>
      <c r="T127" s="103">
        <v>0</v>
      </c>
      <c r="U127" s="103">
        <v>0</v>
      </c>
      <c r="V127" s="103">
        <v>0</v>
      </c>
      <c r="W127" s="103">
        <v>0</v>
      </c>
      <c r="X127" s="103">
        <v>0</v>
      </c>
      <c r="Y127" s="103">
        <v>0</v>
      </c>
      <c r="Z127" s="103">
        <v>0</v>
      </c>
      <c r="AA127" s="103">
        <v>0</v>
      </c>
      <c r="AB127" s="103">
        <v>0</v>
      </c>
      <c r="AC127" s="103">
        <v>0</v>
      </c>
      <c r="AD127" s="103">
        <v>0</v>
      </c>
      <c r="AE127" s="103">
        <v>0</v>
      </c>
      <c r="AF127" s="104">
        <v>0</v>
      </c>
    </row>
    <row r="128" spans="1:32" x14ac:dyDescent="0.2">
      <c r="B128" s="105">
        <v>2958101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7">
        <v>0</v>
      </c>
    </row>
    <row r="129" spans="1:17" x14ac:dyDescent="0.2">
      <c r="A129" s="16" t="s">
        <v>9</v>
      </c>
    </row>
    <row r="130" spans="1:17" x14ac:dyDescent="0.2">
      <c r="A130" s="42" t="s">
        <v>103</v>
      </c>
      <c r="B130" s="19" t="str">
        <f ca="1">GetNameRange(B132)</f>
        <v>IntVolStochMult</v>
      </c>
    </row>
    <row r="131" spans="1:17" x14ac:dyDescent="0.2">
      <c r="B131" s="108" t="s">
        <v>100</v>
      </c>
      <c r="C131" s="53" t="s">
        <v>104</v>
      </c>
      <c r="D131" s="66" t="s">
        <v>105</v>
      </c>
    </row>
    <row r="132" spans="1:17" x14ac:dyDescent="0.2">
      <c r="B132" s="98" t="s">
        <v>108</v>
      </c>
      <c r="C132" s="51"/>
      <c r="D132" s="82"/>
    </row>
    <row r="133" spans="1:17" x14ac:dyDescent="0.2">
      <c r="B133" s="109" t="s">
        <v>84</v>
      </c>
      <c r="C133" s="103">
        <v>0</v>
      </c>
      <c r="D133" s="104">
        <v>0</v>
      </c>
    </row>
    <row r="134" spans="1:17" x14ac:dyDescent="0.2">
      <c r="B134" s="109" t="s">
        <v>106</v>
      </c>
      <c r="C134" s="103">
        <v>0</v>
      </c>
      <c r="D134" s="104">
        <v>0</v>
      </c>
    </row>
    <row r="135" spans="1:17" x14ac:dyDescent="0.2">
      <c r="B135" s="110" t="s">
        <v>107</v>
      </c>
      <c r="C135" s="106">
        <v>0</v>
      </c>
      <c r="D135" s="107">
        <v>0</v>
      </c>
    </row>
    <row r="136" spans="1:17" x14ac:dyDescent="0.2">
      <c r="A136" s="16" t="s">
        <v>9</v>
      </c>
    </row>
    <row r="137" spans="1:17" x14ac:dyDescent="0.2">
      <c r="A137" s="42" t="s">
        <v>103</v>
      </c>
      <c r="B137" s="201" t="str">
        <f ca="1">GetNameRange(B139)</f>
        <v>IndexVolDeterminstic</v>
      </c>
    </row>
    <row r="138" spans="1:17" x14ac:dyDescent="0.2">
      <c r="A138" s="13"/>
      <c r="B138" s="92" t="s">
        <v>110</v>
      </c>
      <c r="C138" s="53" t="s">
        <v>90</v>
      </c>
      <c r="D138" s="53" t="s">
        <v>90</v>
      </c>
      <c r="E138" s="53" t="s">
        <v>90</v>
      </c>
      <c r="F138" s="53" t="s">
        <v>90</v>
      </c>
      <c r="G138" s="53" t="s">
        <v>90</v>
      </c>
      <c r="H138" s="53" t="s">
        <v>90</v>
      </c>
      <c r="I138" s="53" t="s">
        <v>90</v>
      </c>
      <c r="J138" s="53" t="s">
        <v>90</v>
      </c>
      <c r="K138" s="53" t="s">
        <v>90</v>
      </c>
      <c r="L138" s="53" t="s">
        <v>90</v>
      </c>
      <c r="M138" s="53" t="s">
        <v>90</v>
      </c>
      <c r="N138" s="53" t="s">
        <v>90</v>
      </c>
      <c r="O138" s="53" t="s">
        <v>90</v>
      </c>
      <c r="P138" s="53" t="s">
        <v>90</v>
      </c>
      <c r="Q138" s="66" t="s">
        <v>90</v>
      </c>
    </row>
    <row r="139" spans="1:17" x14ac:dyDescent="0.2">
      <c r="B139" s="95" t="s">
        <v>109</v>
      </c>
      <c r="C139" s="127">
        <v>0.9</v>
      </c>
      <c r="D139" s="96">
        <v>0.9</v>
      </c>
      <c r="E139" s="96">
        <v>0.9</v>
      </c>
      <c r="F139" s="127">
        <v>0.95</v>
      </c>
      <c r="G139" s="127">
        <v>0.95</v>
      </c>
      <c r="H139" s="127">
        <v>0.95</v>
      </c>
      <c r="I139" s="127">
        <v>1</v>
      </c>
      <c r="J139" s="96">
        <v>1</v>
      </c>
      <c r="K139" s="96">
        <v>1</v>
      </c>
      <c r="L139" s="127">
        <v>1.05</v>
      </c>
      <c r="M139" s="127">
        <v>1.05</v>
      </c>
      <c r="N139" s="127">
        <v>1.05</v>
      </c>
      <c r="O139" s="127">
        <v>1.1000000000000001</v>
      </c>
      <c r="P139" s="127">
        <v>1.1000000000000001</v>
      </c>
      <c r="Q139" s="128">
        <v>1.1000000000000001</v>
      </c>
    </row>
    <row r="140" spans="1:17" x14ac:dyDescent="0.2">
      <c r="B140" s="95" t="s">
        <v>101</v>
      </c>
      <c r="C140" s="96">
        <v>0.25</v>
      </c>
      <c r="D140" s="96">
        <v>1</v>
      </c>
      <c r="E140" s="96">
        <v>5</v>
      </c>
      <c r="F140" s="96">
        <v>0.25</v>
      </c>
      <c r="G140" s="96">
        <v>1</v>
      </c>
      <c r="H140" s="96">
        <v>5</v>
      </c>
      <c r="I140" s="96">
        <v>0.25</v>
      </c>
      <c r="J140" s="96">
        <v>1</v>
      </c>
      <c r="K140" s="96">
        <v>5</v>
      </c>
      <c r="L140" s="96">
        <v>0.25</v>
      </c>
      <c r="M140" s="96">
        <v>1</v>
      </c>
      <c r="N140" s="96">
        <v>5</v>
      </c>
      <c r="O140" s="96">
        <v>0.25</v>
      </c>
      <c r="P140" s="96">
        <v>1</v>
      </c>
      <c r="Q140" s="97">
        <v>5</v>
      </c>
    </row>
    <row r="141" spans="1:17" x14ac:dyDescent="0.2">
      <c r="B141" s="98" t="s">
        <v>99</v>
      </c>
      <c r="C141" s="99"/>
      <c r="D141" s="100"/>
      <c r="E141" s="99"/>
      <c r="F141" s="99"/>
      <c r="G141" s="99"/>
      <c r="H141" s="99"/>
      <c r="I141" s="99"/>
      <c r="J141" s="99"/>
      <c r="K141" s="99"/>
      <c r="L141" s="99"/>
      <c r="M141" s="99"/>
      <c r="N141" s="99"/>
      <c r="O141" s="99"/>
      <c r="P141" s="99"/>
      <c r="Q141" s="129"/>
    </row>
    <row r="142" spans="1:17" x14ac:dyDescent="0.2">
      <c r="B142" s="102">
        <v>1</v>
      </c>
      <c r="C142" s="103">
        <v>0</v>
      </c>
      <c r="D142" s="103">
        <v>0</v>
      </c>
      <c r="E142" s="103">
        <v>0</v>
      </c>
      <c r="F142" s="103">
        <v>0</v>
      </c>
      <c r="G142" s="103">
        <v>0</v>
      </c>
      <c r="H142" s="103">
        <v>0</v>
      </c>
      <c r="I142" s="103">
        <v>0</v>
      </c>
      <c r="J142" s="103">
        <v>0</v>
      </c>
      <c r="K142" s="103">
        <v>0</v>
      </c>
      <c r="L142" s="103">
        <v>0</v>
      </c>
      <c r="M142" s="103">
        <v>0</v>
      </c>
      <c r="N142" s="103">
        <v>0</v>
      </c>
      <c r="O142" s="103">
        <v>0</v>
      </c>
      <c r="P142" s="103">
        <v>0</v>
      </c>
      <c r="Q142" s="104">
        <v>0</v>
      </c>
    </row>
    <row r="143" spans="1:17" x14ac:dyDescent="0.2">
      <c r="B143" s="105">
        <v>2958101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7">
        <v>0</v>
      </c>
    </row>
    <row r="144" spans="1:17" x14ac:dyDescent="0.2">
      <c r="B144" s="130"/>
      <c r="C144" s="103"/>
      <c r="D144" s="103"/>
      <c r="E144" s="103"/>
      <c r="F144" s="103"/>
      <c r="G144" s="103"/>
      <c r="H144" s="103"/>
      <c r="I144" s="103"/>
      <c r="J144" s="103"/>
      <c r="K144" s="103"/>
      <c r="L144" s="103"/>
      <c r="M144" s="103"/>
      <c r="N144" s="103"/>
      <c r="O144" s="103"/>
      <c r="P144" s="103"/>
      <c r="Q144" s="103"/>
    </row>
    <row r="145" spans="1:242" x14ac:dyDescent="0.2">
      <c r="B145" s="201" t="str">
        <f ca="1">GetNameRange(B146)</f>
        <v>IndexVolDeterministicSub</v>
      </c>
      <c r="C145" s="103"/>
      <c r="D145" s="103"/>
      <c r="E145" s="103"/>
      <c r="F145" s="103"/>
      <c r="G145" s="103"/>
      <c r="H145" s="103"/>
      <c r="I145" s="103"/>
      <c r="J145" s="103"/>
      <c r="K145" s="103"/>
    </row>
    <row r="146" spans="1:242" x14ac:dyDescent="0.2">
      <c r="B146" s="92" t="s">
        <v>110</v>
      </c>
      <c r="C146" s="53" t="s">
        <v>79</v>
      </c>
      <c r="D146" s="53" t="s">
        <v>79</v>
      </c>
      <c r="E146" s="53" t="s">
        <v>79</v>
      </c>
      <c r="F146" s="53" t="s">
        <v>79</v>
      </c>
      <c r="G146" s="53" t="s">
        <v>79</v>
      </c>
      <c r="H146" s="53" t="s">
        <v>79</v>
      </c>
      <c r="I146" s="53" t="s">
        <v>79</v>
      </c>
      <c r="J146" s="53" t="s">
        <v>79</v>
      </c>
      <c r="K146" s="53" t="s">
        <v>79</v>
      </c>
      <c r="L146" s="53" t="s">
        <v>79</v>
      </c>
      <c r="M146" s="53" t="s">
        <v>79</v>
      </c>
      <c r="N146" s="53" t="s">
        <v>79</v>
      </c>
      <c r="O146" s="53" t="s">
        <v>79</v>
      </c>
      <c r="P146" s="53" t="s">
        <v>79</v>
      </c>
      <c r="Q146" s="53" t="s">
        <v>79</v>
      </c>
      <c r="R146" s="53" t="s">
        <v>79</v>
      </c>
      <c r="S146" s="53" t="s">
        <v>79</v>
      </c>
      <c r="T146" s="53" t="s">
        <v>79</v>
      </c>
      <c r="U146" s="53" t="s">
        <v>79</v>
      </c>
      <c r="V146" s="53" t="s">
        <v>79</v>
      </c>
      <c r="W146" s="53" t="s">
        <v>79</v>
      </c>
      <c r="X146" s="53" t="s">
        <v>79</v>
      </c>
      <c r="Y146" s="53" t="s">
        <v>79</v>
      </c>
      <c r="Z146" s="53" t="s">
        <v>79</v>
      </c>
      <c r="AA146" s="53" t="s">
        <v>79</v>
      </c>
      <c r="AB146" s="53" t="s">
        <v>79</v>
      </c>
      <c r="AC146" s="53" t="s">
        <v>79</v>
      </c>
      <c r="AD146" s="53" t="s">
        <v>79</v>
      </c>
      <c r="AE146" s="53" t="s">
        <v>79</v>
      </c>
      <c r="AF146" s="53" t="s">
        <v>79</v>
      </c>
      <c r="AG146" s="53" t="s">
        <v>79</v>
      </c>
      <c r="AH146" s="53" t="s">
        <v>79</v>
      </c>
      <c r="AI146" s="53" t="s">
        <v>79</v>
      </c>
      <c r="AJ146" s="53" t="s">
        <v>79</v>
      </c>
      <c r="AK146" s="53" t="s">
        <v>79</v>
      </c>
      <c r="AL146" s="53" t="s">
        <v>79</v>
      </c>
      <c r="AM146" s="53" t="s">
        <v>79</v>
      </c>
      <c r="AN146" s="53" t="s">
        <v>79</v>
      </c>
      <c r="AO146" s="53" t="s">
        <v>79</v>
      </c>
      <c r="AP146" s="53" t="s">
        <v>79</v>
      </c>
      <c r="AQ146" s="53" t="s">
        <v>87</v>
      </c>
      <c r="AR146" s="53" t="s">
        <v>87</v>
      </c>
      <c r="AS146" s="53" t="s">
        <v>87</v>
      </c>
      <c r="AT146" s="53" t="s">
        <v>87</v>
      </c>
      <c r="AU146" s="53" t="s">
        <v>87</v>
      </c>
      <c r="AV146" s="53" t="s">
        <v>87</v>
      </c>
      <c r="AW146" s="53" t="s">
        <v>87</v>
      </c>
      <c r="AX146" s="53" t="s">
        <v>87</v>
      </c>
      <c r="AY146" s="53" t="s">
        <v>87</v>
      </c>
      <c r="AZ146" s="53" t="s">
        <v>87</v>
      </c>
      <c r="BA146" s="53" t="s">
        <v>87</v>
      </c>
      <c r="BB146" s="53" t="s">
        <v>87</v>
      </c>
      <c r="BC146" s="53" t="s">
        <v>87</v>
      </c>
      <c r="BD146" s="53" t="s">
        <v>87</v>
      </c>
      <c r="BE146" s="53" t="s">
        <v>87</v>
      </c>
      <c r="BF146" s="53" t="s">
        <v>87</v>
      </c>
      <c r="BG146" s="53" t="s">
        <v>87</v>
      </c>
      <c r="BH146" s="53" t="s">
        <v>87</v>
      </c>
      <c r="BI146" s="53" t="s">
        <v>87</v>
      </c>
      <c r="BJ146" s="53" t="s">
        <v>87</v>
      </c>
      <c r="BK146" s="53" t="s">
        <v>87</v>
      </c>
      <c r="BL146" s="53" t="s">
        <v>87</v>
      </c>
      <c r="BM146" s="53" t="s">
        <v>87</v>
      </c>
      <c r="BN146" s="53" t="s">
        <v>87</v>
      </c>
      <c r="BO146" s="53" t="s">
        <v>87</v>
      </c>
      <c r="BP146" s="53" t="s">
        <v>87</v>
      </c>
      <c r="BQ146" s="53" t="s">
        <v>87</v>
      </c>
      <c r="BR146" s="53" t="s">
        <v>87</v>
      </c>
      <c r="BS146" s="53" t="s">
        <v>87</v>
      </c>
      <c r="BT146" s="53" t="s">
        <v>87</v>
      </c>
      <c r="BU146" s="53" t="s">
        <v>87</v>
      </c>
      <c r="BV146" s="53" t="s">
        <v>87</v>
      </c>
      <c r="BW146" s="53" t="s">
        <v>87</v>
      </c>
      <c r="BX146" s="53" t="s">
        <v>87</v>
      </c>
      <c r="BY146" s="53" t="s">
        <v>87</v>
      </c>
      <c r="BZ146" s="53" t="s">
        <v>87</v>
      </c>
      <c r="CA146" s="53" t="s">
        <v>87</v>
      </c>
      <c r="CB146" s="53" t="s">
        <v>87</v>
      </c>
      <c r="CC146" s="53" t="s">
        <v>87</v>
      </c>
      <c r="CD146" s="53" t="s">
        <v>87</v>
      </c>
      <c r="CE146" s="53" t="s">
        <v>92</v>
      </c>
      <c r="CF146" s="53" t="s">
        <v>92</v>
      </c>
      <c r="CG146" s="53" t="s">
        <v>92</v>
      </c>
      <c r="CH146" s="53" t="s">
        <v>92</v>
      </c>
      <c r="CI146" s="53" t="s">
        <v>92</v>
      </c>
      <c r="CJ146" s="53" t="s">
        <v>92</v>
      </c>
      <c r="CK146" s="53" t="s">
        <v>92</v>
      </c>
      <c r="CL146" s="53" t="s">
        <v>92</v>
      </c>
      <c r="CM146" s="53" t="s">
        <v>92</v>
      </c>
      <c r="CN146" s="53" t="s">
        <v>92</v>
      </c>
      <c r="CO146" s="53" t="s">
        <v>92</v>
      </c>
      <c r="CP146" s="53" t="s">
        <v>92</v>
      </c>
      <c r="CQ146" s="53" t="s">
        <v>92</v>
      </c>
      <c r="CR146" s="53" t="s">
        <v>92</v>
      </c>
      <c r="CS146" s="53" t="s">
        <v>92</v>
      </c>
      <c r="CT146" s="53" t="s">
        <v>92</v>
      </c>
      <c r="CU146" s="53" t="s">
        <v>92</v>
      </c>
      <c r="CV146" s="53" t="s">
        <v>92</v>
      </c>
      <c r="CW146" s="53" t="s">
        <v>92</v>
      </c>
      <c r="CX146" s="53" t="s">
        <v>92</v>
      </c>
      <c r="CY146" s="53" t="s">
        <v>92</v>
      </c>
      <c r="CZ146" s="53" t="s">
        <v>92</v>
      </c>
      <c r="DA146" s="53" t="s">
        <v>92</v>
      </c>
      <c r="DB146" s="53" t="s">
        <v>92</v>
      </c>
      <c r="DC146" s="53" t="s">
        <v>92</v>
      </c>
      <c r="DD146" s="53" t="s">
        <v>92</v>
      </c>
      <c r="DE146" s="53" t="s">
        <v>92</v>
      </c>
      <c r="DF146" s="53" t="s">
        <v>92</v>
      </c>
      <c r="DG146" s="53" t="s">
        <v>92</v>
      </c>
      <c r="DH146" s="53" t="s">
        <v>92</v>
      </c>
      <c r="DI146" s="53" t="s">
        <v>92</v>
      </c>
      <c r="DJ146" s="53" t="s">
        <v>92</v>
      </c>
      <c r="DK146" s="53" t="s">
        <v>92</v>
      </c>
      <c r="DL146" s="53" t="s">
        <v>92</v>
      </c>
      <c r="DM146" s="53" t="s">
        <v>92</v>
      </c>
      <c r="DN146" s="53" t="s">
        <v>92</v>
      </c>
      <c r="DO146" s="53" t="s">
        <v>92</v>
      </c>
      <c r="DP146" s="53" t="s">
        <v>92</v>
      </c>
      <c r="DQ146" s="53" t="s">
        <v>92</v>
      </c>
      <c r="DR146" s="53" t="s">
        <v>92</v>
      </c>
      <c r="DS146" s="53" t="s">
        <v>90</v>
      </c>
      <c r="DT146" s="53" t="s">
        <v>90</v>
      </c>
      <c r="DU146" s="53" t="s">
        <v>90</v>
      </c>
      <c r="DV146" s="53" t="s">
        <v>90</v>
      </c>
      <c r="DW146" s="53" t="s">
        <v>90</v>
      </c>
      <c r="DX146" s="53" t="s">
        <v>90</v>
      </c>
      <c r="DY146" s="53" t="s">
        <v>90</v>
      </c>
      <c r="DZ146" s="53" t="s">
        <v>90</v>
      </c>
      <c r="EA146" s="53" t="s">
        <v>90</v>
      </c>
      <c r="EB146" s="53" t="s">
        <v>90</v>
      </c>
      <c r="EC146" s="53" t="s">
        <v>90</v>
      </c>
      <c r="ED146" s="53" t="s">
        <v>90</v>
      </c>
      <c r="EE146" s="53" t="s">
        <v>90</v>
      </c>
      <c r="EF146" s="53" t="s">
        <v>90</v>
      </c>
      <c r="EG146" s="53" t="s">
        <v>90</v>
      </c>
      <c r="EH146" s="53" t="s">
        <v>90</v>
      </c>
      <c r="EI146" s="53" t="s">
        <v>90</v>
      </c>
      <c r="EJ146" s="53" t="s">
        <v>90</v>
      </c>
      <c r="EK146" s="53" t="s">
        <v>90</v>
      </c>
      <c r="EL146" s="53" t="s">
        <v>90</v>
      </c>
      <c r="EM146" s="53" t="s">
        <v>90</v>
      </c>
      <c r="EN146" s="53" t="s">
        <v>90</v>
      </c>
      <c r="EO146" s="53" t="s">
        <v>90</v>
      </c>
      <c r="EP146" s="53" t="s">
        <v>90</v>
      </c>
      <c r="EQ146" s="53" t="s">
        <v>90</v>
      </c>
      <c r="ER146" s="53" t="s">
        <v>90</v>
      </c>
      <c r="ES146" s="53" t="s">
        <v>90</v>
      </c>
      <c r="ET146" s="53" t="s">
        <v>90</v>
      </c>
      <c r="EU146" s="53" t="s">
        <v>90</v>
      </c>
      <c r="EV146" s="53" t="s">
        <v>90</v>
      </c>
      <c r="EW146" s="53" t="s">
        <v>90</v>
      </c>
      <c r="EX146" s="53" t="s">
        <v>90</v>
      </c>
      <c r="EY146" s="53" t="s">
        <v>90</v>
      </c>
      <c r="EZ146" s="53" t="s">
        <v>90</v>
      </c>
      <c r="FA146" s="53" t="s">
        <v>90</v>
      </c>
      <c r="FB146" s="53" t="s">
        <v>90</v>
      </c>
      <c r="FC146" s="53" t="s">
        <v>90</v>
      </c>
      <c r="FD146" s="53" t="s">
        <v>90</v>
      </c>
      <c r="FE146" s="53" t="s">
        <v>90</v>
      </c>
      <c r="FF146" s="53" t="s">
        <v>90</v>
      </c>
      <c r="FG146" s="53" t="s">
        <v>91</v>
      </c>
      <c r="FH146" s="53" t="s">
        <v>91</v>
      </c>
      <c r="FI146" s="53" t="s">
        <v>91</v>
      </c>
      <c r="FJ146" s="53" t="s">
        <v>91</v>
      </c>
      <c r="FK146" s="53" t="s">
        <v>91</v>
      </c>
      <c r="FL146" s="53" t="s">
        <v>91</v>
      </c>
      <c r="FM146" s="53" t="s">
        <v>91</v>
      </c>
      <c r="FN146" s="53" t="s">
        <v>91</v>
      </c>
      <c r="FO146" s="53" t="s">
        <v>91</v>
      </c>
      <c r="FP146" s="53" t="s">
        <v>91</v>
      </c>
      <c r="FQ146" s="53" t="s">
        <v>91</v>
      </c>
      <c r="FR146" s="53" t="s">
        <v>91</v>
      </c>
      <c r="FS146" s="53" t="s">
        <v>91</v>
      </c>
      <c r="FT146" s="53" t="s">
        <v>91</v>
      </c>
      <c r="FU146" s="53" t="s">
        <v>91</v>
      </c>
      <c r="FV146" s="53" t="s">
        <v>91</v>
      </c>
      <c r="FW146" s="53" t="s">
        <v>91</v>
      </c>
      <c r="FX146" s="53" t="s">
        <v>91</v>
      </c>
      <c r="FY146" s="53" t="s">
        <v>91</v>
      </c>
      <c r="FZ146" s="53" t="s">
        <v>91</v>
      </c>
      <c r="GA146" s="53" t="s">
        <v>91</v>
      </c>
      <c r="GB146" s="53" t="s">
        <v>91</v>
      </c>
      <c r="GC146" s="53" t="s">
        <v>91</v>
      </c>
      <c r="GD146" s="53" t="s">
        <v>91</v>
      </c>
      <c r="GE146" s="53" t="s">
        <v>91</v>
      </c>
      <c r="GF146" s="53" t="s">
        <v>91</v>
      </c>
      <c r="GG146" s="53" t="s">
        <v>91</v>
      </c>
      <c r="GH146" s="53" t="s">
        <v>91</v>
      </c>
      <c r="GI146" s="53" t="s">
        <v>91</v>
      </c>
      <c r="GJ146" s="53" t="s">
        <v>91</v>
      </c>
      <c r="GK146" s="53" t="s">
        <v>91</v>
      </c>
      <c r="GL146" s="53" t="s">
        <v>91</v>
      </c>
      <c r="GM146" s="53" t="s">
        <v>91</v>
      </c>
      <c r="GN146" s="53" t="s">
        <v>91</v>
      </c>
      <c r="GO146" s="53" t="s">
        <v>91</v>
      </c>
      <c r="GP146" s="53" t="s">
        <v>91</v>
      </c>
      <c r="GQ146" s="53" t="s">
        <v>91</v>
      </c>
      <c r="GR146" s="53" t="s">
        <v>91</v>
      </c>
      <c r="GS146" s="53" t="s">
        <v>91</v>
      </c>
      <c r="GT146" s="53" t="s">
        <v>91</v>
      </c>
      <c r="GU146" s="53" t="s">
        <v>88</v>
      </c>
      <c r="GV146" s="53" t="s">
        <v>88</v>
      </c>
      <c r="GW146" s="53" t="s">
        <v>88</v>
      </c>
      <c r="GX146" s="53" t="s">
        <v>88</v>
      </c>
      <c r="GY146" s="53" t="s">
        <v>88</v>
      </c>
      <c r="GZ146" s="53" t="s">
        <v>88</v>
      </c>
      <c r="HA146" s="53" t="s">
        <v>88</v>
      </c>
      <c r="HB146" s="53" t="s">
        <v>88</v>
      </c>
      <c r="HC146" s="53" t="s">
        <v>88</v>
      </c>
      <c r="HD146" s="53" t="s">
        <v>88</v>
      </c>
      <c r="HE146" s="53" t="s">
        <v>88</v>
      </c>
      <c r="HF146" s="53" t="s">
        <v>88</v>
      </c>
      <c r="HG146" s="53" t="s">
        <v>88</v>
      </c>
      <c r="HH146" s="53" t="s">
        <v>88</v>
      </c>
      <c r="HI146" s="53" t="s">
        <v>88</v>
      </c>
      <c r="HJ146" s="53" t="s">
        <v>88</v>
      </c>
      <c r="HK146" s="53" t="s">
        <v>88</v>
      </c>
      <c r="HL146" s="53" t="s">
        <v>88</v>
      </c>
      <c r="HM146" s="53" t="s">
        <v>88</v>
      </c>
      <c r="HN146" s="53" t="s">
        <v>88</v>
      </c>
      <c r="HO146" s="53" t="s">
        <v>88</v>
      </c>
      <c r="HP146" s="53" t="s">
        <v>88</v>
      </c>
      <c r="HQ146" s="53" t="s">
        <v>88</v>
      </c>
      <c r="HR146" s="53" t="s">
        <v>88</v>
      </c>
      <c r="HS146" s="53" t="s">
        <v>88</v>
      </c>
      <c r="HT146" s="53" t="s">
        <v>88</v>
      </c>
      <c r="HU146" s="53" t="s">
        <v>88</v>
      </c>
      <c r="HV146" s="53" t="s">
        <v>88</v>
      </c>
      <c r="HW146" s="53" t="s">
        <v>88</v>
      </c>
      <c r="HX146" s="53" t="s">
        <v>88</v>
      </c>
      <c r="HY146" s="53" t="s">
        <v>88</v>
      </c>
      <c r="HZ146" s="53" t="s">
        <v>88</v>
      </c>
      <c r="IA146" s="53" t="s">
        <v>88</v>
      </c>
      <c r="IB146" s="53" t="s">
        <v>88</v>
      </c>
      <c r="IC146" s="53" t="s">
        <v>88</v>
      </c>
      <c r="ID146" s="53" t="s">
        <v>88</v>
      </c>
      <c r="IE146" s="53" t="s">
        <v>88</v>
      </c>
      <c r="IF146" s="53" t="s">
        <v>88</v>
      </c>
      <c r="IG146" s="53" t="s">
        <v>88</v>
      </c>
      <c r="IH146" s="66" t="s">
        <v>88</v>
      </c>
    </row>
    <row r="147" spans="1:242" x14ac:dyDescent="0.2">
      <c r="B147" s="95" t="s">
        <v>109</v>
      </c>
      <c r="C147" s="127">
        <v>0.9</v>
      </c>
      <c r="D147" s="96">
        <v>0.9</v>
      </c>
      <c r="E147" s="96">
        <v>0.9</v>
      </c>
      <c r="F147" s="96">
        <v>0.9</v>
      </c>
      <c r="G147" s="96">
        <v>0.9</v>
      </c>
      <c r="H147" s="96">
        <v>0.9</v>
      </c>
      <c r="I147" s="96">
        <v>0.9</v>
      </c>
      <c r="J147" s="96">
        <v>0.9</v>
      </c>
      <c r="K147" s="127">
        <v>0.95</v>
      </c>
      <c r="L147" s="127">
        <v>0.95</v>
      </c>
      <c r="M147" s="127">
        <v>0.95</v>
      </c>
      <c r="N147" s="127">
        <v>0.95</v>
      </c>
      <c r="O147" s="127">
        <v>0.95</v>
      </c>
      <c r="P147" s="127">
        <v>0.95</v>
      </c>
      <c r="Q147" s="127">
        <v>0.95</v>
      </c>
      <c r="R147" s="127">
        <v>0.95</v>
      </c>
      <c r="S147" s="127">
        <v>1</v>
      </c>
      <c r="T147" s="127">
        <v>1</v>
      </c>
      <c r="U147" s="127">
        <v>1</v>
      </c>
      <c r="V147" s="127">
        <v>1</v>
      </c>
      <c r="W147" s="127">
        <v>1</v>
      </c>
      <c r="X147" s="127">
        <v>1</v>
      </c>
      <c r="Y147" s="127">
        <v>1</v>
      </c>
      <c r="Z147" s="127">
        <v>1</v>
      </c>
      <c r="AA147" s="127">
        <v>1.05</v>
      </c>
      <c r="AB147" s="127">
        <v>1.05</v>
      </c>
      <c r="AC147" s="127">
        <v>1.05</v>
      </c>
      <c r="AD147" s="127">
        <v>1.05</v>
      </c>
      <c r="AE147" s="127">
        <v>1.05</v>
      </c>
      <c r="AF147" s="127">
        <v>1.05</v>
      </c>
      <c r="AG147" s="127">
        <v>1.05</v>
      </c>
      <c r="AH147" s="127">
        <v>1.05</v>
      </c>
      <c r="AI147" s="127">
        <v>1.1000000000000001</v>
      </c>
      <c r="AJ147" s="127">
        <v>1.1000000000000001</v>
      </c>
      <c r="AK147" s="127">
        <v>1.1000000000000001</v>
      </c>
      <c r="AL147" s="127">
        <v>1.1000000000000001</v>
      </c>
      <c r="AM147" s="127">
        <v>1.1000000000000001</v>
      </c>
      <c r="AN147" s="127">
        <v>1.1000000000000001</v>
      </c>
      <c r="AO147" s="127">
        <v>1.1000000000000001</v>
      </c>
      <c r="AP147" s="127">
        <v>1.1000000000000001</v>
      </c>
      <c r="AQ147" s="127">
        <v>0.9</v>
      </c>
      <c r="AR147" s="96">
        <v>0.9</v>
      </c>
      <c r="AS147" s="96">
        <v>0.9</v>
      </c>
      <c r="AT147" s="96">
        <v>0.9</v>
      </c>
      <c r="AU147" s="96">
        <v>0.9</v>
      </c>
      <c r="AV147" s="96">
        <v>0.9</v>
      </c>
      <c r="AW147" s="96">
        <v>0.9</v>
      </c>
      <c r="AX147" s="96">
        <v>0.9</v>
      </c>
      <c r="AY147" s="127">
        <v>0.95</v>
      </c>
      <c r="AZ147" s="127">
        <v>0.95</v>
      </c>
      <c r="BA147" s="127">
        <v>0.95</v>
      </c>
      <c r="BB147" s="127">
        <v>0.95</v>
      </c>
      <c r="BC147" s="127">
        <v>0.95</v>
      </c>
      <c r="BD147" s="127">
        <v>0.95</v>
      </c>
      <c r="BE147" s="127">
        <v>0.95</v>
      </c>
      <c r="BF147" s="127">
        <v>0.95</v>
      </c>
      <c r="BG147" s="127">
        <v>1</v>
      </c>
      <c r="BH147" s="127">
        <v>1</v>
      </c>
      <c r="BI147" s="127">
        <v>1</v>
      </c>
      <c r="BJ147" s="127">
        <v>1</v>
      </c>
      <c r="BK147" s="127">
        <v>1</v>
      </c>
      <c r="BL147" s="127">
        <v>1</v>
      </c>
      <c r="BM147" s="127">
        <v>1</v>
      </c>
      <c r="BN147" s="127">
        <v>1</v>
      </c>
      <c r="BO147" s="127">
        <v>1.05</v>
      </c>
      <c r="BP147" s="127">
        <v>1.05</v>
      </c>
      <c r="BQ147" s="127">
        <v>1.05</v>
      </c>
      <c r="BR147" s="127">
        <v>1.05</v>
      </c>
      <c r="BS147" s="127">
        <v>1.05</v>
      </c>
      <c r="BT147" s="127">
        <v>1.05</v>
      </c>
      <c r="BU147" s="127">
        <v>1.05</v>
      </c>
      <c r="BV147" s="127">
        <v>1.05</v>
      </c>
      <c r="BW147" s="127">
        <v>1.1000000000000001</v>
      </c>
      <c r="BX147" s="127">
        <v>1.1000000000000001</v>
      </c>
      <c r="BY147" s="127">
        <v>1.1000000000000001</v>
      </c>
      <c r="BZ147" s="127">
        <v>1.1000000000000001</v>
      </c>
      <c r="CA147" s="127">
        <v>1.1000000000000001</v>
      </c>
      <c r="CB147" s="127">
        <v>1.1000000000000001</v>
      </c>
      <c r="CC147" s="127">
        <v>1.1000000000000001</v>
      </c>
      <c r="CD147" s="127">
        <v>1.1000000000000001</v>
      </c>
      <c r="CE147" s="127">
        <v>0.9</v>
      </c>
      <c r="CF147" s="96">
        <v>0.9</v>
      </c>
      <c r="CG147" s="96">
        <v>0.9</v>
      </c>
      <c r="CH147" s="96">
        <v>0.9</v>
      </c>
      <c r="CI147" s="96">
        <v>0.9</v>
      </c>
      <c r="CJ147" s="96">
        <v>0.9</v>
      </c>
      <c r="CK147" s="96">
        <v>0.9</v>
      </c>
      <c r="CL147" s="96">
        <v>0.9</v>
      </c>
      <c r="CM147" s="127">
        <v>0.95</v>
      </c>
      <c r="CN147" s="127">
        <v>0.95</v>
      </c>
      <c r="CO147" s="127">
        <v>0.95</v>
      </c>
      <c r="CP147" s="127">
        <v>0.95</v>
      </c>
      <c r="CQ147" s="127">
        <v>0.95</v>
      </c>
      <c r="CR147" s="127">
        <v>0.95</v>
      </c>
      <c r="CS147" s="127">
        <v>0.95</v>
      </c>
      <c r="CT147" s="127">
        <v>0.95</v>
      </c>
      <c r="CU147" s="127">
        <v>1</v>
      </c>
      <c r="CV147" s="127">
        <v>1</v>
      </c>
      <c r="CW147" s="127">
        <v>1</v>
      </c>
      <c r="CX147" s="127">
        <v>1</v>
      </c>
      <c r="CY147" s="127">
        <v>1</v>
      </c>
      <c r="CZ147" s="127">
        <v>1</v>
      </c>
      <c r="DA147" s="127">
        <v>1</v>
      </c>
      <c r="DB147" s="127">
        <v>1</v>
      </c>
      <c r="DC147" s="127">
        <v>1.05</v>
      </c>
      <c r="DD147" s="127">
        <v>1.05</v>
      </c>
      <c r="DE147" s="127">
        <v>1.05</v>
      </c>
      <c r="DF147" s="127">
        <v>1.05</v>
      </c>
      <c r="DG147" s="127">
        <v>1.05</v>
      </c>
      <c r="DH147" s="127">
        <v>1.05</v>
      </c>
      <c r="DI147" s="127">
        <v>1.05</v>
      </c>
      <c r="DJ147" s="127">
        <v>1.05</v>
      </c>
      <c r="DK147" s="127">
        <v>1.1000000000000001</v>
      </c>
      <c r="DL147" s="127">
        <v>1.1000000000000001</v>
      </c>
      <c r="DM147" s="127">
        <v>1.1000000000000001</v>
      </c>
      <c r="DN147" s="127">
        <v>1.1000000000000001</v>
      </c>
      <c r="DO147" s="127">
        <v>1.1000000000000001</v>
      </c>
      <c r="DP147" s="127">
        <v>1.1000000000000001</v>
      </c>
      <c r="DQ147" s="127">
        <v>1.1000000000000001</v>
      </c>
      <c r="DR147" s="127">
        <v>1.1000000000000001</v>
      </c>
      <c r="DS147" s="127">
        <v>0.9</v>
      </c>
      <c r="DT147" s="96">
        <v>0.9</v>
      </c>
      <c r="DU147" s="96">
        <v>0.9</v>
      </c>
      <c r="DV147" s="96">
        <v>0.9</v>
      </c>
      <c r="DW147" s="96">
        <v>0.9</v>
      </c>
      <c r="DX147" s="96">
        <v>0.9</v>
      </c>
      <c r="DY147" s="96">
        <v>0.9</v>
      </c>
      <c r="DZ147" s="96">
        <v>0.9</v>
      </c>
      <c r="EA147" s="127">
        <v>0.95</v>
      </c>
      <c r="EB147" s="127">
        <v>0.95</v>
      </c>
      <c r="EC147" s="127">
        <v>0.95</v>
      </c>
      <c r="ED147" s="127">
        <v>0.95</v>
      </c>
      <c r="EE147" s="127">
        <v>0.95</v>
      </c>
      <c r="EF147" s="127">
        <v>0.95</v>
      </c>
      <c r="EG147" s="127">
        <v>0.95</v>
      </c>
      <c r="EH147" s="127">
        <v>0.95</v>
      </c>
      <c r="EI147" s="127">
        <v>1</v>
      </c>
      <c r="EJ147" s="127">
        <v>1</v>
      </c>
      <c r="EK147" s="127">
        <v>1</v>
      </c>
      <c r="EL147" s="127">
        <v>1</v>
      </c>
      <c r="EM147" s="127">
        <v>1</v>
      </c>
      <c r="EN147" s="127">
        <v>1</v>
      </c>
      <c r="EO147" s="127">
        <v>1</v>
      </c>
      <c r="EP147" s="127">
        <v>1</v>
      </c>
      <c r="EQ147" s="127">
        <v>1.05</v>
      </c>
      <c r="ER147" s="127">
        <v>1.05</v>
      </c>
      <c r="ES147" s="127">
        <v>1.05</v>
      </c>
      <c r="ET147" s="127">
        <v>1.05</v>
      </c>
      <c r="EU147" s="127">
        <v>1.05</v>
      </c>
      <c r="EV147" s="127">
        <v>1.05</v>
      </c>
      <c r="EW147" s="127">
        <v>1.05</v>
      </c>
      <c r="EX147" s="127">
        <v>1.05</v>
      </c>
      <c r="EY147" s="127">
        <v>1.1000000000000001</v>
      </c>
      <c r="EZ147" s="127">
        <v>1.1000000000000001</v>
      </c>
      <c r="FA147" s="127">
        <v>1.1000000000000001</v>
      </c>
      <c r="FB147" s="127">
        <v>1.1000000000000001</v>
      </c>
      <c r="FC147" s="127">
        <v>1.1000000000000001</v>
      </c>
      <c r="FD147" s="127">
        <v>1.1000000000000001</v>
      </c>
      <c r="FE147" s="127">
        <v>1.1000000000000001</v>
      </c>
      <c r="FF147" s="127">
        <v>1.1000000000000001</v>
      </c>
      <c r="FG147" s="127">
        <v>0.9</v>
      </c>
      <c r="FH147" s="96">
        <v>0.9</v>
      </c>
      <c r="FI147" s="96">
        <v>0.9</v>
      </c>
      <c r="FJ147" s="96">
        <v>0.9</v>
      </c>
      <c r="FK147" s="96">
        <v>0.9</v>
      </c>
      <c r="FL147" s="96">
        <v>0.9</v>
      </c>
      <c r="FM147" s="96">
        <v>0.9</v>
      </c>
      <c r="FN147" s="96">
        <v>0.9</v>
      </c>
      <c r="FO147" s="127">
        <v>0.95</v>
      </c>
      <c r="FP147" s="127">
        <v>0.95</v>
      </c>
      <c r="FQ147" s="127">
        <v>0.95</v>
      </c>
      <c r="FR147" s="127">
        <v>0.95</v>
      </c>
      <c r="FS147" s="127">
        <v>0.95</v>
      </c>
      <c r="FT147" s="127">
        <v>0.95</v>
      </c>
      <c r="FU147" s="127">
        <v>0.95</v>
      </c>
      <c r="FV147" s="127">
        <v>0.95</v>
      </c>
      <c r="FW147" s="127">
        <v>1</v>
      </c>
      <c r="FX147" s="127">
        <v>1</v>
      </c>
      <c r="FY147" s="127">
        <v>1</v>
      </c>
      <c r="FZ147" s="127">
        <v>1</v>
      </c>
      <c r="GA147" s="127">
        <v>1</v>
      </c>
      <c r="GB147" s="127">
        <v>1</v>
      </c>
      <c r="GC147" s="127">
        <v>1</v>
      </c>
      <c r="GD147" s="127">
        <v>1</v>
      </c>
      <c r="GE147" s="127">
        <v>1.05</v>
      </c>
      <c r="GF147" s="127">
        <v>1.05</v>
      </c>
      <c r="GG147" s="127">
        <v>1.05</v>
      </c>
      <c r="GH147" s="127">
        <v>1.05</v>
      </c>
      <c r="GI147" s="127">
        <v>1.05</v>
      </c>
      <c r="GJ147" s="127">
        <v>1.05</v>
      </c>
      <c r="GK147" s="127">
        <v>1.05</v>
      </c>
      <c r="GL147" s="127">
        <v>1.05</v>
      </c>
      <c r="GM147" s="127">
        <v>1.1000000000000001</v>
      </c>
      <c r="GN147" s="127">
        <v>1.1000000000000001</v>
      </c>
      <c r="GO147" s="127">
        <v>1.1000000000000001</v>
      </c>
      <c r="GP147" s="127">
        <v>1.1000000000000001</v>
      </c>
      <c r="GQ147" s="127">
        <v>1.1000000000000001</v>
      </c>
      <c r="GR147" s="127">
        <v>1.1000000000000001</v>
      </c>
      <c r="GS147" s="127">
        <v>1.1000000000000001</v>
      </c>
      <c r="GT147" s="127">
        <v>1.1000000000000001</v>
      </c>
      <c r="GU147" s="127">
        <v>0.9</v>
      </c>
      <c r="GV147" s="96">
        <v>0.9</v>
      </c>
      <c r="GW147" s="96">
        <v>0.9</v>
      </c>
      <c r="GX147" s="96">
        <v>0.9</v>
      </c>
      <c r="GY147" s="96">
        <v>0.9</v>
      </c>
      <c r="GZ147" s="96">
        <v>0.9</v>
      </c>
      <c r="HA147" s="96">
        <v>0.9</v>
      </c>
      <c r="HB147" s="96">
        <v>0.9</v>
      </c>
      <c r="HC147" s="127">
        <v>0.95</v>
      </c>
      <c r="HD147" s="127">
        <v>0.95</v>
      </c>
      <c r="HE147" s="127">
        <v>0.95</v>
      </c>
      <c r="HF147" s="127">
        <v>0.95</v>
      </c>
      <c r="HG147" s="127">
        <v>0.95</v>
      </c>
      <c r="HH147" s="127">
        <v>0.95</v>
      </c>
      <c r="HI147" s="127">
        <v>0.95</v>
      </c>
      <c r="HJ147" s="127">
        <v>0.95</v>
      </c>
      <c r="HK147" s="127">
        <v>1</v>
      </c>
      <c r="HL147" s="127">
        <v>1</v>
      </c>
      <c r="HM147" s="127">
        <v>1</v>
      </c>
      <c r="HN147" s="127">
        <v>1</v>
      </c>
      <c r="HO147" s="127">
        <v>1</v>
      </c>
      <c r="HP147" s="127">
        <v>1</v>
      </c>
      <c r="HQ147" s="127">
        <v>1</v>
      </c>
      <c r="HR147" s="127">
        <v>1</v>
      </c>
      <c r="HS147" s="127">
        <v>1.05</v>
      </c>
      <c r="HT147" s="127">
        <v>1.05</v>
      </c>
      <c r="HU147" s="127">
        <v>1.05</v>
      </c>
      <c r="HV147" s="127">
        <v>1.05</v>
      </c>
      <c r="HW147" s="127">
        <v>1.05</v>
      </c>
      <c r="HX147" s="127">
        <v>1.05</v>
      </c>
      <c r="HY147" s="127">
        <v>1.05</v>
      </c>
      <c r="HZ147" s="127">
        <v>1.05</v>
      </c>
      <c r="IA147" s="127">
        <v>1.1000000000000001</v>
      </c>
      <c r="IB147" s="127">
        <v>1.1000000000000001</v>
      </c>
      <c r="IC147" s="127">
        <v>1.1000000000000001</v>
      </c>
      <c r="ID147" s="127">
        <v>1.1000000000000001</v>
      </c>
      <c r="IE147" s="127">
        <v>1.1000000000000001</v>
      </c>
      <c r="IF147" s="127">
        <v>1.1000000000000001</v>
      </c>
      <c r="IG147" s="127">
        <v>1.1000000000000001</v>
      </c>
      <c r="IH147" s="128">
        <v>1.1000000000000001</v>
      </c>
    </row>
    <row r="148" spans="1:242" x14ac:dyDescent="0.2">
      <c r="B148" s="95" t="s">
        <v>101</v>
      </c>
      <c r="C148" s="96">
        <v>8.3330000000000001E-2</v>
      </c>
      <c r="D148" s="96">
        <v>0.25</v>
      </c>
      <c r="E148" s="96">
        <v>0.5</v>
      </c>
      <c r="F148" s="96">
        <v>1</v>
      </c>
      <c r="G148" s="96">
        <v>2</v>
      </c>
      <c r="H148" s="96">
        <v>3</v>
      </c>
      <c r="I148" s="96">
        <v>4</v>
      </c>
      <c r="J148" s="96">
        <v>5</v>
      </c>
      <c r="K148" s="96">
        <v>8.3330000000000001E-2</v>
      </c>
      <c r="L148" s="96">
        <v>0.25</v>
      </c>
      <c r="M148" s="96">
        <v>0.5</v>
      </c>
      <c r="N148" s="96">
        <v>1</v>
      </c>
      <c r="O148" s="96">
        <v>2</v>
      </c>
      <c r="P148" s="96">
        <v>3</v>
      </c>
      <c r="Q148" s="96">
        <v>4</v>
      </c>
      <c r="R148" s="96">
        <v>5</v>
      </c>
      <c r="S148" s="96">
        <v>8.3330000000000001E-2</v>
      </c>
      <c r="T148" s="96">
        <v>0.25</v>
      </c>
      <c r="U148" s="96">
        <v>0.5</v>
      </c>
      <c r="V148" s="96">
        <v>1</v>
      </c>
      <c r="W148" s="96">
        <v>2</v>
      </c>
      <c r="X148" s="96">
        <v>3</v>
      </c>
      <c r="Y148" s="96">
        <v>4</v>
      </c>
      <c r="Z148" s="96">
        <v>5</v>
      </c>
      <c r="AA148" s="96">
        <v>8.3330000000000001E-2</v>
      </c>
      <c r="AB148" s="96">
        <v>0.25</v>
      </c>
      <c r="AC148" s="96">
        <v>0.5</v>
      </c>
      <c r="AD148" s="96">
        <v>1</v>
      </c>
      <c r="AE148" s="96">
        <v>2</v>
      </c>
      <c r="AF148" s="96">
        <v>3</v>
      </c>
      <c r="AG148" s="96">
        <v>4</v>
      </c>
      <c r="AH148" s="96">
        <v>5</v>
      </c>
      <c r="AI148" s="96">
        <v>8.3330000000000001E-2</v>
      </c>
      <c r="AJ148" s="96">
        <v>0.25</v>
      </c>
      <c r="AK148" s="96">
        <v>0.5</v>
      </c>
      <c r="AL148" s="96">
        <v>1</v>
      </c>
      <c r="AM148" s="96">
        <v>2</v>
      </c>
      <c r="AN148" s="96">
        <v>3</v>
      </c>
      <c r="AO148" s="96">
        <v>4</v>
      </c>
      <c r="AP148" s="96">
        <v>5</v>
      </c>
      <c r="AQ148" s="96">
        <v>8.3330000000000001E-2</v>
      </c>
      <c r="AR148" s="96">
        <v>0.25</v>
      </c>
      <c r="AS148" s="96">
        <v>0.5</v>
      </c>
      <c r="AT148" s="96">
        <v>1</v>
      </c>
      <c r="AU148" s="96">
        <v>2</v>
      </c>
      <c r="AV148" s="96">
        <v>3</v>
      </c>
      <c r="AW148" s="96">
        <v>4</v>
      </c>
      <c r="AX148" s="96">
        <v>5</v>
      </c>
      <c r="AY148" s="96">
        <v>8.3330000000000001E-2</v>
      </c>
      <c r="AZ148" s="96">
        <v>0.25</v>
      </c>
      <c r="BA148" s="96">
        <v>0.5</v>
      </c>
      <c r="BB148" s="96">
        <v>1</v>
      </c>
      <c r="BC148" s="96">
        <v>2</v>
      </c>
      <c r="BD148" s="96">
        <v>3</v>
      </c>
      <c r="BE148" s="96">
        <v>4</v>
      </c>
      <c r="BF148" s="96">
        <v>5</v>
      </c>
      <c r="BG148" s="96">
        <v>8.3330000000000001E-2</v>
      </c>
      <c r="BH148" s="96">
        <v>0.25</v>
      </c>
      <c r="BI148" s="96">
        <v>0.5</v>
      </c>
      <c r="BJ148" s="96">
        <v>1</v>
      </c>
      <c r="BK148" s="96">
        <v>2</v>
      </c>
      <c r="BL148" s="96">
        <v>3</v>
      </c>
      <c r="BM148" s="96">
        <v>4</v>
      </c>
      <c r="BN148" s="96">
        <v>5</v>
      </c>
      <c r="BO148" s="96">
        <v>8.3330000000000001E-2</v>
      </c>
      <c r="BP148" s="96">
        <v>0.25</v>
      </c>
      <c r="BQ148" s="96">
        <v>0.5</v>
      </c>
      <c r="BR148" s="96">
        <v>1</v>
      </c>
      <c r="BS148" s="96">
        <v>2</v>
      </c>
      <c r="BT148" s="96">
        <v>3</v>
      </c>
      <c r="BU148" s="96">
        <v>4</v>
      </c>
      <c r="BV148" s="96">
        <v>5</v>
      </c>
      <c r="BW148" s="96">
        <v>8.3330000000000001E-2</v>
      </c>
      <c r="BX148" s="96">
        <v>0.25</v>
      </c>
      <c r="BY148" s="96">
        <v>0.5</v>
      </c>
      <c r="BZ148" s="96">
        <v>1</v>
      </c>
      <c r="CA148" s="96">
        <v>2</v>
      </c>
      <c r="CB148" s="96">
        <v>3</v>
      </c>
      <c r="CC148" s="96">
        <v>4</v>
      </c>
      <c r="CD148" s="96">
        <v>5</v>
      </c>
      <c r="CE148" s="96">
        <v>8.3330000000000001E-2</v>
      </c>
      <c r="CF148" s="96">
        <v>0.25</v>
      </c>
      <c r="CG148" s="96">
        <v>0.5</v>
      </c>
      <c r="CH148" s="96">
        <v>1</v>
      </c>
      <c r="CI148" s="96">
        <v>2</v>
      </c>
      <c r="CJ148" s="96">
        <v>3</v>
      </c>
      <c r="CK148" s="96">
        <v>4</v>
      </c>
      <c r="CL148" s="96">
        <v>5</v>
      </c>
      <c r="CM148" s="96">
        <v>8.3330000000000001E-2</v>
      </c>
      <c r="CN148" s="96">
        <v>0.25</v>
      </c>
      <c r="CO148" s="96">
        <v>0.5</v>
      </c>
      <c r="CP148" s="96">
        <v>1</v>
      </c>
      <c r="CQ148" s="96">
        <v>2</v>
      </c>
      <c r="CR148" s="96">
        <v>3</v>
      </c>
      <c r="CS148" s="96">
        <v>4</v>
      </c>
      <c r="CT148" s="96">
        <v>5</v>
      </c>
      <c r="CU148" s="96">
        <v>8.3330000000000001E-2</v>
      </c>
      <c r="CV148" s="96">
        <v>0.25</v>
      </c>
      <c r="CW148" s="96">
        <v>0.5</v>
      </c>
      <c r="CX148" s="96">
        <v>1</v>
      </c>
      <c r="CY148" s="96">
        <v>2</v>
      </c>
      <c r="CZ148" s="96">
        <v>3</v>
      </c>
      <c r="DA148" s="96">
        <v>4</v>
      </c>
      <c r="DB148" s="96">
        <v>5</v>
      </c>
      <c r="DC148" s="96">
        <v>8.3330000000000001E-2</v>
      </c>
      <c r="DD148" s="96">
        <v>0.25</v>
      </c>
      <c r="DE148" s="96">
        <v>0.5</v>
      </c>
      <c r="DF148" s="96">
        <v>1</v>
      </c>
      <c r="DG148" s="96">
        <v>2</v>
      </c>
      <c r="DH148" s="96">
        <v>3</v>
      </c>
      <c r="DI148" s="96">
        <v>4</v>
      </c>
      <c r="DJ148" s="96">
        <v>5</v>
      </c>
      <c r="DK148" s="96">
        <v>8.3330000000000001E-2</v>
      </c>
      <c r="DL148" s="96">
        <v>0.25</v>
      </c>
      <c r="DM148" s="96">
        <v>0.5</v>
      </c>
      <c r="DN148" s="96">
        <v>1</v>
      </c>
      <c r="DO148" s="96">
        <v>2</v>
      </c>
      <c r="DP148" s="96">
        <v>3</v>
      </c>
      <c r="DQ148" s="96">
        <v>4</v>
      </c>
      <c r="DR148" s="96">
        <v>5</v>
      </c>
      <c r="DS148" s="96">
        <v>8.3330000000000001E-2</v>
      </c>
      <c r="DT148" s="96">
        <v>0.25</v>
      </c>
      <c r="DU148" s="96">
        <v>0.5</v>
      </c>
      <c r="DV148" s="96">
        <v>1</v>
      </c>
      <c r="DW148" s="96">
        <v>2</v>
      </c>
      <c r="DX148" s="96">
        <v>3</v>
      </c>
      <c r="DY148" s="96">
        <v>4</v>
      </c>
      <c r="DZ148" s="96">
        <v>5</v>
      </c>
      <c r="EA148" s="96">
        <v>8.3330000000000001E-2</v>
      </c>
      <c r="EB148" s="96">
        <v>0.25</v>
      </c>
      <c r="EC148" s="96">
        <v>0.5</v>
      </c>
      <c r="ED148" s="96">
        <v>1</v>
      </c>
      <c r="EE148" s="96">
        <v>2</v>
      </c>
      <c r="EF148" s="96">
        <v>3</v>
      </c>
      <c r="EG148" s="96">
        <v>4</v>
      </c>
      <c r="EH148" s="96">
        <v>5</v>
      </c>
      <c r="EI148" s="96">
        <v>8.3330000000000001E-2</v>
      </c>
      <c r="EJ148" s="96">
        <v>0.25</v>
      </c>
      <c r="EK148" s="96">
        <v>0.5</v>
      </c>
      <c r="EL148" s="96">
        <v>1</v>
      </c>
      <c r="EM148" s="96">
        <v>2</v>
      </c>
      <c r="EN148" s="96">
        <v>3</v>
      </c>
      <c r="EO148" s="96">
        <v>4</v>
      </c>
      <c r="EP148" s="96">
        <v>5</v>
      </c>
      <c r="EQ148" s="96">
        <v>8.3330000000000001E-2</v>
      </c>
      <c r="ER148" s="96">
        <v>0.25</v>
      </c>
      <c r="ES148" s="96">
        <v>0.5</v>
      </c>
      <c r="ET148" s="96">
        <v>1</v>
      </c>
      <c r="EU148" s="96">
        <v>2</v>
      </c>
      <c r="EV148" s="96">
        <v>3</v>
      </c>
      <c r="EW148" s="96">
        <v>4</v>
      </c>
      <c r="EX148" s="96">
        <v>5</v>
      </c>
      <c r="EY148" s="96">
        <v>8.3330000000000001E-2</v>
      </c>
      <c r="EZ148" s="96">
        <v>0.25</v>
      </c>
      <c r="FA148" s="96">
        <v>0.5</v>
      </c>
      <c r="FB148" s="96">
        <v>1</v>
      </c>
      <c r="FC148" s="96">
        <v>2</v>
      </c>
      <c r="FD148" s="96">
        <v>3</v>
      </c>
      <c r="FE148" s="96">
        <v>4</v>
      </c>
      <c r="FF148" s="96">
        <v>5</v>
      </c>
      <c r="FG148" s="96">
        <v>8.3330000000000001E-2</v>
      </c>
      <c r="FH148" s="96">
        <v>0.25</v>
      </c>
      <c r="FI148" s="96">
        <v>0.5</v>
      </c>
      <c r="FJ148" s="96">
        <v>1</v>
      </c>
      <c r="FK148" s="96">
        <v>2</v>
      </c>
      <c r="FL148" s="96">
        <v>3</v>
      </c>
      <c r="FM148" s="96">
        <v>4</v>
      </c>
      <c r="FN148" s="96">
        <v>5</v>
      </c>
      <c r="FO148" s="96">
        <v>8.3330000000000001E-2</v>
      </c>
      <c r="FP148" s="96">
        <v>0.25</v>
      </c>
      <c r="FQ148" s="96">
        <v>0.5</v>
      </c>
      <c r="FR148" s="96">
        <v>1</v>
      </c>
      <c r="FS148" s="96">
        <v>2</v>
      </c>
      <c r="FT148" s="96">
        <v>3</v>
      </c>
      <c r="FU148" s="96">
        <v>4</v>
      </c>
      <c r="FV148" s="96">
        <v>5</v>
      </c>
      <c r="FW148" s="96">
        <v>8.3330000000000001E-2</v>
      </c>
      <c r="FX148" s="96">
        <v>0.25</v>
      </c>
      <c r="FY148" s="96">
        <v>0.5</v>
      </c>
      <c r="FZ148" s="96">
        <v>1</v>
      </c>
      <c r="GA148" s="96">
        <v>2</v>
      </c>
      <c r="GB148" s="96">
        <v>3</v>
      </c>
      <c r="GC148" s="96">
        <v>4</v>
      </c>
      <c r="GD148" s="96">
        <v>5</v>
      </c>
      <c r="GE148" s="96">
        <v>8.3330000000000001E-2</v>
      </c>
      <c r="GF148" s="96">
        <v>0.25</v>
      </c>
      <c r="GG148" s="96">
        <v>0.5</v>
      </c>
      <c r="GH148" s="96">
        <v>1</v>
      </c>
      <c r="GI148" s="96">
        <v>2</v>
      </c>
      <c r="GJ148" s="96">
        <v>3</v>
      </c>
      <c r="GK148" s="96">
        <v>4</v>
      </c>
      <c r="GL148" s="96">
        <v>5</v>
      </c>
      <c r="GM148" s="96">
        <v>8.3330000000000001E-2</v>
      </c>
      <c r="GN148" s="96">
        <v>0.25</v>
      </c>
      <c r="GO148" s="96">
        <v>0.5</v>
      </c>
      <c r="GP148" s="96">
        <v>1</v>
      </c>
      <c r="GQ148" s="96">
        <v>2</v>
      </c>
      <c r="GR148" s="96">
        <v>3</v>
      </c>
      <c r="GS148" s="96">
        <v>4</v>
      </c>
      <c r="GT148" s="96">
        <v>5</v>
      </c>
      <c r="GU148" s="96">
        <v>8.3330000000000001E-2</v>
      </c>
      <c r="GV148" s="96">
        <v>0.25</v>
      </c>
      <c r="GW148" s="96">
        <v>0.5</v>
      </c>
      <c r="GX148" s="96">
        <v>1</v>
      </c>
      <c r="GY148" s="96">
        <v>2</v>
      </c>
      <c r="GZ148" s="96">
        <v>3</v>
      </c>
      <c r="HA148" s="96">
        <v>4</v>
      </c>
      <c r="HB148" s="96">
        <v>5</v>
      </c>
      <c r="HC148" s="96">
        <v>8.3330000000000001E-2</v>
      </c>
      <c r="HD148" s="96">
        <v>0.25</v>
      </c>
      <c r="HE148" s="96">
        <v>0.5</v>
      </c>
      <c r="HF148" s="96">
        <v>1</v>
      </c>
      <c r="HG148" s="96">
        <v>2</v>
      </c>
      <c r="HH148" s="96">
        <v>3</v>
      </c>
      <c r="HI148" s="96">
        <v>4</v>
      </c>
      <c r="HJ148" s="96">
        <v>5</v>
      </c>
      <c r="HK148" s="96">
        <v>8.3330000000000001E-2</v>
      </c>
      <c r="HL148" s="96">
        <v>0.25</v>
      </c>
      <c r="HM148" s="96">
        <v>0.5</v>
      </c>
      <c r="HN148" s="96">
        <v>1</v>
      </c>
      <c r="HO148" s="96">
        <v>2</v>
      </c>
      <c r="HP148" s="96">
        <v>3</v>
      </c>
      <c r="HQ148" s="96">
        <v>4</v>
      </c>
      <c r="HR148" s="96">
        <v>5</v>
      </c>
      <c r="HS148" s="96">
        <v>8.3330000000000001E-2</v>
      </c>
      <c r="HT148" s="96">
        <v>0.25</v>
      </c>
      <c r="HU148" s="96">
        <v>0.5</v>
      </c>
      <c r="HV148" s="96">
        <v>1</v>
      </c>
      <c r="HW148" s="96">
        <v>2</v>
      </c>
      <c r="HX148" s="96">
        <v>3</v>
      </c>
      <c r="HY148" s="96">
        <v>4</v>
      </c>
      <c r="HZ148" s="96">
        <v>5</v>
      </c>
      <c r="IA148" s="96">
        <v>8.3330000000000001E-2</v>
      </c>
      <c r="IB148" s="96">
        <v>0.25</v>
      </c>
      <c r="IC148" s="96">
        <v>0.5</v>
      </c>
      <c r="ID148" s="96">
        <v>1</v>
      </c>
      <c r="IE148" s="96">
        <v>2</v>
      </c>
      <c r="IF148" s="96">
        <v>3</v>
      </c>
      <c r="IG148" s="96">
        <v>4</v>
      </c>
      <c r="IH148" s="97">
        <v>5</v>
      </c>
    </row>
    <row r="149" spans="1:242" x14ac:dyDescent="0.2">
      <c r="B149" s="98" t="s">
        <v>99</v>
      </c>
      <c r="C149" s="99"/>
      <c r="D149" s="100"/>
      <c r="E149" s="99"/>
      <c r="F149" s="99"/>
      <c r="G149" s="99"/>
      <c r="H149" s="99"/>
      <c r="I149" s="99"/>
      <c r="J149" s="99"/>
      <c r="K149" s="99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9"/>
      <c r="AI149" s="99"/>
      <c r="AJ149" s="99"/>
      <c r="AK149" s="99"/>
      <c r="AL149" s="99"/>
      <c r="AM149" s="99"/>
      <c r="AN149" s="99"/>
      <c r="AO149" s="99"/>
      <c r="AP149" s="99"/>
      <c r="AQ149" s="99"/>
      <c r="AR149" s="100"/>
      <c r="AS149" s="99"/>
      <c r="AT149" s="99"/>
      <c r="AU149" s="99"/>
      <c r="AV149" s="99"/>
      <c r="AW149" s="99"/>
      <c r="AX149" s="99"/>
      <c r="AY149" s="99"/>
      <c r="AZ149" s="99"/>
      <c r="BA149" s="99"/>
      <c r="BB149" s="99"/>
      <c r="BC149" s="99"/>
      <c r="BD149" s="99"/>
      <c r="BE149" s="99"/>
      <c r="BF149" s="99"/>
      <c r="BG149" s="99"/>
      <c r="BH149" s="99"/>
      <c r="BI149" s="99"/>
      <c r="BJ149" s="99"/>
      <c r="BK149" s="99"/>
      <c r="BL149" s="99"/>
      <c r="BM149" s="99"/>
      <c r="BN149" s="99"/>
      <c r="BO149" s="99"/>
      <c r="BP149" s="99"/>
      <c r="BQ149" s="99"/>
      <c r="BR149" s="99"/>
      <c r="BS149" s="99"/>
      <c r="BT149" s="99"/>
      <c r="BU149" s="99"/>
      <c r="BV149" s="99"/>
      <c r="BW149" s="99"/>
      <c r="BX149" s="99"/>
      <c r="BY149" s="99"/>
      <c r="BZ149" s="99"/>
      <c r="CA149" s="99"/>
      <c r="CB149" s="99"/>
      <c r="CC149" s="99"/>
      <c r="CD149" s="99"/>
      <c r="CE149" s="99"/>
      <c r="CF149" s="100"/>
      <c r="CG149" s="99"/>
      <c r="CH149" s="99"/>
      <c r="CI149" s="99"/>
      <c r="CJ149" s="99"/>
      <c r="CK149" s="99"/>
      <c r="CL149" s="99"/>
      <c r="CM149" s="99"/>
      <c r="CN149" s="99"/>
      <c r="CO149" s="99"/>
      <c r="CP149" s="99"/>
      <c r="CQ149" s="99"/>
      <c r="CR149" s="99"/>
      <c r="CS149" s="99"/>
      <c r="CT149" s="99"/>
      <c r="CU149" s="99"/>
      <c r="CV149" s="99"/>
      <c r="CW149" s="99"/>
      <c r="CX149" s="99"/>
      <c r="CY149" s="99"/>
      <c r="CZ149" s="99"/>
      <c r="DA149" s="99"/>
      <c r="DB149" s="99"/>
      <c r="DC149" s="99"/>
      <c r="DD149" s="99"/>
      <c r="DE149" s="99"/>
      <c r="DF149" s="99"/>
      <c r="DG149" s="99"/>
      <c r="DH149" s="99"/>
      <c r="DI149" s="99"/>
      <c r="DJ149" s="99"/>
      <c r="DK149" s="99"/>
      <c r="DL149" s="99"/>
      <c r="DM149" s="99"/>
      <c r="DN149" s="99"/>
      <c r="DO149" s="99"/>
      <c r="DP149" s="99"/>
      <c r="DQ149" s="99"/>
      <c r="DR149" s="99"/>
      <c r="DS149" s="99"/>
      <c r="DT149" s="100"/>
      <c r="DU149" s="99"/>
      <c r="DV149" s="99"/>
      <c r="DW149" s="99"/>
      <c r="DX149" s="99"/>
      <c r="DY149" s="99"/>
      <c r="DZ149" s="99"/>
      <c r="EA149" s="99"/>
      <c r="EB149" s="99"/>
      <c r="EC149" s="99"/>
      <c r="ED149" s="99"/>
      <c r="EE149" s="99"/>
      <c r="EF149" s="99"/>
      <c r="EG149" s="99"/>
      <c r="EH149" s="99"/>
      <c r="EI149" s="99"/>
      <c r="EJ149" s="99"/>
      <c r="EK149" s="99"/>
      <c r="EL149" s="99"/>
      <c r="EM149" s="99"/>
      <c r="EN149" s="99"/>
      <c r="EO149" s="99"/>
      <c r="EP149" s="99"/>
      <c r="EQ149" s="99"/>
      <c r="ER149" s="99"/>
      <c r="ES149" s="99"/>
      <c r="ET149" s="99"/>
      <c r="EU149" s="99"/>
      <c r="EV149" s="99"/>
      <c r="EW149" s="99"/>
      <c r="EX149" s="99"/>
      <c r="EY149" s="99"/>
      <c r="EZ149" s="99"/>
      <c r="FA149" s="99"/>
      <c r="FB149" s="99"/>
      <c r="FC149" s="99"/>
      <c r="FD149" s="99"/>
      <c r="FE149" s="99"/>
      <c r="FF149" s="99"/>
      <c r="FG149" s="99"/>
      <c r="FH149" s="100"/>
      <c r="FI149" s="99"/>
      <c r="FJ149" s="99"/>
      <c r="FK149" s="99"/>
      <c r="FL149" s="99"/>
      <c r="FM149" s="99"/>
      <c r="FN149" s="99"/>
      <c r="FO149" s="99"/>
      <c r="FP149" s="99"/>
      <c r="FQ149" s="99"/>
      <c r="FR149" s="99"/>
      <c r="FS149" s="99"/>
      <c r="FT149" s="99"/>
      <c r="FU149" s="99"/>
      <c r="FV149" s="99"/>
      <c r="FW149" s="99"/>
      <c r="FX149" s="99"/>
      <c r="FY149" s="99"/>
      <c r="FZ149" s="99"/>
      <c r="GA149" s="99"/>
      <c r="GB149" s="99"/>
      <c r="GC149" s="99"/>
      <c r="GD149" s="99"/>
      <c r="GE149" s="99"/>
      <c r="GF149" s="99"/>
      <c r="GG149" s="99"/>
      <c r="GH149" s="99"/>
      <c r="GI149" s="99"/>
      <c r="GJ149" s="99"/>
      <c r="GK149" s="99"/>
      <c r="GL149" s="99"/>
      <c r="GM149" s="99"/>
      <c r="GN149" s="99"/>
      <c r="GO149" s="99"/>
      <c r="GP149" s="99"/>
      <c r="GQ149" s="99"/>
      <c r="GR149" s="99"/>
      <c r="GS149" s="99"/>
      <c r="GT149" s="99"/>
      <c r="GU149" s="99"/>
      <c r="GV149" s="100"/>
      <c r="GW149" s="99"/>
      <c r="GX149" s="99"/>
      <c r="GY149" s="99"/>
      <c r="GZ149" s="99"/>
      <c r="HA149" s="99"/>
      <c r="HB149" s="99"/>
      <c r="HC149" s="99"/>
      <c r="HD149" s="99"/>
      <c r="HE149" s="99"/>
      <c r="HF149" s="99"/>
      <c r="HG149" s="99"/>
      <c r="HH149" s="99"/>
      <c r="HI149" s="99"/>
      <c r="HJ149" s="99"/>
      <c r="HK149" s="99"/>
      <c r="HL149" s="99"/>
      <c r="HM149" s="99"/>
      <c r="HN149" s="99"/>
      <c r="HO149" s="99"/>
      <c r="HP149" s="99"/>
      <c r="HQ149" s="99"/>
      <c r="HR149" s="99"/>
      <c r="HS149" s="99"/>
      <c r="HT149" s="99"/>
      <c r="HU149" s="99"/>
      <c r="HV149" s="99"/>
      <c r="HW149" s="99"/>
      <c r="HX149" s="99"/>
      <c r="HY149" s="99"/>
      <c r="HZ149" s="99"/>
      <c r="IA149" s="99"/>
      <c r="IB149" s="99"/>
      <c r="IC149" s="99"/>
      <c r="ID149" s="99"/>
      <c r="IE149" s="99"/>
      <c r="IF149" s="99"/>
      <c r="IG149" s="99"/>
      <c r="IH149" s="129"/>
    </row>
    <row r="150" spans="1:242" x14ac:dyDescent="0.2">
      <c r="B150" s="105">
        <v>1</v>
      </c>
      <c r="C150" s="106">
        <v>0.21249999999999999</v>
      </c>
      <c r="D150" s="106">
        <v>0.21249999999999999</v>
      </c>
      <c r="E150" s="106">
        <v>0.21249999999999999</v>
      </c>
      <c r="F150" s="106">
        <v>0.21249999999999999</v>
      </c>
      <c r="G150" s="106">
        <v>0.21249999999999999</v>
      </c>
      <c r="H150" s="106">
        <v>0.21249999999999999</v>
      </c>
      <c r="I150" s="106">
        <v>0.21249999999999999</v>
      </c>
      <c r="J150" s="106">
        <v>0.21249999999999999</v>
      </c>
      <c r="K150" s="106">
        <v>0.20849999999999999</v>
      </c>
      <c r="L150" s="106">
        <v>0.20849999999999999</v>
      </c>
      <c r="M150" s="106">
        <v>0.20849999999999999</v>
      </c>
      <c r="N150" s="106">
        <v>0.20849999999999999</v>
      </c>
      <c r="O150" s="106">
        <v>0.20849999999999999</v>
      </c>
      <c r="P150" s="106">
        <v>0.20849999999999999</v>
      </c>
      <c r="Q150" s="106">
        <v>0.20849999999999999</v>
      </c>
      <c r="R150" s="106">
        <v>0.20849999999999999</v>
      </c>
      <c r="S150" s="106">
        <v>0.2</v>
      </c>
      <c r="T150" s="106">
        <v>0.2</v>
      </c>
      <c r="U150" s="106">
        <v>0.2</v>
      </c>
      <c r="V150" s="106">
        <v>0.2</v>
      </c>
      <c r="W150" s="106">
        <v>0.2</v>
      </c>
      <c r="X150" s="106">
        <v>0.2</v>
      </c>
      <c r="Y150" s="106">
        <v>0.2</v>
      </c>
      <c r="Z150" s="106">
        <v>0.2</v>
      </c>
      <c r="AA150" s="106">
        <v>0.1915</v>
      </c>
      <c r="AB150" s="106">
        <v>0.1915</v>
      </c>
      <c r="AC150" s="106">
        <v>0.1915</v>
      </c>
      <c r="AD150" s="106">
        <v>0.1915</v>
      </c>
      <c r="AE150" s="106">
        <v>0.1915</v>
      </c>
      <c r="AF150" s="106">
        <v>0.1915</v>
      </c>
      <c r="AG150" s="106">
        <v>0.1915</v>
      </c>
      <c r="AH150" s="106">
        <v>0.1915</v>
      </c>
      <c r="AI150" s="106">
        <v>0.1875</v>
      </c>
      <c r="AJ150" s="106">
        <v>0.1875</v>
      </c>
      <c r="AK150" s="106">
        <v>0.1875</v>
      </c>
      <c r="AL150" s="106">
        <v>0.1875</v>
      </c>
      <c r="AM150" s="106">
        <v>0.1875</v>
      </c>
      <c r="AN150" s="106">
        <v>0.1875</v>
      </c>
      <c r="AO150" s="106">
        <v>0.1875</v>
      </c>
      <c r="AP150" s="106">
        <v>0.1875</v>
      </c>
      <c r="AQ150" s="106">
        <v>0.21249999999999999</v>
      </c>
      <c r="AR150" s="106">
        <v>0.21249999999999999</v>
      </c>
      <c r="AS150" s="106">
        <v>0.21249999999999999</v>
      </c>
      <c r="AT150" s="106">
        <v>0.21249999999999999</v>
      </c>
      <c r="AU150" s="106">
        <v>0.21249999999999999</v>
      </c>
      <c r="AV150" s="106">
        <v>0.21249999999999999</v>
      </c>
      <c r="AW150" s="106">
        <v>0.21249999999999999</v>
      </c>
      <c r="AX150" s="106">
        <v>0.21249999999999999</v>
      </c>
      <c r="AY150" s="106">
        <v>0.20849999999999999</v>
      </c>
      <c r="AZ150" s="106">
        <v>0.20849999999999999</v>
      </c>
      <c r="BA150" s="106">
        <v>0.20849999999999999</v>
      </c>
      <c r="BB150" s="106">
        <v>0.20849999999999999</v>
      </c>
      <c r="BC150" s="106">
        <v>0.20849999999999999</v>
      </c>
      <c r="BD150" s="106">
        <v>0.20849999999999999</v>
      </c>
      <c r="BE150" s="106">
        <v>0.20849999999999999</v>
      </c>
      <c r="BF150" s="106">
        <v>0.20849999999999999</v>
      </c>
      <c r="BG150" s="106">
        <v>0.2</v>
      </c>
      <c r="BH150" s="106">
        <v>0.2</v>
      </c>
      <c r="BI150" s="106">
        <v>0.2</v>
      </c>
      <c r="BJ150" s="106">
        <v>0.2</v>
      </c>
      <c r="BK150" s="106">
        <v>0.2</v>
      </c>
      <c r="BL150" s="106">
        <v>0.2</v>
      </c>
      <c r="BM150" s="106">
        <v>0.2</v>
      </c>
      <c r="BN150" s="106">
        <v>0.2</v>
      </c>
      <c r="BO150" s="106">
        <v>0.1915</v>
      </c>
      <c r="BP150" s="106">
        <v>0.1915</v>
      </c>
      <c r="BQ150" s="106">
        <v>0.1915</v>
      </c>
      <c r="BR150" s="106">
        <v>0.1915</v>
      </c>
      <c r="BS150" s="106">
        <v>0.1915</v>
      </c>
      <c r="BT150" s="106">
        <v>0.1915</v>
      </c>
      <c r="BU150" s="106">
        <v>0.1915</v>
      </c>
      <c r="BV150" s="106">
        <v>0.1915</v>
      </c>
      <c r="BW150" s="106">
        <v>0.1875</v>
      </c>
      <c r="BX150" s="106">
        <v>0.1875</v>
      </c>
      <c r="BY150" s="106">
        <v>0.1875</v>
      </c>
      <c r="BZ150" s="106">
        <v>0.1875</v>
      </c>
      <c r="CA150" s="106">
        <v>0.1875</v>
      </c>
      <c r="CB150" s="106">
        <v>0.1875</v>
      </c>
      <c r="CC150" s="106">
        <v>0.1875</v>
      </c>
      <c r="CD150" s="106">
        <v>0.1875</v>
      </c>
      <c r="CE150" s="106">
        <v>0.21249999999999999</v>
      </c>
      <c r="CF150" s="106">
        <v>0.21249999999999999</v>
      </c>
      <c r="CG150" s="106">
        <v>0.21249999999999999</v>
      </c>
      <c r="CH150" s="106">
        <v>0.21249999999999999</v>
      </c>
      <c r="CI150" s="106">
        <v>0.21249999999999999</v>
      </c>
      <c r="CJ150" s="106">
        <v>0.21249999999999999</v>
      </c>
      <c r="CK150" s="106">
        <v>0.21249999999999999</v>
      </c>
      <c r="CL150" s="106">
        <v>0.21249999999999999</v>
      </c>
      <c r="CM150" s="106">
        <v>0.20849999999999999</v>
      </c>
      <c r="CN150" s="106">
        <v>0.20849999999999999</v>
      </c>
      <c r="CO150" s="106">
        <v>0.20849999999999999</v>
      </c>
      <c r="CP150" s="106">
        <v>0.20849999999999999</v>
      </c>
      <c r="CQ150" s="106">
        <v>0.20849999999999999</v>
      </c>
      <c r="CR150" s="106">
        <v>0.20849999999999999</v>
      </c>
      <c r="CS150" s="106">
        <v>0.20849999999999999</v>
      </c>
      <c r="CT150" s="106">
        <v>0.20849999999999999</v>
      </c>
      <c r="CU150" s="106">
        <v>0.2</v>
      </c>
      <c r="CV150" s="106">
        <v>0.2</v>
      </c>
      <c r="CW150" s="106">
        <v>0.2</v>
      </c>
      <c r="CX150" s="106">
        <v>0.2</v>
      </c>
      <c r="CY150" s="106">
        <v>0.2</v>
      </c>
      <c r="CZ150" s="106">
        <v>0.2</v>
      </c>
      <c r="DA150" s="106">
        <v>0.2</v>
      </c>
      <c r="DB150" s="106">
        <v>0.2</v>
      </c>
      <c r="DC150" s="106">
        <v>0.1915</v>
      </c>
      <c r="DD150" s="106">
        <v>0.1915</v>
      </c>
      <c r="DE150" s="106">
        <v>0.1915</v>
      </c>
      <c r="DF150" s="106">
        <v>0.1915</v>
      </c>
      <c r="DG150" s="106">
        <v>0.1915</v>
      </c>
      <c r="DH150" s="106">
        <v>0.1915</v>
      </c>
      <c r="DI150" s="106">
        <v>0.1915</v>
      </c>
      <c r="DJ150" s="106">
        <v>0.1915</v>
      </c>
      <c r="DK150" s="106">
        <v>0.1875</v>
      </c>
      <c r="DL150" s="106">
        <v>0.1875</v>
      </c>
      <c r="DM150" s="106">
        <v>0.1875</v>
      </c>
      <c r="DN150" s="106">
        <v>0.1875</v>
      </c>
      <c r="DO150" s="106">
        <v>0.1875</v>
      </c>
      <c r="DP150" s="106">
        <v>0.1875</v>
      </c>
      <c r="DQ150" s="106">
        <v>0.1875</v>
      </c>
      <c r="DR150" s="106">
        <v>0.1875</v>
      </c>
      <c r="DS150" s="106">
        <v>0.21249999999999999</v>
      </c>
      <c r="DT150" s="106">
        <v>0.21249999999999999</v>
      </c>
      <c r="DU150" s="106">
        <v>0.21249999999999999</v>
      </c>
      <c r="DV150" s="106">
        <v>0.21249999999999999</v>
      </c>
      <c r="DW150" s="106">
        <v>0.21249999999999999</v>
      </c>
      <c r="DX150" s="106">
        <v>0.21249999999999999</v>
      </c>
      <c r="DY150" s="106">
        <v>0.21249999999999999</v>
      </c>
      <c r="DZ150" s="106">
        <v>0.21249999999999999</v>
      </c>
      <c r="EA150" s="106">
        <v>0.20849999999999999</v>
      </c>
      <c r="EB150" s="106">
        <v>0.20849999999999999</v>
      </c>
      <c r="EC150" s="106">
        <v>0.20849999999999999</v>
      </c>
      <c r="ED150" s="106">
        <v>0.20849999999999999</v>
      </c>
      <c r="EE150" s="106">
        <v>0.20849999999999999</v>
      </c>
      <c r="EF150" s="106">
        <v>0.20849999999999999</v>
      </c>
      <c r="EG150" s="106">
        <v>0.20849999999999999</v>
      </c>
      <c r="EH150" s="106">
        <v>0.20849999999999999</v>
      </c>
      <c r="EI150" s="106">
        <v>0.2</v>
      </c>
      <c r="EJ150" s="106">
        <v>0.2</v>
      </c>
      <c r="EK150" s="106">
        <v>0.2</v>
      </c>
      <c r="EL150" s="106">
        <v>0.2</v>
      </c>
      <c r="EM150" s="106">
        <v>0.2</v>
      </c>
      <c r="EN150" s="106">
        <v>0.2</v>
      </c>
      <c r="EO150" s="106">
        <v>0.2</v>
      </c>
      <c r="EP150" s="106">
        <v>0.2</v>
      </c>
      <c r="EQ150" s="106">
        <v>0.1915</v>
      </c>
      <c r="ER150" s="106">
        <v>0.1915</v>
      </c>
      <c r="ES150" s="106">
        <v>0.1915</v>
      </c>
      <c r="ET150" s="106">
        <v>0.1915</v>
      </c>
      <c r="EU150" s="106">
        <v>0.1915</v>
      </c>
      <c r="EV150" s="106">
        <v>0.1915</v>
      </c>
      <c r="EW150" s="106">
        <v>0.1915</v>
      </c>
      <c r="EX150" s="106">
        <v>0.1915</v>
      </c>
      <c r="EY150" s="106">
        <v>0.1875</v>
      </c>
      <c r="EZ150" s="106">
        <v>0.1875</v>
      </c>
      <c r="FA150" s="106">
        <v>0.1875</v>
      </c>
      <c r="FB150" s="106">
        <v>0.1875</v>
      </c>
      <c r="FC150" s="106">
        <v>0.1875</v>
      </c>
      <c r="FD150" s="106">
        <v>0.1875</v>
      </c>
      <c r="FE150" s="106">
        <v>0.1875</v>
      </c>
      <c r="FF150" s="106">
        <v>0.1875</v>
      </c>
      <c r="FG150" s="106">
        <v>0.21249999999999999</v>
      </c>
      <c r="FH150" s="106">
        <v>0.21249999999999999</v>
      </c>
      <c r="FI150" s="106">
        <v>0.21249999999999999</v>
      </c>
      <c r="FJ150" s="106">
        <v>0.21249999999999999</v>
      </c>
      <c r="FK150" s="106">
        <v>0.21249999999999999</v>
      </c>
      <c r="FL150" s="106">
        <v>0.21249999999999999</v>
      </c>
      <c r="FM150" s="106">
        <v>0.21249999999999999</v>
      </c>
      <c r="FN150" s="106">
        <v>0.21249999999999999</v>
      </c>
      <c r="FO150" s="106">
        <v>0.20849999999999999</v>
      </c>
      <c r="FP150" s="106">
        <v>0.20849999999999999</v>
      </c>
      <c r="FQ150" s="106">
        <v>0.20849999999999999</v>
      </c>
      <c r="FR150" s="106">
        <v>0.20849999999999999</v>
      </c>
      <c r="FS150" s="106">
        <v>0.20849999999999999</v>
      </c>
      <c r="FT150" s="106">
        <v>0.20849999999999999</v>
      </c>
      <c r="FU150" s="106">
        <v>0.20849999999999999</v>
      </c>
      <c r="FV150" s="106">
        <v>0.20849999999999999</v>
      </c>
      <c r="FW150" s="106">
        <v>0.2</v>
      </c>
      <c r="FX150" s="106">
        <v>0.2</v>
      </c>
      <c r="FY150" s="106">
        <v>0.2</v>
      </c>
      <c r="FZ150" s="106">
        <v>0.2</v>
      </c>
      <c r="GA150" s="106">
        <v>0.2</v>
      </c>
      <c r="GB150" s="106">
        <v>0.2</v>
      </c>
      <c r="GC150" s="106">
        <v>0.2</v>
      </c>
      <c r="GD150" s="106">
        <v>0.2</v>
      </c>
      <c r="GE150" s="106">
        <v>0.1915</v>
      </c>
      <c r="GF150" s="106">
        <v>0.1915</v>
      </c>
      <c r="GG150" s="106">
        <v>0.1915</v>
      </c>
      <c r="GH150" s="106">
        <v>0.1915</v>
      </c>
      <c r="GI150" s="106">
        <v>0.1915</v>
      </c>
      <c r="GJ150" s="106">
        <v>0.1915</v>
      </c>
      <c r="GK150" s="106">
        <v>0.1915</v>
      </c>
      <c r="GL150" s="106">
        <v>0.1915</v>
      </c>
      <c r="GM150" s="106">
        <v>0.1875</v>
      </c>
      <c r="GN150" s="106">
        <v>0.1875</v>
      </c>
      <c r="GO150" s="106">
        <v>0.1875</v>
      </c>
      <c r="GP150" s="106">
        <v>0.1875</v>
      </c>
      <c r="GQ150" s="106">
        <v>0.1875</v>
      </c>
      <c r="GR150" s="106">
        <v>0.1875</v>
      </c>
      <c r="GS150" s="106">
        <v>0.1875</v>
      </c>
      <c r="GT150" s="106">
        <v>0.1875</v>
      </c>
      <c r="GU150" s="106">
        <v>0.21249999999999999</v>
      </c>
      <c r="GV150" s="106">
        <v>0.21249999999999999</v>
      </c>
      <c r="GW150" s="106">
        <v>0.21249999999999999</v>
      </c>
      <c r="GX150" s="106">
        <v>0.21249999999999999</v>
      </c>
      <c r="GY150" s="106">
        <v>0.21249999999999999</v>
      </c>
      <c r="GZ150" s="106">
        <v>0.21249999999999999</v>
      </c>
      <c r="HA150" s="106">
        <v>0.21249999999999999</v>
      </c>
      <c r="HB150" s="106">
        <v>0.21249999999999999</v>
      </c>
      <c r="HC150" s="106">
        <v>0.20849999999999999</v>
      </c>
      <c r="HD150" s="106">
        <v>0.20849999999999999</v>
      </c>
      <c r="HE150" s="106">
        <v>0.20849999999999999</v>
      </c>
      <c r="HF150" s="106">
        <v>0.20849999999999999</v>
      </c>
      <c r="HG150" s="106">
        <v>0.20849999999999999</v>
      </c>
      <c r="HH150" s="106">
        <v>0.20849999999999999</v>
      </c>
      <c r="HI150" s="106">
        <v>0.20849999999999999</v>
      </c>
      <c r="HJ150" s="106">
        <v>0.20849999999999999</v>
      </c>
      <c r="HK150" s="106">
        <v>0.2</v>
      </c>
      <c r="HL150" s="106">
        <v>0.2</v>
      </c>
      <c r="HM150" s="106">
        <v>0.2</v>
      </c>
      <c r="HN150" s="106">
        <v>0.2</v>
      </c>
      <c r="HO150" s="106">
        <v>0.2</v>
      </c>
      <c r="HP150" s="106">
        <v>0.2</v>
      </c>
      <c r="HQ150" s="106">
        <v>0.2</v>
      </c>
      <c r="HR150" s="106">
        <v>0.2</v>
      </c>
      <c r="HS150" s="106">
        <v>0.1915</v>
      </c>
      <c r="HT150" s="106">
        <v>0.1915</v>
      </c>
      <c r="HU150" s="106">
        <v>0.1915</v>
      </c>
      <c r="HV150" s="106">
        <v>0.1915</v>
      </c>
      <c r="HW150" s="106">
        <v>0.1915</v>
      </c>
      <c r="HX150" s="106">
        <v>0.1915</v>
      </c>
      <c r="HY150" s="106">
        <v>0.1915</v>
      </c>
      <c r="HZ150" s="106">
        <v>0.1915</v>
      </c>
      <c r="IA150" s="106">
        <v>0.1875</v>
      </c>
      <c r="IB150" s="106">
        <v>0.1875</v>
      </c>
      <c r="IC150" s="106">
        <v>0.1875</v>
      </c>
      <c r="ID150" s="106">
        <v>0.1875</v>
      </c>
      <c r="IE150" s="106">
        <v>0.1875</v>
      </c>
      <c r="IF150" s="106">
        <v>0.1875</v>
      </c>
      <c r="IG150" s="106">
        <v>0.1875</v>
      </c>
      <c r="IH150" s="107">
        <v>0.1875</v>
      </c>
    </row>
    <row r="151" spans="1:242" x14ac:dyDescent="0.2">
      <c r="A151" s="16" t="s">
        <v>9</v>
      </c>
      <c r="B151" s="130"/>
      <c r="C151" s="103"/>
      <c r="D151" s="103"/>
      <c r="E151" s="103"/>
      <c r="F151" s="103"/>
      <c r="G151" s="103"/>
      <c r="H151" s="103"/>
      <c r="I151" s="103"/>
      <c r="J151" s="103"/>
      <c r="K151" s="103"/>
    </row>
    <row r="152" spans="1:242" x14ac:dyDescent="0.2">
      <c r="A152" s="42" t="s">
        <v>103</v>
      </c>
      <c r="B152" s="19" t="str">
        <f ca="1">GetNameRange(B154)</f>
        <v>IndexVolStochMult</v>
      </c>
    </row>
    <row r="153" spans="1:242" x14ac:dyDescent="0.2">
      <c r="A153" s="13"/>
      <c r="B153" s="108" t="s">
        <v>110</v>
      </c>
      <c r="C153" s="53" t="s">
        <v>79</v>
      </c>
      <c r="D153" s="53" t="s">
        <v>87</v>
      </c>
      <c r="E153" s="66" t="s">
        <v>86</v>
      </c>
    </row>
    <row r="154" spans="1:242" x14ac:dyDescent="0.2">
      <c r="B154" s="98" t="s">
        <v>111</v>
      </c>
      <c r="C154" s="51"/>
      <c r="D154" s="51"/>
      <c r="E154" s="82"/>
    </row>
    <row r="155" spans="1:242" x14ac:dyDescent="0.2">
      <c r="B155" s="109" t="s">
        <v>90</v>
      </c>
      <c r="C155" s="103">
        <v>0</v>
      </c>
      <c r="D155" s="103">
        <v>0</v>
      </c>
      <c r="E155" s="104">
        <v>0</v>
      </c>
    </row>
    <row r="156" spans="1:242" x14ac:dyDescent="0.2">
      <c r="B156" s="110" t="s">
        <v>79</v>
      </c>
      <c r="C156" s="106">
        <v>0</v>
      </c>
      <c r="D156" s="106">
        <v>0</v>
      </c>
      <c r="E156" s="107">
        <v>0</v>
      </c>
    </row>
    <row r="157" spans="1:242" x14ac:dyDescent="0.2">
      <c r="C157" s="103"/>
      <c r="D157" s="103"/>
      <c r="E157" s="103"/>
    </row>
  </sheetData>
  <conditionalFormatting sqref="D17:E18 D28:E28 D20:E20 D10:E12 D14:E15">
    <cfRule type="cellIs" dxfId="99" priority="84" operator="notEqual">
      <formula>$A10</formula>
    </cfRule>
  </conditionalFormatting>
  <conditionalFormatting sqref="D16:E16">
    <cfRule type="cellIs" dxfId="98" priority="87" operator="notEqual">
      <formula>$B16</formula>
    </cfRule>
  </conditionalFormatting>
  <conditionalFormatting sqref="B15">
    <cfRule type="cellIs" dxfId="97" priority="81" operator="notEqual">
      <formula>$A15</formula>
    </cfRule>
  </conditionalFormatting>
  <conditionalFormatting sqref="E21:E26">
    <cfRule type="cellIs" dxfId="96" priority="54" operator="notEqual">
      <formula>$A21</formula>
    </cfRule>
  </conditionalFormatting>
  <conditionalFormatting sqref="D9:E9">
    <cfRule type="cellIs" dxfId="95" priority="36" operator="notEqual">
      <formula>$A9</formula>
    </cfRule>
  </conditionalFormatting>
  <conditionalFormatting sqref="D8:E8">
    <cfRule type="cellIs" dxfId="94" priority="19" operator="notEqual">
      <formula>$A8</formula>
    </cfRule>
  </conditionalFormatting>
  <conditionalFormatting sqref="D27:E27">
    <cfRule type="cellIs" dxfId="93" priority="14" operator="notEqual">
      <formula>$A27</formula>
    </cfRule>
  </conditionalFormatting>
  <conditionalFormatting sqref="D19:E19">
    <cfRule type="cellIs" dxfId="92" priority="12" operator="notEqual">
      <formula>$A19</formula>
    </cfRule>
  </conditionalFormatting>
  <conditionalFormatting sqref="C17:C18 C28 C20 C10:C15">
    <cfRule type="cellIs" dxfId="91" priority="8" operator="notEqual">
      <formula>$A10</formula>
    </cfRule>
  </conditionalFormatting>
  <conditionalFormatting sqref="C16">
    <cfRule type="cellIs" dxfId="90" priority="9" operator="notEqual">
      <formula>$B16</formula>
    </cfRule>
  </conditionalFormatting>
  <conditionalFormatting sqref="C21:C26">
    <cfRule type="cellIs" dxfId="89" priority="7" operator="notEqual">
      <formula>$A21</formula>
    </cfRule>
  </conditionalFormatting>
  <conditionalFormatting sqref="C9">
    <cfRule type="cellIs" dxfId="88" priority="6" operator="notEqual">
      <formula>$A9</formula>
    </cfRule>
  </conditionalFormatting>
  <conditionalFormatting sqref="C8">
    <cfRule type="cellIs" dxfId="87" priority="5" operator="notEqual">
      <formula>$A8</formula>
    </cfRule>
  </conditionalFormatting>
  <conditionalFormatting sqref="C27">
    <cfRule type="cellIs" dxfId="86" priority="4" operator="notEqual">
      <formula>$A27</formula>
    </cfRule>
  </conditionalFormatting>
  <conditionalFormatting sqref="C19">
    <cfRule type="cellIs" dxfId="85" priority="3" operator="notEqual">
      <formula>$A19</formula>
    </cfRule>
  </conditionalFormatting>
  <conditionalFormatting sqref="D13:E13">
    <cfRule type="cellIs" dxfId="84" priority="2" operator="notEqual">
      <formula>$A13</formula>
    </cfRule>
  </conditionalFormatting>
  <conditionalFormatting sqref="D21:D26">
    <cfRule type="cellIs" dxfId="0" priority="1" operator="notEqual">
      <formula>$A21</formula>
    </cfRule>
  </conditionalFormatting>
  <dataValidations count="5">
    <dataValidation type="list" allowBlank="1" showInputMessage="1" showErrorMessage="1" sqref="A10 C10:E10" xr:uid="{00000000-0002-0000-0200-000000000000}">
      <formula1>"Previous,Interpolate"</formula1>
    </dataValidation>
    <dataValidation type="list" allowBlank="1" showInputMessage="1" showErrorMessage="1" sqref="A11 C11:E11" xr:uid="{00000000-0002-0000-0200-000001000000}">
      <formula1>"Retain,Release"</formula1>
    </dataValidation>
    <dataValidation type="list" allowBlank="1" showInputMessage="1" showErrorMessage="1" sqref="A17 C17:E17" xr:uid="{00000000-0002-0000-0200-000002000000}">
      <formula1>"Stochastic,Deterministic"</formula1>
    </dataValidation>
    <dataValidation type="list" allowBlank="1" showInputMessage="1" showErrorMessage="1" sqref="A9 C9:E9" xr:uid="{00000000-0002-0000-0200-000003000000}">
      <formula1>"All Rates,Index Rates Only,None"</formula1>
    </dataValidation>
    <dataValidation type="list" allowBlank="1" showInputMessage="1" showErrorMessage="1" sqref="A19 C19:E19" xr:uid="{00000000-0002-0000-0200-000004000000}">
      <formula1>"Spot Spreads,Yield Spreads"</formula1>
    </dataValidation>
  </dataValidations>
  <hyperlinks>
    <hyperlink ref="A1" location="'Table of Contents'!A1" display="Go to TOC" xr:uid="{00000000-0004-0000-0200-000000000000}"/>
    <hyperlink ref="B20" location="CreditSprdDeterminsitic" display="credit_sprd_deterministic" xr:uid="{00000000-0004-0000-0200-000001000000}"/>
    <hyperlink ref="A30" location="'Table of Contents'!A1" display="Go to TOC" xr:uid="{00000000-0004-0000-0200-000002000000}"/>
    <hyperlink ref="B18" location="InflDeterministic" display="infl_deterministic" xr:uid="{00000000-0004-0000-0200-000003000000}"/>
    <hyperlink ref="A36" location="'Table of Contents'!A1" display="Go to TOC" xr:uid="{00000000-0004-0000-0200-000004000000}"/>
    <hyperlink ref="A74" location="'Table of Contents'!A1" display="Go to TOC" xr:uid="{00000000-0004-0000-0200-000005000000}"/>
    <hyperlink ref="A81" location="'Table of Contents'!A1" display="Go to TOC" xr:uid="{00000000-0004-0000-0200-000006000000}"/>
    <hyperlink ref="A114" location="'Table of Contents'!A1" display="Go to TOC" xr:uid="{00000000-0004-0000-0200-000007000000}"/>
    <hyperlink ref="A121" location="'Table of Contents'!A1" display="Go to TOC" xr:uid="{00000000-0004-0000-0200-000008000000}"/>
    <hyperlink ref="A129" location="'Table of Contents'!A1" display="Go to TOC" xr:uid="{00000000-0004-0000-0200-000009000000}"/>
    <hyperlink ref="A136" location="'Table of Contents'!A1" display="Go to TOC" xr:uid="{00000000-0004-0000-0200-00000A000000}"/>
    <hyperlink ref="A151" location="'Table of Contents'!A1" display="Go to TOC" xr:uid="{00000000-0004-0000-0200-00000B000000}"/>
    <hyperlink ref="B21" location="CreditSprdStochMult" display="credit_sprd_stoch_mult" xr:uid="{00000000-0004-0000-0200-00000C000000}"/>
    <hyperlink ref="B22" location="DfltRateDeterministic" display="dflt_rate_deterministic" xr:uid="{00000000-0004-0000-0200-00000D000000}"/>
    <hyperlink ref="B23" location="DfltRateStochMult" display="dflt_rate_stoch_mult" xr:uid="{00000000-0004-0000-0200-00000E000000}"/>
    <hyperlink ref="B24" location="IntVolDeterministic" display="int_vol_deterministic" xr:uid="{00000000-0004-0000-0200-00000F000000}"/>
    <hyperlink ref="B25" location="IntVolStochMult" display="int_vol_stoch_mult" xr:uid="{00000000-0004-0000-0200-000010000000}"/>
    <hyperlink ref="B26" location="IndexVolDeterminstic" display="index_vol_deterministic" xr:uid="{00000000-0004-0000-0200-000011000000}"/>
    <hyperlink ref="B28" location="IndexValHist" display="index_val_hist" xr:uid="{00000000-0004-0000-0200-000012000000}"/>
    <hyperlink ref="A31" location="Scenarios!B18" display="Back To Main" xr:uid="{00000000-0004-0000-0200-000013000000}"/>
    <hyperlink ref="A37" location="Scenarios!B20" display="Back To Main" xr:uid="{00000000-0004-0000-0200-000014000000}"/>
    <hyperlink ref="A75" location="Scenarios!B22" display="Back To Main" xr:uid="{00000000-0004-0000-0200-000015000000}"/>
    <hyperlink ref="A82" location="Scenarios!B23" display="Back To Main" xr:uid="{00000000-0004-0000-0200-000016000000}"/>
    <hyperlink ref="A115" location="Scenarios!B24" display="Back To Main" xr:uid="{00000000-0004-0000-0200-000017000000}"/>
    <hyperlink ref="A122" location="Scenarios!B25" display="Back To Main" xr:uid="{00000000-0004-0000-0200-000018000000}"/>
    <hyperlink ref="A130" location="Scenarios!B26" display="Back To Main" xr:uid="{00000000-0004-0000-0200-000019000000}"/>
    <hyperlink ref="A137" location="Scenarios!B27" display="Back To Main" xr:uid="{00000000-0004-0000-0200-00001A000000}"/>
    <hyperlink ref="A152" location="Scenarios!B28" display="Back To Main" xr:uid="{00000000-0004-0000-0200-00001B000000}"/>
    <hyperlink ref="A42" location="'Table of Contents'!A1" display="Go to TOC" xr:uid="{00000000-0004-0000-0200-00001C000000}"/>
    <hyperlink ref="A43" location="Scenarios!B21" display="Back To Main" xr:uid="{00000000-0004-0000-0200-00001D000000}"/>
    <hyperlink ref="A86" location="'Table of Contents'!A1" display="Go to TOC" xr:uid="{00000000-0004-0000-0200-00001E000000}"/>
    <hyperlink ref="A87" location="Scenarios!B23" display="Back To Main" xr:uid="{00000000-0004-0000-0200-00001F000000}"/>
    <hyperlink ref="B27" location="IndexVolStochMult" display="index_vol_stoch_mult" xr:uid="{00000000-0004-0000-0200-000020000000}"/>
    <hyperlink ref="A48" location="'Table of Contents'!A1" display="Go to TOC" xr:uid="{00000000-0004-0000-0200-000021000000}"/>
    <hyperlink ref="A49" location="Scenarios!B21" display="Back To Main" xr:uid="{00000000-0004-0000-0200-000022000000}"/>
    <hyperlink ref="A91" location="'Table of Contents'!A1" display="Go to TOC" xr:uid="{00000000-0004-0000-0200-000023000000}"/>
    <hyperlink ref="A92" location="Scenarios!B23" display="Back To Main" xr:uid="{00000000-0004-0000-0200-000024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outlinePr summaryBelow="0" summaryRight="0"/>
  </sheetPr>
  <dimension ref="A1:AB114"/>
  <sheetViews>
    <sheetView zoomScale="55" zoomScaleNormal="55" workbookViewId="0">
      <selection sqref="A1:C2"/>
    </sheetView>
  </sheetViews>
  <sheetFormatPr defaultRowHeight="12.75" outlineLevelRow="1" x14ac:dyDescent="0.2"/>
  <sheetData>
    <row r="1" spans="1:28" x14ac:dyDescent="0.2">
      <c r="A1" t="s">
        <v>194</v>
      </c>
      <c r="B1" s="204" t="s">
        <v>195</v>
      </c>
    </row>
    <row r="2" spans="1:28" s="155" customFormat="1" x14ac:dyDescent="0.2">
      <c r="B2" s="154"/>
    </row>
    <row r="3" spans="1:28" s="178" customFormat="1" ht="29.25" customHeight="1" x14ac:dyDescent="0.2">
      <c r="A3" s="178" t="s">
        <v>250</v>
      </c>
      <c r="B3" s="179"/>
    </row>
    <row r="4" spans="1:28" outlineLevel="1" x14ac:dyDescent="0.2"/>
    <row r="5" spans="1:28" ht="15" outlineLevel="1" x14ac:dyDescent="0.25">
      <c r="B5" s="255" t="s">
        <v>196</v>
      </c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7"/>
      <c r="Q5" s="249" t="s">
        <v>267</v>
      </c>
      <c r="R5" s="250"/>
      <c r="S5" s="250"/>
      <c r="T5" s="250"/>
      <c r="U5" s="250"/>
      <c r="V5" s="250"/>
      <c r="W5" s="250"/>
      <c r="X5" s="250"/>
      <c r="Y5" s="250"/>
      <c r="Z5" s="250"/>
      <c r="AA5" s="250"/>
      <c r="AB5" s="251"/>
    </row>
    <row r="6" spans="1:28" ht="15" outlineLevel="1" x14ac:dyDescent="0.25">
      <c r="B6" s="258" t="s">
        <v>197</v>
      </c>
      <c r="C6" s="259"/>
      <c r="D6" s="259"/>
      <c r="E6" s="259"/>
      <c r="F6" s="259"/>
      <c r="G6" s="259"/>
      <c r="H6" s="259"/>
      <c r="I6" s="259"/>
      <c r="J6" s="259"/>
      <c r="K6" s="259"/>
      <c r="L6" s="259"/>
      <c r="M6" s="260"/>
      <c r="Q6" s="252" t="s">
        <v>268</v>
      </c>
      <c r="R6" s="253"/>
      <c r="S6" s="253"/>
      <c r="T6" s="253"/>
      <c r="U6" s="253"/>
      <c r="V6" s="253"/>
      <c r="W6" s="253"/>
      <c r="X6" s="253"/>
      <c r="Y6" s="253"/>
      <c r="Z6" s="253"/>
      <c r="AA6" s="253"/>
      <c r="AB6" s="254"/>
    </row>
    <row r="7" spans="1:28" ht="15" outlineLevel="1" x14ac:dyDescent="0.25">
      <c r="B7" s="157" t="s">
        <v>198</v>
      </c>
      <c r="C7" s="157" t="s">
        <v>199</v>
      </c>
      <c r="D7" s="159"/>
      <c r="E7" s="160"/>
      <c r="F7" s="160"/>
      <c r="G7" s="160"/>
      <c r="H7" s="160"/>
      <c r="I7" s="160"/>
      <c r="J7" s="160"/>
      <c r="K7" s="160"/>
      <c r="L7" s="160"/>
      <c r="M7" s="161"/>
      <c r="Q7" s="220" t="s">
        <v>198</v>
      </c>
      <c r="R7" s="220" t="s">
        <v>199</v>
      </c>
      <c r="S7" s="221"/>
      <c r="T7" s="222"/>
      <c r="U7" s="222"/>
      <c r="V7" s="222"/>
      <c r="W7" s="222"/>
      <c r="X7" s="222"/>
      <c r="Y7" s="222"/>
      <c r="Z7" s="222"/>
      <c r="AA7" s="222"/>
      <c r="AB7" s="223"/>
    </row>
    <row r="8" spans="1:28" ht="15" outlineLevel="1" x14ac:dyDescent="0.25">
      <c r="B8" s="162" t="s">
        <v>200</v>
      </c>
      <c r="C8" s="162" t="s">
        <v>200</v>
      </c>
      <c r="D8" s="261" t="s">
        <v>201</v>
      </c>
      <c r="E8" s="262"/>
      <c r="F8" s="262"/>
      <c r="G8" s="262"/>
      <c r="H8" s="262"/>
      <c r="I8" s="262"/>
      <c r="J8" s="262"/>
      <c r="K8" s="262"/>
      <c r="L8" s="262"/>
      <c r="M8" s="263"/>
      <c r="Q8" s="224" t="s">
        <v>200</v>
      </c>
      <c r="R8" s="224" t="s">
        <v>200</v>
      </c>
      <c r="S8" s="225" t="s">
        <v>201</v>
      </c>
      <c r="T8" s="226"/>
      <c r="U8" s="226"/>
      <c r="V8" s="226"/>
      <c r="W8" s="226"/>
      <c r="X8" s="226"/>
      <c r="Y8" s="226"/>
      <c r="Z8" s="226"/>
      <c r="AA8" s="226"/>
      <c r="AB8" s="227"/>
    </row>
    <row r="9" spans="1:28" ht="15" outlineLevel="1" x14ac:dyDescent="0.25">
      <c r="B9" s="163" t="s">
        <v>202</v>
      </c>
      <c r="C9" s="163" t="s">
        <v>202</v>
      </c>
      <c r="D9" s="164">
        <v>1</v>
      </c>
      <c r="E9" s="165">
        <v>2</v>
      </c>
      <c r="F9" s="165">
        <v>3</v>
      </c>
      <c r="G9" s="165">
        <v>4</v>
      </c>
      <c r="H9" s="165">
        <v>5</v>
      </c>
      <c r="I9" s="165">
        <v>6</v>
      </c>
      <c r="J9" s="165">
        <v>7</v>
      </c>
      <c r="K9" s="165">
        <v>8</v>
      </c>
      <c r="L9" s="165">
        <v>9</v>
      </c>
      <c r="M9" s="166">
        <v>10</v>
      </c>
      <c r="O9" s="182" t="s">
        <v>252</v>
      </c>
      <c r="Q9" s="228" t="s">
        <v>202</v>
      </c>
      <c r="R9" s="228" t="s">
        <v>202</v>
      </c>
      <c r="S9" s="229">
        <v>1</v>
      </c>
      <c r="T9" s="230">
        <v>2</v>
      </c>
      <c r="U9" s="230">
        <v>3</v>
      </c>
      <c r="V9" s="230">
        <v>4</v>
      </c>
      <c r="W9" s="230">
        <v>5</v>
      </c>
      <c r="X9" s="230">
        <v>6</v>
      </c>
      <c r="Y9" s="230">
        <v>7</v>
      </c>
      <c r="Z9" s="230">
        <v>8</v>
      </c>
      <c r="AA9" s="230">
        <v>9</v>
      </c>
      <c r="AB9" s="231">
        <v>10</v>
      </c>
    </row>
    <row r="10" spans="1:28" ht="15" outlineLevel="1" x14ac:dyDescent="0.25">
      <c r="B10" s="157">
        <v>1</v>
      </c>
      <c r="C10" s="157" t="s">
        <v>203</v>
      </c>
      <c r="D10" s="159">
        <v>0.02</v>
      </c>
      <c r="E10" s="160">
        <v>0.01</v>
      </c>
      <c r="F10" s="160">
        <v>0.03</v>
      </c>
      <c r="G10" s="160">
        <v>0.06</v>
      </c>
      <c r="H10" s="160">
        <v>7.0000000000000007E-2</v>
      </c>
      <c r="I10" s="160">
        <v>0.08</v>
      </c>
      <c r="J10" s="160">
        <v>0.09</v>
      </c>
      <c r="K10" s="160">
        <v>0.1</v>
      </c>
      <c r="L10" s="160">
        <v>0.11</v>
      </c>
      <c r="M10" s="161">
        <v>0.12</v>
      </c>
      <c r="O10" s="183" t="s">
        <v>97</v>
      </c>
      <c r="Q10" s="220">
        <v>1</v>
      </c>
      <c r="R10" s="220" t="s">
        <v>203</v>
      </c>
      <c r="S10" s="232">
        <v>1.5477685237837031E-2</v>
      </c>
      <c r="T10" s="233">
        <v>1.4695235431511279E-2</v>
      </c>
      <c r="U10" s="233">
        <v>2.9883136431893862E-2</v>
      </c>
      <c r="V10" s="233">
        <v>5.4979068135818744E-2</v>
      </c>
      <c r="W10" s="233">
        <v>6.8908377899669943E-2</v>
      </c>
      <c r="X10" s="233">
        <v>7.9775366554001831E-2</v>
      </c>
      <c r="Y10" s="233">
        <v>8.8490352427725724E-2</v>
      </c>
      <c r="Z10" s="233">
        <v>9.8001710768396935E-2</v>
      </c>
      <c r="AA10" s="233">
        <v>0.1079302454468521</v>
      </c>
      <c r="AB10" s="234">
        <v>0.11737543428401781</v>
      </c>
    </row>
    <row r="11" spans="1:28" ht="15" outlineLevel="1" x14ac:dyDescent="0.25">
      <c r="B11" s="162">
        <v>2</v>
      </c>
      <c r="C11" s="162" t="s">
        <v>204</v>
      </c>
      <c r="D11" s="167">
        <v>0.09</v>
      </c>
      <c r="E11" s="180">
        <v>0.22</v>
      </c>
      <c r="F11" s="180">
        <v>0.43</v>
      </c>
      <c r="G11" s="180">
        <v>0.65</v>
      </c>
      <c r="H11" s="180">
        <v>0.75</v>
      </c>
      <c r="I11" s="180">
        <v>0.85</v>
      </c>
      <c r="J11" s="180">
        <v>0.93</v>
      </c>
      <c r="K11" s="180">
        <v>1</v>
      </c>
      <c r="L11" s="180">
        <v>1.08</v>
      </c>
      <c r="M11" s="168">
        <v>1.18</v>
      </c>
      <c r="O11" s="183"/>
      <c r="Q11" s="224">
        <v>2</v>
      </c>
      <c r="R11" s="224" t="s">
        <v>204</v>
      </c>
      <c r="S11" s="235">
        <v>9.286611142574866E-2</v>
      </c>
      <c r="T11" s="236">
        <v>0.22043248506663965</v>
      </c>
      <c r="U11" s="236">
        <v>0.42693150360667104</v>
      </c>
      <c r="V11" s="236">
        <v>0.64152086371677142</v>
      </c>
      <c r="W11" s="236">
        <v>0.73677836795481355</v>
      </c>
      <c r="X11" s="236">
        <v>0.83791820072555723</v>
      </c>
      <c r="Y11" s="236">
        <v>0.91933770724510044</v>
      </c>
      <c r="Z11" s="236">
        <v>0.99541079797166543</v>
      </c>
      <c r="AA11" s="236">
        <v>1.0800343777764705</v>
      </c>
      <c r="AB11" s="237">
        <v>1.1747283933545993</v>
      </c>
    </row>
    <row r="12" spans="1:28" ht="15" outlineLevel="1" x14ac:dyDescent="0.25">
      <c r="B12" s="162">
        <v>3</v>
      </c>
      <c r="C12" s="162" t="s">
        <v>205</v>
      </c>
      <c r="D12" s="167">
        <v>0.21</v>
      </c>
      <c r="E12" s="180">
        <v>0.59</v>
      </c>
      <c r="F12" s="180">
        <v>1.1200000000000001</v>
      </c>
      <c r="G12" s="180">
        <v>1.45</v>
      </c>
      <c r="H12" s="180">
        <v>1.64</v>
      </c>
      <c r="I12" s="180">
        <v>1.79</v>
      </c>
      <c r="J12" s="180">
        <v>1.9</v>
      </c>
      <c r="K12" s="180">
        <v>2.0099999999999998</v>
      </c>
      <c r="L12" s="180">
        <v>2.17</v>
      </c>
      <c r="M12" s="168">
        <v>2.35</v>
      </c>
      <c r="O12" s="183" t="s">
        <v>106</v>
      </c>
      <c r="Q12" s="224">
        <v>3</v>
      </c>
      <c r="R12" s="224" t="s">
        <v>205</v>
      </c>
      <c r="S12" s="235">
        <v>0.21668759332717138</v>
      </c>
      <c r="T12" s="236">
        <v>0.58783878867209727</v>
      </c>
      <c r="U12" s="236">
        <v>1.1101541520083653</v>
      </c>
      <c r="V12" s="236">
        <v>1.4360831904973412</v>
      </c>
      <c r="W12" s="236">
        <v>1.6166549472164709</v>
      </c>
      <c r="X12" s="236">
        <v>1.7763149644082197</v>
      </c>
      <c r="Y12" s="236">
        <v>1.8907100572066182</v>
      </c>
      <c r="Z12" s="236">
        <v>2.0069167207005956</v>
      </c>
      <c r="AA12" s="236">
        <v>2.1616985556074431</v>
      </c>
      <c r="AB12" s="237">
        <v>2.3516266903444634</v>
      </c>
    </row>
    <row r="13" spans="1:28" ht="15" outlineLevel="1" x14ac:dyDescent="0.25">
      <c r="B13" s="162">
        <v>4</v>
      </c>
      <c r="C13" s="162" t="s">
        <v>206</v>
      </c>
      <c r="D13" s="167">
        <v>0.46</v>
      </c>
      <c r="E13" s="180">
        <v>1.41</v>
      </c>
      <c r="F13" s="180">
        <v>2.5499999999999998</v>
      </c>
      <c r="G13" s="180">
        <v>3.13</v>
      </c>
      <c r="H13" s="180">
        <v>3.43</v>
      </c>
      <c r="I13" s="180">
        <v>3.69</v>
      </c>
      <c r="J13" s="180">
        <v>3.89</v>
      </c>
      <c r="K13" s="180">
        <v>4.0599999999999996</v>
      </c>
      <c r="L13" s="180">
        <v>4.33</v>
      </c>
      <c r="M13" s="168">
        <v>4.72</v>
      </c>
      <c r="O13" s="183"/>
      <c r="Q13" s="224">
        <v>4</v>
      </c>
      <c r="R13" s="224" t="s">
        <v>206</v>
      </c>
      <c r="S13" s="235">
        <v>0.46433055713001681</v>
      </c>
      <c r="T13" s="236">
        <v>1.3962155221533097</v>
      </c>
      <c r="U13" s="236">
        <v>2.5198152705771077</v>
      </c>
      <c r="V13" s="236">
        <v>3.0873842502567488</v>
      </c>
      <c r="W13" s="236">
        <v>3.3780300893024116</v>
      </c>
      <c r="X13" s="236">
        <v>3.6554154927979909</v>
      </c>
      <c r="Y13" s="236">
        <v>3.8705928840848927</v>
      </c>
      <c r="Z13" s="236">
        <v>4.0486053042815984</v>
      </c>
      <c r="AA13" s="236">
        <v>4.3166964072123495</v>
      </c>
      <c r="AB13" s="237">
        <v>4.7119669620869766</v>
      </c>
    </row>
    <row r="14" spans="1:28" ht="15" outlineLevel="1" x14ac:dyDescent="0.25">
      <c r="B14" s="162">
        <v>5</v>
      </c>
      <c r="C14" s="162" t="s">
        <v>207</v>
      </c>
      <c r="D14" s="167">
        <v>0.89</v>
      </c>
      <c r="E14" s="180">
        <v>2.74</v>
      </c>
      <c r="F14" s="180">
        <v>5.05</v>
      </c>
      <c r="G14" s="180">
        <v>5.86</v>
      </c>
      <c r="H14" s="180">
        <v>6.3</v>
      </c>
      <c r="I14" s="180">
        <v>6.66</v>
      </c>
      <c r="J14" s="180">
        <v>6.98</v>
      </c>
      <c r="K14" s="180">
        <v>7.19</v>
      </c>
      <c r="L14" s="180">
        <v>7.6</v>
      </c>
      <c r="M14" s="168">
        <v>8.2799999999999994</v>
      </c>
      <c r="O14" s="183"/>
      <c r="Q14" s="224">
        <v>5</v>
      </c>
      <c r="R14" s="224" t="s">
        <v>207</v>
      </c>
      <c r="S14" s="235">
        <v>0.89770574378499635</v>
      </c>
      <c r="T14" s="236">
        <v>2.7192596921138201</v>
      </c>
      <c r="U14" s="236">
        <v>4.9990827697056313</v>
      </c>
      <c r="V14" s="236">
        <v>5.781455017764368</v>
      </c>
      <c r="W14" s="236">
        <v>6.2150599521361318</v>
      </c>
      <c r="X14" s="236">
        <v>6.6001980901826505</v>
      </c>
      <c r="Y14" s="236">
        <v>6.9338318622453325</v>
      </c>
      <c r="Z14" s="236">
        <v>7.1581612210858516</v>
      </c>
      <c r="AA14" s="236">
        <v>7.5813492148484762</v>
      </c>
      <c r="AB14" s="237">
        <v>8.2689652786278849</v>
      </c>
    </row>
    <row r="15" spans="1:28" ht="15" outlineLevel="1" x14ac:dyDescent="0.25">
      <c r="B15" s="162">
        <v>6</v>
      </c>
      <c r="C15" s="162" t="s">
        <v>208</v>
      </c>
      <c r="D15" s="167">
        <v>1.66</v>
      </c>
      <c r="E15" s="180">
        <v>5.18</v>
      </c>
      <c r="F15" s="180">
        <v>9.6</v>
      </c>
      <c r="G15" s="180">
        <v>10.7</v>
      </c>
      <c r="H15" s="180">
        <v>11.3</v>
      </c>
      <c r="I15" s="180">
        <v>11.8</v>
      </c>
      <c r="J15" s="180">
        <v>12.24</v>
      </c>
      <c r="K15" s="180">
        <v>12.45</v>
      </c>
      <c r="L15" s="180">
        <v>13.07</v>
      </c>
      <c r="M15" s="168">
        <v>14.26</v>
      </c>
      <c r="O15" s="183" t="s">
        <v>104</v>
      </c>
      <c r="Q15" s="224">
        <v>6</v>
      </c>
      <c r="R15" s="224" t="s">
        <v>208</v>
      </c>
      <c r="S15" s="235">
        <v>1.6870676909057702</v>
      </c>
      <c r="T15" s="236">
        <v>5.1456340480660367</v>
      </c>
      <c r="U15" s="236">
        <v>9.4928771004724108</v>
      </c>
      <c r="V15" s="236">
        <v>10.56666850147184</v>
      </c>
      <c r="W15" s="236">
        <v>11.139545436478357</v>
      </c>
      <c r="X15" s="236">
        <v>11.686221809588568</v>
      </c>
      <c r="Y15" s="236">
        <v>12.158832830398678</v>
      </c>
      <c r="Z15" s="236">
        <v>12.402333597187964</v>
      </c>
      <c r="AA15" s="236">
        <v>13.042337192160385</v>
      </c>
      <c r="AB15" s="237">
        <v>14.241845161272176</v>
      </c>
    </row>
    <row r="16" spans="1:28" ht="15" outlineLevel="1" x14ac:dyDescent="0.25">
      <c r="B16" s="162">
        <v>7</v>
      </c>
      <c r="C16" s="162" t="s">
        <v>209</v>
      </c>
      <c r="D16" s="167">
        <v>5.94</v>
      </c>
      <c r="E16" s="180">
        <v>11.1</v>
      </c>
      <c r="F16" s="180">
        <v>15.58</v>
      </c>
      <c r="G16" s="180">
        <v>16.78</v>
      </c>
      <c r="H16" s="180">
        <v>17.7</v>
      </c>
      <c r="I16" s="180">
        <v>18.47</v>
      </c>
      <c r="J16" s="180">
        <v>19.2</v>
      </c>
      <c r="K16" s="180">
        <v>19.61</v>
      </c>
      <c r="L16" s="180">
        <v>20.34</v>
      </c>
      <c r="M16" s="168">
        <v>21.51</v>
      </c>
      <c r="O16" s="183"/>
      <c r="Q16" s="224">
        <v>7</v>
      </c>
      <c r="R16" s="224" t="s">
        <v>209</v>
      </c>
      <c r="S16" s="235">
        <v>6.0208195574536552</v>
      </c>
      <c r="T16" s="236">
        <v>11.032022388481206</v>
      </c>
      <c r="U16" s="236">
        <v>15.409755257460221</v>
      </c>
      <c r="V16" s="236">
        <v>16.565110141918257</v>
      </c>
      <c r="W16" s="236">
        <v>17.4513617332866</v>
      </c>
      <c r="X16" s="236">
        <v>18.293516220624269</v>
      </c>
      <c r="Y16" s="236">
        <v>19.077734425829281</v>
      </c>
      <c r="Z16" s="236">
        <v>19.533474625170282</v>
      </c>
      <c r="AA16" s="236">
        <v>20.289829377082871</v>
      </c>
      <c r="AB16" s="237">
        <v>21.484183877724071</v>
      </c>
    </row>
    <row r="17" spans="2:28" ht="15" outlineLevel="1" x14ac:dyDescent="0.25">
      <c r="B17" s="162">
        <v>8</v>
      </c>
      <c r="C17" s="162" t="s">
        <v>210</v>
      </c>
      <c r="D17" s="167">
        <v>13.75</v>
      </c>
      <c r="E17" s="180">
        <v>20.74</v>
      </c>
      <c r="F17" s="180">
        <v>24.27</v>
      </c>
      <c r="G17" s="180">
        <v>25.85</v>
      </c>
      <c r="H17" s="180">
        <v>26.75</v>
      </c>
      <c r="I17" s="180">
        <v>27.92</v>
      </c>
      <c r="J17" s="180">
        <v>29.03</v>
      </c>
      <c r="K17" s="180">
        <v>29.91</v>
      </c>
      <c r="L17" s="180">
        <v>30.59</v>
      </c>
      <c r="M17" s="168">
        <v>31.31</v>
      </c>
      <c r="O17" s="183"/>
      <c r="Q17" s="224">
        <v>8</v>
      </c>
      <c r="R17" s="224" t="s">
        <v>210</v>
      </c>
      <c r="S17" s="235">
        <v>13.929916713902415</v>
      </c>
      <c r="T17" s="236">
        <v>20.610334851116658</v>
      </c>
      <c r="U17" s="236">
        <v>24.006728727637228</v>
      </c>
      <c r="V17" s="236">
        <v>25.520929938802841</v>
      </c>
      <c r="W17" s="236">
        <v>26.378560357637532</v>
      </c>
      <c r="X17" s="236">
        <v>27.653301739390884</v>
      </c>
      <c r="Y17" s="236">
        <v>28.849409299889231</v>
      </c>
      <c r="Z17" s="236">
        <v>29.786101210615413</v>
      </c>
      <c r="AA17" s="236">
        <v>30.517519517549811</v>
      </c>
      <c r="AB17" s="237">
        <v>31.2709878487147</v>
      </c>
    </row>
    <row r="18" spans="2:28" ht="15" outlineLevel="1" x14ac:dyDescent="0.25">
      <c r="B18" s="162">
        <v>9</v>
      </c>
      <c r="C18" s="162" t="s">
        <v>211</v>
      </c>
      <c r="D18" s="167">
        <v>26.83</v>
      </c>
      <c r="E18" s="180">
        <v>36.020000000000003</v>
      </c>
      <c r="F18" s="180">
        <v>37.24</v>
      </c>
      <c r="G18" s="180">
        <v>38.74</v>
      </c>
      <c r="H18" s="180">
        <v>39.869999999999997</v>
      </c>
      <c r="I18" s="180">
        <v>41.7</v>
      </c>
      <c r="J18" s="180">
        <v>43.59</v>
      </c>
      <c r="K18" s="180">
        <v>45.09</v>
      </c>
      <c r="L18" s="180">
        <v>45.54</v>
      </c>
      <c r="M18" s="168">
        <v>45.23</v>
      </c>
      <c r="O18" s="183" t="s">
        <v>98</v>
      </c>
      <c r="Q18" s="224">
        <v>9</v>
      </c>
      <c r="R18" s="224" t="s">
        <v>211</v>
      </c>
      <c r="S18" s="235">
        <v>27.186577736659938</v>
      </c>
      <c r="T18" s="236">
        <v>35.78960249565592</v>
      </c>
      <c r="U18" s="236">
        <v>36.83885491831348</v>
      </c>
      <c r="V18" s="236">
        <v>38.23888773945562</v>
      </c>
      <c r="W18" s="236">
        <v>39.30806427741701</v>
      </c>
      <c r="X18" s="236">
        <v>41.306942177137657</v>
      </c>
      <c r="Y18" s="236">
        <v>43.311136240660829</v>
      </c>
      <c r="Z18" s="236">
        <v>44.895389286255927</v>
      </c>
      <c r="AA18" s="236">
        <v>45.428003475301423</v>
      </c>
      <c r="AB18" s="237">
        <v>45.174067050107105</v>
      </c>
    </row>
    <row r="19" spans="2:28" ht="15" outlineLevel="1" x14ac:dyDescent="0.25">
      <c r="B19" s="162">
        <v>10</v>
      </c>
      <c r="C19" s="162" t="s">
        <v>212</v>
      </c>
      <c r="D19" s="167">
        <v>68.42</v>
      </c>
      <c r="E19" s="180">
        <v>83.38</v>
      </c>
      <c r="F19" s="180">
        <v>79.739999999999995</v>
      </c>
      <c r="G19" s="180">
        <v>80.09</v>
      </c>
      <c r="H19" s="180">
        <v>80.47</v>
      </c>
      <c r="I19" s="180">
        <v>82.16</v>
      </c>
      <c r="J19" s="180">
        <v>82.34</v>
      </c>
      <c r="K19" s="180">
        <v>82.86</v>
      </c>
      <c r="L19" s="180">
        <v>82.72</v>
      </c>
      <c r="M19" s="168">
        <v>81.13</v>
      </c>
      <c r="O19" s="183"/>
      <c r="Q19" s="224">
        <v>10</v>
      </c>
      <c r="R19" s="224" t="s">
        <v>212</v>
      </c>
      <c r="S19" s="235">
        <v>69.327400229991881</v>
      </c>
      <c r="T19" s="236">
        <v>82.839174278132518</v>
      </c>
      <c r="U19" s="236">
        <v>78.864788737745272</v>
      </c>
      <c r="V19" s="236">
        <v>79.044666165055077</v>
      </c>
      <c r="W19" s="236">
        <v>79.318816821709532</v>
      </c>
      <c r="X19" s="236">
        <v>81.352085896975098</v>
      </c>
      <c r="Y19" s="236">
        <v>81.788339551949406</v>
      </c>
      <c r="Z19" s="236">
        <v>82.489393832756576</v>
      </c>
      <c r="AA19" s="236">
        <v>82.494077199287716</v>
      </c>
      <c r="AB19" s="237">
        <v>81.013128106431566</v>
      </c>
    </row>
    <row r="20" spans="2:28" ht="15" outlineLevel="1" x14ac:dyDescent="0.25">
      <c r="B20" s="162">
        <v>11</v>
      </c>
      <c r="C20" s="162" t="s">
        <v>213</v>
      </c>
      <c r="D20" s="167">
        <v>70.94</v>
      </c>
      <c r="E20" s="180">
        <v>96.63</v>
      </c>
      <c r="F20" s="180">
        <v>109.01</v>
      </c>
      <c r="G20" s="180">
        <v>118.37</v>
      </c>
      <c r="H20" s="180">
        <v>124.5</v>
      </c>
      <c r="I20" s="180">
        <v>121.55</v>
      </c>
      <c r="J20" s="180">
        <v>120.98</v>
      </c>
      <c r="K20" s="180">
        <v>121.23</v>
      </c>
      <c r="L20" s="180">
        <v>121.63</v>
      </c>
      <c r="M20" s="168">
        <v>121.91</v>
      </c>
      <c r="O20" s="183"/>
      <c r="Q20" s="224">
        <v>11</v>
      </c>
      <c r="R20" s="224" t="s">
        <v>213</v>
      </c>
      <c r="S20" s="235">
        <v>72.285450430919397</v>
      </c>
      <c r="T20" s="236">
        <v>96.811539621068448</v>
      </c>
      <c r="U20" s="236">
        <v>108.72499844445991</v>
      </c>
      <c r="V20" s="236">
        <v>117.8116701848349</v>
      </c>
      <c r="W20" s="236">
        <v>123.75485883659108</v>
      </c>
      <c r="X20" s="236">
        <v>120.86609963844778</v>
      </c>
      <c r="Y20" s="236">
        <v>120.34239910682437</v>
      </c>
      <c r="Z20" s="236">
        <v>120.61892854262673</v>
      </c>
      <c r="AA20" s="236">
        <v>121.03838829373049</v>
      </c>
      <c r="AB20" s="237">
        <v>121.33506615903185</v>
      </c>
    </row>
    <row r="21" spans="2:28" ht="15" outlineLevel="1" x14ac:dyDescent="0.25">
      <c r="B21" s="162">
        <v>12</v>
      </c>
      <c r="C21" s="162" t="s">
        <v>214</v>
      </c>
      <c r="D21" s="167">
        <v>131.05000000000001</v>
      </c>
      <c r="E21" s="180">
        <v>171.98</v>
      </c>
      <c r="F21" s="180">
        <v>188.07</v>
      </c>
      <c r="G21" s="180">
        <v>201.12</v>
      </c>
      <c r="H21" s="180">
        <v>209.5</v>
      </c>
      <c r="I21" s="180">
        <v>201.58</v>
      </c>
      <c r="J21" s="180">
        <v>195.12</v>
      </c>
      <c r="K21" s="180">
        <v>191.22</v>
      </c>
      <c r="L21" s="180">
        <v>189.68</v>
      </c>
      <c r="M21" s="168">
        <v>188.22</v>
      </c>
      <c r="O21" s="183" t="s">
        <v>105</v>
      </c>
      <c r="Q21" s="224">
        <v>12</v>
      </c>
      <c r="R21" s="224" t="s">
        <v>214</v>
      </c>
      <c r="S21" s="235">
        <v>133.53261792259732</v>
      </c>
      <c r="T21" s="236">
        <v>172.30065024228085</v>
      </c>
      <c r="U21" s="236">
        <v>187.55728276827426</v>
      </c>
      <c r="V21" s="236">
        <v>200.12704496637244</v>
      </c>
      <c r="W21" s="236">
        <v>208.1789571141905</v>
      </c>
      <c r="X21" s="236">
        <v>200.38619611550089</v>
      </c>
      <c r="Y21" s="236">
        <v>194.02138115241328</v>
      </c>
      <c r="Z21" s="236">
        <v>190.19197341260596</v>
      </c>
      <c r="AA21" s="236">
        <v>188.68716466165569</v>
      </c>
      <c r="AB21" s="237">
        <v>187.26453005113768</v>
      </c>
    </row>
    <row r="22" spans="2:28" ht="15" outlineLevel="1" x14ac:dyDescent="0.25">
      <c r="B22" s="162">
        <v>13</v>
      </c>
      <c r="C22" s="162" t="s">
        <v>215</v>
      </c>
      <c r="D22" s="167">
        <v>242.99</v>
      </c>
      <c r="E22" s="180">
        <v>283.41000000000003</v>
      </c>
      <c r="F22" s="180">
        <v>298.86</v>
      </c>
      <c r="G22" s="180">
        <v>304.72000000000003</v>
      </c>
      <c r="H22" s="180">
        <v>313.13</v>
      </c>
      <c r="I22" s="180">
        <v>296.11</v>
      </c>
      <c r="J22" s="180">
        <v>284.85000000000002</v>
      </c>
      <c r="K22" s="180">
        <v>276.27</v>
      </c>
      <c r="L22" s="180">
        <v>269.33</v>
      </c>
      <c r="M22" s="168">
        <v>265.66000000000003</v>
      </c>
      <c r="O22" s="183"/>
      <c r="Q22" s="224">
        <v>13</v>
      </c>
      <c r="R22" s="224" t="s">
        <v>215</v>
      </c>
      <c r="S22" s="235">
        <v>247.58611962995073</v>
      </c>
      <c r="T22" s="236">
        <v>283.9137474788443</v>
      </c>
      <c r="U22" s="236">
        <v>298.01225837519343</v>
      </c>
      <c r="V22" s="236">
        <v>303.14837295969852</v>
      </c>
      <c r="W22" s="236">
        <v>311.05657241549142</v>
      </c>
      <c r="X22" s="236">
        <v>294.25287499773088</v>
      </c>
      <c r="Y22" s="236">
        <v>283.14218251029439</v>
      </c>
      <c r="Z22" s="236">
        <v>274.6720635819853</v>
      </c>
      <c r="AA22" s="236">
        <v>267.80765201325607</v>
      </c>
      <c r="AB22" s="237">
        <v>264.18158686929451</v>
      </c>
    </row>
    <row r="23" spans="2:28" ht="15" outlineLevel="1" x14ac:dyDescent="0.25">
      <c r="B23" s="162">
        <v>14</v>
      </c>
      <c r="C23" s="162" t="s">
        <v>216</v>
      </c>
      <c r="D23" s="167">
        <v>304.43</v>
      </c>
      <c r="E23" s="180">
        <v>325.99</v>
      </c>
      <c r="F23" s="180">
        <v>340.84</v>
      </c>
      <c r="G23" s="180">
        <v>354.58</v>
      </c>
      <c r="H23" s="180">
        <v>369.36</v>
      </c>
      <c r="I23" s="180">
        <v>348.64</v>
      </c>
      <c r="J23" s="180">
        <v>332.05</v>
      </c>
      <c r="K23" s="180">
        <v>320.88</v>
      </c>
      <c r="L23" s="180">
        <v>314.19</v>
      </c>
      <c r="M23" s="168">
        <v>310.16000000000003</v>
      </c>
      <c r="O23" s="183"/>
      <c r="Q23" s="224">
        <v>14</v>
      </c>
      <c r="R23" s="224" t="s">
        <v>216</v>
      </c>
      <c r="S23" s="235">
        <v>295.31840311733725</v>
      </c>
      <c r="T23" s="236">
        <v>320.34897045750836</v>
      </c>
      <c r="U23" s="236">
        <v>336.53356066644773</v>
      </c>
      <c r="V23" s="236">
        <v>350.9418935727511</v>
      </c>
      <c r="W23" s="236">
        <v>366.08462833273262</v>
      </c>
      <c r="X23" s="236">
        <v>345.26319488316796</v>
      </c>
      <c r="Y23" s="236">
        <v>328.59182051395766</v>
      </c>
      <c r="Z23" s="236">
        <v>317.31538895768091</v>
      </c>
      <c r="AA23" s="236">
        <v>310.48817619169353</v>
      </c>
      <c r="AB23" s="237">
        <v>306.30391151332276</v>
      </c>
    </row>
    <row r="24" spans="2:28" ht="15" outlineLevel="1" x14ac:dyDescent="0.25">
      <c r="B24" s="162">
        <v>15</v>
      </c>
      <c r="C24" s="162" t="s">
        <v>217</v>
      </c>
      <c r="D24" s="167">
        <v>465.75</v>
      </c>
      <c r="E24" s="180">
        <v>458.64</v>
      </c>
      <c r="F24" s="180">
        <v>466.57</v>
      </c>
      <c r="G24" s="180">
        <v>477.25</v>
      </c>
      <c r="H24" s="180">
        <v>492.31</v>
      </c>
      <c r="I24" s="180">
        <v>459.96</v>
      </c>
      <c r="J24" s="180">
        <v>436.3</v>
      </c>
      <c r="K24" s="180">
        <v>419.39</v>
      </c>
      <c r="L24" s="180">
        <v>409.78</v>
      </c>
      <c r="M24" s="168">
        <v>403.44</v>
      </c>
      <c r="O24" s="183" t="s">
        <v>107</v>
      </c>
      <c r="Q24" s="224">
        <v>15</v>
      </c>
      <c r="R24" s="224" t="s">
        <v>217</v>
      </c>
      <c r="S24" s="235">
        <v>451.8119158803708</v>
      </c>
      <c r="T24" s="236">
        <v>450.61412481629969</v>
      </c>
      <c r="U24" s="236">
        <v>460.5336248987964</v>
      </c>
      <c r="V24" s="236">
        <v>472.17121274748797</v>
      </c>
      <c r="W24" s="236">
        <v>487.70382710575643</v>
      </c>
      <c r="X24" s="236">
        <v>455.23006305532738</v>
      </c>
      <c r="Y24" s="236">
        <v>431.44254818700398</v>
      </c>
      <c r="Z24" s="236">
        <v>414.38826412817349</v>
      </c>
      <c r="AA24" s="236">
        <v>404.55816827442902</v>
      </c>
      <c r="AB24" s="237">
        <v>397.97016697861886</v>
      </c>
    </row>
    <row r="25" spans="2:28" ht="15" outlineLevel="1" x14ac:dyDescent="0.25">
      <c r="B25" s="162">
        <v>16</v>
      </c>
      <c r="C25" s="162" t="s">
        <v>218</v>
      </c>
      <c r="D25" s="167">
        <v>755.88</v>
      </c>
      <c r="E25" s="180">
        <v>663.33</v>
      </c>
      <c r="F25" s="180">
        <v>648.98</v>
      </c>
      <c r="G25" s="180">
        <v>659.65</v>
      </c>
      <c r="H25" s="180">
        <v>680.1</v>
      </c>
      <c r="I25" s="180">
        <v>631.59</v>
      </c>
      <c r="J25" s="180">
        <v>606.66</v>
      </c>
      <c r="K25" s="180">
        <v>592.51</v>
      </c>
      <c r="L25" s="180">
        <v>581.82000000000005</v>
      </c>
      <c r="M25" s="168">
        <v>577.25</v>
      </c>
      <c r="O25" s="183"/>
      <c r="Q25" s="224">
        <v>16</v>
      </c>
      <c r="R25" s="224" t="s">
        <v>218</v>
      </c>
      <c r="S25" s="235">
        <v>733.24782996227736</v>
      </c>
      <c r="T25" s="236">
        <v>651.48630748572123</v>
      </c>
      <c r="U25" s="236">
        <v>640.26478012754751</v>
      </c>
      <c r="V25" s="236">
        <v>652.20112733787732</v>
      </c>
      <c r="W25" s="236">
        <v>673.18093034716287</v>
      </c>
      <c r="X25" s="236">
        <v>624.46190689051537</v>
      </c>
      <c r="Y25" s="236">
        <v>599.12539204754069</v>
      </c>
      <c r="Z25" s="236">
        <v>584.46287928517563</v>
      </c>
      <c r="AA25" s="236">
        <v>573.24185211194606</v>
      </c>
      <c r="AB25" s="237">
        <v>568.0263639417866</v>
      </c>
    </row>
    <row r="26" spans="2:28" ht="15" outlineLevel="1" x14ac:dyDescent="0.25">
      <c r="B26" s="162">
        <v>17</v>
      </c>
      <c r="C26" s="162" t="s">
        <v>219</v>
      </c>
      <c r="D26" s="167">
        <v>894.24</v>
      </c>
      <c r="E26" s="180">
        <v>735.24</v>
      </c>
      <c r="F26" s="180">
        <v>700.68</v>
      </c>
      <c r="G26" s="180">
        <v>700.39</v>
      </c>
      <c r="H26" s="180">
        <v>715.97</v>
      </c>
      <c r="I26" s="180">
        <v>662.46</v>
      </c>
      <c r="J26" s="180">
        <v>631.98</v>
      </c>
      <c r="K26" s="180">
        <v>613.35</v>
      </c>
      <c r="L26" s="180">
        <v>600.35</v>
      </c>
      <c r="M26" s="168">
        <v>594.09</v>
      </c>
      <c r="O26" s="183" t="s">
        <v>184</v>
      </c>
      <c r="Q26" s="224">
        <v>17</v>
      </c>
      <c r="R26" s="224" t="s">
        <v>219</v>
      </c>
      <c r="S26" s="235">
        <v>880.75815751655534</v>
      </c>
      <c r="T26" s="236">
        <v>730.10049919214373</v>
      </c>
      <c r="U26" s="236">
        <v>698.42436146968089</v>
      </c>
      <c r="V26" s="236">
        <v>699.67668154778733</v>
      </c>
      <c r="W26" s="236">
        <v>716.36312454058395</v>
      </c>
      <c r="X26" s="236">
        <v>660.08795902276154</v>
      </c>
      <c r="Y26" s="236">
        <v>627.19657432635779</v>
      </c>
      <c r="Z26" s="236">
        <v>606.33082714199895</v>
      </c>
      <c r="AA26" s="236">
        <v>591.20772087992896</v>
      </c>
      <c r="AB26" s="237">
        <v>582.76619912902061</v>
      </c>
    </row>
    <row r="27" spans="2:28" ht="15" outlineLevel="1" x14ac:dyDescent="0.25">
      <c r="B27" s="162">
        <v>18</v>
      </c>
      <c r="C27" s="162" t="s">
        <v>220</v>
      </c>
      <c r="D27" s="167">
        <v>1032.5999999999999</v>
      </c>
      <c r="E27" s="180">
        <v>808.02</v>
      </c>
      <c r="F27" s="180">
        <v>753.3</v>
      </c>
      <c r="G27" s="180">
        <v>741.98</v>
      </c>
      <c r="H27" s="180">
        <v>752.72</v>
      </c>
      <c r="I27" s="180">
        <v>694.15</v>
      </c>
      <c r="J27" s="180">
        <v>657.96</v>
      </c>
      <c r="K27" s="180">
        <v>634.70000000000005</v>
      </c>
      <c r="L27" s="180">
        <v>619.34</v>
      </c>
      <c r="M27" s="168">
        <v>611.35</v>
      </c>
      <c r="O27" s="183"/>
      <c r="Q27" s="224">
        <v>18</v>
      </c>
      <c r="R27" s="224" t="s">
        <v>220</v>
      </c>
      <c r="S27" s="235">
        <v>1028.2684850708333</v>
      </c>
      <c r="T27" s="236">
        <v>809.7658629239578</v>
      </c>
      <c r="U27" s="236">
        <v>757.73578694194327</v>
      </c>
      <c r="V27" s="236">
        <v>748.30892128401229</v>
      </c>
      <c r="W27" s="236">
        <v>760.83161317377119</v>
      </c>
      <c r="X27" s="236">
        <v>696.79888564313251</v>
      </c>
      <c r="Y27" s="236">
        <v>656.07014727371745</v>
      </c>
      <c r="Z27" s="236">
        <v>628.76339443554946</v>
      </c>
      <c r="AA27" s="236">
        <v>609.60733374041342</v>
      </c>
      <c r="AB27" s="237">
        <v>597.83341167335129</v>
      </c>
    </row>
    <row r="28" spans="2:28" ht="15" outlineLevel="1" x14ac:dyDescent="0.25">
      <c r="B28" s="162">
        <v>19</v>
      </c>
      <c r="C28" s="162" t="s">
        <v>221</v>
      </c>
      <c r="D28" s="167">
        <v>1170.96</v>
      </c>
      <c r="E28" s="180">
        <v>881.73</v>
      </c>
      <c r="F28" s="180">
        <v>806.88</v>
      </c>
      <c r="G28" s="180">
        <v>784.46</v>
      </c>
      <c r="H28" s="180">
        <v>790.41</v>
      </c>
      <c r="I28" s="180">
        <v>726.7</v>
      </c>
      <c r="J28" s="180">
        <v>684.63</v>
      </c>
      <c r="K28" s="180">
        <v>656.6</v>
      </c>
      <c r="L28" s="180">
        <v>638.83000000000004</v>
      </c>
      <c r="M28" s="168">
        <v>629.07000000000005</v>
      </c>
      <c r="O28" s="183"/>
      <c r="Q28" s="224">
        <v>19</v>
      </c>
      <c r="R28" s="224" t="s">
        <v>221</v>
      </c>
      <c r="S28" s="235">
        <v>1175.7788126251114</v>
      </c>
      <c r="T28" s="236">
        <v>890.52572792830733</v>
      </c>
      <c r="U28" s="236">
        <v>818.25783912507188</v>
      </c>
      <c r="V28" s="236">
        <v>798.16581864401496</v>
      </c>
      <c r="W28" s="236">
        <v>806.6759539678535</v>
      </c>
      <c r="X28" s="236">
        <v>734.67013374638645</v>
      </c>
      <c r="Y28" s="236">
        <v>685.79752499420647</v>
      </c>
      <c r="Z28" s="236">
        <v>651.79277276214691</v>
      </c>
      <c r="AA28" s="236">
        <v>628.46356605694768</v>
      </c>
      <c r="AB28" s="237">
        <v>613.24374116041463</v>
      </c>
    </row>
    <row r="29" spans="2:28" ht="15" outlineLevel="1" x14ac:dyDescent="0.25">
      <c r="B29" s="163">
        <v>20</v>
      </c>
      <c r="C29" s="163" t="s">
        <v>222</v>
      </c>
      <c r="D29" s="169">
        <v>6671.84</v>
      </c>
      <c r="E29" s="170">
        <v>6671.84</v>
      </c>
      <c r="F29" s="170">
        <v>6671.84</v>
      </c>
      <c r="G29" s="170">
        <v>6671.84</v>
      </c>
      <c r="H29" s="170">
        <v>6671.84</v>
      </c>
      <c r="I29" s="170">
        <v>6671.84</v>
      </c>
      <c r="J29" s="170">
        <v>6671.84</v>
      </c>
      <c r="K29" s="170">
        <v>6671.84</v>
      </c>
      <c r="L29" s="170">
        <v>6671.84</v>
      </c>
      <c r="M29" s="171">
        <v>6671.84</v>
      </c>
      <c r="O29" s="183" t="s">
        <v>251</v>
      </c>
      <c r="Q29" s="228">
        <v>20</v>
      </c>
      <c r="R29" s="228" t="s">
        <v>222</v>
      </c>
      <c r="S29" s="238">
        <v>6688.5740000000005</v>
      </c>
      <c r="T29" s="239">
        <v>6688.5740000000005</v>
      </c>
      <c r="U29" s="239">
        <v>6688.5740000000005</v>
      </c>
      <c r="V29" s="239">
        <v>6688.5740000000005</v>
      </c>
      <c r="W29" s="239">
        <v>6688.5740000000005</v>
      </c>
      <c r="X29" s="239">
        <v>6688.5740000000005</v>
      </c>
      <c r="Y29" s="239">
        <v>6688.5740000000005</v>
      </c>
      <c r="Z29" s="239">
        <v>6688.5740000000005</v>
      </c>
      <c r="AA29" s="239">
        <v>6688.5740000000005</v>
      </c>
      <c r="AB29" s="240">
        <v>6688.5740000000005</v>
      </c>
    </row>
    <row r="30" spans="2:28" ht="15" outlineLevel="1" x14ac:dyDescent="0.25"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</row>
    <row r="31" spans="2:28" ht="15" outlineLevel="1" x14ac:dyDescent="0.25"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</row>
    <row r="32" spans="2:28" ht="15" outlineLevel="1" x14ac:dyDescent="0.25">
      <c r="B32" s="158" t="s">
        <v>223</v>
      </c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Q32" s="158" t="s">
        <v>266</v>
      </c>
    </row>
    <row r="33" spans="1:24" outlineLevel="1" x14ac:dyDescent="0.2"/>
    <row r="34" spans="1:24" outlineLevel="1" x14ac:dyDescent="0.2"/>
    <row r="35" spans="1:24" s="178" customFormat="1" ht="29.25" customHeight="1" x14ac:dyDescent="0.2">
      <c r="A35" s="178" t="s">
        <v>255</v>
      </c>
    </row>
    <row r="36" spans="1:24" s="187" customFormat="1" x14ac:dyDescent="0.2"/>
    <row r="37" spans="1:24" s="187" customFormat="1" ht="15" x14ac:dyDescent="0.25">
      <c r="B37" s="211" t="s">
        <v>263</v>
      </c>
      <c r="C37" s="172"/>
      <c r="D37" s="172"/>
      <c r="E37" s="172"/>
      <c r="F37" s="172"/>
      <c r="G37" s="172"/>
      <c r="H37" s="172"/>
      <c r="I37" s="172"/>
      <c r="J37" s="172"/>
      <c r="K37" s="172"/>
      <c r="L37" s="172"/>
      <c r="M37" s="158"/>
      <c r="N37" s="264" t="s">
        <v>262</v>
      </c>
      <c r="O37" s="265"/>
      <c r="P37" s="265"/>
      <c r="Q37" s="265"/>
      <c r="R37" s="265"/>
      <c r="S37" s="265"/>
      <c r="T37" s="265"/>
      <c r="U37" s="265"/>
      <c r="V37" s="265"/>
      <c r="W37" s="265"/>
      <c r="X37" s="266"/>
    </row>
    <row r="38" spans="1:24" s="187" customFormat="1" ht="15" x14ac:dyDescent="0.25">
      <c r="B38" s="173" t="s">
        <v>224</v>
      </c>
      <c r="C38" s="188" t="s">
        <v>225</v>
      </c>
      <c r="D38" s="189"/>
      <c r="E38" s="189"/>
      <c r="F38" s="189"/>
      <c r="G38" s="189"/>
      <c r="H38" s="189"/>
      <c r="I38" s="189"/>
      <c r="J38" s="189"/>
      <c r="K38" s="189"/>
      <c r="L38" s="190"/>
      <c r="M38" s="158"/>
      <c r="N38" s="205" t="s">
        <v>224</v>
      </c>
      <c r="O38" s="246" t="s">
        <v>256</v>
      </c>
      <c r="P38" s="247"/>
      <c r="Q38" s="247"/>
      <c r="R38" s="247"/>
      <c r="S38" s="247"/>
      <c r="T38" s="247"/>
      <c r="U38" s="247"/>
      <c r="V38" s="247"/>
      <c r="W38" s="247"/>
      <c r="X38" s="248"/>
    </row>
    <row r="39" spans="1:24" s="187" customFormat="1" ht="15" x14ac:dyDescent="0.25">
      <c r="B39" s="175" t="s">
        <v>227</v>
      </c>
      <c r="C39" s="174">
        <v>1</v>
      </c>
      <c r="D39" s="174">
        <v>2</v>
      </c>
      <c r="E39" s="174">
        <v>3</v>
      </c>
      <c r="F39" s="174">
        <v>4</v>
      </c>
      <c r="G39" s="174">
        <v>5</v>
      </c>
      <c r="H39" s="174">
        <v>6</v>
      </c>
      <c r="I39" s="174">
        <v>7</v>
      </c>
      <c r="J39" s="174">
        <v>8</v>
      </c>
      <c r="K39" s="174">
        <v>9</v>
      </c>
      <c r="L39" s="174">
        <v>10</v>
      </c>
      <c r="M39" s="158"/>
      <c r="N39" s="207" t="s">
        <v>227</v>
      </c>
      <c r="O39" s="206">
        <v>11</v>
      </c>
      <c r="P39" s="206">
        <v>12</v>
      </c>
      <c r="Q39" s="206">
        <v>13</v>
      </c>
      <c r="R39" s="206">
        <v>14</v>
      </c>
      <c r="S39" s="206">
        <v>15</v>
      </c>
      <c r="T39" s="206">
        <v>16</v>
      </c>
      <c r="U39" s="206">
        <v>17</v>
      </c>
      <c r="V39" s="206">
        <v>18</v>
      </c>
      <c r="W39" s="206">
        <v>19</v>
      </c>
      <c r="X39" s="206">
        <v>20</v>
      </c>
    </row>
    <row r="40" spans="1:24" s="187" customFormat="1" ht="15" x14ac:dyDescent="0.25">
      <c r="B40" s="176" t="s">
        <v>257</v>
      </c>
      <c r="C40" s="174" t="s">
        <v>229</v>
      </c>
      <c r="D40" s="174" t="s">
        <v>230</v>
      </c>
      <c r="E40" s="174" t="s">
        <v>231</v>
      </c>
      <c r="F40" s="174" t="s">
        <v>232</v>
      </c>
      <c r="G40" s="174" t="s">
        <v>233</v>
      </c>
      <c r="H40" s="174" t="s">
        <v>234</v>
      </c>
      <c r="I40" s="174" t="s">
        <v>235</v>
      </c>
      <c r="J40" s="174" t="s">
        <v>236</v>
      </c>
      <c r="K40" s="174" t="s">
        <v>237</v>
      </c>
      <c r="L40" s="174" t="s">
        <v>238</v>
      </c>
      <c r="M40" s="158"/>
      <c r="N40" s="208" t="s">
        <v>257</v>
      </c>
      <c r="O40" s="206" t="s">
        <v>239</v>
      </c>
      <c r="P40" s="206" t="s">
        <v>240</v>
      </c>
      <c r="Q40" s="206" t="s">
        <v>241</v>
      </c>
      <c r="R40" s="206" t="s">
        <v>242</v>
      </c>
      <c r="S40" s="206" t="s">
        <v>243</v>
      </c>
      <c r="T40" s="206" t="s">
        <v>244</v>
      </c>
      <c r="U40" s="206" t="s">
        <v>245</v>
      </c>
      <c r="V40" s="206" t="s">
        <v>246</v>
      </c>
      <c r="W40" s="206" t="s">
        <v>247</v>
      </c>
      <c r="X40" s="206" t="s">
        <v>248</v>
      </c>
    </row>
    <row r="41" spans="1:24" s="187" customFormat="1" ht="15" x14ac:dyDescent="0.25">
      <c r="B41" s="177">
        <v>1</v>
      </c>
      <c r="C41" s="174">
        <v>8.34</v>
      </c>
      <c r="D41" s="174">
        <v>18.13</v>
      </c>
      <c r="E41" s="174">
        <v>27.91</v>
      </c>
      <c r="F41" s="174">
        <v>36.03</v>
      </c>
      <c r="G41" s="174">
        <v>44.15</v>
      </c>
      <c r="H41" s="174">
        <v>52.27</v>
      </c>
      <c r="I41" s="174">
        <v>61.63</v>
      </c>
      <c r="J41" s="174">
        <v>70.989999999999995</v>
      </c>
      <c r="K41" s="174">
        <v>80.349999999999994</v>
      </c>
      <c r="L41" s="174">
        <v>120.84</v>
      </c>
      <c r="M41" s="158"/>
      <c r="N41" s="209">
        <v>1</v>
      </c>
      <c r="O41" s="210">
        <v>161.34</v>
      </c>
      <c r="P41" s="210">
        <v>200.75</v>
      </c>
      <c r="Q41" s="210">
        <v>240.16</v>
      </c>
      <c r="R41" s="210">
        <v>279.58</v>
      </c>
      <c r="S41" s="210">
        <v>318.99</v>
      </c>
      <c r="T41" s="210">
        <v>496.66</v>
      </c>
      <c r="U41" s="210">
        <v>674.33</v>
      </c>
      <c r="V41" s="210">
        <v>852</v>
      </c>
      <c r="W41" s="210">
        <v>1029.67</v>
      </c>
      <c r="X41" s="210">
        <v>1207.3399999999999</v>
      </c>
    </row>
    <row r="42" spans="1:24" s="187" customFormat="1" ht="15" x14ac:dyDescent="0.25">
      <c r="B42" s="177">
        <v>2</v>
      </c>
      <c r="C42" s="174">
        <v>21.53</v>
      </c>
      <c r="D42" s="174">
        <v>27.38</v>
      </c>
      <c r="E42" s="174">
        <v>33.229999999999997</v>
      </c>
      <c r="F42" s="174">
        <v>41.65</v>
      </c>
      <c r="G42" s="174">
        <v>50.08</v>
      </c>
      <c r="H42" s="174">
        <v>58.5</v>
      </c>
      <c r="I42" s="174">
        <v>67.98</v>
      </c>
      <c r="J42" s="174">
        <v>77.45</v>
      </c>
      <c r="K42" s="174">
        <v>86.92</v>
      </c>
      <c r="L42" s="174">
        <v>124.13</v>
      </c>
      <c r="M42" s="158"/>
      <c r="N42" s="209">
        <v>2</v>
      </c>
      <c r="O42" s="210">
        <v>161.34</v>
      </c>
      <c r="P42" s="210">
        <v>200.75</v>
      </c>
      <c r="Q42" s="210">
        <v>240.16</v>
      </c>
      <c r="R42" s="210">
        <v>279.58</v>
      </c>
      <c r="S42" s="210">
        <v>318.99</v>
      </c>
      <c r="T42" s="210">
        <v>496.66</v>
      </c>
      <c r="U42" s="210">
        <v>674.33</v>
      </c>
      <c r="V42" s="210">
        <v>852</v>
      </c>
      <c r="W42" s="210">
        <v>1029.67</v>
      </c>
      <c r="X42" s="210">
        <v>1207.3399999999999</v>
      </c>
    </row>
    <row r="43" spans="1:24" s="187" customFormat="1" ht="15" x14ac:dyDescent="0.25">
      <c r="B43" s="177">
        <v>3</v>
      </c>
      <c r="C43" s="174">
        <v>34.72</v>
      </c>
      <c r="D43" s="174">
        <v>36.630000000000003</v>
      </c>
      <c r="E43" s="174">
        <v>38.54</v>
      </c>
      <c r="F43" s="174">
        <v>47.27</v>
      </c>
      <c r="G43" s="174">
        <v>56.01</v>
      </c>
      <c r="H43" s="174">
        <v>64.739999999999995</v>
      </c>
      <c r="I43" s="174">
        <v>74.319999999999993</v>
      </c>
      <c r="J43" s="174">
        <v>83.9</v>
      </c>
      <c r="K43" s="174">
        <v>93.49</v>
      </c>
      <c r="L43" s="174">
        <v>127.41</v>
      </c>
      <c r="M43" s="158"/>
      <c r="N43" s="209">
        <v>3</v>
      </c>
      <c r="O43" s="210">
        <v>161.34</v>
      </c>
      <c r="P43" s="210">
        <v>200.75</v>
      </c>
      <c r="Q43" s="210">
        <v>240.16</v>
      </c>
      <c r="R43" s="210">
        <v>279.58</v>
      </c>
      <c r="S43" s="210">
        <v>318.99</v>
      </c>
      <c r="T43" s="210">
        <v>496.66</v>
      </c>
      <c r="U43" s="210">
        <v>674.33</v>
      </c>
      <c r="V43" s="210">
        <v>852</v>
      </c>
      <c r="W43" s="210">
        <v>1029.67</v>
      </c>
      <c r="X43" s="210">
        <v>1207.3399999999999</v>
      </c>
    </row>
    <row r="44" spans="1:24" s="187" customFormat="1" ht="15" x14ac:dyDescent="0.25">
      <c r="B44" s="177">
        <v>4</v>
      </c>
      <c r="C44" s="174">
        <v>47.92</v>
      </c>
      <c r="D44" s="174">
        <v>45.88</v>
      </c>
      <c r="E44" s="174">
        <v>43.85</v>
      </c>
      <c r="F44" s="174">
        <v>52.89</v>
      </c>
      <c r="G44" s="174">
        <v>61.93</v>
      </c>
      <c r="H44" s="174">
        <v>70.97</v>
      </c>
      <c r="I44" s="174">
        <v>80.67</v>
      </c>
      <c r="J44" s="174">
        <v>90.36</v>
      </c>
      <c r="K44" s="174">
        <v>100.06</v>
      </c>
      <c r="L44" s="174">
        <v>130.69999999999999</v>
      </c>
      <c r="M44" s="158"/>
      <c r="N44" s="209">
        <v>4</v>
      </c>
      <c r="O44" s="210">
        <v>161.34</v>
      </c>
      <c r="P44" s="210">
        <v>200.75</v>
      </c>
      <c r="Q44" s="210">
        <v>240.16</v>
      </c>
      <c r="R44" s="210">
        <v>279.58</v>
      </c>
      <c r="S44" s="210">
        <v>318.99</v>
      </c>
      <c r="T44" s="210">
        <v>496.66</v>
      </c>
      <c r="U44" s="210">
        <v>674.33</v>
      </c>
      <c r="V44" s="210">
        <v>852</v>
      </c>
      <c r="W44" s="210">
        <v>1029.67</v>
      </c>
      <c r="X44" s="210">
        <v>1207.3399999999999</v>
      </c>
    </row>
    <row r="45" spans="1:24" s="187" customFormat="1" ht="15" x14ac:dyDescent="0.25">
      <c r="B45" s="177">
        <v>5</v>
      </c>
      <c r="C45" s="174">
        <v>44.74</v>
      </c>
      <c r="D45" s="174">
        <v>45.36</v>
      </c>
      <c r="E45" s="174">
        <v>45.97</v>
      </c>
      <c r="F45" s="174">
        <v>56.09</v>
      </c>
      <c r="G45" s="174">
        <v>66.209999999999994</v>
      </c>
      <c r="H45" s="174">
        <v>76.33</v>
      </c>
      <c r="I45" s="174">
        <v>87.04</v>
      </c>
      <c r="J45" s="174">
        <v>97.75</v>
      </c>
      <c r="K45" s="174">
        <v>108.46</v>
      </c>
      <c r="L45" s="174">
        <v>134.9</v>
      </c>
      <c r="M45" s="158"/>
      <c r="N45" s="209">
        <v>5</v>
      </c>
      <c r="O45" s="210">
        <v>161.34</v>
      </c>
      <c r="P45" s="210">
        <v>200.75</v>
      </c>
      <c r="Q45" s="210">
        <v>240.16</v>
      </c>
      <c r="R45" s="210">
        <v>279.58</v>
      </c>
      <c r="S45" s="210">
        <v>318.99</v>
      </c>
      <c r="T45" s="210">
        <v>496.66</v>
      </c>
      <c r="U45" s="210">
        <v>674.33</v>
      </c>
      <c r="V45" s="210">
        <v>852</v>
      </c>
      <c r="W45" s="210">
        <v>1029.67</v>
      </c>
      <c r="X45" s="210">
        <v>1207.3399999999999</v>
      </c>
    </row>
    <row r="46" spans="1:24" s="187" customFormat="1" ht="15" x14ac:dyDescent="0.25">
      <c r="B46" s="177">
        <v>6</v>
      </c>
      <c r="C46" s="174">
        <v>41.57</v>
      </c>
      <c r="D46" s="174">
        <v>44.83</v>
      </c>
      <c r="E46" s="174">
        <v>48.09</v>
      </c>
      <c r="F46" s="174">
        <v>59.29</v>
      </c>
      <c r="G46" s="174">
        <v>70.48</v>
      </c>
      <c r="H46" s="174">
        <v>81.680000000000007</v>
      </c>
      <c r="I46" s="174">
        <v>93.41</v>
      </c>
      <c r="J46" s="174">
        <v>105.14</v>
      </c>
      <c r="K46" s="174">
        <v>116.87</v>
      </c>
      <c r="L46" s="174">
        <v>139.1</v>
      </c>
      <c r="M46" s="158"/>
      <c r="N46" s="209">
        <v>6</v>
      </c>
      <c r="O46" s="210">
        <v>161.34</v>
      </c>
      <c r="P46" s="210">
        <v>200.75</v>
      </c>
      <c r="Q46" s="210">
        <v>240.16</v>
      </c>
      <c r="R46" s="210">
        <v>279.58</v>
      </c>
      <c r="S46" s="210">
        <v>318.99</v>
      </c>
      <c r="T46" s="210">
        <v>496.66</v>
      </c>
      <c r="U46" s="210">
        <v>674.33</v>
      </c>
      <c r="V46" s="210">
        <v>852</v>
      </c>
      <c r="W46" s="210">
        <v>1029.67</v>
      </c>
      <c r="X46" s="210">
        <v>1207.3399999999999</v>
      </c>
    </row>
    <row r="47" spans="1:24" s="187" customFormat="1" ht="15" x14ac:dyDescent="0.25">
      <c r="B47" s="177">
        <v>7</v>
      </c>
      <c r="C47" s="174">
        <v>49.26</v>
      </c>
      <c r="D47" s="174">
        <v>51.02</v>
      </c>
      <c r="E47" s="174">
        <v>52.79</v>
      </c>
      <c r="F47" s="174">
        <v>64.45</v>
      </c>
      <c r="G47" s="174">
        <v>76.11</v>
      </c>
      <c r="H47" s="174">
        <v>87.77</v>
      </c>
      <c r="I47" s="174">
        <v>99.48</v>
      </c>
      <c r="J47" s="174">
        <v>111.19</v>
      </c>
      <c r="K47" s="174">
        <v>122.89</v>
      </c>
      <c r="L47" s="174">
        <v>142.12</v>
      </c>
      <c r="M47" s="158"/>
      <c r="N47" s="209">
        <v>7</v>
      </c>
      <c r="O47" s="210">
        <v>161.34</v>
      </c>
      <c r="P47" s="210">
        <v>200.75</v>
      </c>
      <c r="Q47" s="210">
        <v>240.16</v>
      </c>
      <c r="R47" s="210">
        <v>279.58</v>
      </c>
      <c r="S47" s="210">
        <v>318.99</v>
      </c>
      <c r="T47" s="210">
        <v>496.66</v>
      </c>
      <c r="U47" s="210">
        <v>674.33</v>
      </c>
      <c r="V47" s="210">
        <v>852</v>
      </c>
      <c r="W47" s="210">
        <v>1029.67</v>
      </c>
      <c r="X47" s="210">
        <v>1207.3399999999999</v>
      </c>
    </row>
    <row r="48" spans="1:24" s="187" customFormat="1" ht="15" x14ac:dyDescent="0.25">
      <c r="B48" s="177">
        <v>8</v>
      </c>
      <c r="C48" s="174">
        <v>56.95</v>
      </c>
      <c r="D48" s="174">
        <v>57.22</v>
      </c>
      <c r="E48" s="174">
        <v>57.48</v>
      </c>
      <c r="F48" s="174">
        <v>69.61</v>
      </c>
      <c r="G48" s="174">
        <v>81.73</v>
      </c>
      <c r="H48" s="174">
        <v>93.86</v>
      </c>
      <c r="I48" s="174">
        <v>105.55</v>
      </c>
      <c r="J48" s="174">
        <v>117.23</v>
      </c>
      <c r="K48" s="174">
        <v>128.91999999999999</v>
      </c>
      <c r="L48" s="174">
        <v>145.13</v>
      </c>
      <c r="M48" s="158"/>
      <c r="N48" s="209">
        <v>8</v>
      </c>
      <c r="O48" s="210">
        <v>161.34</v>
      </c>
      <c r="P48" s="210">
        <v>200.75</v>
      </c>
      <c r="Q48" s="210">
        <v>240.16</v>
      </c>
      <c r="R48" s="210">
        <v>279.58</v>
      </c>
      <c r="S48" s="210">
        <v>318.99</v>
      </c>
      <c r="T48" s="210">
        <v>496.66</v>
      </c>
      <c r="U48" s="210">
        <v>674.33</v>
      </c>
      <c r="V48" s="210">
        <v>852</v>
      </c>
      <c r="W48" s="210">
        <v>1029.67</v>
      </c>
      <c r="X48" s="210">
        <v>1207.3399999999999</v>
      </c>
    </row>
    <row r="49" spans="2:24" s="187" customFormat="1" ht="15" x14ac:dyDescent="0.25">
      <c r="B49" s="177">
        <v>9</v>
      </c>
      <c r="C49" s="174">
        <v>64.64</v>
      </c>
      <c r="D49" s="174">
        <v>63.41</v>
      </c>
      <c r="E49" s="174">
        <v>62.18</v>
      </c>
      <c r="F49" s="174">
        <v>74.77</v>
      </c>
      <c r="G49" s="174">
        <v>87.36</v>
      </c>
      <c r="H49" s="174">
        <v>99.95</v>
      </c>
      <c r="I49" s="174">
        <v>111.61</v>
      </c>
      <c r="J49" s="174">
        <v>123.28</v>
      </c>
      <c r="K49" s="174">
        <v>134.94</v>
      </c>
      <c r="L49" s="174">
        <v>148.13999999999999</v>
      </c>
      <c r="M49" s="158"/>
      <c r="N49" s="209">
        <v>9</v>
      </c>
      <c r="O49" s="210">
        <v>161.34</v>
      </c>
      <c r="P49" s="210">
        <v>200.75</v>
      </c>
      <c r="Q49" s="210">
        <v>240.16</v>
      </c>
      <c r="R49" s="210">
        <v>279.58</v>
      </c>
      <c r="S49" s="210">
        <v>318.99</v>
      </c>
      <c r="T49" s="210">
        <v>496.66</v>
      </c>
      <c r="U49" s="210">
        <v>674.33</v>
      </c>
      <c r="V49" s="210">
        <v>852</v>
      </c>
      <c r="W49" s="210">
        <v>1029.67</v>
      </c>
      <c r="X49" s="210">
        <v>1207.3399999999999</v>
      </c>
    </row>
    <row r="50" spans="2:24" s="187" customFormat="1" ht="15" x14ac:dyDescent="0.25">
      <c r="B50" s="177">
        <v>10</v>
      </c>
      <c r="C50" s="174">
        <v>63.03</v>
      </c>
      <c r="D50" s="174">
        <v>62.85</v>
      </c>
      <c r="E50" s="174">
        <v>62.67</v>
      </c>
      <c r="F50" s="174">
        <v>74.94</v>
      </c>
      <c r="G50" s="174">
        <v>87.2</v>
      </c>
      <c r="H50" s="174">
        <v>99.47</v>
      </c>
      <c r="I50" s="174">
        <v>111.4</v>
      </c>
      <c r="J50" s="174">
        <v>123.32</v>
      </c>
      <c r="K50" s="174">
        <v>135.24</v>
      </c>
      <c r="L50" s="174">
        <v>148.29</v>
      </c>
      <c r="M50" s="158"/>
      <c r="N50" s="209">
        <v>10</v>
      </c>
      <c r="O50" s="210">
        <v>161.34</v>
      </c>
      <c r="P50" s="210">
        <v>200.75</v>
      </c>
      <c r="Q50" s="210">
        <v>240.16</v>
      </c>
      <c r="R50" s="210">
        <v>279.58</v>
      </c>
      <c r="S50" s="210">
        <v>318.99</v>
      </c>
      <c r="T50" s="210">
        <v>496.66</v>
      </c>
      <c r="U50" s="210">
        <v>674.33</v>
      </c>
      <c r="V50" s="210">
        <v>852</v>
      </c>
      <c r="W50" s="210">
        <v>1029.67</v>
      </c>
      <c r="X50" s="210">
        <v>1207.3399999999999</v>
      </c>
    </row>
    <row r="51" spans="2:24" s="187" customFormat="1" ht="15" x14ac:dyDescent="0.25">
      <c r="B51" s="177">
        <v>11</v>
      </c>
      <c r="C51" s="174">
        <v>61.42</v>
      </c>
      <c r="D51" s="174">
        <v>62.29</v>
      </c>
      <c r="E51" s="174">
        <v>63.16</v>
      </c>
      <c r="F51" s="174">
        <v>75.099999999999994</v>
      </c>
      <c r="G51" s="174">
        <v>87.05</v>
      </c>
      <c r="H51" s="174">
        <v>99</v>
      </c>
      <c r="I51" s="174">
        <v>111.18</v>
      </c>
      <c r="J51" s="174">
        <v>123.36</v>
      </c>
      <c r="K51" s="174">
        <v>135.54</v>
      </c>
      <c r="L51" s="174">
        <v>148.44</v>
      </c>
      <c r="M51" s="158"/>
      <c r="N51" s="209">
        <v>11</v>
      </c>
      <c r="O51" s="210">
        <v>161.34</v>
      </c>
      <c r="P51" s="210">
        <v>200.75</v>
      </c>
      <c r="Q51" s="210">
        <v>240.16</v>
      </c>
      <c r="R51" s="210">
        <v>279.58</v>
      </c>
      <c r="S51" s="210">
        <v>318.99</v>
      </c>
      <c r="T51" s="210">
        <v>496.66</v>
      </c>
      <c r="U51" s="210">
        <v>674.33</v>
      </c>
      <c r="V51" s="210">
        <v>852</v>
      </c>
      <c r="W51" s="210">
        <v>1029.67</v>
      </c>
      <c r="X51" s="210">
        <v>1207.3399999999999</v>
      </c>
    </row>
    <row r="52" spans="2:24" s="187" customFormat="1" ht="15" x14ac:dyDescent="0.25">
      <c r="B52" s="177">
        <v>12</v>
      </c>
      <c r="C52" s="174">
        <v>59.81</v>
      </c>
      <c r="D52" s="174">
        <v>61.72</v>
      </c>
      <c r="E52" s="174">
        <v>63.64</v>
      </c>
      <c r="F52" s="174">
        <v>75.27</v>
      </c>
      <c r="G52" s="174">
        <v>86.89</v>
      </c>
      <c r="H52" s="174">
        <v>98.52</v>
      </c>
      <c r="I52" s="174">
        <v>110.96</v>
      </c>
      <c r="J52" s="174">
        <v>123.4</v>
      </c>
      <c r="K52" s="174">
        <v>135.84</v>
      </c>
      <c r="L52" s="174">
        <v>148.59</v>
      </c>
      <c r="M52" s="158"/>
      <c r="N52" s="209">
        <v>12</v>
      </c>
      <c r="O52" s="210">
        <v>161.34</v>
      </c>
      <c r="P52" s="210">
        <v>200.75</v>
      </c>
      <c r="Q52" s="210">
        <v>240.16</v>
      </c>
      <c r="R52" s="210">
        <v>279.58</v>
      </c>
      <c r="S52" s="210">
        <v>318.99</v>
      </c>
      <c r="T52" s="210">
        <v>496.66</v>
      </c>
      <c r="U52" s="210">
        <v>674.33</v>
      </c>
      <c r="V52" s="210">
        <v>852</v>
      </c>
      <c r="W52" s="210">
        <v>1029.67</v>
      </c>
      <c r="X52" s="210">
        <v>1207.3399999999999</v>
      </c>
    </row>
    <row r="53" spans="2:24" s="187" customFormat="1" ht="15" x14ac:dyDescent="0.25">
      <c r="B53" s="177">
        <v>13</v>
      </c>
      <c r="C53" s="174">
        <v>58.2</v>
      </c>
      <c r="D53" s="174">
        <v>61.16</v>
      </c>
      <c r="E53" s="174">
        <v>64.13</v>
      </c>
      <c r="F53" s="174">
        <v>75.430000000000007</v>
      </c>
      <c r="G53" s="174">
        <v>86.74</v>
      </c>
      <c r="H53" s="174">
        <v>98.04</v>
      </c>
      <c r="I53" s="174">
        <v>110.74</v>
      </c>
      <c r="J53" s="174">
        <v>123.44</v>
      </c>
      <c r="K53" s="174">
        <v>136.13999999999999</v>
      </c>
      <c r="L53" s="174">
        <v>148.74</v>
      </c>
      <c r="M53" s="158"/>
      <c r="N53" s="209">
        <v>13</v>
      </c>
      <c r="O53" s="210">
        <v>161.34</v>
      </c>
      <c r="P53" s="210">
        <v>200.75</v>
      </c>
      <c r="Q53" s="210">
        <v>240.16</v>
      </c>
      <c r="R53" s="210">
        <v>279.58</v>
      </c>
      <c r="S53" s="210">
        <v>318.99</v>
      </c>
      <c r="T53" s="210">
        <v>496.66</v>
      </c>
      <c r="U53" s="210">
        <v>674.33</v>
      </c>
      <c r="V53" s="210">
        <v>852</v>
      </c>
      <c r="W53" s="210">
        <v>1029.67</v>
      </c>
      <c r="X53" s="210">
        <v>1207.3399999999999</v>
      </c>
    </row>
    <row r="54" spans="2:24" s="187" customFormat="1" ht="15" x14ac:dyDescent="0.25">
      <c r="B54" s="177">
        <v>14</v>
      </c>
      <c r="C54" s="174">
        <v>56.58</v>
      </c>
      <c r="D54" s="174">
        <v>60.6</v>
      </c>
      <c r="E54" s="174">
        <v>64.62</v>
      </c>
      <c r="F54" s="174">
        <v>75.599999999999994</v>
      </c>
      <c r="G54" s="174">
        <v>86.58</v>
      </c>
      <c r="H54" s="174">
        <v>97.57</v>
      </c>
      <c r="I54" s="174">
        <v>110.52</v>
      </c>
      <c r="J54" s="174">
        <v>123.48</v>
      </c>
      <c r="K54" s="174">
        <v>136.44</v>
      </c>
      <c r="L54" s="174">
        <v>148.88999999999999</v>
      </c>
      <c r="M54" s="158"/>
      <c r="N54" s="209">
        <v>14</v>
      </c>
      <c r="O54" s="210">
        <v>161.34</v>
      </c>
      <c r="P54" s="210">
        <v>200.75</v>
      </c>
      <c r="Q54" s="210">
        <v>240.16</v>
      </c>
      <c r="R54" s="210">
        <v>279.58</v>
      </c>
      <c r="S54" s="210">
        <v>318.99</v>
      </c>
      <c r="T54" s="210">
        <v>496.66</v>
      </c>
      <c r="U54" s="210">
        <v>674.33</v>
      </c>
      <c r="V54" s="210">
        <v>852</v>
      </c>
      <c r="W54" s="210">
        <v>1029.67</v>
      </c>
      <c r="X54" s="210">
        <v>1207.3399999999999</v>
      </c>
    </row>
    <row r="55" spans="2:24" s="187" customFormat="1" ht="15" x14ac:dyDescent="0.25">
      <c r="B55" s="177">
        <v>15</v>
      </c>
      <c r="C55" s="174">
        <v>54.97</v>
      </c>
      <c r="D55" s="174">
        <v>60.04</v>
      </c>
      <c r="E55" s="174">
        <v>65.11</v>
      </c>
      <c r="F55" s="174">
        <v>75.77</v>
      </c>
      <c r="G55" s="174">
        <v>86.43</v>
      </c>
      <c r="H55" s="174">
        <v>97.09</v>
      </c>
      <c r="I55" s="174">
        <v>110.31</v>
      </c>
      <c r="J55" s="174">
        <v>123.52</v>
      </c>
      <c r="K55" s="174">
        <v>136.74</v>
      </c>
      <c r="L55" s="174">
        <v>149.04</v>
      </c>
      <c r="M55" s="158"/>
      <c r="N55" s="209">
        <v>15</v>
      </c>
      <c r="O55" s="210">
        <v>161.34</v>
      </c>
      <c r="P55" s="210">
        <v>200.75</v>
      </c>
      <c r="Q55" s="210">
        <v>240.16</v>
      </c>
      <c r="R55" s="210">
        <v>279.58</v>
      </c>
      <c r="S55" s="210">
        <v>318.99</v>
      </c>
      <c r="T55" s="210">
        <v>496.66</v>
      </c>
      <c r="U55" s="210">
        <v>674.33</v>
      </c>
      <c r="V55" s="210">
        <v>852</v>
      </c>
      <c r="W55" s="210">
        <v>1029.67</v>
      </c>
      <c r="X55" s="210">
        <v>1207.3399999999999</v>
      </c>
    </row>
    <row r="56" spans="2:24" s="187" customFormat="1" ht="15" x14ac:dyDescent="0.25">
      <c r="B56" s="177">
        <v>16</v>
      </c>
      <c r="C56" s="174">
        <v>53.36</v>
      </c>
      <c r="D56" s="174">
        <v>59.48</v>
      </c>
      <c r="E56" s="174">
        <v>65.59</v>
      </c>
      <c r="F56" s="174">
        <v>75.930000000000007</v>
      </c>
      <c r="G56" s="174">
        <v>86.27</v>
      </c>
      <c r="H56" s="174">
        <v>96.61</v>
      </c>
      <c r="I56" s="174">
        <v>110.09</v>
      </c>
      <c r="J56" s="174">
        <v>123.57</v>
      </c>
      <c r="K56" s="174">
        <v>137.04</v>
      </c>
      <c r="L56" s="174">
        <v>149.19</v>
      </c>
      <c r="M56" s="158"/>
      <c r="N56" s="209">
        <v>16</v>
      </c>
      <c r="O56" s="210">
        <v>161.34</v>
      </c>
      <c r="P56" s="210">
        <v>200.75</v>
      </c>
      <c r="Q56" s="210">
        <v>240.16</v>
      </c>
      <c r="R56" s="210">
        <v>279.58</v>
      </c>
      <c r="S56" s="210">
        <v>318.99</v>
      </c>
      <c r="T56" s="210">
        <v>496.66</v>
      </c>
      <c r="U56" s="210">
        <v>674.33</v>
      </c>
      <c r="V56" s="210">
        <v>852</v>
      </c>
      <c r="W56" s="210">
        <v>1029.67</v>
      </c>
      <c r="X56" s="210">
        <v>1207.3399999999999</v>
      </c>
    </row>
    <row r="57" spans="2:24" s="187" customFormat="1" ht="15" x14ac:dyDescent="0.25">
      <c r="B57" s="177">
        <v>17</v>
      </c>
      <c r="C57" s="174">
        <v>51.75</v>
      </c>
      <c r="D57" s="174">
        <v>58.92</v>
      </c>
      <c r="E57" s="174">
        <v>66.08</v>
      </c>
      <c r="F57" s="174">
        <v>76.099999999999994</v>
      </c>
      <c r="G57" s="174">
        <v>86.12</v>
      </c>
      <c r="H57" s="174">
        <v>96.14</v>
      </c>
      <c r="I57" s="174">
        <v>109.87</v>
      </c>
      <c r="J57" s="174">
        <v>123.61</v>
      </c>
      <c r="K57" s="174">
        <v>137.34</v>
      </c>
      <c r="L57" s="174">
        <v>149.34</v>
      </c>
      <c r="M57" s="158"/>
      <c r="N57" s="209">
        <v>17</v>
      </c>
      <c r="O57" s="210">
        <v>161.34</v>
      </c>
      <c r="P57" s="210">
        <v>200.75</v>
      </c>
      <c r="Q57" s="210">
        <v>240.16</v>
      </c>
      <c r="R57" s="210">
        <v>279.58</v>
      </c>
      <c r="S57" s="210">
        <v>318.99</v>
      </c>
      <c r="T57" s="210">
        <v>496.66</v>
      </c>
      <c r="U57" s="210">
        <v>674.33</v>
      </c>
      <c r="V57" s="210">
        <v>852</v>
      </c>
      <c r="W57" s="210">
        <v>1029.67</v>
      </c>
      <c r="X57" s="210">
        <v>1207.3399999999999</v>
      </c>
    </row>
    <row r="58" spans="2:24" s="187" customFormat="1" ht="15" x14ac:dyDescent="0.25">
      <c r="B58" s="177">
        <v>18</v>
      </c>
      <c r="C58" s="174">
        <v>50.14</v>
      </c>
      <c r="D58" s="174">
        <v>58.36</v>
      </c>
      <c r="E58" s="174">
        <v>66.569999999999993</v>
      </c>
      <c r="F58" s="174">
        <v>76.27</v>
      </c>
      <c r="G58" s="174">
        <v>85.96</v>
      </c>
      <c r="H58" s="174">
        <v>95.66</v>
      </c>
      <c r="I58" s="174">
        <v>109.65</v>
      </c>
      <c r="J58" s="174">
        <v>123.65</v>
      </c>
      <c r="K58" s="174">
        <v>137.63999999999999</v>
      </c>
      <c r="L58" s="174">
        <v>149.49</v>
      </c>
      <c r="M58" s="158"/>
      <c r="N58" s="209">
        <v>18</v>
      </c>
      <c r="O58" s="210">
        <v>161.34</v>
      </c>
      <c r="P58" s="210">
        <v>200.75</v>
      </c>
      <c r="Q58" s="210">
        <v>240.16</v>
      </c>
      <c r="R58" s="210">
        <v>279.58</v>
      </c>
      <c r="S58" s="210">
        <v>318.99</v>
      </c>
      <c r="T58" s="210">
        <v>496.66</v>
      </c>
      <c r="U58" s="210">
        <v>674.33</v>
      </c>
      <c r="V58" s="210">
        <v>852</v>
      </c>
      <c r="W58" s="210">
        <v>1029.67</v>
      </c>
      <c r="X58" s="210">
        <v>1207.3399999999999</v>
      </c>
    </row>
    <row r="59" spans="2:24" s="187" customFormat="1" ht="15" x14ac:dyDescent="0.25">
      <c r="B59" s="177">
        <v>19</v>
      </c>
      <c r="C59" s="174">
        <v>48.53</v>
      </c>
      <c r="D59" s="174">
        <v>57.79</v>
      </c>
      <c r="E59" s="174">
        <v>67.06</v>
      </c>
      <c r="F59" s="174">
        <v>76.430000000000007</v>
      </c>
      <c r="G59" s="174">
        <v>85.81</v>
      </c>
      <c r="H59" s="174">
        <v>95.18</v>
      </c>
      <c r="I59" s="174">
        <v>109.44</v>
      </c>
      <c r="J59" s="174">
        <v>123.69</v>
      </c>
      <c r="K59" s="174">
        <v>137.94</v>
      </c>
      <c r="L59" s="174">
        <v>149.63999999999999</v>
      </c>
      <c r="M59" s="158"/>
      <c r="N59" s="209">
        <v>19</v>
      </c>
      <c r="O59" s="210">
        <v>161.34</v>
      </c>
      <c r="P59" s="210">
        <v>200.75</v>
      </c>
      <c r="Q59" s="210">
        <v>240.16</v>
      </c>
      <c r="R59" s="210">
        <v>279.58</v>
      </c>
      <c r="S59" s="210">
        <v>318.99</v>
      </c>
      <c r="T59" s="210">
        <v>496.66</v>
      </c>
      <c r="U59" s="210">
        <v>674.33</v>
      </c>
      <c r="V59" s="210">
        <v>852</v>
      </c>
      <c r="W59" s="210">
        <v>1029.67</v>
      </c>
      <c r="X59" s="210">
        <v>1207.3399999999999</v>
      </c>
    </row>
    <row r="60" spans="2:24" s="187" customFormat="1" ht="15" x14ac:dyDescent="0.25">
      <c r="B60" s="177">
        <v>20</v>
      </c>
      <c r="C60" s="174">
        <v>46.92</v>
      </c>
      <c r="D60" s="174">
        <v>57.23</v>
      </c>
      <c r="E60" s="174">
        <v>67.540000000000006</v>
      </c>
      <c r="F60" s="174">
        <v>76.599999999999994</v>
      </c>
      <c r="G60" s="174">
        <v>85.65</v>
      </c>
      <c r="H60" s="174">
        <v>94.71</v>
      </c>
      <c r="I60" s="174">
        <v>109.22</v>
      </c>
      <c r="J60" s="174">
        <v>123.73</v>
      </c>
      <c r="K60" s="174">
        <v>138.24</v>
      </c>
      <c r="L60" s="174">
        <v>149.79</v>
      </c>
      <c r="M60" s="158"/>
      <c r="N60" s="209">
        <v>20</v>
      </c>
      <c r="O60" s="210">
        <v>161.34</v>
      </c>
      <c r="P60" s="210">
        <v>200.75</v>
      </c>
      <c r="Q60" s="210">
        <v>240.16</v>
      </c>
      <c r="R60" s="210">
        <v>279.58</v>
      </c>
      <c r="S60" s="210">
        <v>318.99</v>
      </c>
      <c r="T60" s="210">
        <v>496.66</v>
      </c>
      <c r="U60" s="210">
        <v>674.33</v>
      </c>
      <c r="V60" s="210">
        <v>852</v>
      </c>
      <c r="W60" s="210">
        <v>1029.67</v>
      </c>
      <c r="X60" s="210">
        <v>1207.3399999999999</v>
      </c>
    </row>
    <row r="61" spans="2:24" s="187" customFormat="1" ht="15" x14ac:dyDescent="0.25">
      <c r="B61" s="177">
        <v>21</v>
      </c>
      <c r="C61" s="174">
        <v>45.31</v>
      </c>
      <c r="D61" s="174">
        <v>56.67</v>
      </c>
      <c r="E61" s="174">
        <v>68.03</v>
      </c>
      <c r="F61" s="174">
        <v>76.760000000000005</v>
      </c>
      <c r="G61" s="174">
        <v>85.5</v>
      </c>
      <c r="H61" s="174">
        <v>94.23</v>
      </c>
      <c r="I61" s="174">
        <v>109</v>
      </c>
      <c r="J61" s="174">
        <v>123.77</v>
      </c>
      <c r="K61" s="174">
        <v>138.54</v>
      </c>
      <c r="L61" s="174">
        <v>149.94</v>
      </c>
      <c r="M61" s="158"/>
      <c r="N61" s="209">
        <v>21</v>
      </c>
      <c r="O61" s="210">
        <v>161.34</v>
      </c>
      <c r="P61" s="210">
        <v>200.75</v>
      </c>
      <c r="Q61" s="210">
        <v>240.16</v>
      </c>
      <c r="R61" s="210">
        <v>279.58</v>
      </c>
      <c r="S61" s="210">
        <v>318.99</v>
      </c>
      <c r="T61" s="210">
        <v>496.66</v>
      </c>
      <c r="U61" s="210">
        <v>674.33</v>
      </c>
      <c r="V61" s="210">
        <v>852</v>
      </c>
      <c r="W61" s="210">
        <v>1029.67</v>
      </c>
      <c r="X61" s="210">
        <v>1207.3399999999999</v>
      </c>
    </row>
    <row r="62" spans="2:24" s="187" customFormat="1" ht="15" x14ac:dyDescent="0.25">
      <c r="B62" s="177">
        <v>22</v>
      </c>
      <c r="C62" s="174">
        <v>43.7</v>
      </c>
      <c r="D62" s="174">
        <v>56.11</v>
      </c>
      <c r="E62" s="174">
        <v>68.52</v>
      </c>
      <c r="F62" s="174">
        <v>76.930000000000007</v>
      </c>
      <c r="G62" s="174">
        <v>85.34</v>
      </c>
      <c r="H62" s="174">
        <v>93.75</v>
      </c>
      <c r="I62" s="174">
        <v>108.78</v>
      </c>
      <c r="J62" s="174">
        <v>123.81</v>
      </c>
      <c r="K62" s="174">
        <v>138.84</v>
      </c>
      <c r="L62" s="174">
        <v>150.09</v>
      </c>
      <c r="M62" s="158"/>
      <c r="N62" s="209">
        <v>22</v>
      </c>
      <c r="O62" s="210">
        <v>161.34</v>
      </c>
      <c r="P62" s="210">
        <v>200.75</v>
      </c>
      <c r="Q62" s="210">
        <v>240.16</v>
      </c>
      <c r="R62" s="210">
        <v>279.58</v>
      </c>
      <c r="S62" s="210">
        <v>318.99</v>
      </c>
      <c r="T62" s="210">
        <v>496.66</v>
      </c>
      <c r="U62" s="210">
        <v>674.33</v>
      </c>
      <c r="V62" s="210">
        <v>852</v>
      </c>
      <c r="W62" s="210">
        <v>1029.67</v>
      </c>
      <c r="X62" s="210">
        <v>1207.3399999999999</v>
      </c>
    </row>
    <row r="63" spans="2:24" s="187" customFormat="1" ht="15" x14ac:dyDescent="0.25">
      <c r="B63" s="177">
        <v>23</v>
      </c>
      <c r="C63" s="174">
        <v>42.09</v>
      </c>
      <c r="D63" s="174">
        <v>55.55</v>
      </c>
      <c r="E63" s="174">
        <v>69</v>
      </c>
      <c r="F63" s="174">
        <v>77.099999999999994</v>
      </c>
      <c r="G63" s="174">
        <v>85.19</v>
      </c>
      <c r="H63" s="174">
        <v>93.28</v>
      </c>
      <c r="I63" s="174">
        <v>108.56</v>
      </c>
      <c r="J63" s="174">
        <v>123.85</v>
      </c>
      <c r="K63" s="174">
        <v>139.13999999999999</v>
      </c>
      <c r="L63" s="174">
        <v>150.24</v>
      </c>
      <c r="M63" s="158"/>
      <c r="N63" s="209">
        <v>23</v>
      </c>
      <c r="O63" s="210">
        <v>161.34</v>
      </c>
      <c r="P63" s="210">
        <v>200.75</v>
      </c>
      <c r="Q63" s="210">
        <v>240.16</v>
      </c>
      <c r="R63" s="210">
        <v>279.58</v>
      </c>
      <c r="S63" s="210">
        <v>318.99</v>
      </c>
      <c r="T63" s="210">
        <v>496.66</v>
      </c>
      <c r="U63" s="210">
        <v>674.33</v>
      </c>
      <c r="V63" s="210">
        <v>852</v>
      </c>
      <c r="W63" s="210">
        <v>1029.67</v>
      </c>
      <c r="X63" s="210">
        <v>1207.3399999999999</v>
      </c>
    </row>
    <row r="64" spans="2:24" s="187" customFormat="1" ht="15" x14ac:dyDescent="0.25">
      <c r="B64" s="177">
        <v>24</v>
      </c>
      <c r="C64" s="174">
        <v>40.479999999999997</v>
      </c>
      <c r="D64" s="174">
        <v>54.99</v>
      </c>
      <c r="E64" s="174">
        <v>69.489999999999995</v>
      </c>
      <c r="F64" s="174">
        <v>77.260000000000005</v>
      </c>
      <c r="G64" s="174">
        <v>85.03</v>
      </c>
      <c r="H64" s="174">
        <v>92.8</v>
      </c>
      <c r="I64" s="174">
        <v>108.35</v>
      </c>
      <c r="J64" s="174">
        <v>123.89</v>
      </c>
      <c r="K64" s="174">
        <v>139.44</v>
      </c>
      <c r="L64" s="174">
        <v>150.38999999999999</v>
      </c>
      <c r="M64" s="158"/>
      <c r="N64" s="209">
        <v>24</v>
      </c>
      <c r="O64" s="210">
        <v>161.34</v>
      </c>
      <c r="P64" s="210">
        <v>200.75</v>
      </c>
      <c r="Q64" s="210">
        <v>240.16</v>
      </c>
      <c r="R64" s="210">
        <v>279.58</v>
      </c>
      <c r="S64" s="210">
        <v>318.99</v>
      </c>
      <c r="T64" s="210">
        <v>496.66</v>
      </c>
      <c r="U64" s="210">
        <v>674.33</v>
      </c>
      <c r="V64" s="210">
        <v>852</v>
      </c>
      <c r="W64" s="210">
        <v>1029.67</v>
      </c>
      <c r="X64" s="210">
        <v>1207.3399999999999</v>
      </c>
    </row>
    <row r="65" spans="1:24" s="187" customFormat="1" ht="15" x14ac:dyDescent="0.25">
      <c r="B65" s="177">
        <v>25</v>
      </c>
      <c r="C65" s="174">
        <v>38.869999999999997</v>
      </c>
      <c r="D65" s="174">
        <v>54.43</v>
      </c>
      <c r="E65" s="174">
        <v>69.98</v>
      </c>
      <c r="F65" s="174">
        <v>77.430000000000007</v>
      </c>
      <c r="G65" s="174">
        <v>84.88</v>
      </c>
      <c r="H65" s="174">
        <v>92.32</v>
      </c>
      <c r="I65" s="174">
        <v>108.13</v>
      </c>
      <c r="J65" s="174">
        <v>123.94</v>
      </c>
      <c r="K65" s="174">
        <v>139.74</v>
      </c>
      <c r="L65" s="174">
        <v>150.54</v>
      </c>
      <c r="M65" s="158"/>
      <c r="N65" s="209">
        <v>25</v>
      </c>
      <c r="O65" s="210">
        <v>161.34</v>
      </c>
      <c r="P65" s="210">
        <v>200.75</v>
      </c>
      <c r="Q65" s="210">
        <v>240.16</v>
      </c>
      <c r="R65" s="210">
        <v>279.58</v>
      </c>
      <c r="S65" s="210">
        <v>318.99</v>
      </c>
      <c r="T65" s="210">
        <v>496.66</v>
      </c>
      <c r="U65" s="210">
        <v>674.33</v>
      </c>
      <c r="V65" s="210">
        <v>852</v>
      </c>
      <c r="W65" s="210">
        <v>1029.67</v>
      </c>
      <c r="X65" s="210">
        <v>1207.3399999999999</v>
      </c>
    </row>
    <row r="66" spans="1:24" s="187" customFormat="1" ht="15" x14ac:dyDescent="0.25">
      <c r="B66" s="177">
        <v>26</v>
      </c>
      <c r="C66" s="174">
        <v>37.26</v>
      </c>
      <c r="D66" s="174">
        <v>53.86</v>
      </c>
      <c r="E66" s="174">
        <v>70.47</v>
      </c>
      <c r="F66" s="174">
        <v>77.59</v>
      </c>
      <c r="G66" s="174">
        <v>84.72</v>
      </c>
      <c r="H66" s="174">
        <v>91.85</v>
      </c>
      <c r="I66" s="174">
        <v>107.91</v>
      </c>
      <c r="J66" s="174">
        <v>123.98</v>
      </c>
      <c r="K66" s="174">
        <v>140.04</v>
      </c>
      <c r="L66" s="174">
        <v>150.69</v>
      </c>
      <c r="M66" s="158"/>
      <c r="N66" s="209">
        <v>26</v>
      </c>
      <c r="O66" s="210">
        <v>161.34</v>
      </c>
      <c r="P66" s="210">
        <v>200.75</v>
      </c>
      <c r="Q66" s="210">
        <v>240.16</v>
      </c>
      <c r="R66" s="210">
        <v>279.58</v>
      </c>
      <c r="S66" s="210">
        <v>318.99</v>
      </c>
      <c r="T66" s="210">
        <v>496.66</v>
      </c>
      <c r="U66" s="210">
        <v>674.33</v>
      </c>
      <c r="V66" s="210">
        <v>852</v>
      </c>
      <c r="W66" s="210">
        <v>1029.67</v>
      </c>
      <c r="X66" s="210">
        <v>1207.3399999999999</v>
      </c>
    </row>
    <row r="67" spans="1:24" s="187" customFormat="1" ht="15" x14ac:dyDescent="0.25">
      <c r="B67" s="177">
        <v>27</v>
      </c>
      <c r="C67" s="174">
        <v>35.65</v>
      </c>
      <c r="D67" s="174">
        <v>53.3</v>
      </c>
      <c r="E67" s="174">
        <v>70.95</v>
      </c>
      <c r="F67" s="174">
        <v>77.760000000000005</v>
      </c>
      <c r="G67" s="174">
        <v>84.56</v>
      </c>
      <c r="H67" s="174">
        <v>91.37</v>
      </c>
      <c r="I67" s="174">
        <v>107.69</v>
      </c>
      <c r="J67" s="174">
        <v>124.02</v>
      </c>
      <c r="K67" s="174">
        <v>140.34</v>
      </c>
      <c r="L67" s="174">
        <v>150.84</v>
      </c>
      <c r="M67" s="158"/>
      <c r="N67" s="209">
        <v>27</v>
      </c>
      <c r="O67" s="210">
        <v>161.34</v>
      </c>
      <c r="P67" s="210">
        <v>200.75</v>
      </c>
      <c r="Q67" s="210">
        <v>240.16</v>
      </c>
      <c r="R67" s="210">
        <v>279.58</v>
      </c>
      <c r="S67" s="210">
        <v>318.99</v>
      </c>
      <c r="T67" s="210">
        <v>496.66</v>
      </c>
      <c r="U67" s="210">
        <v>674.33</v>
      </c>
      <c r="V67" s="210">
        <v>852</v>
      </c>
      <c r="W67" s="210">
        <v>1029.67</v>
      </c>
      <c r="X67" s="210">
        <v>1207.3399999999999</v>
      </c>
    </row>
    <row r="68" spans="1:24" s="187" customFormat="1" ht="15" x14ac:dyDescent="0.25">
      <c r="B68" s="177">
        <v>28</v>
      </c>
      <c r="C68" s="174">
        <v>34.04</v>
      </c>
      <c r="D68" s="174">
        <v>52.74</v>
      </c>
      <c r="E68" s="174">
        <v>71.44</v>
      </c>
      <c r="F68" s="174">
        <v>77.930000000000007</v>
      </c>
      <c r="G68" s="174">
        <v>84.41</v>
      </c>
      <c r="H68" s="174">
        <v>90.89</v>
      </c>
      <c r="I68" s="174">
        <v>107.48</v>
      </c>
      <c r="J68" s="174">
        <v>124.06</v>
      </c>
      <c r="K68" s="174">
        <v>140.63999999999999</v>
      </c>
      <c r="L68" s="174">
        <v>150.99</v>
      </c>
      <c r="M68" s="158"/>
      <c r="N68" s="209">
        <v>28</v>
      </c>
      <c r="O68" s="210">
        <v>161.34</v>
      </c>
      <c r="P68" s="210">
        <v>200.75</v>
      </c>
      <c r="Q68" s="210">
        <v>240.16</v>
      </c>
      <c r="R68" s="210">
        <v>279.58</v>
      </c>
      <c r="S68" s="210">
        <v>318.99</v>
      </c>
      <c r="T68" s="210">
        <v>496.66</v>
      </c>
      <c r="U68" s="210">
        <v>674.33</v>
      </c>
      <c r="V68" s="210">
        <v>852</v>
      </c>
      <c r="W68" s="210">
        <v>1029.67</v>
      </c>
      <c r="X68" s="210">
        <v>1207.3399999999999</v>
      </c>
    </row>
    <row r="69" spans="1:24" s="187" customFormat="1" ht="15" x14ac:dyDescent="0.25">
      <c r="B69" s="177">
        <v>29</v>
      </c>
      <c r="C69" s="174">
        <v>32.43</v>
      </c>
      <c r="D69" s="174">
        <v>52.18</v>
      </c>
      <c r="E69" s="174">
        <v>71.930000000000007</v>
      </c>
      <c r="F69" s="174">
        <v>78.09</v>
      </c>
      <c r="G69" s="174">
        <v>84.25</v>
      </c>
      <c r="H69" s="174">
        <v>90.42</v>
      </c>
      <c r="I69" s="174">
        <v>107.26</v>
      </c>
      <c r="J69" s="174">
        <v>124.1</v>
      </c>
      <c r="K69" s="174">
        <v>140.94</v>
      </c>
      <c r="L69" s="174">
        <v>151.13999999999999</v>
      </c>
      <c r="M69" s="158"/>
      <c r="N69" s="209">
        <v>29</v>
      </c>
      <c r="O69" s="210">
        <v>161.34</v>
      </c>
      <c r="P69" s="210">
        <v>200.75</v>
      </c>
      <c r="Q69" s="210">
        <v>240.16</v>
      </c>
      <c r="R69" s="210">
        <v>279.58</v>
      </c>
      <c r="S69" s="210">
        <v>318.99</v>
      </c>
      <c r="T69" s="210">
        <v>496.66</v>
      </c>
      <c r="U69" s="210">
        <v>674.33</v>
      </c>
      <c r="V69" s="210">
        <v>852</v>
      </c>
      <c r="W69" s="210">
        <v>1029.67</v>
      </c>
      <c r="X69" s="210">
        <v>1207.3399999999999</v>
      </c>
    </row>
    <row r="70" spans="1:24" s="187" customFormat="1" ht="15" x14ac:dyDescent="0.25">
      <c r="B70" s="177">
        <v>30</v>
      </c>
      <c r="C70" s="174">
        <v>30.82</v>
      </c>
      <c r="D70" s="174">
        <v>51.62</v>
      </c>
      <c r="E70" s="174">
        <v>72.42</v>
      </c>
      <c r="F70" s="174">
        <v>78.260000000000005</v>
      </c>
      <c r="G70" s="174">
        <v>84.1</v>
      </c>
      <c r="H70" s="174">
        <v>89.94</v>
      </c>
      <c r="I70" s="174">
        <v>107.04</v>
      </c>
      <c r="J70" s="174">
        <v>124.14</v>
      </c>
      <c r="K70" s="174">
        <v>141.24</v>
      </c>
      <c r="L70" s="174">
        <v>151.29</v>
      </c>
      <c r="M70" s="158"/>
      <c r="N70" s="209">
        <v>30</v>
      </c>
      <c r="O70" s="210">
        <v>161.34</v>
      </c>
      <c r="P70" s="210">
        <v>200.75</v>
      </c>
      <c r="Q70" s="210">
        <v>240.16</v>
      </c>
      <c r="R70" s="210">
        <v>279.58</v>
      </c>
      <c r="S70" s="210">
        <v>318.99</v>
      </c>
      <c r="T70" s="210">
        <v>496.66</v>
      </c>
      <c r="U70" s="210">
        <v>674.33</v>
      </c>
      <c r="V70" s="210">
        <v>852</v>
      </c>
      <c r="W70" s="210">
        <v>1029.67</v>
      </c>
      <c r="X70" s="210">
        <v>1207.3399999999999</v>
      </c>
    </row>
    <row r="71" spans="1:24" s="187" customFormat="1" ht="15" x14ac:dyDescent="0.25">
      <c r="B71" s="174" t="s">
        <v>249</v>
      </c>
      <c r="C71" s="174">
        <v>45.17</v>
      </c>
      <c r="D71" s="174">
        <v>53.06</v>
      </c>
      <c r="E71" s="174">
        <v>60.95</v>
      </c>
      <c r="F71" s="174">
        <v>70.349999999999994</v>
      </c>
      <c r="G71" s="174">
        <v>79.760000000000005</v>
      </c>
      <c r="H71" s="174">
        <v>89.16</v>
      </c>
      <c r="I71" s="174">
        <v>102.51</v>
      </c>
      <c r="J71" s="174">
        <v>115.85</v>
      </c>
      <c r="K71" s="174">
        <v>129.19999999999999</v>
      </c>
      <c r="L71" s="174">
        <v>145.27000000000001</v>
      </c>
      <c r="M71" s="158"/>
      <c r="N71" s="206" t="s">
        <v>249</v>
      </c>
      <c r="O71" s="210">
        <v>161.34000000000006</v>
      </c>
      <c r="P71" s="210">
        <v>200.75</v>
      </c>
      <c r="Q71" s="210">
        <v>240.15999999999991</v>
      </c>
      <c r="R71" s="210">
        <v>279.58</v>
      </c>
      <c r="S71" s="210">
        <v>318.98999999999984</v>
      </c>
      <c r="T71" s="210">
        <v>496.65999999999991</v>
      </c>
      <c r="U71" s="210">
        <v>674.33000000000027</v>
      </c>
      <c r="V71" s="210">
        <v>852</v>
      </c>
      <c r="W71" s="210">
        <v>1029.6699999999992</v>
      </c>
      <c r="X71" s="210">
        <v>1207.3399999999997</v>
      </c>
    </row>
    <row r="72" spans="1:24" s="187" customFormat="1" x14ac:dyDescent="0.2"/>
    <row r="73" spans="1:24" s="187" customFormat="1" x14ac:dyDescent="0.2">
      <c r="A73" s="181" t="s">
        <v>253</v>
      </c>
      <c r="C73" s="187" t="str">
        <f t="shared" ref="C73" si="0">RIGHT(C40,LEN(C40)-FIND("/",C40))</f>
        <v>AAA</v>
      </c>
      <c r="D73" s="187" t="str">
        <f>RIGHT(D40,LEN(D40)-FIND("/",D40))</f>
        <v>AA+</v>
      </c>
      <c r="E73" s="187" t="str">
        <f t="shared" ref="E73:L73" si="1">RIGHT(E40,LEN(E40)-FIND("/",E40))</f>
        <v>AA</v>
      </c>
      <c r="F73" s="187" t="str">
        <f t="shared" si="1"/>
        <v>AA-</v>
      </c>
      <c r="G73" s="187" t="str">
        <f t="shared" si="1"/>
        <v>A+</v>
      </c>
      <c r="H73" s="187" t="str">
        <f t="shared" si="1"/>
        <v>A</v>
      </c>
      <c r="I73" s="187" t="str">
        <f t="shared" si="1"/>
        <v>A-</v>
      </c>
      <c r="J73" s="187" t="str">
        <f t="shared" si="1"/>
        <v>BBB+</v>
      </c>
      <c r="K73" s="187" t="str">
        <f t="shared" si="1"/>
        <v>BBB</v>
      </c>
      <c r="L73" s="187" t="str">
        <f t="shared" si="1"/>
        <v>BBB-</v>
      </c>
      <c r="O73" s="187" t="str">
        <f t="shared" ref="O73:X73" si="2">RIGHT(O40,LEN(O40)-FIND("/",O40))</f>
        <v>BB+</v>
      </c>
      <c r="P73" s="187" t="str">
        <f t="shared" si="2"/>
        <v>BB</v>
      </c>
      <c r="Q73" s="187" t="str">
        <f t="shared" si="2"/>
        <v>BB-</v>
      </c>
      <c r="R73" s="187" t="str">
        <f t="shared" si="2"/>
        <v>B+</v>
      </c>
      <c r="S73" s="187" t="str">
        <f t="shared" si="2"/>
        <v>B</v>
      </c>
      <c r="T73" s="187" t="str">
        <f t="shared" si="2"/>
        <v>B-</v>
      </c>
      <c r="U73" s="187" t="str">
        <f t="shared" si="2"/>
        <v>CCC+</v>
      </c>
      <c r="V73" s="187" t="str">
        <f t="shared" si="2"/>
        <v>CCC</v>
      </c>
      <c r="W73" s="187" t="str">
        <f t="shared" si="2"/>
        <v>CCC-</v>
      </c>
      <c r="X73" s="187" t="str">
        <f t="shared" si="2"/>
        <v>CC</v>
      </c>
    </row>
    <row r="74" spans="1:24" s="187" customFormat="1" x14ac:dyDescent="0.2"/>
    <row r="75" spans="1:24" s="187" customFormat="1" x14ac:dyDescent="0.2"/>
    <row r="76" spans="1:24" s="178" customFormat="1" ht="29.25" customHeight="1" x14ac:dyDescent="0.2">
      <c r="A76" s="178" t="s">
        <v>258</v>
      </c>
    </row>
    <row r="77" spans="1:24" s="187" customFormat="1" x14ac:dyDescent="0.2"/>
    <row r="78" spans="1:24" s="187" customFormat="1" ht="15" customHeight="1" x14ac:dyDescent="0.25">
      <c r="B78" s="212" t="s">
        <v>264</v>
      </c>
      <c r="C78" s="213"/>
      <c r="D78" s="213"/>
      <c r="E78" s="213"/>
      <c r="F78" s="213"/>
      <c r="G78" s="213"/>
      <c r="H78" s="213"/>
      <c r="I78" s="213"/>
      <c r="J78" s="213"/>
      <c r="K78" s="213"/>
      <c r="L78" s="213"/>
      <c r="M78" s="158"/>
      <c r="N78" s="211" t="s">
        <v>265</v>
      </c>
      <c r="O78" s="213"/>
      <c r="P78" s="213"/>
      <c r="Q78" s="213"/>
      <c r="R78" s="213"/>
      <c r="S78" s="213"/>
      <c r="T78" s="213"/>
      <c r="U78" s="213"/>
      <c r="V78" s="213"/>
      <c r="W78" s="213"/>
      <c r="X78" s="213"/>
    </row>
    <row r="79" spans="1:24" s="187" customFormat="1" ht="15" customHeight="1" x14ac:dyDescent="0.25">
      <c r="B79" s="214" t="s">
        <v>224</v>
      </c>
      <c r="C79" s="246" t="s">
        <v>225</v>
      </c>
      <c r="D79" s="247"/>
      <c r="E79" s="247"/>
      <c r="F79" s="247"/>
      <c r="G79" s="247"/>
      <c r="H79" s="247"/>
      <c r="I79" s="247"/>
      <c r="J79" s="247"/>
      <c r="K79" s="247"/>
      <c r="L79" s="248"/>
      <c r="M79" s="158"/>
      <c r="N79" s="206" t="s">
        <v>224</v>
      </c>
      <c r="O79" s="246" t="s">
        <v>226</v>
      </c>
      <c r="P79" s="247"/>
      <c r="Q79" s="247"/>
      <c r="R79" s="247"/>
      <c r="S79" s="247"/>
      <c r="T79" s="247"/>
      <c r="U79" s="247"/>
      <c r="V79" s="247"/>
      <c r="W79" s="247"/>
      <c r="X79" s="248"/>
    </row>
    <row r="80" spans="1:24" s="187" customFormat="1" ht="15" customHeight="1" x14ac:dyDescent="0.25">
      <c r="B80" s="215" t="s">
        <v>227</v>
      </c>
      <c r="C80" s="206">
        <v>1</v>
      </c>
      <c r="D80" s="206">
        <v>2</v>
      </c>
      <c r="E80" s="206">
        <v>3</v>
      </c>
      <c r="F80" s="206">
        <v>4</v>
      </c>
      <c r="G80" s="206">
        <v>5</v>
      </c>
      <c r="H80" s="206">
        <v>6</v>
      </c>
      <c r="I80" s="206">
        <v>7</v>
      </c>
      <c r="J80" s="206">
        <v>8</v>
      </c>
      <c r="K80" s="206">
        <v>9</v>
      </c>
      <c r="L80" s="206">
        <v>10</v>
      </c>
      <c r="M80" s="158"/>
      <c r="N80" s="206" t="s">
        <v>227</v>
      </c>
      <c r="O80" s="206">
        <v>11</v>
      </c>
      <c r="P80" s="206">
        <v>12</v>
      </c>
      <c r="Q80" s="206">
        <v>13</v>
      </c>
      <c r="R80" s="206">
        <v>14</v>
      </c>
      <c r="S80" s="206">
        <v>15</v>
      </c>
      <c r="T80" s="206">
        <v>16</v>
      </c>
      <c r="U80" s="206">
        <v>17</v>
      </c>
      <c r="V80" s="206">
        <v>18</v>
      </c>
      <c r="W80" s="206">
        <v>19</v>
      </c>
      <c r="X80" s="206">
        <v>20</v>
      </c>
    </row>
    <row r="81" spans="2:24" s="187" customFormat="1" ht="15" customHeight="1" x14ac:dyDescent="0.25">
      <c r="B81" s="216" t="s">
        <v>228</v>
      </c>
      <c r="C81" s="206" t="s">
        <v>229</v>
      </c>
      <c r="D81" s="206" t="s">
        <v>230</v>
      </c>
      <c r="E81" s="206" t="s">
        <v>231</v>
      </c>
      <c r="F81" s="206" t="s">
        <v>232</v>
      </c>
      <c r="G81" s="206" t="s">
        <v>233</v>
      </c>
      <c r="H81" s="206" t="s">
        <v>234</v>
      </c>
      <c r="I81" s="206" t="s">
        <v>235</v>
      </c>
      <c r="J81" s="206" t="s">
        <v>236</v>
      </c>
      <c r="K81" s="206" t="s">
        <v>237</v>
      </c>
      <c r="L81" s="206" t="s">
        <v>238</v>
      </c>
      <c r="M81" s="158"/>
      <c r="N81" s="206" t="s">
        <v>228</v>
      </c>
      <c r="O81" s="206" t="s">
        <v>239</v>
      </c>
      <c r="P81" s="206" t="s">
        <v>240</v>
      </c>
      <c r="Q81" s="206" t="s">
        <v>241</v>
      </c>
      <c r="R81" s="206" t="s">
        <v>242</v>
      </c>
      <c r="S81" s="206" t="s">
        <v>243</v>
      </c>
      <c r="T81" s="206" t="s">
        <v>244</v>
      </c>
      <c r="U81" s="206" t="s">
        <v>245</v>
      </c>
      <c r="V81" s="206" t="s">
        <v>246</v>
      </c>
      <c r="W81" s="206" t="s">
        <v>247</v>
      </c>
      <c r="X81" s="206" t="s">
        <v>248</v>
      </c>
    </row>
    <row r="82" spans="2:24" s="187" customFormat="1" ht="15" customHeight="1" x14ac:dyDescent="0.25">
      <c r="B82" s="209">
        <v>1</v>
      </c>
      <c r="C82" s="217">
        <v>27.54</v>
      </c>
      <c r="D82" s="217">
        <v>35.76</v>
      </c>
      <c r="E82" s="217">
        <v>43.98</v>
      </c>
      <c r="F82" s="217">
        <v>51.9</v>
      </c>
      <c r="G82" s="217">
        <v>59.82</v>
      </c>
      <c r="H82" s="217">
        <v>67.75</v>
      </c>
      <c r="I82" s="217">
        <v>84.24</v>
      </c>
      <c r="J82" s="217">
        <v>100.74</v>
      </c>
      <c r="K82" s="217">
        <v>117.23</v>
      </c>
      <c r="L82" s="218">
        <v>199.5</v>
      </c>
      <c r="M82" s="158"/>
      <c r="N82" s="209">
        <v>1</v>
      </c>
      <c r="O82" s="218">
        <v>281.76</v>
      </c>
      <c r="P82" s="218">
        <v>339.18</v>
      </c>
      <c r="Q82" s="218">
        <v>396.6</v>
      </c>
      <c r="R82" s="218">
        <v>454.03</v>
      </c>
      <c r="S82" s="218">
        <v>511.45</v>
      </c>
      <c r="T82" s="218">
        <v>672.54</v>
      </c>
      <c r="U82" s="218">
        <v>833.64</v>
      </c>
      <c r="V82" s="218">
        <v>994.73</v>
      </c>
      <c r="W82" s="218">
        <v>1155.82</v>
      </c>
      <c r="X82" s="218">
        <v>1316.92</v>
      </c>
    </row>
    <row r="83" spans="2:24" s="187" customFormat="1" ht="15" customHeight="1" x14ac:dyDescent="0.25">
      <c r="B83" s="209">
        <v>2</v>
      </c>
      <c r="C83" s="217">
        <v>32.71</v>
      </c>
      <c r="D83" s="217">
        <v>42.48</v>
      </c>
      <c r="E83" s="217">
        <v>52.26</v>
      </c>
      <c r="F83" s="217">
        <v>60.92</v>
      </c>
      <c r="G83" s="217">
        <v>69.58</v>
      </c>
      <c r="H83" s="217">
        <v>78.25</v>
      </c>
      <c r="I83" s="217">
        <v>95.53</v>
      </c>
      <c r="J83" s="217">
        <v>112.81</v>
      </c>
      <c r="K83" s="217">
        <v>130.09</v>
      </c>
      <c r="L83" s="218">
        <v>205.93</v>
      </c>
      <c r="M83" s="158"/>
      <c r="N83" s="209">
        <v>2</v>
      </c>
      <c r="O83" s="218">
        <v>281.76</v>
      </c>
      <c r="P83" s="218">
        <v>339.18</v>
      </c>
      <c r="Q83" s="218">
        <v>396.6</v>
      </c>
      <c r="R83" s="218">
        <v>454.03</v>
      </c>
      <c r="S83" s="218">
        <v>511.45</v>
      </c>
      <c r="T83" s="218">
        <v>672.54</v>
      </c>
      <c r="U83" s="218">
        <v>833.64</v>
      </c>
      <c r="V83" s="218">
        <v>994.73</v>
      </c>
      <c r="W83" s="218">
        <v>1155.82</v>
      </c>
      <c r="X83" s="218">
        <v>1316.92</v>
      </c>
    </row>
    <row r="84" spans="2:24" s="187" customFormat="1" ht="15" customHeight="1" x14ac:dyDescent="0.25">
      <c r="B84" s="209">
        <v>3</v>
      </c>
      <c r="C84" s="217">
        <v>37.880000000000003</v>
      </c>
      <c r="D84" s="217">
        <v>49.2</v>
      </c>
      <c r="E84" s="217">
        <v>60.53</v>
      </c>
      <c r="F84" s="217">
        <v>69.94</v>
      </c>
      <c r="G84" s="217">
        <v>79.34</v>
      </c>
      <c r="H84" s="217">
        <v>88.74</v>
      </c>
      <c r="I84" s="217">
        <v>106.81</v>
      </c>
      <c r="J84" s="217">
        <v>124.88</v>
      </c>
      <c r="K84" s="217">
        <v>142.94999999999999</v>
      </c>
      <c r="L84" s="218">
        <v>212.36</v>
      </c>
      <c r="M84" s="158"/>
      <c r="N84" s="209">
        <v>3</v>
      </c>
      <c r="O84" s="218">
        <v>281.76</v>
      </c>
      <c r="P84" s="218">
        <v>339.18</v>
      </c>
      <c r="Q84" s="218">
        <v>396.6</v>
      </c>
      <c r="R84" s="218">
        <v>454.03</v>
      </c>
      <c r="S84" s="218">
        <v>511.45</v>
      </c>
      <c r="T84" s="218">
        <v>672.54</v>
      </c>
      <c r="U84" s="218">
        <v>833.64</v>
      </c>
      <c r="V84" s="218">
        <v>994.73</v>
      </c>
      <c r="W84" s="218">
        <v>1155.82</v>
      </c>
      <c r="X84" s="218">
        <v>1316.92</v>
      </c>
    </row>
    <row r="85" spans="2:24" s="187" customFormat="1" ht="15" customHeight="1" x14ac:dyDescent="0.25">
      <c r="B85" s="209">
        <v>4</v>
      </c>
      <c r="C85" s="217">
        <v>43.04</v>
      </c>
      <c r="D85" s="217">
        <v>55.92</v>
      </c>
      <c r="E85" s="217">
        <v>68.81</v>
      </c>
      <c r="F85" s="217">
        <v>78.95</v>
      </c>
      <c r="G85" s="217">
        <v>89.1</v>
      </c>
      <c r="H85" s="217">
        <v>99.24</v>
      </c>
      <c r="I85" s="217">
        <v>118.1</v>
      </c>
      <c r="J85" s="217">
        <v>136.96</v>
      </c>
      <c r="K85" s="217">
        <v>155.82</v>
      </c>
      <c r="L85" s="218">
        <v>218.79</v>
      </c>
      <c r="M85" s="158"/>
      <c r="N85" s="209">
        <v>4</v>
      </c>
      <c r="O85" s="218">
        <v>281.76</v>
      </c>
      <c r="P85" s="218">
        <v>339.18</v>
      </c>
      <c r="Q85" s="218">
        <v>396.6</v>
      </c>
      <c r="R85" s="218">
        <v>454.03</v>
      </c>
      <c r="S85" s="218">
        <v>511.45</v>
      </c>
      <c r="T85" s="218">
        <v>672.54</v>
      </c>
      <c r="U85" s="218">
        <v>833.64</v>
      </c>
      <c r="V85" s="218">
        <v>994.73</v>
      </c>
      <c r="W85" s="218">
        <v>1155.82</v>
      </c>
      <c r="X85" s="218">
        <v>1316.92</v>
      </c>
    </row>
    <row r="86" spans="2:24" s="187" customFormat="1" ht="15" customHeight="1" x14ac:dyDescent="0.25">
      <c r="B86" s="209">
        <v>5</v>
      </c>
      <c r="C86" s="217">
        <v>50.56</v>
      </c>
      <c r="D86" s="217">
        <v>62.93</v>
      </c>
      <c r="E86" s="217">
        <v>75.31</v>
      </c>
      <c r="F86" s="217">
        <v>86.29</v>
      </c>
      <c r="G86" s="217">
        <v>97.28</v>
      </c>
      <c r="H86" s="217">
        <v>108.27</v>
      </c>
      <c r="I86" s="217">
        <v>128.1</v>
      </c>
      <c r="J86" s="217">
        <v>147.94</v>
      </c>
      <c r="K86" s="217">
        <v>167.77</v>
      </c>
      <c r="L86" s="218">
        <v>224.77</v>
      </c>
      <c r="M86" s="158"/>
      <c r="N86" s="209">
        <v>5</v>
      </c>
      <c r="O86" s="218">
        <v>281.76</v>
      </c>
      <c r="P86" s="218">
        <v>339.18</v>
      </c>
      <c r="Q86" s="218">
        <v>396.6</v>
      </c>
      <c r="R86" s="218">
        <v>454.03</v>
      </c>
      <c r="S86" s="218">
        <v>511.45</v>
      </c>
      <c r="T86" s="218">
        <v>672.54</v>
      </c>
      <c r="U86" s="218">
        <v>833.64</v>
      </c>
      <c r="V86" s="218">
        <v>994.73</v>
      </c>
      <c r="W86" s="218">
        <v>1155.82</v>
      </c>
      <c r="X86" s="218">
        <v>1316.92</v>
      </c>
    </row>
    <row r="87" spans="2:24" s="187" customFormat="1" ht="15" customHeight="1" x14ac:dyDescent="0.25">
      <c r="B87" s="209">
        <v>6</v>
      </c>
      <c r="C87" s="217">
        <v>58.07</v>
      </c>
      <c r="D87" s="217">
        <v>69.94</v>
      </c>
      <c r="E87" s="217">
        <v>81.81</v>
      </c>
      <c r="F87" s="217">
        <v>93.64</v>
      </c>
      <c r="G87" s="217">
        <v>105.46</v>
      </c>
      <c r="H87" s="217">
        <v>117.29</v>
      </c>
      <c r="I87" s="217">
        <v>138.1</v>
      </c>
      <c r="J87" s="217">
        <v>158.91999999999999</v>
      </c>
      <c r="K87" s="217">
        <v>179.73</v>
      </c>
      <c r="L87" s="218">
        <v>230.75</v>
      </c>
      <c r="M87" s="158"/>
      <c r="N87" s="209">
        <v>6</v>
      </c>
      <c r="O87" s="218">
        <v>281.76</v>
      </c>
      <c r="P87" s="218">
        <v>339.18</v>
      </c>
      <c r="Q87" s="218">
        <v>396.6</v>
      </c>
      <c r="R87" s="218">
        <v>454.03</v>
      </c>
      <c r="S87" s="218">
        <v>511.45</v>
      </c>
      <c r="T87" s="218">
        <v>672.54</v>
      </c>
      <c r="U87" s="218">
        <v>833.64</v>
      </c>
      <c r="V87" s="218">
        <v>994.73</v>
      </c>
      <c r="W87" s="218">
        <v>1155.82</v>
      </c>
      <c r="X87" s="218">
        <v>1316.92</v>
      </c>
    </row>
    <row r="88" spans="2:24" s="187" customFormat="1" ht="15" customHeight="1" x14ac:dyDescent="0.25">
      <c r="B88" s="209">
        <v>7</v>
      </c>
      <c r="C88" s="217">
        <v>61.71</v>
      </c>
      <c r="D88" s="217">
        <v>74.2</v>
      </c>
      <c r="E88" s="217">
        <v>86.7</v>
      </c>
      <c r="F88" s="217">
        <v>98.18</v>
      </c>
      <c r="G88" s="217">
        <v>109.66</v>
      </c>
      <c r="H88" s="217">
        <v>121.14</v>
      </c>
      <c r="I88" s="217">
        <v>142.05000000000001</v>
      </c>
      <c r="J88" s="217">
        <v>162.94999999999999</v>
      </c>
      <c r="K88" s="217">
        <v>183.86</v>
      </c>
      <c r="L88" s="218">
        <v>232.81</v>
      </c>
      <c r="M88" s="158"/>
      <c r="N88" s="209">
        <v>7</v>
      </c>
      <c r="O88" s="218">
        <v>281.76</v>
      </c>
      <c r="P88" s="218">
        <v>339.18</v>
      </c>
      <c r="Q88" s="218">
        <v>396.6</v>
      </c>
      <c r="R88" s="218">
        <v>454.03</v>
      </c>
      <c r="S88" s="218">
        <v>511.45</v>
      </c>
      <c r="T88" s="218">
        <v>672.54</v>
      </c>
      <c r="U88" s="218">
        <v>833.64</v>
      </c>
      <c r="V88" s="218">
        <v>994.73</v>
      </c>
      <c r="W88" s="218">
        <v>1155.82</v>
      </c>
      <c r="X88" s="218">
        <v>1316.92</v>
      </c>
    </row>
    <row r="89" spans="2:24" s="187" customFormat="1" ht="15" customHeight="1" x14ac:dyDescent="0.25">
      <c r="B89" s="209">
        <v>8</v>
      </c>
      <c r="C89" s="217">
        <v>65.34</v>
      </c>
      <c r="D89" s="217">
        <v>78.459999999999994</v>
      </c>
      <c r="E89" s="217">
        <v>91.58</v>
      </c>
      <c r="F89" s="217">
        <v>102.72</v>
      </c>
      <c r="G89" s="217">
        <v>113.86</v>
      </c>
      <c r="H89" s="217">
        <v>125</v>
      </c>
      <c r="I89" s="217">
        <v>145.99</v>
      </c>
      <c r="J89" s="217">
        <v>166.99</v>
      </c>
      <c r="K89" s="217">
        <v>187.99</v>
      </c>
      <c r="L89" s="218">
        <v>234.88</v>
      </c>
      <c r="M89" s="158"/>
      <c r="N89" s="209">
        <v>8</v>
      </c>
      <c r="O89" s="218">
        <v>281.76</v>
      </c>
      <c r="P89" s="218">
        <v>339.18</v>
      </c>
      <c r="Q89" s="218">
        <v>396.6</v>
      </c>
      <c r="R89" s="218">
        <v>454.03</v>
      </c>
      <c r="S89" s="218">
        <v>511.45</v>
      </c>
      <c r="T89" s="218">
        <v>672.54</v>
      </c>
      <c r="U89" s="218">
        <v>833.64</v>
      </c>
      <c r="V89" s="218">
        <v>994.73</v>
      </c>
      <c r="W89" s="218">
        <v>1155.82</v>
      </c>
      <c r="X89" s="218">
        <v>1316.92</v>
      </c>
    </row>
    <row r="90" spans="2:24" s="187" customFormat="1" ht="15" customHeight="1" x14ac:dyDescent="0.25">
      <c r="B90" s="209">
        <v>9</v>
      </c>
      <c r="C90" s="217">
        <v>68.97</v>
      </c>
      <c r="D90" s="217">
        <v>82.72</v>
      </c>
      <c r="E90" s="217">
        <v>96.47</v>
      </c>
      <c r="F90" s="217">
        <v>107.26</v>
      </c>
      <c r="G90" s="217">
        <v>118.06</v>
      </c>
      <c r="H90" s="217">
        <v>128.85</v>
      </c>
      <c r="I90" s="217">
        <v>149.94</v>
      </c>
      <c r="J90" s="217">
        <v>171.03</v>
      </c>
      <c r="K90" s="217">
        <v>192.12</v>
      </c>
      <c r="L90" s="218">
        <v>236.94</v>
      </c>
      <c r="M90" s="158"/>
      <c r="N90" s="209">
        <v>9</v>
      </c>
      <c r="O90" s="218">
        <v>281.76</v>
      </c>
      <c r="P90" s="218">
        <v>339.18</v>
      </c>
      <c r="Q90" s="218">
        <v>396.6</v>
      </c>
      <c r="R90" s="218">
        <v>454.03</v>
      </c>
      <c r="S90" s="218">
        <v>511.45</v>
      </c>
      <c r="T90" s="218">
        <v>672.54</v>
      </c>
      <c r="U90" s="218">
        <v>833.64</v>
      </c>
      <c r="V90" s="218">
        <v>994.73</v>
      </c>
      <c r="W90" s="218">
        <v>1155.82</v>
      </c>
      <c r="X90" s="218">
        <v>1316.92</v>
      </c>
    </row>
    <row r="91" spans="2:24" s="187" customFormat="1" ht="15" customHeight="1" x14ac:dyDescent="0.25">
      <c r="B91" s="209">
        <v>10</v>
      </c>
      <c r="C91" s="217">
        <v>70.489999999999995</v>
      </c>
      <c r="D91" s="217">
        <v>84.5</v>
      </c>
      <c r="E91" s="217">
        <v>98.52</v>
      </c>
      <c r="F91" s="217">
        <v>109.08</v>
      </c>
      <c r="G91" s="217">
        <v>119.65</v>
      </c>
      <c r="H91" s="217">
        <v>130.21</v>
      </c>
      <c r="I91" s="217">
        <v>151.5</v>
      </c>
      <c r="J91" s="217">
        <v>172.79</v>
      </c>
      <c r="K91" s="217">
        <v>194.08</v>
      </c>
      <c r="L91" s="218">
        <v>237.92</v>
      </c>
      <c r="M91" s="158"/>
      <c r="N91" s="209">
        <v>10</v>
      </c>
      <c r="O91" s="218">
        <v>281.76</v>
      </c>
      <c r="P91" s="218">
        <v>339.18</v>
      </c>
      <c r="Q91" s="218">
        <v>396.6</v>
      </c>
      <c r="R91" s="218">
        <v>454.03</v>
      </c>
      <c r="S91" s="218">
        <v>511.45</v>
      </c>
      <c r="T91" s="218">
        <v>672.54</v>
      </c>
      <c r="U91" s="218">
        <v>833.64</v>
      </c>
      <c r="V91" s="218">
        <v>994.73</v>
      </c>
      <c r="W91" s="218">
        <v>1155.82</v>
      </c>
      <c r="X91" s="218">
        <v>1316.92</v>
      </c>
    </row>
    <row r="92" spans="2:24" s="187" customFormat="1" ht="15" customHeight="1" x14ac:dyDescent="0.25">
      <c r="B92" s="209">
        <v>11</v>
      </c>
      <c r="C92" s="217">
        <v>72</v>
      </c>
      <c r="D92" s="217">
        <v>86.28</v>
      </c>
      <c r="E92" s="217">
        <v>100.56</v>
      </c>
      <c r="F92" s="217">
        <v>110.9</v>
      </c>
      <c r="G92" s="217">
        <v>121.24</v>
      </c>
      <c r="H92" s="217">
        <v>131.57</v>
      </c>
      <c r="I92" s="217">
        <v>153.07</v>
      </c>
      <c r="J92" s="217">
        <v>174.56</v>
      </c>
      <c r="K92" s="217">
        <v>196.05</v>
      </c>
      <c r="L92" s="218">
        <v>238.91</v>
      </c>
      <c r="M92" s="158"/>
      <c r="N92" s="209">
        <v>11</v>
      </c>
      <c r="O92" s="218">
        <v>281.76</v>
      </c>
      <c r="P92" s="218">
        <v>339.18</v>
      </c>
      <c r="Q92" s="218">
        <v>396.6</v>
      </c>
      <c r="R92" s="218">
        <v>454.03</v>
      </c>
      <c r="S92" s="218">
        <v>511.45</v>
      </c>
      <c r="T92" s="218">
        <v>672.54</v>
      </c>
      <c r="U92" s="218">
        <v>833.64</v>
      </c>
      <c r="V92" s="218">
        <v>994.73</v>
      </c>
      <c r="W92" s="218">
        <v>1155.82</v>
      </c>
      <c r="X92" s="218">
        <v>1316.92</v>
      </c>
    </row>
    <row r="93" spans="2:24" s="187" customFormat="1" ht="15" customHeight="1" x14ac:dyDescent="0.25">
      <c r="B93" s="209">
        <v>12</v>
      </c>
      <c r="C93" s="217">
        <v>73.510000000000005</v>
      </c>
      <c r="D93" s="217">
        <v>88.06</v>
      </c>
      <c r="E93" s="217">
        <v>102.6</v>
      </c>
      <c r="F93" s="217">
        <v>112.71</v>
      </c>
      <c r="G93" s="217">
        <v>122.83</v>
      </c>
      <c r="H93" s="217">
        <v>132.94</v>
      </c>
      <c r="I93" s="217">
        <v>154.63</v>
      </c>
      <c r="J93" s="217">
        <v>176.32</v>
      </c>
      <c r="K93" s="217">
        <v>198.02</v>
      </c>
      <c r="L93" s="218">
        <v>239.89</v>
      </c>
      <c r="M93" s="158"/>
      <c r="N93" s="209">
        <v>12</v>
      </c>
      <c r="O93" s="218">
        <v>281.76</v>
      </c>
      <c r="P93" s="218">
        <v>339.18</v>
      </c>
      <c r="Q93" s="218">
        <v>396.6</v>
      </c>
      <c r="R93" s="218">
        <v>454.03</v>
      </c>
      <c r="S93" s="218">
        <v>511.45</v>
      </c>
      <c r="T93" s="218">
        <v>672.54</v>
      </c>
      <c r="U93" s="218">
        <v>833.64</v>
      </c>
      <c r="V93" s="218">
        <v>994.73</v>
      </c>
      <c r="W93" s="218">
        <v>1155.82</v>
      </c>
      <c r="X93" s="218">
        <v>1316.92</v>
      </c>
    </row>
    <row r="94" spans="2:24" s="187" customFormat="1" ht="15" customHeight="1" x14ac:dyDescent="0.25">
      <c r="B94" s="209">
        <v>13</v>
      </c>
      <c r="C94" s="217">
        <v>75.03</v>
      </c>
      <c r="D94" s="217">
        <v>89.84</v>
      </c>
      <c r="E94" s="217">
        <v>104.65</v>
      </c>
      <c r="F94" s="217">
        <v>114.53</v>
      </c>
      <c r="G94" s="217">
        <v>124.41</v>
      </c>
      <c r="H94" s="217">
        <v>134.30000000000001</v>
      </c>
      <c r="I94" s="217">
        <v>156.19</v>
      </c>
      <c r="J94" s="217">
        <v>178.09</v>
      </c>
      <c r="K94" s="217">
        <v>199.98</v>
      </c>
      <c r="L94" s="218">
        <v>240.87</v>
      </c>
      <c r="M94" s="158"/>
      <c r="N94" s="209">
        <v>13</v>
      </c>
      <c r="O94" s="218">
        <v>281.76</v>
      </c>
      <c r="P94" s="218">
        <v>339.18</v>
      </c>
      <c r="Q94" s="218">
        <v>396.6</v>
      </c>
      <c r="R94" s="218">
        <v>454.03</v>
      </c>
      <c r="S94" s="218">
        <v>511.45</v>
      </c>
      <c r="T94" s="218">
        <v>672.54</v>
      </c>
      <c r="U94" s="218">
        <v>833.64</v>
      </c>
      <c r="V94" s="218">
        <v>994.73</v>
      </c>
      <c r="W94" s="218">
        <v>1155.82</v>
      </c>
      <c r="X94" s="218">
        <v>1316.92</v>
      </c>
    </row>
    <row r="95" spans="2:24" s="187" customFormat="1" ht="15" customHeight="1" x14ac:dyDescent="0.25">
      <c r="B95" s="209">
        <v>14</v>
      </c>
      <c r="C95" s="217">
        <v>76.540000000000006</v>
      </c>
      <c r="D95" s="217">
        <v>91.62</v>
      </c>
      <c r="E95" s="217">
        <v>106.69</v>
      </c>
      <c r="F95" s="217">
        <v>116.35</v>
      </c>
      <c r="G95" s="217">
        <v>126</v>
      </c>
      <c r="H95" s="217">
        <v>135.66</v>
      </c>
      <c r="I95" s="217">
        <v>157.76</v>
      </c>
      <c r="J95" s="217">
        <v>179.85</v>
      </c>
      <c r="K95" s="217">
        <v>201.95</v>
      </c>
      <c r="L95" s="218">
        <v>241.86</v>
      </c>
      <c r="M95" s="158"/>
      <c r="N95" s="209">
        <v>14</v>
      </c>
      <c r="O95" s="218">
        <v>281.76</v>
      </c>
      <c r="P95" s="218">
        <v>339.18</v>
      </c>
      <c r="Q95" s="218">
        <v>396.6</v>
      </c>
      <c r="R95" s="218">
        <v>454.03</v>
      </c>
      <c r="S95" s="218">
        <v>511.45</v>
      </c>
      <c r="T95" s="218">
        <v>672.54</v>
      </c>
      <c r="U95" s="218">
        <v>833.64</v>
      </c>
      <c r="V95" s="218">
        <v>994.73</v>
      </c>
      <c r="W95" s="218">
        <v>1155.82</v>
      </c>
      <c r="X95" s="218">
        <v>1316.92</v>
      </c>
    </row>
    <row r="96" spans="2:24" s="187" customFormat="1" ht="15" customHeight="1" x14ac:dyDescent="0.25">
      <c r="B96" s="209">
        <v>15</v>
      </c>
      <c r="C96" s="217">
        <v>78.05</v>
      </c>
      <c r="D96" s="217">
        <v>93.39</v>
      </c>
      <c r="E96" s="217">
        <v>108.74</v>
      </c>
      <c r="F96" s="217">
        <v>118.16</v>
      </c>
      <c r="G96" s="217">
        <v>127.59</v>
      </c>
      <c r="H96" s="217">
        <v>137.02000000000001</v>
      </c>
      <c r="I96" s="217">
        <v>159.32</v>
      </c>
      <c r="J96" s="217">
        <v>181.62</v>
      </c>
      <c r="K96" s="217">
        <v>203.92</v>
      </c>
      <c r="L96" s="218">
        <v>242.84</v>
      </c>
      <c r="M96" s="158"/>
      <c r="N96" s="209">
        <v>15</v>
      </c>
      <c r="O96" s="218">
        <v>281.76</v>
      </c>
      <c r="P96" s="218">
        <v>339.18</v>
      </c>
      <c r="Q96" s="218">
        <v>396.6</v>
      </c>
      <c r="R96" s="218">
        <v>454.03</v>
      </c>
      <c r="S96" s="218">
        <v>511.45</v>
      </c>
      <c r="T96" s="218">
        <v>672.54</v>
      </c>
      <c r="U96" s="218">
        <v>833.64</v>
      </c>
      <c r="V96" s="218">
        <v>994.73</v>
      </c>
      <c r="W96" s="218">
        <v>1155.82</v>
      </c>
      <c r="X96" s="218">
        <v>1316.92</v>
      </c>
    </row>
    <row r="97" spans="2:24" s="187" customFormat="1" ht="15" customHeight="1" x14ac:dyDescent="0.25">
      <c r="B97" s="209">
        <v>16</v>
      </c>
      <c r="C97" s="217">
        <v>79.569999999999993</v>
      </c>
      <c r="D97" s="217">
        <v>95.17</v>
      </c>
      <c r="E97" s="217">
        <v>110.78</v>
      </c>
      <c r="F97" s="217">
        <v>119.98</v>
      </c>
      <c r="G97" s="217">
        <v>129.18</v>
      </c>
      <c r="H97" s="217">
        <v>138.38</v>
      </c>
      <c r="I97" s="217">
        <v>160.88</v>
      </c>
      <c r="J97" s="217">
        <v>183.38</v>
      </c>
      <c r="K97" s="217">
        <v>205.88</v>
      </c>
      <c r="L97" s="218">
        <v>243.82</v>
      </c>
      <c r="M97" s="158"/>
      <c r="N97" s="209">
        <v>16</v>
      </c>
      <c r="O97" s="218">
        <v>281.76</v>
      </c>
      <c r="P97" s="218">
        <v>339.18</v>
      </c>
      <c r="Q97" s="218">
        <v>396.6</v>
      </c>
      <c r="R97" s="218">
        <v>454.03</v>
      </c>
      <c r="S97" s="218">
        <v>511.45</v>
      </c>
      <c r="T97" s="218">
        <v>672.54</v>
      </c>
      <c r="U97" s="218">
        <v>833.64</v>
      </c>
      <c r="V97" s="218">
        <v>994.73</v>
      </c>
      <c r="W97" s="218">
        <v>1155.82</v>
      </c>
      <c r="X97" s="218">
        <v>1316.92</v>
      </c>
    </row>
    <row r="98" spans="2:24" s="187" customFormat="1" ht="15" customHeight="1" x14ac:dyDescent="0.25">
      <c r="B98" s="209">
        <v>17</v>
      </c>
      <c r="C98" s="217">
        <v>81.08</v>
      </c>
      <c r="D98" s="217">
        <v>96.95</v>
      </c>
      <c r="E98" s="217">
        <v>112.82</v>
      </c>
      <c r="F98" s="217">
        <v>121.8</v>
      </c>
      <c r="G98" s="217">
        <v>130.77000000000001</v>
      </c>
      <c r="H98" s="217">
        <v>139.74</v>
      </c>
      <c r="I98" s="217">
        <v>162.44</v>
      </c>
      <c r="J98" s="217">
        <v>185.15</v>
      </c>
      <c r="K98" s="217">
        <v>207.85</v>
      </c>
      <c r="L98" s="218">
        <v>244.81</v>
      </c>
      <c r="M98" s="158"/>
      <c r="N98" s="209">
        <v>17</v>
      </c>
      <c r="O98" s="218">
        <v>281.76</v>
      </c>
      <c r="P98" s="218">
        <v>339.18</v>
      </c>
      <c r="Q98" s="218">
        <v>396.6</v>
      </c>
      <c r="R98" s="218">
        <v>454.03</v>
      </c>
      <c r="S98" s="218">
        <v>511.45</v>
      </c>
      <c r="T98" s="218">
        <v>672.54</v>
      </c>
      <c r="U98" s="218">
        <v>833.64</v>
      </c>
      <c r="V98" s="218">
        <v>994.73</v>
      </c>
      <c r="W98" s="218">
        <v>1155.82</v>
      </c>
      <c r="X98" s="218">
        <v>1316.92</v>
      </c>
    </row>
    <row r="99" spans="2:24" s="187" customFormat="1" ht="15" customHeight="1" x14ac:dyDescent="0.25">
      <c r="B99" s="209">
        <v>18</v>
      </c>
      <c r="C99" s="217">
        <v>82.59</v>
      </c>
      <c r="D99" s="217">
        <v>98.73</v>
      </c>
      <c r="E99" s="217">
        <v>114.87</v>
      </c>
      <c r="F99" s="217">
        <v>123.61</v>
      </c>
      <c r="G99" s="217">
        <v>132.36000000000001</v>
      </c>
      <c r="H99" s="217">
        <v>141.1</v>
      </c>
      <c r="I99" s="217">
        <v>164.01</v>
      </c>
      <c r="J99" s="217">
        <v>186.91</v>
      </c>
      <c r="K99" s="217">
        <v>209.81</v>
      </c>
      <c r="L99" s="218">
        <v>245.79</v>
      </c>
      <c r="M99" s="158"/>
      <c r="N99" s="209">
        <v>18</v>
      </c>
      <c r="O99" s="218">
        <v>281.76</v>
      </c>
      <c r="P99" s="218">
        <v>339.18</v>
      </c>
      <c r="Q99" s="218">
        <v>396.6</v>
      </c>
      <c r="R99" s="218">
        <v>454.03</v>
      </c>
      <c r="S99" s="218">
        <v>511.45</v>
      </c>
      <c r="T99" s="218">
        <v>672.54</v>
      </c>
      <c r="U99" s="218">
        <v>833.64</v>
      </c>
      <c r="V99" s="218">
        <v>994.73</v>
      </c>
      <c r="W99" s="218">
        <v>1155.82</v>
      </c>
      <c r="X99" s="218">
        <v>1316.92</v>
      </c>
    </row>
    <row r="100" spans="2:24" s="187" customFormat="1" ht="15" customHeight="1" x14ac:dyDescent="0.25">
      <c r="B100" s="209">
        <v>19</v>
      </c>
      <c r="C100" s="217">
        <v>84.11</v>
      </c>
      <c r="D100" s="217">
        <v>100.51</v>
      </c>
      <c r="E100" s="217">
        <v>116.91</v>
      </c>
      <c r="F100" s="217">
        <v>125.43</v>
      </c>
      <c r="G100" s="217">
        <v>133.94999999999999</v>
      </c>
      <c r="H100" s="217">
        <v>142.46</v>
      </c>
      <c r="I100" s="217">
        <v>165.57</v>
      </c>
      <c r="J100" s="217">
        <v>188.68</v>
      </c>
      <c r="K100" s="217">
        <v>211.78</v>
      </c>
      <c r="L100" s="218">
        <v>246.77</v>
      </c>
      <c r="M100" s="158"/>
      <c r="N100" s="209">
        <v>19</v>
      </c>
      <c r="O100" s="218">
        <v>281.76</v>
      </c>
      <c r="P100" s="218">
        <v>339.18</v>
      </c>
      <c r="Q100" s="218">
        <v>396.6</v>
      </c>
      <c r="R100" s="218">
        <v>454.03</v>
      </c>
      <c r="S100" s="218">
        <v>511.45</v>
      </c>
      <c r="T100" s="218">
        <v>672.54</v>
      </c>
      <c r="U100" s="218">
        <v>833.64</v>
      </c>
      <c r="V100" s="218">
        <v>994.73</v>
      </c>
      <c r="W100" s="218">
        <v>1155.82</v>
      </c>
      <c r="X100" s="218">
        <v>1316.92</v>
      </c>
    </row>
    <row r="101" spans="2:24" s="187" customFormat="1" ht="15" customHeight="1" x14ac:dyDescent="0.25">
      <c r="B101" s="209">
        <v>20</v>
      </c>
      <c r="C101" s="217">
        <v>85.62</v>
      </c>
      <c r="D101" s="217">
        <v>102.29</v>
      </c>
      <c r="E101" s="217">
        <v>118.96</v>
      </c>
      <c r="F101" s="217">
        <v>127.25</v>
      </c>
      <c r="G101" s="217">
        <v>135.54</v>
      </c>
      <c r="H101" s="217">
        <v>143.83000000000001</v>
      </c>
      <c r="I101" s="217">
        <v>167.13</v>
      </c>
      <c r="J101" s="217">
        <v>190.44</v>
      </c>
      <c r="K101" s="217">
        <v>213.75</v>
      </c>
      <c r="L101" s="218">
        <v>247.76</v>
      </c>
      <c r="M101" s="158"/>
      <c r="N101" s="209">
        <v>20</v>
      </c>
      <c r="O101" s="218">
        <v>281.76</v>
      </c>
      <c r="P101" s="218">
        <v>339.18</v>
      </c>
      <c r="Q101" s="218">
        <v>396.6</v>
      </c>
      <c r="R101" s="218">
        <v>454.03</v>
      </c>
      <c r="S101" s="218">
        <v>511.45</v>
      </c>
      <c r="T101" s="218">
        <v>672.54</v>
      </c>
      <c r="U101" s="218">
        <v>833.64</v>
      </c>
      <c r="V101" s="218">
        <v>994.73</v>
      </c>
      <c r="W101" s="218">
        <v>1155.82</v>
      </c>
      <c r="X101" s="218">
        <v>1316.92</v>
      </c>
    </row>
    <row r="102" spans="2:24" s="187" customFormat="1" ht="15" customHeight="1" x14ac:dyDescent="0.25">
      <c r="B102" s="209">
        <v>21</v>
      </c>
      <c r="C102" s="217">
        <v>87.13</v>
      </c>
      <c r="D102" s="217">
        <v>104.07</v>
      </c>
      <c r="E102" s="217">
        <v>121</v>
      </c>
      <c r="F102" s="217">
        <v>129.06</v>
      </c>
      <c r="G102" s="217">
        <v>137.12</v>
      </c>
      <c r="H102" s="217">
        <v>145.19</v>
      </c>
      <c r="I102" s="217">
        <v>168.7</v>
      </c>
      <c r="J102" s="217">
        <v>192.2</v>
      </c>
      <c r="K102" s="217">
        <v>215.71</v>
      </c>
      <c r="L102" s="218">
        <v>248.74</v>
      </c>
      <c r="M102" s="158"/>
      <c r="N102" s="209">
        <v>21</v>
      </c>
      <c r="O102" s="218">
        <v>281.76</v>
      </c>
      <c r="P102" s="218">
        <v>339.18</v>
      </c>
      <c r="Q102" s="218">
        <v>396.6</v>
      </c>
      <c r="R102" s="218">
        <v>454.03</v>
      </c>
      <c r="S102" s="218">
        <v>511.45</v>
      </c>
      <c r="T102" s="218">
        <v>672.54</v>
      </c>
      <c r="U102" s="218">
        <v>833.64</v>
      </c>
      <c r="V102" s="218">
        <v>994.73</v>
      </c>
      <c r="W102" s="218">
        <v>1155.82</v>
      </c>
      <c r="X102" s="218">
        <v>1316.92</v>
      </c>
    </row>
    <row r="103" spans="2:24" s="187" customFormat="1" ht="15" customHeight="1" x14ac:dyDescent="0.25">
      <c r="B103" s="209">
        <v>22</v>
      </c>
      <c r="C103" s="217">
        <v>88.65</v>
      </c>
      <c r="D103" s="217">
        <v>105.85</v>
      </c>
      <c r="E103" s="217">
        <v>123.05</v>
      </c>
      <c r="F103" s="217">
        <v>130.88</v>
      </c>
      <c r="G103" s="217">
        <v>138.71</v>
      </c>
      <c r="H103" s="217">
        <v>146.55000000000001</v>
      </c>
      <c r="I103" s="217">
        <v>170.26</v>
      </c>
      <c r="J103" s="217">
        <v>193.97</v>
      </c>
      <c r="K103" s="217">
        <v>217.68</v>
      </c>
      <c r="L103" s="218">
        <v>249.72</v>
      </c>
      <c r="M103" s="158"/>
      <c r="N103" s="209">
        <v>22</v>
      </c>
      <c r="O103" s="218">
        <v>281.76</v>
      </c>
      <c r="P103" s="218">
        <v>339.18</v>
      </c>
      <c r="Q103" s="218">
        <v>396.6</v>
      </c>
      <c r="R103" s="218">
        <v>454.03</v>
      </c>
      <c r="S103" s="218">
        <v>511.45</v>
      </c>
      <c r="T103" s="218">
        <v>672.54</v>
      </c>
      <c r="U103" s="218">
        <v>833.64</v>
      </c>
      <c r="V103" s="218">
        <v>994.73</v>
      </c>
      <c r="W103" s="218">
        <v>1155.82</v>
      </c>
      <c r="X103" s="218">
        <v>1316.92</v>
      </c>
    </row>
    <row r="104" spans="2:24" s="187" customFormat="1" ht="15" customHeight="1" x14ac:dyDescent="0.25">
      <c r="B104" s="209">
        <v>23</v>
      </c>
      <c r="C104" s="217">
        <v>90.16</v>
      </c>
      <c r="D104" s="217">
        <v>107.63</v>
      </c>
      <c r="E104" s="217">
        <v>125.09</v>
      </c>
      <c r="F104" s="217">
        <v>132.69999999999999</v>
      </c>
      <c r="G104" s="217">
        <v>140.30000000000001</v>
      </c>
      <c r="H104" s="217">
        <v>147.91</v>
      </c>
      <c r="I104" s="217">
        <v>171.82</v>
      </c>
      <c r="J104" s="217">
        <v>195.73</v>
      </c>
      <c r="K104" s="217">
        <v>219.65</v>
      </c>
      <c r="L104" s="218">
        <v>250.7</v>
      </c>
      <c r="M104" s="158"/>
      <c r="N104" s="209">
        <v>23</v>
      </c>
      <c r="O104" s="218">
        <v>281.76</v>
      </c>
      <c r="P104" s="218">
        <v>339.18</v>
      </c>
      <c r="Q104" s="218">
        <v>396.6</v>
      </c>
      <c r="R104" s="218">
        <v>454.03</v>
      </c>
      <c r="S104" s="218">
        <v>511.45</v>
      </c>
      <c r="T104" s="218">
        <v>672.54</v>
      </c>
      <c r="U104" s="218">
        <v>833.64</v>
      </c>
      <c r="V104" s="218">
        <v>994.73</v>
      </c>
      <c r="W104" s="218">
        <v>1155.82</v>
      </c>
      <c r="X104" s="218">
        <v>1316.92</v>
      </c>
    </row>
    <row r="105" spans="2:24" s="187" customFormat="1" ht="15" customHeight="1" x14ac:dyDescent="0.25">
      <c r="B105" s="209">
        <v>24</v>
      </c>
      <c r="C105" s="217">
        <v>91.67</v>
      </c>
      <c r="D105" s="217">
        <v>109.4</v>
      </c>
      <c r="E105" s="217">
        <v>127.13</v>
      </c>
      <c r="F105" s="217">
        <v>134.51</v>
      </c>
      <c r="G105" s="217">
        <v>141.88999999999999</v>
      </c>
      <c r="H105" s="217">
        <v>149.27000000000001</v>
      </c>
      <c r="I105" s="217">
        <v>173.38</v>
      </c>
      <c r="J105" s="217">
        <v>197.5</v>
      </c>
      <c r="K105" s="217">
        <v>221.61</v>
      </c>
      <c r="L105" s="218">
        <v>251.69</v>
      </c>
      <c r="M105" s="158"/>
      <c r="N105" s="209">
        <v>24</v>
      </c>
      <c r="O105" s="218">
        <v>281.76</v>
      </c>
      <c r="P105" s="218">
        <v>339.18</v>
      </c>
      <c r="Q105" s="218">
        <v>396.6</v>
      </c>
      <c r="R105" s="218">
        <v>454.03</v>
      </c>
      <c r="S105" s="218">
        <v>511.45</v>
      </c>
      <c r="T105" s="218">
        <v>672.54</v>
      </c>
      <c r="U105" s="218">
        <v>833.64</v>
      </c>
      <c r="V105" s="218">
        <v>994.73</v>
      </c>
      <c r="W105" s="218">
        <v>1155.82</v>
      </c>
      <c r="X105" s="218">
        <v>1316.92</v>
      </c>
    </row>
    <row r="106" spans="2:24" s="187" customFormat="1" ht="15" customHeight="1" x14ac:dyDescent="0.25">
      <c r="B106" s="209">
        <v>25</v>
      </c>
      <c r="C106" s="217">
        <v>93.19</v>
      </c>
      <c r="D106" s="217">
        <v>111.18</v>
      </c>
      <c r="E106" s="217">
        <v>129.18</v>
      </c>
      <c r="F106" s="217">
        <v>136.33000000000001</v>
      </c>
      <c r="G106" s="217">
        <v>143.47999999999999</v>
      </c>
      <c r="H106" s="217">
        <v>150.63</v>
      </c>
      <c r="I106" s="217">
        <v>174.95</v>
      </c>
      <c r="J106" s="217">
        <v>199.26</v>
      </c>
      <c r="K106" s="217">
        <v>223.58</v>
      </c>
      <c r="L106" s="218">
        <v>252.67</v>
      </c>
      <c r="M106" s="158"/>
      <c r="N106" s="209">
        <v>25</v>
      </c>
      <c r="O106" s="218">
        <v>281.76</v>
      </c>
      <c r="P106" s="218">
        <v>339.18</v>
      </c>
      <c r="Q106" s="218">
        <v>396.6</v>
      </c>
      <c r="R106" s="218">
        <v>454.03</v>
      </c>
      <c r="S106" s="218">
        <v>511.45</v>
      </c>
      <c r="T106" s="218">
        <v>672.54</v>
      </c>
      <c r="U106" s="218">
        <v>833.64</v>
      </c>
      <c r="V106" s="218">
        <v>994.73</v>
      </c>
      <c r="W106" s="218">
        <v>1155.82</v>
      </c>
      <c r="X106" s="218">
        <v>1316.92</v>
      </c>
    </row>
    <row r="107" spans="2:24" s="187" customFormat="1" ht="15" customHeight="1" x14ac:dyDescent="0.25">
      <c r="B107" s="209">
        <v>26</v>
      </c>
      <c r="C107" s="217">
        <v>94.7</v>
      </c>
      <c r="D107" s="217">
        <v>112.96</v>
      </c>
      <c r="E107" s="217">
        <v>131.22</v>
      </c>
      <c r="F107" s="217">
        <v>138.15</v>
      </c>
      <c r="G107" s="217">
        <v>145.07</v>
      </c>
      <c r="H107" s="217">
        <v>151.99</v>
      </c>
      <c r="I107" s="217">
        <v>176.51</v>
      </c>
      <c r="J107" s="217">
        <v>201.03</v>
      </c>
      <c r="K107" s="217">
        <v>225.55</v>
      </c>
      <c r="L107" s="218">
        <v>253.65</v>
      </c>
      <c r="M107" s="158"/>
      <c r="N107" s="209">
        <v>26</v>
      </c>
      <c r="O107" s="218">
        <v>281.76</v>
      </c>
      <c r="P107" s="218">
        <v>339.18</v>
      </c>
      <c r="Q107" s="218">
        <v>396.6</v>
      </c>
      <c r="R107" s="218">
        <v>454.03</v>
      </c>
      <c r="S107" s="218">
        <v>511.45</v>
      </c>
      <c r="T107" s="218">
        <v>672.54</v>
      </c>
      <c r="U107" s="218">
        <v>833.64</v>
      </c>
      <c r="V107" s="218">
        <v>994.73</v>
      </c>
      <c r="W107" s="218">
        <v>1155.82</v>
      </c>
      <c r="X107" s="218">
        <v>1316.92</v>
      </c>
    </row>
    <row r="108" spans="2:24" s="187" customFormat="1" ht="15" customHeight="1" x14ac:dyDescent="0.25">
      <c r="B108" s="209">
        <v>27</v>
      </c>
      <c r="C108" s="217">
        <v>96.21</v>
      </c>
      <c r="D108" s="217">
        <v>114.74</v>
      </c>
      <c r="E108" s="217">
        <v>133.27000000000001</v>
      </c>
      <c r="F108" s="217">
        <v>139.96</v>
      </c>
      <c r="G108" s="217">
        <v>146.66</v>
      </c>
      <c r="H108" s="217">
        <v>153.35</v>
      </c>
      <c r="I108" s="217">
        <v>178.07</v>
      </c>
      <c r="J108" s="217">
        <v>202.79</v>
      </c>
      <c r="K108" s="217">
        <v>227.51</v>
      </c>
      <c r="L108" s="218">
        <v>254.64</v>
      </c>
      <c r="M108" s="158"/>
      <c r="N108" s="209">
        <v>27</v>
      </c>
      <c r="O108" s="218">
        <v>281.76</v>
      </c>
      <c r="P108" s="218">
        <v>339.18</v>
      </c>
      <c r="Q108" s="218">
        <v>396.6</v>
      </c>
      <c r="R108" s="218">
        <v>454.03</v>
      </c>
      <c r="S108" s="218">
        <v>511.45</v>
      </c>
      <c r="T108" s="218">
        <v>672.54</v>
      </c>
      <c r="U108" s="218">
        <v>833.64</v>
      </c>
      <c r="V108" s="218">
        <v>994.73</v>
      </c>
      <c r="W108" s="218">
        <v>1155.82</v>
      </c>
      <c r="X108" s="218">
        <v>1316.92</v>
      </c>
    </row>
    <row r="109" spans="2:24" s="187" customFormat="1" ht="15" customHeight="1" x14ac:dyDescent="0.25">
      <c r="B109" s="209">
        <v>28</v>
      </c>
      <c r="C109" s="217">
        <v>97.73</v>
      </c>
      <c r="D109" s="217">
        <v>116.52</v>
      </c>
      <c r="E109" s="217">
        <v>135.31</v>
      </c>
      <c r="F109" s="217">
        <v>141.78</v>
      </c>
      <c r="G109" s="217">
        <v>148.25</v>
      </c>
      <c r="H109" s="217">
        <v>154.71</v>
      </c>
      <c r="I109" s="217">
        <v>179.64</v>
      </c>
      <c r="J109" s="217">
        <v>204.56</v>
      </c>
      <c r="K109" s="217">
        <v>229.48</v>
      </c>
      <c r="L109" s="218">
        <v>255.62</v>
      </c>
      <c r="M109" s="158"/>
      <c r="N109" s="209">
        <v>28</v>
      </c>
      <c r="O109" s="218">
        <v>281.76</v>
      </c>
      <c r="P109" s="218">
        <v>339.18</v>
      </c>
      <c r="Q109" s="218">
        <v>396.6</v>
      </c>
      <c r="R109" s="218">
        <v>454.03</v>
      </c>
      <c r="S109" s="218">
        <v>511.45</v>
      </c>
      <c r="T109" s="218">
        <v>672.54</v>
      </c>
      <c r="U109" s="218">
        <v>833.64</v>
      </c>
      <c r="V109" s="218">
        <v>994.73</v>
      </c>
      <c r="W109" s="218">
        <v>1155.82</v>
      </c>
      <c r="X109" s="218">
        <v>1316.92</v>
      </c>
    </row>
    <row r="110" spans="2:24" s="187" customFormat="1" ht="15" customHeight="1" x14ac:dyDescent="0.25">
      <c r="B110" s="209">
        <v>29</v>
      </c>
      <c r="C110" s="217">
        <v>99.24</v>
      </c>
      <c r="D110" s="217">
        <v>118.3</v>
      </c>
      <c r="E110" s="217">
        <v>137.36000000000001</v>
      </c>
      <c r="F110" s="217">
        <v>143.6</v>
      </c>
      <c r="G110" s="217">
        <v>149.84</v>
      </c>
      <c r="H110" s="217">
        <v>156.08000000000001</v>
      </c>
      <c r="I110" s="217">
        <v>181.2</v>
      </c>
      <c r="J110" s="217">
        <v>206.32</v>
      </c>
      <c r="K110" s="217">
        <v>231.44</v>
      </c>
      <c r="L110" s="218">
        <v>256.60000000000002</v>
      </c>
      <c r="M110" s="158"/>
      <c r="N110" s="209">
        <v>29</v>
      </c>
      <c r="O110" s="218">
        <v>281.76</v>
      </c>
      <c r="P110" s="218">
        <v>339.18</v>
      </c>
      <c r="Q110" s="218">
        <v>396.6</v>
      </c>
      <c r="R110" s="218">
        <v>454.03</v>
      </c>
      <c r="S110" s="218">
        <v>511.45</v>
      </c>
      <c r="T110" s="218">
        <v>672.54</v>
      </c>
      <c r="U110" s="218">
        <v>833.64</v>
      </c>
      <c r="V110" s="218">
        <v>994.73</v>
      </c>
      <c r="W110" s="218">
        <v>1155.82</v>
      </c>
      <c r="X110" s="218">
        <v>1316.92</v>
      </c>
    </row>
    <row r="111" spans="2:24" s="187" customFormat="1" ht="15" customHeight="1" x14ac:dyDescent="0.25">
      <c r="B111" s="209">
        <v>30</v>
      </c>
      <c r="C111" s="217">
        <v>100.75</v>
      </c>
      <c r="D111" s="217">
        <v>120.08</v>
      </c>
      <c r="E111" s="217">
        <v>139.4</v>
      </c>
      <c r="F111" s="217">
        <v>145.41</v>
      </c>
      <c r="G111" s="217">
        <v>151.41999999999999</v>
      </c>
      <c r="H111" s="217">
        <v>157.44</v>
      </c>
      <c r="I111" s="217">
        <v>182.76</v>
      </c>
      <c r="J111" s="217">
        <v>208.09</v>
      </c>
      <c r="K111" s="217">
        <v>233.41</v>
      </c>
      <c r="L111" s="218">
        <v>257.58999999999997</v>
      </c>
      <c r="M111" s="158"/>
      <c r="N111" s="209">
        <v>30</v>
      </c>
      <c r="O111" s="218">
        <v>281.76</v>
      </c>
      <c r="P111" s="218">
        <v>339.18</v>
      </c>
      <c r="Q111" s="218">
        <v>396.6</v>
      </c>
      <c r="R111" s="218">
        <v>454.03</v>
      </c>
      <c r="S111" s="218">
        <v>511.45</v>
      </c>
      <c r="T111" s="218">
        <v>672.54</v>
      </c>
      <c r="U111" s="218">
        <v>833.64</v>
      </c>
      <c r="V111" s="218">
        <v>994.73</v>
      </c>
      <c r="W111" s="218">
        <v>1155.82</v>
      </c>
      <c r="X111" s="218">
        <v>1316.92</v>
      </c>
    </row>
    <row r="112" spans="2:24" s="187" customFormat="1" ht="15" customHeight="1" x14ac:dyDescent="0.25">
      <c r="B112" s="206" t="s">
        <v>249</v>
      </c>
      <c r="C112" s="217">
        <v>74.794666666666672</v>
      </c>
      <c r="D112" s="217">
        <v>89.989333333333335</v>
      </c>
      <c r="E112" s="217">
        <v>105.18533333333333</v>
      </c>
      <c r="F112" s="217">
        <v>114.066</v>
      </c>
      <c r="G112" s="217">
        <v>122.94733333333333</v>
      </c>
      <c r="H112" s="217">
        <v>131.82866666666669</v>
      </c>
      <c r="I112" s="217">
        <v>153.95499999999998</v>
      </c>
      <c r="J112" s="217">
        <v>176.08199999999997</v>
      </c>
      <c r="K112" s="217">
        <v>198.20833333333329</v>
      </c>
      <c r="L112" s="217">
        <v>239.98633333333336</v>
      </c>
      <c r="M112" s="158"/>
      <c r="N112" s="219" t="s">
        <v>249</v>
      </c>
      <c r="O112" s="218">
        <v>281.76000000000016</v>
      </c>
      <c r="P112" s="218">
        <v>339.18000000000012</v>
      </c>
      <c r="Q112" s="218">
        <v>396.60000000000019</v>
      </c>
      <c r="R112" s="218">
        <v>454.03000000000009</v>
      </c>
      <c r="S112" s="218">
        <v>511.45000000000022</v>
      </c>
      <c r="T112" s="218">
        <v>672.54000000000053</v>
      </c>
      <c r="U112" s="218">
        <v>833.63999999999965</v>
      </c>
      <c r="V112" s="218">
        <v>994.72999999999968</v>
      </c>
      <c r="W112" s="218">
        <v>1155.82</v>
      </c>
      <c r="X112" s="218">
        <v>1316.9199999999989</v>
      </c>
    </row>
    <row r="113" spans="1:24" s="187" customFormat="1" x14ac:dyDescent="0.2"/>
    <row r="114" spans="1:24" s="187" customFormat="1" x14ac:dyDescent="0.2">
      <c r="A114" s="181" t="s">
        <v>253</v>
      </c>
      <c r="C114" s="187" t="str">
        <f t="shared" ref="C114" si="3">RIGHT(C81,LEN(C81)-FIND("/",C81))</f>
        <v>AAA</v>
      </c>
      <c r="D114" s="187" t="str">
        <f>RIGHT(D81,LEN(D81)-FIND("/",D81))</f>
        <v>AA+</v>
      </c>
      <c r="E114" s="187" t="str">
        <f t="shared" ref="E114:L114" si="4">RIGHT(E81,LEN(E81)-FIND("/",E81))</f>
        <v>AA</v>
      </c>
      <c r="F114" s="187" t="str">
        <f t="shared" si="4"/>
        <v>AA-</v>
      </c>
      <c r="G114" s="187" t="str">
        <f t="shared" si="4"/>
        <v>A+</v>
      </c>
      <c r="H114" s="187" t="str">
        <f t="shared" si="4"/>
        <v>A</v>
      </c>
      <c r="I114" s="187" t="str">
        <f t="shared" si="4"/>
        <v>A-</v>
      </c>
      <c r="J114" s="187" t="str">
        <f t="shared" si="4"/>
        <v>BBB+</v>
      </c>
      <c r="K114" s="187" t="str">
        <f t="shared" si="4"/>
        <v>BBB</v>
      </c>
      <c r="L114" s="187" t="str">
        <f t="shared" si="4"/>
        <v>BBB-</v>
      </c>
      <c r="O114" s="187" t="str">
        <f t="shared" ref="O114:X114" si="5">RIGHT(O81,LEN(O81)-FIND("/",O81))</f>
        <v>BB+</v>
      </c>
      <c r="P114" s="187" t="str">
        <f t="shared" si="5"/>
        <v>BB</v>
      </c>
      <c r="Q114" s="187" t="str">
        <f t="shared" si="5"/>
        <v>BB-</v>
      </c>
      <c r="R114" s="187" t="str">
        <f t="shared" si="5"/>
        <v>B+</v>
      </c>
      <c r="S114" s="187" t="str">
        <f t="shared" si="5"/>
        <v>B</v>
      </c>
      <c r="T114" s="187" t="str">
        <f t="shared" si="5"/>
        <v>B-</v>
      </c>
      <c r="U114" s="187" t="str">
        <f t="shared" si="5"/>
        <v>CCC+</v>
      </c>
      <c r="V114" s="187" t="str">
        <f t="shared" si="5"/>
        <v>CCC</v>
      </c>
      <c r="W114" s="187" t="str">
        <f t="shared" si="5"/>
        <v>CCC-</v>
      </c>
      <c r="X114" s="187" t="str">
        <f t="shared" si="5"/>
        <v>CC</v>
      </c>
    </row>
  </sheetData>
  <mergeCells count="9">
    <mergeCell ref="C79:L79"/>
    <mergeCell ref="O79:X79"/>
    <mergeCell ref="Q5:AB5"/>
    <mergeCell ref="Q6:AB6"/>
    <mergeCell ref="B5:M5"/>
    <mergeCell ref="B6:M6"/>
    <mergeCell ref="D8:M8"/>
    <mergeCell ref="O38:X38"/>
    <mergeCell ref="N37:X37"/>
  </mergeCells>
  <hyperlinks>
    <hyperlink ref="B1" r:id="rId1" xr:uid="{00000000-0004-0000-0300-000000000000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Q240"/>
  <sheetViews>
    <sheetView showGridLines="0" zoomScale="85" zoomScaleNormal="85" workbookViewId="0">
      <pane xSplit="2" ySplit="5" topLeftCell="C130" activePane="bottomRight" state="frozen"/>
      <selection sqref="A1:C2"/>
      <selection pane="topRight" sqref="A1:C2"/>
      <selection pane="bottomLeft" sqref="A1:C2"/>
      <selection pane="bottomRight" activeCell="C142" sqref="C142"/>
    </sheetView>
  </sheetViews>
  <sheetFormatPr defaultColWidth="17.42578125" defaultRowHeight="12.75" x14ac:dyDescent="0.2"/>
  <cols>
    <col min="1" max="1" width="18.85546875" style="26" customWidth="1"/>
    <col min="2" max="2" width="45.7109375" style="22" customWidth="1"/>
    <col min="3" max="3" width="53.85546875" style="22" customWidth="1"/>
    <col min="4" max="4" width="27.85546875" style="22" customWidth="1"/>
    <col min="5" max="16384" width="17.42578125" style="22"/>
  </cols>
  <sheetData>
    <row r="1" spans="1:4" ht="15.75" x14ac:dyDescent="0.2">
      <c r="A1" s="25" t="s">
        <v>9</v>
      </c>
      <c r="B1" s="20" t="s">
        <v>78</v>
      </c>
    </row>
    <row r="2" spans="1:4" ht="15.75" x14ac:dyDescent="0.2">
      <c r="A2" s="25"/>
      <c r="B2" s="15"/>
    </row>
    <row r="3" spans="1:4" x14ac:dyDescent="0.2">
      <c r="B3" s="19" t="str">
        <f ca="1">GetNameRange(B5)</f>
        <v>Generation</v>
      </c>
    </row>
    <row r="4" spans="1:4" x14ac:dyDescent="0.2">
      <c r="A4" s="46"/>
      <c r="B4" s="52" t="s">
        <v>76</v>
      </c>
      <c r="C4" s="80" t="s">
        <v>186</v>
      </c>
      <c r="D4" s="66" t="s">
        <v>119</v>
      </c>
    </row>
    <row r="5" spans="1:4" x14ac:dyDescent="0.2">
      <c r="A5" s="47" t="s">
        <v>8</v>
      </c>
      <c r="B5" s="54" t="s">
        <v>0</v>
      </c>
      <c r="C5" s="82"/>
      <c r="D5" s="67"/>
    </row>
    <row r="6" spans="1:4" x14ac:dyDescent="0.2">
      <c r="A6" s="24"/>
      <c r="B6" s="56"/>
      <c r="C6" s="55"/>
      <c r="D6" s="55"/>
    </row>
    <row r="7" spans="1:4" x14ac:dyDescent="0.2">
      <c r="B7" s="57" t="s">
        <v>29</v>
      </c>
      <c r="C7" s="55"/>
      <c r="D7" s="55"/>
    </row>
    <row r="8" spans="1:4" x14ac:dyDescent="0.2">
      <c r="A8" s="26" t="s">
        <v>127</v>
      </c>
      <c r="B8" s="139" t="s">
        <v>128</v>
      </c>
      <c r="C8" s="140" t="s">
        <v>127</v>
      </c>
      <c r="D8" s="140" t="s">
        <v>127</v>
      </c>
    </row>
    <row r="9" spans="1:4" x14ac:dyDescent="0.2">
      <c r="A9" s="26" t="s">
        <v>18</v>
      </c>
      <c r="B9" s="58" t="s">
        <v>30</v>
      </c>
      <c r="C9" s="68" t="s">
        <v>18</v>
      </c>
      <c r="D9" s="68" t="s">
        <v>18</v>
      </c>
    </row>
    <row r="10" spans="1:4" x14ac:dyDescent="0.2">
      <c r="A10" s="26" t="s">
        <v>31</v>
      </c>
      <c r="B10" s="58" t="s">
        <v>32</v>
      </c>
      <c r="C10" s="68" t="s">
        <v>31</v>
      </c>
      <c r="D10" s="68" t="s">
        <v>31</v>
      </c>
    </row>
    <row r="11" spans="1:4" x14ac:dyDescent="0.2">
      <c r="A11" s="26" t="s">
        <v>177</v>
      </c>
      <c r="B11" s="139" t="s">
        <v>178</v>
      </c>
      <c r="C11" s="34" t="s">
        <v>192</v>
      </c>
      <c r="D11" s="23" t="s">
        <v>177</v>
      </c>
    </row>
    <row r="12" spans="1:4" x14ac:dyDescent="0.2">
      <c r="A12" s="26">
        <v>10</v>
      </c>
      <c r="B12" s="58" t="s">
        <v>33</v>
      </c>
      <c r="C12" s="68">
        <v>2</v>
      </c>
      <c r="D12" s="68">
        <v>10</v>
      </c>
    </row>
    <row r="13" spans="1:4" x14ac:dyDescent="0.2">
      <c r="A13" s="26">
        <v>360</v>
      </c>
      <c r="B13" s="58" t="s">
        <v>34</v>
      </c>
      <c r="C13" s="68">
        <v>360</v>
      </c>
      <c r="D13" s="68">
        <v>360</v>
      </c>
    </row>
    <row r="14" spans="1:4" x14ac:dyDescent="0.2">
      <c r="A14" s="26" t="s">
        <v>35</v>
      </c>
      <c r="B14" s="58" t="s">
        <v>36</v>
      </c>
      <c r="C14" s="68" t="s">
        <v>35</v>
      </c>
      <c r="D14" s="68" t="s">
        <v>35</v>
      </c>
    </row>
    <row r="15" spans="1:4" x14ac:dyDescent="0.2">
      <c r="A15" s="26">
        <v>60</v>
      </c>
      <c r="B15" s="58" t="s">
        <v>37</v>
      </c>
      <c r="C15" s="68">
        <v>360</v>
      </c>
      <c r="D15" s="68">
        <v>60</v>
      </c>
    </row>
    <row r="16" spans="1:4" x14ac:dyDescent="0.2">
      <c r="A16" s="26" t="s">
        <v>5</v>
      </c>
      <c r="B16" s="58" t="s">
        <v>38</v>
      </c>
      <c r="C16" s="68" t="s">
        <v>190</v>
      </c>
      <c r="D16" s="68" t="s">
        <v>5</v>
      </c>
    </row>
    <row r="17" spans="1:4" x14ac:dyDescent="0.2">
      <c r="A17" s="26">
        <v>1</v>
      </c>
      <c r="B17" s="58" t="s">
        <v>40</v>
      </c>
      <c r="C17" s="68">
        <v>1</v>
      </c>
      <c r="D17" s="68">
        <v>1</v>
      </c>
    </row>
    <row r="18" spans="1:4" x14ac:dyDescent="0.2">
      <c r="A18" s="26" t="s">
        <v>5</v>
      </c>
      <c r="B18" s="139" t="s">
        <v>129</v>
      </c>
      <c r="C18" s="140" t="s">
        <v>5</v>
      </c>
      <c r="D18" s="140" t="s">
        <v>5</v>
      </c>
    </row>
    <row r="19" spans="1:4" x14ac:dyDescent="0.2">
      <c r="A19" s="26">
        <v>1</v>
      </c>
      <c r="B19" s="139" t="s">
        <v>130</v>
      </c>
      <c r="C19" s="140">
        <v>1</v>
      </c>
      <c r="D19" s="140">
        <v>1</v>
      </c>
    </row>
    <row r="20" spans="1:4" x14ac:dyDescent="0.2">
      <c r="A20" s="26" t="s">
        <v>131</v>
      </c>
      <c r="B20" s="139" t="s">
        <v>132</v>
      </c>
      <c r="C20" s="141" t="s">
        <v>131</v>
      </c>
      <c r="D20" s="141" t="s">
        <v>131</v>
      </c>
    </row>
    <row r="21" spans="1:4" x14ac:dyDescent="0.2">
      <c r="A21" s="26" t="s">
        <v>41</v>
      </c>
      <c r="B21" s="58" t="s">
        <v>42</v>
      </c>
      <c r="C21" s="68" t="s">
        <v>187</v>
      </c>
      <c r="D21" s="68" t="s">
        <v>41</v>
      </c>
    </row>
    <row r="22" spans="1:4" x14ac:dyDescent="0.2">
      <c r="A22" s="26">
        <v>3</v>
      </c>
      <c r="B22" s="58" t="s">
        <v>43</v>
      </c>
      <c r="C22" s="68">
        <v>3</v>
      </c>
      <c r="D22" s="68">
        <v>3</v>
      </c>
    </row>
    <row r="23" spans="1:4" x14ac:dyDescent="0.2">
      <c r="A23" s="26">
        <v>0</v>
      </c>
      <c r="B23" s="58" t="s">
        <v>44</v>
      </c>
      <c r="C23" s="68">
        <v>0</v>
      </c>
      <c r="D23" s="68">
        <v>0</v>
      </c>
    </row>
    <row r="24" spans="1:4" x14ac:dyDescent="0.2">
      <c r="A24" s="26">
        <v>50</v>
      </c>
      <c r="B24" s="58" t="s">
        <v>45</v>
      </c>
      <c r="C24" s="68">
        <v>50</v>
      </c>
      <c r="D24" s="68">
        <v>50</v>
      </c>
    </row>
    <row r="25" spans="1:4" x14ac:dyDescent="0.2">
      <c r="A25" s="26">
        <v>360</v>
      </c>
      <c r="B25" s="58" t="s">
        <v>46</v>
      </c>
      <c r="C25" s="68">
        <v>360</v>
      </c>
      <c r="D25" s="68">
        <v>360</v>
      </c>
    </row>
    <row r="26" spans="1:4" x14ac:dyDescent="0.2">
      <c r="A26" s="26" t="s">
        <v>5</v>
      </c>
      <c r="B26" s="58" t="s">
        <v>133</v>
      </c>
      <c r="C26" s="68" t="s">
        <v>5</v>
      </c>
      <c r="D26" s="68" t="s">
        <v>5</v>
      </c>
    </row>
    <row r="27" spans="1:4" x14ac:dyDescent="0.2">
      <c r="A27" s="26">
        <v>1</v>
      </c>
      <c r="B27" s="58" t="s">
        <v>134</v>
      </c>
      <c r="C27" s="68">
        <v>1</v>
      </c>
      <c r="D27" s="68">
        <v>1</v>
      </c>
    </row>
    <row r="28" spans="1:4" x14ac:dyDescent="0.2">
      <c r="A28" s="26" t="s">
        <v>5</v>
      </c>
      <c r="B28" s="58" t="s">
        <v>135</v>
      </c>
      <c r="C28" s="68" t="s">
        <v>5</v>
      </c>
      <c r="D28" s="68" t="s">
        <v>5</v>
      </c>
    </row>
    <row r="29" spans="1:4" x14ac:dyDescent="0.2">
      <c r="B29" s="59"/>
      <c r="C29" s="68"/>
      <c r="D29" s="68"/>
    </row>
    <row r="30" spans="1:4" x14ac:dyDescent="0.2">
      <c r="B30" s="57" t="s">
        <v>47</v>
      </c>
      <c r="C30" s="68"/>
      <c r="D30" s="68"/>
    </row>
    <row r="31" spans="1:4" x14ac:dyDescent="0.2">
      <c r="A31" s="26" t="s">
        <v>6</v>
      </c>
      <c r="B31" s="58" t="s">
        <v>113</v>
      </c>
      <c r="C31" s="68" t="s">
        <v>84</v>
      </c>
      <c r="D31" s="68" t="s">
        <v>84</v>
      </c>
    </row>
    <row r="32" spans="1:4" x14ac:dyDescent="0.2">
      <c r="A32" s="26" t="s">
        <v>6</v>
      </c>
      <c r="B32" s="58" t="s">
        <v>48</v>
      </c>
      <c r="C32" s="68" t="s">
        <v>188</v>
      </c>
      <c r="D32" s="68" t="s">
        <v>6</v>
      </c>
    </row>
    <row r="33" spans="1:4" x14ac:dyDescent="0.2">
      <c r="A33" s="26" t="s">
        <v>6</v>
      </c>
      <c r="B33" s="139" t="s">
        <v>136</v>
      </c>
      <c r="C33" s="140" t="s">
        <v>188</v>
      </c>
      <c r="D33" s="140" t="s">
        <v>6</v>
      </c>
    </row>
    <row r="34" spans="1:4" x14ac:dyDescent="0.2">
      <c r="A34" s="43">
        <v>0</v>
      </c>
      <c r="B34" s="60" t="s">
        <v>49</v>
      </c>
      <c r="C34" s="69" t="s">
        <v>102</v>
      </c>
      <c r="D34" s="69" t="s">
        <v>102</v>
      </c>
    </row>
    <row r="35" spans="1:4" x14ac:dyDescent="0.2">
      <c r="A35" s="43">
        <v>0</v>
      </c>
      <c r="B35" s="61" t="s">
        <v>50</v>
      </c>
      <c r="C35" s="69" t="s">
        <v>102</v>
      </c>
      <c r="D35" s="69" t="s">
        <v>102</v>
      </c>
    </row>
    <row r="36" spans="1:4" x14ac:dyDescent="0.2">
      <c r="A36" s="43" t="s">
        <v>6</v>
      </c>
      <c r="B36" s="200" t="s">
        <v>114</v>
      </c>
      <c r="C36" s="69" t="s">
        <v>259</v>
      </c>
      <c r="D36" s="69" t="s">
        <v>259</v>
      </c>
    </row>
    <row r="37" spans="1:4" x14ac:dyDescent="0.2">
      <c r="A37" s="43">
        <v>0</v>
      </c>
      <c r="B37" s="60" t="s">
        <v>53</v>
      </c>
      <c r="C37" s="69" t="s">
        <v>102</v>
      </c>
      <c r="D37" s="69">
        <v>0</v>
      </c>
    </row>
    <row r="38" spans="1:4" x14ac:dyDescent="0.2">
      <c r="A38" s="43">
        <v>0</v>
      </c>
      <c r="B38" s="60" t="s">
        <v>51</v>
      </c>
      <c r="C38" s="69" t="s">
        <v>102</v>
      </c>
      <c r="D38" s="69">
        <v>0</v>
      </c>
    </row>
    <row r="39" spans="1:4" x14ac:dyDescent="0.2">
      <c r="A39" s="44">
        <v>1</v>
      </c>
      <c r="B39" s="61" t="s">
        <v>52</v>
      </c>
      <c r="C39" s="70" t="s">
        <v>102</v>
      </c>
      <c r="D39" s="70">
        <v>1</v>
      </c>
    </row>
    <row r="40" spans="1:4" x14ac:dyDescent="0.2">
      <c r="A40" s="43">
        <v>0</v>
      </c>
      <c r="B40" s="60" t="s">
        <v>54</v>
      </c>
      <c r="C40" s="69" t="s">
        <v>102</v>
      </c>
      <c r="D40" s="69">
        <v>0</v>
      </c>
    </row>
    <row r="41" spans="1:4" x14ac:dyDescent="0.2">
      <c r="A41" s="26" t="s">
        <v>6</v>
      </c>
      <c r="B41" s="58" t="s">
        <v>55</v>
      </c>
      <c r="C41" s="68">
        <v>1</v>
      </c>
      <c r="D41" s="68" t="s">
        <v>6</v>
      </c>
    </row>
    <row r="42" spans="1:4" x14ac:dyDescent="0.2">
      <c r="A42" s="26" t="s">
        <v>6</v>
      </c>
      <c r="B42" s="58" t="s">
        <v>56</v>
      </c>
      <c r="C42" s="68" t="s">
        <v>189</v>
      </c>
      <c r="D42" s="68" t="s">
        <v>6</v>
      </c>
    </row>
    <row r="43" spans="1:4" x14ac:dyDescent="0.2">
      <c r="A43" s="43">
        <v>0</v>
      </c>
      <c r="B43" s="60" t="s">
        <v>57</v>
      </c>
      <c r="C43" s="69" t="s">
        <v>102</v>
      </c>
      <c r="D43" s="69">
        <v>0</v>
      </c>
    </row>
    <row r="44" spans="1:4" x14ac:dyDescent="0.2">
      <c r="A44" s="27" t="s">
        <v>6</v>
      </c>
      <c r="B44" s="58" t="s">
        <v>115</v>
      </c>
      <c r="C44" s="71" t="s">
        <v>116</v>
      </c>
      <c r="D44" s="71" t="s">
        <v>116</v>
      </c>
    </row>
    <row r="45" spans="1:4" x14ac:dyDescent="0.2">
      <c r="A45" s="43">
        <v>0</v>
      </c>
      <c r="B45" s="60" t="s">
        <v>58</v>
      </c>
      <c r="C45" s="69" t="s">
        <v>102</v>
      </c>
      <c r="D45" s="69">
        <v>0</v>
      </c>
    </row>
    <row r="46" spans="1:4" x14ac:dyDescent="0.2">
      <c r="A46" s="43">
        <v>0</v>
      </c>
      <c r="B46" s="60" t="s">
        <v>59</v>
      </c>
      <c r="C46" s="69" t="s">
        <v>102</v>
      </c>
      <c r="D46" s="69">
        <v>0</v>
      </c>
    </row>
    <row r="47" spans="1:4" x14ac:dyDescent="0.2">
      <c r="A47" s="27"/>
      <c r="B47" s="62"/>
      <c r="C47" s="72"/>
      <c r="D47" s="72"/>
    </row>
    <row r="48" spans="1:4" x14ac:dyDescent="0.2">
      <c r="A48" s="43"/>
      <c r="B48" s="142" t="s">
        <v>124</v>
      </c>
      <c r="C48" s="141"/>
      <c r="D48" s="141"/>
    </row>
    <row r="49" spans="1:4" x14ac:dyDescent="0.2">
      <c r="A49" s="153">
        <v>1</v>
      </c>
      <c r="B49" s="143" t="s">
        <v>172</v>
      </c>
      <c r="C49" s="141" t="s">
        <v>138</v>
      </c>
      <c r="D49" s="141" t="s">
        <v>138</v>
      </c>
    </row>
    <row r="50" spans="1:4" x14ac:dyDescent="0.2">
      <c r="A50" s="43" t="s">
        <v>5</v>
      </c>
      <c r="B50" s="143" t="s">
        <v>137</v>
      </c>
      <c r="C50" s="141" t="s">
        <v>138</v>
      </c>
      <c r="D50" s="141" t="s">
        <v>138</v>
      </c>
    </row>
    <row r="51" spans="1:4" x14ac:dyDescent="0.2">
      <c r="A51" s="43" t="s">
        <v>5</v>
      </c>
      <c r="B51" s="143" t="s">
        <v>139</v>
      </c>
      <c r="C51" s="141" t="s">
        <v>138</v>
      </c>
      <c r="D51" s="141" t="s">
        <v>138</v>
      </c>
    </row>
    <row r="52" spans="1:4" x14ac:dyDescent="0.2">
      <c r="A52" s="43" t="s">
        <v>6</v>
      </c>
      <c r="B52" s="143" t="s">
        <v>140</v>
      </c>
      <c r="C52" s="141" t="s">
        <v>138</v>
      </c>
      <c r="D52" s="141" t="s">
        <v>138</v>
      </c>
    </row>
    <row r="53" spans="1:4" x14ac:dyDescent="0.2">
      <c r="A53" s="43">
        <v>0</v>
      </c>
      <c r="B53" s="143" t="s">
        <v>141</v>
      </c>
      <c r="C53" s="141" t="s">
        <v>142</v>
      </c>
      <c r="D53" s="141" t="s">
        <v>142</v>
      </c>
    </row>
    <row r="54" spans="1:4" x14ac:dyDescent="0.2">
      <c r="A54" s="43" t="s">
        <v>5</v>
      </c>
      <c r="B54" s="143" t="s">
        <v>143</v>
      </c>
      <c r="C54" s="141" t="s">
        <v>138</v>
      </c>
      <c r="D54" s="141" t="s">
        <v>138</v>
      </c>
    </row>
    <row r="55" spans="1:4" x14ac:dyDescent="0.2">
      <c r="A55" s="43" t="s">
        <v>6</v>
      </c>
      <c r="B55" s="143" t="s">
        <v>144</v>
      </c>
      <c r="C55" s="141" t="s">
        <v>138</v>
      </c>
      <c r="D55" s="141" t="s">
        <v>138</v>
      </c>
    </row>
    <row r="56" spans="1:4" x14ac:dyDescent="0.2">
      <c r="A56" s="43">
        <v>0</v>
      </c>
      <c r="B56" s="143" t="s">
        <v>145</v>
      </c>
      <c r="C56" s="141" t="s">
        <v>146</v>
      </c>
      <c r="D56" s="141" t="s">
        <v>146</v>
      </c>
    </row>
    <row r="57" spans="1:4" x14ac:dyDescent="0.2">
      <c r="A57" s="43" t="s">
        <v>5</v>
      </c>
      <c r="B57" s="143" t="s">
        <v>147</v>
      </c>
      <c r="C57" s="141" t="s">
        <v>138</v>
      </c>
      <c r="D57" s="141" t="s">
        <v>138</v>
      </c>
    </row>
    <row r="58" spans="1:4" x14ac:dyDescent="0.2">
      <c r="A58" s="43" t="s">
        <v>6</v>
      </c>
      <c r="B58" s="143" t="s">
        <v>148</v>
      </c>
      <c r="C58" s="141" t="s">
        <v>138</v>
      </c>
      <c r="D58" s="141" t="s">
        <v>138</v>
      </c>
    </row>
    <row r="59" spans="1:4" x14ac:dyDescent="0.2">
      <c r="A59" s="27"/>
      <c r="B59" s="144"/>
      <c r="C59" s="145"/>
      <c r="D59" s="145"/>
    </row>
    <row r="60" spans="1:4" x14ac:dyDescent="0.2">
      <c r="A60" s="27"/>
      <c r="B60" s="142" t="s">
        <v>125</v>
      </c>
      <c r="C60" s="145"/>
      <c r="D60" s="145"/>
    </row>
    <row r="61" spans="1:4" x14ac:dyDescent="0.2">
      <c r="A61" s="27" t="s">
        <v>6</v>
      </c>
      <c r="B61" s="139" t="s">
        <v>149</v>
      </c>
      <c r="C61" s="141" t="s">
        <v>6</v>
      </c>
      <c r="D61" s="141" t="s">
        <v>6</v>
      </c>
    </row>
    <row r="62" spans="1:4" x14ac:dyDescent="0.2">
      <c r="A62" s="40" t="s">
        <v>150</v>
      </c>
      <c r="B62" s="146" t="s">
        <v>151</v>
      </c>
      <c r="C62" s="140" t="s">
        <v>102</v>
      </c>
      <c r="D62" s="140" t="s">
        <v>102</v>
      </c>
    </row>
    <row r="63" spans="1:4" x14ac:dyDescent="0.2">
      <c r="A63" s="26" t="s">
        <v>5</v>
      </c>
      <c r="B63" s="146" t="s">
        <v>152</v>
      </c>
      <c r="C63" s="140" t="s">
        <v>102</v>
      </c>
      <c r="D63" s="140" t="s">
        <v>102</v>
      </c>
    </row>
    <row r="64" spans="1:4" x14ac:dyDescent="0.2">
      <c r="A64" s="27" t="s">
        <v>6</v>
      </c>
      <c r="B64" s="139" t="s">
        <v>153</v>
      </c>
      <c r="C64" s="147" t="s">
        <v>188</v>
      </c>
      <c r="D64" s="147" t="str">
        <f>D33</f>
        <v>NONE</v>
      </c>
    </row>
    <row r="65" spans="1:4" x14ac:dyDescent="0.2">
      <c r="A65" s="27" t="s">
        <v>6</v>
      </c>
      <c r="B65" s="139" t="s">
        <v>154</v>
      </c>
      <c r="C65" s="140" t="s">
        <v>6</v>
      </c>
      <c r="D65" s="140" t="s">
        <v>6</v>
      </c>
    </row>
    <row r="66" spans="1:4" x14ac:dyDescent="0.2">
      <c r="A66" s="40">
        <v>0</v>
      </c>
      <c r="B66" s="146" t="s">
        <v>155</v>
      </c>
      <c r="C66" s="140" t="s">
        <v>102</v>
      </c>
      <c r="D66" s="140" t="s">
        <v>102</v>
      </c>
    </row>
    <row r="67" spans="1:4" x14ac:dyDescent="0.2">
      <c r="A67" s="40">
        <v>1</v>
      </c>
      <c r="B67" s="146" t="s">
        <v>156</v>
      </c>
      <c r="C67" s="140" t="s">
        <v>102</v>
      </c>
      <c r="D67" s="140" t="s">
        <v>102</v>
      </c>
    </row>
    <row r="68" spans="1:4" x14ac:dyDescent="0.2">
      <c r="A68" s="27" t="s">
        <v>6</v>
      </c>
      <c r="B68" s="139" t="s">
        <v>157</v>
      </c>
      <c r="C68" s="140" t="s">
        <v>6</v>
      </c>
      <c r="D68" s="140" t="s">
        <v>6</v>
      </c>
    </row>
    <row r="69" spans="1:4" x14ac:dyDescent="0.2">
      <c r="A69" s="40">
        <v>0</v>
      </c>
      <c r="B69" s="146" t="s">
        <v>158</v>
      </c>
      <c r="C69" s="140" t="s">
        <v>102</v>
      </c>
      <c r="D69" s="140" t="s">
        <v>102</v>
      </c>
    </row>
    <row r="70" spans="1:4" x14ac:dyDescent="0.2">
      <c r="A70" s="40">
        <v>1</v>
      </c>
      <c r="B70" s="146" t="s">
        <v>159</v>
      </c>
      <c r="C70" s="140" t="s">
        <v>102</v>
      </c>
      <c r="D70" s="140" t="s">
        <v>102</v>
      </c>
    </row>
    <row r="71" spans="1:4" x14ac:dyDescent="0.2">
      <c r="A71" s="27" t="s">
        <v>6</v>
      </c>
      <c r="B71" s="139" t="s">
        <v>160</v>
      </c>
      <c r="C71" s="141" t="s">
        <v>6</v>
      </c>
      <c r="D71" s="141" t="s">
        <v>6</v>
      </c>
    </row>
    <row r="72" spans="1:4" x14ac:dyDescent="0.2">
      <c r="A72" s="26" t="s">
        <v>5</v>
      </c>
      <c r="B72" s="146" t="s">
        <v>161</v>
      </c>
      <c r="C72" s="140" t="s">
        <v>102</v>
      </c>
      <c r="D72" s="140" t="s">
        <v>102</v>
      </c>
    </row>
    <row r="73" spans="1:4" x14ac:dyDescent="0.2">
      <c r="A73" s="40">
        <v>0</v>
      </c>
      <c r="B73" s="146" t="s">
        <v>162</v>
      </c>
      <c r="C73" s="140" t="s">
        <v>102</v>
      </c>
      <c r="D73" s="140" t="s">
        <v>102</v>
      </c>
    </row>
    <row r="74" spans="1:4" x14ac:dyDescent="0.2">
      <c r="A74" s="26" t="s">
        <v>163</v>
      </c>
      <c r="B74" s="146" t="s">
        <v>164</v>
      </c>
      <c r="C74" s="140" t="s">
        <v>102</v>
      </c>
      <c r="D74" s="140" t="s">
        <v>102</v>
      </c>
    </row>
    <row r="75" spans="1:4" x14ac:dyDescent="0.2">
      <c r="A75" s="27" t="s">
        <v>6</v>
      </c>
      <c r="B75" s="139" t="s">
        <v>165</v>
      </c>
      <c r="C75" s="140" t="s">
        <v>6</v>
      </c>
      <c r="D75" s="140" t="s">
        <v>6</v>
      </c>
    </row>
    <row r="76" spans="1:4" x14ac:dyDescent="0.2">
      <c r="A76" s="27" t="s">
        <v>6</v>
      </c>
      <c r="B76" s="139" t="s">
        <v>166</v>
      </c>
      <c r="C76" s="140" t="s">
        <v>6</v>
      </c>
      <c r="D76" s="140" t="s">
        <v>6</v>
      </c>
    </row>
    <row r="77" spans="1:4" x14ac:dyDescent="0.2">
      <c r="A77" s="40">
        <v>0</v>
      </c>
      <c r="B77" s="146" t="s">
        <v>167</v>
      </c>
      <c r="C77" s="140" t="s">
        <v>102</v>
      </c>
      <c r="D77" s="140" t="s">
        <v>102</v>
      </c>
    </row>
    <row r="78" spans="1:4" x14ac:dyDescent="0.2">
      <c r="A78" s="40">
        <v>1</v>
      </c>
      <c r="B78" s="146" t="s">
        <v>168</v>
      </c>
      <c r="C78" s="140" t="s">
        <v>102</v>
      </c>
      <c r="D78" s="140" t="s">
        <v>102</v>
      </c>
    </row>
    <row r="79" spans="1:4" x14ac:dyDescent="0.2">
      <c r="A79" s="27"/>
      <c r="B79" s="144"/>
      <c r="C79" s="145"/>
      <c r="D79" s="145"/>
    </row>
    <row r="80" spans="1:4" x14ac:dyDescent="0.2">
      <c r="B80" s="57" t="s">
        <v>126</v>
      </c>
      <c r="C80" s="68"/>
      <c r="D80" s="68"/>
    </row>
    <row r="81" spans="1:4" x14ac:dyDescent="0.2">
      <c r="A81" s="26">
        <v>1</v>
      </c>
      <c r="B81" s="61" t="s">
        <v>60</v>
      </c>
      <c r="C81" s="68">
        <v>1</v>
      </c>
      <c r="D81" s="68" t="s">
        <v>102</v>
      </c>
    </row>
    <row r="82" spans="1:4" x14ac:dyDescent="0.2">
      <c r="A82" s="26">
        <v>5</v>
      </c>
      <c r="B82" s="61" t="s">
        <v>61</v>
      </c>
      <c r="C82" s="68">
        <v>5</v>
      </c>
      <c r="D82" s="68" t="s">
        <v>102</v>
      </c>
    </row>
    <row r="83" spans="1:4" x14ac:dyDescent="0.2">
      <c r="A83" s="43">
        <v>2.5000000000000001E-2</v>
      </c>
      <c r="B83" s="60" t="s">
        <v>62</v>
      </c>
      <c r="C83" s="68">
        <v>2.5000000000000001E-2</v>
      </c>
      <c r="D83" s="68" t="s">
        <v>102</v>
      </c>
    </row>
    <row r="84" spans="1:4" x14ac:dyDescent="0.2">
      <c r="A84" s="43">
        <v>5.0000000000000001E-3</v>
      </c>
      <c r="B84" s="60" t="s">
        <v>63</v>
      </c>
      <c r="C84" s="68">
        <v>5.0000000000000001E-3</v>
      </c>
      <c r="D84" s="68" t="s">
        <v>102</v>
      </c>
    </row>
    <row r="85" spans="1:4" x14ac:dyDescent="0.2">
      <c r="A85" s="43">
        <v>5.0000000000000001E-3</v>
      </c>
      <c r="B85" s="60" t="s">
        <v>64</v>
      </c>
      <c r="C85" s="68">
        <v>5.0000000000000001E-3</v>
      </c>
      <c r="D85" s="68" t="s">
        <v>102</v>
      </c>
    </row>
    <row r="86" spans="1:4" x14ac:dyDescent="0.2">
      <c r="A86" s="43">
        <v>0.1</v>
      </c>
      <c r="B86" s="60" t="s">
        <v>65</v>
      </c>
      <c r="C86" s="68">
        <v>0.1</v>
      </c>
      <c r="D86" s="68" t="s">
        <v>102</v>
      </c>
    </row>
    <row r="87" spans="1:4" x14ac:dyDescent="0.2">
      <c r="A87" s="43">
        <v>0.9</v>
      </c>
      <c r="B87" s="63" t="s">
        <v>66</v>
      </c>
      <c r="C87" s="69">
        <v>0.9</v>
      </c>
      <c r="D87" s="69">
        <v>0.9</v>
      </c>
    </row>
    <row r="88" spans="1:4" x14ac:dyDescent="0.2">
      <c r="A88" s="26">
        <v>5</v>
      </c>
      <c r="B88" s="61" t="s">
        <v>67</v>
      </c>
      <c r="C88" s="68">
        <v>5</v>
      </c>
      <c r="D88" s="68" t="s">
        <v>102</v>
      </c>
    </row>
    <row r="89" spans="1:4" x14ac:dyDescent="0.2">
      <c r="A89" s="43">
        <v>2.5000000000000001E-2</v>
      </c>
      <c r="B89" s="60" t="s">
        <v>68</v>
      </c>
      <c r="C89" s="68">
        <v>2.5000000000000001E-2</v>
      </c>
      <c r="D89" s="68" t="s">
        <v>102</v>
      </c>
    </row>
    <row r="90" spans="1:4" x14ac:dyDescent="0.2">
      <c r="A90" s="43">
        <v>5.0000000000000001E-3</v>
      </c>
      <c r="B90" s="60" t="s">
        <v>69</v>
      </c>
      <c r="C90" s="68">
        <v>5.0000000000000001E-3</v>
      </c>
      <c r="D90" s="68" t="s">
        <v>102</v>
      </c>
    </row>
    <row r="91" spans="1:4" x14ac:dyDescent="0.2">
      <c r="A91" s="43">
        <v>5.0000000000000001E-3</v>
      </c>
      <c r="B91" s="60" t="s">
        <v>70</v>
      </c>
      <c r="C91" s="68">
        <v>5.0000000000000001E-3</v>
      </c>
      <c r="D91" s="68" t="s">
        <v>102</v>
      </c>
    </row>
    <row r="92" spans="1:4" x14ac:dyDescent="0.2">
      <c r="A92" s="43">
        <v>0.9</v>
      </c>
      <c r="B92" s="63" t="s">
        <v>71</v>
      </c>
      <c r="C92" s="69">
        <v>0.9</v>
      </c>
      <c r="D92" s="69">
        <v>0.9</v>
      </c>
    </row>
    <row r="93" spans="1:4" x14ac:dyDescent="0.2">
      <c r="A93" s="26">
        <v>5</v>
      </c>
      <c r="B93" s="61" t="s">
        <v>72</v>
      </c>
      <c r="C93" s="68">
        <v>5</v>
      </c>
      <c r="D93" s="68" t="s">
        <v>102</v>
      </c>
    </row>
    <row r="94" spans="1:4" x14ac:dyDescent="0.2">
      <c r="A94" s="43">
        <v>2.5000000000000001E-2</v>
      </c>
      <c r="B94" s="60" t="s">
        <v>73</v>
      </c>
      <c r="C94" s="68">
        <v>2.5000000000000001E-2</v>
      </c>
      <c r="D94" s="68" t="s">
        <v>102</v>
      </c>
    </row>
    <row r="95" spans="1:4" x14ac:dyDescent="0.2">
      <c r="A95" s="43">
        <v>7.1999999999999995E-2</v>
      </c>
      <c r="B95" s="60" t="s">
        <v>74</v>
      </c>
      <c r="C95" s="68">
        <v>7.1999999999999995E-2</v>
      </c>
      <c r="D95" s="68" t="s">
        <v>102</v>
      </c>
    </row>
    <row r="96" spans="1:4" x14ac:dyDescent="0.2">
      <c r="A96" s="43">
        <v>0.9</v>
      </c>
      <c r="B96" s="64" t="s">
        <v>75</v>
      </c>
      <c r="C96" s="73">
        <v>0.9</v>
      </c>
      <c r="D96" s="73">
        <v>0.9</v>
      </c>
    </row>
    <row r="98" spans="1:43" x14ac:dyDescent="0.2">
      <c r="A98" s="25" t="s">
        <v>9</v>
      </c>
      <c r="B98" s="19" t="str">
        <f ca="1">GetNameRange(B100)</f>
        <v>EconDataYldCurveMRRates</v>
      </c>
      <c r="C98" s="35"/>
      <c r="D98" s="35"/>
      <c r="E98" s="35"/>
      <c r="F98" s="35"/>
      <c r="G98" s="35"/>
      <c r="H98" s="35"/>
      <c r="I98" s="35"/>
      <c r="J98" s="35"/>
      <c r="K98" s="3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</row>
    <row r="99" spans="1:43" x14ac:dyDescent="0.2">
      <c r="A99" s="38" t="s">
        <v>103</v>
      </c>
      <c r="B99" s="108" t="s">
        <v>108</v>
      </c>
      <c r="C99" s="112" t="s">
        <v>84</v>
      </c>
      <c r="D99" s="112" t="s">
        <v>84</v>
      </c>
      <c r="E99" s="112" t="s">
        <v>84</v>
      </c>
      <c r="F99" s="112" t="s">
        <v>84</v>
      </c>
      <c r="G99" s="112" t="s">
        <v>84</v>
      </c>
      <c r="H99" s="112" t="s">
        <v>84</v>
      </c>
      <c r="I99" s="112" t="s">
        <v>84</v>
      </c>
      <c r="J99" s="112" t="s">
        <v>84</v>
      </c>
      <c r="K99" s="112" t="s">
        <v>84</v>
      </c>
      <c r="L99" s="113" t="s">
        <v>84</v>
      </c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</row>
    <row r="100" spans="1:43" x14ac:dyDescent="0.2">
      <c r="B100" s="123" t="s">
        <v>101</v>
      </c>
      <c r="C100" s="50">
        <v>8.3330000000000001E-2</v>
      </c>
      <c r="D100" s="50">
        <v>0.25</v>
      </c>
      <c r="E100" s="50">
        <v>1</v>
      </c>
      <c r="F100" s="50">
        <v>2</v>
      </c>
      <c r="G100" s="50">
        <v>3</v>
      </c>
      <c r="H100" s="50">
        <v>5</v>
      </c>
      <c r="I100" s="50">
        <v>7</v>
      </c>
      <c r="J100" s="50">
        <v>10</v>
      </c>
      <c r="K100" s="50">
        <v>20</v>
      </c>
      <c r="L100" s="124">
        <v>30</v>
      </c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</row>
    <row r="101" spans="1:43" x14ac:dyDescent="0.2">
      <c r="B101" s="83" t="s">
        <v>99</v>
      </c>
      <c r="C101" s="115"/>
      <c r="D101" s="115"/>
      <c r="E101" s="115"/>
      <c r="F101" s="115"/>
      <c r="G101" s="115"/>
      <c r="H101" s="115"/>
      <c r="I101" s="115"/>
      <c r="J101" s="115"/>
      <c r="K101" s="115"/>
      <c r="L101" s="116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</row>
    <row r="102" spans="1:43" x14ac:dyDescent="0.2">
      <c r="B102" s="85">
        <v>1</v>
      </c>
      <c r="C102" s="65">
        <v>2.5000000000000001E-2</v>
      </c>
      <c r="D102" s="65">
        <v>0.05</v>
      </c>
      <c r="E102" s="65">
        <v>7.4999999999999997E-2</v>
      </c>
      <c r="F102" s="65">
        <v>8.5000000000000006E-2</v>
      </c>
      <c r="G102" s="65">
        <v>0.125</v>
      </c>
      <c r="H102" s="65">
        <v>0.115</v>
      </c>
      <c r="I102" s="65">
        <v>9.7500000000000003E-2</v>
      </c>
      <c r="J102" s="65">
        <v>8.7499999999999994E-2</v>
      </c>
      <c r="K102" s="65">
        <v>6.5000000000000002E-2</v>
      </c>
      <c r="L102" s="73">
        <v>0.05</v>
      </c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</row>
    <row r="104" spans="1:43" x14ac:dyDescent="0.2">
      <c r="A104" s="25" t="s">
        <v>9</v>
      </c>
      <c r="B104" s="19" t="str">
        <f ca="1">GetNameRange(B105)</f>
        <v>EconDataYldCurveVol</v>
      </c>
      <c r="C104" s="35"/>
      <c r="D104" s="35"/>
      <c r="E104" s="35"/>
      <c r="F104" s="35"/>
      <c r="G104" s="35"/>
      <c r="H104" s="35"/>
      <c r="I104" s="33"/>
      <c r="J104" s="33"/>
      <c r="K104" s="33"/>
      <c r="L104" s="33"/>
      <c r="M104" s="33"/>
    </row>
    <row r="105" spans="1:43" x14ac:dyDescent="0.2">
      <c r="A105" s="38" t="s">
        <v>103</v>
      </c>
      <c r="B105" s="108" t="s">
        <v>108</v>
      </c>
      <c r="C105" s="112" t="s">
        <v>84</v>
      </c>
      <c r="D105" s="112" t="s">
        <v>84</v>
      </c>
      <c r="E105" s="112" t="s">
        <v>84</v>
      </c>
      <c r="F105" s="112" t="s">
        <v>84</v>
      </c>
      <c r="G105" s="112" t="s">
        <v>84</v>
      </c>
      <c r="H105" s="113" t="s">
        <v>84</v>
      </c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</row>
    <row r="106" spans="1:43" x14ac:dyDescent="0.2">
      <c r="B106" s="123" t="s">
        <v>101</v>
      </c>
      <c r="C106" s="50">
        <v>0.25</v>
      </c>
      <c r="D106" s="50">
        <v>0.5</v>
      </c>
      <c r="E106" s="50">
        <v>1</v>
      </c>
      <c r="F106" s="50">
        <v>3</v>
      </c>
      <c r="G106" s="50">
        <v>5</v>
      </c>
      <c r="H106" s="124">
        <v>20</v>
      </c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</row>
    <row r="107" spans="1:43" x14ac:dyDescent="0.2">
      <c r="B107" s="83" t="s">
        <v>99</v>
      </c>
      <c r="C107" s="115"/>
      <c r="D107" s="115"/>
      <c r="E107" s="115"/>
      <c r="F107" s="115"/>
      <c r="G107" s="125"/>
      <c r="H107" s="126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</row>
    <row r="108" spans="1:43" x14ac:dyDescent="0.2">
      <c r="B108" s="85">
        <v>1</v>
      </c>
      <c r="C108" s="65">
        <v>0.25</v>
      </c>
      <c r="D108" s="65">
        <v>0.15</v>
      </c>
      <c r="E108" s="65">
        <v>0.1</v>
      </c>
      <c r="F108" s="65">
        <v>0.08</v>
      </c>
      <c r="G108" s="65">
        <v>0.06</v>
      </c>
      <c r="H108" s="73">
        <v>0.05</v>
      </c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</row>
    <row r="109" spans="1:43" x14ac:dyDescent="0.2"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</row>
    <row r="110" spans="1:43" x14ac:dyDescent="0.2">
      <c r="A110" s="25" t="s">
        <v>9</v>
      </c>
      <c r="B110" s="19" t="str">
        <f ca="1">GetNameRange(B112)</f>
        <v>EconDataIndexRateMRData</v>
      </c>
      <c r="C110" s="12"/>
      <c r="D110" s="12"/>
      <c r="E110" s="12"/>
      <c r="F110" s="12"/>
    </row>
    <row r="111" spans="1:43" x14ac:dyDescent="0.2">
      <c r="A111" s="38" t="s">
        <v>103</v>
      </c>
      <c r="B111" s="92" t="s">
        <v>110</v>
      </c>
      <c r="C111" s="53" t="s">
        <v>79</v>
      </c>
      <c r="D111" s="53" t="s">
        <v>79</v>
      </c>
      <c r="E111" s="53" t="s">
        <v>79</v>
      </c>
      <c r="F111" s="66" t="s">
        <v>79</v>
      </c>
    </row>
    <row r="112" spans="1:43" x14ac:dyDescent="0.2">
      <c r="B112" s="95" t="s">
        <v>112</v>
      </c>
      <c r="C112" s="21" t="s">
        <v>80</v>
      </c>
      <c r="D112" s="21" t="s">
        <v>81</v>
      </c>
      <c r="E112" s="21" t="s">
        <v>82</v>
      </c>
      <c r="F112" s="67" t="s">
        <v>83</v>
      </c>
    </row>
    <row r="113" spans="1:38" x14ac:dyDescent="0.2">
      <c r="B113" s="98" t="s">
        <v>99</v>
      </c>
      <c r="C113" s="30"/>
      <c r="D113" s="30"/>
      <c r="E113" s="30"/>
      <c r="F113" s="122"/>
    </row>
    <row r="114" spans="1:38" x14ac:dyDescent="0.2">
      <c r="B114" s="85">
        <v>1</v>
      </c>
      <c r="C114" s="65">
        <v>1.5E-3</v>
      </c>
      <c r="D114" s="65">
        <v>3.5000000000000003E-2</v>
      </c>
      <c r="E114" s="65">
        <v>1</v>
      </c>
      <c r="F114" s="73">
        <v>0</v>
      </c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</row>
    <row r="115" spans="1:38" x14ac:dyDescent="0.2"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</row>
    <row r="116" spans="1:38" x14ac:dyDescent="0.2">
      <c r="A116" s="25" t="s">
        <v>9</v>
      </c>
      <c r="B116" s="19" t="str">
        <f ca="1">GetNameRange(B118)</f>
        <v>EconDataIndexRateVol</v>
      </c>
      <c r="C116" s="33"/>
      <c r="D116" s="33"/>
      <c r="E116" s="3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</row>
    <row r="117" spans="1:38" x14ac:dyDescent="0.2">
      <c r="A117" s="38" t="s">
        <v>103</v>
      </c>
      <c r="B117" s="108" t="s">
        <v>110</v>
      </c>
      <c r="C117" s="112" t="s">
        <v>79</v>
      </c>
      <c r="D117" s="112" t="s">
        <v>79</v>
      </c>
      <c r="E117" s="112" t="s">
        <v>79</v>
      </c>
      <c r="F117" s="112" t="s">
        <v>79</v>
      </c>
      <c r="G117" s="112" t="s">
        <v>79</v>
      </c>
      <c r="H117" s="112" t="s">
        <v>79</v>
      </c>
      <c r="I117" s="112" t="s">
        <v>79</v>
      </c>
      <c r="J117" s="112" t="s">
        <v>79</v>
      </c>
      <c r="K117" s="112" t="s">
        <v>79</v>
      </c>
      <c r="L117" s="112" t="s">
        <v>79</v>
      </c>
      <c r="M117" s="112" t="s">
        <v>79</v>
      </c>
      <c r="N117" s="112" t="s">
        <v>79</v>
      </c>
      <c r="O117" s="112" t="s">
        <v>79</v>
      </c>
      <c r="P117" s="112" t="s">
        <v>79</v>
      </c>
      <c r="Q117" s="113" t="s">
        <v>79</v>
      </c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</row>
    <row r="118" spans="1:38" x14ac:dyDescent="0.2">
      <c r="B118" s="123" t="s">
        <v>109</v>
      </c>
      <c r="C118" s="50">
        <v>0.9</v>
      </c>
      <c r="D118" s="50">
        <v>0.9</v>
      </c>
      <c r="E118" s="50">
        <v>0.9</v>
      </c>
      <c r="F118" s="50">
        <v>0.95</v>
      </c>
      <c r="G118" s="50">
        <v>0.95</v>
      </c>
      <c r="H118" s="50">
        <v>0.95</v>
      </c>
      <c r="I118" s="50">
        <v>1</v>
      </c>
      <c r="J118" s="50">
        <v>1</v>
      </c>
      <c r="K118" s="50">
        <v>1</v>
      </c>
      <c r="L118" s="50">
        <v>1.05</v>
      </c>
      <c r="M118" s="50">
        <v>1.05</v>
      </c>
      <c r="N118" s="50">
        <v>1.05</v>
      </c>
      <c r="O118" s="50">
        <v>1.1000000000000001</v>
      </c>
      <c r="P118" s="50">
        <v>1.1000000000000001</v>
      </c>
      <c r="Q118" s="124">
        <v>1.1000000000000001</v>
      </c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</row>
    <row r="119" spans="1:38" x14ac:dyDescent="0.2">
      <c r="B119" s="123" t="s">
        <v>101</v>
      </c>
      <c r="C119" s="50">
        <v>1</v>
      </c>
      <c r="D119" s="50">
        <v>5</v>
      </c>
      <c r="E119" s="50">
        <v>10</v>
      </c>
      <c r="F119" s="50">
        <v>1</v>
      </c>
      <c r="G119" s="50">
        <v>5</v>
      </c>
      <c r="H119" s="50">
        <v>10</v>
      </c>
      <c r="I119" s="50">
        <v>1</v>
      </c>
      <c r="J119" s="50">
        <v>5</v>
      </c>
      <c r="K119" s="50">
        <v>10</v>
      </c>
      <c r="L119" s="50">
        <v>1</v>
      </c>
      <c r="M119" s="50">
        <v>5</v>
      </c>
      <c r="N119" s="50">
        <v>10</v>
      </c>
      <c r="O119" s="50">
        <v>1</v>
      </c>
      <c r="P119" s="50">
        <v>5</v>
      </c>
      <c r="Q119" s="124">
        <v>10</v>
      </c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</row>
    <row r="120" spans="1:38" x14ac:dyDescent="0.2">
      <c r="B120" s="83" t="s">
        <v>2</v>
      </c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6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</row>
    <row r="121" spans="1:38" x14ac:dyDescent="0.2">
      <c r="B121" s="85">
        <v>1</v>
      </c>
      <c r="C121" s="65">
        <v>0.21876000000000001</v>
      </c>
      <c r="D121" s="65">
        <v>0.27289999999999998</v>
      </c>
      <c r="E121" s="65">
        <v>0.30787999999999999</v>
      </c>
      <c r="F121" s="65">
        <v>0.21876000000000001</v>
      </c>
      <c r="G121" s="65">
        <v>0.27289999999999998</v>
      </c>
      <c r="H121" s="65">
        <v>0.30787999999999999</v>
      </c>
      <c r="I121" s="65">
        <v>0.21876000000000001</v>
      </c>
      <c r="J121" s="65">
        <v>0.27289999999999998</v>
      </c>
      <c r="K121" s="65">
        <v>0.30787999999999999</v>
      </c>
      <c r="L121" s="65">
        <v>0.21876000000000001</v>
      </c>
      <c r="M121" s="65">
        <v>0.27289999999999998</v>
      </c>
      <c r="N121" s="65">
        <v>0.30787999999999999</v>
      </c>
      <c r="O121" s="65">
        <v>0.21876000000000001</v>
      </c>
      <c r="P121" s="65">
        <v>0.27289999999999998</v>
      </c>
      <c r="Q121" s="73">
        <v>0.30787999999999999</v>
      </c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</row>
    <row r="122" spans="1:38" x14ac:dyDescent="0.2"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</row>
    <row r="123" spans="1:38" x14ac:dyDescent="0.2">
      <c r="A123" s="25" t="s">
        <v>9</v>
      </c>
      <c r="B123" s="19" t="str">
        <f ca="1">GetNameRange(B125)</f>
        <v>EconDataMiscRates</v>
      </c>
    </row>
    <row r="124" spans="1:38" x14ac:dyDescent="0.2">
      <c r="A124" s="38" t="s">
        <v>103</v>
      </c>
      <c r="B124" s="92" t="s">
        <v>110</v>
      </c>
      <c r="C124" s="66" t="s">
        <v>116</v>
      </c>
    </row>
    <row r="125" spans="1:38" x14ac:dyDescent="0.2">
      <c r="B125" s="98" t="s">
        <v>99</v>
      </c>
      <c r="C125" s="122"/>
    </row>
    <row r="126" spans="1:38" x14ac:dyDescent="0.2">
      <c r="B126" s="85">
        <v>1</v>
      </c>
      <c r="C126" s="73">
        <v>0.02</v>
      </c>
    </row>
    <row r="127" spans="1:38" x14ac:dyDescent="0.2">
      <c r="C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</row>
    <row r="128" spans="1:38" x14ac:dyDescent="0.2">
      <c r="A128" s="25" t="s">
        <v>9</v>
      </c>
      <c r="B128" s="19" t="str">
        <f ca="1">GetNameRange(B130)</f>
        <v>EconDataCorrelation</v>
      </c>
      <c r="C128" s="36"/>
      <c r="D128" s="34"/>
      <c r="E128" s="34"/>
      <c r="F128" s="34"/>
      <c r="G128" s="34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</row>
    <row r="129" spans="1:32" x14ac:dyDescent="0.2">
      <c r="A129" s="38" t="s">
        <v>103</v>
      </c>
      <c r="B129" s="92" t="s">
        <v>85</v>
      </c>
      <c r="C129" s="111" t="s">
        <v>84</v>
      </c>
      <c r="D129" s="111" t="s">
        <v>90</v>
      </c>
      <c r="E129" s="111" t="s">
        <v>91</v>
      </c>
      <c r="F129" s="111" t="s">
        <v>87</v>
      </c>
      <c r="G129" s="111" t="s">
        <v>92</v>
      </c>
      <c r="H129" s="112" t="s">
        <v>86</v>
      </c>
      <c r="I129" s="112" t="s">
        <v>88</v>
      </c>
      <c r="J129" s="112" t="s">
        <v>79</v>
      </c>
      <c r="K129" s="112" t="s">
        <v>93</v>
      </c>
      <c r="L129" s="113" t="s">
        <v>94</v>
      </c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</row>
    <row r="130" spans="1:32" x14ac:dyDescent="0.2">
      <c r="B130" s="98" t="s">
        <v>89</v>
      </c>
      <c r="C130" s="114"/>
      <c r="D130" s="114"/>
      <c r="E130" s="114"/>
      <c r="F130" s="114"/>
      <c r="G130" s="114"/>
      <c r="H130" s="115"/>
      <c r="I130" s="115"/>
      <c r="J130" s="115"/>
      <c r="K130" s="115"/>
      <c r="L130" s="116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</row>
    <row r="131" spans="1:32" x14ac:dyDescent="0.2">
      <c r="B131" s="117" t="s">
        <v>84</v>
      </c>
      <c r="C131" s="39">
        <v>1</v>
      </c>
      <c r="D131" s="39">
        <v>0</v>
      </c>
      <c r="E131" s="39">
        <v>0</v>
      </c>
      <c r="F131" s="39">
        <v>0</v>
      </c>
      <c r="G131" s="39">
        <v>0</v>
      </c>
      <c r="H131" s="39">
        <v>0</v>
      </c>
      <c r="I131" s="39">
        <v>0</v>
      </c>
      <c r="J131" s="39">
        <v>0</v>
      </c>
      <c r="K131" s="39">
        <v>0</v>
      </c>
      <c r="L131" s="118">
        <v>0</v>
      </c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</row>
    <row r="132" spans="1:32" x14ac:dyDescent="0.2">
      <c r="B132" s="117" t="s">
        <v>90</v>
      </c>
      <c r="C132" s="39">
        <v>0</v>
      </c>
      <c r="D132" s="39">
        <v>1</v>
      </c>
      <c r="E132" s="39">
        <v>0</v>
      </c>
      <c r="F132" s="39">
        <v>0</v>
      </c>
      <c r="G132" s="39">
        <v>0</v>
      </c>
      <c r="H132" s="39">
        <v>0</v>
      </c>
      <c r="I132" s="39">
        <v>0</v>
      </c>
      <c r="J132" s="39">
        <v>0</v>
      </c>
      <c r="K132" s="39">
        <v>0</v>
      </c>
      <c r="L132" s="118">
        <v>0</v>
      </c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</row>
    <row r="133" spans="1:32" x14ac:dyDescent="0.2">
      <c r="B133" s="117" t="s">
        <v>91</v>
      </c>
      <c r="C133" s="39">
        <v>0</v>
      </c>
      <c r="D133" s="39">
        <v>0</v>
      </c>
      <c r="E133" s="39">
        <v>1</v>
      </c>
      <c r="F133" s="39">
        <v>0</v>
      </c>
      <c r="G133" s="39">
        <v>0</v>
      </c>
      <c r="H133" s="39">
        <v>0</v>
      </c>
      <c r="I133" s="39">
        <v>0</v>
      </c>
      <c r="J133" s="39">
        <v>0</v>
      </c>
      <c r="K133" s="39">
        <v>0</v>
      </c>
      <c r="L133" s="118">
        <v>0</v>
      </c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</row>
    <row r="134" spans="1:32" x14ac:dyDescent="0.2">
      <c r="B134" s="117" t="s">
        <v>87</v>
      </c>
      <c r="C134" s="39">
        <v>0</v>
      </c>
      <c r="D134" s="39">
        <v>0</v>
      </c>
      <c r="E134" s="39">
        <v>0</v>
      </c>
      <c r="F134" s="39">
        <v>1</v>
      </c>
      <c r="G134" s="39">
        <v>0</v>
      </c>
      <c r="H134" s="39">
        <v>0</v>
      </c>
      <c r="I134" s="39">
        <v>0</v>
      </c>
      <c r="J134" s="39">
        <v>0</v>
      </c>
      <c r="K134" s="39">
        <v>0</v>
      </c>
      <c r="L134" s="118">
        <v>0</v>
      </c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</row>
    <row r="135" spans="1:32" x14ac:dyDescent="0.2">
      <c r="B135" s="117" t="s">
        <v>92</v>
      </c>
      <c r="C135" s="39">
        <v>0</v>
      </c>
      <c r="D135" s="39">
        <v>0</v>
      </c>
      <c r="E135" s="39">
        <v>0</v>
      </c>
      <c r="F135" s="39">
        <v>0</v>
      </c>
      <c r="G135" s="39">
        <v>1</v>
      </c>
      <c r="H135" s="39">
        <v>0</v>
      </c>
      <c r="I135" s="39">
        <v>0</v>
      </c>
      <c r="J135" s="39">
        <v>0</v>
      </c>
      <c r="K135" s="39">
        <v>0</v>
      </c>
      <c r="L135" s="118">
        <v>0</v>
      </c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</row>
    <row r="136" spans="1:32" x14ac:dyDescent="0.2">
      <c r="B136" s="58" t="s">
        <v>86</v>
      </c>
      <c r="C136" s="39">
        <v>0</v>
      </c>
      <c r="D136" s="39">
        <v>0</v>
      </c>
      <c r="E136" s="39">
        <v>0</v>
      </c>
      <c r="F136" s="39">
        <v>0</v>
      </c>
      <c r="G136" s="39">
        <v>0</v>
      </c>
      <c r="H136" s="39">
        <v>1</v>
      </c>
      <c r="I136" s="39">
        <v>0</v>
      </c>
      <c r="J136" s="39">
        <v>0</v>
      </c>
      <c r="K136" s="39">
        <v>0</v>
      </c>
      <c r="L136" s="118">
        <v>0</v>
      </c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</row>
    <row r="137" spans="1:32" x14ac:dyDescent="0.2">
      <c r="B137" s="58" t="s">
        <v>88</v>
      </c>
      <c r="C137" s="39">
        <v>0</v>
      </c>
      <c r="D137" s="39">
        <v>0</v>
      </c>
      <c r="E137" s="39">
        <v>0</v>
      </c>
      <c r="F137" s="39">
        <v>0</v>
      </c>
      <c r="G137" s="39">
        <v>0</v>
      </c>
      <c r="H137" s="39">
        <v>0</v>
      </c>
      <c r="I137" s="39">
        <v>1</v>
      </c>
      <c r="J137" s="39">
        <v>0</v>
      </c>
      <c r="K137" s="39">
        <v>0</v>
      </c>
      <c r="L137" s="118">
        <v>0</v>
      </c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</row>
    <row r="138" spans="1:32" x14ac:dyDescent="0.2">
      <c r="B138" s="58" t="s">
        <v>79</v>
      </c>
      <c r="C138" s="39">
        <v>0</v>
      </c>
      <c r="D138" s="39">
        <v>0</v>
      </c>
      <c r="E138" s="39">
        <v>0</v>
      </c>
      <c r="F138" s="39">
        <v>0</v>
      </c>
      <c r="G138" s="39">
        <v>0</v>
      </c>
      <c r="H138" s="39">
        <v>0</v>
      </c>
      <c r="I138" s="39">
        <v>0</v>
      </c>
      <c r="J138" s="39">
        <v>1</v>
      </c>
      <c r="K138" s="39">
        <v>0</v>
      </c>
      <c r="L138" s="118">
        <v>0</v>
      </c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</row>
    <row r="139" spans="1:32" x14ac:dyDescent="0.2">
      <c r="B139" s="58" t="s">
        <v>93</v>
      </c>
      <c r="C139" s="39">
        <v>0</v>
      </c>
      <c r="D139" s="39">
        <v>0</v>
      </c>
      <c r="E139" s="39">
        <v>0</v>
      </c>
      <c r="F139" s="39">
        <v>0</v>
      </c>
      <c r="G139" s="39">
        <v>0</v>
      </c>
      <c r="H139" s="39">
        <v>0</v>
      </c>
      <c r="I139" s="39">
        <v>0</v>
      </c>
      <c r="J139" s="39">
        <v>0</v>
      </c>
      <c r="K139" s="39">
        <v>1</v>
      </c>
      <c r="L139" s="118">
        <v>0</v>
      </c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</row>
    <row r="140" spans="1:32" x14ac:dyDescent="0.2">
      <c r="B140" s="119" t="s">
        <v>94</v>
      </c>
      <c r="C140" s="120">
        <v>0</v>
      </c>
      <c r="D140" s="120">
        <v>0</v>
      </c>
      <c r="E140" s="120">
        <v>0</v>
      </c>
      <c r="F140" s="120">
        <v>0</v>
      </c>
      <c r="G140" s="120">
        <v>0</v>
      </c>
      <c r="H140" s="120">
        <v>0</v>
      </c>
      <c r="I140" s="120">
        <v>0</v>
      </c>
      <c r="J140" s="120">
        <v>0</v>
      </c>
      <c r="K140" s="120">
        <v>0</v>
      </c>
      <c r="L140" s="121">
        <v>1</v>
      </c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</row>
    <row r="141" spans="1:32" x14ac:dyDescent="0.2">
      <c r="B141" s="131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</row>
    <row r="142" spans="1:32" x14ac:dyDescent="0.2">
      <c r="A142" s="25" t="s">
        <v>9</v>
      </c>
      <c r="B142" s="19" t="str">
        <f ca="1">GetNameRange(B143)</f>
        <v>EconDataCorrelationSub</v>
      </c>
      <c r="I142" s="39"/>
      <c r="J142" s="39"/>
      <c r="K142" s="39"/>
      <c r="L142" s="39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</row>
    <row r="143" spans="1:32" x14ac:dyDescent="0.2">
      <c r="A143" s="38" t="s">
        <v>103</v>
      </c>
      <c r="B143" s="92" t="s">
        <v>85</v>
      </c>
      <c r="C143" s="111" t="s">
        <v>84</v>
      </c>
      <c r="D143" s="111" t="s">
        <v>79</v>
      </c>
      <c r="E143" s="111" t="s">
        <v>86</v>
      </c>
      <c r="F143" s="111" t="s">
        <v>87</v>
      </c>
      <c r="G143" s="132" t="s">
        <v>88</v>
      </c>
      <c r="H143" s="39"/>
      <c r="I143" s="39"/>
      <c r="J143" s="39"/>
      <c r="K143" s="39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</row>
    <row r="144" spans="1:32" x14ac:dyDescent="0.2">
      <c r="B144" s="98" t="s">
        <v>89</v>
      </c>
      <c r="C144" s="114"/>
      <c r="D144" s="114"/>
      <c r="E144" s="114"/>
      <c r="F144" s="114"/>
      <c r="G144" s="133"/>
      <c r="H144" s="39"/>
      <c r="I144" s="39"/>
      <c r="J144" s="39"/>
      <c r="K144" s="39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</row>
    <row r="145" spans="1:32" x14ac:dyDescent="0.2">
      <c r="B145" s="117" t="s">
        <v>84</v>
      </c>
      <c r="C145" s="39">
        <v>1</v>
      </c>
      <c r="D145" s="39">
        <v>0.03</v>
      </c>
      <c r="E145" s="39">
        <v>-0.01</v>
      </c>
      <c r="F145" s="39">
        <v>0.41</v>
      </c>
      <c r="G145" s="118">
        <v>-0.12</v>
      </c>
      <c r="H145" s="39"/>
      <c r="I145" s="39"/>
      <c r="J145" s="39"/>
      <c r="K145" s="39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</row>
    <row r="146" spans="1:32" x14ac:dyDescent="0.2">
      <c r="B146" s="117" t="s">
        <v>79</v>
      </c>
      <c r="C146" s="39">
        <v>0.03</v>
      </c>
      <c r="D146" s="39">
        <v>1</v>
      </c>
      <c r="E146" s="39">
        <v>0.77</v>
      </c>
      <c r="F146" s="39">
        <v>0.17</v>
      </c>
      <c r="G146" s="118">
        <v>0.48</v>
      </c>
      <c r="H146" s="39"/>
      <c r="I146" s="39"/>
      <c r="J146" s="39"/>
      <c r="K146" s="39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</row>
    <row r="147" spans="1:32" x14ac:dyDescent="0.2">
      <c r="B147" s="117" t="s">
        <v>86</v>
      </c>
      <c r="C147" s="39">
        <v>-0.01</v>
      </c>
      <c r="D147" s="39">
        <v>0.77</v>
      </c>
      <c r="E147" s="39">
        <v>1</v>
      </c>
      <c r="F147" s="39">
        <v>0.06</v>
      </c>
      <c r="G147" s="118">
        <v>0.36</v>
      </c>
      <c r="H147" s="39"/>
      <c r="I147" s="39"/>
      <c r="J147" s="39"/>
      <c r="K147" s="39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</row>
    <row r="148" spans="1:32" x14ac:dyDescent="0.2">
      <c r="B148" s="117" t="s">
        <v>87</v>
      </c>
      <c r="C148" s="39">
        <v>0.41</v>
      </c>
      <c r="D148" s="39">
        <v>0.17</v>
      </c>
      <c r="E148" s="39">
        <v>0.06</v>
      </c>
      <c r="F148" s="39">
        <v>1</v>
      </c>
      <c r="G148" s="118">
        <v>-7.0000000000000007E-2</v>
      </c>
      <c r="H148" s="39"/>
      <c r="I148" s="39"/>
      <c r="J148" s="39"/>
      <c r="K148" s="39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</row>
    <row r="149" spans="1:32" x14ac:dyDescent="0.2">
      <c r="B149" s="134" t="s">
        <v>88</v>
      </c>
      <c r="C149" s="120">
        <v>-0.12</v>
      </c>
      <c r="D149" s="120">
        <v>0.48</v>
      </c>
      <c r="E149" s="120">
        <v>0.36</v>
      </c>
      <c r="F149" s="120">
        <v>-7.0000000000000007E-2</v>
      </c>
      <c r="G149" s="121">
        <v>1</v>
      </c>
      <c r="H149" s="39"/>
      <c r="I149" s="39"/>
      <c r="J149" s="39"/>
      <c r="K149" s="39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</row>
    <row r="150" spans="1:32" x14ac:dyDescent="0.2"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</row>
    <row r="151" spans="1:32" x14ac:dyDescent="0.2">
      <c r="A151" s="25" t="s">
        <v>9</v>
      </c>
      <c r="B151" s="19" t="str">
        <f ca="1">GetNameRange(B152)</f>
        <v>CalibYldCurveData</v>
      </c>
      <c r="C151" s="35"/>
      <c r="D151" s="35"/>
      <c r="E151" s="35"/>
      <c r="F151" s="35"/>
      <c r="G151" s="35"/>
      <c r="H151" s="35"/>
      <c r="I151" s="35"/>
      <c r="J151" s="35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</row>
    <row r="152" spans="1:32" x14ac:dyDescent="0.2">
      <c r="A152" s="38" t="s">
        <v>103</v>
      </c>
      <c r="B152" s="30" t="s">
        <v>108</v>
      </c>
      <c r="C152" s="149" t="s">
        <v>84</v>
      </c>
      <c r="D152" s="35"/>
      <c r="E152" s="35"/>
      <c r="F152" s="35"/>
      <c r="G152" s="35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</row>
    <row r="153" spans="1:32" ht="13.5" thickBot="1" x14ac:dyDescent="0.25">
      <c r="B153" s="150" t="s">
        <v>0</v>
      </c>
      <c r="C153" s="151"/>
      <c r="D153" s="35"/>
      <c r="E153" s="35"/>
      <c r="F153" s="35"/>
      <c r="G153" s="35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</row>
    <row r="154" spans="1:32" x14ac:dyDescent="0.2">
      <c r="A154" s="40" t="s">
        <v>150</v>
      </c>
      <c r="B154" s="152" t="s">
        <v>151</v>
      </c>
      <c r="C154" s="41" t="s">
        <v>150</v>
      </c>
      <c r="D154" s="35"/>
      <c r="E154" s="35"/>
      <c r="F154" s="35"/>
      <c r="G154" s="35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</row>
    <row r="155" spans="1:32" x14ac:dyDescent="0.2">
      <c r="A155" s="26" t="s">
        <v>5</v>
      </c>
      <c r="B155" s="152" t="s">
        <v>152</v>
      </c>
      <c r="C155" s="41" t="s">
        <v>5</v>
      </c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</row>
    <row r="156" spans="1:32" x14ac:dyDescent="0.2"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</row>
    <row r="157" spans="1:32" x14ac:dyDescent="0.2">
      <c r="A157" s="25" t="s">
        <v>9</v>
      </c>
      <c r="B157" s="19" t="str">
        <f ca="1">GetNameRange(B159)</f>
        <v>CalibYldCurveSwapData</v>
      </c>
      <c r="C157" s="35"/>
      <c r="D157" s="35"/>
      <c r="E157" s="35"/>
      <c r="F157" s="35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</row>
    <row r="158" spans="1:32" x14ac:dyDescent="0.2">
      <c r="A158" s="38" t="s">
        <v>103</v>
      </c>
      <c r="B158" s="30" t="s">
        <v>108</v>
      </c>
      <c r="C158" s="149" t="s">
        <v>84</v>
      </c>
      <c r="D158" s="149" t="s">
        <v>84</v>
      </c>
      <c r="E158" s="149" t="s">
        <v>84</v>
      </c>
      <c r="F158" s="149" t="s">
        <v>84</v>
      </c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</row>
    <row r="159" spans="1:32" x14ac:dyDescent="0.2">
      <c r="B159" s="30" t="s">
        <v>169</v>
      </c>
      <c r="C159" s="50">
        <v>5</v>
      </c>
      <c r="D159" s="50">
        <v>5</v>
      </c>
      <c r="E159" s="50">
        <v>10</v>
      </c>
      <c r="F159" s="50">
        <v>10</v>
      </c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</row>
    <row r="160" spans="1:32" x14ac:dyDescent="0.2">
      <c r="B160" s="30" t="s">
        <v>170</v>
      </c>
      <c r="C160" s="50">
        <v>5</v>
      </c>
      <c r="D160" s="50">
        <v>10</v>
      </c>
      <c r="E160" s="50">
        <v>5</v>
      </c>
      <c r="F160" s="50">
        <v>10</v>
      </c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</row>
    <row r="161" spans="1:32" ht="13.5" thickBot="1" x14ac:dyDescent="0.25">
      <c r="B161" s="150" t="s">
        <v>171</v>
      </c>
      <c r="C161" s="151"/>
      <c r="D161" s="151"/>
      <c r="E161" s="151"/>
      <c r="F161" s="151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</row>
    <row r="162" spans="1:32" x14ac:dyDescent="0.2">
      <c r="A162" s="40">
        <v>0</v>
      </c>
      <c r="B162" s="152" t="s">
        <v>155</v>
      </c>
      <c r="C162" s="41">
        <v>0</v>
      </c>
      <c r="D162" s="41">
        <v>0</v>
      </c>
      <c r="E162" s="41">
        <v>0</v>
      </c>
      <c r="F162" s="41">
        <v>0</v>
      </c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</row>
    <row r="163" spans="1:32" x14ac:dyDescent="0.2">
      <c r="A163" s="40">
        <v>1</v>
      </c>
      <c r="B163" s="152" t="s">
        <v>156</v>
      </c>
      <c r="C163" s="41">
        <v>1</v>
      </c>
      <c r="D163" s="41">
        <v>1</v>
      </c>
      <c r="E163" s="41">
        <v>1</v>
      </c>
      <c r="F163" s="41">
        <v>1</v>
      </c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</row>
    <row r="164" spans="1:32" x14ac:dyDescent="0.2"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</row>
    <row r="165" spans="1:32" x14ac:dyDescent="0.2">
      <c r="A165" s="25" t="s">
        <v>9</v>
      </c>
      <c r="B165" s="19" t="str">
        <f ca="1">GetNameRange(B167)</f>
        <v>CalibYldCurveBondData</v>
      </c>
      <c r="C165" s="35"/>
      <c r="D165" s="35"/>
      <c r="E165" s="35"/>
      <c r="F165" s="35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</row>
    <row r="166" spans="1:32" x14ac:dyDescent="0.2">
      <c r="A166" s="38" t="s">
        <v>103</v>
      </c>
      <c r="B166" s="30" t="s">
        <v>108</v>
      </c>
      <c r="C166" s="149" t="s">
        <v>84</v>
      </c>
      <c r="D166" s="149" t="s">
        <v>84</v>
      </c>
      <c r="E166" s="149" t="s">
        <v>84</v>
      </c>
      <c r="F166" s="149" t="s">
        <v>84</v>
      </c>
      <c r="G166" s="149" t="s">
        <v>84</v>
      </c>
      <c r="H166" s="149" t="s">
        <v>84</v>
      </c>
      <c r="I166" s="149" t="s">
        <v>84</v>
      </c>
      <c r="J166" s="149" t="s">
        <v>84</v>
      </c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</row>
    <row r="167" spans="1:32" x14ac:dyDescent="0.2">
      <c r="B167" s="30" t="s">
        <v>101</v>
      </c>
      <c r="C167" s="50">
        <v>1</v>
      </c>
      <c r="D167" s="50">
        <v>2</v>
      </c>
      <c r="E167" s="50">
        <v>3</v>
      </c>
      <c r="F167" s="50">
        <v>4</v>
      </c>
      <c r="G167" s="50">
        <v>5</v>
      </c>
      <c r="H167" s="50">
        <v>10</v>
      </c>
      <c r="I167" s="50">
        <v>15</v>
      </c>
      <c r="J167" s="50">
        <v>30</v>
      </c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</row>
    <row r="168" spans="1:32" ht="13.5" thickBot="1" x14ac:dyDescent="0.25">
      <c r="B168" s="150" t="s">
        <v>171</v>
      </c>
      <c r="C168" s="151"/>
      <c r="D168" s="151"/>
      <c r="E168" s="151"/>
      <c r="F168" s="151"/>
      <c r="G168" s="151"/>
      <c r="H168" s="151"/>
      <c r="I168" s="151"/>
      <c r="J168" s="151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</row>
    <row r="169" spans="1:32" x14ac:dyDescent="0.2">
      <c r="A169" s="40">
        <v>0</v>
      </c>
      <c r="B169" s="152" t="s">
        <v>158</v>
      </c>
      <c r="C169" s="41">
        <v>0</v>
      </c>
      <c r="D169" s="41">
        <v>0</v>
      </c>
      <c r="E169" s="41">
        <v>0</v>
      </c>
      <c r="F169" s="41">
        <v>0</v>
      </c>
      <c r="G169" s="41">
        <v>0</v>
      </c>
      <c r="H169" s="41">
        <v>0</v>
      </c>
      <c r="I169" s="41">
        <v>0</v>
      </c>
      <c r="J169" s="41">
        <v>0</v>
      </c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</row>
    <row r="170" spans="1:32" x14ac:dyDescent="0.2">
      <c r="A170" s="40">
        <v>1</v>
      </c>
      <c r="B170" s="152" t="s">
        <v>159</v>
      </c>
      <c r="C170" s="41">
        <v>1</v>
      </c>
      <c r="D170" s="41">
        <v>1</v>
      </c>
      <c r="E170" s="41">
        <v>1</v>
      </c>
      <c r="F170" s="41">
        <v>1</v>
      </c>
      <c r="G170" s="41">
        <v>1</v>
      </c>
      <c r="H170" s="41">
        <v>1</v>
      </c>
      <c r="I170" s="41">
        <v>1</v>
      </c>
      <c r="J170" s="41">
        <v>1</v>
      </c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</row>
    <row r="171" spans="1:32" x14ac:dyDescent="0.2"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</row>
    <row r="172" spans="1:32" x14ac:dyDescent="0.2">
      <c r="A172" s="25" t="s">
        <v>9</v>
      </c>
      <c r="B172" s="19" t="str">
        <f ca="1">GetNameRange(B173)</f>
        <v>CalibIndexRateData</v>
      </c>
      <c r="C172" s="35"/>
      <c r="D172" s="35"/>
      <c r="E172" s="35"/>
      <c r="F172" s="35"/>
      <c r="G172" s="35"/>
      <c r="H172" s="35"/>
      <c r="I172" s="35"/>
      <c r="J172" s="35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</row>
    <row r="173" spans="1:32" x14ac:dyDescent="0.2">
      <c r="A173" s="38" t="s">
        <v>103</v>
      </c>
      <c r="B173" s="30" t="s">
        <v>110</v>
      </c>
      <c r="C173" s="149" t="s">
        <v>79</v>
      </c>
      <c r="D173" s="35"/>
      <c r="E173" s="35"/>
      <c r="F173" s="35"/>
      <c r="G173" s="35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</row>
    <row r="174" spans="1:32" ht="13.5" thickBot="1" x14ac:dyDescent="0.25">
      <c r="B174" s="150" t="s">
        <v>0</v>
      </c>
      <c r="C174" s="151"/>
      <c r="D174" s="35"/>
      <c r="E174" s="35"/>
      <c r="F174" s="35"/>
      <c r="G174" s="35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</row>
    <row r="175" spans="1:32" x14ac:dyDescent="0.2">
      <c r="A175" s="26" t="s">
        <v>5</v>
      </c>
      <c r="B175" s="152" t="s">
        <v>161</v>
      </c>
      <c r="C175" s="41" t="s">
        <v>5</v>
      </c>
      <c r="D175" s="35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</row>
    <row r="176" spans="1:32" x14ac:dyDescent="0.2">
      <c r="A176" s="40">
        <v>0</v>
      </c>
      <c r="B176" s="152" t="s">
        <v>162</v>
      </c>
      <c r="C176" s="41">
        <v>0</v>
      </c>
      <c r="D176" s="35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</row>
    <row r="177" spans="1:32" x14ac:dyDescent="0.2">
      <c r="A177" s="26" t="s">
        <v>163</v>
      </c>
      <c r="B177" s="152" t="s">
        <v>164</v>
      </c>
      <c r="C177" s="41" t="s">
        <v>163</v>
      </c>
      <c r="D177" s="35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</row>
    <row r="178" spans="1:32" x14ac:dyDescent="0.2">
      <c r="C178" s="23"/>
      <c r="D178" s="35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</row>
    <row r="179" spans="1:32" x14ac:dyDescent="0.2">
      <c r="A179" s="25" t="s">
        <v>9</v>
      </c>
      <c r="B179" s="19" t="str">
        <f ca="1">GetNameRange(B181)</f>
        <v>CalibIndexRateOptData</v>
      </c>
      <c r="C179" s="35"/>
      <c r="D179" s="35"/>
      <c r="E179" s="35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</row>
    <row r="180" spans="1:32" x14ac:dyDescent="0.2">
      <c r="A180" s="38" t="s">
        <v>103</v>
      </c>
      <c r="B180" s="30" t="s">
        <v>110</v>
      </c>
      <c r="C180" s="149" t="s">
        <v>79</v>
      </c>
      <c r="D180" s="149" t="s">
        <v>79</v>
      </c>
      <c r="E180" s="149" t="s">
        <v>79</v>
      </c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</row>
    <row r="181" spans="1:32" x14ac:dyDescent="0.2">
      <c r="B181" s="30" t="s">
        <v>109</v>
      </c>
      <c r="C181" s="50">
        <v>1</v>
      </c>
      <c r="D181" s="50">
        <v>1</v>
      </c>
      <c r="E181" s="50">
        <v>1</v>
      </c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</row>
    <row r="182" spans="1:32" x14ac:dyDescent="0.2">
      <c r="B182" s="30" t="s">
        <v>101</v>
      </c>
      <c r="C182" s="50">
        <v>1</v>
      </c>
      <c r="D182" s="50">
        <v>5</v>
      </c>
      <c r="E182" s="50">
        <v>10</v>
      </c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</row>
    <row r="183" spans="1:32" ht="13.5" thickBot="1" x14ac:dyDescent="0.25">
      <c r="B183" s="150" t="s">
        <v>171</v>
      </c>
      <c r="C183" s="151"/>
      <c r="D183" s="151"/>
      <c r="E183" s="151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</row>
    <row r="184" spans="1:32" x14ac:dyDescent="0.2">
      <c r="A184" s="40">
        <v>0</v>
      </c>
      <c r="B184" s="152" t="s">
        <v>167</v>
      </c>
      <c r="C184" s="41">
        <v>0</v>
      </c>
      <c r="D184" s="41">
        <v>0</v>
      </c>
      <c r="E184" s="41">
        <v>0</v>
      </c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</row>
    <row r="185" spans="1:32" x14ac:dyDescent="0.2">
      <c r="A185" s="40">
        <v>1</v>
      </c>
      <c r="B185" s="152" t="s">
        <v>168</v>
      </c>
      <c r="C185" s="41">
        <v>1</v>
      </c>
      <c r="D185" s="41">
        <v>1</v>
      </c>
      <c r="E185" s="41">
        <v>1</v>
      </c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</row>
    <row r="186" spans="1:32" x14ac:dyDescent="0.2"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</row>
    <row r="187" spans="1:32" x14ac:dyDescent="0.2">
      <c r="A187" s="25" t="s">
        <v>9</v>
      </c>
      <c r="B187" s="19" t="str">
        <f ca="1">GetNameRange(B189)</f>
        <v>CalibYldCurveRates</v>
      </c>
    </row>
    <row r="188" spans="1:32" x14ac:dyDescent="0.2">
      <c r="A188" s="38" t="s">
        <v>103</v>
      </c>
      <c r="B188" s="77"/>
      <c r="C188" s="78" t="s">
        <v>0</v>
      </c>
      <c r="D188" s="79" t="s">
        <v>60</v>
      </c>
      <c r="E188" s="79" t="s">
        <v>61</v>
      </c>
      <c r="F188" s="79" t="s">
        <v>62</v>
      </c>
      <c r="G188" s="79" t="s">
        <v>63</v>
      </c>
      <c r="H188" s="79" t="s">
        <v>64</v>
      </c>
      <c r="I188" s="80" t="s">
        <v>65</v>
      </c>
    </row>
    <row r="189" spans="1:32" x14ac:dyDescent="0.2">
      <c r="B189" s="81"/>
      <c r="C189" s="30" t="s">
        <v>108</v>
      </c>
      <c r="D189" s="51" t="s">
        <v>84</v>
      </c>
      <c r="E189" s="51" t="s">
        <v>84</v>
      </c>
      <c r="F189" s="51" t="s">
        <v>84</v>
      </c>
      <c r="G189" s="51" t="s">
        <v>84</v>
      </c>
      <c r="H189" s="51" t="s">
        <v>84</v>
      </c>
      <c r="I189" s="82" t="s">
        <v>84</v>
      </c>
    </row>
    <row r="190" spans="1:32" x14ac:dyDescent="0.2">
      <c r="B190" s="83" t="s">
        <v>99</v>
      </c>
      <c r="C190" s="49" t="s">
        <v>118</v>
      </c>
      <c r="D190" s="51"/>
      <c r="E190" s="51"/>
      <c r="F190" s="51"/>
      <c r="G190" s="51"/>
      <c r="H190" s="51"/>
      <c r="I190" s="82"/>
    </row>
    <row r="191" spans="1:32" x14ac:dyDescent="0.2">
      <c r="B191" s="84">
        <v>1</v>
      </c>
      <c r="C191" s="31">
        <v>1</v>
      </c>
      <c r="D191" s="23">
        <v>1</v>
      </c>
      <c r="E191" s="23">
        <v>1</v>
      </c>
      <c r="F191" s="88">
        <v>0.05</v>
      </c>
      <c r="G191" s="88">
        <v>9.5999999999999992E-3</v>
      </c>
      <c r="H191" s="88">
        <v>0.01</v>
      </c>
      <c r="I191" s="89">
        <v>0.2</v>
      </c>
    </row>
    <row r="192" spans="1:32" x14ac:dyDescent="0.2">
      <c r="B192" s="84">
        <v>1</v>
      </c>
      <c r="C192" s="31">
        <v>2</v>
      </c>
      <c r="D192" s="23">
        <v>1</v>
      </c>
      <c r="E192" s="23">
        <v>1</v>
      </c>
      <c r="F192" s="88">
        <v>0.95</v>
      </c>
      <c r="G192" s="88">
        <v>3.5400000000000001E-2</v>
      </c>
      <c r="H192" s="88">
        <v>0.01</v>
      </c>
      <c r="I192" s="89">
        <v>0.2</v>
      </c>
    </row>
    <row r="193" spans="1:9" x14ac:dyDescent="0.2">
      <c r="B193" s="84">
        <v>1</v>
      </c>
      <c r="C193" s="31">
        <v>3</v>
      </c>
      <c r="D193" s="23">
        <v>20</v>
      </c>
      <c r="E193" s="23">
        <v>1</v>
      </c>
      <c r="F193" s="88">
        <v>0.05</v>
      </c>
      <c r="G193" s="88">
        <v>3.6499999999999998E-2</v>
      </c>
      <c r="H193" s="88">
        <v>0.01</v>
      </c>
      <c r="I193" s="89">
        <v>0.2</v>
      </c>
    </row>
    <row r="194" spans="1:9" x14ac:dyDescent="0.2">
      <c r="B194" s="84">
        <v>1</v>
      </c>
      <c r="C194" s="31">
        <v>4</v>
      </c>
      <c r="D194" s="23">
        <v>20</v>
      </c>
      <c r="E194" s="23">
        <v>1</v>
      </c>
      <c r="F194" s="88">
        <v>0.95</v>
      </c>
      <c r="G194" s="88">
        <v>5.11E-2</v>
      </c>
      <c r="H194" s="88">
        <v>0.01</v>
      </c>
      <c r="I194" s="89">
        <v>0.2</v>
      </c>
    </row>
    <row r="195" spans="1:9" x14ac:dyDescent="0.2">
      <c r="B195" s="84">
        <v>1</v>
      </c>
      <c r="C195" s="31">
        <v>5</v>
      </c>
      <c r="D195" s="23">
        <v>1</v>
      </c>
      <c r="E195" s="23">
        <v>5</v>
      </c>
      <c r="F195" s="88">
        <v>0.05</v>
      </c>
      <c r="G195" s="88">
        <v>1.1900000000000001E-2</v>
      </c>
      <c r="H195" s="88">
        <v>5.0000000000000001E-3</v>
      </c>
      <c r="I195" s="89">
        <v>0.1</v>
      </c>
    </row>
    <row r="196" spans="1:9" x14ac:dyDescent="0.2">
      <c r="B196" s="84">
        <v>1</v>
      </c>
      <c r="C196" s="31">
        <v>6</v>
      </c>
      <c r="D196" s="23">
        <v>1</v>
      </c>
      <c r="E196" s="23">
        <v>5</v>
      </c>
      <c r="F196" s="88">
        <v>0.95</v>
      </c>
      <c r="G196" s="88">
        <v>5.8299999999999998E-2</v>
      </c>
      <c r="H196" s="88">
        <v>5.0000000000000001E-3</v>
      </c>
      <c r="I196" s="89">
        <v>0.1</v>
      </c>
    </row>
    <row r="197" spans="1:9" x14ac:dyDescent="0.2">
      <c r="B197" s="84">
        <v>1</v>
      </c>
      <c r="C197" s="31">
        <v>7</v>
      </c>
      <c r="D197" s="23">
        <v>20</v>
      </c>
      <c r="E197" s="23">
        <v>5</v>
      </c>
      <c r="F197" s="88">
        <v>0.05</v>
      </c>
      <c r="G197" s="88">
        <v>2.92E-2</v>
      </c>
      <c r="H197" s="88">
        <v>5.0000000000000001E-3</v>
      </c>
      <c r="I197" s="89">
        <v>0.1</v>
      </c>
    </row>
    <row r="198" spans="1:9" x14ac:dyDescent="0.2">
      <c r="B198" s="84">
        <v>1</v>
      </c>
      <c r="C198" s="31">
        <v>8</v>
      </c>
      <c r="D198" s="23">
        <v>20</v>
      </c>
      <c r="E198" s="23">
        <v>5</v>
      </c>
      <c r="F198" s="88">
        <v>0.95</v>
      </c>
      <c r="G198" s="88">
        <v>6.3100000000000003E-2</v>
      </c>
      <c r="H198" s="88">
        <v>5.0000000000000001E-3</v>
      </c>
      <c r="I198" s="89">
        <v>0.1</v>
      </c>
    </row>
    <row r="199" spans="1:9" x14ac:dyDescent="0.2">
      <c r="B199" s="84">
        <v>1</v>
      </c>
      <c r="C199" s="31">
        <v>9</v>
      </c>
      <c r="D199" s="23">
        <v>1</v>
      </c>
      <c r="E199" s="23">
        <v>10</v>
      </c>
      <c r="F199" s="88">
        <v>0.05</v>
      </c>
      <c r="G199" s="88">
        <v>1.46E-2</v>
      </c>
      <c r="H199" s="88">
        <v>5.0000000000000001E-3</v>
      </c>
      <c r="I199" s="89">
        <v>0.1</v>
      </c>
    </row>
    <row r="200" spans="1:9" x14ac:dyDescent="0.2">
      <c r="B200" s="84">
        <v>1</v>
      </c>
      <c r="C200" s="31">
        <v>10</v>
      </c>
      <c r="D200" s="23">
        <v>1</v>
      </c>
      <c r="E200" s="23">
        <v>10</v>
      </c>
      <c r="F200" s="88">
        <v>0.95</v>
      </c>
      <c r="G200" s="88">
        <v>7.3200000000000001E-2</v>
      </c>
      <c r="H200" s="88">
        <v>5.0000000000000001E-3</v>
      </c>
      <c r="I200" s="89">
        <v>0.1</v>
      </c>
    </row>
    <row r="201" spans="1:9" x14ac:dyDescent="0.2">
      <c r="B201" s="84">
        <v>1</v>
      </c>
      <c r="C201" s="31">
        <v>11</v>
      </c>
      <c r="D201" s="23">
        <v>20</v>
      </c>
      <c r="E201" s="23">
        <v>10</v>
      </c>
      <c r="F201" s="88">
        <v>0.05</v>
      </c>
      <c r="G201" s="88">
        <v>2.8199999999999999E-2</v>
      </c>
      <c r="H201" s="88">
        <v>5.0000000000000001E-3</v>
      </c>
      <c r="I201" s="89">
        <v>0.1</v>
      </c>
    </row>
    <row r="202" spans="1:9" x14ac:dyDescent="0.2">
      <c r="B202" s="84">
        <v>1</v>
      </c>
      <c r="C202" s="31">
        <v>12</v>
      </c>
      <c r="D202" s="23">
        <v>20</v>
      </c>
      <c r="E202" s="23">
        <v>10</v>
      </c>
      <c r="F202" s="88">
        <v>0.95</v>
      </c>
      <c r="G202" s="88">
        <v>7.5300000000000006E-2</v>
      </c>
      <c r="H202" s="88">
        <v>5.0000000000000001E-3</v>
      </c>
      <c r="I202" s="89">
        <v>0.1</v>
      </c>
    </row>
    <row r="203" spans="1:9" x14ac:dyDescent="0.2">
      <c r="B203" s="84">
        <v>1</v>
      </c>
      <c r="C203" s="31">
        <v>13</v>
      </c>
      <c r="D203" s="23">
        <v>1</v>
      </c>
      <c r="E203" s="23">
        <v>30</v>
      </c>
      <c r="F203" s="88">
        <v>0.05</v>
      </c>
      <c r="G203" s="88">
        <v>1.67E-2</v>
      </c>
      <c r="H203" s="88">
        <v>5.0000000000000001E-3</v>
      </c>
      <c r="I203" s="89">
        <v>0.1</v>
      </c>
    </row>
    <row r="204" spans="1:9" x14ac:dyDescent="0.2">
      <c r="B204" s="84">
        <v>1</v>
      </c>
      <c r="C204" s="31">
        <v>14</v>
      </c>
      <c r="D204" s="23">
        <v>1</v>
      </c>
      <c r="E204" s="23">
        <v>30</v>
      </c>
      <c r="F204" s="88">
        <v>0.95</v>
      </c>
      <c r="G204" s="88">
        <v>9.6299999999999997E-2</v>
      </c>
      <c r="H204" s="88">
        <v>5.0000000000000001E-3</v>
      </c>
      <c r="I204" s="89">
        <v>0.1</v>
      </c>
    </row>
    <row r="205" spans="1:9" x14ac:dyDescent="0.2">
      <c r="B205" s="84">
        <v>1</v>
      </c>
      <c r="C205" s="31">
        <v>15</v>
      </c>
      <c r="D205" s="23">
        <v>20</v>
      </c>
      <c r="E205" s="23">
        <v>30</v>
      </c>
      <c r="F205" s="88">
        <v>0.05</v>
      </c>
      <c r="G205" s="88">
        <v>3.0200000000000001E-2</v>
      </c>
      <c r="H205" s="88">
        <v>5.0000000000000001E-3</v>
      </c>
      <c r="I205" s="89">
        <v>0.1</v>
      </c>
    </row>
    <row r="206" spans="1:9" x14ac:dyDescent="0.2">
      <c r="B206" s="85">
        <v>1</v>
      </c>
      <c r="C206" s="86">
        <v>16</v>
      </c>
      <c r="D206" s="87">
        <v>20</v>
      </c>
      <c r="E206" s="87">
        <v>30</v>
      </c>
      <c r="F206" s="90">
        <v>0.95</v>
      </c>
      <c r="G206" s="90">
        <v>9.8599999999999993E-2</v>
      </c>
      <c r="H206" s="90">
        <v>5.0000000000000001E-3</v>
      </c>
      <c r="I206" s="91">
        <v>0.1</v>
      </c>
    </row>
    <row r="208" spans="1:9" x14ac:dyDescent="0.2">
      <c r="A208" s="25" t="s">
        <v>9</v>
      </c>
      <c r="B208" s="19" t="str">
        <f ca="1">GetNameRange(B209)</f>
        <v>CalibYldCurveSprds</v>
      </c>
      <c r="C208" s="45"/>
      <c r="D208" s="45"/>
      <c r="E208" s="45"/>
      <c r="F208" s="45"/>
      <c r="G208" s="45"/>
    </row>
    <row r="209" spans="1:7" x14ac:dyDescent="0.2">
      <c r="A209" s="38" t="s">
        <v>103</v>
      </c>
      <c r="B209" s="77"/>
      <c r="C209" s="78" t="s">
        <v>0</v>
      </c>
      <c r="D209" s="79" t="s">
        <v>67</v>
      </c>
      <c r="E209" s="79" t="s">
        <v>68</v>
      </c>
      <c r="F209" s="79" t="s">
        <v>69</v>
      </c>
      <c r="G209" s="80" t="s">
        <v>70</v>
      </c>
    </row>
    <row r="210" spans="1:7" x14ac:dyDescent="0.2">
      <c r="B210" s="81"/>
      <c r="C210" s="30" t="s">
        <v>108</v>
      </c>
      <c r="D210" s="51" t="s">
        <v>84</v>
      </c>
      <c r="E210" s="51" t="s">
        <v>84</v>
      </c>
      <c r="F210" s="51" t="s">
        <v>84</v>
      </c>
      <c r="G210" s="82" t="s">
        <v>84</v>
      </c>
    </row>
    <row r="211" spans="1:7" x14ac:dyDescent="0.2">
      <c r="B211" s="83" t="s">
        <v>99</v>
      </c>
      <c r="C211" s="49" t="s">
        <v>117</v>
      </c>
      <c r="D211" s="51"/>
      <c r="E211" s="51"/>
      <c r="F211" s="51"/>
      <c r="G211" s="82"/>
    </row>
    <row r="212" spans="1:7" x14ac:dyDescent="0.2">
      <c r="B212" s="84">
        <v>1</v>
      </c>
      <c r="C212" s="31">
        <v>1</v>
      </c>
      <c r="D212" s="23">
        <v>30</v>
      </c>
      <c r="E212" s="41">
        <v>0.05</v>
      </c>
      <c r="F212" s="41">
        <v>-5.0000000000000001E-3</v>
      </c>
      <c r="G212" s="69">
        <v>5.0000000000000001E-3</v>
      </c>
    </row>
    <row r="213" spans="1:7" x14ac:dyDescent="0.2">
      <c r="B213" s="85">
        <v>1</v>
      </c>
      <c r="C213" s="86">
        <v>2</v>
      </c>
      <c r="D213" s="87">
        <v>30</v>
      </c>
      <c r="E213" s="65">
        <v>0.95</v>
      </c>
      <c r="F213" s="65">
        <v>2.6100000000000002E-2</v>
      </c>
      <c r="G213" s="73">
        <v>5.0000000000000001E-3</v>
      </c>
    </row>
    <row r="215" spans="1:7" x14ac:dyDescent="0.2">
      <c r="A215" s="25" t="s">
        <v>9</v>
      </c>
      <c r="B215" s="19" t="str">
        <f ca="1">GetNameRange(B216)</f>
        <v>CalibIndexRates</v>
      </c>
    </row>
    <row r="216" spans="1:7" x14ac:dyDescent="0.2">
      <c r="A216" s="38" t="s">
        <v>103</v>
      </c>
      <c r="B216" s="77"/>
      <c r="C216" s="78" t="s">
        <v>0</v>
      </c>
      <c r="D216" s="79" t="s">
        <v>72</v>
      </c>
      <c r="E216" s="79" t="s">
        <v>73</v>
      </c>
      <c r="F216" s="80" t="s">
        <v>74</v>
      </c>
    </row>
    <row r="217" spans="1:7" x14ac:dyDescent="0.2">
      <c r="B217" s="81"/>
      <c r="C217" s="30" t="s">
        <v>110</v>
      </c>
      <c r="D217" s="51" t="s">
        <v>79</v>
      </c>
      <c r="E217" s="51" t="s">
        <v>79</v>
      </c>
      <c r="F217" s="82" t="s">
        <v>79</v>
      </c>
    </row>
    <row r="218" spans="1:7" x14ac:dyDescent="0.2">
      <c r="B218" s="83" t="s">
        <v>99</v>
      </c>
      <c r="C218" s="49" t="s">
        <v>118</v>
      </c>
      <c r="D218" s="51"/>
      <c r="E218" s="51"/>
      <c r="F218" s="82"/>
    </row>
    <row r="219" spans="1:7" x14ac:dyDescent="0.2">
      <c r="B219" s="84">
        <v>1</v>
      </c>
      <c r="C219" s="31">
        <v>1</v>
      </c>
      <c r="D219" s="23">
        <v>1</v>
      </c>
      <c r="E219" s="41">
        <v>2.5000000000000001E-2</v>
      </c>
      <c r="F219" s="69">
        <v>7.8E-2</v>
      </c>
    </row>
    <row r="220" spans="1:7" x14ac:dyDescent="0.2">
      <c r="B220" s="84">
        <v>1</v>
      </c>
      <c r="C220" s="31">
        <v>2</v>
      </c>
      <c r="D220" s="23">
        <v>1</v>
      </c>
      <c r="E220" s="41">
        <v>0.05</v>
      </c>
      <c r="F220" s="69">
        <v>8.3999999999999991E-2</v>
      </c>
    </row>
    <row r="221" spans="1:7" x14ac:dyDescent="0.2">
      <c r="B221" s="84">
        <v>1</v>
      </c>
      <c r="C221" s="31">
        <v>3</v>
      </c>
      <c r="D221" s="23">
        <v>1</v>
      </c>
      <c r="E221" s="41">
        <v>0.1</v>
      </c>
      <c r="F221" s="69">
        <v>0.09</v>
      </c>
    </row>
    <row r="222" spans="1:7" x14ac:dyDescent="0.2">
      <c r="B222" s="84">
        <v>1</v>
      </c>
      <c r="C222" s="31">
        <v>4</v>
      </c>
      <c r="D222" s="23">
        <v>1</v>
      </c>
      <c r="E222" s="41">
        <v>0.9</v>
      </c>
      <c r="F222" s="69">
        <v>0.128</v>
      </c>
    </row>
    <row r="223" spans="1:7" x14ac:dyDescent="0.2">
      <c r="B223" s="84">
        <v>1</v>
      </c>
      <c r="C223" s="31">
        <v>5</v>
      </c>
      <c r="D223" s="23">
        <v>1</v>
      </c>
      <c r="E223" s="41">
        <v>0.95</v>
      </c>
      <c r="F223" s="69">
        <v>0.13500000000000001</v>
      </c>
    </row>
    <row r="224" spans="1:7" x14ac:dyDescent="0.2">
      <c r="B224" s="84">
        <v>1</v>
      </c>
      <c r="C224" s="31">
        <v>6</v>
      </c>
      <c r="D224" s="23">
        <v>1</v>
      </c>
      <c r="E224" s="41">
        <v>0.97499999999999998</v>
      </c>
      <c r="F224" s="69">
        <v>0.14199999999999999</v>
      </c>
    </row>
    <row r="225" spans="2:6" x14ac:dyDescent="0.2">
      <c r="B225" s="84">
        <v>1</v>
      </c>
      <c r="C225" s="31">
        <v>7</v>
      </c>
      <c r="D225" s="23">
        <v>5</v>
      </c>
      <c r="E225" s="41">
        <v>2.5000000000000001E-2</v>
      </c>
      <c r="F225" s="69">
        <v>7.1999999999999995E-2</v>
      </c>
    </row>
    <row r="226" spans="2:6" x14ac:dyDescent="0.2">
      <c r="B226" s="84">
        <v>1</v>
      </c>
      <c r="C226" s="31">
        <v>8</v>
      </c>
      <c r="D226" s="23">
        <v>5</v>
      </c>
      <c r="E226" s="41">
        <v>0.05</v>
      </c>
      <c r="F226" s="69">
        <v>8.1000000000000003E-2</v>
      </c>
    </row>
    <row r="227" spans="2:6" x14ac:dyDescent="0.2">
      <c r="B227" s="84">
        <v>1</v>
      </c>
      <c r="C227" s="31">
        <v>9</v>
      </c>
      <c r="D227" s="23">
        <v>5</v>
      </c>
      <c r="E227" s="41">
        <v>0.1</v>
      </c>
      <c r="F227" s="69">
        <v>9.4E-2</v>
      </c>
    </row>
    <row r="228" spans="2:6" x14ac:dyDescent="0.2">
      <c r="B228" s="84">
        <v>1</v>
      </c>
      <c r="C228" s="31">
        <v>10</v>
      </c>
      <c r="D228" s="23">
        <v>5</v>
      </c>
      <c r="E228" s="41">
        <v>0.9</v>
      </c>
      <c r="F228" s="69">
        <v>0.217</v>
      </c>
    </row>
    <row r="229" spans="2:6" x14ac:dyDescent="0.2">
      <c r="B229" s="84">
        <v>1</v>
      </c>
      <c r="C229" s="31">
        <v>11</v>
      </c>
      <c r="D229" s="23">
        <v>5</v>
      </c>
      <c r="E229" s="41">
        <v>0.95</v>
      </c>
      <c r="F229" s="69">
        <v>0.24500000000000002</v>
      </c>
    </row>
    <row r="230" spans="2:6" x14ac:dyDescent="0.2">
      <c r="B230" s="84">
        <v>1</v>
      </c>
      <c r="C230" s="31">
        <v>12</v>
      </c>
      <c r="D230" s="23">
        <v>5</v>
      </c>
      <c r="E230" s="41">
        <v>0.97499999999999998</v>
      </c>
      <c r="F230" s="69">
        <v>0.27200000000000002</v>
      </c>
    </row>
    <row r="231" spans="2:6" x14ac:dyDescent="0.2">
      <c r="B231" s="84">
        <v>1</v>
      </c>
      <c r="C231" s="31">
        <v>13</v>
      </c>
      <c r="D231" s="23">
        <v>10</v>
      </c>
      <c r="E231" s="41">
        <v>2.5000000000000001E-2</v>
      </c>
      <c r="F231" s="69">
        <v>7.9000000000000001E-2</v>
      </c>
    </row>
    <row r="232" spans="2:6" x14ac:dyDescent="0.2">
      <c r="B232" s="84">
        <v>1</v>
      </c>
      <c r="C232" s="31">
        <v>14</v>
      </c>
      <c r="D232" s="23">
        <v>10</v>
      </c>
      <c r="E232" s="41">
        <v>0.05</v>
      </c>
      <c r="F232" s="69">
        <v>9.4E-2</v>
      </c>
    </row>
    <row r="233" spans="2:6" x14ac:dyDescent="0.2">
      <c r="B233" s="84">
        <v>1</v>
      </c>
      <c r="C233" s="31">
        <v>15</v>
      </c>
      <c r="D233" s="23">
        <v>10</v>
      </c>
      <c r="E233" s="41">
        <v>0.1</v>
      </c>
      <c r="F233" s="69">
        <v>0.11599999999999999</v>
      </c>
    </row>
    <row r="234" spans="2:6" x14ac:dyDescent="0.2">
      <c r="B234" s="84">
        <v>1</v>
      </c>
      <c r="C234" s="31">
        <v>16</v>
      </c>
      <c r="D234" s="23">
        <v>10</v>
      </c>
      <c r="E234" s="41">
        <v>0.9</v>
      </c>
      <c r="F234" s="69">
        <v>0.36299999999999999</v>
      </c>
    </row>
    <row r="235" spans="2:6" x14ac:dyDescent="0.2">
      <c r="B235" s="84">
        <v>1</v>
      </c>
      <c r="C235" s="31">
        <v>17</v>
      </c>
      <c r="D235" s="23">
        <v>10</v>
      </c>
      <c r="E235" s="41">
        <v>0.95</v>
      </c>
      <c r="F235" s="69">
        <v>0.43600000000000005</v>
      </c>
    </row>
    <row r="236" spans="2:6" x14ac:dyDescent="0.2">
      <c r="B236" s="84">
        <v>1</v>
      </c>
      <c r="C236" s="31">
        <v>18</v>
      </c>
      <c r="D236" s="23">
        <v>10</v>
      </c>
      <c r="E236" s="41">
        <v>0.97499999999999998</v>
      </c>
      <c r="F236" s="69">
        <v>0.51200000000000001</v>
      </c>
    </row>
    <row r="237" spans="2:6" x14ac:dyDescent="0.2">
      <c r="B237" s="84">
        <v>1</v>
      </c>
      <c r="C237" s="31">
        <v>19</v>
      </c>
      <c r="D237" s="23">
        <v>20</v>
      </c>
      <c r="E237" s="41">
        <v>0.05</v>
      </c>
      <c r="F237" s="69">
        <v>0.151</v>
      </c>
    </row>
    <row r="238" spans="2:6" x14ac:dyDescent="0.2">
      <c r="B238" s="84">
        <v>1</v>
      </c>
      <c r="C238" s="31">
        <v>20</v>
      </c>
      <c r="D238" s="23">
        <v>20</v>
      </c>
      <c r="E238" s="41">
        <v>0.1</v>
      </c>
      <c r="F238" s="69">
        <v>0.21000000000000002</v>
      </c>
    </row>
    <row r="239" spans="2:6" x14ac:dyDescent="0.2">
      <c r="B239" s="84">
        <v>1</v>
      </c>
      <c r="C239" s="31">
        <v>21</v>
      </c>
      <c r="D239" s="23">
        <v>20</v>
      </c>
      <c r="E239" s="41">
        <v>0.9</v>
      </c>
      <c r="F239" s="69">
        <v>0.90199999999999991</v>
      </c>
    </row>
    <row r="240" spans="2:6" x14ac:dyDescent="0.2">
      <c r="B240" s="85">
        <v>1</v>
      </c>
      <c r="C240" s="86">
        <v>22</v>
      </c>
      <c r="D240" s="87">
        <v>20</v>
      </c>
      <c r="E240" s="65">
        <v>0.95</v>
      </c>
      <c r="F240" s="73">
        <v>1.17</v>
      </c>
    </row>
  </sheetData>
  <conditionalFormatting sqref="D81 D47 D88 D93 D32 D37:D42 D9:D10 D21:D29 D34 D12:D17">
    <cfRule type="cellIs" dxfId="83" priority="189" operator="notEqual">
      <formula>$A9</formula>
    </cfRule>
  </conditionalFormatting>
  <conditionalFormatting sqref="D30 D80">
    <cfRule type="cellIs" dxfId="82" priority="194" operator="notEqual">
      <formula>$B30</formula>
    </cfRule>
  </conditionalFormatting>
  <conditionalFormatting sqref="D35">
    <cfRule type="cellIs" dxfId="81" priority="181" operator="notEqual">
      <formula>$A35</formula>
    </cfRule>
  </conditionalFormatting>
  <conditionalFormatting sqref="D43:D46">
    <cfRule type="cellIs" dxfId="80" priority="179" operator="notEqual">
      <formula>$A43</formula>
    </cfRule>
  </conditionalFormatting>
  <conditionalFormatting sqref="D87">
    <cfRule type="cellIs" dxfId="79" priority="175" operator="notEqual">
      <formula>$A87</formula>
    </cfRule>
  </conditionalFormatting>
  <conditionalFormatting sqref="D92">
    <cfRule type="cellIs" dxfId="78" priority="173" operator="notEqual">
      <formula>$A92</formula>
    </cfRule>
  </conditionalFormatting>
  <conditionalFormatting sqref="D96">
    <cfRule type="cellIs" dxfId="77" priority="171" operator="notEqual">
      <formula>$A96</formula>
    </cfRule>
  </conditionalFormatting>
  <conditionalFormatting sqref="D31">
    <cfRule type="cellIs" dxfId="76" priority="124" operator="notEqual">
      <formula>$A31</formula>
    </cfRule>
  </conditionalFormatting>
  <conditionalFormatting sqref="D82:D86">
    <cfRule type="cellIs" dxfId="75" priority="121" operator="notEqual">
      <formula>$A82</formula>
    </cfRule>
  </conditionalFormatting>
  <conditionalFormatting sqref="D89:D91">
    <cfRule type="cellIs" dxfId="74" priority="118" operator="notEqual">
      <formula>$A89</formula>
    </cfRule>
  </conditionalFormatting>
  <conditionalFormatting sqref="D94">
    <cfRule type="cellIs" dxfId="73" priority="115" operator="notEqual">
      <formula>$A94</formula>
    </cfRule>
  </conditionalFormatting>
  <conditionalFormatting sqref="D95">
    <cfRule type="cellIs" dxfId="72" priority="114" operator="notEqual">
      <formula>$A95</formula>
    </cfRule>
  </conditionalFormatting>
  <conditionalFormatting sqref="D8">
    <cfRule type="cellIs" dxfId="71" priority="76" operator="notEqual">
      <formula>$A8</formula>
    </cfRule>
  </conditionalFormatting>
  <conditionalFormatting sqref="D18:D19">
    <cfRule type="cellIs" dxfId="70" priority="75" operator="notEqual">
      <formula>$A18</formula>
    </cfRule>
  </conditionalFormatting>
  <conditionalFormatting sqref="D20">
    <cfRule type="cellIs" dxfId="69" priority="74" operator="notEqual">
      <formula>$A20</formula>
    </cfRule>
  </conditionalFormatting>
  <conditionalFormatting sqref="D33">
    <cfRule type="cellIs" dxfId="68" priority="73" operator="notEqual">
      <formula>$A33</formula>
    </cfRule>
  </conditionalFormatting>
  <conditionalFormatting sqref="D79 D72:D74 D59:D66">
    <cfRule type="cellIs" dxfId="67" priority="72" operator="notEqual">
      <formula>$A59</formula>
    </cfRule>
  </conditionalFormatting>
  <conditionalFormatting sqref="D48">
    <cfRule type="cellIs" dxfId="66" priority="71" operator="notEqual">
      <formula>$A48</formula>
    </cfRule>
  </conditionalFormatting>
  <conditionalFormatting sqref="D69">
    <cfRule type="cellIs" dxfId="65" priority="70" operator="notEqual">
      <formula>$A69</formula>
    </cfRule>
  </conditionalFormatting>
  <conditionalFormatting sqref="D71">
    <cfRule type="cellIs" dxfId="64" priority="69" operator="notEqual">
      <formula>$A71</formula>
    </cfRule>
  </conditionalFormatting>
  <conditionalFormatting sqref="D77">
    <cfRule type="cellIs" dxfId="63" priority="68" operator="notEqual">
      <formula>$A77</formula>
    </cfRule>
  </conditionalFormatting>
  <conditionalFormatting sqref="D67">
    <cfRule type="cellIs" dxfId="62" priority="67" operator="notEqual">
      <formula>$A67</formula>
    </cfRule>
  </conditionalFormatting>
  <conditionalFormatting sqref="D70">
    <cfRule type="cellIs" dxfId="61" priority="66" operator="notEqual">
      <formula>$A70</formula>
    </cfRule>
  </conditionalFormatting>
  <conditionalFormatting sqref="D78">
    <cfRule type="cellIs" dxfId="60" priority="65" operator="notEqual">
      <formula>$A78</formula>
    </cfRule>
  </conditionalFormatting>
  <conditionalFormatting sqref="D68">
    <cfRule type="cellIs" dxfId="59" priority="64" operator="notEqual">
      <formula>$A68</formula>
    </cfRule>
  </conditionalFormatting>
  <conditionalFormatting sqref="D75">
    <cfRule type="cellIs" dxfId="58" priority="63" operator="notEqual">
      <formula>$A75</formula>
    </cfRule>
  </conditionalFormatting>
  <conditionalFormatting sqref="D76">
    <cfRule type="cellIs" dxfId="57" priority="62" operator="notEqual">
      <formula>$A76</formula>
    </cfRule>
  </conditionalFormatting>
  <conditionalFormatting sqref="D51:D56 D58">
    <cfRule type="cellIs" dxfId="56" priority="61" operator="notEqual">
      <formula>$A51</formula>
    </cfRule>
  </conditionalFormatting>
  <conditionalFormatting sqref="D50">
    <cfRule type="cellIs" dxfId="55" priority="60" operator="notEqual">
      <formula>$A50</formula>
    </cfRule>
  </conditionalFormatting>
  <conditionalFormatting sqref="D57">
    <cfRule type="cellIs" dxfId="54" priority="59" operator="notEqual">
      <formula>$A57</formula>
    </cfRule>
  </conditionalFormatting>
  <conditionalFormatting sqref="D185:E185">
    <cfRule type="cellIs" dxfId="53" priority="41" operator="notEqual">
      <formula>$A185</formula>
    </cfRule>
  </conditionalFormatting>
  <conditionalFormatting sqref="C154">
    <cfRule type="cellIs" dxfId="52" priority="58" operator="notEqual">
      <formula>$A154</formula>
    </cfRule>
  </conditionalFormatting>
  <conditionalFormatting sqref="C169">
    <cfRule type="cellIs" dxfId="51" priority="56" operator="notEqual">
      <formula>$A169</formula>
    </cfRule>
  </conditionalFormatting>
  <conditionalFormatting sqref="D162:F162">
    <cfRule type="cellIs" dxfId="50" priority="57" operator="notEqual">
      <formula>$A162</formula>
    </cfRule>
  </conditionalFormatting>
  <conditionalFormatting sqref="D169:F169">
    <cfRule type="cellIs" dxfId="49" priority="55" operator="notEqual">
      <formula>$A169</formula>
    </cfRule>
  </conditionalFormatting>
  <conditionalFormatting sqref="G169">
    <cfRule type="cellIs" dxfId="48" priority="54" operator="notEqual">
      <formula>$A169</formula>
    </cfRule>
  </conditionalFormatting>
  <conditionalFormatting sqref="H169">
    <cfRule type="cellIs" dxfId="47" priority="53" operator="notEqual">
      <formula>$A169</formula>
    </cfRule>
  </conditionalFormatting>
  <conditionalFormatting sqref="I169">
    <cfRule type="cellIs" dxfId="46" priority="52" operator="notEqual">
      <formula>$A169</formula>
    </cfRule>
  </conditionalFormatting>
  <conditionalFormatting sqref="J169">
    <cfRule type="cellIs" dxfId="45" priority="51" operator="notEqual">
      <formula>$A169</formula>
    </cfRule>
  </conditionalFormatting>
  <conditionalFormatting sqref="C176">
    <cfRule type="cellIs" dxfId="44" priority="50" operator="notEqual">
      <formula>$A176</formula>
    </cfRule>
  </conditionalFormatting>
  <conditionalFormatting sqref="C177">
    <cfRule type="cellIs" dxfId="43" priority="49" operator="notEqual">
      <formula>$A177</formula>
    </cfRule>
  </conditionalFormatting>
  <conditionalFormatting sqref="C162:C163">
    <cfRule type="cellIs" dxfId="42" priority="48" operator="notEqual">
      <formula>$A162</formula>
    </cfRule>
  </conditionalFormatting>
  <conditionalFormatting sqref="D184:E184">
    <cfRule type="cellIs" dxfId="41" priority="47" operator="notEqual">
      <formula>$A184</formula>
    </cfRule>
  </conditionalFormatting>
  <conditionalFormatting sqref="C184:C185">
    <cfRule type="cellIs" dxfId="40" priority="46" operator="notEqual">
      <formula>$A184</formula>
    </cfRule>
  </conditionalFormatting>
  <conditionalFormatting sqref="D163:F163">
    <cfRule type="cellIs" dxfId="39" priority="45" operator="notEqual">
      <formula>$A163</formula>
    </cfRule>
  </conditionalFormatting>
  <conditionalFormatting sqref="C170:J170">
    <cfRule type="cellIs" dxfId="38" priority="44" operator="notEqual">
      <formula>$A170</formula>
    </cfRule>
  </conditionalFormatting>
  <conditionalFormatting sqref="C155">
    <cfRule type="cellIs" dxfId="37" priority="43" operator="notEqual">
      <formula>$A155</formula>
    </cfRule>
  </conditionalFormatting>
  <conditionalFormatting sqref="C175">
    <cfRule type="cellIs" dxfId="36" priority="42" operator="notEqual">
      <formula>$A175</formula>
    </cfRule>
  </conditionalFormatting>
  <conditionalFormatting sqref="D49">
    <cfRule type="cellIs" dxfId="35" priority="40" operator="notEqual">
      <formula>$A49</formula>
    </cfRule>
  </conditionalFormatting>
  <conditionalFormatting sqref="D11">
    <cfRule type="cellIs" dxfId="34" priority="39" operator="notEqual">
      <formula>$A11</formula>
    </cfRule>
  </conditionalFormatting>
  <conditionalFormatting sqref="C81 C47 C88 C93 C32 C37:C42 C9:C10 C21:C29 C34 C12:C17">
    <cfRule type="cellIs" dxfId="33" priority="37" operator="notEqual">
      <formula>$A9</formula>
    </cfRule>
  </conditionalFormatting>
  <conditionalFormatting sqref="C30 C80">
    <cfRule type="cellIs" dxfId="32" priority="38" operator="notEqual">
      <formula>$B30</formula>
    </cfRule>
  </conditionalFormatting>
  <conditionalFormatting sqref="C35:C36">
    <cfRule type="cellIs" dxfId="31" priority="36" operator="notEqual">
      <formula>$A35</formula>
    </cfRule>
  </conditionalFormatting>
  <conditionalFormatting sqref="C43:C46">
    <cfRule type="cellIs" dxfId="30" priority="35" operator="notEqual">
      <formula>$A43</formula>
    </cfRule>
  </conditionalFormatting>
  <conditionalFormatting sqref="C87">
    <cfRule type="cellIs" dxfId="29" priority="34" operator="notEqual">
      <formula>$A87</formula>
    </cfRule>
  </conditionalFormatting>
  <conditionalFormatting sqref="C92">
    <cfRule type="cellIs" dxfId="28" priority="33" operator="notEqual">
      <formula>$A92</formula>
    </cfRule>
  </conditionalFormatting>
  <conditionalFormatting sqref="C96">
    <cfRule type="cellIs" dxfId="27" priority="32" operator="notEqual">
      <formula>$A96</formula>
    </cfRule>
  </conditionalFormatting>
  <conditionalFormatting sqref="C31">
    <cfRule type="cellIs" dxfId="26" priority="31" operator="notEqual">
      <formula>$A31</formula>
    </cfRule>
  </conditionalFormatting>
  <conditionalFormatting sqref="C82:C86">
    <cfRule type="cellIs" dxfId="25" priority="30" operator="notEqual">
      <formula>$A82</formula>
    </cfRule>
  </conditionalFormatting>
  <conditionalFormatting sqref="C89:C91">
    <cfRule type="cellIs" dxfId="24" priority="29" operator="notEqual">
      <formula>$A89</formula>
    </cfRule>
  </conditionalFormatting>
  <conditionalFormatting sqref="C94">
    <cfRule type="cellIs" dxfId="23" priority="28" operator="notEqual">
      <formula>$A94</formula>
    </cfRule>
  </conditionalFormatting>
  <conditionalFormatting sqref="C95">
    <cfRule type="cellIs" dxfId="22" priority="27" operator="notEqual">
      <formula>$A95</formula>
    </cfRule>
  </conditionalFormatting>
  <conditionalFormatting sqref="C8">
    <cfRule type="cellIs" dxfId="21" priority="26" operator="notEqual">
      <formula>$A8</formula>
    </cfRule>
  </conditionalFormatting>
  <conditionalFormatting sqref="C18:C19">
    <cfRule type="cellIs" dxfId="20" priority="25" operator="notEqual">
      <formula>$A18</formula>
    </cfRule>
  </conditionalFormatting>
  <conditionalFormatting sqref="C20">
    <cfRule type="cellIs" dxfId="19" priority="24" operator="notEqual">
      <formula>$A20</formula>
    </cfRule>
  </conditionalFormatting>
  <conditionalFormatting sqref="C33">
    <cfRule type="cellIs" dxfId="18" priority="23" operator="notEqual">
      <formula>$A33</formula>
    </cfRule>
  </conditionalFormatting>
  <conditionalFormatting sqref="C79 C72:C74 C59:C66">
    <cfRule type="cellIs" dxfId="17" priority="22" operator="notEqual">
      <formula>$A59</formula>
    </cfRule>
  </conditionalFormatting>
  <conditionalFormatting sqref="C48">
    <cfRule type="cellIs" dxfId="16" priority="21" operator="notEqual">
      <formula>$A48</formula>
    </cfRule>
  </conditionalFormatting>
  <conditionalFormatting sqref="C69">
    <cfRule type="cellIs" dxfId="15" priority="20" operator="notEqual">
      <formula>$A69</formula>
    </cfRule>
  </conditionalFormatting>
  <conditionalFormatting sqref="C71">
    <cfRule type="cellIs" dxfId="14" priority="19" operator="notEqual">
      <formula>$A71</formula>
    </cfRule>
  </conditionalFormatting>
  <conditionalFormatting sqref="C77">
    <cfRule type="cellIs" dxfId="13" priority="18" operator="notEqual">
      <formula>$A77</formula>
    </cfRule>
  </conditionalFormatting>
  <conditionalFormatting sqref="C67">
    <cfRule type="cellIs" dxfId="12" priority="17" operator="notEqual">
      <formula>$A67</formula>
    </cfRule>
  </conditionalFormatting>
  <conditionalFormatting sqref="C70">
    <cfRule type="cellIs" dxfId="11" priority="16" operator="notEqual">
      <formula>$A70</formula>
    </cfRule>
  </conditionalFormatting>
  <conditionalFormatting sqref="C78">
    <cfRule type="cellIs" dxfId="10" priority="15" operator="notEqual">
      <formula>$A78</formula>
    </cfRule>
  </conditionalFormatting>
  <conditionalFormatting sqref="C68">
    <cfRule type="cellIs" dxfId="9" priority="14" operator="notEqual">
      <formula>$A68</formula>
    </cfRule>
  </conditionalFormatting>
  <conditionalFormatting sqref="C75">
    <cfRule type="cellIs" dxfId="8" priority="13" operator="notEqual">
      <formula>$A75</formula>
    </cfRule>
  </conditionalFormatting>
  <conditionalFormatting sqref="C76">
    <cfRule type="cellIs" dxfId="7" priority="12" operator="notEqual">
      <formula>$A76</formula>
    </cfRule>
  </conditionalFormatting>
  <conditionalFormatting sqref="C51:C56 C58">
    <cfRule type="cellIs" dxfId="6" priority="11" operator="notEqual">
      <formula>$A51</formula>
    </cfRule>
  </conditionalFormatting>
  <conditionalFormatting sqref="C50">
    <cfRule type="cellIs" dxfId="5" priority="10" operator="notEqual">
      <formula>$A50</formula>
    </cfRule>
  </conditionalFormatting>
  <conditionalFormatting sqref="C57">
    <cfRule type="cellIs" dxfId="4" priority="9" operator="notEqual">
      <formula>$A57</formula>
    </cfRule>
  </conditionalFormatting>
  <conditionalFormatting sqref="C49">
    <cfRule type="cellIs" dxfId="3" priority="8" operator="notEqual">
      <formula>$A49</formula>
    </cfRule>
  </conditionalFormatting>
  <conditionalFormatting sqref="C11">
    <cfRule type="cellIs" dxfId="2" priority="7" operator="notEqual">
      <formula>$A11</formula>
    </cfRule>
  </conditionalFormatting>
  <conditionalFormatting sqref="D36">
    <cfRule type="cellIs" dxfId="1" priority="1" operator="notEqual">
      <formula>$A36</formula>
    </cfRule>
  </conditionalFormatting>
  <dataValidations count="9">
    <dataValidation type="list" allowBlank="1" showInputMessage="1" showErrorMessage="1" sqref="A9 C9:D9" xr:uid="{00000000-0002-0000-0400-000000000000}">
      <formula1>"Stochastic,Mean Reversion,Mean Reversion With Index Spread,Stochastic Exclusion Test"</formula1>
    </dataValidation>
    <dataValidation type="list" allowBlank="1" showInputMessage="1" showErrorMessage="1" sqref="C10:D10 A10" xr:uid="{00000000-0002-0000-0400-000001000000}">
      <formula1>"Real World,Risk Neutral"</formula1>
    </dataValidation>
    <dataValidation type="list" allowBlank="1" showInputMessage="1" showErrorMessage="1" sqref="A14 C14:D14" xr:uid="{00000000-0002-0000-0400-000002000000}">
      <formula1>"Monthly,Annual"</formula1>
    </dataValidation>
    <dataValidation type="list" allowBlank="1" showInputMessage="1" showErrorMessage="1" sqref="A28 A26 A16 C16:D16 C28:D28 C26:D26 A18 C18:D18 C155 C175" xr:uid="{00000000-0002-0000-0400-000003000000}">
      <formula1>"No,Yes"</formula1>
    </dataValidation>
    <dataValidation type="list" allowBlank="1" showInputMessage="1" showErrorMessage="1" sqref="C8:D8" xr:uid="{00000000-0002-0000-0400-000004000000}">
      <formula1>"Normal Scenarios,Shocked Scenarios"</formula1>
    </dataValidation>
    <dataValidation type="list" allowBlank="1" showInputMessage="1" showErrorMessage="1" sqref="C20:D20" xr:uid="{00000000-0002-0000-0400-000005000000}">
      <formula1>"Constant,Term Structure"</formula1>
    </dataValidation>
    <dataValidation type="list" allowBlank="1" showInputMessage="1" showErrorMessage="1" sqref="C154" xr:uid="{00000000-0002-0000-0400-000006000000}">
      <formula1>"Swaption Volatility,Bond Volatility"</formula1>
    </dataValidation>
    <dataValidation type="list" allowBlank="1" showInputMessage="1" showErrorMessage="1" sqref="C177" xr:uid="{00000000-0002-0000-0400-000007000000}">
      <formula1>"Call,Put"</formula1>
    </dataValidation>
    <dataValidation type="list" allowBlank="1" showInputMessage="1" showErrorMessage="1" sqref="A11 C11:D11" xr:uid="{00000000-0002-0000-0400-000008000000}">
      <formula1>"Random Scenarios,Academy Selected Scenarios"</formula1>
    </dataValidation>
  </dataValidations>
  <hyperlinks>
    <hyperlink ref="A1" location="'Table of Contents'!A1" display="Go to TOC" xr:uid="{00000000-0004-0000-0400-000000000000}"/>
    <hyperlink ref="A98" location="'Table of Contents'!A1" display="Go to TOC" xr:uid="{00000000-0004-0000-0400-000001000000}"/>
    <hyperlink ref="A104" location="'Table of Contents'!A1" display="Go to TOC" xr:uid="{00000000-0004-0000-0400-000002000000}"/>
    <hyperlink ref="A110" location="'Table of Contents'!A1" display="Go to TOC" xr:uid="{00000000-0004-0000-0400-000003000000}"/>
    <hyperlink ref="A116" location="'Table of Contents'!A1" display="Go to TOC" xr:uid="{00000000-0004-0000-0400-000004000000}"/>
    <hyperlink ref="A123" location="'Table of Contents'!A1" display="Go to TOC" xr:uid="{00000000-0004-0000-0400-000005000000}"/>
    <hyperlink ref="A128" location="'Table of Contents'!A1" display="Go to TOC" xr:uid="{00000000-0004-0000-0400-000006000000}"/>
    <hyperlink ref="B35" location="EconDataYldCurveVol" display="econ_data_yld_curve_vol" xr:uid="{00000000-0004-0000-0400-000007000000}"/>
    <hyperlink ref="B37" location="EconDataIndexRateMRData" display="econ_data_index_rate_mr_inc_ret" xr:uid="{00000000-0004-0000-0400-000008000000}"/>
    <hyperlink ref="B34" location="EconDataYldCurveMRRates" display="econ_data_yld_curve_mr_rates" xr:uid="{00000000-0004-0000-0400-000009000000}"/>
    <hyperlink ref="B38" location="EconDataIndexRateMRData" display="econ_data_index_rate_mr_grwth" xr:uid="{00000000-0004-0000-0400-00000A000000}"/>
    <hyperlink ref="B39" location="EconDataIndexRateMRData" display="econ_data_index_rate_mr_term" xr:uid="{00000000-0004-0000-0400-00000B000000}"/>
    <hyperlink ref="B40" location="EconDataIndexRateMRData" display="econ_data_index_rate_mr_sprd" xr:uid="{00000000-0004-0000-0400-00000C000000}"/>
    <hyperlink ref="B43" location="EconDataIndexRateVol" display="econ_data_index_rate_vol" xr:uid="{00000000-0004-0000-0400-00000D000000}"/>
    <hyperlink ref="B45" location="EconDataMiscRates" display="econ_data_misc_rates" xr:uid="{00000000-0004-0000-0400-00000E000000}"/>
    <hyperlink ref="B46" location="EconDataCorrelation" display="econ_data_correlation" xr:uid="{00000000-0004-0000-0400-00000F000000}"/>
    <hyperlink ref="A187" location="'Table of Contents'!A1" display="Go to TOC" xr:uid="{00000000-0004-0000-0400-000010000000}"/>
    <hyperlink ref="A208" location="'Table of Contents'!A1" display="Go to TOC" xr:uid="{00000000-0004-0000-0400-000011000000}"/>
    <hyperlink ref="A215" location="'Table of Contents'!A1" display="Go to TOC" xr:uid="{00000000-0004-0000-0400-000012000000}"/>
    <hyperlink ref="B81" location="CalibYldCurveRates" display="calib_yld_curve_rates_rate_term" xr:uid="{00000000-0004-0000-0400-000013000000}"/>
    <hyperlink ref="B82" location="CalibYldCurveRates" display="calib_yld_curve_rates_tgt_horizon" xr:uid="{00000000-0004-0000-0400-000014000000}"/>
    <hyperlink ref="B83" location="CalibYldCurveRates" display="calib_yld_curve_rates_percentile" xr:uid="{00000000-0004-0000-0400-000015000000}"/>
    <hyperlink ref="B84" location="CalibYldCurveRates" display="calib_yld_curve_rates_percentile_tgt" xr:uid="{00000000-0004-0000-0400-000016000000}"/>
    <hyperlink ref="B85" location="CalibYldCurveRates" display="calib_yld_curve_rates_rate_adj_a" xr:uid="{00000000-0004-0000-0400-000017000000}"/>
    <hyperlink ref="B86" location="CalibYldCurveRates" display="calib_yld_curve_rates_rate_adj_b" xr:uid="{00000000-0004-0000-0400-000018000000}"/>
    <hyperlink ref="B88" location="CalibYldCurveSprds" display="calib_yld_curve_sprds_tgt_horizon" xr:uid="{00000000-0004-0000-0400-000019000000}"/>
    <hyperlink ref="B89" location="CalibYldCurveSprds" display="calib_yld_curve_sprds_percentile" xr:uid="{00000000-0004-0000-0400-00001A000000}"/>
    <hyperlink ref="B90" location="CalibYldCurveSprds" display="calib_yld_curve_sprds_percentile_tgt" xr:uid="{00000000-0004-0000-0400-00001B000000}"/>
    <hyperlink ref="B91" location="CalibYldCurveSprds" display="calib_yld_curve_sprds_sprd_adj" xr:uid="{00000000-0004-0000-0400-00001C000000}"/>
    <hyperlink ref="B93" location="CalibIndexRates" display="calib_index_rates_tgt_horizon" xr:uid="{00000000-0004-0000-0400-00001D000000}"/>
    <hyperlink ref="B94" location="CalibIndexRates" display="calib_index_rates_percentile" xr:uid="{00000000-0004-0000-0400-00001E000000}"/>
    <hyperlink ref="B95" location="CalibIndexRates" display="calib_index_rates_percentile_tgt" xr:uid="{00000000-0004-0000-0400-00001F000000}"/>
    <hyperlink ref="A99" location="Generation!B34" display="Back To Main" xr:uid="{00000000-0004-0000-0400-000020000000}"/>
    <hyperlink ref="A105" location="Generation!B35" display="Back To Main" xr:uid="{00000000-0004-0000-0400-000021000000}"/>
    <hyperlink ref="A111" location="Generation!B37" display="Back To Main" xr:uid="{00000000-0004-0000-0400-000022000000}"/>
    <hyperlink ref="A117" location="Generation!B423" display="Back To Main" xr:uid="{00000000-0004-0000-0400-000023000000}"/>
    <hyperlink ref="A124" location="Generation!B45" display="Back To Main" xr:uid="{00000000-0004-0000-0400-000024000000}"/>
    <hyperlink ref="A129" location="Generation!B46" display="Back To Main" xr:uid="{00000000-0004-0000-0400-000025000000}"/>
    <hyperlink ref="A188" location="Generation!B80" display="Back To Main" xr:uid="{00000000-0004-0000-0400-000026000000}"/>
    <hyperlink ref="A209" location="Generation!B87" display="Back To Main" xr:uid="{00000000-0004-0000-0400-000027000000}"/>
    <hyperlink ref="A216" location="Generation!B92" display="Back To Main" xr:uid="{00000000-0004-0000-0400-000028000000}"/>
    <hyperlink ref="A142" location="'Table of Contents'!A1" display="Go to TOC" xr:uid="{00000000-0004-0000-0400-000029000000}"/>
    <hyperlink ref="A143" location="Generation!B46" display="Back To Main" xr:uid="{00000000-0004-0000-0400-00002A000000}"/>
    <hyperlink ref="B62" location="CalibYldCurveData" display="calib_yld_curve_data_source" xr:uid="{00000000-0004-0000-0400-00002B000000}"/>
    <hyperlink ref="B63" location="CalibYldCurveData" display="calib_yld_curve_normalize_wghts" xr:uid="{00000000-0004-0000-0400-00002C000000}"/>
    <hyperlink ref="B66" location="CalibYldCurveSwapData" display="calib_yld_curve_swaption_vol" xr:uid="{00000000-0004-0000-0400-00002D000000}"/>
    <hyperlink ref="B67" location="CalibYldCurveSwapData" display="calib_yld_curve_swaption_wght" xr:uid="{00000000-0004-0000-0400-00002E000000}"/>
    <hyperlink ref="B69" location="CalibYldCurveBondData" display="calib_yld_curve_bond_vol" xr:uid="{00000000-0004-0000-0400-00002F000000}"/>
    <hyperlink ref="B70" location="CalibYldCurveBondData" display="calib_yld_curve_bond_wght" xr:uid="{00000000-0004-0000-0400-000030000000}"/>
    <hyperlink ref="B72" location="CalibIndexRateData" display="calib_index_rate_normalize_wghts" xr:uid="{00000000-0004-0000-0400-000031000000}"/>
    <hyperlink ref="B73" location="CalibIndexRateData" display="calib_index_rate_div_yld" xr:uid="{00000000-0004-0000-0400-000032000000}"/>
    <hyperlink ref="B74" location="CalibIndexRateData" display="calib_index_rate_opt_type" xr:uid="{00000000-0004-0000-0400-000033000000}"/>
    <hyperlink ref="B77" location="CalibIndexRateOptData" display="calib_index_rate_opt_vol" xr:uid="{00000000-0004-0000-0400-000034000000}"/>
    <hyperlink ref="B78" location="CalibIndexRateOptData" display="calib_index_rate_opt_wght" xr:uid="{00000000-0004-0000-0400-000035000000}"/>
    <hyperlink ref="A151" location="'Table of Contents'!A1" display="Go to TOC" xr:uid="{00000000-0004-0000-0400-000036000000}"/>
    <hyperlink ref="A152" location="Generation!B61" display="Back To Main" xr:uid="{00000000-0004-0000-0400-000037000000}"/>
    <hyperlink ref="A157" location="'Table of Contents'!A1" display="Go to TOC" xr:uid="{00000000-0004-0000-0400-000038000000}"/>
    <hyperlink ref="A158" location="Generation!B65" display="Back To Main" xr:uid="{00000000-0004-0000-0400-000039000000}"/>
    <hyperlink ref="A165" location="'Table of Contents'!A1" display="Go to TOC" xr:uid="{00000000-0004-0000-0400-00003A000000}"/>
    <hyperlink ref="A166" location="Generation!B68" display="Back To Main" xr:uid="{00000000-0004-0000-0400-00003B000000}"/>
    <hyperlink ref="A172" location="'Table of Contents'!A1" display="Go to TOC" xr:uid="{00000000-0004-0000-0400-00003C000000}"/>
    <hyperlink ref="A173" location="Generation!B71" display="Back To Main" xr:uid="{00000000-0004-0000-0400-00003D000000}"/>
    <hyperlink ref="A179" location="'Table of Contents'!A1" display="Go to TOC" xr:uid="{00000000-0004-0000-0400-00003E000000}"/>
    <hyperlink ref="A180" location="Generation!B76" display="Back To Main" xr:uid="{00000000-0004-0000-0400-00003F000000}"/>
  </hyperlink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4D6E80-2345-45FA-BD69-575C46F8AC22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31</vt:i4>
      </vt:variant>
    </vt:vector>
  </HeadingPairs>
  <TitlesOfParts>
    <vt:vector size="36" baseType="lpstr">
      <vt:lpstr>Change Log</vt:lpstr>
      <vt:lpstr>Table of Contents</vt:lpstr>
      <vt:lpstr>Scenarios</vt:lpstr>
      <vt:lpstr>NAIC PBR Sprd and Dflt Source</vt:lpstr>
      <vt:lpstr>Generation</vt:lpstr>
      <vt:lpstr>CalibIndexRateData</vt:lpstr>
      <vt:lpstr>CalibIndexRateOptData</vt:lpstr>
      <vt:lpstr>CalibIndexRates</vt:lpstr>
      <vt:lpstr>CalibYldCurveBondData</vt:lpstr>
      <vt:lpstr>CalibYldCurveData</vt:lpstr>
      <vt:lpstr>CalibYldCurveRates</vt:lpstr>
      <vt:lpstr>CalibYldCurveSprds</vt:lpstr>
      <vt:lpstr>CalibYldCurveSwapData</vt:lpstr>
      <vt:lpstr>CreditSprdDeterminsitic</vt:lpstr>
      <vt:lpstr>CreditSprdDeterminsitic_VM21</vt:lpstr>
      <vt:lpstr>CreditSprdDeterminsiticSub</vt:lpstr>
      <vt:lpstr>CreditSprdStochMult</vt:lpstr>
      <vt:lpstr>DfltRateDeterministic</vt:lpstr>
      <vt:lpstr>DfltRateDeterministic_VM21</vt:lpstr>
      <vt:lpstr>DfltRateDeterministicSub</vt:lpstr>
      <vt:lpstr>DfltRateStochMult</vt:lpstr>
      <vt:lpstr>EconDataCorrelation</vt:lpstr>
      <vt:lpstr>EconDataCorrelationSub</vt:lpstr>
      <vt:lpstr>EconDataIndexRateMRData</vt:lpstr>
      <vt:lpstr>EconDataIndexRateVol</vt:lpstr>
      <vt:lpstr>EconDataMiscRates</vt:lpstr>
      <vt:lpstr>EconDataYldCurveMRRates</vt:lpstr>
      <vt:lpstr>EconDataYldCurveVol</vt:lpstr>
      <vt:lpstr>Generation</vt:lpstr>
      <vt:lpstr>IndexVolDeterministicSub</vt:lpstr>
      <vt:lpstr>IndexVolDeterminstic</vt:lpstr>
      <vt:lpstr>IndexVolStochMult</vt:lpstr>
      <vt:lpstr>InflDeterministic</vt:lpstr>
      <vt:lpstr>IntVolDeterministic</vt:lpstr>
      <vt:lpstr>IntVolStochMult</vt:lpstr>
      <vt:lpstr>Scenarios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Qin, Michelle</cp:lastModifiedBy>
  <cp:lastPrinted>2013-07-12T20:12:54Z</cp:lastPrinted>
  <dcterms:created xsi:type="dcterms:W3CDTF">2013-06-26T20:08:07Z</dcterms:created>
  <dcterms:modified xsi:type="dcterms:W3CDTF">2025-04-08T16:07:24Z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  <property fmtid="{D5CDD505-2E9C-101B-9397-08002B2CF9AE}" pid="3" name="MSIP_Label_d347b247-e90e-43a3-9d7b-004f14ae6873_Enabled">
    <vt:lpwstr>true</vt:lpwstr>
  </property>
  <property fmtid="{D5CDD505-2E9C-101B-9397-08002B2CF9AE}" pid="4" name="MSIP_Label_d347b247-e90e-43a3-9d7b-004f14ae6873_SetDate">
    <vt:lpwstr>2023-06-07T15:42:16Z</vt:lpwstr>
  </property>
  <property fmtid="{D5CDD505-2E9C-101B-9397-08002B2CF9AE}" pid="5" name="MSIP_Label_d347b247-e90e-43a3-9d7b-004f14ae6873_Method">
    <vt:lpwstr>Standard</vt:lpwstr>
  </property>
  <property fmtid="{D5CDD505-2E9C-101B-9397-08002B2CF9AE}" pid="6" name="MSIP_Label_d347b247-e90e-43a3-9d7b-004f14ae6873_Name">
    <vt:lpwstr>d347b247-e90e-43a3-9d7b-004f14ae6873</vt:lpwstr>
  </property>
  <property fmtid="{D5CDD505-2E9C-101B-9397-08002B2CF9AE}" pid="7" name="MSIP_Label_d347b247-e90e-43a3-9d7b-004f14ae6873_SiteId">
    <vt:lpwstr>76e3921f-489b-4b7e-9547-9ea297add9b5</vt:lpwstr>
  </property>
  <property fmtid="{D5CDD505-2E9C-101B-9397-08002B2CF9AE}" pid="8" name="MSIP_Label_d347b247-e90e-43a3-9d7b-004f14ae6873_ActionId">
    <vt:lpwstr>6cf4c8b1-8b59-4485-8202-570dbbfe45b9</vt:lpwstr>
  </property>
  <property fmtid="{D5CDD505-2E9C-101B-9397-08002B2CF9AE}" pid="9" name="MSIP_Label_d347b247-e90e-43a3-9d7b-004f14ae6873_ContentBits">
    <vt:lpwstr>0</vt:lpwstr>
  </property>
</Properties>
</file>