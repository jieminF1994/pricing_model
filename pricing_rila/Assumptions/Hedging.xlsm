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rila_research_rsd_1.5_phase_2.2_0327\Projects\Fixed Indexed Annuity\ProjectData\2013YearEnd\Assumptions\"/>
    </mc:Choice>
  </mc:AlternateContent>
  <xr:revisionPtr revIDLastSave="0" documentId="13_ncr:1_{3137C42E-C0D5-4799-9F5D-F4950EF48AC9}" xr6:coauthVersionLast="47" xr6:coauthVersionMax="47" xr10:uidLastSave="{00000000-0000-0000-0000-000000000000}"/>
  <bookViews>
    <workbookView xWindow="-120" yWindow="-120" windowWidth="29040" windowHeight="15840" tabRatio="871" activeTab="2" xr2:uid="{00000000-000D-0000-FFFF-FFFF00000000}"/>
  </bookViews>
  <sheets>
    <sheet name="Change Log" sheetId="12" r:id="rId1"/>
    <sheet name="Table of Contents" sheetId="13" r:id="rId2"/>
    <sheet name="Hedges" sheetId="29" r:id="rId3"/>
    <sheet name="HedgeStrategies" sheetId="30" r:id="rId4"/>
  </sheets>
  <functionGroups builtInGroupCount="19"/>
  <definedNames>
    <definedName name="DeltaHedgeStrategy">HedgeStrategies!$B$5:$D$10</definedName>
    <definedName name="DeltaHedgeStratIndexData">HedgeStrategies!$B$14:$L$20</definedName>
    <definedName name="GammaVegaHedgeStrategy">HedgeStrategies!$B$23:$D$30</definedName>
    <definedName name="GammaVegaHedgeStratIndexTermData">HedgeStrategies!$B$33:$AJ$40</definedName>
    <definedName name="HedgeGroupsFia">Hedges!$B$42:$F$50</definedName>
    <definedName name="HedgeGroupsIul">Hedges!$B$53:$D$60</definedName>
    <definedName name="HedgeGroupsVA">Hedges!$B$63:$D$70</definedName>
    <definedName name="HedgeProjControl">Hedges!$B$80:$L$114</definedName>
    <definedName name="Hedges">Hedges!$B$4:$C$39</definedName>
    <definedName name="HedgeValnControl">Hedges!$B$73:$L$77</definedName>
    <definedName name="HedgeValnEqtPriceShockTbl">Hedges!$B$117:$F$130</definedName>
    <definedName name="HedgeValnEqtVolShockTbl">Hedges!$B$133:$N$167</definedName>
    <definedName name="HedgeValnIntRateShockTbl">Hedges!$B$170:$K$182</definedName>
    <definedName name="HedgeValnPhldrShockTbl">Hedges!$B$185:$C$189</definedName>
    <definedName name="RhoConvexHedgeStrategy">HedgeStrategies!$B$61:$D$67</definedName>
    <definedName name="RhoConvexHedgeStratKeyRateData">HedgeStrategies!$B$70:$J$76</definedName>
    <definedName name="RhoHedgeStrategy">HedgeStrategies!$B$43:$D$49</definedName>
    <definedName name="RhoHedgeStratKeyRateData">HedgeStrategies!$B$52:$J$58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8" i="29" l="1"/>
  <c r="G177" i="29"/>
  <c r="F177" i="29"/>
  <c r="B32" i="30"/>
  <c r="B22" i="30"/>
  <c r="B13" i="30"/>
  <c r="B4" i="30"/>
  <c r="B42" i="30"/>
  <c r="B60" i="30"/>
  <c r="B69" i="30"/>
  <c r="B51" i="30"/>
  <c r="B184" i="29"/>
  <c r="B169" i="29"/>
  <c r="B132" i="29"/>
  <c r="B116" i="29"/>
  <c r="B79" i="29"/>
  <c r="B3" i="29"/>
  <c r="B72" i="29"/>
  <c r="B62" i="29"/>
  <c r="B52" i="29"/>
  <c r="B41" i="29"/>
</calcChain>
</file>

<file path=xl/sharedStrings.xml><?xml version="1.0" encoding="utf-8"?>
<sst xmlns="http://schemas.openxmlformats.org/spreadsheetml/2006/main" count="1020" uniqueCount="230">
  <si>
    <t>VarID</t>
  </si>
  <si>
    <t>#</t>
  </si>
  <si>
    <t>Date</t>
  </si>
  <si>
    <t>Name</t>
  </si>
  <si>
    <t>Comments</t>
  </si>
  <si>
    <t>No</t>
  </si>
  <si>
    <t>NONE</t>
  </si>
  <si>
    <t>Table of Contents</t>
  </si>
  <si>
    <t>Default</t>
  </si>
  <si>
    <t>Go to TOC</t>
  </si>
  <si>
    <t>assump_set_id</t>
  </si>
  <si>
    <t>ALL</t>
  </si>
  <si>
    <t>DEFAULT</t>
  </si>
  <si>
    <t>Fixed Rate</t>
  </si>
  <si>
    <t>US</t>
  </si>
  <si>
    <t>[See below]</t>
  </si>
  <si>
    <t>Back To Main</t>
  </si>
  <si>
    <t>Pregenerated Hedges</t>
  </si>
  <si>
    <t>hedge_pregen_gross_results</t>
  </si>
  <si>
    <t>hedge_pregen_net_results</t>
  </si>
  <si>
    <t>Hedge Groups</t>
  </si>
  <si>
    <t>Hedges</t>
  </si>
  <si>
    <t>hedge_grp_id</t>
  </si>
  <si>
    <t>Group1</t>
  </si>
  <si>
    <t>Group2</t>
  </si>
  <si>
    <t>hedge_grp_plan_codes</t>
  </si>
  <si>
    <t>hedge_grp_crediting_defn</t>
  </si>
  <si>
    <t>hedge_grp_dyn_lever</t>
  </si>
  <si>
    <t>hedge_grp_index</t>
  </si>
  <si>
    <t>hedge_grp_rebal_freq</t>
  </si>
  <si>
    <t>hedge_grp_asset_id</t>
  </si>
  <si>
    <t>Dynamic Cap</t>
  </si>
  <si>
    <t>Baseline</t>
  </si>
  <si>
    <t>hedge_grp_crediting_mths</t>
  </si>
  <si>
    <t>Hedging Input Page</t>
  </si>
  <si>
    <t>Hedge Valuation: General</t>
  </si>
  <si>
    <t>valn_scens_to_run</t>
  </si>
  <si>
    <t>hedge_disc_rate_defn</t>
  </si>
  <si>
    <t>hedge_disc_rate_fixed</t>
  </si>
  <si>
    <t>hedge_disc_rate_comp_id</t>
  </si>
  <si>
    <t>Deterministic</t>
  </si>
  <si>
    <t>valn_hedge_results</t>
  </si>
  <si>
    <t>hedge_grp_fia</t>
  </si>
  <si>
    <t>hedge_grp_iul</t>
  </si>
  <si>
    <t>hedge_grp_va</t>
  </si>
  <si>
    <t>shock_id</t>
  </si>
  <si>
    <t>eqt_price_shock_id</t>
  </si>
  <si>
    <t>eqt_price_shock_defn</t>
  </si>
  <si>
    <t>Hedge Valuation: Control</t>
  </si>
  <si>
    <t>index_name</t>
  </si>
  <si>
    <t>hedge_grp_gmab_defn</t>
  </si>
  <si>
    <t>Yes</t>
  </si>
  <si>
    <t>hedge_grp_gmib_defn</t>
  </si>
  <si>
    <t>hedge_grp_gmdb_defn</t>
  </si>
  <si>
    <t>hedge_grp_gmwb_defn</t>
  </si>
  <si>
    <t>eqt_price_shock</t>
  </si>
  <si>
    <t>eqt_vol_shock_defn</t>
  </si>
  <si>
    <t>eqt_vol_shock_id</t>
  </si>
  <si>
    <t>eqt_vol_shock</t>
  </si>
  <si>
    <t>int_rate_shock_defn</t>
  </si>
  <si>
    <t>int_rate_shock_id</t>
  </si>
  <si>
    <t>int_rate_shock</t>
  </si>
  <si>
    <t>phldr_shock_defn</t>
  </si>
  <si>
    <t>phldr_shock_id</t>
  </si>
  <si>
    <t>phldr_shock</t>
  </si>
  <si>
    <t>scen_file_name_addn</t>
  </si>
  <si>
    <t>index_id</t>
  </si>
  <si>
    <t>rate_term</t>
  </si>
  <si>
    <t>yld_curve_id</t>
  </si>
  <si>
    <t>Govt</t>
  </si>
  <si>
    <t>decrem_id</t>
  </si>
  <si>
    <t>Lapse</t>
  </si>
  <si>
    <t>Shock1</t>
  </si>
  <si>
    <t>Shock2</t>
  </si>
  <si>
    <t>Shock3</t>
  </si>
  <si>
    <t>PhldrShock1</t>
  </si>
  <si>
    <t>PhldrShock2</t>
  </si>
  <si>
    <t>PhldrShock3</t>
  </si>
  <si>
    <t>Hedge Strategies</t>
  </si>
  <si>
    <t>hedge_grp_delta_hedge_defn</t>
  </si>
  <si>
    <t>hedge_grp_delta_hedge_rebal_freq</t>
  </si>
  <si>
    <t>Equity Futures</t>
  </si>
  <si>
    <t>hedge_grp_delta_hedge_transaction_costs_bps</t>
  </si>
  <si>
    <t>hedge_grp_delta_hedge_tolerance_dollar</t>
  </si>
  <si>
    <t>hedge_grp_delta_hedge_pct</t>
  </si>
  <si>
    <t>hedge_grp_delta_hedge_asset_id</t>
  </si>
  <si>
    <t>hedge_grp_delta_hedge_strat_defn</t>
  </si>
  <si>
    <t>Index Specific</t>
  </si>
  <si>
    <t>hedge_grp_delta_hedge_liab_shock_defn</t>
  </si>
  <si>
    <t>hedge_grp_index_name</t>
  </si>
  <si>
    <t>hedge_grp_delta_hedge_tolerance_pct_liab_delta</t>
  </si>
  <si>
    <t>shock_freq</t>
  </si>
  <si>
    <t>Block Specific</t>
  </si>
  <si>
    <t>valn_scens_method</t>
  </si>
  <si>
    <t>valn_hedge_final_results</t>
  </si>
  <si>
    <t>ParallelEqtPriceUp</t>
  </si>
  <si>
    <t>ParallelPriceUp1Pct</t>
  </si>
  <si>
    <t>BalEqtPriceUp</t>
  </si>
  <si>
    <t>BalPriceUp1Pct</t>
  </si>
  <si>
    <t>IntlEqtPriceUp</t>
  </si>
  <si>
    <t>IntlPriceUp1Pct</t>
  </si>
  <si>
    <t>SmallEqtPriceUp</t>
  </si>
  <si>
    <t>SmallPriceUp1Pct</t>
  </si>
  <si>
    <t>USEqtPriceUp</t>
  </si>
  <si>
    <t>USPriceUp1Pct</t>
  </si>
  <si>
    <t>ParallelEqtPriceDown</t>
  </si>
  <si>
    <t>ParallelPriceDown1Pct</t>
  </si>
  <si>
    <t>BalEqtPriceDown</t>
  </si>
  <si>
    <t>BalPriceDown1Pct</t>
  </si>
  <si>
    <t>IntlEqtPriceDown</t>
  </si>
  <si>
    <t>IntlPriceDown1Pct</t>
  </si>
  <si>
    <t>SmallEqtPriceDown</t>
  </si>
  <si>
    <t>SmallPriceDown1Pct</t>
  </si>
  <si>
    <t>USEqtPriceDown</t>
  </si>
  <si>
    <t>USPriceDown1Pct</t>
  </si>
  <si>
    <t>SmallEqtVolAllTermsUp</t>
  </si>
  <si>
    <t>SmallAllTermsVolUp</t>
  </si>
  <si>
    <t>BalEqtVolAllTermsUp</t>
  </si>
  <si>
    <t>BalAllTermsVolUp</t>
  </si>
  <si>
    <t>IntlEqtVolAllTermsUp</t>
  </si>
  <si>
    <t>IntlAllTermsVolUp</t>
  </si>
  <si>
    <t>USEqtVolAllTermsUp</t>
  </si>
  <si>
    <t>USAllTermsVolUp</t>
  </si>
  <si>
    <t>SmallEqtVolAllTermsDown</t>
  </si>
  <si>
    <t>SmallAllTermsVolDown</t>
  </si>
  <si>
    <t>BalEqtVolAllTermsDown</t>
  </si>
  <si>
    <t>BalAllTermsVolDown</t>
  </si>
  <si>
    <t>IntlEqtVolAllTermsDown</t>
  </si>
  <si>
    <t>IntlAllTermsVolDown</t>
  </si>
  <si>
    <t>USEqtVolAllTermsDown</t>
  </si>
  <si>
    <t>USAllTermsVolDown</t>
  </si>
  <si>
    <t>1YrIntRateUp</t>
  </si>
  <si>
    <t>1YrIntUp10bps</t>
  </si>
  <si>
    <t>5YrIntRateUp</t>
  </si>
  <si>
    <t>5YrIntUp10bps</t>
  </si>
  <si>
    <t>10YrIntRateUp</t>
  </si>
  <si>
    <t>10YrIntUp10bps</t>
  </si>
  <si>
    <t>1YrIntRateDown</t>
  </si>
  <si>
    <t>1YrIntDown10bps</t>
  </si>
  <si>
    <t>5YrIntRateDown</t>
  </si>
  <si>
    <t>5YrIntDown10bps</t>
  </si>
  <si>
    <t>10YrIntRateDown</t>
  </si>
  <si>
    <t>10YrIntDown10bps</t>
  </si>
  <si>
    <t>SmallEqtVol1YrUp</t>
  </si>
  <si>
    <t>Small1YrVolUp</t>
  </si>
  <si>
    <t>BalEqtVol1YrUp</t>
  </si>
  <si>
    <t>Bal1YrVolUp</t>
  </si>
  <si>
    <t>IntlEqtVol1YrUp</t>
  </si>
  <si>
    <t>Intl1YrVolUp</t>
  </si>
  <si>
    <t>USEqtVol1YrUp</t>
  </si>
  <si>
    <t>US1YrVolUp</t>
  </si>
  <si>
    <t>SmallEqtVol1YrDown</t>
  </si>
  <si>
    <t>Small1YrVolDown</t>
  </si>
  <si>
    <t>BalEqtVol1YrDown</t>
  </si>
  <si>
    <t>Bal1YrVolDown</t>
  </si>
  <si>
    <t>IntlEqtVol1YrDown</t>
  </si>
  <si>
    <t>Intl1YrVolDown</t>
  </si>
  <si>
    <t>USEqtVol1YrDown</t>
  </si>
  <si>
    <t>US1YrVolDown</t>
  </si>
  <si>
    <t>Bal</t>
  </si>
  <si>
    <t>Intl</t>
  </si>
  <si>
    <t>Small</t>
  </si>
  <si>
    <t>ParallelPriceUp5Pct</t>
  </si>
  <si>
    <t>ParallelPriceDown5Pct</t>
  </si>
  <si>
    <t>Bal5YrVolUp</t>
  </si>
  <si>
    <t>Bal10YrVolUp</t>
  </si>
  <si>
    <t>Intl5YrVolUp</t>
  </si>
  <si>
    <t>Intl10YrVolUp</t>
  </si>
  <si>
    <t>Small5YrVolUp</t>
  </si>
  <si>
    <t>Small10YrVolUp</t>
  </si>
  <si>
    <t>US5YrVolUp</t>
  </si>
  <si>
    <t>US10YrVolUp</t>
  </si>
  <si>
    <t>Bal5YrVolDown</t>
  </si>
  <si>
    <t>Bal10YrVolDown</t>
  </si>
  <si>
    <t>Intl5YrVolDown</t>
  </si>
  <si>
    <t>Intl10YrVolDown</t>
  </si>
  <si>
    <t>Small5YrVolDown</t>
  </si>
  <si>
    <t>Small10YrVolDown</t>
  </si>
  <si>
    <t>US5YrVolDown</t>
  </si>
  <si>
    <t>US10YrVolDown</t>
  </si>
  <si>
    <t>ParallelIntUp10</t>
  </si>
  <si>
    <t>ParallelIntDown10</t>
  </si>
  <si>
    <t>ParallelIntUp10bps</t>
  </si>
  <si>
    <t>ParallelIntDown10bps</t>
  </si>
  <si>
    <t>hedge_grp_gamma_vega_hedge_defn</t>
  </si>
  <si>
    <t>Gamma</t>
  </si>
  <si>
    <t>hedge_grp_gamma_vega_hedge_type_defn</t>
  </si>
  <si>
    <t>Equity Options</t>
  </si>
  <si>
    <t>hedge_grp_gamma_vega_hedge_strat_defn</t>
  </si>
  <si>
    <t>hedge_grp_gamma_vega_hedge_liab_shock_defn</t>
  </si>
  <si>
    <t>hedge_grp_gamma_vega_hedge_rebal_freq</t>
  </si>
  <si>
    <t>hedge_grp_gamma_vega_hedge_transaction_costs_bps</t>
  </si>
  <si>
    <t>Parallel</t>
  </si>
  <si>
    <t>hedge_grp_index_term</t>
  </si>
  <si>
    <t>AllTerms</t>
  </si>
  <si>
    <t>1Yr</t>
  </si>
  <si>
    <t>5Yr</t>
  </si>
  <si>
    <t>10Yr</t>
  </si>
  <si>
    <t>hedge_grp_gamma_vega_hedge_tolerance_pct_liab_gamma_vega</t>
  </si>
  <si>
    <t>hedge_grp_gamma_vega_hedge_tolerance_dollar</t>
  </si>
  <si>
    <t>hedge_grp_gamma_vega_hedge_pct</t>
  </si>
  <si>
    <t>hedge_grp_gamma_vega_hedge_asset_id</t>
  </si>
  <si>
    <t>hedge_grp_rho_hedge_defn</t>
  </si>
  <si>
    <t>Interest Rate Swaps</t>
  </si>
  <si>
    <t>hedge_grp_rho_hedge_strat_defn</t>
  </si>
  <si>
    <t>hedge_grp_rho_hedge_liab_shock_defn</t>
  </si>
  <si>
    <t>hedge_grp_rho_hedge_rebal_freq</t>
  </si>
  <si>
    <t>hedge_grp_rho_hedge_transaction_costs_bps</t>
  </si>
  <si>
    <t>hedge_grp_key_rate</t>
  </si>
  <si>
    <t>hedge_grp_rho_hedge_tolerance_pct_liab_rho</t>
  </si>
  <si>
    <t>hedge_grp_rho_hedge_tolerance_dollar</t>
  </si>
  <si>
    <t>hedge_grp_rho_hedge_pct</t>
  </si>
  <si>
    <t>hedge_grp_rho_hedge_asset_id</t>
  </si>
  <si>
    <t>hedge_grp_rho_convex_hedge_defn</t>
  </si>
  <si>
    <t>Interest Rate Caps Floors</t>
  </si>
  <si>
    <t>hedge_grp_rho_convex_hedge_strat_defn</t>
  </si>
  <si>
    <t>hedge_grp_rho_convex_hedge_liab_shock_defn</t>
  </si>
  <si>
    <t>hedge_grp_rho_convex_hedge_rebal_freq</t>
  </si>
  <si>
    <t>hedge_grp_rho_convex_hedge_transaction_costs_bps</t>
  </si>
  <si>
    <t>hedge_grp_rho_convex_hedge_tolerance_pct_liab_rho_convex</t>
  </si>
  <si>
    <t>hedge_grp_rho_convex_hedge_tolerance_dollar</t>
  </si>
  <si>
    <t>hedge_grp_rho_convex_hedge_pct</t>
  </si>
  <si>
    <t>hedge_grp_rho_convex_hedge_asset_id</t>
  </si>
  <si>
    <t>PTPDCUS</t>
  </si>
  <si>
    <t>PTPDPUS</t>
  </si>
  <si>
    <t>MADCUS</t>
  </si>
  <si>
    <t>MADPUS</t>
  </si>
  <si>
    <t>Point to Point</t>
  </si>
  <si>
    <t>Moving Average</t>
  </si>
  <si>
    <t>Dynamic Participation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</si>
</sst>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%"/>
    <numFmt numFmtId="165" formatCode="_(* #,##0.0000_);_(* \(#,##0.0000\);_(* &quot;-&quot;??_);_(@_)"/>
    <numFmt numFmtId="166" formatCode="_(* #,##0.000000_);_(* \(#,##0.000000\);_(* &quot;-&quot;??_);_(@_)"/>
  </numFmts>
  <fonts count="1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rgb="FFA6A6A6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21">
    <xf numFmtId="0" fontId="0" fillId="0" borderId="0"/>
    <xf numFmtId="0" fontId="2" fillId="3" borderId="0">
      <alignment horizontal="left" vertical="top" wrapText="1"/>
    </xf>
    <xf numFmtId="0" fontId="2" fillId="3" borderId="0">
      <alignment horizontal="lef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3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3" fillId="4" borderId="0">
      <alignment horizontal="righ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7" fillId="0" borderId="0" applyNumberFormat="0" applyFill="0" applyBorder="0" applyAlignment="0" applyProtection="0"/>
    <xf numFmtId="0" fontId="4" fillId="5" borderId="0">
      <alignment horizontal="left" vertical="top" wrapText="1"/>
    </xf>
    <xf numFmtId="0" fontId="5" fillId="4" borderId="0">
      <alignment horizontal="left" vertical="top" wrapText="1"/>
    </xf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10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4" fontId="0" fillId="0" borderId="1" xfId="0" quotePrefix="1" applyNumberFormat="1" applyBorder="1" applyAlignment="1">
      <alignment horizontal="center" vertical="top" wrapText="1"/>
    </xf>
    <xf numFmtId="0" fontId="7" fillId="0" borderId="0" xfId="16" applyFill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0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1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right" vertical="top"/>
    </xf>
    <xf numFmtId="0" fontId="0" fillId="0" borderId="0" xfId="0"/>
    <xf numFmtId="0" fontId="8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0" xfId="0" applyBorder="1" applyAlignment="1">
      <alignment horizontal="right"/>
    </xf>
    <xf numFmtId="0" fontId="0" fillId="0" borderId="0" xfId="0"/>
    <xf numFmtId="0" fontId="0" fillId="0" borderId="0" xfId="0" applyFont="1" applyFill="1" applyBorder="1" applyAlignment="1">
      <alignment horizontal="left" vertical="top"/>
    </xf>
    <xf numFmtId="0" fontId="0" fillId="6" borderId="0" xfId="0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6" borderId="0" xfId="0" applyFill="1" applyAlignment="1">
      <alignment horizontal="left" vertical="top"/>
    </xf>
    <xf numFmtId="0" fontId="1" fillId="6" borderId="0" xfId="0" applyFont="1" applyFill="1" applyBorder="1" applyAlignment="1">
      <alignment horizontal="left" vertical="top"/>
    </xf>
    <xf numFmtId="164" fontId="0" fillId="0" borderId="0" xfId="19" applyNumberFormat="1" applyFont="1" applyBorder="1" applyAlignment="1">
      <alignment horizontal="right"/>
    </xf>
    <xf numFmtId="0" fontId="11" fillId="6" borderId="5" xfId="0" applyFont="1" applyFill="1" applyBorder="1" applyAlignment="1">
      <alignment horizontal="left" vertical="top" wrapText="1"/>
    </xf>
    <xf numFmtId="0" fontId="0" fillId="0" borderId="8" xfId="0" applyBorder="1" applyAlignment="1">
      <alignment horizontal="right"/>
    </xf>
    <xf numFmtId="164" fontId="0" fillId="0" borderId="0" xfId="19" applyNumberFormat="1" applyFont="1" applyFill="1" applyBorder="1" applyAlignment="1">
      <alignment horizontal="left" vertical="top"/>
    </xf>
    <xf numFmtId="0" fontId="1" fillId="6" borderId="2" xfId="0" applyFont="1" applyFill="1" applyBorder="1" applyAlignment="1">
      <alignment horizontal="right" vertical="top"/>
    </xf>
    <xf numFmtId="0" fontId="0" fillId="6" borderId="3" xfId="0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1" fillId="6" borderId="5" xfId="0" applyFont="1" applyFill="1" applyBorder="1" applyAlignment="1">
      <alignment horizontal="left" vertical="top"/>
    </xf>
    <xf numFmtId="0" fontId="0" fillId="6" borderId="6" xfId="0" applyFill="1" applyBorder="1" applyAlignment="1">
      <alignment horizontal="right" vertical="top" wrapText="1"/>
    </xf>
    <xf numFmtId="164" fontId="0" fillId="0" borderId="6" xfId="19" applyNumberFormat="1" applyFont="1" applyBorder="1" applyAlignment="1">
      <alignment horizontal="right"/>
    </xf>
    <xf numFmtId="0" fontId="0" fillId="0" borderId="5" xfId="0" applyBorder="1" applyAlignment="1">
      <alignment horizontal="right" vertical="top"/>
    </xf>
    <xf numFmtId="0" fontId="11" fillId="6" borderId="2" xfId="0" applyFont="1" applyFill="1" applyBorder="1" applyAlignment="1">
      <alignment horizontal="right" vertical="top" wrapText="1"/>
    </xf>
    <xf numFmtId="0" fontId="0" fillId="6" borderId="6" xfId="0" applyFont="1" applyFill="1" applyBorder="1" applyAlignment="1">
      <alignment horizontal="right" vertical="top"/>
    </xf>
    <xf numFmtId="0" fontId="0" fillId="6" borderId="4" xfId="0" applyFont="1" applyFill="1" applyBorder="1" applyAlignment="1">
      <alignment horizontal="right" vertical="top"/>
    </xf>
    <xf numFmtId="0" fontId="0" fillId="6" borderId="5" xfId="0" applyFill="1" applyBorder="1" applyAlignment="1">
      <alignment horizontal="left" vertical="top"/>
    </xf>
    <xf numFmtId="0" fontId="0" fillId="0" borderId="6" xfId="0" applyBorder="1" applyAlignment="1">
      <alignment horizontal="right"/>
    </xf>
    <xf numFmtId="0" fontId="0" fillId="7" borderId="5" xfId="0" applyFill="1" applyBorder="1" applyAlignment="1">
      <alignment horizontal="left" vertical="top"/>
    </xf>
    <xf numFmtId="0" fontId="1" fillId="7" borderId="5" xfId="0" applyFont="1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0" borderId="9" xfId="0" applyBorder="1" applyAlignment="1">
      <alignment horizontal="right"/>
    </xf>
    <xf numFmtId="0" fontId="7" fillId="0" borderId="0" xfId="16"/>
    <xf numFmtId="0" fontId="0" fillId="0" borderId="0" xfId="19" applyNumberFormat="1" applyFont="1" applyFill="1" applyBorder="1" applyAlignment="1">
      <alignment horizontal="left" vertical="top"/>
    </xf>
    <xf numFmtId="0" fontId="0" fillId="0" borderId="0" xfId="19" applyNumberFormat="1" applyFont="1" applyBorder="1" applyAlignment="1">
      <alignment horizontal="right"/>
    </xf>
    <xf numFmtId="0" fontId="0" fillId="0" borderId="6" xfId="0" applyBorder="1" applyAlignment="1">
      <alignment horizontal="right" vertical="top"/>
    </xf>
    <xf numFmtId="0" fontId="0" fillId="6" borderId="5" xfId="0" applyFill="1" applyBorder="1"/>
    <xf numFmtId="0" fontId="0" fillId="6" borderId="7" xfId="0" applyFill="1" applyBorder="1"/>
    <xf numFmtId="0" fontId="0" fillId="0" borderId="6" xfId="19" applyNumberFormat="1" applyFont="1" applyBorder="1" applyAlignment="1">
      <alignment horizontal="right"/>
    </xf>
    <xf numFmtId="10" fontId="0" fillId="0" borderId="6" xfId="19" applyNumberFormat="1" applyFont="1" applyBorder="1" applyAlignment="1">
      <alignment horizontal="right"/>
    </xf>
    <xf numFmtId="0" fontId="7" fillId="0" borderId="0" xfId="16"/>
    <xf numFmtId="10" fontId="0" fillId="0" borderId="0" xfId="0" applyNumberFormat="1" applyAlignment="1">
      <alignment horizontal="left" vertical="top"/>
    </xf>
    <xf numFmtId="0" fontId="0" fillId="0" borderId="0" xfId="0" applyFill="1" applyAlignment="1">
      <alignment horizontal="right"/>
    </xf>
    <xf numFmtId="0" fontId="7" fillId="0" borderId="6" xfId="16" applyBorder="1" applyAlignment="1">
      <alignment horizontal="right" vertical="top"/>
    </xf>
    <xf numFmtId="0" fontId="7" fillId="0" borderId="6" xfId="16" applyBorder="1" applyAlignment="1">
      <alignment horizontal="right"/>
    </xf>
    <xf numFmtId="0" fontId="7" fillId="0" borderId="0" xfId="16"/>
    <xf numFmtId="0" fontId="7" fillId="0" borderId="0" xfId="16" applyBorder="1" applyAlignment="1">
      <alignment horizontal="right"/>
    </xf>
    <xf numFmtId="0" fontId="7" fillId="0" borderId="10" xfId="16" applyBorder="1" applyAlignment="1">
      <alignment horizontal="right"/>
    </xf>
    <xf numFmtId="164" fontId="0" fillId="0" borderId="0" xfId="19" applyNumberFormat="1" applyFont="1" applyAlignment="1">
      <alignment horizontal="left" vertical="top"/>
    </xf>
    <xf numFmtId="0" fontId="7" fillId="0" borderId="11" xfId="16" applyBorder="1" applyAlignment="1">
      <alignment horizontal="right"/>
    </xf>
    <xf numFmtId="0" fontId="1" fillId="6" borderId="12" xfId="0" applyFont="1" applyFill="1" applyBorder="1" applyAlignment="1">
      <alignment horizontal="right" vertical="top"/>
    </xf>
    <xf numFmtId="0" fontId="0" fillId="6" borderId="13" xfId="0" applyFill="1" applyBorder="1" applyAlignment="1">
      <alignment horizontal="right"/>
    </xf>
    <xf numFmtId="0" fontId="0" fillId="6" borderId="14" xfId="0" applyFill="1" applyBorder="1" applyAlignment="1">
      <alignment horizontal="right"/>
    </xf>
    <xf numFmtId="165" fontId="7" fillId="0" borderId="0" xfId="20" applyNumberFormat="1" applyFont="1"/>
    <xf numFmtId="165" fontId="0" fillId="6" borderId="0" xfId="20" applyNumberFormat="1" applyFont="1" applyFill="1" applyBorder="1" applyAlignment="1">
      <alignment horizontal="right"/>
    </xf>
    <xf numFmtId="165" fontId="0" fillId="6" borderId="10" xfId="20" applyNumberFormat="1" applyFont="1" applyFill="1" applyBorder="1" applyAlignment="1">
      <alignment horizontal="right"/>
    </xf>
    <xf numFmtId="165" fontId="0" fillId="0" borderId="0" xfId="20" applyNumberFormat="1" applyFont="1" applyAlignment="1">
      <alignment horizontal="right" vertical="top"/>
    </xf>
    <xf numFmtId="165" fontId="0" fillId="0" borderId="0" xfId="20" applyNumberFormat="1" applyFont="1"/>
    <xf numFmtId="0" fontId="1" fillId="6" borderId="15" xfId="0" applyFont="1" applyFill="1" applyBorder="1" applyAlignment="1">
      <alignment horizontal="left" vertical="top"/>
    </xf>
    <xf numFmtId="0" fontId="0" fillId="6" borderId="10" xfId="0" applyFill="1" applyBorder="1" applyAlignment="1">
      <alignment horizontal="right" vertical="top" wrapText="1"/>
    </xf>
    <xf numFmtId="0" fontId="0" fillId="6" borderId="15" xfId="0" applyFill="1" applyBorder="1"/>
    <xf numFmtId="0" fontId="0" fillId="6" borderId="16" xfId="0" applyFill="1" applyBorder="1"/>
    <xf numFmtId="166" fontId="0" fillId="6" borderId="13" xfId="20" applyNumberFormat="1" applyFont="1" applyFill="1" applyBorder="1" applyAlignment="1">
      <alignment horizontal="right"/>
    </xf>
    <xf numFmtId="165" fontId="0" fillId="6" borderId="13" xfId="20" applyNumberFormat="1" applyFont="1" applyFill="1" applyBorder="1" applyAlignment="1">
      <alignment horizontal="right"/>
    </xf>
    <xf numFmtId="165" fontId="0" fillId="6" borderId="14" xfId="20" applyNumberFormat="1" applyFont="1" applyFill="1" applyBorder="1" applyAlignment="1">
      <alignment horizontal="right"/>
    </xf>
    <xf numFmtId="0" fontId="1" fillId="6" borderId="15" xfId="0" applyFont="1" applyFill="1" applyBorder="1" applyAlignment="1">
      <alignment horizontal="right" vertical="top"/>
    </xf>
    <xf numFmtId="166" fontId="0" fillId="6" borderId="0" xfId="20" applyNumberFormat="1" applyFont="1" applyFill="1" applyBorder="1" applyAlignment="1">
      <alignment horizontal="right"/>
    </xf>
    <xf numFmtId="164" fontId="0" fillId="0" borderId="10" xfId="19" applyNumberFormat="1" applyFont="1" applyBorder="1" applyAlignment="1">
      <alignment horizontal="right"/>
    </xf>
    <xf numFmtId="164" fontId="0" fillId="0" borderId="0" xfId="19" applyNumberFormat="1" applyFont="1" applyFill="1" applyAlignment="1">
      <alignment horizontal="right"/>
    </xf>
    <xf numFmtId="164" fontId="0" fillId="0" borderId="0" xfId="19" applyNumberFormat="1" applyFont="1" applyAlignment="1">
      <alignment horizontal="right"/>
    </xf>
    <xf numFmtId="0" fontId="7" fillId="0" borderId="0" xfId="16"/>
    <xf numFmtId="0" fontId="1" fillId="6" borderId="5" xfId="0" applyFont="1" applyFill="1" applyBorder="1" applyAlignment="1">
      <alignment horizontal="right" vertical="top"/>
    </xf>
    <xf numFmtId="0" fontId="0" fillId="6" borderId="0" xfId="0" applyFill="1" applyBorder="1" applyAlignment="1">
      <alignment horizontal="right"/>
    </xf>
    <xf numFmtId="10" fontId="0" fillId="0" borderId="0" xfId="19" applyNumberFormat="1" applyFont="1" applyFill="1" applyBorder="1" applyAlignment="1">
      <alignment horizontal="left" vertical="top"/>
    </xf>
    <xf numFmtId="10" fontId="0" fillId="0" borderId="0" xfId="19" applyNumberFormat="1" applyFont="1" applyBorder="1" applyAlignment="1">
      <alignment horizontal="right"/>
    </xf>
    <xf numFmtId="0" fontId="0" fillId="0" borderId="8" xfId="19" applyNumberFormat="1" applyFont="1" applyBorder="1" applyAlignment="1">
      <alignment horizontal="right"/>
    </xf>
    <xf numFmtId="0" fontId="7" fillId="0" borderId="0" xfId="16"/>
    <xf numFmtId="0" fontId="0" fillId="6" borderId="15" xfId="0" applyFont="1" applyFill="1" applyBorder="1" applyAlignment="1">
      <alignment horizontal="left" vertical="top"/>
    </xf>
    <xf numFmtId="0" fontId="0" fillId="0" borderId="10" xfId="0" applyBorder="1" applyAlignment="1">
      <alignment horizontal="right"/>
    </xf>
    <xf numFmtId="165" fontId="1" fillId="6" borderId="5" xfId="20" applyNumberFormat="1" applyFont="1" applyFill="1" applyBorder="1" applyAlignment="1">
      <alignment horizontal="right" vertical="top"/>
    </xf>
    <xf numFmtId="10" fontId="0" fillId="0" borderId="0" xfId="19" applyNumberFormat="1" applyFont="1" applyAlignment="1">
      <alignment horizontal="left" vertical="top"/>
    </xf>
    <xf numFmtId="0" fontId="0" fillId="0" borderId="9" xfId="19" applyNumberFormat="1" applyFont="1" applyBorder="1" applyAlignment="1">
      <alignment horizontal="right"/>
    </xf>
    <xf numFmtId="0" fontId="7" fillId="0" borderId="0" xfId="16"/>
    <xf numFmtId="0" fontId="8" fillId="0" borderId="0" xfId="0" applyFont="1" applyAlignment="1">
      <alignment horizontal="center" vertical="center"/>
    </xf>
  </cellXfs>
  <cellStyles count="21">
    <cellStyle name="BodyStyle00" xfId="1" xr:uid="{00000000-0005-0000-0000-000000000000}"/>
    <cellStyle name="BodyStyle01" xfId="2" xr:uid="{00000000-0005-0000-0000-000001000000}"/>
    <cellStyle name="BodyStyle010" xfId="13" xr:uid="{00000000-0005-0000-0000-000002000000}"/>
    <cellStyle name="BodyStyle011_aa_1" xfId="3" xr:uid="{00000000-0005-0000-0000-000003000000}"/>
    <cellStyle name="BodyStyle014_aa" xfId="4" xr:uid="{00000000-0005-0000-0000-000004000000}"/>
    <cellStyle name="BodyStyle015_aa" xfId="5" xr:uid="{00000000-0005-0000-0000-000005000000}"/>
    <cellStyle name="BodyStyle02_aa" xfId="6" xr:uid="{00000000-0005-0000-0000-000006000000}"/>
    <cellStyle name="BodyStyle03_aa" xfId="7" xr:uid="{00000000-0005-0000-0000-000007000000}"/>
    <cellStyle name="BodyStyle04" xfId="14" xr:uid="{00000000-0005-0000-0000-000008000000}"/>
    <cellStyle name="BodyStyle05" xfId="17" xr:uid="{00000000-0005-0000-0000-000009000000}"/>
    <cellStyle name="BodyStyle06" xfId="8" xr:uid="{00000000-0005-0000-0000-00000A000000}"/>
    <cellStyle name="BodyStyle06 2" xfId="9" xr:uid="{00000000-0005-0000-0000-00000B000000}"/>
    <cellStyle name="BodyStyle06 3" xfId="10" xr:uid="{00000000-0005-0000-0000-00000C000000}"/>
    <cellStyle name="BodyStyle06 4" xfId="11" xr:uid="{00000000-0005-0000-0000-00000D000000}"/>
    <cellStyle name="BodyStyle06 4 2" xfId="12" xr:uid="{00000000-0005-0000-0000-00000E000000}"/>
    <cellStyle name="BodyStyle07" xfId="15" xr:uid="{00000000-0005-0000-0000-00000F000000}"/>
    <cellStyle name="BodyStyle08" xfId="18" xr:uid="{00000000-0005-0000-0000-000010000000}"/>
    <cellStyle name="Comma" xfId="20" builtinId="3"/>
    <cellStyle name="Hyperlink" xfId="16" builtinId="8"/>
    <cellStyle name="Normal" xfId="0" builtinId="0"/>
    <cellStyle name="Percent" xfId="19" builtinId="5"/>
  </cellStyles>
  <dxfs count="100"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</dxfs>
  <tableStyles count="0" defaultTableStyle="TableStyleMedium2" defaultPivotStyle="PivotStyleLight16"/>
  <colors>
    <mruColors>
      <color rgb="FF0000FF"/>
      <color rgb="FF0033CC"/>
      <color rgb="FFA6A6A6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/>
  </sheetViews>
  <sheetFormatPr defaultRowHeight="12.75" x14ac:dyDescent="0.2"/>
  <cols>
    <col min="1" max="1" width="3.28515625" customWidth="1"/>
    <col min="2" max="2" width="11.85546875" customWidth="1"/>
    <col min="3" max="3" width="26" customWidth="1"/>
    <col min="4" max="4" width="80" customWidth="1"/>
  </cols>
  <sheetData>
    <row r="1" spans="1:4" ht="20.25" customHeight="1" x14ac:dyDescent="0.2">
      <c r="A1" s="1" t="s">
        <v>1</v>
      </c>
      <c r="B1" s="2" t="s">
        <v>2</v>
      </c>
      <c r="C1" s="2" t="s">
        <v>3</v>
      </c>
      <c r="D1" s="3" t="s">
        <v>4</v>
      </c>
    </row>
    <row r="2" spans="1:4" x14ac:dyDescent="0.2">
      <c r="A2" s="4"/>
      <c r="B2" s="7"/>
      <c r="C2" s="7"/>
      <c r="D2" s="8"/>
    </row>
    <row r="3" spans="1:4" x14ac:dyDescent="0.2">
      <c r="A3" s="6"/>
      <c r="B3" s="13"/>
      <c r="C3" s="7"/>
      <c r="D3" s="5"/>
    </row>
    <row r="4" spans="1:4" x14ac:dyDescent="0.2">
      <c r="A4" s="6"/>
      <c r="B4" s="23"/>
      <c r="C4" s="9"/>
      <c r="D4" s="5"/>
    </row>
    <row r="5" spans="1:4" x14ac:dyDescent="0.2">
      <c r="A5" s="6"/>
      <c r="B5" s="23"/>
      <c r="C5" s="9"/>
      <c r="D5" s="5"/>
    </row>
    <row r="6" spans="1:4" x14ac:dyDescent="0.2">
      <c r="A6" s="6"/>
      <c r="B6" s="9"/>
      <c r="C6" s="9"/>
      <c r="D6" s="5"/>
    </row>
    <row r="7" spans="1:4" x14ac:dyDescent="0.2">
      <c r="A7" s="6"/>
      <c r="B7" s="9"/>
      <c r="C7" s="9"/>
      <c r="D7" s="5"/>
    </row>
    <row r="8" spans="1:4" x14ac:dyDescent="0.2">
      <c r="A8" s="6"/>
      <c r="B8" s="9"/>
      <c r="C8" s="9"/>
      <c r="D8" s="5"/>
    </row>
    <row r="9" spans="1:4" x14ac:dyDescent="0.2">
      <c r="A9" s="6"/>
      <c r="B9" s="9"/>
      <c r="C9" s="9"/>
      <c r="D9" s="5"/>
    </row>
    <row r="10" spans="1:4" x14ac:dyDescent="0.2">
      <c r="A10" s="6"/>
      <c r="B10" s="9"/>
      <c r="C10" s="9"/>
      <c r="D10" s="5"/>
    </row>
    <row r="11" spans="1:4" x14ac:dyDescent="0.2">
      <c r="A11" s="6"/>
      <c r="B11" s="9"/>
      <c r="C11" s="9"/>
      <c r="D11" s="5"/>
    </row>
    <row r="12" spans="1:4" x14ac:dyDescent="0.2">
      <c r="A12" s="6"/>
      <c r="B12" s="9"/>
      <c r="C12" s="9"/>
      <c r="D12" s="5"/>
    </row>
    <row r="13" spans="1:4" x14ac:dyDescent="0.2">
      <c r="A13" s="6"/>
      <c r="B13" s="9"/>
      <c r="C13" s="9"/>
      <c r="D13" s="5"/>
    </row>
    <row r="14" spans="1:4" x14ac:dyDescent="0.2">
      <c r="A14" s="6"/>
      <c r="B14" s="9"/>
      <c r="C14" s="9"/>
      <c r="D14" s="5"/>
    </row>
    <row r="15" spans="1:4" x14ac:dyDescent="0.2">
      <c r="A15" s="6"/>
      <c r="B15" s="9"/>
      <c r="C15" s="9"/>
      <c r="D15" s="5"/>
    </row>
    <row r="16" spans="1:4" x14ac:dyDescent="0.2">
      <c r="A16" s="6"/>
      <c r="B16" s="9"/>
      <c r="C16" s="9"/>
      <c r="D16" s="5"/>
    </row>
    <row r="17" spans="1:4" x14ac:dyDescent="0.2">
      <c r="A17" s="6"/>
      <c r="B17" s="9"/>
      <c r="C17" s="9"/>
      <c r="D17" s="5"/>
    </row>
    <row r="18" spans="1:4" x14ac:dyDescent="0.2">
      <c r="A18" s="6"/>
      <c r="B18" s="9"/>
      <c r="C18" s="9"/>
      <c r="D18" s="5"/>
    </row>
    <row r="19" spans="1:4" x14ac:dyDescent="0.2">
      <c r="A19" s="6"/>
      <c r="B19" s="9"/>
      <c r="C19" s="9"/>
      <c r="D19" s="5"/>
    </row>
    <row r="20" spans="1:4" x14ac:dyDescent="0.2">
      <c r="A20" s="6"/>
      <c r="B20" s="9"/>
      <c r="C20" s="9"/>
      <c r="D20" s="5"/>
    </row>
    <row r="21" spans="1:4" x14ac:dyDescent="0.2">
      <c r="A21" s="6"/>
      <c r="B21" s="9"/>
      <c r="C21" s="9"/>
      <c r="D21" s="5"/>
    </row>
    <row r="22" spans="1:4" x14ac:dyDescent="0.2">
      <c r="A22" s="6"/>
      <c r="B22" s="9"/>
      <c r="C22" s="9"/>
      <c r="D22" s="5"/>
    </row>
    <row r="23" spans="1:4" x14ac:dyDescent="0.2">
      <c r="A23" s="6"/>
      <c r="B23" s="9"/>
      <c r="C23" s="9"/>
      <c r="D23" s="5"/>
    </row>
    <row r="24" spans="1:4" x14ac:dyDescent="0.2">
      <c r="A24" s="6"/>
      <c r="B24" s="9"/>
      <c r="C24" s="9"/>
      <c r="D24" s="5"/>
    </row>
    <row r="25" spans="1:4" x14ac:dyDescent="0.2">
      <c r="A25" s="6"/>
      <c r="B25" s="9"/>
      <c r="C25" s="9"/>
      <c r="D25" s="5"/>
    </row>
    <row r="26" spans="1:4" x14ac:dyDescent="0.2">
      <c r="A26" s="6"/>
      <c r="B26" s="9"/>
      <c r="C26" s="9"/>
      <c r="D26" s="5"/>
    </row>
    <row r="27" spans="1:4" x14ac:dyDescent="0.2">
      <c r="A27" s="6"/>
      <c r="B27" s="9"/>
      <c r="C27" s="9"/>
      <c r="D27" s="5"/>
    </row>
    <row r="28" spans="1:4" x14ac:dyDescent="0.2">
      <c r="A28" s="6"/>
      <c r="B28" s="9"/>
      <c r="C28" s="9"/>
      <c r="D28" s="5"/>
    </row>
    <row r="29" spans="1:4" x14ac:dyDescent="0.2">
      <c r="A29" s="6"/>
      <c r="B29" s="9"/>
      <c r="C29" s="9"/>
      <c r="D29" s="5"/>
    </row>
    <row r="30" spans="1:4" x14ac:dyDescent="0.2">
      <c r="A30" s="6"/>
      <c r="B30" s="9"/>
      <c r="C30" s="9"/>
      <c r="D30" s="5"/>
    </row>
    <row r="31" spans="1:4" x14ac:dyDescent="0.2">
      <c r="A31" s="6"/>
      <c r="B31" s="9"/>
      <c r="C31" s="9"/>
      <c r="D31" s="5"/>
    </row>
    <row r="32" spans="1:4" x14ac:dyDescent="0.2">
      <c r="A32" s="6"/>
      <c r="B32" s="9"/>
      <c r="C32" s="9"/>
      <c r="D32" s="5"/>
    </row>
    <row r="33" spans="1:4" x14ac:dyDescent="0.2">
      <c r="A33" s="6"/>
      <c r="B33" s="9"/>
      <c r="C33" s="9"/>
      <c r="D33" s="5"/>
    </row>
    <row r="34" spans="1:4" x14ac:dyDescent="0.2">
      <c r="A34" s="6"/>
      <c r="B34" s="9"/>
      <c r="C34" s="9"/>
      <c r="D34" s="5"/>
    </row>
    <row r="35" spans="1:4" x14ac:dyDescent="0.2">
      <c r="A35" s="6"/>
      <c r="B35" s="9"/>
      <c r="C35" s="9"/>
      <c r="D35" s="5"/>
    </row>
    <row r="36" spans="1:4" x14ac:dyDescent="0.2">
      <c r="A36" s="6"/>
      <c r="B36" s="9"/>
      <c r="C36" s="9"/>
      <c r="D36" s="5"/>
    </row>
    <row r="37" spans="1:4" x14ac:dyDescent="0.2">
      <c r="A37" s="6"/>
      <c r="B37" s="9"/>
      <c r="C37" s="9"/>
      <c r="D37" s="5"/>
    </row>
    <row r="38" spans="1:4" x14ac:dyDescent="0.2">
      <c r="A38" s="6"/>
      <c r="B38" s="9"/>
      <c r="C38" s="9"/>
      <c r="D38" s="5"/>
    </row>
    <row r="39" spans="1:4" x14ac:dyDescent="0.2">
      <c r="A39" s="6"/>
      <c r="B39" s="9"/>
      <c r="C39" s="9"/>
      <c r="D39" s="5"/>
    </row>
    <row r="40" spans="1:4" x14ac:dyDescent="0.2">
      <c r="A40" s="6"/>
      <c r="B40" s="9"/>
      <c r="C40" s="9"/>
      <c r="D40" s="5"/>
    </row>
    <row r="41" spans="1:4" x14ac:dyDescent="0.2">
      <c r="A41" s="6"/>
      <c r="B41" s="9"/>
      <c r="C41" s="9"/>
      <c r="D41" s="5"/>
    </row>
    <row r="42" spans="1:4" x14ac:dyDescent="0.2">
      <c r="A42" s="6"/>
      <c r="B42" s="9"/>
      <c r="C42" s="9"/>
      <c r="D42" s="5"/>
    </row>
    <row r="43" spans="1:4" x14ac:dyDescent="0.2">
      <c r="A43" s="6"/>
      <c r="B43" s="9"/>
      <c r="C43" s="9"/>
      <c r="D43" s="5"/>
    </row>
    <row r="44" spans="1:4" x14ac:dyDescent="0.2">
      <c r="A44" s="6"/>
      <c r="B44" s="9"/>
      <c r="C44" s="9"/>
      <c r="D44" s="5"/>
    </row>
    <row r="45" spans="1:4" x14ac:dyDescent="0.2">
      <c r="A45" s="6"/>
      <c r="B45" s="9"/>
      <c r="C45" s="9"/>
      <c r="D45" s="5"/>
    </row>
    <row r="46" spans="1:4" x14ac:dyDescent="0.2">
      <c r="A46" s="6"/>
      <c r="B46" s="9"/>
      <c r="C46" s="9"/>
      <c r="D46" s="5"/>
    </row>
    <row r="47" spans="1:4" x14ac:dyDescent="0.2">
      <c r="A47" s="6"/>
      <c r="B47" s="9"/>
      <c r="C47" s="9"/>
      <c r="D47" s="5"/>
    </row>
    <row r="48" spans="1:4" x14ac:dyDescent="0.2">
      <c r="A48" s="6"/>
      <c r="B48" s="9"/>
      <c r="C48" s="9"/>
      <c r="D48" s="5"/>
    </row>
    <row r="49" spans="1:4" x14ac:dyDescent="0.2">
      <c r="A49" s="6"/>
      <c r="B49" s="9"/>
      <c r="C49" s="9"/>
      <c r="D49" s="5"/>
    </row>
    <row r="50" spans="1:4" x14ac:dyDescent="0.2">
      <c r="A50" s="6"/>
      <c r="B50" s="9"/>
      <c r="C50" s="9"/>
      <c r="D50" s="5"/>
    </row>
    <row r="51" spans="1:4" x14ac:dyDescent="0.2">
      <c r="A51" s="6"/>
      <c r="B51" s="9"/>
      <c r="C51" s="9"/>
      <c r="D51" s="5"/>
    </row>
    <row r="52" spans="1:4" x14ac:dyDescent="0.2">
      <c r="A52" s="6"/>
      <c r="B52" s="9"/>
      <c r="C52" s="9"/>
      <c r="D52" s="5"/>
    </row>
    <row r="53" spans="1:4" x14ac:dyDescent="0.2">
      <c r="A53" s="6"/>
      <c r="B53" s="9"/>
      <c r="C53" s="9"/>
      <c r="D53" s="5"/>
    </row>
    <row r="54" spans="1:4" x14ac:dyDescent="0.2">
      <c r="A54" s="6"/>
      <c r="B54" s="9"/>
      <c r="C54" s="9"/>
      <c r="D54" s="5"/>
    </row>
    <row r="55" spans="1:4" x14ac:dyDescent="0.2">
      <c r="A55" s="6"/>
      <c r="B55" s="9"/>
      <c r="C55" s="9"/>
      <c r="D55" s="5"/>
    </row>
    <row r="56" spans="1:4" x14ac:dyDescent="0.2">
      <c r="A56" s="6"/>
      <c r="B56" s="9"/>
      <c r="C56" s="9"/>
      <c r="D56" s="5"/>
    </row>
    <row r="57" spans="1:4" x14ac:dyDescent="0.2">
      <c r="A57" s="6"/>
      <c r="B57" s="9"/>
      <c r="C57" s="9"/>
      <c r="D57" s="5"/>
    </row>
    <row r="58" spans="1:4" x14ac:dyDescent="0.2">
      <c r="A58" s="6"/>
      <c r="B58" s="9"/>
      <c r="C58" s="9"/>
      <c r="D58" s="5"/>
    </row>
    <row r="59" spans="1:4" x14ac:dyDescent="0.2">
      <c r="A59" s="6"/>
      <c r="B59" s="9"/>
      <c r="C59" s="9"/>
      <c r="D59" s="5"/>
    </row>
    <row r="60" spans="1:4" x14ac:dyDescent="0.2">
      <c r="A60" s="6"/>
      <c r="B60" s="9"/>
      <c r="C60" s="9"/>
      <c r="D60" s="5"/>
    </row>
    <row r="61" spans="1:4" x14ac:dyDescent="0.2">
      <c r="A61" s="6"/>
      <c r="B61" s="9"/>
      <c r="C61" s="9"/>
      <c r="D61" s="5"/>
    </row>
    <row r="62" spans="1:4" x14ac:dyDescent="0.2">
      <c r="A62" s="6"/>
      <c r="B62" s="9"/>
      <c r="C62" s="9"/>
      <c r="D62" s="5"/>
    </row>
    <row r="63" spans="1:4" x14ac:dyDescent="0.2">
      <c r="A63" s="6"/>
      <c r="B63" s="9"/>
      <c r="C63" s="9"/>
      <c r="D63" s="5"/>
    </row>
    <row r="64" spans="1:4" x14ac:dyDescent="0.2">
      <c r="A64" s="6"/>
      <c r="B64" s="9"/>
      <c r="C64" s="9"/>
      <c r="D64" s="5"/>
    </row>
    <row r="65" spans="1:4" x14ac:dyDescent="0.2">
      <c r="A65" s="6"/>
      <c r="B65" s="9"/>
      <c r="C65" s="9"/>
      <c r="D65" s="5"/>
    </row>
    <row r="66" spans="1:4" x14ac:dyDescent="0.2">
      <c r="A66" s="6"/>
      <c r="B66" s="9"/>
      <c r="C66" s="9"/>
      <c r="D66" s="5"/>
    </row>
    <row r="67" spans="1:4" x14ac:dyDescent="0.2">
      <c r="A67" s="6"/>
      <c r="B67" s="9"/>
      <c r="C67" s="9"/>
      <c r="D67" s="5"/>
    </row>
    <row r="68" spans="1:4" x14ac:dyDescent="0.2">
      <c r="A68" s="6"/>
      <c r="B68" s="9"/>
      <c r="C68" s="9"/>
      <c r="D68" s="5"/>
    </row>
    <row r="69" spans="1:4" x14ac:dyDescent="0.2">
      <c r="A69" s="6"/>
      <c r="B69" s="9"/>
      <c r="C69" s="9"/>
      <c r="D69" s="5"/>
    </row>
    <row r="70" spans="1:4" x14ac:dyDescent="0.2">
      <c r="A70" s="6"/>
      <c r="B70" s="9"/>
      <c r="C70" s="9"/>
      <c r="D70" s="5"/>
    </row>
    <row r="71" spans="1:4" x14ac:dyDescent="0.2">
      <c r="A71" s="6"/>
      <c r="B71" s="9"/>
      <c r="C71" s="9"/>
      <c r="D71" s="5"/>
    </row>
    <row r="72" spans="1:4" x14ac:dyDescent="0.2">
      <c r="A72" s="6"/>
      <c r="B72" s="9"/>
      <c r="C72" s="9"/>
      <c r="D72" s="5"/>
    </row>
    <row r="73" spans="1:4" x14ac:dyDescent="0.2">
      <c r="A73" s="6"/>
      <c r="B73" s="9"/>
      <c r="C73" s="9"/>
      <c r="D73" s="5"/>
    </row>
    <row r="74" spans="1:4" x14ac:dyDescent="0.2">
      <c r="A74" s="6"/>
      <c r="B74" s="9"/>
      <c r="C74" s="9"/>
      <c r="D74" s="5"/>
    </row>
    <row r="75" spans="1:4" x14ac:dyDescent="0.2">
      <c r="A75" s="6"/>
      <c r="B75" s="9"/>
      <c r="C75" s="9"/>
      <c r="D75" s="5"/>
    </row>
    <row r="76" spans="1:4" x14ac:dyDescent="0.2">
      <c r="A76" s="6"/>
      <c r="B76" s="9"/>
      <c r="C76" s="9"/>
      <c r="D76" s="5"/>
    </row>
    <row r="77" spans="1:4" x14ac:dyDescent="0.2">
      <c r="A77" s="6"/>
      <c r="B77" s="9"/>
      <c r="C77" s="9"/>
      <c r="D77" s="5"/>
    </row>
    <row r="78" spans="1:4" x14ac:dyDescent="0.2">
      <c r="A78" s="6"/>
      <c r="B78" s="9"/>
      <c r="C78" s="9"/>
      <c r="D78" s="5"/>
    </row>
    <row r="79" spans="1:4" x14ac:dyDescent="0.2">
      <c r="A79" s="6"/>
      <c r="B79" s="9"/>
      <c r="C79" s="9"/>
      <c r="D79" s="5"/>
    </row>
    <row r="80" spans="1:4" x14ac:dyDescent="0.2">
      <c r="A80" s="6"/>
      <c r="B80" s="9"/>
      <c r="C80" s="9"/>
      <c r="D80" s="5"/>
    </row>
    <row r="81" spans="1:4" x14ac:dyDescent="0.2">
      <c r="A81" s="6"/>
      <c r="B81" s="9"/>
      <c r="C81" s="9"/>
      <c r="D81" s="5"/>
    </row>
    <row r="82" spans="1:4" x14ac:dyDescent="0.2">
      <c r="A82" s="6"/>
      <c r="B82" s="9"/>
      <c r="C82" s="9"/>
      <c r="D82" s="5"/>
    </row>
    <row r="83" spans="1:4" x14ac:dyDescent="0.2">
      <c r="A83" s="6"/>
      <c r="B83" s="9"/>
      <c r="C83" s="9"/>
      <c r="D83" s="5"/>
    </row>
    <row r="84" spans="1:4" x14ac:dyDescent="0.2">
      <c r="A84" s="6"/>
      <c r="B84" s="9"/>
      <c r="C84" s="9"/>
      <c r="D84" s="5"/>
    </row>
    <row r="85" spans="1:4" x14ac:dyDescent="0.2">
      <c r="A85" s="6"/>
      <c r="B85" s="9"/>
      <c r="C85" s="9"/>
      <c r="D85" s="5"/>
    </row>
    <row r="86" spans="1:4" x14ac:dyDescent="0.2">
      <c r="A86" s="6"/>
      <c r="B86" s="9"/>
      <c r="C86" s="9"/>
      <c r="D86" s="5"/>
    </row>
    <row r="87" spans="1:4" x14ac:dyDescent="0.2">
      <c r="A87" s="6"/>
      <c r="B87" s="9"/>
      <c r="C87" s="9"/>
      <c r="D87" s="5"/>
    </row>
    <row r="88" spans="1:4" x14ac:dyDescent="0.2">
      <c r="A88" s="6"/>
      <c r="B88" s="9"/>
      <c r="C88" s="9"/>
      <c r="D88" s="5"/>
    </row>
    <row r="89" spans="1:4" x14ac:dyDescent="0.2">
      <c r="A89" s="6"/>
      <c r="B89" s="9"/>
      <c r="C89" s="9"/>
      <c r="D89" s="5"/>
    </row>
    <row r="90" spans="1:4" x14ac:dyDescent="0.2">
      <c r="A90" s="6"/>
      <c r="B90" s="9"/>
      <c r="C90" s="9"/>
      <c r="D90" s="5"/>
    </row>
    <row r="91" spans="1:4" x14ac:dyDescent="0.2">
      <c r="A91" s="6"/>
      <c r="B91" s="9"/>
      <c r="C91" s="9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"/>
  <sheetViews>
    <sheetView showGridLines="0" zoomScaleNormal="100" workbookViewId="0">
      <selection sqref="A1:C2"/>
    </sheetView>
  </sheetViews>
  <sheetFormatPr defaultRowHeight="12.75" x14ac:dyDescent="0.2"/>
  <cols>
    <col min="1" max="1" width="7.7109375" customWidth="1"/>
    <col min="2" max="2" width="27.7109375" bestFit="1" customWidth="1"/>
    <col min="3" max="3" width="16.28515625" customWidth="1"/>
    <col min="4" max="4" width="15.5703125" customWidth="1"/>
    <col min="5" max="5" width="11.7109375" customWidth="1"/>
    <col min="6" max="6" width="11.42578125" customWidth="1"/>
  </cols>
  <sheetData>
    <row r="1" spans="1:6" x14ac:dyDescent="0.2">
      <c r="A1" s="102" t="s">
        <v>7</v>
      </c>
      <c r="B1" s="102"/>
      <c r="C1" s="102"/>
      <c r="D1" s="10"/>
      <c r="E1" s="10"/>
      <c r="F1" s="10"/>
    </row>
    <row r="2" spans="1:6" x14ac:dyDescent="0.2">
      <c r="A2" s="102"/>
      <c r="B2" s="102"/>
      <c r="C2" s="102"/>
      <c r="D2" s="10"/>
      <c r="E2" s="10"/>
      <c r="F2" s="10"/>
    </row>
    <row r="3" spans="1:6" s="21" customFormat="1" ht="12.75" customHeight="1" x14ac:dyDescent="0.2">
      <c r="A3" s="22"/>
      <c r="B3" s="22"/>
      <c r="C3" s="22"/>
      <c r="D3" s="10"/>
      <c r="E3" s="10"/>
      <c r="F3" s="10"/>
    </row>
    <row r="4" spans="1:6" s="25" customFormat="1" x14ac:dyDescent="0.2">
      <c r="A4" s="101" t="s">
        <v>21</v>
      </c>
      <c r="B4" s="101"/>
    </row>
    <row r="5" spans="1:6" s="25" customFormat="1" x14ac:dyDescent="0.2">
      <c r="B5" s="101" t="s">
        <v>17</v>
      </c>
      <c r="C5" s="101"/>
    </row>
    <row r="6" spans="1:6" s="25" customFormat="1" x14ac:dyDescent="0.2">
      <c r="B6" s="101" t="s">
        <v>20</v>
      </c>
      <c r="C6" s="101"/>
    </row>
    <row r="7" spans="1:6" s="25" customFormat="1" x14ac:dyDescent="0.2">
      <c r="B7" s="101" t="s">
        <v>35</v>
      </c>
      <c r="C7" s="101"/>
    </row>
    <row r="8" spans="1:6" s="25" customFormat="1" x14ac:dyDescent="0.2">
      <c r="B8" s="101" t="s">
        <v>48</v>
      </c>
      <c r="C8" s="101"/>
    </row>
    <row r="10" spans="1:6" s="25" customFormat="1" x14ac:dyDescent="0.2">
      <c r="A10" s="101" t="s">
        <v>78</v>
      </c>
      <c r="B10" s="101"/>
    </row>
  </sheetData>
  <mergeCells count="7">
    <mergeCell ref="A10:B10"/>
    <mergeCell ref="B7:C7"/>
    <mergeCell ref="B8:C8"/>
    <mergeCell ref="A1:C2"/>
    <mergeCell ref="A4:B4"/>
    <mergeCell ref="B5:C5"/>
    <mergeCell ref="B6:C6"/>
  </mergeCells>
  <hyperlinks>
    <hyperlink ref="A4" location="Scenarios!A1" display="2. Scenarios" xr:uid="{00000000-0004-0000-0100-000000000000}"/>
    <hyperlink ref="B5:C5" location="Hedges!B7" display="Pregenerated Hedged" xr:uid="{00000000-0004-0000-0100-000001000000}"/>
    <hyperlink ref="A4:B4" location="Hedges!A1" display="Hedges" xr:uid="{00000000-0004-0000-0100-000002000000}"/>
    <hyperlink ref="B6:C6" location="Hedges!B11" display="Hedge Groups" xr:uid="{00000000-0004-0000-0100-000003000000}"/>
    <hyperlink ref="B7:C7" location="Hedges!B16" display="Hedge Valuation: General" xr:uid="{00000000-0004-0000-0100-000004000000}"/>
    <hyperlink ref="B8:C8" location="Hedges!B27" display="Hedge Valuation: Control" xr:uid="{00000000-0004-0000-0100-000005000000}"/>
    <hyperlink ref="A10" location="Scenarios!A1" display="2. Scenarios" xr:uid="{00000000-0004-0000-0100-000006000000}"/>
    <hyperlink ref="A10:B10" location="HedgeStrategies!A1" display="Hedge Strategies" xr:uid="{00000000-0004-0000-0100-000007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ET189"/>
  <sheetViews>
    <sheetView showGridLines="0" tabSelected="1" zoomScaleNormal="100" workbookViewId="0">
      <selection activeCell="E32" sqref="E32"/>
    </sheetView>
  </sheetViews>
  <sheetFormatPr defaultColWidth="26.5703125" defaultRowHeight="12.75" x14ac:dyDescent="0.2"/>
  <cols>
    <col min="1" max="1" width="14" style="15" customWidth="1"/>
    <col min="2" max="2" width="28.42578125" style="12" customWidth="1"/>
    <col min="3" max="11" width="26.5703125" style="12"/>
    <col min="12" max="12" width="21.42578125" style="12" customWidth="1"/>
    <col min="13" max="13" width="20.7109375" style="12" customWidth="1"/>
    <col min="14" max="14" width="19.7109375" style="12" customWidth="1"/>
    <col min="15" max="16384" width="26.5703125" style="12"/>
  </cols>
  <sheetData>
    <row r="1" spans="1:5" ht="15.75" x14ac:dyDescent="0.2">
      <c r="A1" s="14" t="s">
        <v>9</v>
      </c>
      <c r="B1" s="17" t="s">
        <v>34</v>
      </c>
    </row>
    <row r="2" spans="1:5" x14ac:dyDescent="0.2">
      <c r="B2" s="26"/>
    </row>
    <row r="3" spans="1:5" x14ac:dyDescent="0.2">
      <c r="B3" s="16" t="str">
        <f ca="1">GetNameRange(B4)</f>
        <v>Hedges</v>
      </c>
    </row>
    <row r="4" spans="1:5" x14ac:dyDescent="0.2">
      <c r="A4" s="29"/>
      <c r="B4" s="42" t="s">
        <v>10</v>
      </c>
      <c r="C4" s="44" t="s">
        <v>32</v>
      </c>
      <c r="D4" s="18"/>
    </row>
    <row r="5" spans="1:5" x14ac:dyDescent="0.2">
      <c r="A5" s="30" t="s">
        <v>8</v>
      </c>
      <c r="B5" s="32" t="s">
        <v>0</v>
      </c>
      <c r="C5" s="43"/>
      <c r="D5" s="18"/>
    </row>
    <row r="6" spans="1:5" x14ac:dyDescent="0.2">
      <c r="B6" s="47"/>
      <c r="C6" s="46"/>
      <c r="D6" s="20"/>
      <c r="E6" s="11"/>
    </row>
    <row r="7" spans="1:5" x14ac:dyDescent="0.2">
      <c r="B7" s="48" t="s">
        <v>17</v>
      </c>
      <c r="C7" s="54"/>
      <c r="D7" s="18"/>
    </row>
    <row r="8" spans="1:5" x14ac:dyDescent="0.2">
      <c r="A8" s="15" t="s">
        <v>6</v>
      </c>
      <c r="B8" s="45" t="s">
        <v>18</v>
      </c>
      <c r="C8" s="46" t="s">
        <v>6</v>
      </c>
      <c r="D8" s="18"/>
    </row>
    <row r="9" spans="1:5" x14ac:dyDescent="0.2">
      <c r="A9" s="15" t="s">
        <v>6</v>
      </c>
      <c r="B9" s="45" t="s">
        <v>19</v>
      </c>
      <c r="C9" s="46" t="s">
        <v>6</v>
      </c>
      <c r="D9" s="18"/>
    </row>
    <row r="10" spans="1:5" x14ac:dyDescent="0.2">
      <c r="B10" s="41"/>
      <c r="C10" s="54"/>
      <c r="D10" s="18"/>
    </row>
    <row r="11" spans="1:5" x14ac:dyDescent="0.2">
      <c r="B11" s="48" t="s">
        <v>20</v>
      </c>
      <c r="C11" s="54"/>
      <c r="D11" s="18"/>
    </row>
    <row r="12" spans="1:5" x14ac:dyDescent="0.2">
      <c r="B12" s="45" t="s">
        <v>42</v>
      </c>
      <c r="C12" s="62" t="s">
        <v>15</v>
      </c>
      <c r="D12" s="18"/>
    </row>
    <row r="13" spans="1:5" x14ac:dyDescent="0.2">
      <c r="B13" s="45" t="s">
        <v>43</v>
      </c>
      <c r="C13" s="62" t="s">
        <v>15</v>
      </c>
      <c r="D13" s="18"/>
    </row>
    <row r="14" spans="1:5" x14ac:dyDescent="0.2">
      <c r="B14" s="45" t="s">
        <v>44</v>
      </c>
      <c r="C14" s="63" t="s">
        <v>15</v>
      </c>
      <c r="D14" s="18"/>
    </row>
    <row r="15" spans="1:5" x14ac:dyDescent="0.2">
      <c r="B15" s="41"/>
      <c r="C15" s="54"/>
      <c r="D15" s="18"/>
    </row>
    <row r="16" spans="1:5" x14ac:dyDescent="0.2">
      <c r="B16" s="48" t="s">
        <v>35</v>
      </c>
      <c r="C16" s="54"/>
      <c r="D16" s="18"/>
    </row>
    <row r="17" spans="1:4" x14ac:dyDescent="0.2">
      <c r="A17" s="15">
        <v>1</v>
      </c>
      <c r="B17" s="45" t="s">
        <v>36</v>
      </c>
      <c r="C17" s="46">
        <v>1</v>
      </c>
      <c r="D17" s="18"/>
    </row>
    <row r="18" spans="1:4" x14ac:dyDescent="0.2">
      <c r="A18" s="15" t="s">
        <v>92</v>
      </c>
      <c r="B18" s="45" t="s">
        <v>93</v>
      </c>
      <c r="C18" s="24" t="s">
        <v>92</v>
      </c>
      <c r="D18" s="18"/>
    </row>
    <row r="19" spans="1:4" x14ac:dyDescent="0.2">
      <c r="A19" s="15" t="s">
        <v>40</v>
      </c>
      <c r="B19" s="45" t="s">
        <v>37</v>
      </c>
      <c r="C19" s="46" t="s">
        <v>40</v>
      </c>
      <c r="D19" s="18"/>
    </row>
    <row r="20" spans="1:4" x14ac:dyDescent="0.2">
      <c r="A20" s="60">
        <v>0</v>
      </c>
      <c r="B20" s="45" t="s">
        <v>38</v>
      </c>
      <c r="C20" s="58">
        <v>0</v>
      </c>
      <c r="D20" s="18"/>
    </row>
    <row r="21" spans="1:4" x14ac:dyDescent="0.2">
      <c r="A21" s="15" t="s">
        <v>6</v>
      </c>
      <c r="B21" s="45" t="s">
        <v>39</v>
      </c>
      <c r="C21" s="46" t="s">
        <v>6</v>
      </c>
      <c r="D21" s="18"/>
    </row>
    <row r="22" spans="1:4" x14ac:dyDescent="0.2">
      <c r="A22" s="15" t="s">
        <v>6</v>
      </c>
      <c r="B22" s="45" t="s">
        <v>41</v>
      </c>
      <c r="C22" s="54" t="s">
        <v>6</v>
      </c>
      <c r="D22" s="18"/>
    </row>
    <row r="23" spans="1:4" x14ac:dyDescent="0.2">
      <c r="A23" s="15" t="s">
        <v>6</v>
      </c>
      <c r="B23" s="45" t="s">
        <v>94</v>
      </c>
      <c r="C23" s="54" t="s">
        <v>6</v>
      </c>
      <c r="D23" s="18"/>
    </row>
    <row r="24" spans="1:4" x14ac:dyDescent="0.2">
      <c r="B24" s="41"/>
      <c r="C24" s="54"/>
      <c r="D24" s="18"/>
    </row>
    <row r="25" spans="1:4" x14ac:dyDescent="0.2">
      <c r="B25" s="48" t="s">
        <v>48</v>
      </c>
      <c r="C25" s="54"/>
      <c r="D25" s="18"/>
    </row>
    <row r="26" spans="1:4" x14ac:dyDescent="0.2">
      <c r="A26" s="15">
        <v>1</v>
      </c>
      <c r="B26" s="45" t="s">
        <v>91</v>
      </c>
      <c r="C26" s="65" t="s">
        <v>15</v>
      </c>
      <c r="D26" s="18"/>
    </row>
    <row r="27" spans="1:4" x14ac:dyDescent="0.2">
      <c r="A27" s="15" t="s">
        <v>5</v>
      </c>
      <c r="B27" s="45" t="s">
        <v>47</v>
      </c>
      <c r="C27" s="65" t="s">
        <v>15</v>
      </c>
      <c r="D27" s="18"/>
    </row>
    <row r="28" spans="1:4" x14ac:dyDescent="0.2">
      <c r="A28" s="15" t="s">
        <v>6</v>
      </c>
      <c r="B28" s="45" t="s">
        <v>46</v>
      </c>
      <c r="C28" s="66" t="s">
        <v>15</v>
      </c>
      <c r="D28" s="18"/>
    </row>
    <row r="29" spans="1:4" x14ac:dyDescent="0.2">
      <c r="A29" s="67">
        <v>0</v>
      </c>
      <c r="B29" s="45" t="s">
        <v>55</v>
      </c>
      <c r="C29" s="66" t="s">
        <v>15</v>
      </c>
      <c r="D29" s="18"/>
    </row>
    <row r="30" spans="1:4" x14ac:dyDescent="0.2">
      <c r="A30" s="15" t="s">
        <v>5</v>
      </c>
      <c r="B30" s="45" t="s">
        <v>56</v>
      </c>
      <c r="C30" s="66" t="s">
        <v>15</v>
      </c>
      <c r="D30" s="18"/>
    </row>
    <row r="31" spans="1:4" x14ac:dyDescent="0.2">
      <c r="A31" s="15" t="s">
        <v>6</v>
      </c>
      <c r="B31" s="45" t="s">
        <v>57</v>
      </c>
      <c r="C31" s="66" t="s">
        <v>15</v>
      </c>
      <c r="D31" s="18"/>
    </row>
    <row r="32" spans="1:4" x14ac:dyDescent="0.2">
      <c r="A32" s="67">
        <v>0</v>
      </c>
      <c r="B32" s="45" t="s">
        <v>58</v>
      </c>
      <c r="C32" s="66" t="s">
        <v>15</v>
      </c>
      <c r="D32" s="18"/>
    </row>
    <row r="33" spans="1:150" x14ac:dyDescent="0.2">
      <c r="A33" s="15" t="s">
        <v>5</v>
      </c>
      <c r="B33" s="45" t="s">
        <v>59</v>
      </c>
      <c r="C33" s="66" t="s">
        <v>15</v>
      </c>
      <c r="D33" s="18"/>
    </row>
    <row r="34" spans="1:150" x14ac:dyDescent="0.2">
      <c r="A34" s="15" t="s">
        <v>6</v>
      </c>
      <c r="B34" s="45" t="s">
        <v>60</v>
      </c>
      <c r="C34" s="66" t="s">
        <v>15</v>
      </c>
      <c r="D34" s="18"/>
    </row>
    <row r="35" spans="1:150" x14ac:dyDescent="0.2">
      <c r="A35" s="67">
        <v>0</v>
      </c>
      <c r="B35" s="45" t="s">
        <v>61</v>
      </c>
      <c r="C35" s="66" t="s">
        <v>15</v>
      </c>
      <c r="D35" s="18"/>
    </row>
    <row r="36" spans="1:150" x14ac:dyDescent="0.2">
      <c r="A36" s="15" t="s">
        <v>5</v>
      </c>
      <c r="B36" s="45" t="s">
        <v>62</v>
      </c>
      <c r="C36" s="66" t="s">
        <v>15</v>
      </c>
      <c r="D36" s="18"/>
    </row>
    <row r="37" spans="1:150" x14ac:dyDescent="0.2">
      <c r="A37" s="15" t="s">
        <v>6</v>
      </c>
      <c r="B37" s="45" t="s">
        <v>63</v>
      </c>
      <c r="C37" s="66" t="s">
        <v>15</v>
      </c>
      <c r="D37" s="18"/>
    </row>
    <row r="38" spans="1:150" x14ac:dyDescent="0.2">
      <c r="A38" s="67">
        <v>0</v>
      </c>
      <c r="B38" s="45" t="s">
        <v>64</v>
      </c>
      <c r="C38" s="66" t="s">
        <v>15</v>
      </c>
      <c r="D38" s="18"/>
    </row>
    <row r="39" spans="1:150" x14ac:dyDescent="0.2">
      <c r="A39" s="15" t="s">
        <v>6</v>
      </c>
      <c r="B39" s="49" t="s">
        <v>65</v>
      </c>
      <c r="C39" s="68" t="s">
        <v>15</v>
      </c>
      <c r="D39" s="18"/>
    </row>
    <row r="40" spans="1:150" x14ac:dyDescent="0.2">
      <c r="B40" s="18"/>
      <c r="C40" s="18"/>
    </row>
    <row r="41" spans="1:150" s="25" customFormat="1" x14ac:dyDescent="0.2">
      <c r="A41" s="14" t="s">
        <v>9</v>
      </c>
      <c r="B41" s="16" t="str">
        <f ca="1">GetNameRange(B42)</f>
        <v>HedgeGroupsFia</v>
      </c>
      <c r="C41" s="28"/>
      <c r="D41" s="28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</row>
    <row r="42" spans="1:150" s="25" customFormat="1" x14ac:dyDescent="0.2">
      <c r="A42" s="51" t="s">
        <v>16</v>
      </c>
      <c r="B42" s="35" t="s">
        <v>22</v>
      </c>
      <c r="C42" s="36" t="s">
        <v>223</v>
      </c>
      <c r="D42" s="36" t="s">
        <v>224</v>
      </c>
      <c r="E42" s="36" t="s">
        <v>225</v>
      </c>
      <c r="F42" s="36" t="s">
        <v>226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</row>
    <row r="43" spans="1:150" s="25" customFormat="1" x14ac:dyDescent="0.2">
      <c r="A43" s="19"/>
      <c r="B43" s="38" t="s">
        <v>0</v>
      </c>
      <c r="C43" s="27"/>
      <c r="D43" s="27"/>
      <c r="E43" s="27"/>
      <c r="F43" s="27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</row>
    <row r="44" spans="1:150" s="25" customFormat="1" x14ac:dyDescent="0.2">
      <c r="A44" s="34" t="s">
        <v>11</v>
      </c>
      <c r="B44" s="55" t="s">
        <v>25</v>
      </c>
      <c r="C44" s="31" t="s">
        <v>11</v>
      </c>
      <c r="D44" s="31" t="s">
        <v>11</v>
      </c>
      <c r="E44" s="31" t="s">
        <v>11</v>
      </c>
      <c r="F44" s="31" t="s">
        <v>11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</row>
    <row r="45" spans="1:150" s="25" customFormat="1" x14ac:dyDescent="0.2">
      <c r="A45" s="34" t="s">
        <v>13</v>
      </c>
      <c r="B45" s="55" t="s">
        <v>26</v>
      </c>
      <c r="C45" s="31" t="s">
        <v>227</v>
      </c>
      <c r="D45" s="31" t="s">
        <v>227</v>
      </c>
      <c r="E45" s="31" t="s">
        <v>228</v>
      </c>
      <c r="F45" s="31" t="s">
        <v>228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</row>
    <row r="46" spans="1:150" s="25" customFormat="1" x14ac:dyDescent="0.2">
      <c r="A46" s="52">
        <v>12</v>
      </c>
      <c r="B46" s="55" t="s">
        <v>33</v>
      </c>
      <c r="C46" s="53">
        <v>12</v>
      </c>
      <c r="D46" s="53">
        <v>12</v>
      </c>
      <c r="E46" s="53">
        <v>12</v>
      </c>
      <c r="F46" s="53">
        <v>12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</row>
    <row r="47" spans="1:150" s="25" customFormat="1" x14ac:dyDescent="0.2">
      <c r="A47" s="34" t="s">
        <v>31</v>
      </c>
      <c r="B47" s="55" t="s">
        <v>27</v>
      </c>
      <c r="C47" s="31" t="s">
        <v>31</v>
      </c>
      <c r="D47" s="31" t="s">
        <v>229</v>
      </c>
      <c r="E47" s="31" t="s">
        <v>31</v>
      </c>
      <c r="F47" s="31" t="s">
        <v>229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</row>
    <row r="48" spans="1:150" s="25" customFormat="1" x14ac:dyDescent="0.2">
      <c r="A48" s="34" t="s">
        <v>14</v>
      </c>
      <c r="B48" s="55" t="s">
        <v>28</v>
      </c>
      <c r="C48" s="53" t="s">
        <v>14</v>
      </c>
      <c r="D48" s="53" t="s">
        <v>14</v>
      </c>
      <c r="E48" s="53" t="s">
        <v>14</v>
      </c>
      <c r="F48" s="53" t="s">
        <v>14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</row>
    <row r="49" spans="1:150" s="25" customFormat="1" x14ac:dyDescent="0.2">
      <c r="A49" s="52">
        <v>1</v>
      </c>
      <c r="B49" s="55" t="s">
        <v>29</v>
      </c>
      <c r="C49" s="53">
        <v>1</v>
      </c>
      <c r="D49" s="53">
        <v>1</v>
      </c>
      <c r="E49" s="53">
        <v>1</v>
      </c>
      <c r="F49" s="53">
        <v>1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</row>
    <row r="50" spans="1:150" s="25" customFormat="1" x14ac:dyDescent="0.2">
      <c r="A50" s="26" t="s">
        <v>12</v>
      </c>
      <c r="B50" s="56" t="s">
        <v>30</v>
      </c>
      <c r="C50" s="33" t="s">
        <v>223</v>
      </c>
      <c r="D50" s="33" t="s">
        <v>224</v>
      </c>
      <c r="E50" s="33" t="s">
        <v>225</v>
      </c>
      <c r="F50" s="33" t="s">
        <v>226</v>
      </c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</row>
    <row r="52" spans="1:150" s="25" customFormat="1" x14ac:dyDescent="0.2">
      <c r="A52" s="14" t="s">
        <v>9</v>
      </c>
      <c r="B52" s="16" t="str">
        <f ca="1">GetNameRange(B53)</f>
        <v>HedgeGroupsIul</v>
      </c>
      <c r="C52" s="28"/>
      <c r="D52" s="28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</row>
    <row r="53" spans="1:150" s="25" customFormat="1" x14ac:dyDescent="0.2">
      <c r="A53" s="59" t="s">
        <v>16</v>
      </c>
      <c r="B53" s="35" t="s">
        <v>22</v>
      </c>
      <c r="C53" s="36" t="s">
        <v>23</v>
      </c>
      <c r="D53" s="37" t="s">
        <v>24</v>
      </c>
      <c r="E53" s="18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</row>
    <row r="54" spans="1:150" s="25" customFormat="1" x14ac:dyDescent="0.2">
      <c r="A54" s="19"/>
      <c r="B54" s="38" t="s">
        <v>0</v>
      </c>
      <c r="C54" s="27"/>
      <c r="D54" s="39"/>
      <c r="E54" s="18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</row>
    <row r="55" spans="1:150" s="25" customFormat="1" x14ac:dyDescent="0.2">
      <c r="A55" s="34" t="s">
        <v>11</v>
      </c>
      <c r="B55" s="55" t="s">
        <v>25</v>
      </c>
      <c r="C55" s="31" t="s">
        <v>11</v>
      </c>
      <c r="D55" s="40" t="s">
        <v>11</v>
      </c>
      <c r="E55" s="18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</row>
    <row r="56" spans="1:150" s="25" customFormat="1" x14ac:dyDescent="0.2">
      <c r="A56" s="34" t="s">
        <v>13</v>
      </c>
      <c r="B56" s="55" t="s">
        <v>26</v>
      </c>
      <c r="C56" s="31" t="s">
        <v>13</v>
      </c>
      <c r="D56" s="40" t="s">
        <v>13</v>
      </c>
      <c r="E56" s="18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</row>
    <row r="57" spans="1:150" s="25" customFormat="1" x14ac:dyDescent="0.2">
      <c r="A57" s="52">
        <v>12</v>
      </c>
      <c r="B57" s="55" t="s">
        <v>33</v>
      </c>
      <c r="C57" s="53">
        <v>12</v>
      </c>
      <c r="D57" s="57">
        <v>12</v>
      </c>
      <c r="E57" s="18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</row>
    <row r="58" spans="1:150" s="25" customFormat="1" x14ac:dyDescent="0.2">
      <c r="A58" s="34" t="s">
        <v>14</v>
      </c>
      <c r="B58" s="55" t="s">
        <v>28</v>
      </c>
      <c r="C58" s="53" t="s">
        <v>14</v>
      </c>
      <c r="D58" s="57" t="s">
        <v>14</v>
      </c>
      <c r="E58" s="18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</row>
    <row r="59" spans="1:150" s="25" customFormat="1" x14ac:dyDescent="0.2">
      <c r="A59" s="52">
        <v>1</v>
      </c>
      <c r="B59" s="55" t="s">
        <v>29</v>
      </c>
      <c r="C59" s="53">
        <v>1</v>
      </c>
      <c r="D59" s="57">
        <v>1</v>
      </c>
      <c r="E59" s="18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</row>
    <row r="60" spans="1:150" s="25" customFormat="1" x14ac:dyDescent="0.2">
      <c r="A60" s="26" t="s">
        <v>12</v>
      </c>
      <c r="B60" s="56" t="s">
        <v>30</v>
      </c>
      <c r="C60" s="33" t="s">
        <v>12</v>
      </c>
      <c r="D60" s="50" t="s">
        <v>12</v>
      </c>
      <c r="E60" s="18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</row>
    <row r="62" spans="1:150" s="25" customFormat="1" x14ac:dyDescent="0.2">
      <c r="A62" s="14" t="s">
        <v>9</v>
      </c>
      <c r="B62" s="16" t="str">
        <f ca="1">GetNameRange(B63)</f>
        <v>HedgeGroupsVA</v>
      </c>
      <c r="C62" s="28"/>
      <c r="D62" s="28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</row>
    <row r="63" spans="1:150" s="25" customFormat="1" x14ac:dyDescent="0.2">
      <c r="A63" s="59" t="s">
        <v>16</v>
      </c>
      <c r="B63" s="35" t="s">
        <v>22</v>
      </c>
      <c r="C63" s="36" t="s">
        <v>23</v>
      </c>
      <c r="D63" s="37" t="s">
        <v>24</v>
      </c>
      <c r="E63" s="18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</row>
    <row r="64" spans="1:150" s="25" customFormat="1" x14ac:dyDescent="0.2">
      <c r="A64" s="19"/>
      <c r="B64" s="38" t="s">
        <v>0</v>
      </c>
      <c r="C64" s="27"/>
      <c r="D64" s="39"/>
      <c r="E64" s="18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</row>
    <row r="65" spans="1:150" s="25" customFormat="1" x14ac:dyDescent="0.2">
      <c r="A65" s="34" t="s">
        <v>11</v>
      </c>
      <c r="B65" s="55" t="s">
        <v>25</v>
      </c>
      <c r="C65" s="31" t="s">
        <v>11</v>
      </c>
      <c r="D65" s="40" t="s">
        <v>11</v>
      </c>
      <c r="E65" s="18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</row>
    <row r="66" spans="1:150" s="25" customFormat="1" x14ac:dyDescent="0.2">
      <c r="A66" s="34" t="s">
        <v>51</v>
      </c>
      <c r="B66" s="55" t="s">
        <v>50</v>
      </c>
      <c r="C66" s="31" t="s">
        <v>51</v>
      </c>
      <c r="D66" s="40" t="s">
        <v>51</v>
      </c>
      <c r="E66" s="18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</row>
    <row r="67" spans="1:150" s="25" customFormat="1" x14ac:dyDescent="0.2">
      <c r="A67" s="34" t="s">
        <v>51</v>
      </c>
      <c r="B67" s="55" t="s">
        <v>53</v>
      </c>
      <c r="C67" s="31" t="s">
        <v>51</v>
      </c>
      <c r="D67" s="40" t="s">
        <v>51</v>
      </c>
      <c r="E67" s="18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</row>
    <row r="68" spans="1:150" s="25" customFormat="1" x14ac:dyDescent="0.2">
      <c r="A68" s="34" t="s">
        <v>51</v>
      </c>
      <c r="B68" s="55" t="s">
        <v>52</v>
      </c>
      <c r="C68" s="31" t="s">
        <v>51</v>
      </c>
      <c r="D68" s="40" t="s">
        <v>51</v>
      </c>
      <c r="E68" s="18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</row>
    <row r="69" spans="1:150" s="25" customFormat="1" x14ac:dyDescent="0.2">
      <c r="A69" s="34" t="s">
        <v>51</v>
      </c>
      <c r="B69" s="55" t="s">
        <v>54</v>
      </c>
      <c r="C69" s="31" t="s">
        <v>51</v>
      </c>
      <c r="D69" s="40" t="s">
        <v>51</v>
      </c>
      <c r="E69" s="18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</row>
    <row r="70" spans="1:150" s="25" customFormat="1" x14ac:dyDescent="0.2">
      <c r="A70" s="26" t="s">
        <v>12</v>
      </c>
      <c r="B70" s="56" t="s">
        <v>30</v>
      </c>
      <c r="C70" s="33" t="s">
        <v>12</v>
      </c>
      <c r="D70" s="50" t="s">
        <v>12</v>
      </c>
      <c r="E70" s="18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</row>
    <row r="72" spans="1:150" s="25" customFormat="1" x14ac:dyDescent="0.2">
      <c r="A72" s="14" t="s">
        <v>9</v>
      </c>
      <c r="B72" s="16" t="str">
        <f ca="1">GetNameRange(B73)</f>
        <v>HedgeValnControl</v>
      </c>
      <c r="C72" s="28">
        <v>1</v>
      </c>
      <c r="D72" s="61" t="s">
        <v>5</v>
      </c>
      <c r="E72" s="28" t="s">
        <v>6</v>
      </c>
      <c r="F72" s="61" t="s">
        <v>5</v>
      </c>
      <c r="G72" s="28" t="s">
        <v>6</v>
      </c>
      <c r="H72" s="61" t="s">
        <v>5</v>
      </c>
      <c r="I72" s="28" t="s">
        <v>6</v>
      </c>
      <c r="J72" s="61" t="s">
        <v>5</v>
      </c>
      <c r="K72" s="28" t="s">
        <v>6</v>
      </c>
      <c r="L72" s="28" t="s">
        <v>6</v>
      </c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</row>
    <row r="73" spans="1:150" s="25" customFormat="1" x14ac:dyDescent="0.2">
      <c r="A73" s="64" t="s">
        <v>16</v>
      </c>
      <c r="B73" s="35" t="s">
        <v>0</v>
      </c>
      <c r="C73" s="36" t="s">
        <v>91</v>
      </c>
      <c r="D73" s="36" t="s">
        <v>47</v>
      </c>
      <c r="E73" s="36" t="s">
        <v>46</v>
      </c>
      <c r="F73" s="36" t="s">
        <v>56</v>
      </c>
      <c r="G73" s="36" t="s">
        <v>57</v>
      </c>
      <c r="H73" s="36" t="s">
        <v>59</v>
      </c>
      <c r="I73" s="36" t="s">
        <v>60</v>
      </c>
      <c r="J73" s="36" t="s">
        <v>62</v>
      </c>
      <c r="K73" s="36" t="s">
        <v>63</v>
      </c>
      <c r="L73" s="36" t="s">
        <v>65</v>
      </c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</row>
    <row r="74" spans="1:150" s="25" customFormat="1" x14ac:dyDescent="0.2">
      <c r="A74" s="19"/>
      <c r="B74" s="38" t="s">
        <v>45</v>
      </c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</row>
    <row r="75" spans="1:150" s="25" customFormat="1" x14ac:dyDescent="0.2">
      <c r="A75" s="34"/>
      <c r="B75" s="55" t="s">
        <v>72</v>
      </c>
      <c r="C75" s="24">
        <v>1</v>
      </c>
      <c r="D75" s="24" t="s">
        <v>5</v>
      </c>
      <c r="E75" s="24" t="s">
        <v>6</v>
      </c>
      <c r="F75" s="24" t="s">
        <v>5</v>
      </c>
      <c r="G75" s="24" t="s">
        <v>6</v>
      </c>
      <c r="H75" s="24" t="s">
        <v>5</v>
      </c>
      <c r="I75" s="24" t="s">
        <v>6</v>
      </c>
      <c r="J75" s="24" t="s">
        <v>5</v>
      </c>
      <c r="K75" s="24" t="s">
        <v>6</v>
      </c>
      <c r="L75" s="24" t="s">
        <v>6</v>
      </c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</row>
    <row r="76" spans="1:150" s="25" customFormat="1" x14ac:dyDescent="0.2">
      <c r="A76" s="34"/>
      <c r="B76" s="55" t="s">
        <v>73</v>
      </c>
      <c r="C76" s="24">
        <v>1</v>
      </c>
      <c r="D76" s="24" t="s">
        <v>5</v>
      </c>
      <c r="E76" s="24" t="s">
        <v>6</v>
      </c>
      <c r="F76" s="24" t="s">
        <v>5</v>
      </c>
      <c r="G76" s="24" t="s">
        <v>6</v>
      </c>
      <c r="H76" s="24" t="s">
        <v>5</v>
      </c>
      <c r="I76" s="24" t="s">
        <v>6</v>
      </c>
      <c r="J76" s="24" t="s">
        <v>5</v>
      </c>
      <c r="K76" s="24" t="s">
        <v>6</v>
      </c>
      <c r="L76" s="24" t="s">
        <v>6</v>
      </c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</row>
    <row r="77" spans="1:150" s="25" customFormat="1" x14ac:dyDescent="0.2">
      <c r="A77" s="26"/>
      <c r="B77" s="56" t="s">
        <v>74</v>
      </c>
      <c r="C77" s="33">
        <v>1</v>
      </c>
      <c r="D77" s="33" t="s">
        <v>5</v>
      </c>
      <c r="E77" s="33" t="s">
        <v>6</v>
      </c>
      <c r="F77" s="33" t="s">
        <v>5</v>
      </c>
      <c r="G77" s="33" t="s">
        <v>6</v>
      </c>
      <c r="H77" s="33" t="s">
        <v>5</v>
      </c>
      <c r="I77" s="33" t="s">
        <v>6</v>
      </c>
      <c r="J77" s="33" t="s">
        <v>5</v>
      </c>
      <c r="K77" s="33" t="s">
        <v>6</v>
      </c>
      <c r="L77" s="33" t="s">
        <v>6</v>
      </c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</row>
    <row r="79" spans="1:150" x14ac:dyDescent="0.2">
      <c r="A79" s="14" t="s">
        <v>9</v>
      </c>
      <c r="B79" s="16" t="str">
        <f ca="1">GetNameRange(B80)</f>
        <v>HedgeProjControl</v>
      </c>
      <c r="C79" s="61">
        <v>1</v>
      </c>
      <c r="D79" s="61" t="s">
        <v>5</v>
      </c>
      <c r="E79" s="28" t="s">
        <v>6</v>
      </c>
      <c r="F79" s="61" t="s">
        <v>5</v>
      </c>
      <c r="G79" s="28" t="s">
        <v>6</v>
      </c>
      <c r="H79" s="61" t="s">
        <v>5</v>
      </c>
      <c r="I79" s="28" t="s">
        <v>6</v>
      </c>
      <c r="J79" s="61" t="s">
        <v>5</v>
      </c>
      <c r="K79" s="28" t="s">
        <v>6</v>
      </c>
      <c r="L79" s="28" t="s">
        <v>6</v>
      </c>
    </row>
    <row r="80" spans="1:150" x14ac:dyDescent="0.2">
      <c r="A80" s="95" t="s">
        <v>16</v>
      </c>
      <c r="B80" s="69" t="s">
        <v>0</v>
      </c>
      <c r="C80" s="70" t="s">
        <v>91</v>
      </c>
      <c r="D80" s="70" t="s">
        <v>47</v>
      </c>
      <c r="E80" s="70" t="s">
        <v>46</v>
      </c>
      <c r="F80" s="70" t="s">
        <v>56</v>
      </c>
      <c r="G80" s="70" t="s">
        <v>57</v>
      </c>
      <c r="H80" s="70" t="s">
        <v>59</v>
      </c>
      <c r="I80" s="70" t="s">
        <v>60</v>
      </c>
      <c r="J80" s="70" t="s">
        <v>62</v>
      </c>
      <c r="K80" s="70" t="s">
        <v>63</v>
      </c>
      <c r="L80" s="71" t="s">
        <v>65</v>
      </c>
    </row>
    <row r="81" spans="2:12" x14ac:dyDescent="0.2">
      <c r="B81" s="77" t="s">
        <v>45</v>
      </c>
      <c r="C81" s="27"/>
      <c r="D81" s="27"/>
      <c r="E81" s="27"/>
      <c r="F81" s="27"/>
      <c r="G81" s="27"/>
      <c r="H81" s="27"/>
      <c r="I81" s="27"/>
      <c r="J81" s="27"/>
      <c r="K81" s="27"/>
      <c r="L81" s="78"/>
    </row>
    <row r="82" spans="2:12" x14ac:dyDescent="0.2">
      <c r="B82" s="96" t="s">
        <v>32</v>
      </c>
      <c r="C82" s="53">
        <v>1</v>
      </c>
      <c r="D82" s="24" t="s">
        <v>5</v>
      </c>
      <c r="E82" s="24" t="s">
        <v>6</v>
      </c>
      <c r="F82" s="24" t="s">
        <v>5</v>
      </c>
      <c r="G82" s="24"/>
      <c r="H82" s="24" t="s">
        <v>5</v>
      </c>
      <c r="I82" s="24" t="s">
        <v>6</v>
      </c>
      <c r="J82" s="24" t="s">
        <v>5</v>
      </c>
      <c r="K82" s="24" t="s">
        <v>6</v>
      </c>
      <c r="L82" s="97" t="s">
        <v>32</v>
      </c>
    </row>
    <row r="83" spans="2:12" x14ac:dyDescent="0.2">
      <c r="B83" s="79" t="s">
        <v>95</v>
      </c>
      <c r="C83" s="53">
        <v>1</v>
      </c>
      <c r="D83" s="24" t="s">
        <v>51</v>
      </c>
      <c r="E83" s="24" t="s">
        <v>96</v>
      </c>
      <c r="F83" s="24" t="s">
        <v>5</v>
      </c>
      <c r="G83" s="24" t="s">
        <v>6</v>
      </c>
      <c r="H83" s="24" t="s">
        <v>5</v>
      </c>
      <c r="I83" s="24" t="s">
        <v>6</v>
      </c>
      <c r="J83" s="24" t="s">
        <v>5</v>
      </c>
      <c r="K83" s="24" t="s">
        <v>6</v>
      </c>
      <c r="L83" s="97" t="s">
        <v>32</v>
      </c>
    </row>
    <row r="84" spans="2:12" x14ac:dyDescent="0.2">
      <c r="B84" s="79" t="s">
        <v>97</v>
      </c>
      <c r="C84" s="53">
        <v>1</v>
      </c>
      <c r="D84" s="24" t="s">
        <v>51</v>
      </c>
      <c r="E84" s="24" t="s">
        <v>98</v>
      </c>
      <c r="F84" s="24" t="s">
        <v>5</v>
      </c>
      <c r="G84" s="24" t="s">
        <v>6</v>
      </c>
      <c r="H84" s="24" t="s">
        <v>5</v>
      </c>
      <c r="I84" s="24" t="s">
        <v>6</v>
      </c>
      <c r="J84" s="24" t="s">
        <v>5</v>
      </c>
      <c r="K84" s="24" t="s">
        <v>6</v>
      </c>
      <c r="L84" s="97" t="s">
        <v>32</v>
      </c>
    </row>
    <row r="85" spans="2:12" x14ac:dyDescent="0.2">
      <c r="B85" s="79" t="s">
        <v>99</v>
      </c>
      <c r="C85" s="53">
        <v>1</v>
      </c>
      <c r="D85" s="24" t="s">
        <v>51</v>
      </c>
      <c r="E85" s="24" t="s">
        <v>100</v>
      </c>
      <c r="F85" s="24" t="s">
        <v>5</v>
      </c>
      <c r="G85" s="24" t="s">
        <v>6</v>
      </c>
      <c r="H85" s="24" t="s">
        <v>5</v>
      </c>
      <c r="I85" s="24" t="s">
        <v>6</v>
      </c>
      <c r="J85" s="24" t="s">
        <v>5</v>
      </c>
      <c r="K85" s="24" t="s">
        <v>6</v>
      </c>
      <c r="L85" s="97" t="s">
        <v>32</v>
      </c>
    </row>
    <row r="86" spans="2:12" x14ac:dyDescent="0.2">
      <c r="B86" s="79" t="s">
        <v>101</v>
      </c>
      <c r="C86" s="53">
        <v>1</v>
      </c>
      <c r="D86" s="24" t="s">
        <v>51</v>
      </c>
      <c r="E86" s="24" t="s">
        <v>102</v>
      </c>
      <c r="F86" s="24" t="s">
        <v>5</v>
      </c>
      <c r="G86" s="24" t="s">
        <v>6</v>
      </c>
      <c r="H86" s="24" t="s">
        <v>5</v>
      </c>
      <c r="I86" s="24" t="s">
        <v>6</v>
      </c>
      <c r="J86" s="24" t="s">
        <v>5</v>
      </c>
      <c r="K86" s="24" t="s">
        <v>6</v>
      </c>
      <c r="L86" s="97" t="s">
        <v>32</v>
      </c>
    </row>
    <row r="87" spans="2:12" x14ac:dyDescent="0.2">
      <c r="B87" s="79" t="s">
        <v>103</v>
      </c>
      <c r="C87" s="53">
        <v>1</v>
      </c>
      <c r="D87" s="24" t="s">
        <v>51</v>
      </c>
      <c r="E87" s="24" t="s">
        <v>104</v>
      </c>
      <c r="F87" s="24" t="s">
        <v>5</v>
      </c>
      <c r="G87" s="24" t="s">
        <v>6</v>
      </c>
      <c r="H87" s="24" t="s">
        <v>5</v>
      </c>
      <c r="I87" s="24" t="s">
        <v>6</v>
      </c>
      <c r="J87" s="24" t="s">
        <v>5</v>
      </c>
      <c r="K87" s="24" t="s">
        <v>6</v>
      </c>
      <c r="L87" s="97" t="s">
        <v>32</v>
      </c>
    </row>
    <row r="88" spans="2:12" x14ac:dyDescent="0.2">
      <c r="B88" s="79" t="s">
        <v>105</v>
      </c>
      <c r="C88" s="53">
        <v>1</v>
      </c>
      <c r="D88" s="24" t="s">
        <v>51</v>
      </c>
      <c r="E88" s="24" t="s">
        <v>106</v>
      </c>
      <c r="F88" s="24" t="s">
        <v>5</v>
      </c>
      <c r="G88" s="24" t="s">
        <v>6</v>
      </c>
      <c r="H88" s="24" t="s">
        <v>5</v>
      </c>
      <c r="I88" s="24" t="s">
        <v>6</v>
      </c>
      <c r="J88" s="24" t="s">
        <v>5</v>
      </c>
      <c r="K88" s="24" t="s">
        <v>6</v>
      </c>
      <c r="L88" s="97" t="s">
        <v>32</v>
      </c>
    </row>
    <row r="89" spans="2:12" x14ac:dyDescent="0.2">
      <c r="B89" s="79" t="s">
        <v>107</v>
      </c>
      <c r="C89" s="53">
        <v>1</v>
      </c>
      <c r="D89" s="24" t="s">
        <v>51</v>
      </c>
      <c r="E89" s="24" t="s">
        <v>108</v>
      </c>
      <c r="F89" s="24" t="s">
        <v>5</v>
      </c>
      <c r="G89" s="24" t="s">
        <v>6</v>
      </c>
      <c r="H89" s="24" t="s">
        <v>5</v>
      </c>
      <c r="I89" s="24" t="s">
        <v>6</v>
      </c>
      <c r="J89" s="24" t="s">
        <v>5</v>
      </c>
      <c r="K89" s="24" t="s">
        <v>6</v>
      </c>
      <c r="L89" s="97" t="s">
        <v>32</v>
      </c>
    </row>
    <row r="90" spans="2:12" x14ac:dyDescent="0.2">
      <c r="B90" s="79" t="s">
        <v>109</v>
      </c>
      <c r="C90" s="53">
        <v>1</v>
      </c>
      <c r="D90" s="24" t="s">
        <v>51</v>
      </c>
      <c r="E90" s="24" t="s">
        <v>110</v>
      </c>
      <c r="F90" s="24" t="s">
        <v>5</v>
      </c>
      <c r="G90" s="24" t="s">
        <v>6</v>
      </c>
      <c r="H90" s="24" t="s">
        <v>5</v>
      </c>
      <c r="I90" s="24" t="s">
        <v>6</v>
      </c>
      <c r="J90" s="24" t="s">
        <v>5</v>
      </c>
      <c r="K90" s="24" t="s">
        <v>6</v>
      </c>
      <c r="L90" s="97" t="s">
        <v>32</v>
      </c>
    </row>
    <row r="91" spans="2:12" x14ac:dyDescent="0.2">
      <c r="B91" s="79" t="s">
        <v>111</v>
      </c>
      <c r="C91" s="53">
        <v>1</v>
      </c>
      <c r="D91" s="24" t="s">
        <v>51</v>
      </c>
      <c r="E91" s="24" t="s">
        <v>112</v>
      </c>
      <c r="F91" s="24" t="s">
        <v>5</v>
      </c>
      <c r="G91" s="24" t="s">
        <v>6</v>
      </c>
      <c r="H91" s="24" t="s">
        <v>5</v>
      </c>
      <c r="I91" s="24" t="s">
        <v>6</v>
      </c>
      <c r="J91" s="24" t="s">
        <v>5</v>
      </c>
      <c r="K91" s="24" t="s">
        <v>6</v>
      </c>
      <c r="L91" s="97" t="s">
        <v>32</v>
      </c>
    </row>
    <row r="92" spans="2:12" x14ac:dyDescent="0.2">
      <c r="B92" s="79" t="s">
        <v>113</v>
      </c>
      <c r="C92" s="53">
        <v>1</v>
      </c>
      <c r="D92" s="24" t="s">
        <v>51</v>
      </c>
      <c r="E92" s="24" t="s">
        <v>114</v>
      </c>
      <c r="F92" s="24" t="s">
        <v>5</v>
      </c>
      <c r="G92" s="24" t="s">
        <v>6</v>
      </c>
      <c r="H92" s="24" t="s">
        <v>5</v>
      </c>
      <c r="I92" s="24" t="s">
        <v>6</v>
      </c>
      <c r="J92" s="24" t="s">
        <v>5</v>
      </c>
      <c r="K92" s="24" t="s">
        <v>6</v>
      </c>
      <c r="L92" s="97" t="s">
        <v>32</v>
      </c>
    </row>
    <row r="93" spans="2:12" x14ac:dyDescent="0.2">
      <c r="B93" s="79" t="s">
        <v>115</v>
      </c>
      <c r="C93" s="53">
        <v>1</v>
      </c>
      <c r="D93" s="24" t="s">
        <v>5</v>
      </c>
      <c r="E93" s="24" t="s">
        <v>6</v>
      </c>
      <c r="F93" s="24" t="s">
        <v>51</v>
      </c>
      <c r="G93" s="24" t="s">
        <v>116</v>
      </c>
      <c r="H93" s="24" t="s">
        <v>5</v>
      </c>
      <c r="I93" s="24" t="s">
        <v>6</v>
      </c>
      <c r="J93" s="24" t="s">
        <v>5</v>
      </c>
      <c r="K93" s="24" t="s">
        <v>6</v>
      </c>
      <c r="L93" s="97" t="s">
        <v>115</v>
      </c>
    </row>
    <row r="94" spans="2:12" x14ac:dyDescent="0.2">
      <c r="B94" s="79" t="s">
        <v>117</v>
      </c>
      <c r="C94" s="53">
        <v>1</v>
      </c>
      <c r="D94" s="24" t="s">
        <v>5</v>
      </c>
      <c r="E94" s="24" t="s">
        <v>6</v>
      </c>
      <c r="F94" s="24" t="s">
        <v>51</v>
      </c>
      <c r="G94" s="24" t="s">
        <v>118</v>
      </c>
      <c r="H94" s="24" t="s">
        <v>5</v>
      </c>
      <c r="I94" s="24" t="s">
        <v>6</v>
      </c>
      <c r="J94" s="24" t="s">
        <v>5</v>
      </c>
      <c r="K94" s="24" t="s">
        <v>6</v>
      </c>
      <c r="L94" s="97" t="s">
        <v>117</v>
      </c>
    </row>
    <row r="95" spans="2:12" x14ac:dyDescent="0.2">
      <c r="B95" s="79" t="s">
        <v>119</v>
      </c>
      <c r="C95" s="53">
        <v>1</v>
      </c>
      <c r="D95" s="24" t="s">
        <v>5</v>
      </c>
      <c r="E95" s="24" t="s">
        <v>6</v>
      </c>
      <c r="F95" s="24" t="s">
        <v>51</v>
      </c>
      <c r="G95" s="24" t="s">
        <v>120</v>
      </c>
      <c r="H95" s="24" t="s">
        <v>5</v>
      </c>
      <c r="I95" s="24" t="s">
        <v>6</v>
      </c>
      <c r="J95" s="24" t="s">
        <v>5</v>
      </c>
      <c r="K95" s="24" t="s">
        <v>6</v>
      </c>
      <c r="L95" s="97" t="s">
        <v>119</v>
      </c>
    </row>
    <row r="96" spans="2:12" x14ac:dyDescent="0.2">
      <c r="B96" s="79" t="s">
        <v>121</v>
      </c>
      <c r="C96" s="53">
        <v>1</v>
      </c>
      <c r="D96" s="24" t="s">
        <v>5</v>
      </c>
      <c r="E96" s="24" t="s">
        <v>6</v>
      </c>
      <c r="F96" s="24" t="s">
        <v>51</v>
      </c>
      <c r="G96" s="24" t="s">
        <v>122</v>
      </c>
      <c r="H96" s="24" t="s">
        <v>5</v>
      </c>
      <c r="I96" s="24" t="s">
        <v>6</v>
      </c>
      <c r="J96" s="24" t="s">
        <v>5</v>
      </c>
      <c r="K96" s="24" t="s">
        <v>6</v>
      </c>
      <c r="L96" s="97" t="s">
        <v>121</v>
      </c>
    </row>
    <row r="97" spans="2:12" x14ac:dyDescent="0.2">
      <c r="B97" s="79" t="s">
        <v>123</v>
      </c>
      <c r="C97" s="53">
        <v>1</v>
      </c>
      <c r="D97" s="24" t="s">
        <v>5</v>
      </c>
      <c r="E97" s="24" t="s">
        <v>6</v>
      </c>
      <c r="F97" s="24" t="s">
        <v>51</v>
      </c>
      <c r="G97" s="24" t="s">
        <v>124</v>
      </c>
      <c r="H97" s="24" t="s">
        <v>5</v>
      </c>
      <c r="I97" s="24" t="s">
        <v>6</v>
      </c>
      <c r="J97" s="24" t="s">
        <v>5</v>
      </c>
      <c r="K97" s="24" t="s">
        <v>6</v>
      </c>
      <c r="L97" s="97" t="s">
        <v>123</v>
      </c>
    </row>
    <row r="98" spans="2:12" x14ac:dyDescent="0.2">
      <c r="B98" s="79" t="s">
        <v>125</v>
      </c>
      <c r="C98" s="53">
        <v>1</v>
      </c>
      <c r="D98" s="24" t="s">
        <v>5</v>
      </c>
      <c r="E98" s="24" t="s">
        <v>6</v>
      </c>
      <c r="F98" s="24" t="s">
        <v>51</v>
      </c>
      <c r="G98" s="24" t="s">
        <v>126</v>
      </c>
      <c r="H98" s="24" t="s">
        <v>5</v>
      </c>
      <c r="I98" s="24" t="s">
        <v>6</v>
      </c>
      <c r="J98" s="24" t="s">
        <v>5</v>
      </c>
      <c r="K98" s="24" t="s">
        <v>6</v>
      </c>
      <c r="L98" s="97" t="s">
        <v>125</v>
      </c>
    </row>
    <row r="99" spans="2:12" x14ac:dyDescent="0.2">
      <c r="B99" s="79" t="s">
        <v>127</v>
      </c>
      <c r="C99" s="53">
        <v>1</v>
      </c>
      <c r="D99" s="24" t="s">
        <v>5</v>
      </c>
      <c r="E99" s="24" t="s">
        <v>6</v>
      </c>
      <c r="F99" s="24" t="s">
        <v>51</v>
      </c>
      <c r="G99" s="24" t="s">
        <v>128</v>
      </c>
      <c r="H99" s="24" t="s">
        <v>5</v>
      </c>
      <c r="I99" s="24" t="s">
        <v>6</v>
      </c>
      <c r="J99" s="24" t="s">
        <v>5</v>
      </c>
      <c r="K99" s="24" t="s">
        <v>6</v>
      </c>
      <c r="L99" s="97" t="s">
        <v>127</v>
      </c>
    </row>
    <row r="100" spans="2:12" x14ac:dyDescent="0.2">
      <c r="B100" s="79" t="s">
        <v>129</v>
      </c>
      <c r="C100" s="53">
        <v>1</v>
      </c>
      <c r="D100" s="24" t="s">
        <v>5</v>
      </c>
      <c r="E100" s="24" t="s">
        <v>6</v>
      </c>
      <c r="F100" s="24" t="s">
        <v>51</v>
      </c>
      <c r="G100" s="24" t="s">
        <v>130</v>
      </c>
      <c r="H100" s="24" t="s">
        <v>5</v>
      </c>
      <c r="I100" s="24" t="s">
        <v>6</v>
      </c>
      <c r="J100" s="24" t="s">
        <v>5</v>
      </c>
      <c r="K100" s="24" t="s">
        <v>6</v>
      </c>
      <c r="L100" s="97" t="s">
        <v>129</v>
      </c>
    </row>
    <row r="101" spans="2:12" x14ac:dyDescent="0.2">
      <c r="B101" s="79" t="s">
        <v>131</v>
      </c>
      <c r="C101" s="53">
        <v>1</v>
      </c>
      <c r="D101" s="24" t="s">
        <v>5</v>
      </c>
      <c r="E101" s="24" t="s">
        <v>6</v>
      </c>
      <c r="F101" s="24" t="s">
        <v>5</v>
      </c>
      <c r="G101" s="24" t="s">
        <v>6</v>
      </c>
      <c r="H101" s="24" t="s">
        <v>51</v>
      </c>
      <c r="I101" s="24" t="s">
        <v>132</v>
      </c>
      <c r="J101" s="24" t="s">
        <v>5</v>
      </c>
      <c r="K101" s="24" t="s">
        <v>6</v>
      </c>
      <c r="L101" s="97" t="s">
        <v>131</v>
      </c>
    </row>
    <row r="102" spans="2:12" x14ac:dyDescent="0.2">
      <c r="B102" s="79" t="s">
        <v>133</v>
      </c>
      <c r="C102" s="53">
        <v>1</v>
      </c>
      <c r="D102" s="24" t="s">
        <v>5</v>
      </c>
      <c r="E102" s="24" t="s">
        <v>6</v>
      </c>
      <c r="F102" s="24" t="s">
        <v>5</v>
      </c>
      <c r="G102" s="24" t="s">
        <v>6</v>
      </c>
      <c r="H102" s="24" t="s">
        <v>51</v>
      </c>
      <c r="I102" s="24" t="s">
        <v>134</v>
      </c>
      <c r="J102" s="24" t="s">
        <v>5</v>
      </c>
      <c r="K102" s="24" t="s">
        <v>6</v>
      </c>
      <c r="L102" s="97" t="s">
        <v>133</v>
      </c>
    </row>
    <row r="103" spans="2:12" x14ac:dyDescent="0.2">
      <c r="B103" s="79" t="s">
        <v>135</v>
      </c>
      <c r="C103" s="53">
        <v>1</v>
      </c>
      <c r="D103" s="24" t="s">
        <v>5</v>
      </c>
      <c r="E103" s="24" t="s">
        <v>6</v>
      </c>
      <c r="F103" s="24" t="s">
        <v>5</v>
      </c>
      <c r="G103" s="24" t="s">
        <v>6</v>
      </c>
      <c r="H103" s="24" t="s">
        <v>51</v>
      </c>
      <c r="I103" s="24" t="s">
        <v>136</v>
      </c>
      <c r="J103" s="24" t="s">
        <v>5</v>
      </c>
      <c r="K103" s="24" t="s">
        <v>6</v>
      </c>
      <c r="L103" s="97" t="s">
        <v>135</v>
      </c>
    </row>
    <row r="104" spans="2:12" x14ac:dyDescent="0.2">
      <c r="B104" s="79" t="s">
        <v>137</v>
      </c>
      <c r="C104" s="53">
        <v>1</v>
      </c>
      <c r="D104" s="24" t="s">
        <v>5</v>
      </c>
      <c r="E104" s="24" t="s">
        <v>6</v>
      </c>
      <c r="F104" s="24" t="s">
        <v>5</v>
      </c>
      <c r="G104" s="24" t="s">
        <v>6</v>
      </c>
      <c r="H104" s="24" t="s">
        <v>51</v>
      </c>
      <c r="I104" s="24" t="s">
        <v>138</v>
      </c>
      <c r="J104" s="24" t="s">
        <v>5</v>
      </c>
      <c r="K104" s="24" t="s">
        <v>6</v>
      </c>
      <c r="L104" s="97" t="s">
        <v>137</v>
      </c>
    </row>
    <row r="105" spans="2:12" x14ac:dyDescent="0.2">
      <c r="B105" s="79" t="s">
        <v>139</v>
      </c>
      <c r="C105" s="53">
        <v>1</v>
      </c>
      <c r="D105" s="24" t="s">
        <v>5</v>
      </c>
      <c r="E105" s="24" t="s">
        <v>6</v>
      </c>
      <c r="F105" s="24" t="s">
        <v>5</v>
      </c>
      <c r="G105" s="24" t="s">
        <v>6</v>
      </c>
      <c r="H105" s="24" t="s">
        <v>51</v>
      </c>
      <c r="I105" s="24" t="s">
        <v>140</v>
      </c>
      <c r="J105" s="24" t="s">
        <v>5</v>
      </c>
      <c r="K105" s="24" t="s">
        <v>6</v>
      </c>
      <c r="L105" s="97" t="s">
        <v>139</v>
      </c>
    </row>
    <row r="106" spans="2:12" x14ac:dyDescent="0.2">
      <c r="B106" s="79" t="s">
        <v>141</v>
      </c>
      <c r="C106" s="53">
        <v>1</v>
      </c>
      <c r="D106" s="24" t="s">
        <v>5</v>
      </c>
      <c r="E106" s="24" t="s">
        <v>6</v>
      </c>
      <c r="F106" s="24" t="s">
        <v>5</v>
      </c>
      <c r="G106" s="24" t="s">
        <v>6</v>
      </c>
      <c r="H106" s="24" t="s">
        <v>51</v>
      </c>
      <c r="I106" s="24" t="s">
        <v>142</v>
      </c>
      <c r="J106" s="24" t="s">
        <v>5</v>
      </c>
      <c r="K106" s="24" t="s">
        <v>6</v>
      </c>
      <c r="L106" s="97" t="s">
        <v>141</v>
      </c>
    </row>
    <row r="107" spans="2:12" x14ac:dyDescent="0.2">
      <c r="B107" s="79" t="s">
        <v>143</v>
      </c>
      <c r="C107" s="53">
        <v>1</v>
      </c>
      <c r="D107" s="24" t="s">
        <v>5</v>
      </c>
      <c r="E107" s="24" t="s">
        <v>6</v>
      </c>
      <c r="F107" s="24" t="s">
        <v>51</v>
      </c>
      <c r="G107" s="24" t="s">
        <v>144</v>
      </c>
      <c r="H107" s="24" t="s">
        <v>5</v>
      </c>
      <c r="I107" s="24" t="s">
        <v>6</v>
      </c>
      <c r="J107" s="24" t="s">
        <v>5</v>
      </c>
      <c r="K107" s="24" t="s">
        <v>6</v>
      </c>
      <c r="L107" s="24" t="s">
        <v>144</v>
      </c>
    </row>
    <row r="108" spans="2:12" x14ac:dyDescent="0.2">
      <c r="B108" s="79" t="s">
        <v>145</v>
      </c>
      <c r="C108" s="53">
        <v>1</v>
      </c>
      <c r="D108" s="24" t="s">
        <v>5</v>
      </c>
      <c r="E108" s="24" t="s">
        <v>6</v>
      </c>
      <c r="F108" s="24" t="s">
        <v>51</v>
      </c>
      <c r="G108" s="24" t="s">
        <v>146</v>
      </c>
      <c r="H108" s="24" t="s">
        <v>5</v>
      </c>
      <c r="I108" s="24" t="s">
        <v>6</v>
      </c>
      <c r="J108" s="24" t="s">
        <v>5</v>
      </c>
      <c r="K108" s="24" t="s">
        <v>6</v>
      </c>
      <c r="L108" s="24" t="s">
        <v>146</v>
      </c>
    </row>
    <row r="109" spans="2:12" x14ac:dyDescent="0.2">
      <c r="B109" s="79" t="s">
        <v>147</v>
      </c>
      <c r="C109" s="53">
        <v>1</v>
      </c>
      <c r="D109" s="24" t="s">
        <v>5</v>
      </c>
      <c r="E109" s="24" t="s">
        <v>6</v>
      </c>
      <c r="F109" s="24" t="s">
        <v>51</v>
      </c>
      <c r="G109" s="24" t="s">
        <v>148</v>
      </c>
      <c r="H109" s="24" t="s">
        <v>5</v>
      </c>
      <c r="I109" s="24" t="s">
        <v>6</v>
      </c>
      <c r="J109" s="24" t="s">
        <v>5</v>
      </c>
      <c r="K109" s="24" t="s">
        <v>6</v>
      </c>
      <c r="L109" s="24" t="s">
        <v>148</v>
      </c>
    </row>
    <row r="110" spans="2:12" x14ac:dyDescent="0.2">
      <c r="B110" s="79" t="s">
        <v>149</v>
      </c>
      <c r="C110" s="53">
        <v>1</v>
      </c>
      <c r="D110" s="24" t="s">
        <v>5</v>
      </c>
      <c r="E110" s="24" t="s">
        <v>6</v>
      </c>
      <c r="F110" s="24" t="s">
        <v>51</v>
      </c>
      <c r="G110" s="24" t="s">
        <v>150</v>
      </c>
      <c r="H110" s="24" t="s">
        <v>5</v>
      </c>
      <c r="I110" s="24" t="s">
        <v>6</v>
      </c>
      <c r="J110" s="24" t="s">
        <v>5</v>
      </c>
      <c r="K110" s="24" t="s">
        <v>6</v>
      </c>
      <c r="L110" s="24" t="s">
        <v>150</v>
      </c>
    </row>
    <row r="111" spans="2:12" x14ac:dyDescent="0.2">
      <c r="B111" s="79" t="s">
        <v>151</v>
      </c>
      <c r="C111" s="53">
        <v>1</v>
      </c>
      <c r="D111" s="24" t="s">
        <v>5</v>
      </c>
      <c r="E111" s="24" t="s">
        <v>6</v>
      </c>
      <c r="F111" s="24" t="s">
        <v>51</v>
      </c>
      <c r="G111" s="24" t="s">
        <v>152</v>
      </c>
      <c r="H111" s="24" t="s">
        <v>5</v>
      </c>
      <c r="I111" s="24" t="s">
        <v>6</v>
      </c>
      <c r="J111" s="24" t="s">
        <v>5</v>
      </c>
      <c r="K111" s="24" t="s">
        <v>6</v>
      </c>
      <c r="L111" s="24" t="s">
        <v>152</v>
      </c>
    </row>
    <row r="112" spans="2:12" x14ac:dyDescent="0.2">
      <c r="B112" s="79" t="s">
        <v>153</v>
      </c>
      <c r="C112" s="53">
        <v>1</v>
      </c>
      <c r="D112" s="24" t="s">
        <v>5</v>
      </c>
      <c r="E112" s="24" t="s">
        <v>6</v>
      </c>
      <c r="F112" s="24" t="s">
        <v>51</v>
      </c>
      <c r="G112" s="24" t="s">
        <v>154</v>
      </c>
      <c r="H112" s="24" t="s">
        <v>5</v>
      </c>
      <c r="I112" s="24" t="s">
        <v>6</v>
      </c>
      <c r="J112" s="24" t="s">
        <v>5</v>
      </c>
      <c r="K112" s="24" t="s">
        <v>6</v>
      </c>
      <c r="L112" s="24" t="s">
        <v>154</v>
      </c>
    </row>
    <row r="113" spans="1:150" x14ac:dyDescent="0.2">
      <c r="B113" s="79" t="s">
        <v>155</v>
      </c>
      <c r="C113" s="53">
        <v>1</v>
      </c>
      <c r="D113" s="24" t="s">
        <v>5</v>
      </c>
      <c r="E113" s="24" t="s">
        <v>6</v>
      </c>
      <c r="F113" s="24" t="s">
        <v>51</v>
      </c>
      <c r="G113" s="24" t="s">
        <v>156</v>
      </c>
      <c r="H113" s="24" t="s">
        <v>5</v>
      </c>
      <c r="I113" s="24" t="s">
        <v>6</v>
      </c>
      <c r="J113" s="24" t="s">
        <v>5</v>
      </c>
      <c r="K113" s="24" t="s">
        <v>6</v>
      </c>
      <c r="L113" s="24" t="s">
        <v>156</v>
      </c>
    </row>
    <row r="114" spans="1:150" x14ac:dyDescent="0.2">
      <c r="B114" s="79" t="s">
        <v>157</v>
      </c>
      <c r="C114" s="53">
        <v>1</v>
      </c>
      <c r="D114" s="24" t="s">
        <v>5</v>
      </c>
      <c r="E114" s="24" t="s">
        <v>6</v>
      </c>
      <c r="F114" s="24" t="s">
        <v>51</v>
      </c>
      <c r="G114" s="24" t="s">
        <v>158</v>
      </c>
      <c r="H114" s="24" t="s">
        <v>5</v>
      </c>
      <c r="I114" s="24" t="s">
        <v>6</v>
      </c>
      <c r="J114" s="24" t="s">
        <v>5</v>
      </c>
      <c r="K114" s="24" t="s">
        <v>6</v>
      </c>
      <c r="L114" s="24" t="s">
        <v>158</v>
      </c>
    </row>
    <row r="116" spans="1:150" s="25" customFormat="1" x14ac:dyDescent="0.2">
      <c r="A116" s="14" t="s">
        <v>9</v>
      </c>
      <c r="B116" s="16" t="str">
        <f ca="1">GetNameRange(B117)</f>
        <v>HedgeValnEqtPriceShockTbl</v>
      </c>
      <c r="C116" s="87">
        <v>0</v>
      </c>
      <c r="D116" s="88">
        <v>0</v>
      </c>
      <c r="E116" s="88">
        <v>0</v>
      </c>
      <c r="F116" s="88">
        <v>0</v>
      </c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</row>
    <row r="117" spans="1:150" s="25" customFormat="1" x14ac:dyDescent="0.2">
      <c r="A117" s="59" t="s">
        <v>16</v>
      </c>
      <c r="B117" s="35" t="s">
        <v>49</v>
      </c>
      <c r="C117" s="36" t="s">
        <v>159</v>
      </c>
      <c r="D117" s="36" t="s">
        <v>160</v>
      </c>
      <c r="E117" s="36" t="s">
        <v>161</v>
      </c>
      <c r="F117" s="37" t="s">
        <v>14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</row>
    <row r="118" spans="1:150" s="25" customFormat="1" x14ac:dyDescent="0.2">
      <c r="A118" s="19"/>
      <c r="B118" s="38" t="s">
        <v>46</v>
      </c>
      <c r="C118" s="27"/>
      <c r="D118" s="27"/>
      <c r="E118" s="27"/>
      <c r="F118" s="39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</row>
    <row r="119" spans="1:150" s="25" customFormat="1" x14ac:dyDescent="0.2">
      <c r="A119" s="34"/>
      <c r="B119" s="79" t="s">
        <v>162</v>
      </c>
      <c r="C119" s="31">
        <v>0.05</v>
      </c>
      <c r="D119" s="31">
        <v>0.05</v>
      </c>
      <c r="E119" s="31">
        <v>0.05</v>
      </c>
      <c r="F119" s="31">
        <v>0.05</v>
      </c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</row>
    <row r="120" spans="1:150" s="25" customFormat="1" x14ac:dyDescent="0.2">
      <c r="A120" s="34"/>
      <c r="B120" s="79" t="s">
        <v>163</v>
      </c>
      <c r="C120" s="31">
        <v>-0.05</v>
      </c>
      <c r="D120" s="31">
        <v>-0.05</v>
      </c>
      <c r="E120" s="31">
        <v>-0.05</v>
      </c>
      <c r="F120" s="31">
        <v>-0.05</v>
      </c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</row>
    <row r="121" spans="1:150" s="25" customFormat="1" x14ac:dyDescent="0.2">
      <c r="A121" s="34"/>
      <c r="B121" s="79" t="s">
        <v>96</v>
      </c>
      <c r="C121" s="31">
        <v>0.01</v>
      </c>
      <c r="D121" s="31">
        <v>0.01</v>
      </c>
      <c r="E121" s="31">
        <v>0.01</v>
      </c>
      <c r="F121" s="31">
        <v>0.01</v>
      </c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</row>
    <row r="122" spans="1:150" s="25" customFormat="1" x14ac:dyDescent="0.2">
      <c r="A122" s="34"/>
      <c r="B122" s="79" t="s">
        <v>106</v>
      </c>
      <c r="C122" s="31">
        <v>-0.01</v>
      </c>
      <c r="D122" s="31">
        <v>-0.01</v>
      </c>
      <c r="E122" s="31">
        <v>-0.01</v>
      </c>
      <c r="F122" s="31">
        <v>-0.01</v>
      </c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</row>
    <row r="123" spans="1:150" s="25" customFormat="1" x14ac:dyDescent="0.2">
      <c r="A123" s="34"/>
      <c r="B123" s="79" t="s">
        <v>98</v>
      </c>
      <c r="C123" s="31">
        <v>0.01</v>
      </c>
      <c r="D123" s="31">
        <v>0</v>
      </c>
      <c r="E123" s="31">
        <v>0</v>
      </c>
      <c r="F123" s="31">
        <v>0</v>
      </c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</row>
    <row r="124" spans="1:150" s="25" customFormat="1" x14ac:dyDescent="0.2">
      <c r="A124" s="34"/>
      <c r="B124" s="79" t="s">
        <v>100</v>
      </c>
      <c r="C124" s="31">
        <v>0</v>
      </c>
      <c r="D124" s="31">
        <v>0.01</v>
      </c>
      <c r="E124" s="31">
        <v>0</v>
      </c>
      <c r="F124" s="31">
        <v>0</v>
      </c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</row>
    <row r="125" spans="1:150" s="25" customFormat="1" x14ac:dyDescent="0.2">
      <c r="A125" s="34"/>
      <c r="B125" s="79" t="s">
        <v>102</v>
      </c>
      <c r="C125" s="31">
        <v>0</v>
      </c>
      <c r="D125" s="31">
        <v>0</v>
      </c>
      <c r="E125" s="31">
        <v>0.01</v>
      </c>
      <c r="F125" s="31">
        <v>0</v>
      </c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</row>
    <row r="126" spans="1:150" s="25" customFormat="1" x14ac:dyDescent="0.2">
      <c r="A126" s="34"/>
      <c r="B126" s="79" t="s">
        <v>104</v>
      </c>
      <c r="C126" s="31">
        <v>0</v>
      </c>
      <c r="D126" s="31">
        <v>0</v>
      </c>
      <c r="E126" s="31">
        <v>0</v>
      </c>
      <c r="F126" s="31">
        <v>0.01</v>
      </c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</row>
    <row r="127" spans="1:150" s="25" customFormat="1" x14ac:dyDescent="0.2">
      <c r="A127" s="34"/>
      <c r="B127" s="79" t="s">
        <v>108</v>
      </c>
      <c r="C127" s="31">
        <v>-0.01</v>
      </c>
      <c r="D127" s="31">
        <v>0</v>
      </c>
      <c r="E127" s="31">
        <v>0</v>
      </c>
      <c r="F127" s="31">
        <v>0</v>
      </c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</row>
    <row r="128" spans="1:150" s="25" customFormat="1" x14ac:dyDescent="0.2">
      <c r="A128" s="34"/>
      <c r="B128" s="79" t="s">
        <v>110</v>
      </c>
      <c r="C128" s="31">
        <v>0</v>
      </c>
      <c r="D128" s="31">
        <v>-0.01</v>
      </c>
      <c r="E128" s="31">
        <v>0</v>
      </c>
      <c r="F128" s="31">
        <v>0</v>
      </c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</row>
    <row r="129" spans="1:150" s="25" customFormat="1" x14ac:dyDescent="0.2">
      <c r="A129" s="34"/>
      <c r="B129" s="79" t="s">
        <v>112</v>
      </c>
      <c r="C129" s="31">
        <v>0</v>
      </c>
      <c r="D129" s="31">
        <v>0</v>
      </c>
      <c r="E129" s="31">
        <v>-0.01</v>
      </c>
      <c r="F129" s="31">
        <v>0</v>
      </c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</row>
    <row r="130" spans="1:150" s="25" customFormat="1" x14ac:dyDescent="0.2">
      <c r="A130" s="34"/>
      <c r="B130" s="79" t="s">
        <v>114</v>
      </c>
      <c r="C130" s="31">
        <v>0</v>
      </c>
      <c r="D130" s="31">
        <v>0</v>
      </c>
      <c r="E130" s="31">
        <v>0</v>
      </c>
      <c r="F130" s="31">
        <v>-0.01</v>
      </c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</row>
    <row r="132" spans="1:150" s="25" customFormat="1" x14ac:dyDescent="0.2">
      <c r="A132" s="14" t="s">
        <v>9</v>
      </c>
      <c r="B132" s="16" t="str">
        <f ca="1">GetNameRange(B133)</f>
        <v>HedgeValnEqtVolShockTbl</v>
      </c>
      <c r="C132" s="87">
        <v>0</v>
      </c>
      <c r="D132" s="88">
        <v>0</v>
      </c>
      <c r="E132" s="88">
        <v>0</v>
      </c>
      <c r="F132" s="88">
        <v>0</v>
      </c>
      <c r="G132" s="88">
        <v>0</v>
      </c>
      <c r="H132" s="88">
        <v>0</v>
      </c>
      <c r="I132" s="88">
        <v>0</v>
      </c>
      <c r="J132" s="88">
        <v>0</v>
      </c>
      <c r="K132" s="88">
        <v>0</v>
      </c>
      <c r="L132" s="88">
        <v>0</v>
      </c>
      <c r="M132" s="88">
        <v>0</v>
      </c>
      <c r="N132" s="88">
        <v>0</v>
      </c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</row>
    <row r="133" spans="1:150" s="25" customFormat="1" x14ac:dyDescent="0.2">
      <c r="A133" s="64" t="s">
        <v>16</v>
      </c>
      <c r="B133" s="35" t="s">
        <v>66</v>
      </c>
      <c r="C133" s="36" t="s">
        <v>159</v>
      </c>
      <c r="D133" s="36" t="s">
        <v>159</v>
      </c>
      <c r="E133" s="36" t="s">
        <v>159</v>
      </c>
      <c r="F133" s="36" t="s">
        <v>160</v>
      </c>
      <c r="G133" s="36" t="s">
        <v>160</v>
      </c>
      <c r="H133" s="36" t="s">
        <v>160</v>
      </c>
      <c r="I133" s="36" t="s">
        <v>161</v>
      </c>
      <c r="J133" s="36" t="s">
        <v>161</v>
      </c>
      <c r="K133" s="36" t="s">
        <v>161</v>
      </c>
      <c r="L133" s="36" t="s">
        <v>14</v>
      </c>
      <c r="M133" s="36" t="s">
        <v>14</v>
      </c>
      <c r="N133" s="36" t="s">
        <v>14</v>
      </c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</row>
    <row r="134" spans="1:150" s="76" customFormat="1" x14ac:dyDescent="0.2">
      <c r="A134" s="72"/>
      <c r="B134" s="98" t="s">
        <v>67</v>
      </c>
      <c r="C134" s="73">
        <v>1</v>
      </c>
      <c r="D134" s="73">
        <v>5</v>
      </c>
      <c r="E134" s="73">
        <v>10</v>
      </c>
      <c r="F134" s="73">
        <v>1</v>
      </c>
      <c r="G134" s="73">
        <v>5</v>
      </c>
      <c r="H134" s="73">
        <v>10</v>
      </c>
      <c r="I134" s="73">
        <v>1</v>
      </c>
      <c r="J134" s="73">
        <v>5</v>
      </c>
      <c r="K134" s="73">
        <v>10</v>
      </c>
      <c r="L134" s="73">
        <v>1</v>
      </c>
      <c r="M134" s="73">
        <v>5</v>
      </c>
      <c r="N134" s="73">
        <v>10</v>
      </c>
      <c r="O134" s="12"/>
      <c r="P134" s="12"/>
      <c r="Q134" s="12"/>
      <c r="R134" s="12"/>
      <c r="S134" s="12"/>
      <c r="T134" s="12"/>
      <c r="U134" s="12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  <c r="DF134" s="75"/>
      <c r="DG134" s="75"/>
      <c r="DH134" s="75"/>
      <c r="DI134" s="75"/>
      <c r="DJ134" s="75"/>
      <c r="DK134" s="75"/>
      <c r="DL134" s="75"/>
      <c r="DM134" s="75"/>
      <c r="DN134" s="75"/>
      <c r="DO134" s="75"/>
      <c r="DP134" s="75"/>
      <c r="DQ134" s="75"/>
      <c r="DR134" s="75"/>
      <c r="DS134" s="75"/>
      <c r="DT134" s="75"/>
      <c r="DU134" s="75"/>
      <c r="DV134" s="75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</row>
    <row r="135" spans="1:150" s="25" customFormat="1" x14ac:dyDescent="0.2">
      <c r="A135" s="19"/>
      <c r="B135" s="38" t="s">
        <v>57</v>
      </c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</row>
    <row r="136" spans="1:150" s="25" customFormat="1" x14ac:dyDescent="0.2">
      <c r="A136" s="19"/>
      <c r="B136" s="55" t="s">
        <v>118</v>
      </c>
      <c r="C136" s="31">
        <v>0</v>
      </c>
      <c r="D136" s="31">
        <v>0</v>
      </c>
      <c r="E136" s="31">
        <v>0</v>
      </c>
      <c r="F136" s="31">
        <v>0</v>
      </c>
      <c r="G136" s="31">
        <v>0</v>
      </c>
      <c r="H136" s="31">
        <v>0</v>
      </c>
      <c r="I136" s="31">
        <v>0</v>
      </c>
      <c r="J136" s="31">
        <v>0</v>
      </c>
      <c r="K136" s="31">
        <v>0</v>
      </c>
      <c r="L136" s="31">
        <v>0</v>
      </c>
      <c r="M136" s="31">
        <v>0</v>
      </c>
      <c r="N136" s="31">
        <v>0</v>
      </c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</row>
    <row r="137" spans="1:150" s="25" customFormat="1" x14ac:dyDescent="0.2">
      <c r="A137" s="19"/>
      <c r="B137" s="55" t="s">
        <v>120</v>
      </c>
      <c r="C137" s="31">
        <v>0.01</v>
      </c>
      <c r="D137" s="31">
        <v>0.01</v>
      </c>
      <c r="E137" s="31">
        <v>0.01</v>
      </c>
      <c r="F137" s="31">
        <v>0</v>
      </c>
      <c r="G137" s="31">
        <v>0</v>
      </c>
      <c r="H137" s="31">
        <v>0</v>
      </c>
      <c r="I137" s="31">
        <v>0</v>
      </c>
      <c r="J137" s="31">
        <v>0</v>
      </c>
      <c r="K137" s="31">
        <v>0</v>
      </c>
      <c r="L137" s="31">
        <v>0</v>
      </c>
      <c r="M137" s="31">
        <v>0</v>
      </c>
      <c r="N137" s="31">
        <v>0</v>
      </c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</row>
    <row r="138" spans="1:150" s="25" customFormat="1" x14ac:dyDescent="0.2">
      <c r="A138" s="19"/>
      <c r="B138" s="55" t="s">
        <v>116</v>
      </c>
      <c r="C138" s="31">
        <v>0</v>
      </c>
      <c r="D138" s="31">
        <v>0</v>
      </c>
      <c r="E138" s="31">
        <v>0</v>
      </c>
      <c r="F138" s="31">
        <v>0.01</v>
      </c>
      <c r="G138" s="31">
        <v>0.01</v>
      </c>
      <c r="H138" s="31">
        <v>0.01</v>
      </c>
      <c r="I138" s="31">
        <v>0.01</v>
      </c>
      <c r="J138" s="31">
        <v>0.01</v>
      </c>
      <c r="K138" s="31">
        <v>0.01</v>
      </c>
      <c r="L138" s="31">
        <v>0</v>
      </c>
      <c r="M138" s="31">
        <v>0</v>
      </c>
      <c r="N138" s="31">
        <v>0</v>
      </c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</row>
    <row r="139" spans="1:150" s="25" customFormat="1" x14ac:dyDescent="0.2">
      <c r="A139" s="19"/>
      <c r="B139" s="55" t="s">
        <v>122</v>
      </c>
      <c r="C139" s="31">
        <v>0</v>
      </c>
      <c r="D139" s="31">
        <v>0</v>
      </c>
      <c r="E139" s="31">
        <v>0</v>
      </c>
      <c r="F139" s="31">
        <v>0</v>
      </c>
      <c r="G139" s="31">
        <v>0</v>
      </c>
      <c r="H139" s="31">
        <v>0</v>
      </c>
      <c r="I139" s="31">
        <v>0</v>
      </c>
      <c r="J139" s="31">
        <v>0</v>
      </c>
      <c r="K139" s="31">
        <v>0</v>
      </c>
      <c r="L139" s="31">
        <v>0.01</v>
      </c>
      <c r="M139" s="31">
        <v>0.01</v>
      </c>
      <c r="N139" s="31">
        <v>0.01</v>
      </c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</row>
    <row r="140" spans="1:150" s="25" customFormat="1" x14ac:dyDescent="0.2">
      <c r="A140" s="19"/>
      <c r="B140" s="55" t="s">
        <v>126</v>
      </c>
      <c r="C140" s="31">
        <v>0</v>
      </c>
      <c r="D140" s="31">
        <v>0</v>
      </c>
      <c r="E140" s="31">
        <v>0</v>
      </c>
      <c r="F140" s="31">
        <v>0</v>
      </c>
      <c r="G140" s="31">
        <v>0</v>
      </c>
      <c r="H140" s="31">
        <v>0</v>
      </c>
      <c r="I140" s="31">
        <v>0</v>
      </c>
      <c r="J140" s="31">
        <v>0</v>
      </c>
      <c r="K140" s="31">
        <v>0</v>
      </c>
      <c r="L140" s="31">
        <v>0</v>
      </c>
      <c r="M140" s="31">
        <v>0</v>
      </c>
      <c r="N140" s="31">
        <v>0</v>
      </c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</row>
    <row r="141" spans="1:150" s="25" customFormat="1" x14ac:dyDescent="0.2">
      <c r="A141" s="19"/>
      <c r="B141" s="55" t="s">
        <v>128</v>
      </c>
      <c r="C141" s="31">
        <v>-0.01</v>
      </c>
      <c r="D141" s="31">
        <v>-0.01</v>
      </c>
      <c r="E141" s="31">
        <v>-0.01</v>
      </c>
      <c r="F141" s="31">
        <v>0</v>
      </c>
      <c r="G141" s="31">
        <v>0</v>
      </c>
      <c r="H141" s="31">
        <v>0</v>
      </c>
      <c r="I141" s="31">
        <v>0</v>
      </c>
      <c r="J141" s="31">
        <v>0</v>
      </c>
      <c r="K141" s="31">
        <v>0</v>
      </c>
      <c r="L141" s="31">
        <v>0</v>
      </c>
      <c r="M141" s="31">
        <v>0</v>
      </c>
      <c r="N141" s="31">
        <v>0</v>
      </c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</row>
    <row r="142" spans="1:150" s="25" customFormat="1" x14ac:dyDescent="0.2">
      <c r="A142" s="19"/>
      <c r="B142" s="55" t="s">
        <v>124</v>
      </c>
      <c r="C142" s="31">
        <v>0</v>
      </c>
      <c r="D142" s="31">
        <v>0</v>
      </c>
      <c r="E142" s="31">
        <v>0</v>
      </c>
      <c r="F142" s="31">
        <v>-0.01</v>
      </c>
      <c r="G142" s="31">
        <v>-0.01</v>
      </c>
      <c r="H142" s="31">
        <v>-0.01</v>
      </c>
      <c r="I142" s="31">
        <v>-0.01</v>
      </c>
      <c r="J142" s="31">
        <v>-0.01</v>
      </c>
      <c r="K142" s="31">
        <v>-0.01</v>
      </c>
      <c r="L142" s="31">
        <v>0</v>
      </c>
      <c r="M142" s="31">
        <v>0</v>
      </c>
      <c r="N142" s="31">
        <v>0</v>
      </c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</row>
    <row r="143" spans="1:150" s="25" customFormat="1" x14ac:dyDescent="0.2">
      <c r="A143" s="19"/>
      <c r="B143" s="55" t="s">
        <v>130</v>
      </c>
      <c r="C143" s="31">
        <v>0</v>
      </c>
      <c r="D143" s="31">
        <v>0</v>
      </c>
      <c r="E143" s="31">
        <v>0</v>
      </c>
      <c r="F143" s="31">
        <v>0</v>
      </c>
      <c r="G143" s="31">
        <v>0</v>
      </c>
      <c r="H143" s="31">
        <v>0</v>
      </c>
      <c r="I143" s="31">
        <v>0</v>
      </c>
      <c r="J143" s="31">
        <v>0</v>
      </c>
      <c r="K143" s="31">
        <v>0</v>
      </c>
      <c r="L143" s="31">
        <v>-0.01</v>
      </c>
      <c r="M143" s="31">
        <v>-0.01</v>
      </c>
      <c r="N143" s="31">
        <v>-0.01</v>
      </c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</row>
    <row r="144" spans="1:150" s="25" customFormat="1" x14ac:dyDescent="0.2">
      <c r="A144" s="19"/>
      <c r="B144" s="55" t="s">
        <v>146</v>
      </c>
      <c r="C144" s="31">
        <v>0.01</v>
      </c>
      <c r="D144" s="31">
        <v>0</v>
      </c>
      <c r="E144" s="31">
        <v>0</v>
      </c>
      <c r="F144" s="31">
        <v>0</v>
      </c>
      <c r="G144" s="31">
        <v>0</v>
      </c>
      <c r="H144" s="31">
        <v>0</v>
      </c>
      <c r="I144" s="31">
        <v>0</v>
      </c>
      <c r="J144" s="31">
        <v>0</v>
      </c>
      <c r="K144" s="31">
        <v>0</v>
      </c>
      <c r="L144" s="31">
        <v>0</v>
      </c>
      <c r="M144" s="31">
        <v>0</v>
      </c>
      <c r="N144" s="31">
        <v>0</v>
      </c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</row>
    <row r="145" spans="1:150" s="25" customFormat="1" x14ac:dyDescent="0.2">
      <c r="A145" s="19"/>
      <c r="B145" s="55" t="s">
        <v>164</v>
      </c>
      <c r="C145" s="31">
        <v>0</v>
      </c>
      <c r="D145" s="31">
        <v>0.01</v>
      </c>
      <c r="E145" s="31">
        <v>0</v>
      </c>
      <c r="F145" s="31">
        <v>0</v>
      </c>
      <c r="G145" s="31">
        <v>0</v>
      </c>
      <c r="H145" s="31">
        <v>0</v>
      </c>
      <c r="I145" s="31">
        <v>0</v>
      </c>
      <c r="J145" s="31">
        <v>0</v>
      </c>
      <c r="K145" s="31">
        <v>0</v>
      </c>
      <c r="L145" s="31">
        <v>0</v>
      </c>
      <c r="M145" s="31">
        <v>0</v>
      </c>
      <c r="N145" s="31">
        <v>0</v>
      </c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</row>
    <row r="146" spans="1:150" s="25" customFormat="1" x14ac:dyDescent="0.2">
      <c r="A146" s="19"/>
      <c r="B146" s="55" t="s">
        <v>165</v>
      </c>
      <c r="C146" s="31">
        <v>0</v>
      </c>
      <c r="D146" s="31">
        <v>0</v>
      </c>
      <c r="E146" s="31">
        <v>0.01</v>
      </c>
      <c r="F146" s="31">
        <v>0</v>
      </c>
      <c r="G146" s="31">
        <v>0</v>
      </c>
      <c r="H146" s="31">
        <v>0</v>
      </c>
      <c r="I146" s="31">
        <v>0</v>
      </c>
      <c r="J146" s="31">
        <v>0</v>
      </c>
      <c r="K146" s="31">
        <v>0</v>
      </c>
      <c r="L146" s="31">
        <v>0</v>
      </c>
      <c r="M146" s="31">
        <v>0</v>
      </c>
      <c r="N146" s="31">
        <v>0</v>
      </c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/>
      <c r="ET146" s="12"/>
    </row>
    <row r="147" spans="1:150" s="25" customFormat="1" x14ac:dyDescent="0.2">
      <c r="A147" s="19"/>
      <c r="B147" s="55" t="s">
        <v>148</v>
      </c>
      <c r="C147" s="31">
        <v>0</v>
      </c>
      <c r="D147" s="31">
        <v>0</v>
      </c>
      <c r="E147" s="31">
        <v>0</v>
      </c>
      <c r="F147" s="31">
        <v>0.01</v>
      </c>
      <c r="G147" s="31">
        <v>0</v>
      </c>
      <c r="H147" s="31">
        <v>0</v>
      </c>
      <c r="I147" s="31">
        <v>0</v>
      </c>
      <c r="J147" s="31">
        <v>0</v>
      </c>
      <c r="K147" s="31">
        <v>0</v>
      </c>
      <c r="L147" s="31">
        <v>0</v>
      </c>
      <c r="M147" s="31">
        <v>0</v>
      </c>
      <c r="N147" s="31">
        <v>0</v>
      </c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</row>
    <row r="148" spans="1:150" s="25" customFormat="1" x14ac:dyDescent="0.2">
      <c r="A148" s="19"/>
      <c r="B148" s="55" t="s">
        <v>166</v>
      </c>
      <c r="C148" s="31">
        <v>0</v>
      </c>
      <c r="D148" s="31">
        <v>0</v>
      </c>
      <c r="E148" s="31">
        <v>0</v>
      </c>
      <c r="F148" s="31">
        <v>0</v>
      </c>
      <c r="G148" s="31">
        <v>0.01</v>
      </c>
      <c r="H148" s="31">
        <v>0</v>
      </c>
      <c r="I148" s="31">
        <v>0</v>
      </c>
      <c r="J148" s="31">
        <v>0</v>
      </c>
      <c r="K148" s="31">
        <v>0</v>
      </c>
      <c r="L148" s="31">
        <v>0</v>
      </c>
      <c r="M148" s="31">
        <v>0</v>
      </c>
      <c r="N148" s="31">
        <v>0</v>
      </c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</row>
    <row r="149" spans="1:150" s="25" customFormat="1" x14ac:dyDescent="0.2">
      <c r="A149" s="19"/>
      <c r="B149" s="55" t="s">
        <v>167</v>
      </c>
      <c r="C149" s="31">
        <v>0</v>
      </c>
      <c r="D149" s="31">
        <v>0</v>
      </c>
      <c r="E149" s="31">
        <v>0</v>
      </c>
      <c r="F149" s="31">
        <v>0</v>
      </c>
      <c r="G149" s="31">
        <v>0</v>
      </c>
      <c r="H149" s="31">
        <v>0.01</v>
      </c>
      <c r="I149" s="31">
        <v>0</v>
      </c>
      <c r="J149" s="31">
        <v>0</v>
      </c>
      <c r="K149" s="31">
        <v>0</v>
      </c>
      <c r="L149" s="31">
        <v>0</v>
      </c>
      <c r="M149" s="31">
        <v>0</v>
      </c>
      <c r="N149" s="31">
        <v>0</v>
      </c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</row>
    <row r="150" spans="1:150" s="25" customFormat="1" x14ac:dyDescent="0.2">
      <c r="A150" s="19"/>
      <c r="B150" s="55" t="s">
        <v>144</v>
      </c>
      <c r="C150" s="31">
        <v>0</v>
      </c>
      <c r="D150" s="31">
        <v>0</v>
      </c>
      <c r="E150" s="31">
        <v>0</v>
      </c>
      <c r="F150" s="31">
        <v>0</v>
      </c>
      <c r="G150" s="31">
        <v>0</v>
      </c>
      <c r="H150" s="31">
        <v>0</v>
      </c>
      <c r="I150" s="31">
        <v>0.01</v>
      </c>
      <c r="J150" s="31">
        <v>0</v>
      </c>
      <c r="K150" s="31">
        <v>0</v>
      </c>
      <c r="L150" s="31">
        <v>0</v>
      </c>
      <c r="M150" s="31">
        <v>0</v>
      </c>
      <c r="N150" s="31">
        <v>0</v>
      </c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</row>
    <row r="151" spans="1:150" s="25" customFormat="1" x14ac:dyDescent="0.2">
      <c r="A151" s="19"/>
      <c r="B151" s="55" t="s">
        <v>168</v>
      </c>
      <c r="C151" s="31">
        <v>0</v>
      </c>
      <c r="D151" s="31">
        <v>0</v>
      </c>
      <c r="E151" s="31">
        <v>0</v>
      </c>
      <c r="F151" s="31">
        <v>0</v>
      </c>
      <c r="G151" s="31">
        <v>0</v>
      </c>
      <c r="H151" s="31">
        <v>0</v>
      </c>
      <c r="I151" s="31">
        <v>0</v>
      </c>
      <c r="J151" s="31">
        <v>0.01</v>
      </c>
      <c r="K151" s="31">
        <v>0</v>
      </c>
      <c r="L151" s="31">
        <v>0</v>
      </c>
      <c r="M151" s="31">
        <v>0</v>
      </c>
      <c r="N151" s="31">
        <v>0</v>
      </c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</row>
    <row r="152" spans="1:150" s="25" customFormat="1" x14ac:dyDescent="0.2">
      <c r="A152" s="19"/>
      <c r="B152" s="55" t="s">
        <v>169</v>
      </c>
      <c r="C152" s="31">
        <v>0</v>
      </c>
      <c r="D152" s="31">
        <v>0</v>
      </c>
      <c r="E152" s="31">
        <v>0</v>
      </c>
      <c r="F152" s="31">
        <v>0</v>
      </c>
      <c r="G152" s="31">
        <v>0</v>
      </c>
      <c r="H152" s="31">
        <v>0</v>
      </c>
      <c r="I152" s="31">
        <v>0</v>
      </c>
      <c r="J152" s="31">
        <v>0</v>
      </c>
      <c r="K152" s="31">
        <v>0.01</v>
      </c>
      <c r="L152" s="31">
        <v>0</v>
      </c>
      <c r="M152" s="31">
        <v>0</v>
      </c>
      <c r="N152" s="31">
        <v>0</v>
      </c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</row>
    <row r="153" spans="1:150" s="25" customFormat="1" x14ac:dyDescent="0.2">
      <c r="A153" s="19"/>
      <c r="B153" s="55" t="s">
        <v>150</v>
      </c>
      <c r="C153" s="31">
        <v>0</v>
      </c>
      <c r="D153" s="31">
        <v>0</v>
      </c>
      <c r="E153" s="31">
        <v>0</v>
      </c>
      <c r="F153" s="31">
        <v>0</v>
      </c>
      <c r="G153" s="31">
        <v>0</v>
      </c>
      <c r="H153" s="31">
        <v>0</v>
      </c>
      <c r="I153" s="31">
        <v>0</v>
      </c>
      <c r="J153" s="31">
        <v>0</v>
      </c>
      <c r="K153" s="31">
        <v>0</v>
      </c>
      <c r="L153" s="31">
        <v>0.01</v>
      </c>
      <c r="M153" s="31">
        <v>0</v>
      </c>
      <c r="N153" s="31">
        <v>0</v>
      </c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</row>
    <row r="154" spans="1:150" s="25" customFormat="1" x14ac:dyDescent="0.2">
      <c r="A154" s="19"/>
      <c r="B154" s="55" t="s">
        <v>170</v>
      </c>
      <c r="C154" s="31">
        <v>0</v>
      </c>
      <c r="D154" s="31">
        <v>0</v>
      </c>
      <c r="E154" s="31">
        <v>0</v>
      </c>
      <c r="F154" s="31">
        <v>0</v>
      </c>
      <c r="G154" s="31">
        <v>0</v>
      </c>
      <c r="H154" s="31">
        <v>0</v>
      </c>
      <c r="I154" s="31">
        <v>0</v>
      </c>
      <c r="J154" s="31">
        <v>0</v>
      </c>
      <c r="K154" s="31">
        <v>0</v>
      </c>
      <c r="L154" s="31">
        <v>0</v>
      </c>
      <c r="M154" s="31">
        <v>0.01</v>
      </c>
      <c r="N154" s="31">
        <v>0</v>
      </c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</row>
    <row r="155" spans="1:150" s="25" customFormat="1" x14ac:dyDescent="0.2">
      <c r="A155" s="19"/>
      <c r="B155" s="55" t="s">
        <v>171</v>
      </c>
      <c r="C155" s="31">
        <v>0</v>
      </c>
      <c r="D155" s="31">
        <v>0</v>
      </c>
      <c r="E155" s="31">
        <v>0</v>
      </c>
      <c r="F155" s="31">
        <v>0</v>
      </c>
      <c r="G155" s="31">
        <v>0</v>
      </c>
      <c r="H155" s="31">
        <v>0</v>
      </c>
      <c r="I155" s="31">
        <v>0</v>
      </c>
      <c r="J155" s="31">
        <v>0</v>
      </c>
      <c r="K155" s="31">
        <v>0</v>
      </c>
      <c r="L155" s="31">
        <v>0</v>
      </c>
      <c r="M155" s="31">
        <v>0</v>
      </c>
      <c r="N155" s="31">
        <v>0.01</v>
      </c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</row>
    <row r="156" spans="1:150" s="25" customFormat="1" x14ac:dyDescent="0.2">
      <c r="A156" s="19"/>
      <c r="B156" s="55" t="s">
        <v>154</v>
      </c>
      <c r="C156" s="31">
        <v>-0.01</v>
      </c>
      <c r="D156" s="31">
        <v>0</v>
      </c>
      <c r="E156" s="31">
        <v>0</v>
      </c>
      <c r="F156" s="31">
        <v>0</v>
      </c>
      <c r="G156" s="31">
        <v>0</v>
      </c>
      <c r="H156" s="31">
        <v>0</v>
      </c>
      <c r="I156" s="31">
        <v>0</v>
      </c>
      <c r="J156" s="31">
        <v>0</v>
      </c>
      <c r="K156" s="31">
        <v>0</v>
      </c>
      <c r="L156" s="31">
        <v>0</v>
      </c>
      <c r="M156" s="31">
        <v>0</v>
      </c>
      <c r="N156" s="31">
        <v>0</v>
      </c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</row>
    <row r="157" spans="1:150" s="25" customFormat="1" x14ac:dyDescent="0.2">
      <c r="A157" s="19"/>
      <c r="B157" s="55" t="s">
        <v>172</v>
      </c>
      <c r="C157" s="31">
        <v>0</v>
      </c>
      <c r="D157" s="31">
        <v>-0.01</v>
      </c>
      <c r="E157" s="31">
        <v>0</v>
      </c>
      <c r="F157" s="31">
        <v>0</v>
      </c>
      <c r="G157" s="31">
        <v>0</v>
      </c>
      <c r="H157" s="31">
        <v>0</v>
      </c>
      <c r="I157" s="31">
        <v>0</v>
      </c>
      <c r="J157" s="31">
        <v>0</v>
      </c>
      <c r="K157" s="31">
        <v>0</v>
      </c>
      <c r="L157" s="31">
        <v>0</v>
      </c>
      <c r="M157" s="31">
        <v>0</v>
      </c>
      <c r="N157" s="31">
        <v>0</v>
      </c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</row>
    <row r="158" spans="1:150" s="25" customFormat="1" x14ac:dyDescent="0.2">
      <c r="A158" s="19"/>
      <c r="B158" s="55" t="s">
        <v>173</v>
      </c>
      <c r="C158" s="31">
        <v>0</v>
      </c>
      <c r="D158" s="31">
        <v>0</v>
      </c>
      <c r="E158" s="31">
        <v>-0.01</v>
      </c>
      <c r="F158" s="31">
        <v>0</v>
      </c>
      <c r="G158" s="31">
        <v>0</v>
      </c>
      <c r="H158" s="31">
        <v>0</v>
      </c>
      <c r="I158" s="31">
        <v>0</v>
      </c>
      <c r="J158" s="31">
        <v>0</v>
      </c>
      <c r="K158" s="31">
        <v>0</v>
      </c>
      <c r="L158" s="31">
        <v>0</v>
      </c>
      <c r="M158" s="31">
        <v>0</v>
      </c>
      <c r="N158" s="31">
        <v>0</v>
      </c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</row>
    <row r="159" spans="1:150" s="25" customFormat="1" x14ac:dyDescent="0.2">
      <c r="A159" s="19"/>
      <c r="B159" s="55" t="s">
        <v>156</v>
      </c>
      <c r="C159" s="31">
        <v>0</v>
      </c>
      <c r="D159" s="31">
        <v>0</v>
      </c>
      <c r="E159" s="31">
        <v>0</v>
      </c>
      <c r="F159" s="31">
        <v>-0.01</v>
      </c>
      <c r="G159" s="31">
        <v>0</v>
      </c>
      <c r="H159" s="31">
        <v>0</v>
      </c>
      <c r="I159" s="31">
        <v>0</v>
      </c>
      <c r="J159" s="31">
        <v>0</v>
      </c>
      <c r="K159" s="31">
        <v>0</v>
      </c>
      <c r="L159" s="31">
        <v>0</v>
      </c>
      <c r="M159" s="31">
        <v>0</v>
      </c>
      <c r="N159" s="31">
        <v>0</v>
      </c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</row>
    <row r="160" spans="1:150" s="25" customFormat="1" x14ac:dyDescent="0.2">
      <c r="A160" s="19"/>
      <c r="B160" s="55" t="s">
        <v>174</v>
      </c>
      <c r="C160" s="31">
        <v>0</v>
      </c>
      <c r="D160" s="31">
        <v>0</v>
      </c>
      <c r="E160" s="31">
        <v>0</v>
      </c>
      <c r="F160" s="31">
        <v>0</v>
      </c>
      <c r="G160" s="31">
        <v>-0.01</v>
      </c>
      <c r="H160" s="31">
        <v>0</v>
      </c>
      <c r="I160" s="31">
        <v>0</v>
      </c>
      <c r="J160" s="31">
        <v>0</v>
      </c>
      <c r="K160" s="31">
        <v>0</v>
      </c>
      <c r="L160" s="31">
        <v>0</v>
      </c>
      <c r="M160" s="31">
        <v>0</v>
      </c>
      <c r="N160" s="31">
        <v>0</v>
      </c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/>
      <c r="ET160" s="12"/>
    </row>
    <row r="161" spans="1:150" s="25" customFormat="1" x14ac:dyDescent="0.2">
      <c r="A161" s="19"/>
      <c r="B161" s="55" t="s">
        <v>175</v>
      </c>
      <c r="C161" s="31">
        <v>0</v>
      </c>
      <c r="D161" s="31">
        <v>0</v>
      </c>
      <c r="E161" s="31">
        <v>0</v>
      </c>
      <c r="F161" s="31">
        <v>0</v>
      </c>
      <c r="G161" s="31">
        <v>0</v>
      </c>
      <c r="H161" s="31">
        <v>-0.01</v>
      </c>
      <c r="I161" s="31">
        <v>0</v>
      </c>
      <c r="J161" s="31">
        <v>0</v>
      </c>
      <c r="K161" s="31">
        <v>0</v>
      </c>
      <c r="L161" s="31">
        <v>0</v>
      </c>
      <c r="M161" s="31">
        <v>0</v>
      </c>
      <c r="N161" s="31">
        <v>0</v>
      </c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/>
      <c r="ET161" s="12"/>
    </row>
    <row r="162" spans="1:150" s="25" customFormat="1" x14ac:dyDescent="0.2">
      <c r="A162" s="19"/>
      <c r="B162" s="55" t="s">
        <v>152</v>
      </c>
      <c r="C162" s="31">
        <v>0</v>
      </c>
      <c r="D162" s="31">
        <v>0</v>
      </c>
      <c r="E162" s="31">
        <v>0</v>
      </c>
      <c r="F162" s="31">
        <v>0</v>
      </c>
      <c r="G162" s="31">
        <v>0</v>
      </c>
      <c r="H162" s="31">
        <v>0</v>
      </c>
      <c r="I162" s="31">
        <v>-0.01</v>
      </c>
      <c r="J162" s="31">
        <v>0</v>
      </c>
      <c r="K162" s="31">
        <v>0</v>
      </c>
      <c r="L162" s="31">
        <v>0</v>
      </c>
      <c r="M162" s="31">
        <v>0</v>
      </c>
      <c r="N162" s="31">
        <v>0</v>
      </c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/>
      <c r="ET162" s="12"/>
    </row>
    <row r="163" spans="1:150" s="25" customFormat="1" x14ac:dyDescent="0.2">
      <c r="A163" s="19"/>
      <c r="B163" s="55" t="s">
        <v>176</v>
      </c>
      <c r="C163" s="31">
        <v>0</v>
      </c>
      <c r="D163" s="31">
        <v>0</v>
      </c>
      <c r="E163" s="31">
        <v>0</v>
      </c>
      <c r="F163" s="31">
        <v>0</v>
      </c>
      <c r="G163" s="31">
        <v>0</v>
      </c>
      <c r="H163" s="31">
        <v>0</v>
      </c>
      <c r="I163" s="31">
        <v>0</v>
      </c>
      <c r="J163" s="31">
        <v>-0.01</v>
      </c>
      <c r="K163" s="31">
        <v>0</v>
      </c>
      <c r="L163" s="31">
        <v>0</v>
      </c>
      <c r="M163" s="31">
        <v>0</v>
      </c>
      <c r="N163" s="31">
        <v>0</v>
      </c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</row>
    <row r="164" spans="1:150" s="25" customFormat="1" x14ac:dyDescent="0.2">
      <c r="A164" s="19"/>
      <c r="B164" s="55" t="s">
        <v>177</v>
      </c>
      <c r="C164" s="31">
        <v>0</v>
      </c>
      <c r="D164" s="31">
        <v>0</v>
      </c>
      <c r="E164" s="31">
        <v>0</v>
      </c>
      <c r="F164" s="31">
        <v>0</v>
      </c>
      <c r="G164" s="31">
        <v>0</v>
      </c>
      <c r="H164" s="31">
        <v>0</v>
      </c>
      <c r="I164" s="31">
        <v>0</v>
      </c>
      <c r="J164" s="31">
        <v>0</v>
      </c>
      <c r="K164" s="31">
        <v>-0.01</v>
      </c>
      <c r="L164" s="31">
        <v>0</v>
      </c>
      <c r="M164" s="31">
        <v>0</v>
      </c>
      <c r="N164" s="31">
        <v>0</v>
      </c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</row>
    <row r="165" spans="1:150" s="25" customFormat="1" x14ac:dyDescent="0.2">
      <c r="A165" s="19"/>
      <c r="B165" s="55" t="s">
        <v>158</v>
      </c>
      <c r="C165" s="31">
        <v>0</v>
      </c>
      <c r="D165" s="31">
        <v>0</v>
      </c>
      <c r="E165" s="31">
        <v>0</v>
      </c>
      <c r="F165" s="31">
        <v>0</v>
      </c>
      <c r="G165" s="31">
        <v>0</v>
      </c>
      <c r="H165" s="31">
        <v>0</v>
      </c>
      <c r="I165" s="31">
        <v>0</v>
      </c>
      <c r="J165" s="31">
        <v>0</v>
      </c>
      <c r="K165" s="31">
        <v>0</v>
      </c>
      <c r="L165" s="31">
        <v>-0.01</v>
      </c>
      <c r="M165" s="31">
        <v>0</v>
      </c>
      <c r="N165" s="31">
        <v>0</v>
      </c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</row>
    <row r="166" spans="1:150" s="25" customFormat="1" x14ac:dyDescent="0.2">
      <c r="A166" s="19"/>
      <c r="B166" s="55" t="s">
        <v>178</v>
      </c>
      <c r="C166" s="31">
        <v>0</v>
      </c>
      <c r="D166" s="31">
        <v>0</v>
      </c>
      <c r="E166" s="31">
        <v>0</v>
      </c>
      <c r="F166" s="31">
        <v>0</v>
      </c>
      <c r="G166" s="31">
        <v>0</v>
      </c>
      <c r="H166" s="31">
        <v>0</v>
      </c>
      <c r="I166" s="31">
        <v>0</v>
      </c>
      <c r="J166" s="31">
        <v>0</v>
      </c>
      <c r="K166" s="31">
        <v>0</v>
      </c>
      <c r="L166" s="31">
        <v>0</v>
      </c>
      <c r="M166" s="31">
        <v>-0.01</v>
      </c>
      <c r="N166" s="31">
        <v>0</v>
      </c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</row>
    <row r="167" spans="1:150" s="25" customFormat="1" x14ac:dyDescent="0.2">
      <c r="A167" s="19"/>
      <c r="B167" s="55" t="s">
        <v>179</v>
      </c>
      <c r="C167" s="31">
        <v>0</v>
      </c>
      <c r="D167" s="31">
        <v>0</v>
      </c>
      <c r="E167" s="31">
        <v>0</v>
      </c>
      <c r="F167" s="31">
        <v>0</v>
      </c>
      <c r="G167" s="31">
        <v>0</v>
      </c>
      <c r="H167" s="31">
        <v>0</v>
      </c>
      <c r="I167" s="31">
        <v>0</v>
      </c>
      <c r="J167" s="31">
        <v>0</v>
      </c>
      <c r="K167" s="31">
        <v>0</v>
      </c>
      <c r="L167" s="31">
        <v>0</v>
      </c>
      <c r="M167" s="31">
        <v>0</v>
      </c>
      <c r="N167" s="31">
        <v>-0.01</v>
      </c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</row>
    <row r="169" spans="1:150" s="25" customFormat="1" x14ac:dyDescent="0.2">
      <c r="A169" s="14" t="s">
        <v>9</v>
      </c>
      <c r="B169" s="16" t="str">
        <f ca="1">GetNameRange(B170)</f>
        <v>HedgeValnIntRateShockTbl</v>
      </c>
      <c r="C169" s="87">
        <v>0</v>
      </c>
      <c r="D169" s="88">
        <v>0</v>
      </c>
      <c r="E169" s="88">
        <v>0</v>
      </c>
      <c r="F169" s="88">
        <v>0</v>
      </c>
      <c r="G169" s="88">
        <v>0</v>
      </c>
      <c r="H169" s="88">
        <v>0</v>
      </c>
      <c r="I169" s="88">
        <v>0</v>
      </c>
      <c r="J169" s="88">
        <v>0</v>
      </c>
      <c r="K169" s="88">
        <v>0</v>
      </c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/>
      <c r="ET169" s="12"/>
    </row>
    <row r="170" spans="1:150" s="25" customFormat="1" x14ac:dyDescent="0.2">
      <c r="A170" s="64" t="s">
        <v>16</v>
      </c>
      <c r="B170" s="69" t="s">
        <v>68</v>
      </c>
      <c r="C170" s="81" t="s">
        <v>69</v>
      </c>
      <c r="D170" s="82" t="s">
        <v>69</v>
      </c>
      <c r="E170" s="82" t="s">
        <v>69</v>
      </c>
      <c r="F170" s="82" t="s">
        <v>69</v>
      </c>
      <c r="G170" s="82" t="s">
        <v>69</v>
      </c>
      <c r="H170" s="82" t="s">
        <v>69</v>
      </c>
      <c r="I170" s="82" t="s">
        <v>69</v>
      </c>
      <c r="J170" s="82" t="s">
        <v>69</v>
      </c>
      <c r="K170" s="83" t="s">
        <v>69</v>
      </c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</row>
    <row r="171" spans="1:150" s="25" customFormat="1" x14ac:dyDescent="0.2">
      <c r="A171" s="64"/>
      <c r="B171" s="84" t="s">
        <v>67</v>
      </c>
      <c r="C171" s="85">
        <v>0.25</v>
      </c>
      <c r="D171" s="73">
        <v>0.5</v>
      </c>
      <c r="E171" s="73">
        <v>1</v>
      </c>
      <c r="F171" s="73">
        <v>2</v>
      </c>
      <c r="G171" s="73">
        <v>3</v>
      </c>
      <c r="H171" s="73">
        <v>5</v>
      </c>
      <c r="I171" s="73">
        <v>10</v>
      </c>
      <c r="J171" s="73">
        <v>20</v>
      </c>
      <c r="K171" s="74">
        <v>30</v>
      </c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</row>
    <row r="172" spans="1:150" s="25" customFormat="1" x14ac:dyDescent="0.2">
      <c r="A172" s="19"/>
      <c r="B172" s="77" t="s">
        <v>60</v>
      </c>
      <c r="C172" s="27"/>
      <c r="D172" s="27"/>
      <c r="E172" s="27"/>
      <c r="F172" s="27"/>
      <c r="G172" s="27"/>
      <c r="H172" s="27"/>
      <c r="I172" s="27"/>
      <c r="J172" s="27"/>
      <c r="K172" s="78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</row>
    <row r="173" spans="1:150" s="25" customFormat="1" x14ac:dyDescent="0.2">
      <c r="A173" s="34"/>
      <c r="B173" s="79" t="s">
        <v>180</v>
      </c>
      <c r="C173" s="31">
        <v>1E-3</v>
      </c>
      <c r="D173" s="31">
        <v>1E-3</v>
      </c>
      <c r="E173" s="31">
        <v>1E-3</v>
      </c>
      <c r="F173" s="31">
        <v>1E-3</v>
      </c>
      <c r="G173" s="31">
        <v>1E-3</v>
      </c>
      <c r="H173" s="31">
        <v>1E-3</v>
      </c>
      <c r="I173" s="31">
        <v>1E-3</v>
      </c>
      <c r="J173" s="31">
        <v>1E-3</v>
      </c>
      <c r="K173" s="31">
        <v>1E-3</v>
      </c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</row>
    <row r="174" spans="1:150" s="25" customFormat="1" x14ac:dyDescent="0.2">
      <c r="A174" s="34"/>
      <c r="B174" s="79" t="s">
        <v>181</v>
      </c>
      <c r="C174" s="31">
        <v>-1E-3</v>
      </c>
      <c r="D174" s="31">
        <v>-1E-3</v>
      </c>
      <c r="E174" s="31">
        <v>-1E-3</v>
      </c>
      <c r="F174" s="31">
        <v>-1E-3</v>
      </c>
      <c r="G174" s="31">
        <v>-1E-3</v>
      </c>
      <c r="H174" s="31">
        <v>-1E-3</v>
      </c>
      <c r="I174" s="31">
        <v>-1E-3</v>
      </c>
      <c r="J174" s="31">
        <v>-1E-3</v>
      </c>
      <c r="K174" s="31">
        <v>-1E-3</v>
      </c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</row>
    <row r="175" spans="1:150" s="25" customFormat="1" x14ac:dyDescent="0.2">
      <c r="A175" s="34"/>
      <c r="B175" s="79" t="s">
        <v>182</v>
      </c>
      <c r="C175" s="31">
        <v>1E-3</v>
      </c>
      <c r="D175" s="31">
        <v>1E-3</v>
      </c>
      <c r="E175" s="31">
        <v>1E-3</v>
      </c>
      <c r="F175" s="31">
        <v>1E-3</v>
      </c>
      <c r="G175" s="31">
        <v>1E-3</v>
      </c>
      <c r="H175" s="31">
        <v>1E-3</v>
      </c>
      <c r="I175" s="31">
        <v>1E-3</v>
      </c>
      <c r="J175" s="31">
        <v>1E-3</v>
      </c>
      <c r="K175" s="31">
        <v>1E-3</v>
      </c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</row>
    <row r="176" spans="1:150" s="25" customFormat="1" x14ac:dyDescent="0.2">
      <c r="A176" s="34"/>
      <c r="B176" s="79" t="s">
        <v>183</v>
      </c>
      <c r="C176" s="31">
        <v>-1E-3</v>
      </c>
      <c r="D176" s="31">
        <v>-1E-3</v>
      </c>
      <c r="E176" s="31">
        <v>-1E-3</v>
      </c>
      <c r="F176" s="31">
        <v>-1E-3</v>
      </c>
      <c r="G176" s="31">
        <v>-1E-3</v>
      </c>
      <c r="H176" s="31">
        <v>-1E-3</v>
      </c>
      <c r="I176" s="31">
        <v>-1E-3</v>
      </c>
      <c r="J176" s="31">
        <v>-1E-3</v>
      </c>
      <c r="K176" s="31">
        <v>-1E-3</v>
      </c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</row>
    <row r="177" spans="1:150" s="25" customFormat="1" x14ac:dyDescent="0.2">
      <c r="A177" s="34"/>
      <c r="B177" s="79" t="s">
        <v>132</v>
      </c>
      <c r="C177" s="31">
        <v>1E-3</v>
      </c>
      <c r="D177" s="31">
        <v>1E-3</v>
      </c>
      <c r="E177" s="31">
        <v>1E-3</v>
      </c>
      <c r="F177" s="31">
        <f>E177-0.001/4</f>
        <v>7.5000000000000002E-4</v>
      </c>
      <c r="G177" s="31">
        <f>E177-0.001/4*2</f>
        <v>5.0000000000000001E-4</v>
      </c>
      <c r="H177" s="31">
        <v>0</v>
      </c>
      <c r="I177" s="31">
        <v>0</v>
      </c>
      <c r="J177" s="31">
        <v>0</v>
      </c>
      <c r="K177" s="31">
        <v>0</v>
      </c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</row>
    <row r="178" spans="1:150" s="25" customFormat="1" x14ac:dyDescent="0.2">
      <c r="A178" s="34"/>
      <c r="B178" s="79" t="s">
        <v>134</v>
      </c>
      <c r="C178" s="31">
        <v>0</v>
      </c>
      <c r="D178" s="31">
        <v>0</v>
      </c>
      <c r="E178" s="31">
        <v>0</v>
      </c>
      <c r="F178" s="31">
        <v>2.5000000000000001E-4</v>
      </c>
      <c r="G178" s="31">
        <f>F178+0.00025</f>
        <v>5.0000000000000001E-4</v>
      </c>
      <c r="H178" s="31">
        <v>1E-3</v>
      </c>
      <c r="I178" s="31">
        <v>0</v>
      </c>
      <c r="J178" s="31">
        <v>0</v>
      </c>
      <c r="K178" s="31">
        <v>0</v>
      </c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</row>
    <row r="179" spans="1:150" s="25" customFormat="1" x14ac:dyDescent="0.2">
      <c r="A179" s="34"/>
      <c r="B179" s="79" t="s">
        <v>136</v>
      </c>
      <c r="C179" s="31">
        <v>0</v>
      </c>
      <c r="D179" s="31">
        <v>0</v>
      </c>
      <c r="E179" s="31">
        <v>0</v>
      </c>
      <c r="F179" s="31">
        <v>0</v>
      </c>
      <c r="G179" s="31">
        <v>0</v>
      </c>
      <c r="H179" s="31">
        <v>0</v>
      </c>
      <c r="I179" s="31">
        <v>1E-3</v>
      </c>
      <c r="J179" s="31">
        <v>1E-3</v>
      </c>
      <c r="K179" s="31">
        <v>1E-3</v>
      </c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</row>
    <row r="180" spans="1:150" s="25" customFormat="1" x14ac:dyDescent="0.2">
      <c r="A180" s="34"/>
      <c r="B180" s="79" t="s">
        <v>138</v>
      </c>
      <c r="C180" s="31">
        <v>-1E-3</v>
      </c>
      <c r="D180" s="31">
        <v>-1E-3</v>
      </c>
      <c r="E180" s="31">
        <v>-1E-3</v>
      </c>
      <c r="F180" s="31">
        <v>-7.5000000000000002E-4</v>
      </c>
      <c r="G180" s="31">
        <v>-5.0000000000000001E-4</v>
      </c>
      <c r="H180" s="31">
        <v>0</v>
      </c>
      <c r="I180" s="31">
        <v>0</v>
      </c>
      <c r="J180" s="31">
        <v>0</v>
      </c>
      <c r="K180" s="31">
        <v>0</v>
      </c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  <c r="CO180" s="12"/>
      <c r="CP180" s="12"/>
      <c r="CQ180" s="12"/>
      <c r="CR180" s="12"/>
      <c r="CS180" s="12"/>
      <c r="CT180" s="12"/>
      <c r="CU180" s="12"/>
      <c r="CV180" s="12"/>
      <c r="CW180" s="12"/>
      <c r="CX180" s="12"/>
      <c r="CY180" s="12"/>
      <c r="CZ180" s="12"/>
      <c r="DA180" s="12"/>
      <c r="DB180" s="12"/>
      <c r="DC180" s="12"/>
      <c r="DD180" s="12"/>
      <c r="DE180" s="12"/>
      <c r="DF180" s="12"/>
      <c r="DG180" s="12"/>
      <c r="DH180" s="12"/>
      <c r="DI180" s="12"/>
      <c r="DJ180" s="12"/>
      <c r="DK180" s="12"/>
      <c r="DL180" s="12"/>
      <c r="DM180" s="12"/>
      <c r="DN180" s="12"/>
      <c r="DO180" s="12"/>
      <c r="DP180" s="12"/>
      <c r="DQ180" s="12"/>
      <c r="DR180" s="12"/>
      <c r="DS180" s="12"/>
      <c r="DT180" s="12"/>
      <c r="DU180" s="12"/>
      <c r="DV180" s="12"/>
      <c r="DW180" s="12"/>
      <c r="DX180" s="12"/>
      <c r="DY180" s="12"/>
      <c r="DZ180" s="12"/>
      <c r="EA180" s="12"/>
      <c r="EB180" s="12"/>
      <c r="EC180" s="12"/>
      <c r="ED180" s="12"/>
      <c r="EE180" s="12"/>
      <c r="EF180" s="12"/>
      <c r="EG180" s="12"/>
      <c r="EH180" s="12"/>
      <c r="EI180" s="12"/>
      <c r="EJ180" s="12"/>
      <c r="EK180" s="12"/>
      <c r="EL180" s="12"/>
      <c r="EM180" s="12"/>
      <c r="EN180" s="12"/>
      <c r="EO180" s="12"/>
      <c r="EP180" s="12"/>
      <c r="EQ180" s="12"/>
      <c r="ER180" s="12"/>
      <c r="ES180" s="12"/>
      <c r="ET180" s="12"/>
    </row>
    <row r="181" spans="1:150" s="25" customFormat="1" x14ac:dyDescent="0.2">
      <c r="A181" s="34"/>
      <c r="B181" s="79" t="s">
        <v>140</v>
      </c>
      <c r="C181" s="31">
        <v>0</v>
      </c>
      <c r="D181" s="31">
        <v>0</v>
      </c>
      <c r="E181" s="31">
        <v>0</v>
      </c>
      <c r="F181" s="31">
        <v>-2.5000000000000001E-4</v>
      </c>
      <c r="G181" s="31">
        <v>-5.0000000000000001E-4</v>
      </c>
      <c r="H181" s="31">
        <v>-1E-3</v>
      </c>
      <c r="I181" s="31">
        <v>0</v>
      </c>
      <c r="J181" s="31">
        <v>0</v>
      </c>
      <c r="K181" s="31">
        <v>0</v>
      </c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  <c r="CO181" s="12"/>
      <c r="CP181" s="12"/>
      <c r="CQ181" s="12"/>
      <c r="CR181" s="12"/>
      <c r="CS181" s="12"/>
      <c r="CT181" s="12"/>
      <c r="CU181" s="12"/>
      <c r="CV181" s="12"/>
      <c r="CW181" s="12"/>
      <c r="CX181" s="12"/>
      <c r="CY181" s="12"/>
      <c r="CZ181" s="12"/>
      <c r="DA181" s="12"/>
      <c r="DB181" s="12"/>
      <c r="DC181" s="12"/>
      <c r="DD181" s="12"/>
      <c r="DE181" s="12"/>
      <c r="DF181" s="12"/>
      <c r="DG181" s="12"/>
      <c r="DH181" s="12"/>
      <c r="DI181" s="12"/>
      <c r="DJ181" s="12"/>
      <c r="DK181" s="12"/>
      <c r="DL181" s="12"/>
      <c r="DM181" s="12"/>
      <c r="DN181" s="12"/>
      <c r="DO181" s="12"/>
      <c r="DP181" s="12"/>
      <c r="DQ181" s="12"/>
      <c r="DR181" s="12"/>
      <c r="DS181" s="12"/>
      <c r="DT181" s="12"/>
      <c r="DU181" s="12"/>
      <c r="DV181" s="12"/>
      <c r="DW181" s="12"/>
      <c r="DX181" s="12"/>
      <c r="DY181" s="12"/>
      <c r="DZ181" s="12"/>
      <c r="EA181" s="12"/>
      <c r="EB181" s="12"/>
      <c r="EC181" s="12"/>
      <c r="ED181" s="12"/>
      <c r="EE181" s="12"/>
      <c r="EF181" s="12"/>
      <c r="EG181" s="12"/>
      <c r="EH181" s="12"/>
      <c r="EI181" s="12"/>
      <c r="EJ181" s="12"/>
      <c r="EK181" s="12"/>
      <c r="EL181" s="12"/>
      <c r="EM181" s="12"/>
      <c r="EN181" s="12"/>
      <c r="EO181" s="12"/>
      <c r="EP181" s="12"/>
      <c r="EQ181" s="12"/>
      <c r="ER181" s="12"/>
      <c r="ES181" s="12"/>
      <c r="ET181" s="12"/>
    </row>
    <row r="182" spans="1:150" s="25" customFormat="1" x14ac:dyDescent="0.2">
      <c r="A182" s="34"/>
      <c r="B182" s="79" t="s">
        <v>142</v>
      </c>
      <c r="C182" s="31">
        <v>0</v>
      </c>
      <c r="D182" s="31">
        <v>0</v>
      </c>
      <c r="E182" s="31">
        <v>0</v>
      </c>
      <c r="F182" s="31">
        <v>0</v>
      </c>
      <c r="G182" s="31">
        <v>0</v>
      </c>
      <c r="H182" s="31">
        <v>0</v>
      </c>
      <c r="I182" s="31">
        <v>-1E-3</v>
      </c>
      <c r="J182" s="31">
        <v>-1E-3</v>
      </c>
      <c r="K182" s="31">
        <v>-1E-3</v>
      </c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  <c r="CO182" s="12"/>
      <c r="CP182" s="12"/>
      <c r="CQ182" s="12"/>
      <c r="CR182" s="12"/>
      <c r="CS182" s="12"/>
      <c r="CT182" s="12"/>
      <c r="CU182" s="12"/>
      <c r="CV182" s="12"/>
      <c r="CW182" s="12"/>
      <c r="CX182" s="12"/>
      <c r="CY182" s="12"/>
      <c r="CZ182" s="12"/>
      <c r="DA182" s="12"/>
      <c r="DB182" s="12"/>
      <c r="DC182" s="12"/>
      <c r="DD182" s="12"/>
      <c r="DE182" s="12"/>
      <c r="DF182" s="12"/>
      <c r="DG182" s="12"/>
      <c r="DH182" s="12"/>
      <c r="DI182" s="12"/>
      <c r="DJ182" s="12"/>
      <c r="DK182" s="12"/>
      <c r="DL182" s="12"/>
      <c r="DM182" s="12"/>
      <c r="DN182" s="12"/>
      <c r="DO182" s="12"/>
      <c r="DP182" s="12"/>
      <c r="DQ182" s="12"/>
      <c r="DR182" s="12"/>
      <c r="DS182" s="12"/>
      <c r="DT182" s="12"/>
      <c r="DU182" s="12"/>
      <c r="DV182" s="12"/>
      <c r="DW182" s="12"/>
      <c r="DX182" s="12"/>
      <c r="DY182" s="12"/>
      <c r="DZ182" s="12"/>
      <c r="EA182" s="12"/>
      <c r="EB182" s="12"/>
      <c r="EC182" s="12"/>
      <c r="ED182" s="12"/>
      <c r="EE182" s="12"/>
      <c r="EF182" s="12"/>
      <c r="EG182" s="12"/>
      <c r="EH182" s="12"/>
      <c r="EI182" s="12"/>
      <c r="EJ182" s="12"/>
      <c r="EK182" s="12"/>
      <c r="EL182" s="12"/>
      <c r="EM182" s="12"/>
      <c r="EN182" s="12"/>
      <c r="EO182" s="12"/>
      <c r="EP182" s="12"/>
      <c r="EQ182" s="12"/>
      <c r="ER182" s="12"/>
      <c r="ES182" s="12"/>
      <c r="ET182" s="12"/>
    </row>
    <row r="184" spans="1:150" s="25" customFormat="1" x14ac:dyDescent="0.2">
      <c r="A184" s="14" t="s">
        <v>9</v>
      </c>
      <c r="B184" s="16" t="str">
        <f ca="1">GetNameRange(B185)</f>
        <v>HedgeValnPhldrShockTbl</v>
      </c>
      <c r="C184" s="87">
        <v>0</v>
      </c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  <c r="CO184" s="12"/>
      <c r="CP184" s="12"/>
      <c r="CQ184" s="12"/>
      <c r="CR184" s="12"/>
      <c r="CS184" s="12"/>
      <c r="CT184" s="12"/>
      <c r="CU184" s="12"/>
      <c r="CV184" s="12"/>
      <c r="CW184" s="12"/>
      <c r="CX184" s="12"/>
      <c r="CY184" s="12"/>
      <c r="CZ184" s="12"/>
      <c r="DA184" s="12"/>
      <c r="DB184" s="12"/>
      <c r="DC184" s="12"/>
      <c r="DD184" s="12"/>
      <c r="DE184" s="12"/>
      <c r="DF184" s="12"/>
      <c r="DG184" s="12"/>
      <c r="DH184" s="12"/>
      <c r="DI184" s="12"/>
      <c r="DJ184" s="12"/>
      <c r="DK184" s="12"/>
      <c r="DL184" s="12"/>
      <c r="DM184" s="12"/>
      <c r="DN184" s="12"/>
      <c r="DO184" s="12"/>
      <c r="DP184" s="12"/>
      <c r="DQ184" s="12"/>
      <c r="DR184" s="12"/>
      <c r="DS184" s="12"/>
      <c r="DT184" s="12"/>
      <c r="DU184" s="12"/>
      <c r="DV184" s="12"/>
      <c r="DW184" s="12"/>
      <c r="DX184" s="12"/>
      <c r="DY184" s="12"/>
      <c r="DZ184" s="12"/>
      <c r="EA184" s="12"/>
      <c r="EB184" s="12"/>
      <c r="EC184" s="12"/>
      <c r="ED184" s="12"/>
      <c r="EE184" s="12"/>
      <c r="EF184" s="12"/>
      <c r="EG184" s="12"/>
      <c r="EH184" s="12"/>
      <c r="EI184" s="12"/>
      <c r="EJ184" s="12"/>
      <c r="EK184" s="12"/>
      <c r="EL184" s="12"/>
      <c r="EM184" s="12"/>
      <c r="EN184" s="12"/>
      <c r="EO184" s="12"/>
      <c r="EP184" s="12"/>
      <c r="EQ184" s="12"/>
      <c r="ER184" s="12"/>
      <c r="ES184" s="12"/>
    </row>
    <row r="185" spans="1:150" s="25" customFormat="1" x14ac:dyDescent="0.2">
      <c r="A185" s="64" t="s">
        <v>16</v>
      </c>
      <c r="B185" s="69" t="s">
        <v>70</v>
      </c>
      <c r="C185" s="71" t="s">
        <v>71</v>
      </c>
      <c r="D185" s="18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  <c r="CO185" s="12"/>
      <c r="CP185" s="12"/>
      <c r="CQ185" s="12"/>
      <c r="CR185" s="12"/>
      <c r="CS185" s="12"/>
      <c r="CT185" s="12"/>
      <c r="CU185" s="12"/>
      <c r="CV185" s="12"/>
      <c r="CW185" s="12"/>
      <c r="CX185" s="12"/>
      <c r="CY185" s="12"/>
      <c r="CZ185" s="12"/>
      <c r="DA185" s="12"/>
      <c r="DB185" s="12"/>
      <c r="DC185" s="12"/>
      <c r="DD185" s="12"/>
      <c r="DE185" s="12"/>
      <c r="DF185" s="12"/>
      <c r="DG185" s="12"/>
      <c r="DH185" s="12"/>
      <c r="DI185" s="12"/>
      <c r="DJ185" s="12"/>
      <c r="DK185" s="12"/>
      <c r="DL185" s="12"/>
      <c r="DM185" s="12"/>
      <c r="DN185" s="12"/>
      <c r="DO185" s="12"/>
      <c r="DP185" s="12"/>
      <c r="DQ185" s="12"/>
      <c r="DR185" s="12"/>
      <c r="DS185" s="12"/>
      <c r="DT185" s="12"/>
      <c r="DU185" s="12"/>
      <c r="DV185" s="12"/>
      <c r="DW185" s="12"/>
      <c r="DX185" s="12"/>
      <c r="DY185" s="12"/>
      <c r="DZ185" s="12"/>
      <c r="EA185" s="12"/>
      <c r="EB185" s="12"/>
      <c r="EC185" s="12"/>
      <c r="ED185" s="12"/>
      <c r="EE185" s="12"/>
      <c r="EF185" s="12"/>
      <c r="EG185" s="12"/>
      <c r="EH185" s="12"/>
      <c r="EI185" s="12"/>
      <c r="EJ185" s="12"/>
      <c r="EK185" s="12"/>
      <c r="EL185" s="12"/>
      <c r="EM185" s="12"/>
      <c r="EN185" s="12"/>
      <c r="EO185" s="12"/>
      <c r="EP185" s="12"/>
      <c r="EQ185" s="12"/>
      <c r="ER185" s="12"/>
      <c r="ES185" s="12"/>
    </row>
    <row r="186" spans="1:150" s="25" customFormat="1" x14ac:dyDescent="0.2">
      <c r="A186" s="19"/>
      <c r="B186" s="77" t="s">
        <v>63</v>
      </c>
      <c r="C186" s="78"/>
      <c r="D186" s="18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  <c r="CO186" s="12"/>
      <c r="CP186" s="12"/>
      <c r="CQ186" s="12"/>
      <c r="CR186" s="12"/>
      <c r="CS186" s="12"/>
      <c r="CT186" s="12"/>
      <c r="CU186" s="12"/>
      <c r="CV186" s="12"/>
      <c r="CW186" s="12"/>
      <c r="CX186" s="12"/>
      <c r="CY186" s="12"/>
      <c r="CZ186" s="12"/>
      <c r="DA186" s="12"/>
      <c r="DB186" s="12"/>
      <c r="DC186" s="12"/>
      <c r="DD186" s="12"/>
      <c r="DE186" s="12"/>
      <c r="DF186" s="12"/>
      <c r="DG186" s="12"/>
      <c r="DH186" s="12"/>
      <c r="DI186" s="12"/>
      <c r="DJ186" s="12"/>
      <c r="DK186" s="12"/>
      <c r="DL186" s="12"/>
      <c r="DM186" s="12"/>
      <c r="DN186" s="12"/>
      <c r="DO186" s="12"/>
      <c r="DP186" s="12"/>
      <c r="DQ186" s="12"/>
      <c r="DR186" s="12"/>
      <c r="DS186" s="12"/>
      <c r="DT186" s="12"/>
      <c r="DU186" s="12"/>
      <c r="DV186" s="12"/>
      <c r="DW186" s="12"/>
      <c r="DX186" s="12"/>
      <c r="DY186" s="12"/>
      <c r="DZ186" s="12"/>
      <c r="EA186" s="12"/>
      <c r="EB186" s="12"/>
      <c r="EC186" s="12"/>
      <c r="ED186" s="12"/>
      <c r="EE186" s="12"/>
      <c r="EF186" s="12"/>
      <c r="EG186" s="12"/>
      <c r="EH186" s="12"/>
      <c r="EI186" s="12"/>
      <c r="EJ186" s="12"/>
      <c r="EK186" s="12"/>
      <c r="EL186" s="12"/>
      <c r="EM186" s="12"/>
      <c r="EN186" s="12"/>
      <c r="EO186" s="12"/>
      <c r="EP186" s="12"/>
      <c r="EQ186" s="12"/>
      <c r="ER186" s="12"/>
      <c r="ES186" s="12"/>
    </row>
    <row r="187" spans="1:150" s="25" customFormat="1" x14ac:dyDescent="0.2">
      <c r="A187" s="34"/>
      <c r="B187" s="79" t="s">
        <v>75</v>
      </c>
      <c r="C187" s="86">
        <v>0</v>
      </c>
      <c r="D187" s="18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  <c r="CO187" s="12"/>
      <c r="CP187" s="12"/>
      <c r="CQ187" s="12"/>
      <c r="CR187" s="12"/>
      <c r="CS187" s="12"/>
      <c r="CT187" s="12"/>
      <c r="CU187" s="12"/>
      <c r="CV187" s="12"/>
      <c r="CW187" s="12"/>
      <c r="CX187" s="12"/>
      <c r="CY187" s="12"/>
      <c r="CZ187" s="12"/>
      <c r="DA187" s="12"/>
      <c r="DB187" s="12"/>
      <c r="DC187" s="12"/>
      <c r="DD187" s="12"/>
      <c r="DE187" s="12"/>
      <c r="DF187" s="12"/>
      <c r="DG187" s="12"/>
      <c r="DH187" s="12"/>
      <c r="DI187" s="12"/>
      <c r="DJ187" s="12"/>
      <c r="DK187" s="12"/>
      <c r="DL187" s="12"/>
      <c r="DM187" s="12"/>
      <c r="DN187" s="12"/>
      <c r="DO187" s="12"/>
      <c r="DP187" s="12"/>
      <c r="DQ187" s="12"/>
      <c r="DR187" s="12"/>
      <c r="DS187" s="12"/>
      <c r="DT187" s="12"/>
      <c r="DU187" s="12"/>
      <c r="DV187" s="12"/>
      <c r="DW187" s="12"/>
      <c r="DX187" s="12"/>
      <c r="DY187" s="12"/>
      <c r="DZ187" s="12"/>
      <c r="EA187" s="12"/>
      <c r="EB187" s="12"/>
      <c r="EC187" s="12"/>
      <c r="ED187" s="12"/>
      <c r="EE187" s="12"/>
      <c r="EF187" s="12"/>
      <c r="EG187" s="12"/>
      <c r="EH187" s="12"/>
      <c r="EI187" s="12"/>
      <c r="EJ187" s="12"/>
      <c r="EK187" s="12"/>
      <c r="EL187" s="12"/>
      <c r="EM187" s="12"/>
      <c r="EN187" s="12"/>
      <c r="EO187" s="12"/>
      <c r="EP187" s="12"/>
      <c r="EQ187" s="12"/>
      <c r="ER187" s="12"/>
      <c r="ES187" s="12"/>
    </row>
    <row r="188" spans="1:150" s="25" customFormat="1" x14ac:dyDescent="0.2">
      <c r="A188" s="34"/>
      <c r="B188" s="79" t="s">
        <v>76</v>
      </c>
      <c r="C188" s="86">
        <v>0</v>
      </c>
      <c r="D188" s="18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  <c r="CO188" s="12"/>
      <c r="CP188" s="12"/>
      <c r="CQ188" s="12"/>
      <c r="CR188" s="12"/>
      <c r="CS188" s="12"/>
      <c r="CT188" s="12"/>
      <c r="CU188" s="12"/>
      <c r="CV188" s="12"/>
      <c r="CW188" s="12"/>
      <c r="CX188" s="12"/>
      <c r="CY188" s="12"/>
      <c r="CZ188" s="12"/>
      <c r="DA188" s="12"/>
      <c r="DB188" s="12"/>
      <c r="DC188" s="12"/>
      <c r="DD188" s="12"/>
      <c r="DE188" s="12"/>
      <c r="DF188" s="12"/>
      <c r="DG188" s="12"/>
      <c r="DH188" s="12"/>
      <c r="DI188" s="12"/>
      <c r="DJ188" s="12"/>
      <c r="DK188" s="12"/>
      <c r="DL188" s="12"/>
      <c r="DM188" s="12"/>
      <c r="DN188" s="12"/>
      <c r="DO188" s="12"/>
      <c r="DP188" s="12"/>
      <c r="DQ188" s="12"/>
      <c r="DR188" s="12"/>
      <c r="DS188" s="12"/>
      <c r="DT188" s="12"/>
      <c r="DU188" s="12"/>
      <c r="DV188" s="12"/>
      <c r="DW188" s="12"/>
      <c r="DX188" s="12"/>
      <c r="DY188" s="12"/>
      <c r="DZ188" s="12"/>
      <c r="EA188" s="12"/>
      <c r="EB188" s="12"/>
      <c r="EC188" s="12"/>
      <c r="ED188" s="12"/>
      <c r="EE188" s="12"/>
      <c r="EF188" s="12"/>
      <c r="EG188" s="12"/>
      <c r="EH188" s="12"/>
      <c r="EI188" s="12"/>
      <c r="EJ188" s="12"/>
      <c r="EK188" s="12"/>
      <c r="EL188" s="12"/>
      <c r="EM188" s="12"/>
      <c r="EN188" s="12"/>
      <c r="EO188" s="12"/>
      <c r="EP188" s="12"/>
      <c r="EQ188" s="12"/>
      <c r="ER188" s="12"/>
      <c r="ES188" s="12"/>
    </row>
    <row r="189" spans="1:150" s="25" customFormat="1" x14ac:dyDescent="0.2">
      <c r="A189" s="26"/>
      <c r="B189" s="80" t="s">
        <v>77</v>
      </c>
      <c r="C189" s="86">
        <v>0</v>
      </c>
      <c r="D189" s="18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  <c r="CO189" s="12"/>
      <c r="CP189" s="12"/>
      <c r="CQ189" s="12"/>
      <c r="CR189" s="12"/>
      <c r="CS189" s="12"/>
      <c r="CT189" s="12"/>
      <c r="CU189" s="12"/>
      <c r="CV189" s="12"/>
      <c r="CW189" s="12"/>
      <c r="CX189" s="12"/>
      <c r="CY189" s="12"/>
      <c r="CZ189" s="12"/>
      <c r="DA189" s="12"/>
      <c r="DB189" s="12"/>
      <c r="DC189" s="12"/>
      <c r="DD189" s="12"/>
      <c r="DE189" s="12"/>
      <c r="DF189" s="12"/>
      <c r="DG189" s="12"/>
      <c r="DH189" s="12"/>
      <c r="DI189" s="12"/>
      <c r="DJ189" s="12"/>
      <c r="DK189" s="12"/>
      <c r="DL189" s="12"/>
      <c r="DM189" s="12"/>
      <c r="DN189" s="12"/>
      <c r="DO189" s="12"/>
      <c r="DP189" s="12"/>
      <c r="DQ189" s="12"/>
      <c r="DR189" s="12"/>
      <c r="DS189" s="12"/>
      <c r="DT189" s="12"/>
      <c r="DU189" s="12"/>
      <c r="DV189" s="12"/>
      <c r="DW189" s="12"/>
      <c r="DX189" s="12"/>
      <c r="DY189" s="12"/>
      <c r="DZ189" s="12"/>
      <c r="EA189" s="12"/>
      <c r="EB189" s="12"/>
      <c r="EC189" s="12"/>
      <c r="ED189" s="12"/>
      <c r="EE189" s="12"/>
      <c r="EF189" s="12"/>
      <c r="EG189" s="12"/>
      <c r="EH189" s="12"/>
      <c r="EI189" s="12"/>
      <c r="EJ189" s="12"/>
      <c r="EK189" s="12"/>
      <c r="EL189" s="12"/>
      <c r="EM189" s="12"/>
      <c r="EN189" s="12"/>
      <c r="EO189" s="12"/>
      <c r="EP189" s="12"/>
      <c r="EQ189" s="12"/>
      <c r="ER189" s="12"/>
      <c r="ES189" s="12"/>
    </row>
  </sheetData>
  <conditionalFormatting sqref="C55:D60 C65:D66 C23:C24 C70:D70 C8:C17">
    <cfRule type="cellIs" dxfId="99" priority="301" operator="notEqual">
      <formula>$A8</formula>
    </cfRule>
  </conditionalFormatting>
  <conditionalFormatting sqref="C19:C21">
    <cfRule type="cellIs" dxfId="98" priority="242" operator="notEqual">
      <formula>$A19</formula>
    </cfRule>
  </conditionalFormatting>
  <conditionalFormatting sqref="D75:L77">
    <cfRule type="cellIs" dxfId="97" priority="239" operator="notEqual">
      <formula>D$72</formula>
    </cfRule>
  </conditionalFormatting>
  <conditionalFormatting sqref="C25">
    <cfRule type="cellIs" dxfId="96" priority="232" operator="notEqual">
      <formula>$A25</formula>
    </cfRule>
  </conditionalFormatting>
  <conditionalFormatting sqref="C67:D67">
    <cfRule type="cellIs" dxfId="95" priority="216" operator="notEqual">
      <formula>$A67</formula>
    </cfRule>
  </conditionalFormatting>
  <conditionalFormatting sqref="C68:D68">
    <cfRule type="cellIs" dxfId="94" priority="215" operator="notEqual">
      <formula>$A68</formula>
    </cfRule>
  </conditionalFormatting>
  <conditionalFormatting sqref="C69:D69">
    <cfRule type="cellIs" dxfId="93" priority="214" operator="notEqual">
      <formula>$A69</formula>
    </cfRule>
  </conditionalFormatting>
  <conditionalFormatting sqref="C27:C28">
    <cfRule type="cellIs" dxfId="92" priority="213" operator="notEqual">
      <formula>$A27</formula>
    </cfRule>
  </conditionalFormatting>
  <conditionalFormatting sqref="C29">
    <cfRule type="cellIs" dxfId="91" priority="212" operator="notEqual">
      <formula>$A29</formula>
    </cfRule>
  </conditionalFormatting>
  <conditionalFormatting sqref="C30">
    <cfRule type="cellIs" dxfId="90" priority="211" operator="notEqual">
      <formula>$A30</formula>
    </cfRule>
  </conditionalFormatting>
  <conditionalFormatting sqref="C31">
    <cfRule type="cellIs" dxfId="89" priority="210" operator="notEqual">
      <formula>$A31</formula>
    </cfRule>
  </conditionalFormatting>
  <conditionalFormatting sqref="C32">
    <cfRule type="cellIs" dxfId="88" priority="209" operator="notEqual">
      <formula>$A32</formula>
    </cfRule>
  </conditionalFormatting>
  <conditionalFormatting sqref="C33">
    <cfRule type="cellIs" dxfId="87" priority="208" operator="notEqual">
      <formula>$A33</formula>
    </cfRule>
  </conditionalFormatting>
  <conditionalFormatting sqref="C34">
    <cfRule type="cellIs" dxfId="86" priority="207" operator="notEqual">
      <formula>$A34</formula>
    </cfRule>
  </conditionalFormatting>
  <conditionalFormatting sqref="C35">
    <cfRule type="cellIs" dxfId="85" priority="206" operator="notEqual">
      <formula>$A35</formula>
    </cfRule>
  </conditionalFormatting>
  <conditionalFormatting sqref="C36">
    <cfRule type="cellIs" dxfId="84" priority="205" operator="notEqual">
      <formula>$A36</formula>
    </cfRule>
  </conditionalFormatting>
  <conditionalFormatting sqref="C37">
    <cfRule type="cellIs" dxfId="83" priority="204" operator="notEqual">
      <formula>$A37</formula>
    </cfRule>
  </conditionalFormatting>
  <conditionalFormatting sqref="C38">
    <cfRule type="cellIs" dxfId="82" priority="203" operator="notEqual">
      <formula>$A38</formula>
    </cfRule>
  </conditionalFormatting>
  <conditionalFormatting sqref="C39">
    <cfRule type="cellIs" dxfId="81" priority="202" operator="notEqual">
      <formula>$A39</formula>
    </cfRule>
  </conditionalFormatting>
  <conditionalFormatting sqref="C187">
    <cfRule type="cellIs" dxfId="80" priority="190" operator="notEqual">
      <formula>C$184</formula>
    </cfRule>
  </conditionalFormatting>
  <conditionalFormatting sqref="C26">
    <cfRule type="cellIs" dxfId="79" priority="111" operator="notEqual">
      <formula>$A26</formula>
    </cfRule>
  </conditionalFormatting>
  <conditionalFormatting sqref="C75:C77">
    <cfRule type="cellIs" dxfId="78" priority="110" operator="notEqual">
      <formula>C$72</formula>
    </cfRule>
  </conditionalFormatting>
  <conditionalFormatting sqref="C18">
    <cfRule type="cellIs" dxfId="77" priority="109" operator="notEqual">
      <formula>$A18</formula>
    </cfRule>
  </conditionalFormatting>
  <conditionalFormatting sqref="C22">
    <cfRule type="cellIs" dxfId="76" priority="108" operator="notEqual">
      <formula>$A22</formula>
    </cfRule>
  </conditionalFormatting>
  <conditionalFormatting sqref="E82:E114 G82:G114 I82:I114 K82:L114">
    <cfRule type="cellIs" dxfId="75" priority="107" operator="notEqual">
      <formula>E$79</formula>
    </cfRule>
  </conditionalFormatting>
  <conditionalFormatting sqref="C82">
    <cfRule type="cellIs" dxfId="74" priority="105" operator="notEqual">
      <formula>$C$79</formula>
    </cfRule>
  </conditionalFormatting>
  <conditionalFormatting sqref="D82">
    <cfRule type="cellIs" dxfId="73" priority="103" operator="notEqual">
      <formula>D$79</formula>
    </cfRule>
  </conditionalFormatting>
  <conditionalFormatting sqref="C83:C114">
    <cfRule type="cellIs" dxfId="72" priority="95" operator="notEqual">
      <formula>$C$79</formula>
    </cfRule>
  </conditionalFormatting>
  <conditionalFormatting sqref="D83">
    <cfRule type="cellIs" dxfId="71" priority="94" operator="notEqual">
      <formula>D$79</formula>
    </cfRule>
  </conditionalFormatting>
  <conditionalFormatting sqref="D93:D114">
    <cfRule type="cellIs" dxfId="70" priority="93" operator="notEqual">
      <formula>D$79</formula>
    </cfRule>
  </conditionalFormatting>
  <conditionalFormatting sqref="F82">
    <cfRule type="cellIs" dxfId="69" priority="92" operator="notEqual">
      <formula>F$79</formula>
    </cfRule>
  </conditionalFormatting>
  <conditionalFormatting sqref="F83">
    <cfRule type="cellIs" dxfId="68" priority="91" operator="notEqual">
      <formula>F$79</formula>
    </cfRule>
  </conditionalFormatting>
  <conditionalFormatting sqref="F84:F114">
    <cfRule type="cellIs" dxfId="67" priority="90" operator="notEqual">
      <formula>F$79</formula>
    </cfRule>
  </conditionalFormatting>
  <conditionalFormatting sqref="H82">
    <cfRule type="cellIs" dxfId="66" priority="89" operator="notEqual">
      <formula>H$79</formula>
    </cfRule>
  </conditionalFormatting>
  <conditionalFormatting sqref="H83">
    <cfRule type="cellIs" dxfId="65" priority="88" operator="notEqual">
      <formula>H$79</formula>
    </cfRule>
  </conditionalFormatting>
  <conditionalFormatting sqref="H84:H114">
    <cfRule type="cellIs" dxfId="64" priority="87" operator="notEqual">
      <formula>H$79</formula>
    </cfRule>
  </conditionalFormatting>
  <conditionalFormatting sqref="J82">
    <cfRule type="cellIs" dxfId="63" priority="86" operator="notEqual">
      <formula>J$79</formula>
    </cfRule>
  </conditionalFormatting>
  <conditionalFormatting sqref="J83">
    <cfRule type="cellIs" dxfId="62" priority="85" operator="notEqual">
      <formula>J$79</formula>
    </cfRule>
  </conditionalFormatting>
  <conditionalFormatting sqref="J84:J114">
    <cfRule type="cellIs" dxfId="61" priority="84" operator="notEqual">
      <formula>J$79</formula>
    </cfRule>
  </conditionalFormatting>
  <conditionalFormatting sqref="D84:D92">
    <cfRule type="cellIs" dxfId="60" priority="83" operator="notEqual">
      <formula>D$79</formula>
    </cfRule>
  </conditionalFormatting>
  <conditionalFormatting sqref="C119">
    <cfRule type="cellIs" dxfId="59" priority="69" operator="notEqual">
      <formula>C$127</formula>
    </cfRule>
  </conditionalFormatting>
  <conditionalFormatting sqref="C120:C130">
    <cfRule type="cellIs" dxfId="58" priority="68" operator="notEqual">
      <formula>C$127</formula>
    </cfRule>
  </conditionalFormatting>
  <conditionalFormatting sqref="D119">
    <cfRule type="cellIs" dxfId="57" priority="67" operator="notEqual">
      <formula>D$127</formula>
    </cfRule>
  </conditionalFormatting>
  <conditionalFormatting sqref="D120:D130">
    <cfRule type="cellIs" dxfId="56" priority="66" operator="notEqual">
      <formula>D$127</formula>
    </cfRule>
  </conditionalFormatting>
  <conditionalFormatting sqref="E119">
    <cfRule type="cellIs" dxfId="55" priority="65" operator="notEqual">
      <formula>E$127</formula>
    </cfRule>
  </conditionalFormatting>
  <conditionalFormatting sqref="E120:E130">
    <cfRule type="cellIs" dxfId="54" priority="64" operator="notEqual">
      <formula>E$127</formula>
    </cfRule>
  </conditionalFormatting>
  <conditionalFormatting sqref="F119">
    <cfRule type="cellIs" dxfId="53" priority="63" operator="notEqual">
      <formula>F$127</formula>
    </cfRule>
  </conditionalFormatting>
  <conditionalFormatting sqref="F120:F130">
    <cfRule type="cellIs" dxfId="52" priority="62" operator="notEqual">
      <formula>F$127</formula>
    </cfRule>
  </conditionalFormatting>
  <conditionalFormatting sqref="C136:N167">
    <cfRule type="cellIs" dxfId="51" priority="59" operator="notEqual">
      <formula>C$132</formula>
    </cfRule>
  </conditionalFormatting>
  <conditionalFormatting sqref="C173">
    <cfRule type="cellIs" dxfId="50" priority="25" operator="notEqual">
      <formula>C$169</formula>
    </cfRule>
  </conditionalFormatting>
  <conditionalFormatting sqref="C174:C182">
    <cfRule type="cellIs" dxfId="49" priority="7" operator="notEqual">
      <formula>C$169</formula>
    </cfRule>
  </conditionalFormatting>
  <conditionalFormatting sqref="D173:K173">
    <cfRule type="cellIs" dxfId="48" priority="6" operator="notEqual">
      <formula>D$169</formula>
    </cfRule>
  </conditionalFormatting>
  <conditionalFormatting sqref="D174:K182">
    <cfRule type="cellIs" dxfId="47" priority="5" operator="notEqual">
      <formula>D$169</formula>
    </cfRule>
  </conditionalFormatting>
  <conditionalFormatting sqref="C188:C189">
    <cfRule type="cellIs" dxfId="46" priority="4" operator="notEqual">
      <formula>C$184</formula>
    </cfRule>
  </conditionalFormatting>
  <conditionalFormatting sqref="C44:D50">
    <cfRule type="cellIs" dxfId="45" priority="3" operator="notEqual">
      <formula>$A44</formula>
    </cfRule>
  </conditionalFormatting>
  <conditionalFormatting sqref="E44:E50">
    <cfRule type="cellIs" dxfId="44" priority="2" operator="notEqual">
      <formula>$A44</formula>
    </cfRule>
  </conditionalFormatting>
  <conditionalFormatting sqref="F44:F50">
    <cfRule type="cellIs" dxfId="43" priority="1" operator="notEqual">
      <formula>$A44</formula>
    </cfRule>
  </conditionalFormatting>
  <dataValidations count="9">
    <dataValidation type="list" allowBlank="1" showInputMessage="1" showErrorMessage="1" sqref="C56:D56 C45:F45" xr:uid="{00000000-0002-0000-0200-000000000000}">
      <formula1>"Fixed Rate,Point to Point,Moving Average,Monthly Sum Cap"</formula1>
    </dataValidation>
    <dataValidation type="list" allowBlank="1" showInputMessage="1" showErrorMessage="1" sqref="C47:F47" xr:uid="{00000000-0002-0000-0200-000001000000}">
      <formula1>"Dynamic Cap,Dynamic Participation"</formula1>
    </dataValidation>
    <dataValidation type="list" allowBlank="1" showInputMessage="1" showErrorMessage="1" sqref="C19" xr:uid="{00000000-0002-0000-0200-000002000000}">
      <formula1>"Deterministic,Competitor Rate,Beta Rate"</formula1>
    </dataValidation>
    <dataValidation type="list" allowBlank="1" showInputMessage="1" showErrorMessage="1" sqref="D75:D77 C66:D69 H75:H77 J75:J77 F75:F77 F82:F114 J82:J114 D82:D114 H82:H114" xr:uid="{00000000-0002-0000-0200-000003000000}">
      <formula1>"Yes,No"</formula1>
    </dataValidation>
    <dataValidation type="list" errorStyle="information" allowBlank="1" showInputMessage="1" showErrorMessage="1" error="NONE is only valid choice outside list." sqref="K75:K77" xr:uid="{00000000-0002-0000-0200-000004000000}">
      <formula1>$B$187:$B$189</formula1>
    </dataValidation>
    <dataValidation type="list" allowBlank="1" showInputMessage="1" showErrorMessage="1" sqref="C18" xr:uid="{00000000-0002-0000-0200-000005000000}">
      <formula1>"Model Point Specific, Block Specific"</formula1>
    </dataValidation>
    <dataValidation type="list" errorStyle="information" allowBlank="1" showInputMessage="1" showErrorMessage="1" error="NONE is only valid choice outside list. " sqref="E75:E77" xr:uid="{00000000-0002-0000-0200-000006000000}">
      <formula1>$B$119:$B$130</formula1>
    </dataValidation>
    <dataValidation type="list" errorStyle="information" allowBlank="1" showInputMessage="1" showErrorMessage="1" error="NONE is only valid choice outside list." sqref="G75:G77" xr:uid="{00000000-0002-0000-0200-000007000000}">
      <formula1>#REF!</formula1>
    </dataValidation>
    <dataValidation type="list" allowBlank="1" showInputMessage="1" showErrorMessage="1" error="NONE is only valid choice outside list." sqref="I75:I77" xr:uid="{00000000-0002-0000-0200-000008000000}">
      <formula1>$B$173:$B$182</formula1>
    </dataValidation>
  </dataValidations>
  <hyperlinks>
    <hyperlink ref="A1" location="'Table of Contents'!A1" display="Go to TOC" xr:uid="{00000000-0004-0000-0200-000000000000}"/>
    <hyperlink ref="A41" location="'Table of Contents'!A1" display="Go to TOC" xr:uid="{00000000-0004-0000-0200-000001000000}"/>
    <hyperlink ref="A42" location="Hedges!B12" display="Back To Main" xr:uid="{00000000-0004-0000-0200-000002000000}"/>
    <hyperlink ref="A52" location="'Table of Contents'!A1" display="Go to TOC" xr:uid="{00000000-0004-0000-0200-000003000000}"/>
    <hyperlink ref="A53" location="Hedges!B13" display="Back To Main" xr:uid="{00000000-0004-0000-0200-000004000000}"/>
    <hyperlink ref="A62" location="'Table of Contents'!A1" display="Go to TOC" xr:uid="{00000000-0004-0000-0200-000005000000}"/>
    <hyperlink ref="A63" location="Hedges!B14" display="Back To Main" xr:uid="{00000000-0004-0000-0200-000006000000}"/>
    <hyperlink ref="A72" location="'Table of Contents'!A1" display="Go to TOC" xr:uid="{00000000-0004-0000-0200-000007000000}"/>
    <hyperlink ref="A73" location="Hedges!B25" display="Back To Main" xr:uid="{00000000-0004-0000-0200-000008000000}"/>
    <hyperlink ref="A116" location="'Table of Contents'!A1" display="Go to TOC" xr:uid="{00000000-0004-0000-0200-000009000000}"/>
    <hyperlink ref="A117" location="Hedges!B29" display="Back To Main" xr:uid="{00000000-0004-0000-0200-00000A000000}"/>
    <hyperlink ref="C12" location="HedgeGroupsFia" display="[See below]" xr:uid="{00000000-0004-0000-0200-00000B000000}"/>
    <hyperlink ref="C13" location="HedgeGroupsIul" display="[See below]" xr:uid="{00000000-0004-0000-0200-00000C000000}"/>
    <hyperlink ref="C14" location="HedgeGroupsVA" display="[See below]" xr:uid="{00000000-0004-0000-0200-00000D000000}"/>
    <hyperlink ref="C27" location="HedgeValnEqtPriceShockTbl" display="[See below]" xr:uid="{00000000-0004-0000-0200-00000E000000}"/>
    <hyperlink ref="C28" location="HedgeValnEqtPriceShockTbl" display="[See below]" xr:uid="{00000000-0004-0000-0200-00000F000000}"/>
    <hyperlink ref="C29" location="HedgeValnEqtPriceShockTbl" display="[See below]" xr:uid="{00000000-0004-0000-0200-000010000000}"/>
    <hyperlink ref="C30" location="HedgeValnEqtVolShockTbl" display="[See below]" xr:uid="{00000000-0004-0000-0200-000011000000}"/>
    <hyperlink ref="C31" location="HedgeValnEqtVolShockTbl" display="[See below]" xr:uid="{00000000-0004-0000-0200-000012000000}"/>
    <hyperlink ref="C32" location="HedgeValnEqtVolShockTbl" display="[See below]" xr:uid="{00000000-0004-0000-0200-000013000000}"/>
    <hyperlink ref="C33" location="HedgeValnIntRateShockTbl" display="[See below]" xr:uid="{00000000-0004-0000-0200-000014000000}"/>
    <hyperlink ref="C34" location="HedgeValnIntRateShockTbl" display="[See below]" xr:uid="{00000000-0004-0000-0200-000015000000}"/>
    <hyperlink ref="C35" location="HedgeValnIntRateShockTbl" display="[See below]" xr:uid="{00000000-0004-0000-0200-000016000000}"/>
    <hyperlink ref="C36" location="HedgeValnPhldrShockTbl" display="[See below]" xr:uid="{00000000-0004-0000-0200-000017000000}"/>
    <hyperlink ref="C37" location="HedgeValnPhldrShockTbl" display="[See below]" xr:uid="{00000000-0004-0000-0200-000018000000}"/>
    <hyperlink ref="C38" location="HedgeValnPhldrShockTbl" display="[See below]" xr:uid="{00000000-0004-0000-0200-000019000000}"/>
    <hyperlink ref="C39" location="HedgeValnControl" display="[See below]" xr:uid="{00000000-0004-0000-0200-00001A000000}"/>
    <hyperlink ref="A132" location="'Table of Contents'!A1" display="Go to TOC" xr:uid="{00000000-0004-0000-0200-00001B000000}"/>
    <hyperlink ref="A133" location="Hedges!B29" display="Back To Main" xr:uid="{00000000-0004-0000-0200-00001C000000}"/>
    <hyperlink ref="A169" location="'Table of Contents'!A1" display="Go to TOC" xr:uid="{00000000-0004-0000-0200-00001D000000}"/>
    <hyperlink ref="A170" location="Hedges!B32" display="Back To Main" xr:uid="{00000000-0004-0000-0200-00001E000000}"/>
    <hyperlink ref="A184" location="'Table of Contents'!A1" display="Go to TOC" xr:uid="{00000000-0004-0000-0200-00001F000000}"/>
    <hyperlink ref="A185" location="Hedges!B35" display="Back To Main" xr:uid="{00000000-0004-0000-0200-000020000000}"/>
    <hyperlink ref="C26" location="HedgeValnEqtPriceShockTbl" display="[See below]" xr:uid="{00000000-0004-0000-0200-000021000000}"/>
    <hyperlink ref="A79" location="'Table of Contents'!A1" display="Go to TOC" xr:uid="{00000000-0004-0000-0200-000022000000}"/>
    <hyperlink ref="A80" location="Hedges!B25" display="Back To Main" xr:uid="{00000000-0004-0000-0200-000023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T76"/>
  <sheetViews>
    <sheetView showGridLines="0" topLeftCell="A15" workbookViewId="0">
      <selection activeCell="F24" sqref="F24"/>
    </sheetView>
  </sheetViews>
  <sheetFormatPr defaultColWidth="26.5703125" defaultRowHeight="12.75" x14ac:dyDescent="0.2"/>
  <cols>
    <col min="1" max="1" width="23.85546875" style="15" customWidth="1"/>
    <col min="2" max="2" width="53.28515625" style="12" customWidth="1"/>
    <col min="3" max="3" width="26.7109375" style="12" customWidth="1"/>
    <col min="4" max="4" width="24" style="12" customWidth="1"/>
    <col min="5" max="5" width="19.7109375" style="12" customWidth="1"/>
    <col min="6" max="6" width="19.42578125" style="12" customWidth="1"/>
    <col min="7" max="7" width="19.7109375" style="12" customWidth="1"/>
    <col min="8" max="8" width="20.7109375" style="12" customWidth="1"/>
    <col min="9" max="9" width="20.28515625" style="12" customWidth="1"/>
    <col min="10" max="10" width="19" style="12" customWidth="1"/>
    <col min="11" max="16384" width="26.5703125" style="12"/>
  </cols>
  <sheetData>
    <row r="1" spans="1:150" ht="15.75" x14ac:dyDescent="0.2">
      <c r="A1" s="14" t="s">
        <v>9</v>
      </c>
      <c r="B1" s="17" t="s">
        <v>78</v>
      </c>
    </row>
    <row r="2" spans="1:150" x14ac:dyDescent="0.2">
      <c r="B2" s="26"/>
    </row>
    <row r="3" spans="1:150" x14ac:dyDescent="0.2">
      <c r="B3" s="18"/>
      <c r="C3" s="18"/>
    </row>
    <row r="4" spans="1:150" s="25" customFormat="1" x14ac:dyDescent="0.2">
      <c r="A4" s="14" t="s">
        <v>9</v>
      </c>
      <c r="B4" s="16" t="str">
        <f ca="1">GetNameRange(B5)</f>
        <v>DeltaHedgeStrategy</v>
      </c>
      <c r="C4" s="28"/>
      <c r="D4" s="28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</row>
    <row r="5" spans="1:150" s="25" customFormat="1" x14ac:dyDescent="0.2">
      <c r="A5" s="89"/>
      <c r="B5" s="35" t="s">
        <v>22</v>
      </c>
      <c r="C5" s="36" t="s">
        <v>23</v>
      </c>
      <c r="D5" s="37" t="s">
        <v>24</v>
      </c>
      <c r="E5" s="18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</row>
    <row r="6" spans="1:150" s="25" customFormat="1" x14ac:dyDescent="0.2">
      <c r="A6" s="19"/>
      <c r="B6" s="38" t="s">
        <v>0</v>
      </c>
      <c r="C6" s="27"/>
      <c r="D6" s="39"/>
      <c r="E6" s="18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</row>
    <row r="7" spans="1:150" s="25" customFormat="1" x14ac:dyDescent="0.2">
      <c r="A7" s="34" t="s">
        <v>5</v>
      </c>
      <c r="B7" s="55" t="s">
        <v>79</v>
      </c>
      <c r="C7" s="31" t="s">
        <v>5</v>
      </c>
      <c r="D7" s="31" t="s">
        <v>5</v>
      </c>
      <c r="E7" s="18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</row>
    <row r="8" spans="1:150" s="25" customFormat="1" x14ac:dyDescent="0.2">
      <c r="A8" s="52" t="s">
        <v>81</v>
      </c>
      <c r="B8" s="55" t="s">
        <v>86</v>
      </c>
      <c r="C8" s="31" t="s">
        <v>81</v>
      </c>
      <c r="D8" s="31" t="s">
        <v>81</v>
      </c>
      <c r="E8" s="1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</row>
    <row r="9" spans="1:150" s="25" customFormat="1" x14ac:dyDescent="0.2">
      <c r="A9" s="52" t="s">
        <v>87</v>
      </c>
      <c r="B9" s="55" t="s">
        <v>88</v>
      </c>
      <c r="C9" s="31" t="s">
        <v>87</v>
      </c>
      <c r="D9" s="31" t="s">
        <v>87</v>
      </c>
      <c r="E9" s="18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</row>
    <row r="10" spans="1:150" s="25" customFormat="1" x14ac:dyDescent="0.2">
      <c r="A10" s="52">
        <v>1</v>
      </c>
      <c r="B10" s="55" t="s">
        <v>80</v>
      </c>
      <c r="C10" s="53">
        <v>1</v>
      </c>
      <c r="D10" s="57">
        <v>1</v>
      </c>
      <c r="E10" s="18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</row>
    <row r="11" spans="1:150" s="25" customFormat="1" x14ac:dyDescent="0.2">
      <c r="A11" s="52">
        <v>0</v>
      </c>
      <c r="B11" s="55" t="s">
        <v>82</v>
      </c>
      <c r="C11" s="53">
        <v>0</v>
      </c>
      <c r="D11" s="57">
        <v>0</v>
      </c>
      <c r="E11" s="18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</row>
    <row r="13" spans="1:150" s="25" customFormat="1" x14ac:dyDescent="0.2">
      <c r="A13" s="14" t="s">
        <v>9</v>
      </c>
      <c r="B13" s="16" t="str">
        <f ca="1">GetNameRange(B14)</f>
        <v>DeltaHedgeStratIndexData</v>
      </c>
      <c r="C13" s="28"/>
      <c r="D13" s="28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</row>
    <row r="14" spans="1:150" s="25" customFormat="1" x14ac:dyDescent="0.2">
      <c r="A14" s="89"/>
      <c r="B14" s="35" t="s">
        <v>22</v>
      </c>
      <c r="C14" s="36" t="s">
        <v>23</v>
      </c>
      <c r="D14" s="36" t="s">
        <v>23</v>
      </c>
      <c r="E14" s="36" t="s">
        <v>23</v>
      </c>
      <c r="F14" s="36" t="s">
        <v>23</v>
      </c>
      <c r="G14" s="36" t="s">
        <v>23</v>
      </c>
      <c r="H14" s="36" t="s">
        <v>24</v>
      </c>
      <c r="I14" s="36" t="s">
        <v>24</v>
      </c>
      <c r="J14" s="36" t="s">
        <v>24</v>
      </c>
      <c r="K14" s="36" t="s">
        <v>24</v>
      </c>
      <c r="L14" s="36" t="s">
        <v>24</v>
      </c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</row>
    <row r="15" spans="1:150" s="25" customFormat="1" x14ac:dyDescent="0.2">
      <c r="A15" s="89"/>
      <c r="B15" s="90" t="s">
        <v>89</v>
      </c>
      <c r="C15" s="91" t="s">
        <v>192</v>
      </c>
      <c r="D15" s="91" t="s">
        <v>159</v>
      </c>
      <c r="E15" s="91" t="s">
        <v>160</v>
      </c>
      <c r="F15" s="91" t="s">
        <v>161</v>
      </c>
      <c r="G15" s="91" t="s">
        <v>14</v>
      </c>
      <c r="H15" s="91" t="s">
        <v>192</v>
      </c>
      <c r="I15" s="91" t="s">
        <v>159</v>
      </c>
      <c r="J15" s="91" t="s">
        <v>160</v>
      </c>
      <c r="K15" s="91" t="s">
        <v>161</v>
      </c>
      <c r="L15" s="91" t="s">
        <v>14</v>
      </c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</row>
    <row r="16" spans="1:150" s="25" customFormat="1" x14ac:dyDescent="0.2">
      <c r="A16" s="19"/>
      <c r="B16" s="38" t="s">
        <v>0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</row>
    <row r="17" spans="1:150" s="25" customFormat="1" x14ac:dyDescent="0.2">
      <c r="A17" s="92">
        <v>0</v>
      </c>
      <c r="B17" s="55" t="s">
        <v>90</v>
      </c>
      <c r="C17" s="93">
        <v>0</v>
      </c>
      <c r="D17" s="93">
        <v>0</v>
      </c>
      <c r="E17" s="93">
        <v>0</v>
      </c>
      <c r="F17" s="93">
        <v>0</v>
      </c>
      <c r="G17" s="93">
        <v>0</v>
      </c>
      <c r="H17" s="93">
        <v>0</v>
      </c>
      <c r="I17" s="93">
        <v>0</v>
      </c>
      <c r="J17" s="93">
        <v>0</v>
      </c>
      <c r="K17" s="93">
        <v>0</v>
      </c>
      <c r="L17" s="93">
        <v>0</v>
      </c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</row>
    <row r="18" spans="1:150" s="25" customFormat="1" x14ac:dyDescent="0.2">
      <c r="A18" s="52">
        <v>0</v>
      </c>
      <c r="B18" s="55" t="s">
        <v>83</v>
      </c>
      <c r="C18" s="53">
        <v>0</v>
      </c>
      <c r="D18" s="53">
        <v>0</v>
      </c>
      <c r="E18" s="53">
        <v>0</v>
      </c>
      <c r="F18" s="53">
        <v>0</v>
      </c>
      <c r="G18" s="53">
        <v>0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</row>
    <row r="19" spans="1:150" s="25" customFormat="1" x14ac:dyDescent="0.2">
      <c r="A19" s="92">
        <v>1</v>
      </c>
      <c r="B19" s="55" t="s">
        <v>84</v>
      </c>
      <c r="C19" s="93">
        <v>1</v>
      </c>
      <c r="D19" s="93">
        <v>1</v>
      </c>
      <c r="E19" s="93">
        <v>1</v>
      </c>
      <c r="F19" s="93">
        <v>1</v>
      </c>
      <c r="G19" s="93">
        <v>1</v>
      </c>
      <c r="H19" s="93">
        <v>1</v>
      </c>
      <c r="I19" s="93">
        <v>1</v>
      </c>
      <c r="J19" s="93">
        <v>1</v>
      </c>
      <c r="K19" s="93">
        <v>1</v>
      </c>
      <c r="L19" s="93">
        <v>1</v>
      </c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</row>
    <row r="20" spans="1:150" s="25" customFormat="1" x14ac:dyDescent="0.2">
      <c r="A20" s="52" t="s">
        <v>12</v>
      </c>
      <c r="B20" s="56" t="s">
        <v>85</v>
      </c>
      <c r="C20" s="94" t="s">
        <v>12</v>
      </c>
      <c r="D20" s="94" t="s">
        <v>12</v>
      </c>
      <c r="E20" s="94" t="s">
        <v>12</v>
      </c>
      <c r="F20" s="94" t="s">
        <v>12</v>
      </c>
      <c r="G20" s="94" t="s">
        <v>12</v>
      </c>
      <c r="H20" s="94" t="s">
        <v>12</v>
      </c>
      <c r="I20" s="94" t="s">
        <v>12</v>
      </c>
      <c r="J20" s="94" t="s">
        <v>12</v>
      </c>
      <c r="K20" s="94" t="s">
        <v>12</v>
      </c>
      <c r="L20" s="94" t="s">
        <v>12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</row>
    <row r="22" spans="1:150" x14ac:dyDescent="0.2">
      <c r="A22" s="14" t="s">
        <v>9</v>
      </c>
      <c r="B22" s="16" t="str">
        <f ca="1">GetNameRange(B23)</f>
        <v>GammaVegaHedgeStrategy</v>
      </c>
    </row>
    <row r="23" spans="1:150" x14ac:dyDescent="0.2">
      <c r="B23" s="35" t="s">
        <v>22</v>
      </c>
      <c r="C23" s="36" t="s">
        <v>23</v>
      </c>
      <c r="D23" s="37" t="s">
        <v>24</v>
      </c>
    </row>
    <row r="24" spans="1:150" x14ac:dyDescent="0.2">
      <c r="B24" s="38" t="s">
        <v>0</v>
      </c>
      <c r="C24" s="27"/>
      <c r="D24" s="39"/>
    </row>
    <row r="25" spans="1:150" x14ac:dyDescent="0.2">
      <c r="A25" s="15" t="s">
        <v>5</v>
      </c>
      <c r="B25" s="55" t="s">
        <v>184</v>
      </c>
      <c r="C25" s="31" t="s">
        <v>5</v>
      </c>
      <c r="D25" s="31" t="s">
        <v>5</v>
      </c>
    </row>
    <row r="26" spans="1:150" x14ac:dyDescent="0.2">
      <c r="A26" s="15" t="s">
        <v>185</v>
      </c>
      <c r="B26" s="55" t="s">
        <v>186</v>
      </c>
      <c r="C26" s="31" t="s">
        <v>185</v>
      </c>
      <c r="D26" s="31" t="s">
        <v>185</v>
      </c>
    </row>
    <row r="27" spans="1:150" x14ac:dyDescent="0.2">
      <c r="A27" s="15" t="s">
        <v>187</v>
      </c>
      <c r="B27" s="55" t="s">
        <v>188</v>
      </c>
      <c r="C27" s="31" t="s">
        <v>187</v>
      </c>
      <c r="D27" s="31" t="s">
        <v>187</v>
      </c>
    </row>
    <row r="28" spans="1:150" x14ac:dyDescent="0.2">
      <c r="A28" s="15" t="s">
        <v>87</v>
      </c>
      <c r="B28" s="55" t="s">
        <v>189</v>
      </c>
      <c r="C28" s="31" t="s">
        <v>87</v>
      </c>
      <c r="D28" s="31" t="s">
        <v>87</v>
      </c>
    </row>
    <row r="29" spans="1:150" x14ac:dyDescent="0.2">
      <c r="A29" s="15">
        <v>1</v>
      </c>
      <c r="B29" s="55" t="s">
        <v>190</v>
      </c>
      <c r="C29" s="53">
        <v>1</v>
      </c>
      <c r="D29" s="53">
        <v>1</v>
      </c>
    </row>
    <row r="30" spans="1:150" x14ac:dyDescent="0.2">
      <c r="A30" s="15">
        <v>0</v>
      </c>
      <c r="B30" s="55" t="s">
        <v>191</v>
      </c>
      <c r="C30" s="53">
        <v>0</v>
      </c>
      <c r="D30" s="57">
        <v>0</v>
      </c>
    </row>
    <row r="32" spans="1:150" x14ac:dyDescent="0.2">
      <c r="A32" s="14" t="s">
        <v>9</v>
      </c>
      <c r="B32" s="16" t="str">
        <f ca="1">GetNameRange(B33)</f>
        <v>GammaVegaHedgeStratIndexTermData</v>
      </c>
      <c r="C32" s="28"/>
      <c r="D32" s="28"/>
    </row>
    <row r="33" spans="1:36" x14ac:dyDescent="0.2">
      <c r="B33" s="35" t="s">
        <v>22</v>
      </c>
      <c r="C33" s="36" t="s">
        <v>23</v>
      </c>
      <c r="D33" s="36" t="s">
        <v>23</v>
      </c>
      <c r="E33" s="36" t="s">
        <v>23</v>
      </c>
      <c r="F33" s="36" t="s">
        <v>23</v>
      </c>
      <c r="G33" s="36" t="s">
        <v>23</v>
      </c>
      <c r="H33" s="36" t="s">
        <v>23</v>
      </c>
      <c r="I33" s="36" t="s">
        <v>23</v>
      </c>
      <c r="J33" s="36" t="s">
        <v>23</v>
      </c>
      <c r="K33" s="36" t="s">
        <v>23</v>
      </c>
      <c r="L33" s="36" t="s">
        <v>23</v>
      </c>
      <c r="M33" s="36" t="s">
        <v>23</v>
      </c>
      <c r="N33" s="36" t="s">
        <v>23</v>
      </c>
      <c r="O33" s="36" t="s">
        <v>23</v>
      </c>
      <c r="P33" s="36" t="s">
        <v>23</v>
      </c>
      <c r="Q33" s="36" t="s">
        <v>23</v>
      </c>
      <c r="R33" s="36" t="s">
        <v>23</v>
      </c>
      <c r="S33" s="36" t="s">
        <v>23</v>
      </c>
      <c r="T33" s="36" t="s">
        <v>24</v>
      </c>
      <c r="U33" s="36" t="s">
        <v>24</v>
      </c>
      <c r="V33" s="36" t="s">
        <v>24</v>
      </c>
      <c r="W33" s="36" t="s">
        <v>24</v>
      </c>
      <c r="X33" s="36" t="s">
        <v>24</v>
      </c>
      <c r="Y33" s="36" t="s">
        <v>24</v>
      </c>
      <c r="Z33" s="36" t="s">
        <v>24</v>
      </c>
      <c r="AA33" s="36" t="s">
        <v>24</v>
      </c>
      <c r="AB33" s="36" t="s">
        <v>24</v>
      </c>
      <c r="AC33" s="36" t="s">
        <v>24</v>
      </c>
      <c r="AD33" s="36" t="s">
        <v>24</v>
      </c>
      <c r="AE33" s="36" t="s">
        <v>24</v>
      </c>
      <c r="AF33" s="36" t="s">
        <v>24</v>
      </c>
      <c r="AG33" s="36" t="s">
        <v>24</v>
      </c>
      <c r="AH33" s="36" t="s">
        <v>24</v>
      </c>
      <c r="AI33" s="36" t="s">
        <v>24</v>
      </c>
      <c r="AJ33" s="36" t="s">
        <v>24</v>
      </c>
    </row>
    <row r="34" spans="1:36" x14ac:dyDescent="0.2">
      <c r="B34" s="90" t="s">
        <v>89</v>
      </c>
      <c r="C34" s="91" t="s">
        <v>192</v>
      </c>
      <c r="D34" s="91" t="s">
        <v>159</v>
      </c>
      <c r="E34" s="91" t="s">
        <v>159</v>
      </c>
      <c r="F34" s="91" t="s">
        <v>159</v>
      </c>
      <c r="G34" s="91" t="s">
        <v>159</v>
      </c>
      <c r="H34" s="91" t="s">
        <v>160</v>
      </c>
      <c r="I34" s="91" t="s">
        <v>160</v>
      </c>
      <c r="J34" s="91" t="s">
        <v>160</v>
      </c>
      <c r="K34" s="91" t="s">
        <v>160</v>
      </c>
      <c r="L34" s="91" t="s">
        <v>161</v>
      </c>
      <c r="M34" s="91" t="s">
        <v>161</v>
      </c>
      <c r="N34" s="91" t="s">
        <v>161</v>
      </c>
      <c r="O34" s="91" t="s">
        <v>161</v>
      </c>
      <c r="P34" s="91" t="s">
        <v>14</v>
      </c>
      <c r="Q34" s="91" t="s">
        <v>14</v>
      </c>
      <c r="R34" s="91" t="s">
        <v>14</v>
      </c>
      <c r="S34" s="91" t="s">
        <v>14</v>
      </c>
      <c r="T34" s="91" t="s">
        <v>192</v>
      </c>
      <c r="U34" s="91" t="s">
        <v>159</v>
      </c>
      <c r="V34" s="91" t="s">
        <v>159</v>
      </c>
      <c r="W34" s="91" t="s">
        <v>159</v>
      </c>
      <c r="X34" s="91" t="s">
        <v>159</v>
      </c>
      <c r="Y34" s="91" t="s">
        <v>160</v>
      </c>
      <c r="Z34" s="91" t="s">
        <v>160</v>
      </c>
      <c r="AA34" s="91" t="s">
        <v>160</v>
      </c>
      <c r="AB34" s="91" t="s">
        <v>160</v>
      </c>
      <c r="AC34" s="91" t="s">
        <v>161</v>
      </c>
      <c r="AD34" s="91" t="s">
        <v>161</v>
      </c>
      <c r="AE34" s="91" t="s">
        <v>161</v>
      </c>
      <c r="AF34" s="91" t="s">
        <v>161</v>
      </c>
      <c r="AG34" s="91" t="s">
        <v>14</v>
      </c>
      <c r="AH34" s="91" t="s">
        <v>14</v>
      </c>
      <c r="AI34" s="91" t="s">
        <v>14</v>
      </c>
      <c r="AJ34" s="91" t="s">
        <v>14</v>
      </c>
    </row>
    <row r="35" spans="1:36" x14ac:dyDescent="0.2">
      <c r="B35" s="90" t="s">
        <v>193</v>
      </c>
      <c r="C35" s="91" t="s">
        <v>194</v>
      </c>
      <c r="D35" s="91" t="s">
        <v>194</v>
      </c>
      <c r="E35" s="91" t="s">
        <v>195</v>
      </c>
      <c r="F35" s="91" t="s">
        <v>196</v>
      </c>
      <c r="G35" s="91" t="s">
        <v>197</v>
      </c>
      <c r="H35" s="91" t="s">
        <v>194</v>
      </c>
      <c r="I35" s="91" t="s">
        <v>195</v>
      </c>
      <c r="J35" s="91" t="s">
        <v>196</v>
      </c>
      <c r="K35" s="91" t="s">
        <v>197</v>
      </c>
      <c r="L35" s="91" t="s">
        <v>194</v>
      </c>
      <c r="M35" s="91" t="s">
        <v>195</v>
      </c>
      <c r="N35" s="91" t="s">
        <v>196</v>
      </c>
      <c r="O35" s="91" t="s">
        <v>197</v>
      </c>
      <c r="P35" s="91" t="s">
        <v>194</v>
      </c>
      <c r="Q35" s="91" t="s">
        <v>195</v>
      </c>
      <c r="R35" s="91" t="s">
        <v>196</v>
      </c>
      <c r="S35" s="91" t="s">
        <v>197</v>
      </c>
      <c r="T35" s="91" t="s">
        <v>194</v>
      </c>
      <c r="U35" s="91" t="s">
        <v>194</v>
      </c>
      <c r="V35" s="91" t="s">
        <v>195</v>
      </c>
      <c r="W35" s="91" t="s">
        <v>196</v>
      </c>
      <c r="X35" s="91" t="s">
        <v>197</v>
      </c>
      <c r="Y35" s="91" t="s">
        <v>194</v>
      </c>
      <c r="Z35" s="91" t="s">
        <v>195</v>
      </c>
      <c r="AA35" s="91" t="s">
        <v>196</v>
      </c>
      <c r="AB35" s="91" t="s">
        <v>197</v>
      </c>
      <c r="AC35" s="91" t="s">
        <v>194</v>
      </c>
      <c r="AD35" s="91" t="s">
        <v>195</v>
      </c>
      <c r="AE35" s="91" t="s">
        <v>196</v>
      </c>
      <c r="AF35" s="91" t="s">
        <v>197</v>
      </c>
      <c r="AG35" s="91" t="s">
        <v>194</v>
      </c>
      <c r="AH35" s="91" t="s">
        <v>195</v>
      </c>
      <c r="AI35" s="91" t="s">
        <v>196</v>
      </c>
      <c r="AJ35" s="91" t="s">
        <v>197</v>
      </c>
    </row>
    <row r="36" spans="1:36" x14ac:dyDescent="0.2">
      <c r="B36" s="38" t="s">
        <v>0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</row>
    <row r="37" spans="1:36" x14ac:dyDescent="0.2">
      <c r="A37" s="99">
        <v>0</v>
      </c>
      <c r="B37" s="55" t="s">
        <v>198</v>
      </c>
      <c r="C37" s="93">
        <v>0</v>
      </c>
      <c r="D37" s="93">
        <v>0</v>
      </c>
      <c r="E37" s="93">
        <v>0</v>
      </c>
      <c r="F37" s="93">
        <v>0</v>
      </c>
      <c r="G37" s="93">
        <v>0</v>
      </c>
      <c r="H37" s="93">
        <v>0</v>
      </c>
      <c r="I37" s="93">
        <v>0</v>
      </c>
      <c r="J37" s="93">
        <v>0</v>
      </c>
      <c r="K37" s="93">
        <v>0</v>
      </c>
      <c r="L37" s="93">
        <v>0</v>
      </c>
      <c r="M37" s="93">
        <v>0</v>
      </c>
      <c r="N37" s="93">
        <v>0</v>
      </c>
      <c r="O37" s="93">
        <v>0</v>
      </c>
      <c r="P37" s="93">
        <v>0</v>
      </c>
      <c r="Q37" s="93">
        <v>0</v>
      </c>
      <c r="R37" s="93">
        <v>0</v>
      </c>
      <c r="S37" s="93">
        <v>0</v>
      </c>
      <c r="T37" s="93">
        <v>0</v>
      </c>
      <c r="U37" s="93">
        <v>0</v>
      </c>
      <c r="V37" s="93">
        <v>0</v>
      </c>
      <c r="W37" s="93">
        <v>0</v>
      </c>
      <c r="X37" s="93">
        <v>0</v>
      </c>
      <c r="Y37" s="93">
        <v>0</v>
      </c>
      <c r="Z37" s="93">
        <v>0</v>
      </c>
      <c r="AA37" s="93">
        <v>0</v>
      </c>
      <c r="AB37" s="93">
        <v>0</v>
      </c>
      <c r="AC37" s="93">
        <v>0</v>
      </c>
      <c r="AD37" s="93">
        <v>0</v>
      </c>
      <c r="AE37" s="93">
        <v>0</v>
      </c>
      <c r="AF37" s="93">
        <v>0</v>
      </c>
      <c r="AG37" s="93">
        <v>0</v>
      </c>
      <c r="AH37" s="93">
        <v>0</v>
      </c>
      <c r="AI37" s="93">
        <v>0</v>
      </c>
      <c r="AJ37" s="93">
        <v>0</v>
      </c>
    </row>
    <row r="38" spans="1:36" x14ac:dyDescent="0.2">
      <c r="A38" s="15">
        <v>0</v>
      </c>
      <c r="B38" s="55" t="s">
        <v>199</v>
      </c>
      <c r="C38" s="53">
        <v>0</v>
      </c>
      <c r="D38" s="53">
        <v>0</v>
      </c>
      <c r="E38" s="53">
        <v>0</v>
      </c>
      <c r="F38" s="53">
        <v>0</v>
      </c>
      <c r="G38" s="53">
        <v>0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3">
        <v>0</v>
      </c>
      <c r="AE38" s="53">
        <v>0</v>
      </c>
      <c r="AF38" s="53">
        <v>0</v>
      </c>
      <c r="AG38" s="53">
        <v>0</v>
      </c>
      <c r="AH38" s="53">
        <v>0</v>
      </c>
      <c r="AI38" s="53">
        <v>0</v>
      </c>
      <c r="AJ38" s="53">
        <v>0</v>
      </c>
    </row>
    <row r="39" spans="1:36" x14ac:dyDescent="0.2">
      <c r="A39" s="99">
        <v>1</v>
      </c>
      <c r="B39" s="55" t="s">
        <v>200</v>
      </c>
      <c r="C39" s="93">
        <v>1</v>
      </c>
      <c r="D39" s="93">
        <v>1</v>
      </c>
      <c r="E39" s="93">
        <v>1</v>
      </c>
      <c r="F39" s="93">
        <v>1</v>
      </c>
      <c r="G39" s="93">
        <v>1</v>
      </c>
      <c r="H39" s="93">
        <v>1</v>
      </c>
      <c r="I39" s="93">
        <v>1</v>
      </c>
      <c r="J39" s="93">
        <v>1</v>
      </c>
      <c r="K39" s="93">
        <v>1</v>
      </c>
      <c r="L39" s="93">
        <v>1</v>
      </c>
      <c r="M39" s="93">
        <v>1</v>
      </c>
      <c r="N39" s="93">
        <v>1</v>
      </c>
      <c r="O39" s="93">
        <v>1</v>
      </c>
      <c r="P39" s="93">
        <v>1</v>
      </c>
      <c r="Q39" s="93">
        <v>1</v>
      </c>
      <c r="R39" s="93">
        <v>1</v>
      </c>
      <c r="S39" s="93">
        <v>1</v>
      </c>
      <c r="T39" s="93">
        <v>1</v>
      </c>
      <c r="U39" s="93">
        <v>1</v>
      </c>
      <c r="V39" s="93">
        <v>1</v>
      </c>
      <c r="W39" s="93">
        <v>1</v>
      </c>
      <c r="X39" s="93">
        <v>1</v>
      </c>
      <c r="Y39" s="93">
        <v>1</v>
      </c>
      <c r="Z39" s="93">
        <v>1</v>
      </c>
      <c r="AA39" s="93">
        <v>1</v>
      </c>
      <c r="AB39" s="93">
        <v>1</v>
      </c>
      <c r="AC39" s="93">
        <v>1</v>
      </c>
      <c r="AD39" s="93">
        <v>1</v>
      </c>
      <c r="AE39" s="93">
        <v>1</v>
      </c>
      <c r="AF39" s="93">
        <v>1</v>
      </c>
      <c r="AG39" s="93">
        <v>1</v>
      </c>
      <c r="AH39" s="93">
        <v>1</v>
      </c>
      <c r="AI39" s="93">
        <v>1</v>
      </c>
      <c r="AJ39" s="93">
        <v>1</v>
      </c>
    </row>
    <row r="40" spans="1:36" x14ac:dyDescent="0.2">
      <c r="A40" s="15" t="s">
        <v>12</v>
      </c>
      <c r="B40" s="56" t="s">
        <v>201</v>
      </c>
      <c r="C40" s="94" t="s">
        <v>12</v>
      </c>
      <c r="D40" s="94" t="s">
        <v>12</v>
      </c>
      <c r="E40" s="94" t="s">
        <v>12</v>
      </c>
      <c r="F40" s="94" t="s">
        <v>12</v>
      </c>
      <c r="G40" s="94" t="s">
        <v>12</v>
      </c>
      <c r="H40" s="94" t="s">
        <v>12</v>
      </c>
      <c r="I40" s="94" t="s">
        <v>12</v>
      </c>
      <c r="J40" s="94" t="s">
        <v>12</v>
      </c>
      <c r="K40" s="94" t="s">
        <v>12</v>
      </c>
      <c r="L40" s="94" t="s">
        <v>12</v>
      </c>
      <c r="M40" s="94" t="s">
        <v>12</v>
      </c>
      <c r="N40" s="94" t="s">
        <v>12</v>
      </c>
      <c r="O40" s="94" t="s">
        <v>12</v>
      </c>
      <c r="P40" s="94" t="s">
        <v>12</v>
      </c>
      <c r="Q40" s="94" t="s">
        <v>12</v>
      </c>
      <c r="R40" s="94" t="s">
        <v>12</v>
      </c>
      <c r="S40" s="94" t="s">
        <v>12</v>
      </c>
      <c r="T40" s="94" t="s">
        <v>12</v>
      </c>
      <c r="U40" s="94" t="s">
        <v>12</v>
      </c>
      <c r="V40" s="94" t="s">
        <v>12</v>
      </c>
      <c r="W40" s="94" t="s">
        <v>12</v>
      </c>
      <c r="X40" s="94" t="s">
        <v>12</v>
      </c>
      <c r="Y40" s="94" t="s">
        <v>12</v>
      </c>
      <c r="Z40" s="94" t="s">
        <v>12</v>
      </c>
      <c r="AA40" s="94" t="s">
        <v>12</v>
      </c>
      <c r="AB40" s="94" t="s">
        <v>12</v>
      </c>
      <c r="AC40" s="94" t="s">
        <v>12</v>
      </c>
      <c r="AD40" s="94" t="s">
        <v>12</v>
      </c>
      <c r="AE40" s="94" t="s">
        <v>12</v>
      </c>
      <c r="AF40" s="94" t="s">
        <v>12</v>
      </c>
      <c r="AG40" s="94" t="s">
        <v>12</v>
      </c>
      <c r="AH40" s="94" t="s">
        <v>12</v>
      </c>
      <c r="AI40" s="94" t="s">
        <v>12</v>
      </c>
      <c r="AJ40" s="94" t="s">
        <v>12</v>
      </c>
    </row>
    <row r="42" spans="1:36" x14ac:dyDescent="0.2">
      <c r="A42" s="14" t="s">
        <v>9</v>
      </c>
      <c r="B42" s="16" t="str">
        <f ca="1">GetNameRange(B43)</f>
        <v>RhoHedgeStrategy</v>
      </c>
    </row>
    <row r="43" spans="1:36" x14ac:dyDescent="0.2">
      <c r="B43" s="35" t="s">
        <v>22</v>
      </c>
      <c r="C43" s="36" t="s">
        <v>23</v>
      </c>
      <c r="D43" s="37" t="s">
        <v>24</v>
      </c>
    </row>
    <row r="44" spans="1:36" x14ac:dyDescent="0.2">
      <c r="B44" s="38" t="s">
        <v>0</v>
      </c>
      <c r="C44" s="27"/>
      <c r="D44" s="39"/>
    </row>
    <row r="45" spans="1:36" x14ac:dyDescent="0.2">
      <c r="A45" s="15" t="s">
        <v>5</v>
      </c>
      <c r="B45" s="55" t="s">
        <v>202</v>
      </c>
      <c r="C45" s="31" t="s">
        <v>5</v>
      </c>
      <c r="D45" s="31" t="s">
        <v>5</v>
      </c>
    </row>
    <row r="46" spans="1:36" x14ac:dyDescent="0.2">
      <c r="A46" s="15" t="s">
        <v>203</v>
      </c>
      <c r="B46" s="55" t="s">
        <v>204</v>
      </c>
      <c r="C46" s="31" t="s">
        <v>203</v>
      </c>
      <c r="D46" s="31" t="s">
        <v>203</v>
      </c>
    </row>
    <row r="47" spans="1:36" x14ac:dyDescent="0.2">
      <c r="A47" s="15" t="s">
        <v>192</v>
      </c>
      <c r="B47" s="55" t="s">
        <v>205</v>
      </c>
      <c r="C47" s="31" t="s">
        <v>192</v>
      </c>
      <c r="D47" s="31" t="s">
        <v>192</v>
      </c>
    </row>
    <row r="48" spans="1:36" x14ac:dyDescent="0.2">
      <c r="A48" s="15">
        <v>1</v>
      </c>
      <c r="B48" s="55" t="s">
        <v>206</v>
      </c>
      <c r="C48" s="53">
        <v>1</v>
      </c>
      <c r="D48" s="53">
        <v>1</v>
      </c>
    </row>
    <row r="49" spans="1:10" x14ac:dyDescent="0.2">
      <c r="A49" s="15">
        <v>0</v>
      </c>
      <c r="B49" s="56" t="s">
        <v>207</v>
      </c>
      <c r="C49" s="94">
        <v>0</v>
      </c>
      <c r="D49" s="100">
        <v>0</v>
      </c>
    </row>
    <row r="51" spans="1:10" x14ac:dyDescent="0.2">
      <c r="A51" s="14" t="s">
        <v>9</v>
      </c>
      <c r="B51" s="16" t="str">
        <f ca="1">GetNameRange(B52)</f>
        <v>RhoHedgeStratKeyRateData</v>
      </c>
    </row>
    <row r="52" spans="1:10" x14ac:dyDescent="0.2">
      <c r="B52" s="35" t="s">
        <v>22</v>
      </c>
      <c r="C52" s="36" t="s">
        <v>23</v>
      </c>
      <c r="D52" s="36" t="s">
        <v>23</v>
      </c>
      <c r="E52" s="36" t="s">
        <v>23</v>
      </c>
      <c r="F52" s="36" t="s">
        <v>23</v>
      </c>
      <c r="G52" s="36" t="s">
        <v>24</v>
      </c>
      <c r="H52" s="36" t="s">
        <v>24</v>
      </c>
      <c r="I52" s="36" t="s">
        <v>24</v>
      </c>
      <c r="J52" s="36" t="s">
        <v>24</v>
      </c>
    </row>
    <row r="53" spans="1:10" x14ac:dyDescent="0.2">
      <c r="B53" s="90" t="s">
        <v>208</v>
      </c>
      <c r="C53" s="91" t="s">
        <v>192</v>
      </c>
      <c r="D53" s="91" t="s">
        <v>195</v>
      </c>
      <c r="E53" s="91" t="s">
        <v>196</v>
      </c>
      <c r="F53" s="91" t="s">
        <v>197</v>
      </c>
      <c r="G53" s="91" t="s">
        <v>192</v>
      </c>
      <c r="H53" s="91" t="s">
        <v>195</v>
      </c>
      <c r="I53" s="91" t="s">
        <v>196</v>
      </c>
      <c r="J53" s="91" t="s">
        <v>197</v>
      </c>
    </row>
    <row r="54" spans="1:10" x14ac:dyDescent="0.2">
      <c r="B54" s="38" t="s">
        <v>0</v>
      </c>
      <c r="C54" s="27"/>
      <c r="D54" s="27"/>
      <c r="E54" s="27"/>
      <c r="F54" s="27"/>
      <c r="G54" s="27"/>
      <c r="H54" s="27"/>
      <c r="I54" s="27"/>
      <c r="J54" s="27"/>
    </row>
    <row r="55" spans="1:10" x14ac:dyDescent="0.2">
      <c r="A55" s="99">
        <v>0</v>
      </c>
      <c r="B55" s="55" t="s">
        <v>209</v>
      </c>
      <c r="C55" s="93">
        <v>0</v>
      </c>
      <c r="D55" s="93">
        <v>0</v>
      </c>
      <c r="E55" s="93">
        <v>0</v>
      </c>
      <c r="F55" s="93">
        <v>0</v>
      </c>
      <c r="G55" s="93">
        <v>0</v>
      </c>
      <c r="H55" s="93">
        <v>0</v>
      </c>
      <c r="I55" s="93">
        <v>0</v>
      </c>
      <c r="J55" s="93">
        <v>0</v>
      </c>
    </row>
    <row r="56" spans="1:10" x14ac:dyDescent="0.2">
      <c r="A56" s="15">
        <v>0</v>
      </c>
      <c r="B56" s="55" t="s">
        <v>210</v>
      </c>
      <c r="C56" s="53">
        <v>0</v>
      </c>
      <c r="D56" s="53">
        <v>0</v>
      </c>
      <c r="E56" s="53">
        <v>0</v>
      </c>
      <c r="F56" s="53">
        <v>0</v>
      </c>
      <c r="G56" s="53">
        <v>0</v>
      </c>
      <c r="H56" s="53">
        <v>0</v>
      </c>
      <c r="I56" s="53">
        <v>0</v>
      </c>
      <c r="J56" s="53">
        <v>0</v>
      </c>
    </row>
    <row r="57" spans="1:10" x14ac:dyDescent="0.2">
      <c r="A57" s="99">
        <v>1</v>
      </c>
      <c r="B57" s="55" t="s">
        <v>211</v>
      </c>
      <c r="C57" s="93">
        <v>1</v>
      </c>
      <c r="D57" s="93">
        <v>1</v>
      </c>
      <c r="E57" s="93">
        <v>1</v>
      </c>
      <c r="F57" s="93">
        <v>1</v>
      </c>
      <c r="G57" s="93">
        <v>1</v>
      </c>
      <c r="H57" s="93">
        <v>1</v>
      </c>
      <c r="I57" s="93">
        <v>1</v>
      </c>
      <c r="J57" s="93">
        <v>1</v>
      </c>
    </row>
    <row r="58" spans="1:10" x14ac:dyDescent="0.2">
      <c r="A58" s="15" t="s">
        <v>12</v>
      </c>
      <c r="B58" s="56" t="s">
        <v>212</v>
      </c>
      <c r="C58" s="94" t="s">
        <v>12</v>
      </c>
      <c r="D58" s="94" t="s">
        <v>12</v>
      </c>
      <c r="E58" s="94" t="s">
        <v>12</v>
      </c>
      <c r="F58" s="94" t="s">
        <v>12</v>
      </c>
      <c r="G58" s="94" t="s">
        <v>12</v>
      </c>
      <c r="H58" s="94" t="s">
        <v>12</v>
      </c>
      <c r="I58" s="94" t="s">
        <v>12</v>
      </c>
      <c r="J58" s="94" t="s">
        <v>12</v>
      </c>
    </row>
    <row r="60" spans="1:10" x14ac:dyDescent="0.2">
      <c r="A60" s="14" t="s">
        <v>9</v>
      </c>
      <c r="B60" s="16" t="str">
        <f ca="1">GetNameRange(B61)</f>
        <v>RhoConvexHedgeStrategy</v>
      </c>
    </row>
    <row r="61" spans="1:10" x14ac:dyDescent="0.2">
      <c r="B61" s="35" t="s">
        <v>22</v>
      </c>
      <c r="C61" s="36" t="s">
        <v>23</v>
      </c>
      <c r="D61" s="36" t="s">
        <v>24</v>
      </c>
    </row>
    <row r="62" spans="1:10" x14ac:dyDescent="0.2">
      <c r="B62" s="38" t="s">
        <v>0</v>
      </c>
      <c r="C62" s="27"/>
      <c r="D62" s="27"/>
    </row>
    <row r="63" spans="1:10" x14ac:dyDescent="0.2">
      <c r="A63" s="15" t="s">
        <v>5</v>
      </c>
      <c r="B63" s="55" t="s">
        <v>213</v>
      </c>
      <c r="C63" s="31" t="s">
        <v>5</v>
      </c>
      <c r="D63" s="31" t="s">
        <v>5</v>
      </c>
    </row>
    <row r="64" spans="1:10" x14ac:dyDescent="0.2">
      <c r="A64" s="15" t="s">
        <v>214</v>
      </c>
      <c r="B64" s="55" t="s">
        <v>215</v>
      </c>
      <c r="C64" s="31" t="s">
        <v>214</v>
      </c>
      <c r="D64" s="31" t="s">
        <v>214</v>
      </c>
    </row>
    <row r="65" spans="1:10" x14ac:dyDescent="0.2">
      <c r="A65" s="15" t="s">
        <v>192</v>
      </c>
      <c r="B65" s="55" t="s">
        <v>216</v>
      </c>
      <c r="C65" s="31" t="s">
        <v>192</v>
      </c>
      <c r="D65" s="31" t="s">
        <v>192</v>
      </c>
    </row>
    <row r="66" spans="1:10" x14ac:dyDescent="0.2">
      <c r="A66" s="15">
        <v>1</v>
      </c>
      <c r="B66" s="55" t="s">
        <v>217</v>
      </c>
      <c r="C66" s="53">
        <v>1</v>
      </c>
      <c r="D66" s="53">
        <v>1</v>
      </c>
    </row>
    <row r="67" spans="1:10" x14ac:dyDescent="0.2">
      <c r="A67" s="15">
        <v>0</v>
      </c>
      <c r="B67" s="55" t="s">
        <v>218</v>
      </c>
      <c r="C67" s="53">
        <v>0</v>
      </c>
      <c r="D67" s="53">
        <v>0</v>
      </c>
    </row>
    <row r="69" spans="1:10" x14ac:dyDescent="0.2">
      <c r="A69" s="14" t="s">
        <v>9</v>
      </c>
      <c r="B69" s="16" t="str">
        <f ca="1">GetNameRange(B70)</f>
        <v>RhoConvexHedgeStratKeyRateData</v>
      </c>
    </row>
    <row r="70" spans="1:10" x14ac:dyDescent="0.2">
      <c r="B70" s="35" t="s">
        <v>22</v>
      </c>
      <c r="C70" s="36" t="s">
        <v>23</v>
      </c>
      <c r="D70" s="36" t="s">
        <v>23</v>
      </c>
      <c r="E70" s="36" t="s">
        <v>23</v>
      </c>
      <c r="F70" s="36" t="s">
        <v>23</v>
      </c>
      <c r="G70" s="36" t="s">
        <v>24</v>
      </c>
      <c r="H70" s="36" t="s">
        <v>24</v>
      </c>
      <c r="I70" s="36" t="s">
        <v>24</v>
      </c>
      <c r="J70" s="36" t="s">
        <v>24</v>
      </c>
    </row>
    <row r="71" spans="1:10" x14ac:dyDescent="0.2">
      <c r="B71" s="90" t="s">
        <v>208</v>
      </c>
      <c r="C71" s="91" t="s">
        <v>192</v>
      </c>
      <c r="D71" s="91" t="s">
        <v>195</v>
      </c>
      <c r="E71" s="91" t="s">
        <v>196</v>
      </c>
      <c r="F71" s="91" t="s">
        <v>197</v>
      </c>
      <c r="G71" s="91" t="s">
        <v>192</v>
      </c>
      <c r="H71" s="91" t="s">
        <v>195</v>
      </c>
      <c r="I71" s="91" t="s">
        <v>196</v>
      </c>
      <c r="J71" s="91" t="s">
        <v>197</v>
      </c>
    </row>
    <row r="72" spans="1:10" x14ac:dyDescent="0.2">
      <c r="B72" s="38" t="s">
        <v>0</v>
      </c>
      <c r="C72" s="27"/>
      <c r="D72" s="27"/>
      <c r="E72" s="27"/>
      <c r="F72" s="27"/>
      <c r="G72" s="27"/>
      <c r="H72" s="27"/>
      <c r="I72" s="27"/>
      <c r="J72" s="27"/>
    </row>
    <row r="73" spans="1:10" x14ac:dyDescent="0.2">
      <c r="A73" s="99">
        <v>0</v>
      </c>
      <c r="B73" s="55" t="s">
        <v>219</v>
      </c>
      <c r="C73" s="93">
        <v>0</v>
      </c>
      <c r="D73" s="93">
        <v>0</v>
      </c>
      <c r="E73" s="93">
        <v>0</v>
      </c>
      <c r="F73" s="93">
        <v>0</v>
      </c>
      <c r="G73" s="93">
        <v>0</v>
      </c>
      <c r="H73" s="93">
        <v>0</v>
      </c>
      <c r="I73" s="93">
        <v>0</v>
      </c>
      <c r="J73" s="93">
        <v>0</v>
      </c>
    </row>
    <row r="74" spans="1:10" x14ac:dyDescent="0.2">
      <c r="A74" s="15">
        <v>0</v>
      </c>
      <c r="B74" s="55" t="s">
        <v>220</v>
      </c>
      <c r="C74" s="53">
        <v>0</v>
      </c>
      <c r="D74" s="53">
        <v>0</v>
      </c>
      <c r="E74" s="53">
        <v>0</v>
      </c>
      <c r="F74" s="53">
        <v>0</v>
      </c>
      <c r="G74" s="53">
        <v>0</v>
      </c>
      <c r="H74" s="53">
        <v>0</v>
      </c>
      <c r="I74" s="53">
        <v>0</v>
      </c>
      <c r="J74" s="53">
        <v>0</v>
      </c>
    </row>
    <row r="75" spans="1:10" x14ac:dyDescent="0.2">
      <c r="A75" s="99">
        <v>1</v>
      </c>
      <c r="B75" s="55" t="s">
        <v>221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</row>
    <row r="76" spans="1:10" x14ac:dyDescent="0.2">
      <c r="A76" s="15" t="s">
        <v>12</v>
      </c>
      <c r="B76" s="56" t="s">
        <v>222</v>
      </c>
      <c r="C76" s="94" t="s">
        <v>12</v>
      </c>
      <c r="D76" s="94" t="s">
        <v>12</v>
      </c>
      <c r="E76" s="94" t="s">
        <v>12</v>
      </c>
      <c r="F76" s="94" t="s">
        <v>12</v>
      </c>
      <c r="G76" s="94" t="s">
        <v>12</v>
      </c>
      <c r="H76" s="94" t="s">
        <v>12</v>
      </c>
      <c r="I76" s="94" t="s">
        <v>12</v>
      </c>
      <c r="J76" s="94" t="s">
        <v>12</v>
      </c>
    </row>
  </sheetData>
  <conditionalFormatting sqref="C17:D20 C7:D8 C10:D11">
    <cfRule type="cellIs" dxfId="42" priority="124" operator="notEqual">
      <formula>$A7</formula>
    </cfRule>
  </conditionalFormatting>
  <conditionalFormatting sqref="E17:F20">
    <cfRule type="cellIs" dxfId="41" priority="123" operator="notEqual">
      <formula>$A17</formula>
    </cfRule>
  </conditionalFormatting>
  <conditionalFormatting sqref="C9:D9">
    <cfRule type="cellIs" dxfId="40" priority="122" operator="notEqual">
      <formula>$A9</formula>
    </cfRule>
  </conditionalFormatting>
  <conditionalFormatting sqref="C30:D30 C29">
    <cfRule type="cellIs" dxfId="39" priority="121" operator="notEqual">
      <formula>$A29</formula>
    </cfRule>
  </conditionalFormatting>
  <conditionalFormatting sqref="C25 C27">
    <cfRule type="cellIs" dxfId="38" priority="120" operator="notEqual">
      <formula>$A25</formula>
    </cfRule>
  </conditionalFormatting>
  <conditionalFormatting sqref="C28">
    <cfRule type="cellIs" dxfId="37" priority="119" operator="notEqual">
      <formula>$A28</formula>
    </cfRule>
  </conditionalFormatting>
  <conditionalFormatting sqref="C26">
    <cfRule type="cellIs" dxfId="36" priority="118" operator="notEqual">
      <formula>$A26</formula>
    </cfRule>
  </conditionalFormatting>
  <conditionalFormatting sqref="D29">
    <cfRule type="cellIs" dxfId="35" priority="117" operator="notEqual">
      <formula>$A29</formula>
    </cfRule>
  </conditionalFormatting>
  <conditionalFormatting sqref="D25 D27">
    <cfRule type="cellIs" dxfId="34" priority="116" operator="notEqual">
      <formula>$A25</formula>
    </cfRule>
  </conditionalFormatting>
  <conditionalFormatting sqref="D28">
    <cfRule type="cellIs" dxfId="33" priority="115" operator="notEqual">
      <formula>$A28</formula>
    </cfRule>
  </conditionalFormatting>
  <conditionalFormatting sqref="D26">
    <cfRule type="cellIs" dxfId="32" priority="114" operator="notEqual">
      <formula>$A26</formula>
    </cfRule>
  </conditionalFormatting>
  <conditionalFormatting sqref="G17:G20">
    <cfRule type="cellIs" dxfId="31" priority="113" operator="notEqual">
      <formula>$A17</formula>
    </cfRule>
  </conditionalFormatting>
  <conditionalFormatting sqref="H17:I20">
    <cfRule type="cellIs" dxfId="30" priority="112" operator="notEqual">
      <formula>$A17</formula>
    </cfRule>
  </conditionalFormatting>
  <conditionalFormatting sqref="J17:K20">
    <cfRule type="cellIs" dxfId="29" priority="111" operator="notEqual">
      <formula>$A17</formula>
    </cfRule>
  </conditionalFormatting>
  <conditionalFormatting sqref="L17:L20">
    <cfRule type="cellIs" dxfId="28" priority="110" operator="notEqual">
      <formula>$A17</formula>
    </cfRule>
  </conditionalFormatting>
  <conditionalFormatting sqref="C37:C40">
    <cfRule type="cellIs" dxfId="27" priority="108" operator="notEqual">
      <formula>$A37</formula>
    </cfRule>
  </conditionalFormatting>
  <conditionalFormatting sqref="D37:AJ40">
    <cfRule type="cellIs" dxfId="26" priority="66" operator="notEqual">
      <formula>$A37</formula>
    </cfRule>
  </conditionalFormatting>
  <conditionalFormatting sqref="C47:D47">
    <cfRule type="cellIs" dxfId="25" priority="63" operator="notEqual">
      <formula>$A47</formula>
    </cfRule>
  </conditionalFormatting>
  <conditionalFormatting sqref="C49:D49">
    <cfRule type="cellIs" dxfId="24" priority="65" operator="notEqual">
      <formula>$A49</formula>
    </cfRule>
  </conditionalFormatting>
  <conditionalFormatting sqref="C45:D45">
    <cfRule type="cellIs" dxfId="23" priority="62" operator="notEqual">
      <formula>$A45</formula>
    </cfRule>
  </conditionalFormatting>
  <conditionalFormatting sqref="C46:D46">
    <cfRule type="cellIs" dxfId="22" priority="64" operator="notEqual">
      <formula>$A46</formula>
    </cfRule>
  </conditionalFormatting>
  <conditionalFormatting sqref="C48:D48">
    <cfRule type="cellIs" dxfId="21" priority="61" operator="notEqual">
      <formula>$A48</formula>
    </cfRule>
  </conditionalFormatting>
  <conditionalFormatting sqref="C55:C58">
    <cfRule type="cellIs" dxfId="20" priority="56" operator="notEqual">
      <formula>$A55</formula>
    </cfRule>
  </conditionalFormatting>
  <conditionalFormatting sqref="D55:D58">
    <cfRule type="cellIs" dxfId="19" priority="39" operator="notEqual">
      <formula>$A55</formula>
    </cfRule>
  </conditionalFormatting>
  <conditionalFormatting sqref="E55:E58">
    <cfRule type="cellIs" dxfId="18" priority="38" operator="notEqual">
      <formula>$A55</formula>
    </cfRule>
  </conditionalFormatting>
  <conditionalFormatting sqref="F55:F58">
    <cfRule type="cellIs" dxfId="17" priority="37" operator="notEqual">
      <formula>$A55</formula>
    </cfRule>
  </conditionalFormatting>
  <conditionalFormatting sqref="G55:G58">
    <cfRule type="cellIs" dxfId="16" priority="36" operator="notEqual">
      <formula>$A55</formula>
    </cfRule>
  </conditionalFormatting>
  <conditionalFormatting sqref="H55:H58">
    <cfRule type="cellIs" dxfId="15" priority="35" operator="notEqual">
      <formula>$A55</formula>
    </cfRule>
  </conditionalFormatting>
  <conditionalFormatting sqref="I55:I58">
    <cfRule type="cellIs" dxfId="14" priority="34" operator="notEqual">
      <formula>$A55</formula>
    </cfRule>
  </conditionalFormatting>
  <conditionalFormatting sqref="J55:J58">
    <cfRule type="cellIs" dxfId="13" priority="33" operator="notEqual">
      <formula>$A55</formula>
    </cfRule>
  </conditionalFormatting>
  <conditionalFormatting sqref="C65:D65">
    <cfRule type="cellIs" dxfId="12" priority="30" operator="notEqual">
      <formula>$A65</formula>
    </cfRule>
  </conditionalFormatting>
  <conditionalFormatting sqref="C67:D67">
    <cfRule type="cellIs" dxfId="11" priority="32" operator="notEqual">
      <formula>$A67</formula>
    </cfRule>
  </conditionalFormatting>
  <conditionalFormatting sqref="C63:D63">
    <cfRule type="cellIs" dxfId="10" priority="29" operator="notEqual">
      <formula>$A63</formula>
    </cfRule>
  </conditionalFormatting>
  <conditionalFormatting sqref="C64:D64">
    <cfRule type="cellIs" dxfId="9" priority="31" operator="notEqual">
      <formula>$A64</formula>
    </cfRule>
  </conditionalFormatting>
  <conditionalFormatting sqref="C66:D66">
    <cfRule type="cellIs" dxfId="8" priority="28" operator="notEqual">
      <formula>$A66</formula>
    </cfRule>
  </conditionalFormatting>
  <conditionalFormatting sqref="C73:C76">
    <cfRule type="cellIs" dxfId="7" priority="24" operator="notEqual">
      <formula>$A73</formula>
    </cfRule>
  </conditionalFormatting>
  <conditionalFormatting sqref="D73:D76">
    <cfRule type="cellIs" dxfId="6" priority="7" operator="notEqual">
      <formula>$A73</formula>
    </cfRule>
  </conditionalFormatting>
  <conditionalFormatting sqref="E73:E76">
    <cfRule type="cellIs" dxfId="5" priority="6" operator="notEqual">
      <formula>$A73</formula>
    </cfRule>
  </conditionalFormatting>
  <conditionalFormatting sqref="F73:F76">
    <cfRule type="cellIs" dxfId="4" priority="5" operator="notEqual">
      <formula>$A73</formula>
    </cfRule>
  </conditionalFormatting>
  <conditionalFormatting sqref="G73:G76">
    <cfRule type="cellIs" dxfId="3" priority="4" operator="notEqual">
      <formula>$A73</formula>
    </cfRule>
  </conditionalFormatting>
  <conditionalFormatting sqref="H73:H76">
    <cfRule type="cellIs" dxfId="2" priority="3" operator="notEqual">
      <formula>$A73</formula>
    </cfRule>
  </conditionalFormatting>
  <conditionalFormatting sqref="I73:I76">
    <cfRule type="cellIs" dxfId="1" priority="2" operator="notEqual">
      <formula>$A73</formula>
    </cfRule>
  </conditionalFormatting>
  <conditionalFormatting sqref="J73:J76">
    <cfRule type="cellIs" dxfId="0" priority="1" operator="notEqual">
      <formula>$A73</formula>
    </cfRule>
  </conditionalFormatting>
  <dataValidations disablePrompts="1" count="9">
    <dataValidation type="list" allowBlank="1" showInputMessage="1" showErrorMessage="1" sqref="C8:D8" xr:uid="{00000000-0002-0000-0300-000000000000}">
      <formula1>"Equity Futures"</formula1>
    </dataValidation>
    <dataValidation type="list" allowBlank="1" showInputMessage="1" showErrorMessage="1" sqref="C7:D7 C25:D25 C45:D45 C63:D63" xr:uid="{00000000-0002-0000-0300-000001000000}">
      <formula1>"No,Yes"</formula1>
    </dataValidation>
    <dataValidation type="list" allowBlank="1" showInputMessage="1" showErrorMessage="1" sqref="C9:D9" xr:uid="{00000000-0002-0000-0300-000002000000}">
      <formula1>"Index Specific,Parallel"</formula1>
    </dataValidation>
    <dataValidation type="list" allowBlank="1" showInputMessage="1" showErrorMessage="1" sqref="C26:D26" xr:uid="{00000000-0002-0000-0300-000003000000}">
      <formula1>"Gamma,Vega"</formula1>
    </dataValidation>
    <dataValidation type="list" allowBlank="1" showInputMessage="1" showErrorMessage="1" sqref="C28:D28" xr:uid="{00000000-0002-0000-0300-000004000000}">
      <formula1>"Index Specific, Index Term Specific, Parallel"</formula1>
    </dataValidation>
    <dataValidation type="list" allowBlank="1" showInputMessage="1" showErrorMessage="1" sqref="C27:D27" xr:uid="{00000000-0002-0000-0300-000005000000}">
      <formula1>"Equity Options"</formula1>
    </dataValidation>
    <dataValidation type="list" allowBlank="1" showInputMessage="1" showErrorMessage="1" sqref="C46:D46" xr:uid="{00000000-0002-0000-0300-000006000000}">
      <formula1>"Interest Rate Swaps"</formula1>
    </dataValidation>
    <dataValidation type="list" allowBlank="1" showInputMessage="1" showErrorMessage="1" sqref="C47:D47 C65:D65" xr:uid="{00000000-0002-0000-0300-000007000000}">
      <formula1>"Key Rate Specific, Parallel"</formula1>
    </dataValidation>
    <dataValidation type="list" allowBlank="1" showInputMessage="1" showErrorMessage="1" sqref="C64:D64" xr:uid="{00000000-0002-0000-0300-000008000000}">
      <formula1>"Interest Rate Caps Floors"</formula1>
    </dataValidation>
  </dataValidations>
  <hyperlinks>
    <hyperlink ref="A1" location="'Table of Contents'!A1" display="Go to TOC" xr:uid="{00000000-0004-0000-0300-000000000000}"/>
    <hyperlink ref="A4" location="'Table of Contents'!A1" display="Go to TOC" xr:uid="{00000000-0004-0000-0300-000001000000}"/>
    <hyperlink ref="A13" location="'Table of Contents'!A1" display="Go to TOC" xr:uid="{00000000-0004-0000-0300-000002000000}"/>
    <hyperlink ref="A22" location="'Table of Contents'!A1" display="Go to TOC" xr:uid="{00000000-0004-0000-0300-000003000000}"/>
    <hyperlink ref="A32" location="'Table of Contents'!A1" display="Go to TOC" xr:uid="{00000000-0004-0000-0300-000004000000}"/>
    <hyperlink ref="A42" location="'Table of Contents'!A1" display="Go to TOC" xr:uid="{00000000-0004-0000-0300-000005000000}"/>
    <hyperlink ref="A51" location="'Table of Contents'!A1" display="Go to TOC" xr:uid="{00000000-0004-0000-0300-000006000000}"/>
    <hyperlink ref="A60" location="'Table of Contents'!A1" display="Go to TOC" xr:uid="{00000000-0004-0000-0300-000007000000}"/>
    <hyperlink ref="A69" location="'Table of Contents'!A1" display="Go to TOC" xr:uid="{00000000-0004-0000-0300-000008000000}"/>
  </hyperlinks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4D6E80-2345-45FA-BD69-575C46F8AC22}">
  <ds:schemaRefs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Change Log</vt:lpstr>
      <vt:lpstr>Table of Contents</vt:lpstr>
      <vt:lpstr>Hedges</vt:lpstr>
      <vt:lpstr>HedgeStrategies</vt:lpstr>
      <vt:lpstr>DeltaHedgeStrategy</vt:lpstr>
      <vt:lpstr>DeltaHedgeStratIndexData</vt:lpstr>
      <vt:lpstr>GammaVegaHedgeStrategy</vt:lpstr>
      <vt:lpstr>GammaVegaHedgeStratIndexTermData</vt:lpstr>
      <vt:lpstr>HedgeGroupsFia</vt:lpstr>
      <vt:lpstr>HedgeGroupsIul</vt:lpstr>
      <vt:lpstr>HedgeGroupsVA</vt:lpstr>
      <vt:lpstr>HedgeProjControl</vt:lpstr>
      <vt:lpstr>Hedges</vt:lpstr>
      <vt:lpstr>HedgeValnControl</vt:lpstr>
      <vt:lpstr>HedgeValnEqtPriceShockTbl</vt:lpstr>
      <vt:lpstr>HedgeValnEqtVolShockTbl</vt:lpstr>
      <vt:lpstr>HedgeValnIntRateShockTbl</vt:lpstr>
      <vt:lpstr>HedgeValnPhldrShockTbl</vt:lpstr>
      <vt:lpstr>RhoConvexHedgeStrategy</vt:lpstr>
      <vt:lpstr>RhoConvexHedgeStratKeyRateData</vt:lpstr>
      <vt:lpstr>RhoHedgeStrategy</vt:lpstr>
      <vt:lpstr>RhoHedgeStratKeyRateData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2013-09-20T19:15:27Z</cp:lastPrinted>
  <dcterms:created xsi:type="dcterms:W3CDTF">2013-06-26T20:08:07Z</dcterms:created>
  <dcterms:modified xsi:type="dcterms:W3CDTF">2024-03-28T17:57:42Z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