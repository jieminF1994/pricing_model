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AFM\rila_research_rsd_1.5_phase_2.2_0327\Projects\Fixed Indexed Annuity\ProjectData\2013YearEnd\Assumptions\"/>
    </mc:Choice>
  </mc:AlternateContent>
  <xr:revisionPtr revIDLastSave="0" documentId="13_ncr:1_{781D7330-E6C9-4D4D-9937-0F5D1869F9FF}" xr6:coauthVersionLast="47" xr6:coauthVersionMax="47" xr10:uidLastSave="{00000000-0000-0000-0000-000000000000}"/>
  <bookViews>
    <workbookView xWindow="-120" yWindow="-120" windowWidth="29040" windowHeight="15840" tabRatio="757" activeTab="2" xr2:uid="{00000000-000D-0000-FFFF-FFFF00000000}"/>
  </bookViews>
  <sheets>
    <sheet name="Change Log" sheetId="12" r:id="rId1"/>
    <sheet name="Table of Contents" sheetId="13" r:id="rId2"/>
    <sheet name="StatCarvmMortMult" sheetId="25" r:id="rId3"/>
    <sheet name="TaxCarvmMortMult" sheetId="24" r:id="rId4"/>
    <sheet name="PurchMortBaseMult" sheetId="26" r:id="rId5"/>
    <sheet name="MortMult" sheetId="22" r:id="rId6"/>
    <sheet name="MortImprvm" sheetId="28" r:id="rId7"/>
    <sheet name="MortAddn" sheetId="23" r:id="rId8"/>
  </sheets>
  <functionGroups builtInGroupCount="19"/>
  <definedNames>
    <definedName name="mort_improve_pct">MortImprvm!$B$4:$P$126</definedName>
    <definedName name="MortAddn">MortAddn!$B$4:$D$8</definedName>
    <definedName name="MortMult">MortMult!$B$4:$AL$124</definedName>
    <definedName name="PurchMortMult">PurchMortBaseMult!$B$4:$D$7</definedName>
    <definedName name="StatCarvmMortMult">StatCarvmMortMult!$B$4:$D$8</definedName>
    <definedName name="TaxCarvmMortMult">TaxCarvmMortMult!$B$4:$D$8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8" i="22" l="1"/>
  <c r="AL8" i="22"/>
  <c r="AK9" i="22"/>
  <c r="AL9" i="22"/>
  <c r="AK10" i="22"/>
  <c r="AL10" i="22"/>
  <c r="AK11" i="22"/>
  <c r="AL11" i="22"/>
  <c r="AK12" i="22"/>
  <c r="AL12" i="22"/>
  <c r="AK13" i="22"/>
  <c r="AL13" i="22"/>
  <c r="AK14" i="22"/>
  <c r="AL14" i="22"/>
  <c r="AK15" i="22"/>
  <c r="AL15" i="22"/>
  <c r="AK16" i="22"/>
  <c r="AL16" i="22"/>
  <c r="AK17" i="22"/>
  <c r="AL17" i="22"/>
  <c r="AK18" i="22"/>
  <c r="AL18" i="22"/>
  <c r="AK19" i="22"/>
  <c r="AL19" i="22"/>
  <c r="AK20" i="22"/>
  <c r="AL20" i="22"/>
  <c r="AK21" i="22"/>
  <c r="AL21" i="22"/>
  <c r="AK22" i="22"/>
  <c r="AL22" i="22"/>
  <c r="AK23" i="22"/>
  <c r="AL23" i="22"/>
  <c r="AK24" i="22"/>
  <c r="AL24" i="22"/>
  <c r="AK25" i="22"/>
  <c r="AL25" i="22"/>
  <c r="AK26" i="22"/>
  <c r="AL26" i="22"/>
  <c r="AK27" i="22"/>
  <c r="AL27" i="22"/>
  <c r="AK28" i="22"/>
  <c r="AL28" i="22"/>
  <c r="AK29" i="22"/>
  <c r="AL29" i="22"/>
  <c r="AK30" i="22"/>
  <c r="AL30" i="22"/>
  <c r="AK31" i="22"/>
  <c r="AL31" i="22"/>
  <c r="AK32" i="22"/>
  <c r="AL32" i="22"/>
  <c r="AK33" i="22"/>
  <c r="AL33" i="22"/>
  <c r="AK34" i="22"/>
  <c r="AL34" i="22"/>
  <c r="AK35" i="22"/>
  <c r="AL35" i="22"/>
  <c r="AK36" i="22"/>
  <c r="AL36" i="22"/>
  <c r="AK37" i="22"/>
  <c r="AL37" i="22"/>
  <c r="AK38" i="22"/>
  <c r="AL38" i="22"/>
  <c r="AK39" i="22"/>
  <c r="AL39" i="22"/>
  <c r="AK40" i="22"/>
  <c r="AL40" i="22"/>
  <c r="AK41" i="22"/>
  <c r="AL41" i="22"/>
  <c r="AK42" i="22"/>
  <c r="AL42" i="22"/>
  <c r="AK43" i="22"/>
  <c r="AL43" i="22"/>
  <c r="AK44" i="22"/>
  <c r="AL44" i="22"/>
  <c r="AK45" i="22"/>
  <c r="AL45" i="22"/>
  <c r="AK46" i="22"/>
  <c r="AL46" i="22"/>
  <c r="AK47" i="22"/>
  <c r="AL47" i="22"/>
  <c r="AK48" i="22"/>
  <c r="AL48" i="22"/>
  <c r="AK49" i="22"/>
  <c r="AL49" i="22"/>
  <c r="AK50" i="22"/>
  <c r="AL50" i="22"/>
  <c r="AK51" i="22"/>
  <c r="AL51" i="22"/>
  <c r="AK52" i="22"/>
  <c r="AL52" i="22"/>
  <c r="AK53" i="22"/>
  <c r="AL53" i="22"/>
  <c r="AK54" i="22"/>
  <c r="AL54" i="22"/>
  <c r="AK55" i="22"/>
  <c r="AL55" i="22"/>
  <c r="AK56" i="22"/>
  <c r="AL56" i="22"/>
  <c r="AK57" i="22"/>
  <c r="AL57" i="22"/>
  <c r="AK58" i="22"/>
  <c r="AL58" i="22"/>
  <c r="AK59" i="22"/>
  <c r="AL59" i="22"/>
  <c r="AK60" i="22"/>
  <c r="AL60" i="22"/>
  <c r="AK61" i="22"/>
  <c r="AL61" i="22"/>
  <c r="AK62" i="22"/>
  <c r="AL62" i="22"/>
  <c r="AK63" i="22"/>
  <c r="AL63" i="22"/>
  <c r="AK64" i="22"/>
  <c r="AL64" i="22"/>
  <c r="AK65" i="22"/>
  <c r="AL65" i="22"/>
  <c r="AK66" i="22"/>
  <c r="AL66" i="22"/>
  <c r="AK67" i="22"/>
  <c r="AL67" i="22"/>
  <c r="AK68" i="22"/>
  <c r="AL68" i="22"/>
  <c r="AK69" i="22"/>
  <c r="AL69" i="22"/>
  <c r="AK70" i="22"/>
  <c r="AL70" i="22"/>
  <c r="AK71" i="22"/>
  <c r="AL71" i="22"/>
  <c r="AK72" i="22"/>
  <c r="AL72" i="22"/>
  <c r="AK73" i="22"/>
  <c r="AL73" i="22"/>
  <c r="AK74" i="22"/>
  <c r="AL74" i="22"/>
  <c r="AK75" i="22"/>
  <c r="AL75" i="22"/>
  <c r="AK76" i="22"/>
  <c r="AL76" i="22"/>
  <c r="AK77" i="22"/>
  <c r="AL77" i="22"/>
  <c r="AK78" i="22"/>
  <c r="AL78" i="22"/>
  <c r="AK79" i="22"/>
  <c r="AL79" i="22"/>
  <c r="AK80" i="22"/>
  <c r="AL80" i="22"/>
  <c r="AK81" i="22"/>
  <c r="AL81" i="22"/>
  <c r="AK82" i="22"/>
  <c r="AL82" i="22"/>
  <c r="AK83" i="22"/>
  <c r="AL83" i="22"/>
  <c r="AK84" i="22"/>
  <c r="AL84" i="22"/>
  <c r="AK85" i="22"/>
  <c r="AL85" i="22"/>
  <c r="AK86" i="22"/>
  <c r="AL86" i="22"/>
  <c r="AK87" i="22"/>
  <c r="AL87" i="22"/>
  <c r="AK88" i="22"/>
  <c r="AL88" i="22"/>
  <c r="AK89" i="22"/>
  <c r="AL89" i="22"/>
  <c r="AK90" i="22"/>
  <c r="AL90" i="22"/>
  <c r="AK91" i="22"/>
  <c r="AL91" i="22"/>
  <c r="AK92" i="22"/>
  <c r="AL92" i="22"/>
  <c r="AK93" i="22"/>
  <c r="AL93" i="22"/>
  <c r="AK94" i="22"/>
  <c r="AL94" i="22"/>
  <c r="AK95" i="22"/>
  <c r="AL95" i="22"/>
  <c r="AK96" i="22"/>
  <c r="AL96" i="22"/>
  <c r="AK97" i="22"/>
  <c r="AL97" i="22"/>
  <c r="AK98" i="22"/>
  <c r="AL98" i="22"/>
  <c r="AK99" i="22"/>
  <c r="AL99" i="22"/>
  <c r="AK100" i="22"/>
  <c r="AL100" i="22"/>
  <c r="AK101" i="22"/>
  <c r="AL101" i="22"/>
  <c r="AK102" i="22"/>
  <c r="AL102" i="22"/>
  <c r="AK103" i="22"/>
  <c r="AL103" i="22"/>
  <c r="AK104" i="22"/>
  <c r="AL104" i="22"/>
  <c r="AK105" i="22"/>
  <c r="AL105" i="22"/>
  <c r="AK106" i="22"/>
  <c r="AL106" i="22"/>
  <c r="AK107" i="22"/>
  <c r="AL107" i="22"/>
  <c r="AK108" i="22"/>
  <c r="AL108" i="22"/>
  <c r="AK109" i="22"/>
  <c r="AL109" i="22"/>
  <c r="AK110" i="22"/>
  <c r="AL110" i="22"/>
  <c r="AK111" i="22"/>
  <c r="AL111" i="22"/>
  <c r="AK112" i="22"/>
  <c r="AL112" i="22"/>
  <c r="AK113" i="22"/>
  <c r="AL113" i="22"/>
  <c r="AK114" i="22"/>
  <c r="AL114" i="22"/>
  <c r="AK115" i="22"/>
  <c r="AL115" i="22"/>
  <c r="AK116" i="22"/>
  <c r="AL116" i="22"/>
  <c r="AK117" i="22"/>
  <c r="AL117" i="22"/>
  <c r="AK118" i="22"/>
  <c r="AL118" i="22"/>
  <c r="AK119" i="22"/>
  <c r="AL119" i="22"/>
  <c r="AK120" i="22"/>
  <c r="AL120" i="22"/>
  <c r="AK121" i="22"/>
  <c r="AL121" i="22"/>
  <c r="AK122" i="22"/>
  <c r="AL122" i="22"/>
  <c r="AK123" i="22"/>
  <c r="AL123" i="22"/>
  <c r="AK124" i="22"/>
  <c r="AL124" i="22"/>
  <c r="B3" i="25"/>
  <c r="B3" i="24"/>
  <c r="B3" i="23"/>
  <c r="B3" i="26"/>
  <c r="Q8" i="22" l="1"/>
  <c r="X124" i="22" l="1"/>
  <c r="W124" i="22"/>
  <c r="X123" i="22"/>
  <c r="W123" i="22"/>
  <c r="X122" i="22"/>
  <c r="W122" i="22"/>
  <c r="X121" i="22"/>
  <c r="W121" i="22"/>
  <c r="X120" i="22"/>
  <c r="W120" i="22"/>
  <c r="X119" i="22"/>
  <c r="W119" i="22"/>
  <c r="X118" i="22"/>
  <c r="W118" i="22"/>
  <c r="X117" i="22"/>
  <c r="W117" i="22"/>
  <c r="X116" i="22"/>
  <c r="W116" i="22"/>
  <c r="X115" i="22"/>
  <c r="W115" i="22"/>
  <c r="X114" i="22"/>
  <c r="W114" i="22"/>
  <c r="X113" i="22"/>
  <c r="W113" i="22"/>
  <c r="X112" i="22"/>
  <c r="W112" i="22"/>
  <c r="X111" i="22"/>
  <c r="W111" i="22"/>
  <c r="X110" i="22"/>
  <c r="W110" i="22"/>
  <c r="X109" i="22"/>
  <c r="W109" i="22"/>
  <c r="X108" i="22"/>
  <c r="W108" i="22"/>
  <c r="X107" i="22"/>
  <c r="W107" i="22"/>
  <c r="X106" i="22"/>
  <c r="W106" i="22"/>
  <c r="X105" i="22"/>
  <c r="W105" i="22"/>
  <c r="X104" i="22"/>
  <c r="W104" i="22"/>
  <c r="X103" i="22"/>
  <c r="W103" i="22"/>
  <c r="X102" i="22"/>
  <c r="W102" i="22"/>
  <c r="X101" i="22"/>
  <c r="W101" i="22"/>
  <c r="X100" i="22"/>
  <c r="W100" i="22"/>
  <c r="X99" i="22"/>
  <c r="W99" i="22"/>
  <c r="X98" i="22"/>
  <c r="W98" i="22"/>
  <c r="X97" i="22"/>
  <c r="W97" i="22"/>
  <c r="X96" i="22"/>
  <c r="W96" i="22"/>
  <c r="X95" i="22"/>
  <c r="W95" i="22"/>
  <c r="X94" i="22"/>
  <c r="W94" i="22"/>
  <c r="X93" i="22"/>
  <c r="W93" i="22"/>
  <c r="X92" i="22"/>
  <c r="W92" i="22"/>
  <c r="X91" i="22"/>
  <c r="W91" i="22"/>
  <c r="X90" i="22"/>
  <c r="W90" i="22"/>
  <c r="X89" i="22"/>
  <c r="W89" i="22"/>
  <c r="X88" i="22"/>
  <c r="W88" i="22"/>
  <c r="X87" i="22"/>
  <c r="W87" i="22"/>
  <c r="X86" i="22"/>
  <c r="W86" i="22"/>
  <c r="X85" i="22"/>
  <c r="W85" i="22"/>
  <c r="X84" i="22"/>
  <c r="W84" i="22"/>
  <c r="X83" i="22"/>
  <c r="W83" i="22"/>
  <c r="X82" i="22"/>
  <c r="W82" i="22"/>
  <c r="X81" i="22"/>
  <c r="W81" i="22"/>
  <c r="X80" i="22"/>
  <c r="W80" i="22"/>
  <c r="X79" i="22"/>
  <c r="W79" i="22"/>
  <c r="X78" i="22"/>
  <c r="W78" i="22"/>
  <c r="X77" i="22"/>
  <c r="W77" i="22"/>
  <c r="X76" i="22"/>
  <c r="W76" i="22"/>
  <c r="X75" i="22"/>
  <c r="W75" i="22"/>
  <c r="X74" i="22"/>
  <c r="W74" i="22"/>
  <c r="X73" i="22"/>
  <c r="W73" i="22"/>
  <c r="X72" i="22"/>
  <c r="W72" i="22"/>
  <c r="X71" i="22"/>
  <c r="W71" i="22"/>
  <c r="X70" i="22"/>
  <c r="W70" i="22"/>
  <c r="X69" i="22"/>
  <c r="W69" i="22"/>
  <c r="X68" i="22"/>
  <c r="W68" i="22"/>
  <c r="X67" i="22"/>
  <c r="W67" i="22"/>
  <c r="X66" i="22"/>
  <c r="W66" i="22"/>
  <c r="X65" i="22"/>
  <c r="W65" i="22"/>
  <c r="X64" i="22"/>
  <c r="W64" i="22"/>
  <c r="X63" i="22"/>
  <c r="W63" i="22"/>
  <c r="X62" i="22"/>
  <c r="W62" i="22"/>
  <c r="X61" i="22"/>
  <c r="W61" i="22"/>
  <c r="X60" i="22"/>
  <c r="W60" i="22"/>
  <c r="X59" i="22"/>
  <c r="W59" i="22"/>
  <c r="X58" i="22"/>
  <c r="W58" i="22"/>
  <c r="X57" i="22"/>
  <c r="W57" i="22"/>
  <c r="X56" i="22"/>
  <c r="W56" i="22"/>
  <c r="X55" i="22"/>
  <c r="W55" i="22"/>
  <c r="X54" i="22"/>
  <c r="W54" i="22"/>
  <c r="X53" i="22"/>
  <c r="W53" i="22"/>
  <c r="X52" i="22"/>
  <c r="W52" i="22"/>
  <c r="X51" i="22"/>
  <c r="W51" i="22"/>
  <c r="X50" i="22"/>
  <c r="W50" i="22"/>
  <c r="X49" i="22"/>
  <c r="W49" i="22"/>
  <c r="X48" i="22"/>
  <c r="W48" i="22"/>
  <c r="X47" i="22"/>
  <c r="W47" i="22"/>
  <c r="X46" i="22"/>
  <c r="W46" i="22"/>
  <c r="X45" i="22"/>
  <c r="W45" i="22"/>
  <c r="X44" i="22"/>
  <c r="W44" i="22"/>
  <c r="X43" i="22"/>
  <c r="W43" i="22"/>
  <c r="X42" i="22"/>
  <c r="W42" i="22"/>
  <c r="X41" i="22"/>
  <c r="W41" i="22"/>
  <c r="X40" i="22"/>
  <c r="W40" i="22"/>
  <c r="X39" i="22"/>
  <c r="W39" i="22"/>
  <c r="X38" i="22"/>
  <c r="W38" i="22"/>
  <c r="X37" i="22"/>
  <c r="W37" i="22"/>
  <c r="X36" i="22"/>
  <c r="W36" i="22"/>
  <c r="X35" i="22"/>
  <c r="W35" i="22"/>
  <c r="X34" i="22"/>
  <c r="W34" i="22"/>
  <c r="X33" i="22"/>
  <c r="W33" i="22"/>
  <c r="X32" i="22"/>
  <c r="W32" i="22"/>
  <c r="X31" i="22"/>
  <c r="W31" i="22"/>
  <c r="X30" i="22"/>
  <c r="W30" i="22"/>
  <c r="X29" i="22"/>
  <c r="W29" i="22"/>
  <c r="X28" i="22"/>
  <c r="W28" i="22"/>
  <c r="X27" i="22"/>
  <c r="W27" i="22"/>
  <c r="X26" i="22"/>
  <c r="W26" i="22"/>
  <c r="X25" i="22"/>
  <c r="W25" i="22"/>
  <c r="X24" i="22"/>
  <c r="W24" i="22"/>
  <c r="X23" i="22"/>
  <c r="W23" i="22"/>
  <c r="X22" i="22"/>
  <c r="W22" i="22"/>
  <c r="X21" i="22"/>
  <c r="W21" i="22"/>
  <c r="X20" i="22"/>
  <c r="W20" i="22"/>
  <c r="X19" i="22"/>
  <c r="W19" i="22"/>
  <c r="X18" i="22"/>
  <c r="W18" i="22"/>
  <c r="X17" i="22"/>
  <c r="W17" i="22"/>
  <c r="X16" i="22"/>
  <c r="W16" i="22"/>
  <c r="X15" i="22"/>
  <c r="W15" i="22"/>
  <c r="X14" i="22"/>
  <c r="W14" i="22"/>
  <c r="X13" i="22"/>
  <c r="W13" i="22"/>
  <c r="X12" i="22"/>
  <c r="W12" i="22"/>
  <c r="X11" i="22"/>
  <c r="W11" i="22"/>
  <c r="X10" i="22"/>
  <c r="W10" i="22"/>
  <c r="X9" i="22"/>
  <c r="W9" i="22"/>
  <c r="X8" i="22"/>
  <c r="W8" i="22"/>
  <c r="R124" i="22"/>
  <c r="Q124" i="22"/>
  <c r="R123" i="22"/>
  <c r="Q123" i="22"/>
  <c r="R122" i="22"/>
  <c r="Q122" i="22"/>
  <c r="R121" i="22"/>
  <c r="Q121" i="22"/>
  <c r="R120" i="22"/>
  <c r="Q120" i="22"/>
  <c r="R119" i="22"/>
  <c r="Q119" i="22"/>
  <c r="R118" i="22"/>
  <c r="Q118" i="22"/>
  <c r="R117" i="22"/>
  <c r="Q117" i="22"/>
  <c r="R116" i="22"/>
  <c r="Q116" i="22"/>
  <c r="R115" i="22"/>
  <c r="Q115" i="22"/>
  <c r="R114" i="22"/>
  <c r="Q114" i="22"/>
  <c r="R113" i="22"/>
  <c r="Q113" i="22"/>
  <c r="R112" i="22"/>
  <c r="Q112" i="22"/>
  <c r="R111" i="22"/>
  <c r="Q111" i="22"/>
  <c r="R110" i="22"/>
  <c r="Q110" i="22"/>
  <c r="R109" i="22"/>
  <c r="Q109" i="22"/>
  <c r="R108" i="22"/>
  <c r="Q108" i="22"/>
  <c r="R107" i="22"/>
  <c r="Q107" i="22"/>
  <c r="R106" i="22"/>
  <c r="Q106" i="22"/>
  <c r="R105" i="22"/>
  <c r="Q105" i="22"/>
  <c r="R104" i="22"/>
  <c r="Q104" i="22"/>
  <c r="R103" i="22"/>
  <c r="Q103" i="22"/>
  <c r="R102" i="22"/>
  <c r="Q102" i="22"/>
  <c r="R101" i="22"/>
  <c r="Q101" i="22"/>
  <c r="R100" i="22"/>
  <c r="Q100" i="22"/>
  <c r="R99" i="22"/>
  <c r="Q99" i="22"/>
  <c r="R98" i="22"/>
  <c r="Q98" i="22"/>
  <c r="R97" i="22"/>
  <c r="Q97" i="22"/>
  <c r="R96" i="22"/>
  <c r="Q96" i="22"/>
  <c r="R95" i="22"/>
  <c r="Q95" i="22"/>
  <c r="R94" i="22"/>
  <c r="Q94" i="22"/>
  <c r="R93" i="22"/>
  <c r="Q93" i="22"/>
  <c r="R92" i="22"/>
  <c r="Q92" i="22"/>
  <c r="R91" i="22"/>
  <c r="Q91" i="22"/>
  <c r="R90" i="22"/>
  <c r="Q90" i="22"/>
  <c r="R89" i="22"/>
  <c r="Q89" i="22"/>
  <c r="R88" i="22"/>
  <c r="Q88" i="22"/>
  <c r="R87" i="22"/>
  <c r="Q87" i="22"/>
  <c r="R86" i="22"/>
  <c r="Q86" i="22"/>
  <c r="R85" i="22"/>
  <c r="Q85" i="22"/>
  <c r="R84" i="22"/>
  <c r="Q84" i="22"/>
  <c r="R83" i="22"/>
  <c r="Q83" i="22"/>
  <c r="R82" i="22"/>
  <c r="Q82" i="22"/>
  <c r="R81" i="22"/>
  <c r="Q81" i="22"/>
  <c r="R80" i="22"/>
  <c r="Q80" i="22"/>
  <c r="R79" i="22"/>
  <c r="Q79" i="22"/>
  <c r="R78" i="22"/>
  <c r="Q78" i="22"/>
  <c r="R77" i="22"/>
  <c r="Q77" i="22"/>
  <c r="R76" i="22"/>
  <c r="Q76" i="22"/>
  <c r="R75" i="22"/>
  <c r="Q75" i="22"/>
  <c r="R74" i="22"/>
  <c r="Q74" i="22"/>
  <c r="R73" i="22"/>
  <c r="Q73" i="22"/>
  <c r="R72" i="22"/>
  <c r="Q72" i="22"/>
  <c r="R71" i="22"/>
  <c r="Q71" i="22"/>
  <c r="R70" i="22"/>
  <c r="Q70" i="22"/>
  <c r="R69" i="22"/>
  <c r="Q69" i="22"/>
  <c r="R68" i="22"/>
  <c r="Q68" i="22"/>
  <c r="R67" i="22"/>
  <c r="Q67" i="22"/>
  <c r="R66" i="22"/>
  <c r="Q66" i="22"/>
  <c r="R65" i="22"/>
  <c r="Q65" i="22"/>
  <c r="R64" i="22"/>
  <c r="Q64" i="22"/>
  <c r="R63" i="22"/>
  <c r="Q63" i="22"/>
  <c r="R62" i="22"/>
  <c r="Q62" i="22"/>
  <c r="R61" i="22"/>
  <c r="Q61" i="22"/>
  <c r="R60" i="22"/>
  <c r="Q60" i="22"/>
  <c r="R59" i="22"/>
  <c r="Q59" i="22"/>
  <c r="R58" i="22"/>
  <c r="Q58" i="22"/>
  <c r="R57" i="22"/>
  <c r="Q57" i="22"/>
  <c r="R56" i="22"/>
  <c r="Q56" i="22"/>
  <c r="R55" i="22"/>
  <c r="Q55" i="22"/>
  <c r="R54" i="22"/>
  <c r="Q54" i="22"/>
  <c r="R53" i="22"/>
  <c r="Q53" i="22"/>
  <c r="R52" i="22"/>
  <c r="Q52" i="22"/>
  <c r="R51" i="22"/>
  <c r="Q51" i="22"/>
  <c r="R50" i="22"/>
  <c r="Q50" i="22"/>
  <c r="R49" i="22"/>
  <c r="Q49" i="22"/>
  <c r="R48" i="22"/>
  <c r="Q48" i="22"/>
  <c r="R47" i="22"/>
  <c r="Q47" i="22"/>
  <c r="R46" i="22"/>
  <c r="Q46" i="22"/>
  <c r="R45" i="22"/>
  <c r="Q45" i="22"/>
  <c r="R44" i="22"/>
  <c r="Q44" i="22"/>
  <c r="R43" i="22"/>
  <c r="Q43" i="22"/>
  <c r="R42" i="22"/>
  <c r="Q42" i="22"/>
  <c r="R41" i="22"/>
  <c r="Q41" i="22"/>
  <c r="R40" i="22"/>
  <c r="Q40" i="22"/>
  <c r="R39" i="22"/>
  <c r="Q39" i="22"/>
  <c r="R38" i="22"/>
  <c r="Q38" i="22"/>
  <c r="R37" i="22"/>
  <c r="Q37" i="22"/>
  <c r="R36" i="22"/>
  <c r="Q36" i="22"/>
  <c r="R35" i="22"/>
  <c r="Q35" i="22"/>
  <c r="R34" i="22"/>
  <c r="Q34" i="22"/>
  <c r="R33" i="22"/>
  <c r="Q33" i="22"/>
  <c r="R32" i="22"/>
  <c r="Q32" i="22"/>
  <c r="R31" i="22"/>
  <c r="Q31" i="22"/>
  <c r="R30" i="22"/>
  <c r="Q30" i="22"/>
  <c r="R29" i="22"/>
  <c r="Q29" i="22"/>
  <c r="R28" i="22"/>
  <c r="Q28" i="22"/>
  <c r="R27" i="22"/>
  <c r="Q27" i="22"/>
  <c r="R26" i="22"/>
  <c r="Q26" i="22"/>
  <c r="R25" i="22"/>
  <c r="Q25" i="22"/>
  <c r="R24" i="22"/>
  <c r="Q24" i="22"/>
  <c r="R23" i="22"/>
  <c r="Q23" i="22"/>
  <c r="R22" i="22"/>
  <c r="Q22" i="22"/>
  <c r="R21" i="22"/>
  <c r="Q21" i="22"/>
  <c r="R20" i="22"/>
  <c r="Q20" i="22"/>
  <c r="R19" i="22"/>
  <c r="Q19" i="22"/>
  <c r="R18" i="22"/>
  <c r="Q18" i="22"/>
  <c r="R17" i="22"/>
  <c r="Q17" i="22"/>
  <c r="R16" i="22"/>
  <c r="Q16" i="22"/>
  <c r="R15" i="22"/>
  <c r="Q15" i="22"/>
  <c r="R14" i="22"/>
  <c r="Q14" i="22"/>
  <c r="R13" i="22"/>
  <c r="Q13" i="22"/>
  <c r="R12" i="22"/>
  <c r="Q12" i="22"/>
  <c r="R11" i="22"/>
  <c r="Q11" i="22"/>
  <c r="R10" i="22"/>
  <c r="Q10" i="22"/>
  <c r="R9" i="22"/>
  <c r="Q9" i="22"/>
  <c r="R8" i="22"/>
  <c r="AB124" i="22" l="1"/>
  <c r="AA124" i="22"/>
  <c r="Z124" i="22"/>
  <c r="Y124" i="22"/>
  <c r="V124" i="22"/>
  <c r="U124" i="22"/>
  <c r="T124" i="22"/>
  <c r="S124" i="22"/>
  <c r="AB123" i="22"/>
  <c r="AA123" i="22"/>
  <c r="Z123" i="22"/>
  <c r="Y123" i="22"/>
  <c r="AB122" i="22"/>
  <c r="AA122" i="22"/>
  <c r="Z122" i="22"/>
  <c r="Y122" i="22"/>
  <c r="AB121" i="22"/>
  <c r="AA121" i="22"/>
  <c r="Z121" i="22"/>
  <c r="Y121" i="22"/>
  <c r="AB120" i="22"/>
  <c r="AA120" i="22"/>
  <c r="Z120" i="22"/>
  <c r="Y120" i="22"/>
  <c r="AB119" i="22"/>
  <c r="AA119" i="22"/>
  <c r="Z119" i="22"/>
  <c r="Y119" i="22"/>
  <c r="AB118" i="22"/>
  <c r="AA118" i="22"/>
  <c r="Z118" i="22"/>
  <c r="Y118" i="22"/>
  <c r="AB117" i="22"/>
  <c r="AA117" i="22"/>
  <c r="Z117" i="22"/>
  <c r="Y117" i="22"/>
  <c r="AB116" i="22"/>
  <c r="AA116" i="22"/>
  <c r="Z116" i="22"/>
  <c r="Y116" i="22"/>
  <c r="AB115" i="22"/>
  <c r="AA115" i="22"/>
  <c r="Z115" i="22"/>
  <c r="Y115" i="22"/>
  <c r="AB114" i="22"/>
  <c r="AA114" i="22"/>
  <c r="Z114" i="22"/>
  <c r="Y114" i="22"/>
  <c r="AB113" i="22"/>
  <c r="AA113" i="22"/>
  <c r="Z113" i="22"/>
  <c r="Y113" i="22"/>
  <c r="AB112" i="22"/>
  <c r="AA112" i="22"/>
  <c r="Z112" i="22"/>
  <c r="Y112" i="22"/>
  <c r="AB111" i="22"/>
  <c r="AA111" i="22"/>
  <c r="Z111" i="22"/>
  <c r="Y111" i="22"/>
  <c r="AB110" i="22"/>
  <c r="AA110" i="22"/>
  <c r="Z110" i="22"/>
  <c r="Y110" i="22"/>
  <c r="AB109" i="22"/>
  <c r="AA109" i="22"/>
  <c r="Z109" i="22"/>
  <c r="Y109" i="22"/>
  <c r="AB108" i="22"/>
  <c r="AA108" i="22"/>
  <c r="Z108" i="22"/>
  <c r="Y108" i="22"/>
  <c r="AB107" i="22"/>
  <c r="AA107" i="22"/>
  <c r="Z107" i="22"/>
  <c r="Y107" i="22"/>
  <c r="AB106" i="22"/>
  <c r="AA106" i="22"/>
  <c r="Z106" i="22"/>
  <c r="Y106" i="22"/>
  <c r="AB105" i="22"/>
  <c r="AA105" i="22"/>
  <c r="Z105" i="22"/>
  <c r="Y105" i="22"/>
  <c r="AB104" i="22"/>
  <c r="AA104" i="22"/>
  <c r="Z104" i="22"/>
  <c r="Y104" i="22"/>
  <c r="AB103" i="22"/>
  <c r="AA103" i="22"/>
  <c r="Z103" i="22"/>
  <c r="Y103" i="22"/>
  <c r="AB102" i="22"/>
  <c r="AA102" i="22"/>
  <c r="Z102" i="22"/>
  <c r="Y102" i="22"/>
  <c r="AB101" i="22"/>
  <c r="AA101" i="22"/>
  <c r="Z101" i="22"/>
  <c r="Y101" i="22"/>
  <c r="AB100" i="22"/>
  <c r="AA100" i="22"/>
  <c r="Z100" i="22"/>
  <c r="Y100" i="22"/>
  <c r="AB99" i="22"/>
  <c r="AA99" i="22"/>
  <c r="Z99" i="22"/>
  <c r="Y99" i="22"/>
  <c r="AB98" i="22"/>
  <c r="AA98" i="22"/>
  <c r="Z98" i="22"/>
  <c r="Y98" i="22"/>
  <c r="AB97" i="22"/>
  <c r="AA97" i="22"/>
  <c r="Z97" i="22"/>
  <c r="Y97" i="22"/>
  <c r="AB96" i="22"/>
  <c r="AA96" i="22"/>
  <c r="Z96" i="22"/>
  <c r="Y96" i="22"/>
  <c r="AB95" i="22"/>
  <c r="AA95" i="22"/>
  <c r="Z95" i="22"/>
  <c r="Y95" i="22"/>
  <c r="AB94" i="22"/>
  <c r="AA94" i="22"/>
  <c r="Z94" i="22"/>
  <c r="Y94" i="22"/>
  <c r="AB93" i="22"/>
  <c r="AA93" i="22"/>
  <c r="Z93" i="22"/>
  <c r="Y93" i="22"/>
  <c r="AB92" i="22"/>
  <c r="AA92" i="22"/>
  <c r="Z92" i="22"/>
  <c r="Y92" i="22"/>
  <c r="AB91" i="22"/>
  <c r="AA91" i="22"/>
  <c r="Z91" i="22"/>
  <c r="Y91" i="22"/>
  <c r="AB90" i="22"/>
  <c r="AA90" i="22"/>
  <c r="Z90" i="22"/>
  <c r="Y90" i="22"/>
  <c r="AB89" i="22"/>
  <c r="AA89" i="22"/>
  <c r="Z89" i="22"/>
  <c r="Y89" i="22"/>
  <c r="AB88" i="22"/>
  <c r="AA88" i="22"/>
  <c r="Z88" i="22"/>
  <c r="Y88" i="22"/>
  <c r="AB87" i="22"/>
  <c r="AA87" i="22"/>
  <c r="Z87" i="22"/>
  <c r="Y87" i="22"/>
  <c r="AB86" i="22"/>
  <c r="AA86" i="22"/>
  <c r="Z86" i="22"/>
  <c r="Y86" i="22"/>
  <c r="AB85" i="22"/>
  <c r="AA85" i="22"/>
  <c r="Z85" i="22"/>
  <c r="Y85" i="22"/>
  <c r="AB84" i="22"/>
  <c r="AA84" i="22"/>
  <c r="Z84" i="22"/>
  <c r="Y84" i="22"/>
  <c r="AB83" i="22"/>
  <c r="AA83" i="22"/>
  <c r="Z83" i="22"/>
  <c r="Y83" i="22"/>
  <c r="AB82" i="22"/>
  <c r="AA82" i="22"/>
  <c r="Z82" i="22"/>
  <c r="Y82" i="22"/>
  <c r="AB81" i="22"/>
  <c r="AA81" i="22"/>
  <c r="Z81" i="22"/>
  <c r="Y81" i="22"/>
  <c r="AB80" i="22"/>
  <c r="AA80" i="22"/>
  <c r="Z80" i="22"/>
  <c r="Y80" i="22"/>
  <c r="AB79" i="22"/>
  <c r="AA79" i="22"/>
  <c r="Z79" i="22"/>
  <c r="Y79" i="22"/>
  <c r="AB78" i="22"/>
  <c r="AA78" i="22"/>
  <c r="Z78" i="22"/>
  <c r="Y78" i="22"/>
  <c r="AB77" i="22"/>
  <c r="AA77" i="22"/>
  <c r="Z77" i="22"/>
  <c r="Y77" i="22"/>
  <c r="AB76" i="22"/>
  <c r="AA76" i="22"/>
  <c r="Z76" i="22"/>
  <c r="Y76" i="22"/>
  <c r="AB75" i="22"/>
  <c r="AA75" i="22"/>
  <c r="Z75" i="22"/>
  <c r="Y75" i="22"/>
  <c r="AB74" i="22"/>
  <c r="AA74" i="22"/>
  <c r="Z74" i="22"/>
  <c r="Y74" i="22"/>
  <c r="AB73" i="22"/>
  <c r="AA73" i="22"/>
  <c r="Z73" i="22"/>
  <c r="Y73" i="22"/>
  <c r="AB72" i="22"/>
  <c r="AA72" i="22"/>
  <c r="Z72" i="22"/>
  <c r="Y72" i="22"/>
  <c r="AB71" i="22"/>
  <c r="AA71" i="22"/>
  <c r="Z71" i="22"/>
  <c r="Y71" i="22"/>
  <c r="AB70" i="22"/>
  <c r="AA70" i="22"/>
  <c r="Z70" i="22"/>
  <c r="Y70" i="22"/>
  <c r="AB69" i="22"/>
  <c r="AA69" i="22"/>
  <c r="Z69" i="22"/>
  <c r="Y69" i="22"/>
  <c r="AB68" i="22"/>
  <c r="AA68" i="22"/>
  <c r="Z68" i="22"/>
  <c r="Y68" i="22"/>
  <c r="AB67" i="22"/>
  <c r="AA67" i="22"/>
  <c r="Z67" i="22"/>
  <c r="Y67" i="22"/>
  <c r="AB66" i="22"/>
  <c r="AA66" i="22"/>
  <c r="Z66" i="22"/>
  <c r="Y66" i="22"/>
  <c r="AB65" i="22"/>
  <c r="AA65" i="22"/>
  <c r="Z65" i="22"/>
  <c r="Y65" i="22"/>
  <c r="AB64" i="22"/>
  <c r="AA64" i="22"/>
  <c r="Z64" i="22"/>
  <c r="Y64" i="22"/>
  <c r="AB63" i="22"/>
  <c r="AA63" i="22"/>
  <c r="Z63" i="22"/>
  <c r="Y63" i="22"/>
  <c r="AB62" i="22"/>
  <c r="AA62" i="22"/>
  <c r="Z62" i="22"/>
  <c r="Y62" i="22"/>
  <c r="AB61" i="22"/>
  <c r="AA61" i="22"/>
  <c r="Z61" i="22"/>
  <c r="Y61" i="22"/>
  <c r="AB60" i="22"/>
  <c r="AA60" i="22"/>
  <c r="Z60" i="22"/>
  <c r="Y60" i="22"/>
  <c r="AB59" i="22"/>
  <c r="AA59" i="22"/>
  <c r="Z59" i="22"/>
  <c r="Y59" i="22"/>
  <c r="AB58" i="22"/>
  <c r="AA58" i="22"/>
  <c r="Z58" i="22"/>
  <c r="Y58" i="22"/>
  <c r="AB57" i="22"/>
  <c r="AA57" i="22"/>
  <c r="Z57" i="22"/>
  <c r="Y57" i="22"/>
  <c r="AB56" i="22"/>
  <c r="AA56" i="22"/>
  <c r="Z56" i="22"/>
  <c r="Y56" i="22"/>
  <c r="AB55" i="22"/>
  <c r="AA55" i="22"/>
  <c r="Z55" i="22"/>
  <c r="Y55" i="22"/>
  <c r="AB54" i="22"/>
  <c r="AA54" i="22"/>
  <c r="Z54" i="22"/>
  <c r="Y54" i="22"/>
  <c r="AB53" i="22"/>
  <c r="AA53" i="22"/>
  <c r="Z53" i="22"/>
  <c r="Y53" i="22"/>
  <c r="AB52" i="22"/>
  <c r="AA52" i="22"/>
  <c r="Z52" i="22"/>
  <c r="Y52" i="22"/>
  <c r="AB51" i="22"/>
  <c r="AA51" i="22"/>
  <c r="Z51" i="22"/>
  <c r="Y51" i="22"/>
  <c r="AB50" i="22"/>
  <c r="AA50" i="22"/>
  <c r="Z50" i="22"/>
  <c r="Y50" i="22"/>
  <c r="AB49" i="22"/>
  <c r="AA49" i="22"/>
  <c r="Z49" i="22"/>
  <c r="Y49" i="22"/>
  <c r="AB48" i="22"/>
  <c r="AA48" i="22"/>
  <c r="Z48" i="22"/>
  <c r="Y48" i="22"/>
  <c r="AB47" i="22"/>
  <c r="AA47" i="22"/>
  <c r="Z47" i="22"/>
  <c r="Y47" i="22"/>
  <c r="AB46" i="22"/>
  <c r="AA46" i="22"/>
  <c r="Z46" i="22"/>
  <c r="Y46" i="22"/>
  <c r="AB45" i="22"/>
  <c r="AA45" i="22"/>
  <c r="Z45" i="22"/>
  <c r="Y45" i="22"/>
  <c r="AB44" i="22"/>
  <c r="AA44" i="22"/>
  <c r="Z44" i="22"/>
  <c r="Y44" i="22"/>
  <c r="AB43" i="22"/>
  <c r="AA43" i="22"/>
  <c r="Z43" i="22"/>
  <c r="Y43" i="22"/>
  <c r="AB42" i="22"/>
  <c r="AA42" i="22"/>
  <c r="Z42" i="22"/>
  <c r="Y42" i="22"/>
  <c r="AB41" i="22"/>
  <c r="AA41" i="22"/>
  <c r="Z41" i="22"/>
  <c r="Y41" i="22"/>
  <c r="AB40" i="22"/>
  <c r="AA40" i="22"/>
  <c r="Z40" i="22"/>
  <c r="Y40" i="22"/>
  <c r="AB39" i="22"/>
  <c r="AA39" i="22"/>
  <c r="Z39" i="22"/>
  <c r="Y39" i="22"/>
  <c r="AB38" i="22"/>
  <c r="AA38" i="22"/>
  <c r="Z38" i="22"/>
  <c r="Y38" i="22"/>
  <c r="AB37" i="22"/>
  <c r="AA37" i="22"/>
  <c r="Z37" i="22"/>
  <c r="Y37" i="22"/>
  <c r="AB36" i="22"/>
  <c r="AA36" i="22"/>
  <c r="Z36" i="22"/>
  <c r="Y36" i="22"/>
  <c r="AB35" i="22"/>
  <c r="AA35" i="22"/>
  <c r="Z35" i="22"/>
  <c r="Y35" i="22"/>
  <c r="AB34" i="22"/>
  <c r="AA34" i="22"/>
  <c r="Z34" i="22"/>
  <c r="Y34" i="22"/>
  <c r="AB33" i="22"/>
  <c r="AA33" i="22"/>
  <c r="Z33" i="22"/>
  <c r="Y33" i="22"/>
  <c r="AB32" i="22"/>
  <c r="AA32" i="22"/>
  <c r="Z32" i="22"/>
  <c r="Y32" i="22"/>
  <c r="AB31" i="22"/>
  <c r="AA31" i="22"/>
  <c r="Z31" i="22"/>
  <c r="Y31" i="22"/>
  <c r="AB30" i="22"/>
  <c r="AA30" i="22"/>
  <c r="Z30" i="22"/>
  <c r="Y30" i="22"/>
  <c r="AB29" i="22"/>
  <c r="AA29" i="22"/>
  <c r="Z29" i="22"/>
  <c r="Y29" i="22"/>
  <c r="AB28" i="22"/>
  <c r="AA28" i="22"/>
  <c r="Z28" i="22"/>
  <c r="Y28" i="22"/>
  <c r="AB27" i="22"/>
  <c r="AA27" i="22"/>
  <c r="Z27" i="22"/>
  <c r="Y27" i="22"/>
  <c r="AB26" i="22"/>
  <c r="AA26" i="22"/>
  <c r="Z26" i="22"/>
  <c r="Y26" i="22"/>
  <c r="AB25" i="22"/>
  <c r="AA25" i="22"/>
  <c r="Z25" i="22"/>
  <c r="Y25" i="22"/>
  <c r="AB24" i="22"/>
  <c r="AA24" i="22"/>
  <c r="Z24" i="22"/>
  <c r="Y24" i="22"/>
  <c r="AB23" i="22"/>
  <c r="AA23" i="22"/>
  <c r="Z23" i="22"/>
  <c r="Y23" i="22"/>
  <c r="AB22" i="22"/>
  <c r="AA22" i="22"/>
  <c r="Z22" i="22"/>
  <c r="Y22" i="22"/>
  <c r="AB21" i="22"/>
  <c r="AA21" i="22"/>
  <c r="Z21" i="22"/>
  <c r="Y21" i="22"/>
  <c r="AB20" i="22"/>
  <c r="AA20" i="22"/>
  <c r="Z20" i="22"/>
  <c r="Y20" i="22"/>
  <c r="AB19" i="22"/>
  <c r="AA19" i="22"/>
  <c r="Z19" i="22"/>
  <c r="Y19" i="22"/>
  <c r="AB18" i="22"/>
  <c r="AA18" i="22"/>
  <c r="Z18" i="22"/>
  <c r="Y18" i="22"/>
  <c r="AB17" i="22"/>
  <c r="AA17" i="22"/>
  <c r="Z17" i="22"/>
  <c r="Y17" i="22"/>
  <c r="AB16" i="22"/>
  <c r="AA16" i="22"/>
  <c r="Z16" i="22"/>
  <c r="Y16" i="22"/>
  <c r="AB15" i="22"/>
  <c r="AA15" i="22"/>
  <c r="Z15" i="22"/>
  <c r="Y15" i="22"/>
  <c r="AB14" i="22"/>
  <c r="AA14" i="22"/>
  <c r="Z14" i="22"/>
  <c r="Y14" i="22"/>
  <c r="AB13" i="22"/>
  <c r="AA13" i="22"/>
  <c r="Z13" i="22"/>
  <c r="Y13" i="22"/>
  <c r="AB12" i="22"/>
  <c r="AA12" i="22"/>
  <c r="Z12" i="22"/>
  <c r="Y12" i="22"/>
  <c r="AB11" i="22"/>
  <c r="AA11" i="22"/>
  <c r="Z11" i="22"/>
  <c r="Y11" i="22"/>
  <c r="AB10" i="22"/>
  <c r="AA10" i="22"/>
  <c r="Z10" i="22"/>
  <c r="Y10" i="22"/>
  <c r="AB9" i="22"/>
  <c r="AA9" i="22"/>
  <c r="Z9" i="22"/>
  <c r="Y9" i="22"/>
  <c r="AB8" i="22"/>
  <c r="AA8" i="22"/>
  <c r="Z8" i="22"/>
  <c r="Y8" i="22"/>
  <c r="V123" i="22"/>
  <c r="U123" i="22"/>
  <c r="T123" i="22"/>
  <c r="S123" i="22"/>
  <c r="V122" i="22"/>
  <c r="U122" i="22"/>
  <c r="T122" i="22"/>
  <c r="S122" i="22"/>
  <c r="V121" i="22"/>
  <c r="U121" i="22"/>
  <c r="T121" i="22"/>
  <c r="S121" i="22"/>
  <c r="V120" i="22"/>
  <c r="U120" i="22"/>
  <c r="T120" i="22"/>
  <c r="S120" i="22"/>
  <c r="V119" i="22"/>
  <c r="U119" i="22"/>
  <c r="T119" i="22"/>
  <c r="S119" i="22"/>
  <c r="V118" i="22"/>
  <c r="U118" i="22"/>
  <c r="T118" i="22"/>
  <c r="S118" i="22"/>
  <c r="V117" i="22"/>
  <c r="U117" i="22"/>
  <c r="T117" i="22"/>
  <c r="S117" i="22"/>
  <c r="V116" i="22"/>
  <c r="U116" i="22"/>
  <c r="T116" i="22"/>
  <c r="S116" i="22"/>
  <c r="V115" i="22"/>
  <c r="U115" i="22"/>
  <c r="T115" i="22"/>
  <c r="S115" i="22"/>
  <c r="V114" i="22"/>
  <c r="U114" i="22"/>
  <c r="T114" i="22"/>
  <c r="S114" i="22"/>
  <c r="V113" i="22"/>
  <c r="U113" i="22"/>
  <c r="T113" i="22"/>
  <c r="S113" i="22"/>
  <c r="V112" i="22"/>
  <c r="U112" i="22"/>
  <c r="T112" i="22"/>
  <c r="S112" i="22"/>
  <c r="V111" i="22"/>
  <c r="U111" i="22"/>
  <c r="T111" i="22"/>
  <c r="S111" i="22"/>
  <c r="V110" i="22"/>
  <c r="U110" i="22"/>
  <c r="T110" i="22"/>
  <c r="S110" i="22"/>
  <c r="V109" i="22"/>
  <c r="U109" i="22"/>
  <c r="T109" i="22"/>
  <c r="S109" i="22"/>
  <c r="V108" i="22"/>
  <c r="U108" i="22"/>
  <c r="T108" i="22"/>
  <c r="S108" i="22"/>
  <c r="V107" i="22"/>
  <c r="U107" i="22"/>
  <c r="T107" i="22"/>
  <c r="S107" i="22"/>
  <c r="V106" i="22"/>
  <c r="U106" i="22"/>
  <c r="T106" i="22"/>
  <c r="S106" i="22"/>
  <c r="V105" i="22"/>
  <c r="U105" i="22"/>
  <c r="T105" i="22"/>
  <c r="S105" i="22"/>
  <c r="V104" i="22"/>
  <c r="U104" i="22"/>
  <c r="T104" i="22"/>
  <c r="S104" i="22"/>
  <c r="V103" i="22"/>
  <c r="U103" i="22"/>
  <c r="T103" i="22"/>
  <c r="S103" i="22"/>
  <c r="V102" i="22"/>
  <c r="U102" i="22"/>
  <c r="T102" i="22"/>
  <c r="S102" i="22"/>
  <c r="V101" i="22"/>
  <c r="U101" i="22"/>
  <c r="T101" i="22"/>
  <c r="S101" i="22"/>
  <c r="V100" i="22"/>
  <c r="U100" i="22"/>
  <c r="T100" i="22"/>
  <c r="S100" i="22"/>
  <c r="V99" i="22"/>
  <c r="U99" i="22"/>
  <c r="T99" i="22"/>
  <c r="S99" i="22"/>
  <c r="V98" i="22"/>
  <c r="U98" i="22"/>
  <c r="T98" i="22"/>
  <c r="S98" i="22"/>
  <c r="V97" i="22"/>
  <c r="U97" i="22"/>
  <c r="T97" i="22"/>
  <c r="S97" i="22"/>
  <c r="V96" i="22"/>
  <c r="U96" i="22"/>
  <c r="T96" i="22"/>
  <c r="S96" i="22"/>
  <c r="V95" i="22"/>
  <c r="U95" i="22"/>
  <c r="T95" i="22"/>
  <c r="S95" i="22"/>
  <c r="V94" i="22"/>
  <c r="U94" i="22"/>
  <c r="T94" i="22"/>
  <c r="S94" i="22"/>
  <c r="V93" i="22"/>
  <c r="U93" i="22"/>
  <c r="T93" i="22"/>
  <c r="S93" i="22"/>
  <c r="V92" i="22"/>
  <c r="U92" i="22"/>
  <c r="T92" i="22"/>
  <c r="S92" i="22"/>
  <c r="V91" i="22"/>
  <c r="U91" i="22"/>
  <c r="T91" i="22"/>
  <c r="S91" i="22"/>
  <c r="V90" i="22"/>
  <c r="U90" i="22"/>
  <c r="T90" i="22"/>
  <c r="S90" i="22"/>
  <c r="V89" i="22"/>
  <c r="U89" i="22"/>
  <c r="T89" i="22"/>
  <c r="S89" i="22"/>
  <c r="V88" i="22"/>
  <c r="U88" i="22"/>
  <c r="T88" i="22"/>
  <c r="S88" i="22"/>
  <c r="V87" i="22"/>
  <c r="U87" i="22"/>
  <c r="T87" i="22"/>
  <c r="S87" i="22"/>
  <c r="V86" i="22"/>
  <c r="U86" i="22"/>
  <c r="T86" i="22"/>
  <c r="S86" i="22"/>
  <c r="V85" i="22"/>
  <c r="U85" i="22"/>
  <c r="T85" i="22"/>
  <c r="S85" i="22"/>
  <c r="V84" i="22"/>
  <c r="U84" i="22"/>
  <c r="T84" i="22"/>
  <c r="S84" i="22"/>
  <c r="V83" i="22"/>
  <c r="U83" i="22"/>
  <c r="T83" i="22"/>
  <c r="S83" i="22"/>
  <c r="V82" i="22"/>
  <c r="U82" i="22"/>
  <c r="T82" i="22"/>
  <c r="S82" i="22"/>
  <c r="V81" i="22"/>
  <c r="U81" i="22"/>
  <c r="T81" i="22"/>
  <c r="S81" i="22"/>
  <c r="V80" i="22"/>
  <c r="U80" i="22"/>
  <c r="T80" i="22"/>
  <c r="S80" i="22"/>
  <c r="V79" i="22"/>
  <c r="U79" i="22"/>
  <c r="T79" i="22"/>
  <c r="S79" i="22"/>
  <c r="V78" i="22"/>
  <c r="U78" i="22"/>
  <c r="T78" i="22"/>
  <c r="S78" i="22"/>
  <c r="V77" i="22"/>
  <c r="U77" i="22"/>
  <c r="T77" i="22"/>
  <c r="S77" i="22"/>
  <c r="V76" i="22"/>
  <c r="U76" i="22"/>
  <c r="T76" i="22"/>
  <c r="S76" i="22"/>
  <c r="V75" i="22"/>
  <c r="U75" i="22"/>
  <c r="T75" i="22"/>
  <c r="S75" i="22"/>
  <c r="V74" i="22"/>
  <c r="U74" i="22"/>
  <c r="T74" i="22"/>
  <c r="S74" i="22"/>
  <c r="V73" i="22"/>
  <c r="U73" i="22"/>
  <c r="T73" i="22"/>
  <c r="S73" i="22"/>
  <c r="V72" i="22"/>
  <c r="U72" i="22"/>
  <c r="T72" i="22"/>
  <c r="S72" i="22"/>
  <c r="V71" i="22"/>
  <c r="U71" i="22"/>
  <c r="T71" i="22"/>
  <c r="S71" i="22"/>
  <c r="V70" i="22"/>
  <c r="U70" i="22"/>
  <c r="T70" i="22"/>
  <c r="S70" i="22"/>
  <c r="V69" i="22"/>
  <c r="U69" i="22"/>
  <c r="T69" i="22"/>
  <c r="S69" i="22"/>
  <c r="V68" i="22"/>
  <c r="U68" i="22"/>
  <c r="T68" i="22"/>
  <c r="S68" i="22"/>
  <c r="V67" i="22"/>
  <c r="U67" i="22"/>
  <c r="T67" i="22"/>
  <c r="S67" i="22"/>
  <c r="V66" i="22"/>
  <c r="U66" i="22"/>
  <c r="T66" i="22"/>
  <c r="S66" i="22"/>
  <c r="V65" i="22"/>
  <c r="U65" i="22"/>
  <c r="T65" i="22"/>
  <c r="S65" i="22"/>
  <c r="V64" i="22"/>
  <c r="U64" i="22"/>
  <c r="T64" i="22"/>
  <c r="S64" i="22"/>
  <c r="V63" i="22"/>
  <c r="U63" i="22"/>
  <c r="T63" i="22"/>
  <c r="S63" i="22"/>
  <c r="V62" i="22"/>
  <c r="U62" i="22"/>
  <c r="T62" i="22"/>
  <c r="S62" i="22"/>
  <c r="V61" i="22"/>
  <c r="U61" i="22"/>
  <c r="T61" i="22"/>
  <c r="S61" i="22"/>
  <c r="V60" i="22"/>
  <c r="U60" i="22"/>
  <c r="T60" i="22"/>
  <c r="S60" i="22"/>
  <c r="V59" i="22"/>
  <c r="U59" i="22"/>
  <c r="T59" i="22"/>
  <c r="S59" i="22"/>
  <c r="V58" i="22"/>
  <c r="U58" i="22"/>
  <c r="T58" i="22"/>
  <c r="S58" i="22"/>
  <c r="V57" i="22"/>
  <c r="U57" i="22"/>
  <c r="T57" i="22"/>
  <c r="S57" i="22"/>
  <c r="V56" i="22"/>
  <c r="U56" i="22"/>
  <c r="T56" i="22"/>
  <c r="S56" i="22"/>
  <c r="V55" i="22"/>
  <c r="U55" i="22"/>
  <c r="T55" i="22"/>
  <c r="S55" i="22"/>
  <c r="V54" i="22"/>
  <c r="U54" i="22"/>
  <c r="T54" i="22"/>
  <c r="S54" i="22"/>
  <c r="V53" i="22"/>
  <c r="U53" i="22"/>
  <c r="T53" i="22"/>
  <c r="S53" i="22"/>
  <c r="V52" i="22"/>
  <c r="U52" i="22"/>
  <c r="T52" i="22"/>
  <c r="S52" i="22"/>
  <c r="V51" i="22"/>
  <c r="U51" i="22"/>
  <c r="T51" i="22"/>
  <c r="S51" i="22"/>
  <c r="V50" i="22"/>
  <c r="U50" i="22"/>
  <c r="T50" i="22"/>
  <c r="S50" i="22"/>
  <c r="V49" i="22"/>
  <c r="U49" i="22"/>
  <c r="T49" i="22"/>
  <c r="S49" i="22"/>
  <c r="V48" i="22"/>
  <c r="U48" i="22"/>
  <c r="T48" i="22"/>
  <c r="S48" i="22"/>
  <c r="V47" i="22"/>
  <c r="U47" i="22"/>
  <c r="T47" i="22"/>
  <c r="S47" i="22"/>
  <c r="V46" i="22"/>
  <c r="U46" i="22"/>
  <c r="T46" i="22"/>
  <c r="S46" i="22"/>
  <c r="V45" i="22"/>
  <c r="U45" i="22"/>
  <c r="T45" i="22"/>
  <c r="S45" i="22"/>
  <c r="V44" i="22"/>
  <c r="U44" i="22"/>
  <c r="T44" i="22"/>
  <c r="S44" i="22"/>
  <c r="V43" i="22"/>
  <c r="U43" i="22"/>
  <c r="T43" i="22"/>
  <c r="S43" i="22"/>
  <c r="V42" i="22"/>
  <c r="U42" i="22"/>
  <c r="T42" i="22"/>
  <c r="S42" i="22"/>
  <c r="V41" i="22"/>
  <c r="U41" i="22"/>
  <c r="T41" i="22"/>
  <c r="S41" i="22"/>
  <c r="V40" i="22"/>
  <c r="U40" i="22"/>
  <c r="T40" i="22"/>
  <c r="S40" i="22"/>
  <c r="V39" i="22"/>
  <c r="U39" i="22"/>
  <c r="T39" i="22"/>
  <c r="S39" i="22"/>
  <c r="V38" i="22"/>
  <c r="U38" i="22"/>
  <c r="T38" i="22"/>
  <c r="S38" i="22"/>
  <c r="V37" i="22"/>
  <c r="U37" i="22"/>
  <c r="T37" i="22"/>
  <c r="S37" i="22"/>
  <c r="V36" i="22"/>
  <c r="U36" i="22"/>
  <c r="T36" i="22"/>
  <c r="S36" i="22"/>
  <c r="V35" i="22"/>
  <c r="U35" i="22"/>
  <c r="T35" i="22"/>
  <c r="S35" i="22"/>
  <c r="V34" i="22"/>
  <c r="U34" i="22"/>
  <c r="T34" i="22"/>
  <c r="S34" i="22"/>
  <c r="V33" i="22"/>
  <c r="U33" i="22"/>
  <c r="T33" i="22"/>
  <c r="S33" i="22"/>
  <c r="V32" i="22"/>
  <c r="U32" i="22"/>
  <c r="T32" i="22"/>
  <c r="S32" i="22"/>
  <c r="V31" i="22"/>
  <c r="U31" i="22"/>
  <c r="T31" i="22"/>
  <c r="S31" i="22"/>
  <c r="V30" i="22"/>
  <c r="U30" i="22"/>
  <c r="T30" i="22"/>
  <c r="S30" i="22"/>
  <c r="V29" i="22"/>
  <c r="U29" i="22"/>
  <c r="T29" i="22"/>
  <c r="S29" i="22"/>
  <c r="V28" i="22"/>
  <c r="U28" i="22"/>
  <c r="T28" i="22"/>
  <c r="S28" i="22"/>
  <c r="V27" i="22"/>
  <c r="U27" i="22"/>
  <c r="T27" i="22"/>
  <c r="S27" i="22"/>
  <c r="V26" i="22"/>
  <c r="U26" i="22"/>
  <c r="T26" i="22"/>
  <c r="S26" i="22"/>
  <c r="V25" i="22"/>
  <c r="U25" i="22"/>
  <c r="T25" i="22"/>
  <c r="S25" i="22"/>
  <c r="V24" i="22"/>
  <c r="U24" i="22"/>
  <c r="T24" i="22"/>
  <c r="S24" i="22"/>
  <c r="V23" i="22"/>
  <c r="U23" i="22"/>
  <c r="T23" i="22"/>
  <c r="S23" i="22"/>
  <c r="V22" i="22"/>
  <c r="U22" i="22"/>
  <c r="T22" i="22"/>
  <c r="S22" i="22"/>
  <c r="V21" i="22"/>
  <c r="U21" i="22"/>
  <c r="T21" i="22"/>
  <c r="S21" i="22"/>
  <c r="V20" i="22"/>
  <c r="U20" i="22"/>
  <c r="T20" i="22"/>
  <c r="S20" i="22"/>
  <c r="V19" i="22"/>
  <c r="U19" i="22"/>
  <c r="T19" i="22"/>
  <c r="S19" i="22"/>
  <c r="V18" i="22"/>
  <c r="U18" i="22"/>
  <c r="T18" i="22"/>
  <c r="S18" i="22"/>
  <c r="V17" i="22"/>
  <c r="U17" i="22"/>
  <c r="T17" i="22"/>
  <c r="S17" i="22"/>
  <c r="V16" i="22"/>
  <c r="U16" i="22"/>
  <c r="T16" i="22"/>
  <c r="S16" i="22"/>
  <c r="V15" i="22"/>
  <c r="U15" i="22"/>
  <c r="T15" i="22"/>
  <c r="S15" i="22"/>
  <c r="V14" i="22"/>
  <c r="U14" i="22"/>
  <c r="T14" i="22"/>
  <c r="S14" i="22"/>
  <c r="V13" i="22"/>
  <c r="U13" i="22"/>
  <c r="T13" i="22"/>
  <c r="S13" i="22"/>
  <c r="V12" i="22"/>
  <c r="U12" i="22"/>
  <c r="T12" i="22"/>
  <c r="S12" i="22"/>
  <c r="V11" i="22"/>
  <c r="U11" i="22"/>
  <c r="T11" i="22"/>
  <c r="S11" i="22"/>
  <c r="V10" i="22"/>
  <c r="U10" i="22"/>
  <c r="T10" i="22"/>
  <c r="S10" i="22"/>
  <c r="V9" i="22"/>
  <c r="U9" i="22"/>
  <c r="T9" i="22"/>
  <c r="S9" i="22"/>
  <c r="V8" i="22"/>
  <c r="U8" i="22"/>
  <c r="T8" i="22"/>
  <c r="S8" i="22"/>
  <c r="L126" i="28"/>
  <c r="K126" i="28"/>
  <c r="J126" i="28"/>
  <c r="I126" i="28"/>
  <c r="L125" i="28"/>
  <c r="K125" i="28"/>
  <c r="J125" i="28"/>
  <c r="I125" i="28"/>
  <c r="L124" i="28"/>
  <c r="K124" i="28"/>
  <c r="J124" i="28"/>
  <c r="I124" i="28"/>
  <c r="L123" i="28"/>
  <c r="K123" i="28"/>
  <c r="J123" i="28"/>
  <c r="I123" i="28"/>
  <c r="L122" i="28"/>
  <c r="K122" i="28"/>
  <c r="J122" i="28"/>
  <c r="I122" i="28"/>
  <c r="L121" i="28"/>
  <c r="K121" i="28"/>
  <c r="J121" i="28"/>
  <c r="I121" i="28"/>
  <c r="L120" i="28"/>
  <c r="K120" i="28"/>
  <c r="J120" i="28"/>
  <c r="I120" i="28"/>
  <c r="L119" i="28"/>
  <c r="K119" i="28"/>
  <c r="J119" i="28"/>
  <c r="I119" i="28"/>
  <c r="L118" i="28"/>
  <c r="K118" i="28"/>
  <c r="J118" i="28"/>
  <c r="I118" i="28"/>
  <c r="L117" i="28"/>
  <c r="K117" i="28"/>
  <c r="J117" i="28"/>
  <c r="I117" i="28"/>
  <c r="L116" i="28"/>
  <c r="K116" i="28"/>
  <c r="J116" i="28"/>
  <c r="I116" i="28"/>
  <c r="L115" i="28"/>
  <c r="K115" i="28"/>
  <c r="J115" i="28"/>
  <c r="I115" i="28"/>
  <c r="L114" i="28"/>
  <c r="K114" i="28"/>
  <c r="J114" i="28"/>
  <c r="I114" i="28"/>
  <c r="L113" i="28"/>
  <c r="K113" i="28"/>
  <c r="J113" i="28"/>
  <c r="I113" i="28"/>
  <c r="L112" i="28"/>
  <c r="K112" i="28"/>
  <c r="J112" i="28"/>
  <c r="I112" i="28"/>
  <c r="L111" i="28"/>
  <c r="K111" i="28"/>
  <c r="J111" i="28"/>
  <c r="I111" i="28"/>
  <c r="L110" i="28"/>
  <c r="K110" i="28"/>
  <c r="J110" i="28"/>
  <c r="I110" i="28"/>
  <c r="L109" i="28"/>
  <c r="K109" i="28"/>
  <c r="J109" i="28"/>
  <c r="I109" i="28"/>
  <c r="L108" i="28"/>
  <c r="K108" i="28"/>
  <c r="J108" i="28"/>
  <c r="I108" i="28"/>
  <c r="L107" i="28"/>
  <c r="K107" i="28"/>
  <c r="J107" i="28"/>
  <c r="I107" i="28"/>
  <c r="L106" i="28"/>
  <c r="K106" i="28"/>
  <c r="J106" i="28"/>
  <c r="I106" i="28"/>
  <c r="L105" i="28"/>
  <c r="K105" i="28"/>
  <c r="J105" i="28"/>
  <c r="I105" i="28"/>
  <c r="L104" i="28"/>
  <c r="K104" i="28"/>
  <c r="J104" i="28"/>
  <c r="I104" i="28"/>
  <c r="L103" i="28"/>
  <c r="K103" i="28"/>
  <c r="J103" i="28"/>
  <c r="I103" i="28"/>
  <c r="L102" i="28"/>
  <c r="K102" i="28"/>
  <c r="J102" i="28"/>
  <c r="I102" i="28"/>
  <c r="L101" i="28"/>
  <c r="K101" i="28"/>
  <c r="J101" i="28"/>
  <c r="I101" i="28"/>
  <c r="L100" i="28"/>
  <c r="K100" i="28"/>
  <c r="J100" i="28"/>
  <c r="I100" i="28"/>
  <c r="L99" i="28"/>
  <c r="K99" i="28"/>
  <c r="J99" i="28"/>
  <c r="I99" i="28"/>
  <c r="L98" i="28"/>
  <c r="K98" i="28"/>
  <c r="J98" i="28"/>
  <c r="I98" i="28"/>
  <c r="L97" i="28"/>
  <c r="K97" i="28"/>
  <c r="J97" i="28"/>
  <c r="I97" i="28"/>
  <c r="L96" i="28"/>
  <c r="K96" i="28"/>
  <c r="J96" i="28"/>
  <c r="I96" i="28"/>
  <c r="L95" i="28"/>
  <c r="K95" i="28"/>
  <c r="J95" i="28"/>
  <c r="I95" i="28"/>
  <c r="L94" i="28"/>
  <c r="K94" i="28"/>
  <c r="J94" i="28"/>
  <c r="I94" i="28"/>
  <c r="L93" i="28"/>
  <c r="K93" i="28"/>
  <c r="J93" i="28"/>
  <c r="I93" i="28"/>
  <c r="L92" i="28"/>
  <c r="K92" i="28"/>
  <c r="J92" i="28"/>
  <c r="I92" i="28"/>
  <c r="L91" i="28"/>
  <c r="K91" i="28"/>
  <c r="J91" i="28"/>
  <c r="I91" i="28"/>
  <c r="L90" i="28"/>
  <c r="K90" i="28"/>
  <c r="J90" i="28"/>
  <c r="I90" i="28"/>
  <c r="L89" i="28"/>
  <c r="K89" i="28"/>
  <c r="J89" i="28"/>
  <c r="I89" i="28"/>
  <c r="L88" i="28"/>
  <c r="K88" i="28"/>
  <c r="J88" i="28"/>
  <c r="I88" i="28"/>
  <c r="L87" i="28"/>
  <c r="K87" i="28"/>
  <c r="J87" i="28"/>
  <c r="I87" i="28"/>
  <c r="L86" i="28"/>
  <c r="K86" i="28"/>
  <c r="J86" i="28"/>
  <c r="I86" i="28"/>
  <c r="L85" i="28"/>
  <c r="K85" i="28"/>
  <c r="J85" i="28"/>
  <c r="I85" i="28"/>
  <c r="L84" i="28"/>
  <c r="K84" i="28"/>
  <c r="J84" i="28"/>
  <c r="I84" i="28"/>
  <c r="L83" i="28"/>
  <c r="K83" i="28"/>
  <c r="J83" i="28"/>
  <c r="I83" i="28"/>
  <c r="L82" i="28"/>
  <c r="K82" i="28"/>
  <c r="J82" i="28"/>
  <c r="I82" i="28"/>
  <c r="L81" i="28"/>
  <c r="K81" i="28"/>
  <c r="J81" i="28"/>
  <c r="I81" i="28"/>
  <c r="L80" i="28"/>
  <c r="K80" i="28"/>
  <c r="J80" i="28"/>
  <c r="I80" i="28"/>
  <c r="L79" i="28"/>
  <c r="K79" i="28"/>
  <c r="J79" i="28"/>
  <c r="I79" i="28"/>
  <c r="L78" i="28"/>
  <c r="K78" i="28"/>
  <c r="J78" i="28"/>
  <c r="I78" i="28"/>
  <c r="L77" i="28"/>
  <c r="K77" i="28"/>
  <c r="J77" i="28"/>
  <c r="I77" i="28"/>
  <c r="L76" i="28"/>
  <c r="K76" i="28"/>
  <c r="J76" i="28"/>
  <c r="I76" i="28"/>
  <c r="L75" i="28"/>
  <c r="K75" i="28"/>
  <c r="J75" i="28"/>
  <c r="I75" i="28"/>
  <c r="L74" i="28"/>
  <c r="K74" i="28"/>
  <c r="J74" i="28"/>
  <c r="I74" i="28"/>
  <c r="L73" i="28"/>
  <c r="K73" i="28"/>
  <c r="J73" i="28"/>
  <c r="I73" i="28"/>
  <c r="L72" i="28"/>
  <c r="K72" i="28"/>
  <c r="J72" i="28"/>
  <c r="I72" i="28"/>
  <c r="L71" i="28"/>
  <c r="K71" i="28"/>
  <c r="J71" i="28"/>
  <c r="I71" i="28"/>
  <c r="L70" i="28"/>
  <c r="K70" i="28"/>
  <c r="J70" i="28"/>
  <c r="I70" i="28"/>
  <c r="L69" i="28"/>
  <c r="K69" i="28"/>
  <c r="J69" i="28"/>
  <c r="I69" i="28"/>
  <c r="L68" i="28"/>
  <c r="K68" i="28"/>
  <c r="J68" i="28"/>
  <c r="I68" i="28"/>
  <c r="L67" i="28"/>
  <c r="K67" i="28"/>
  <c r="J67" i="28"/>
  <c r="I67" i="28"/>
  <c r="L66" i="28"/>
  <c r="K66" i="28"/>
  <c r="J66" i="28"/>
  <c r="I66" i="28"/>
  <c r="L65" i="28"/>
  <c r="K65" i="28"/>
  <c r="J65" i="28"/>
  <c r="I65" i="28"/>
  <c r="L64" i="28"/>
  <c r="K64" i="28"/>
  <c r="J64" i="28"/>
  <c r="I64" i="28"/>
  <c r="L63" i="28"/>
  <c r="K63" i="28"/>
  <c r="J63" i="28"/>
  <c r="I63" i="28"/>
  <c r="L62" i="28"/>
  <c r="K62" i="28"/>
  <c r="J62" i="28"/>
  <c r="I62" i="28"/>
  <c r="L61" i="28"/>
  <c r="K61" i="28"/>
  <c r="J61" i="28"/>
  <c r="I61" i="28"/>
  <c r="L60" i="28"/>
  <c r="K60" i="28"/>
  <c r="J60" i="28"/>
  <c r="I60" i="28"/>
  <c r="L59" i="28"/>
  <c r="K59" i="28"/>
  <c r="J59" i="28"/>
  <c r="I59" i="28"/>
  <c r="L58" i="28"/>
  <c r="K58" i="28"/>
  <c r="J58" i="28"/>
  <c r="I58" i="28"/>
  <c r="L57" i="28"/>
  <c r="K57" i="28"/>
  <c r="J57" i="28"/>
  <c r="I57" i="28"/>
  <c r="L56" i="28"/>
  <c r="K56" i="28"/>
  <c r="J56" i="28"/>
  <c r="I56" i="28"/>
  <c r="L55" i="28"/>
  <c r="K55" i="28"/>
  <c r="J55" i="28"/>
  <c r="I55" i="28"/>
  <c r="L54" i="28"/>
  <c r="K54" i="28"/>
  <c r="J54" i="28"/>
  <c r="I54" i="28"/>
  <c r="L53" i="28"/>
  <c r="K53" i="28"/>
  <c r="J53" i="28"/>
  <c r="I53" i="28"/>
  <c r="L52" i="28"/>
  <c r="K52" i="28"/>
  <c r="J52" i="28"/>
  <c r="I52" i="28"/>
  <c r="L51" i="28"/>
  <c r="K51" i="28"/>
  <c r="J51" i="28"/>
  <c r="I51" i="28"/>
  <c r="L50" i="28"/>
  <c r="K50" i="28"/>
  <c r="J50" i="28"/>
  <c r="I50" i="28"/>
  <c r="L49" i="28"/>
  <c r="K49" i="28"/>
  <c r="J49" i="28"/>
  <c r="I49" i="28"/>
  <c r="L48" i="28"/>
  <c r="K48" i="28"/>
  <c r="J48" i="28"/>
  <c r="I48" i="28"/>
  <c r="L47" i="28"/>
  <c r="K47" i="28"/>
  <c r="J47" i="28"/>
  <c r="I47" i="28"/>
  <c r="L46" i="28"/>
  <c r="K46" i="28"/>
  <c r="J46" i="28"/>
  <c r="I46" i="28"/>
  <c r="L45" i="28"/>
  <c r="K45" i="28"/>
  <c r="J45" i="28"/>
  <c r="I45" i="28"/>
  <c r="L44" i="28"/>
  <c r="K44" i="28"/>
  <c r="J44" i="28"/>
  <c r="I44" i="28"/>
  <c r="L43" i="28"/>
  <c r="K43" i="28"/>
  <c r="J43" i="28"/>
  <c r="I43" i="28"/>
  <c r="L42" i="28"/>
  <c r="K42" i="28"/>
  <c r="J42" i="28"/>
  <c r="I42" i="28"/>
  <c r="L41" i="28"/>
  <c r="K41" i="28"/>
  <c r="J41" i="28"/>
  <c r="I41" i="28"/>
  <c r="L40" i="28"/>
  <c r="K40" i="28"/>
  <c r="J40" i="28"/>
  <c r="I40" i="28"/>
  <c r="L39" i="28"/>
  <c r="K39" i="28"/>
  <c r="J39" i="28"/>
  <c r="I39" i="28"/>
  <c r="L38" i="28"/>
  <c r="K38" i="28"/>
  <c r="J38" i="28"/>
  <c r="I38" i="28"/>
  <c r="L37" i="28"/>
  <c r="K37" i="28"/>
  <c r="J37" i="28"/>
  <c r="I37" i="28"/>
  <c r="L36" i="28"/>
  <c r="K36" i="28"/>
  <c r="J36" i="28"/>
  <c r="I36" i="28"/>
  <c r="L35" i="28"/>
  <c r="K35" i="28"/>
  <c r="J35" i="28"/>
  <c r="I35" i="28"/>
  <c r="L34" i="28"/>
  <c r="K34" i="28"/>
  <c r="J34" i="28"/>
  <c r="I34" i="28"/>
  <c r="L33" i="28"/>
  <c r="K33" i="28"/>
  <c r="J33" i="28"/>
  <c r="I33" i="28"/>
  <c r="L32" i="28"/>
  <c r="K32" i="28"/>
  <c r="J32" i="28"/>
  <c r="I32" i="28"/>
  <c r="L31" i="28"/>
  <c r="K31" i="28"/>
  <c r="J31" i="28"/>
  <c r="I31" i="28"/>
  <c r="L30" i="28"/>
  <c r="K30" i="28"/>
  <c r="J30" i="28"/>
  <c r="I30" i="28"/>
  <c r="L29" i="28"/>
  <c r="K29" i="28"/>
  <c r="J29" i="28"/>
  <c r="I29" i="28"/>
  <c r="L28" i="28"/>
  <c r="K28" i="28"/>
  <c r="J28" i="28"/>
  <c r="I28" i="28"/>
  <c r="L27" i="28"/>
  <c r="K27" i="28"/>
  <c r="J27" i="28"/>
  <c r="I27" i="28"/>
  <c r="L26" i="28"/>
  <c r="K26" i="28"/>
  <c r="J26" i="28"/>
  <c r="I26" i="28"/>
  <c r="L25" i="28"/>
  <c r="K25" i="28"/>
  <c r="J25" i="28"/>
  <c r="I25" i="28"/>
  <c r="L24" i="28"/>
  <c r="K24" i="28"/>
  <c r="J24" i="28"/>
  <c r="I24" i="28"/>
  <c r="L23" i="28"/>
  <c r="K23" i="28"/>
  <c r="J23" i="28"/>
  <c r="I23" i="28"/>
  <c r="L22" i="28"/>
  <c r="K22" i="28"/>
  <c r="J22" i="28"/>
  <c r="I22" i="28"/>
  <c r="L21" i="28"/>
  <c r="K21" i="28"/>
  <c r="J21" i="28"/>
  <c r="I21" i="28"/>
  <c r="L20" i="28"/>
  <c r="K20" i="28"/>
  <c r="J20" i="28"/>
  <c r="I20" i="28"/>
  <c r="L19" i="28"/>
  <c r="K19" i="28"/>
  <c r="J19" i="28"/>
  <c r="I19" i="28"/>
  <c r="L18" i="28"/>
  <c r="K18" i="28"/>
  <c r="J18" i="28"/>
  <c r="I18" i="28"/>
  <c r="L17" i="28"/>
  <c r="K17" i="28"/>
  <c r="J17" i="28"/>
  <c r="I17" i="28"/>
  <c r="L16" i="28"/>
  <c r="K16" i="28"/>
  <c r="J16" i="28"/>
  <c r="I16" i="28"/>
  <c r="L15" i="28"/>
  <c r="K15" i="28"/>
  <c r="J15" i="28"/>
  <c r="I15" i="28"/>
  <c r="L14" i="28"/>
  <c r="K14" i="28"/>
  <c r="J14" i="28"/>
  <c r="I14" i="28"/>
  <c r="L13" i="28"/>
  <c r="K13" i="28"/>
  <c r="J13" i="28"/>
  <c r="I13" i="28"/>
  <c r="L12" i="28"/>
  <c r="K12" i="28"/>
  <c r="J12" i="28"/>
  <c r="I12" i="28"/>
  <c r="L11" i="28"/>
  <c r="K11" i="28"/>
  <c r="J11" i="28"/>
  <c r="I11" i="28"/>
  <c r="L10" i="28"/>
  <c r="K10" i="28"/>
  <c r="J10" i="28"/>
  <c r="I10" i="28"/>
  <c r="L9" i="28"/>
  <c r="K9" i="28"/>
  <c r="J9" i="28"/>
  <c r="I9" i="28"/>
  <c r="L8" i="28"/>
  <c r="K8" i="28"/>
  <c r="J8" i="28"/>
  <c r="I8" i="28"/>
  <c r="B123" i="28" l="1"/>
  <c r="B124" i="28" s="1"/>
  <c r="B125" i="28" s="1"/>
  <c r="B126" i="28" s="1"/>
  <c r="B3" i="22"/>
  <c r="B3" i="28"/>
</calcChain>
</file>

<file path=xl/sharedStrings.xml><?xml version="1.0" encoding="utf-8"?>
<sst xmlns="http://schemas.openxmlformats.org/spreadsheetml/2006/main" count="181" uniqueCount="50">
  <si>
    <t>#</t>
  </si>
  <si>
    <t>Date</t>
  </si>
  <si>
    <t>Name</t>
  </si>
  <si>
    <t>Comments</t>
  </si>
  <si>
    <t>Table of Contents</t>
  </si>
  <si>
    <t>Default</t>
  </si>
  <si>
    <t>Go to TOC</t>
  </si>
  <si>
    <t>NONE</t>
  </si>
  <si>
    <t>pol_yr</t>
  </si>
  <si>
    <t>tbl_id</t>
  </si>
  <si>
    <t>gender</t>
  </si>
  <si>
    <t>issue_age</t>
  </si>
  <si>
    <t>Male</t>
  </si>
  <si>
    <t>Statutory Mortality Adjustments</t>
  </si>
  <si>
    <t>Tax Mortality Adjustments</t>
  </si>
  <si>
    <t>Experience Mortality Adjustments</t>
  </si>
  <si>
    <t>Mortality Additions</t>
  </si>
  <si>
    <t>Experience Mortality Additions</t>
  </si>
  <si>
    <t>Female</t>
  </si>
  <si>
    <t>Tax CARVM Mortality Multiples</t>
  </si>
  <si>
    <t>Statutory CARVM Mortality Multiples</t>
  </si>
  <si>
    <t>Purchase Mortality Base Multiples</t>
  </si>
  <si>
    <t>Purch Rate Mortality Adjustments</t>
  </si>
  <si>
    <t>Purch Rate Mortality Multiples</t>
  </si>
  <si>
    <t>attained_age</t>
  </si>
  <si>
    <t>AIG2012IAM</t>
  </si>
  <si>
    <t>gmwb_ind</t>
  </si>
  <si>
    <t>SOA G2 Improvement Factor</t>
  </si>
  <si>
    <t>Company Mortality Multiples</t>
  </si>
  <si>
    <t>Min Luo</t>
  </si>
  <si>
    <t>Peer review this file</t>
  </si>
  <si>
    <t>2012IAM</t>
  </si>
  <si>
    <t>Chad2012IAM</t>
  </si>
  <si>
    <t>AnnGen2012IAM</t>
  </si>
  <si>
    <t>AIG2012IAM_2019</t>
  </si>
  <si>
    <t>AnnGen2012IAM_2019</t>
  </si>
  <si>
    <t>VA2012IAM_2019</t>
  </si>
  <si>
    <t>SOA2012IAM</t>
  </si>
  <si>
    <t>ANB from SOA</t>
  </si>
  <si>
    <t>Used in Plan2020, One line off from SOA</t>
  </si>
  <si>
    <t>ANB converted to ALB, Plan2019</t>
  </si>
  <si>
    <t>Used in Plan2021, from ANBtoALB.xlsx</t>
  </si>
  <si>
    <t>ALB2012IAM</t>
  </si>
  <si>
    <t>ALB2012IAM_60%</t>
  </si>
  <si>
    <t>ALB2012IAM_140%</t>
  </si>
  <si>
    <t>AIG2012IAM_2019_102.5%</t>
  </si>
  <si>
    <t>AIG2012IAM_2019_96%</t>
  </si>
  <si>
    <t>RILA_mort</t>
  </si>
  <si>
    <t>VA AOA Mort: P:\Pricing\VA\R&amp;D\2022\19 202209 RILA\6_Assumptions\AOA_Assumption_Review_Summary_for WTW_ED.xlsx</t>
  </si>
  <si>
    <t>Same as gmwb_ind =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</si>
</sst>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"/>
    <numFmt numFmtId="165" formatCode="0.0000"/>
    <numFmt numFmtId="166" formatCode="0.000"/>
    <numFmt numFmtId="167" formatCode="0.0000000"/>
    <numFmt numFmtId="168" formatCode="0.00000"/>
  </numFmts>
  <fonts count="16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color indexed="64"/>
      <name val="Tahoma"/>
      <family val="2"/>
    </font>
    <font>
      <sz val="8"/>
      <color indexed="12"/>
      <name val="Tahoma"/>
      <family val="2"/>
    </font>
    <font>
      <sz val="8"/>
      <color indexed="64"/>
      <name val="Tahoma"/>
      <family val="2"/>
    </font>
    <font>
      <sz val="8"/>
      <color indexed="17"/>
      <name val="Tahoma"/>
      <family val="2"/>
    </font>
    <font>
      <sz val="8"/>
      <color indexed="17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sz val="10"/>
      <color rgb="FF0000FF"/>
      <name val="Arial"/>
      <family val="2"/>
    </font>
    <font>
      <b/>
      <sz val="10"/>
      <color rgb="FF0000FF"/>
      <name val="Arial"/>
      <family val="2"/>
    </font>
    <font>
      <sz val="10"/>
      <color indexed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8CCE4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/>
      <right style="thin">
        <color rgb="FFA6A6A6"/>
      </right>
      <top/>
      <bottom/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 style="thin">
        <color rgb="FFA6A6A6"/>
      </left>
      <right/>
      <top style="thin">
        <color indexed="64"/>
      </top>
      <bottom style="thin">
        <color rgb="FFA6A6A6"/>
      </bottom>
      <diagonal/>
    </border>
    <border>
      <left/>
      <right style="thin">
        <color rgb="FFA6A6A6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/>
      <top/>
      <bottom style="thin">
        <color auto="1"/>
      </bottom>
      <diagonal/>
    </border>
    <border>
      <left/>
      <right style="thin">
        <color rgb="FFA6A6A6"/>
      </right>
      <top/>
      <bottom style="thin">
        <color auto="1"/>
      </bottom>
      <diagonal/>
    </border>
  </borders>
  <cellStyleXfs count="19">
    <xf numFmtId="0" fontId="0" fillId="0" borderId="0"/>
    <xf numFmtId="0" fontId="2" fillId="3" borderId="0">
      <alignment horizontal="left" vertical="top" wrapText="1"/>
    </xf>
    <xf numFmtId="0" fontId="2" fillId="3" borderId="0">
      <alignment horizontal="left" vertical="top" wrapText="1"/>
    </xf>
    <xf numFmtId="0" fontId="3" fillId="4" borderId="0">
      <alignment horizontal="left" vertical="top" wrapText="1"/>
    </xf>
    <xf numFmtId="0" fontId="4" fillId="4" borderId="0">
      <alignment horizontal="left" vertical="top" wrapText="1"/>
    </xf>
    <xf numFmtId="0" fontId="3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5" fillId="4" borderId="0">
      <alignment horizontal="left" vertical="top" wrapText="1"/>
    </xf>
    <xf numFmtId="0" fontId="6" fillId="4" borderId="0">
      <alignment horizontal="left" vertical="top" wrapText="1"/>
    </xf>
    <xf numFmtId="0" fontId="5" fillId="4" borderId="0">
      <alignment horizontal="left" vertical="top" wrapText="1"/>
    </xf>
    <xf numFmtId="0" fontId="3" fillId="4" borderId="0">
      <alignment horizontal="right" vertical="top" wrapText="1"/>
    </xf>
    <xf numFmtId="0" fontId="3" fillId="4" borderId="0">
      <alignment horizontal="left" vertical="top" wrapText="1"/>
    </xf>
    <xf numFmtId="0" fontId="4" fillId="4" borderId="0">
      <alignment horizontal="left" vertical="top" wrapText="1"/>
    </xf>
    <xf numFmtId="0" fontId="7" fillId="0" borderId="0" applyNumberFormat="0" applyFill="0" applyBorder="0" applyAlignment="0" applyProtection="0"/>
    <xf numFmtId="0" fontId="4" fillId="5" borderId="0">
      <alignment horizontal="left" vertical="top" wrapText="1"/>
    </xf>
    <xf numFmtId="0" fontId="5" fillId="4" borderId="0">
      <alignment horizontal="left" vertical="top" wrapText="1"/>
    </xf>
  </cellStyleXfs>
  <cellXfs count="108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top" wrapText="1"/>
    </xf>
    <xf numFmtId="0" fontId="1" fillId="2" borderId="1" xfId="0" applyFont="1" applyFill="1" applyBorder="1" applyAlignment="1">
      <alignment horizontal="left" vertical="top" wrapText="1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0" fillId="0" borderId="0" xfId="0" applyBorder="1" applyAlignment="1">
      <alignment horizontal="right" vertical="top"/>
    </xf>
    <xf numFmtId="0" fontId="10" fillId="0" borderId="0" xfId="0" applyFont="1" applyBorder="1" applyAlignment="1">
      <alignment horizontal="right" vertical="top"/>
    </xf>
    <xf numFmtId="4" fontId="0" fillId="0" borderId="0" xfId="0" applyNumberFormat="1" applyBorder="1" applyAlignment="1">
      <alignment horizontal="right" vertical="top"/>
    </xf>
    <xf numFmtId="0" fontId="10" fillId="0" borderId="0" xfId="0" applyFont="1" applyBorder="1" applyAlignment="1">
      <alignment horizontal="left" vertical="top"/>
    </xf>
    <xf numFmtId="0" fontId="7" fillId="0" borderId="0" xfId="16" applyFill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1" fillId="0" borderId="0" xfId="0" applyFont="1" applyBorder="1" applyAlignment="1">
      <alignment horizontal="left" vertical="top"/>
    </xf>
    <xf numFmtId="0" fontId="0" fillId="0" borderId="0" xfId="0" applyFill="1" applyBorder="1" applyAlignment="1">
      <alignment horizontal="right" vertical="top"/>
    </xf>
    <xf numFmtId="14" fontId="0" fillId="0" borderId="1" xfId="0" quotePrefix="1" applyNumberFormat="1" applyBorder="1" applyAlignment="1">
      <alignment horizontal="center" vertical="top" wrapText="1"/>
    </xf>
    <xf numFmtId="0" fontId="7" fillId="0" borderId="0" xfId="16" applyAlignment="1">
      <alignment horizontal="left" vertical="top"/>
    </xf>
    <xf numFmtId="164" fontId="0" fillId="0" borderId="0" xfId="0" applyNumberFormat="1" applyBorder="1" applyAlignment="1">
      <alignment horizontal="left" vertical="top"/>
    </xf>
    <xf numFmtId="164" fontId="0" fillId="0" borderId="6" xfId="0" applyNumberFormat="1" applyBorder="1" applyAlignment="1">
      <alignment horizontal="right" vertical="top"/>
    </xf>
    <xf numFmtId="0" fontId="13" fillId="0" borderId="0" xfId="0" applyFont="1"/>
    <xf numFmtId="164" fontId="0" fillId="0" borderId="10" xfId="0" applyNumberFormat="1" applyBorder="1" applyAlignment="1">
      <alignment horizontal="right" vertical="top"/>
    </xf>
    <xf numFmtId="0" fontId="0" fillId="0" borderId="11" xfId="0" applyBorder="1" applyAlignment="1">
      <alignment horizontal="right" vertical="top"/>
    </xf>
    <xf numFmtId="0" fontId="9" fillId="0" borderId="0" xfId="0" applyFont="1" applyAlignment="1"/>
    <xf numFmtId="0" fontId="9" fillId="0" borderId="0" xfId="0" applyFont="1" applyAlignment="1">
      <alignment horizontal="centerContinuous" vertical="center"/>
    </xf>
    <xf numFmtId="0" fontId="1" fillId="2" borderId="0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right" vertical="top"/>
    </xf>
    <xf numFmtId="0" fontId="0" fillId="2" borderId="0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right" vertical="top"/>
    </xf>
    <xf numFmtId="0" fontId="1" fillId="2" borderId="4" xfId="0" applyFont="1" applyFill="1" applyBorder="1" applyAlignment="1">
      <alignment horizontal="right" vertical="top"/>
    </xf>
    <xf numFmtId="0" fontId="0" fillId="2" borderId="5" xfId="0" applyFont="1" applyFill="1" applyBorder="1" applyAlignment="1">
      <alignment horizontal="right" vertical="top"/>
    </xf>
    <xf numFmtId="0" fontId="12" fillId="2" borderId="9" xfId="0" applyFont="1" applyFill="1" applyBorder="1" applyAlignment="1">
      <alignment horizontal="right" vertical="top"/>
    </xf>
    <xf numFmtId="0" fontId="12" fillId="2" borderId="8" xfId="0" applyFont="1" applyFill="1" applyBorder="1" applyAlignment="1">
      <alignment horizontal="right" vertical="top"/>
    </xf>
    <xf numFmtId="0" fontId="1" fillId="6" borderId="0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right" vertical="top"/>
    </xf>
    <xf numFmtId="0" fontId="0" fillId="6" borderId="0" xfId="0" applyFont="1" applyFill="1" applyBorder="1" applyAlignment="1">
      <alignment horizontal="right" vertical="top"/>
    </xf>
    <xf numFmtId="0" fontId="0" fillId="6" borderId="5" xfId="0" applyFont="1" applyFill="1" applyBorder="1" applyAlignment="1">
      <alignment horizontal="right" vertical="top"/>
    </xf>
    <xf numFmtId="0" fontId="12" fillId="6" borderId="9" xfId="0" applyFont="1" applyFill="1" applyBorder="1" applyAlignment="1">
      <alignment horizontal="right" vertical="top"/>
    </xf>
    <xf numFmtId="0" fontId="12" fillId="6" borderId="8" xfId="0" applyFont="1" applyFill="1" applyBorder="1" applyAlignment="1">
      <alignment horizontal="right" vertical="top"/>
    </xf>
    <xf numFmtId="164" fontId="0" fillId="0" borderId="11" xfId="0" applyNumberFormat="1" applyBorder="1" applyAlignment="1">
      <alignment horizontal="right" vertical="top"/>
    </xf>
    <xf numFmtId="0" fontId="10" fillId="0" borderId="0" xfId="0" applyFon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6" borderId="0" xfId="0" applyFill="1" applyAlignment="1">
      <alignment horizontal="center" wrapText="1"/>
    </xf>
    <xf numFmtId="0" fontId="0" fillId="6" borderId="0" xfId="0" applyFill="1" applyAlignment="1">
      <alignment horizontal="center"/>
    </xf>
    <xf numFmtId="0" fontId="12" fillId="6" borderId="9" xfId="0" applyFont="1" applyFill="1" applyBorder="1" applyAlignment="1">
      <alignment horizontal="center" vertical="top"/>
    </xf>
    <xf numFmtId="0" fontId="12" fillId="6" borderId="8" xfId="0" applyFont="1" applyFill="1" applyBorder="1" applyAlignment="1">
      <alignment horizontal="center" vertical="top"/>
    </xf>
    <xf numFmtId="0" fontId="0" fillId="0" borderId="0" xfId="0" applyAlignment="1">
      <alignment horizontal="center"/>
    </xf>
    <xf numFmtId="0" fontId="1" fillId="6" borderId="0" xfId="0" applyFont="1" applyFill="1" applyAlignment="1">
      <alignment horizontal="left"/>
    </xf>
    <xf numFmtId="0" fontId="1" fillId="6" borderId="2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0" xfId="0" applyFont="1" applyFill="1" applyAlignment="1">
      <alignment horizontal="right"/>
    </xf>
    <xf numFmtId="0" fontId="8" fillId="6" borderId="0" xfId="0" applyFont="1" applyFill="1" applyAlignment="1">
      <alignment horizontal="center"/>
    </xf>
    <xf numFmtId="0" fontId="0" fillId="2" borderId="0" xfId="0" applyFont="1" applyFill="1" applyBorder="1" applyAlignment="1">
      <alignment horizontal="center" vertical="top"/>
    </xf>
    <xf numFmtId="0" fontId="0" fillId="2" borderId="5" xfId="0" applyFont="1" applyFill="1" applyBorder="1" applyAlignment="1">
      <alignment horizontal="center" vertical="top"/>
    </xf>
    <xf numFmtId="0" fontId="12" fillId="2" borderId="0" xfId="0" applyFont="1" applyFill="1" applyBorder="1" applyAlignment="1">
      <alignment horizontal="center" vertical="top"/>
    </xf>
    <xf numFmtId="0" fontId="12" fillId="2" borderId="5" xfId="0" applyFont="1" applyFill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165" fontId="8" fillId="0" borderId="0" xfId="0" applyNumberFormat="1" applyFont="1" applyBorder="1" applyAlignment="1">
      <alignment horizontal="center" vertical="top"/>
    </xf>
    <xf numFmtId="0" fontId="12" fillId="2" borderId="4" xfId="0" applyFont="1" applyFill="1" applyBorder="1" applyAlignment="1">
      <alignment horizontal="right" vertical="top"/>
    </xf>
    <xf numFmtId="0" fontId="8" fillId="0" borderId="7" xfId="0" applyFont="1" applyFill="1" applyBorder="1" applyAlignment="1">
      <alignment horizontal="center" vertical="top"/>
    </xf>
    <xf numFmtId="166" fontId="0" fillId="0" borderId="0" xfId="0" applyNumberFormat="1" applyBorder="1" applyAlignment="1">
      <alignment horizontal="center" vertical="top"/>
    </xf>
    <xf numFmtId="0" fontId="12" fillId="6" borderId="4" xfId="0" applyFont="1" applyFill="1" applyBorder="1" applyAlignment="1">
      <alignment horizontal="right" vertical="top"/>
    </xf>
    <xf numFmtId="166" fontId="0" fillId="0" borderId="0" xfId="0" applyNumberFormat="1" applyBorder="1" applyAlignment="1">
      <alignment horizontal="left" vertical="top"/>
    </xf>
    <xf numFmtId="0" fontId="1" fillId="6" borderId="0" xfId="0" applyFont="1" applyFill="1" applyBorder="1" applyAlignment="1">
      <alignment horizontal="center" vertical="top"/>
    </xf>
    <xf numFmtId="0" fontId="0" fillId="6" borderId="0" xfId="0" applyFill="1" applyAlignment="1">
      <alignment horizontal="right" wrapText="1"/>
    </xf>
    <xf numFmtId="0" fontId="0" fillId="6" borderId="0" xfId="0" applyFill="1" applyAlignment="1">
      <alignment horizontal="right"/>
    </xf>
    <xf numFmtId="0" fontId="0" fillId="0" borderId="0" xfId="0"/>
    <xf numFmtId="0" fontId="10" fillId="0" borderId="0" xfId="0" applyFont="1" applyBorder="1" applyAlignment="1">
      <alignment horizontal="right" vertical="top"/>
    </xf>
    <xf numFmtId="0" fontId="0" fillId="0" borderId="11" xfId="0" applyBorder="1" applyAlignment="1">
      <alignment horizontal="right" vertical="top"/>
    </xf>
    <xf numFmtId="0" fontId="0" fillId="6" borderId="0" xfId="0" applyFill="1" applyAlignment="1">
      <alignment horizontal="center" wrapText="1"/>
    </xf>
    <xf numFmtId="0" fontId="0" fillId="2" borderId="0" xfId="0" applyFont="1" applyFill="1" applyBorder="1" applyAlignment="1">
      <alignment horizontal="center" vertical="top"/>
    </xf>
    <xf numFmtId="0" fontId="0" fillId="2" borderId="5" xfId="0" applyFont="1" applyFill="1" applyBorder="1" applyAlignment="1">
      <alignment horizontal="center" vertical="top"/>
    </xf>
    <xf numFmtId="0" fontId="12" fillId="2" borderId="0" xfId="0" applyFont="1" applyFill="1" applyBorder="1" applyAlignment="1">
      <alignment horizontal="center" vertical="top"/>
    </xf>
    <xf numFmtId="0" fontId="12" fillId="2" borderId="5" xfId="0" applyFont="1" applyFill="1" applyBorder="1" applyAlignment="1">
      <alignment horizontal="center" vertical="top"/>
    </xf>
    <xf numFmtId="167" fontId="8" fillId="0" borderId="0" xfId="0" applyNumberFormat="1" applyFont="1" applyBorder="1" applyAlignment="1">
      <alignment horizontal="center" vertical="top"/>
    </xf>
    <xf numFmtId="164" fontId="12" fillId="2" borderId="0" xfId="0" applyNumberFormat="1" applyFont="1" applyFill="1" applyBorder="1" applyAlignment="1">
      <alignment horizontal="center" vertical="top"/>
    </xf>
    <xf numFmtId="164" fontId="12" fillId="2" borderId="5" xfId="0" applyNumberFormat="1" applyFont="1" applyFill="1" applyBorder="1" applyAlignment="1">
      <alignment horizontal="center" vertical="top"/>
    </xf>
    <xf numFmtId="164" fontId="8" fillId="0" borderId="0" xfId="0" applyNumberFormat="1" applyFont="1" applyBorder="1" applyAlignment="1">
      <alignment horizontal="center" vertical="top"/>
    </xf>
    <xf numFmtId="0" fontId="14" fillId="7" borderId="0" xfId="0" applyFont="1" applyFill="1" applyAlignment="1">
      <alignment horizontal="center" wrapText="1"/>
    </xf>
    <xf numFmtId="0" fontId="14" fillId="7" borderId="0" xfId="0" applyFont="1" applyFill="1" applyAlignment="1">
      <alignment horizontal="center"/>
    </xf>
    <xf numFmtId="0" fontId="14" fillId="7" borderId="9" xfId="0" applyFont="1" applyFill="1" applyBorder="1" applyAlignment="1">
      <alignment horizontal="right" vertical="top"/>
    </xf>
    <xf numFmtId="168" fontId="13" fillId="7" borderId="0" xfId="0" applyNumberFormat="1" applyFont="1" applyFill="1" applyAlignment="1">
      <alignment horizontal="center"/>
    </xf>
    <xf numFmtId="168" fontId="13" fillId="7" borderId="0" xfId="0" applyNumberFormat="1" applyFont="1" applyFill="1" applyBorder="1" applyAlignment="1">
      <alignment horizontal="center"/>
    </xf>
    <xf numFmtId="0" fontId="0" fillId="0" borderId="11" xfId="0" applyBorder="1" applyAlignment="1">
      <alignment horizontal="left" vertical="top"/>
    </xf>
    <xf numFmtId="0" fontId="0" fillId="0" borderId="0" xfId="0" applyFill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vertical="center"/>
    </xf>
    <xf numFmtId="0" fontId="0" fillId="8" borderId="0" xfId="0" applyFill="1" applyAlignment="1">
      <alignment horizontal="center" wrapText="1"/>
    </xf>
    <xf numFmtId="0" fontId="0" fillId="8" borderId="0" xfId="0" applyFont="1" applyFill="1" applyBorder="1" applyAlignment="1">
      <alignment horizontal="center" vertical="top"/>
    </xf>
    <xf numFmtId="0" fontId="0" fillId="8" borderId="5" xfId="0" applyFont="1" applyFill="1" applyBorder="1" applyAlignment="1">
      <alignment horizontal="center" vertical="top"/>
    </xf>
    <xf numFmtId="0" fontId="12" fillId="8" borderId="0" xfId="0" applyFont="1" applyFill="1" applyBorder="1" applyAlignment="1">
      <alignment horizontal="center" vertical="top"/>
    </xf>
    <xf numFmtId="167" fontId="8" fillId="9" borderId="0" xfId="0" applyNumberFormat="1" applyFont="1" applyFill="1" applyBorder="1" applyAlignment="1" applyProtection="1">
      <alignment horizontal="center" vertical="top"/>
    </xf>
    <xf numFmtId="0" fontId="15" fillId="9" borderId="0" xfId="0" applyNumberFormat="1" applyFont="1" applyFill="1" applyBorder="1" applyAlignment="1" applyProtection="1">
      <alignment horizontal="center" wrapText="1"/>
    </xf>
    <xf numFmtId="0" fontId="15" fillId="9" borderId="0" xfId="0" applyNumberFormat="1" applyFont="1" applyFill="1" applyBorder="1" applyAlignment="1" applyProtection="1">
      <alignment horizontal="center" vertical="top"/>
    </xf>
    <xf numFmtId="0" fontId="15" fillId="9" borderId="5" xfId="0" applyNumberFormat="1" applyFont="1" applyFill="1" applyBorder="1" applyAlignment="1" applyProtection="1">
      <alignment horizontal="center" vertical="top"/>
    </xf>
    <xf numFmtId="0" fontId="12" fillId="9" borderId="0" xfId="0" applyNumberFormat="1" applyFont="1" applyFill="1" applyBorder="1" applyAlignment="1" applyProtection="1">
      <alignment horizontal="center" vertical="top"/>
    </xf>
    <xf numFmtId="0" fontId="12" fillId="9" borderId="5" xfId="0" applyNumberFormat="1" applyFont="1" applyFill="1" applyBorder="1" applyAlignment="1" applyProtection="1">
      <alignment horizontal="center" vertical="top"/>
    </xf>
    <xf numFmtId="0" fontId="15" fillId="9" borderId="0" xfId="0" applyNumberFormat="1" applyFont="1" applyFill="1" applyBorder="1" applyAlignment="1" applyProtection="1">
      <alignment horizontal="center"/>
    </xf>
    <xf numFmtId="0" fontId="12" fillId="9" borderId="12" xfId="0" applyNumberFormat="1" applyFont="1" applyFill="1" applyBorder="1" applyAlignment="1" applyProtection="1">
      <alignment horizontal="center" vertical="top"/>
    </xf>
    <xf numFmtId="0" fontId="12" fillId="9" borderId="13" xfId="0" applyNumberFormat="1" applyFont="1" applyFill="1" applyBorder="1" applyAlignment="1" applyProtection="1">
      <alignment horizontal="center" vertical="top"/>
    </xf>
    <xf numFmtId="0" fontId="15" fillId="9" borderId="0" xfId="0" applyNumberFormat="1" applyFont="1" applyFill="1" applyBorder="1" applyAlignment="1" applyProtection="1">
      <alignment horizontal="right" vertical="center"/>
    </xf>
    <xf numFmtId="0" fontId="15" fillId="8" borderId="0" xfId="0" applyNumberFormat="1" applyFont="1" applyFill="1" applyBorder="1" applyAlignment="1" applyProtection="1">
      <alignment horizontal="center" vertical="top" wrapText="1"/>
    </xf>
    <xf numFmtId="0" fontId="15" fillId="0" borderId="0" xfId="0" applyNumberFormat="1" applyFont="1" applyFill="1" applyBorder="1" applyAlignment="1" applyProtection="1">
      <alignment horizontal="center" vertical="top" wrapText="1"/>
    </xf>
    <xf numFmtId="0" fontId="15" fillId="8" borderId="0" xfId="0" applyNumberFormat="1" applyFont="1" applyFill="1" applyBorder="1" applyAlignment="1" applyProtection="1">
      <alignment horizontal="left" vertical="top"/>
    </xf>
  </cellXfs>
  <cellStyles count="19">
    <cellStyle name="BodyStyle00" xfId="1" xr:uid="{00000000-0005-0000-0000-000000000000}"/>
    <cellStyle name="BodyStyle01" xfId="2" xr:uid="{00000000-0005-0000-0000-000001000000}"/>
    <cellStyle name="BodyStyle010" xfId="13" xr:uid="{00000000-0005-0000-0000-000002000000}"/>
    <cellStyle name="BodyStyle011_aa_1" xfId="3" xr:uid="{00000000-0005-0000-0000-000003000000}"/>
    <cellStyle name="BodyStyle014_aa" xfId="4" xr:uid="{00000000-0005-0000-0000-000004000000}"/>
    <cellStyle name="BodyStyle015_aa" xfId="5" xr:uid="{00000000-0005-0000-0000-000005000000}"/>
    <cellStyle name="BodyStyle02_aa" xfId="6" xr:uid="{00000000-0005-0000-0000-000006000000}"/>
    <cellStyle name="BodyStyle03_aa" xfId="7" xr:uid="{00000000-0005-0000-0000-000007000000}"/>
    <cellStyle name="BodyStyle04" xfId="14" xr:uid="{00000000-0005-0000-0000-000008000000}"/>
    <cellStyle name="BodyStyle05" xfId="17" xr:uid="{00000000-0005-0000-0000-000009000000}"/>
    <cellStyle name="BodyStyle06" xfId="8" xr:uid="{00000000-0005-0000-0000-00000A000000}"/>
    <cellStyle name="BodyStyle06 2" xfId="9" xr:uid="{00000000-0005-0000-0000-00000B000000}"/>
    <cellStyle name="BodyStyle06 3" xfId="10" xr:uid="{00000000-0005-0000-0000-00000C000000}"/>
    <cellStyle name="BodyStyle06 4" xfId="11" xr:uid="{00000000-0005-0000-0000-00000D000000}"/>
    <cellStyle name="BodyStyle06 4 2" xfId="12" xr:uid="{00000000-0005-0000-0000-00000E000000}"/>
    <cellStyle name="BodyStyle07" xfId="15" xr:uid="{00000000-0005-0000-0000-00000F000000}"/>
    <cellStyle name="BodyStyle08" xfId="18" xr:uid="{00000000-0005-0000-0000-000010000000}"/>
    <cellStyle name="Hyperlink" xfId="16" builtinId="8"/>
    <cellStyle name="Normal" xfId="0" builtinId="0"/>
  </cellStyles>
  <dxfs count="16"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  <dxf>
      <font>
        <color rgb="FF292EFF"/>
      </font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A6A6A6"/>
      <color rgb="FF0000FF"/>
      <color rgb="FF0033CC"/>
      <color rgb="FFA7A7A7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showGridLines="0" zoomScaleNormal="100" workbookViewId="0"/>
  </sheetViews>
  <sheetFormatPr defaultColWidth="9.140625" defaultRowHeight="12.75" x14ac:dyDescent="0.2"/>
  <cols>
    <col min="1" max="1" width="3.7109375" style="9" customWidth="1"/>
    <col min="2" max="3" width="26" style="10" customWidth="1"/>
    <col min="4" max="4" width="100" style="11" customWidth="1"/>
    <col min="5" max="16384" width="9.140625" style="8"/>
  </cols>
  <sheetData>
    <row r="1" spans="1:4" x14ac:dyDescent="0.2">
      <c r="A1" s="1" t="s">
        <v>0</v>
      </c>
      <c r="B1" s="2" t="s">
        <v>1</v>
      </c>
      <c r="C1" s="2" t="s">
        <v>2</v>
      </c>
      <c r="D1" s="3" t="s">
        <v>3</v>
      </c>
    </row>
    <row r="2" spans="1:4" x14ac:dyDescent="0.2">
      <c r="A2" s="6">
        <v>1</v>
      </c>
      <c r="B2" s="4">
        <v>43528</v>
      </c>
      <c r="C2" s="4" t="s">
        <v>29</v>
      </c>
      <c r="D2" s="5" t="s">
        <v>30</v>
      </c>
    </row>
    <row r="3" spans="1:4" x14ac:dyDescent="0.2">
      <c r="A3" s="6"/>
      <c r="B3" s="20"/>
      <c r="C3" s="4"/>
      <c r="D3" s="5"/>
    </row>
    <row r="4" spans="1:4" x14ac:dyDescent="0.2">
      <c r="A4" s="6"/>
      <c r="B4" s="20"/>
      <c r="C4" s="4"/>
      <c r="D4" s="5"/>
    </row>
    <row r="5" spans="1:4" x14ac:dyDescent="0.2">
      <c r="A5" s="6"/>
      <c r="B5" s="20"/>
      <c r="C5" s="7"/>
      <c r="D5" s="5"/>
    </row>
    <row r="6" spans="1:4" x14ac:dyDescent="0.2">
      <c r="A6" s="6"/>
      <c r="B6" s="20"/>
      <c r="C6" s="7"/>
      <c r="D6" s="5"/>
    </row>
    <row r="7" spans="1:4" x14ac:dyDescent="0.2">
      <c r="A7" s="6"/>
      <c r="B7" s="7"/>
      <c r="C7" s="7"/>
      <c r="D7" s="5"/>
    </row>
    <row r="8" spans="1:4" x14ac:dyDescent="0.2">
      <c r="A8" s="6"/>
      <c r="B8" s="7"/>
      <c r="C8" s="7"/>
      <c r="D8" s="5"/>
    </row>
    <row r="9" spans="1:4" x14ac:dyDescent="0.2">
      <c r="A9" s="6"/>
      <c r="B9" s="7"/>
      <c r="C9" s="7"/>
      <c r="D9" s="5"/>
    </row>
    <row r="10" spans="1:4" x14ac:dyDescent="0.2">
      <c r="A10" s="6"/>
      <c r="B10" s="7"/>
      <c r="C10" s="7"/>
      <c r="D10" s="5"/>
    </row>
    <row r="11" spans="1:4" x14ac:dyDescent="0.2">
      <c r="A11" s="6"/>
      <c r="B11" s="7"/>
      <c r="C11" s="7"/>
      <c r="D11" s="5"/>
    </row>
    <row r="12" spans="1:4" x14ac:dyDescent="0.2">
      <c r="A12" s="6"/>
      <c r="B12" s="7"/>
      <c r="C12" s="7"/>
      <c r="D12" s="5"/>
    </row>
    <row r="13" spans="1:4" x14ac:dyDescent="0.2">
      <c r="A13" s="6"/>
      <c r="B13" s="7"/>
      <c r="C13" s="7"/>
      <c r="D13" s="5"/>
    </row>
    <row r="14" spans="1:4" x14ac:dyDescent="0.2">
      <c r="A14" s="6"/>
      <c r="B14" s="7"/>
      <c r="C14" s="7"/>
      <c r="D14" s="5"/>
    </row>
    <row r="15" spans="1:4" x14ac:dyDescent="0.2">
      <c r="A15" s="6"/>
      <c r="B15" s="7"/>
      <c r="C15" s="7"/>
      <c r="D15" s="5"/>
    </row>
    <row r="16" spans="1:4" x14ac:dyDescent="0.2">
      <c r="A16" s="6"/>
      <c r="B16" s="7"/>
      <c r="C16" s="7"/>
      <c r="D16" s="5"/>
    </row>
    <row r="17" spans="1:4" x14ac:dyDescent="0.2">
      <c r="A17" s="6"/>
      <c r="B17" s="7"/>
      <c r="C17" s="7"/>
      <c r="D17" s="5"/>
    </row>
    <row r="18" spans="1:4" x14ac:dyDescent="0.2">
      <c r="A18" s="6"/>
      <c r="B18" s="7"/>
      <c r="C18" s="7"/>
      <c r="D18" s="5"/>
    </row>
    <row r="19" spans="1:4" x14ac:dyDescent="0.2">
      <c r="A19" s="6"/>
      <c r="B19" s="7"/>
      <c r="C19" s="7"/>
      <c r="D19" s="5"/>
    </row>
    <row r="20" spans="1:4" x14ac:dyDescent="0.2">
      <c r="A20" s="6"/>
      <c r="B20" s="7"/>
      <c r="C20" s="7"/>
      <c r="D20" s="5"/>
    </row>
    <row r="21" spans="1:4" x14ac:dyDescent="0.2">
      <c r="A21" s="6"/>
      <c r="B21" s="7"/>
      <c r="C21" s="7"/>
      <c r="D21" s="5"/>
    </row>
    <row r="22" spans="1:4" x14ac:dyDescent="0.2">
      <c r="A22" s="6"/>
      <c r="B22" s="7"/>
      <c r="C22" s="7"/>
      <c r="D22" s="5"/>
    </row>
    <row r="23" spans="1:4" x14ac:dyDescent="0.2">
      <c r="A23" s="6"/>
      <c r="B23" s="7"/>
      <c r="C23" s="7"/>
      <c r="D23" s="5"/>
    </row>
    <row r="24" spans="1:4" x14ac:dyDescent="0.2">
      <c r="A24" s="6"/>
      <c r="B24" s="7"/>
      <c r="C24" s="7"/>
      <c r="D24" s="5"/>
    </row>
    <row r="25" spans="1:4" x14ac:dyDescent="0.2">
      <c r="A25" s="6"/>
      <c r="B25" s="7"/>
      <c r="C25" s="7"/>
      <c r="D25" s="5"/>
    </row>
    <row r="26" spans="1:4" x14ac:dyDescent="0.2">
      <c r="A26" s="6"/>
      <c r="B26" s="7"/>
      <c r="C26" s="7"/>
      <c r="D26" s="5"/>
    </row>
    <row r="27" spans="1:4" x14ac:dyDescent="0.2">
      <c r="A27" s="6"/>
      <c r="B27" s="7"/>
      <c r="C27" s="7"/>
      <c r="D27" s="5"/>
    </row>
    <row r="28" spans="1:4" x14ac:dyDescent="0.2">
      <c r="A28" s="6"/>
      <c r="B28" s="7"/>
      <c r="C28" s="7"/>
      <c r="D28" s="5"/>
    </row>
    <row r="29" spans="1:4" x14ac:dyDescent="0.2">
      <c r="A29" s="6"/>
      <c r="B29" s="7"/>
      <c r="C29" s="7"/>
      <c r="D29" s="5"/>
    </row>
    <row r="30" spans="1:4" x14ac:dyDescent="0.2">
      <c r="A30" s="6"/>
      <c r="B30" s="7"/>
      <c r="C30" s="7"/>
      <c r="D30" s="5"/>
    </row>
    <row r="31" spans="1:4" x14ac:dyDescent="0.2">
      <c r="A31" s="6"/>
      <c r="B31" s="7"/>
      <c r="C31" s="7"/>
      <c r="D31" s="5"/>
    </row>
    <row r="32" spans="1:4" x14ac:dyDescent="0.2">
      <c r="A32" s="6"/>
      <c r="B32" s="7"/>
      <c r="C32" s="7"/>
      <c r="D32" s="5"/>
    </row>
    <row r="33" spans="1:4" x14ac:dyDescent="0.2">
      <c r="A33" s="6"/>
      <c r="B33" s="7"/>
      <c r="C33" s="7"/>
      <c r="D33" s="5"/>
    </row>
    <row r="34" spans="1:4" x14ac:dyDescent="0.2">
      <c r="A34" s="6"/>
      <c r="B34" s="7"/>
      <c r="C34" s="7"/>
      <c r="D34" s="5"/>
    </row>
    <row r="35" spans="1:4" x14ac:dyDescent="0.2">
      <c r="A35" s="6"/>
      <c r="B35" s="7"/>
      <c r="C35" s="7"/>
      <c r="D35" s="5"/>
    </row>
    <row r="36" spans="1:4" x14ac:dyDescent="0.2">
      <c r="A36" s="6"/>
      <c r="B36" s="7"/>
      <c r="C36" s="7"/>
      <c r="D36" s="5"/>
    </row>
    <row r="37" spans="1:4" x14ac:dyDescent="0.2">
      <c r="A37" s="6"/>
      <c r="B37" s="7"/>
      <c r="C37" s="7"/>
      <c r="D37" s="5"/>
    </row>
    <row r="38" spans="1:4" x14ac:dyDescent="0.2">
      <c r="A38" s="6"/>
      <c r="B38" s="7"/>
      <c r="C38" s="7"/>
      <c r="D38" s="5"/>
    </row>
    <row r="39" spans="1:4" x14ac:dyDescent="0.2">
      <c r="A39" s="6"/>
      <c r="B39" s="7"/>
      <c r="C39" s="7"/>
      <c r="D39" s="5"/>
    </row>
    <row r="40" spans="1:4" x14ac:dyDescent="0.2">
      <c r="A40" s="6"/>
      <c r="B40" s="7"/>
      <c r="C40" s="7"/>
      <c r="D40" s="5"/>
    </row>
    <row r="41" spans="1:4" x14ac:dyDescent="0.2">
      <c r="A41" s="6"/>
      <c r="B41" s="7"/>
      <c r="C41" s="7"/>
      <c r="D41" s="5"/>
    </row>
    <row r="42" spans="1:4" x14ac:dyDescent="0.2">
      <c r="A42" s="6"/>
      <c r="B42" s="7"/>
      <c r="C42" s="7"/>
      <c r="D42" s="5"/>
    </row>
    <row r="43" spans="1:4" x14ac:dyDescent="0.2">
      <c r="A43" s="6"/>
      <c r="B43" s="7"/>
      <c r="C43" s="7"/>
      <c r="D43" s="5"/>
    </row>
    <row r="44" spans="1:4" x14ac:dyDescent="0.2">
      <c r="A44" s="6"/>
      <c r="B44" s="7"/>
      <c r="C44" s="7"/>
      <c r="D44" s="5"/>
    </row>
    <row r="45" spans="1:4" x14ac:dyDescent="0.2">
      <c r="A45" s="6"/>
      <c r="B45" s="7"/>
      <c r="C45" s="7"/>
      <c r="D45" s="5"/>
    </row>
    <row r="46" spans="1:4" x14ac:dyDescent="0.2">
      <c r="A46" s="6"/>
      <c r="B46" s="7"/>
      <c r="C46" s="7"/>
      <c r="D46" s="5"/>
    </row>
    <row r="47" spans="1:4" x14ac:dyDescent="0.2">
      <c r="A47" s="6"/>
      <c r="B47" s="7"/>
      <c r="C47" s="7"/>
      <c r="D47" s="5"/>
    </row>
    <row r="48" spans="1:4" x14ac:dyDescent="0.2">
      <c r="A48" s="6"/>
      <c r="B48" s="7"/>
      <c r="C48" s="7"/>
      <c r="D48" s="5"/>
    </row>
    <row r="49" spans="1:4" x14ac:dyDescent="0.2">
      <c r="A49" s="6"/>
      <c r="B49" s="7"/>
      <c r="C49" s="7"/>
      <c r="D49" s="5"/>
    </row>
    <row r="50" spans="1:4" x14ac:dyDescent="0.2">
      <c r="A50" s="6"/>
      <c r="B50" s="7"/>
      <c r="C50" s="7"/>
      <c r="D50" s="5"/>
    </row>
    <row r="51" spans="1:4" x14ac:dyDescent="0.2">
      <c r="A51" s="6"/>
      <c r="B51" s="7"/>
      <c r="C51" s="7"/>
      <c r="D51" s="5"/>
    </row>
    <row r="52" spans="1:4" x14ac:dyDescent="0.2">
      <c r="A52" s="6"/>
      <c r="B52" s="7"/>
      <c r="C52" s="7"/>
      <c r="D52" s="5"/>
    </row>
    <row r="53" spans="1:4" x14ac:dyDescent="0.2">
      <c r="A53" s="6"/>
      <c r="B53" s="7"/>
      <c r="C53" s="7"/>
      <c r="D53" s="5"/>
    </row>
    <row r="54" spans="1:4" x14ac:dyDescent="0.2">
      <c r="A54" s="6"/>
      <c r="B54" s="7"/>
      <c r="C54" s="7"/>
      <c r="D54" s="5"/>
    </row>
    <row r="55" spans="1:4" x14ac:dyDescent="0.2">
      <c r="A55" s="6"/>
      <c r="B55" s="7"/>
      <c r="C55" s="7"/>
      <c r="D55" s="5"/>
    </row>
    <row r="56" spans="1:4" x14ac:dyDescent="0.2">
      <c r="A56" s="6"/>
      <c r="B56" s="7"/>
      <c r="C56" s="7"/>
      <c r="D56" s="5"/>
    </row>
    <row r="57" spans="1:4" x14ac:dyDescent="0.2">
      <c r="A57" s="6"/>
      <c r="B57" s="7"/>
      <c r="C57" s="7"/>
      <c r="D57" s="5"/>
    </row>
    <row r="58" spans="1:4" x14ac:dyDescent="0.2">
      <c r="A58" s="6"/>
      <c r="B58" s="7"/>
      <c r="C58" s="7"/>
      <c r="D58" s="5"/>
    </row>
    <row r="59" spans="1:4" x14ac:dyDescent="0.2">
      <c r="A59" s="6"/>
      <c r="B59" s="7"/>
      <c r="C59" s="7"/>
      <c r="D59" s="5"/>
    </row>
    <row r="60" spans="1:4" x14ac:dyDescent="0.2">
      <c r="A60" s="6"/>
      <c r="B60" s="7"/>
      <c r="C60" s="7"/>
      <c r="D60" s="5"/>
    </row>
    <row r="61" spans="1:4" x14ac:dyDescent="0.2">
      <c r="A61" s="6"/>
      <c r="B61" s="7"/>
      <c r="C61" s="7"/>
      <c r="D61" s="5"/>
    </row>
    <row r="62" spans="1:4" x14ac:dyDescent="0.2">
      <c r="A62" s="6"/>
      <c r="B62" s="7"/>
      <c r="C62" s="7"/>
      <c r="D62" s="5"/>
    </row>
    <row r="63" spans="1:4" x14ac:dyDescent="0.2">
      <c r="A63" s="6"/>
      <c r="B63" s="7"/>
      <c r="C63" s="7"/>
      <c r="D63" s="5"/>
    </row>
    <row r="64" spans="1:4" x14ac:dyDescent="0.2">
      <c r="A64" s="6"/>
      <c r="B64" s="7"/>
      <c r="C64" s="7"/>
      <c r="D64" s="5"/>
    </row>
    <row r="65" spans="1:4" x14ac:dyDescent="0.2">
      <c r="A65" s="6"/>
      <c r="B65" s="7"/>
      <c r="C65" s="7"/>
      <c r="D65" s="5"/>
    </row>
    <row r="66" spans="1:4" x14ac:dyDescent="0.2">
      <c r="A66" s="6"/>
      <c r="B66" s="7"/>
      <c r="C66" s="7"/>
      <c r="D66" s="5"/>
    </row>
    <row r="67" spans="1:4" x14ac:dyDescent="0.2">
      <c r="A67" s="6"/>
      <c r="B67" s="7"/>
      <c r="C67" s="7"/>
      <c r="D67" s="5"/>
    </row>
    <row r="68" spans="1:4" x14ac:dyDescent="0.2">
      <c r="A68" s="6"/>
      <c r="B68" s="7"/>
      <c r="C68" s="7"/>
      <c r="D68" s="5"/>
    </row>
    <row r="69" spans="1:4" x14ac:dyDescent="0.2">
      <c r="A69" s="6"/>
      <c r="B69" s="7"/>
      <c r="C69" s="7"/>
      <c r="D69" s="5"/>
    </row>
    <row r="70" spans="1:4" x14ac:dyDescent="0.2">
      <c r="A70" s="6"/>
      <c r="B70" s="7"/>
      <c r="C70" s="7"/>
      <c r="D70" s="5"/>
    </row>
    <row r="71" spans="1:4" x14ac:dyDescent="0.2">
      <c r="A71" s="6"/>
      <c r="B71" s="7"/>
      <c r="C71" s="7"/>
      <c r="D71" s="5"/>
    </row>
    <row r="72" spans="1:4" x14ac:dyDescent="0.2">
      <c r="A72" s="6"/>
      <c r="B72" s="7"/>
      <c r="C72" s="7"/>
      <c r="D72" s="5"/>
    </row>
    <row r="73" spans="1:4" x14ac:dyDescent="0.2">
      <c r="A73" s="6"/>
      <c r="B73" s="7"/>
      <c r="C73" s="7"/>
      <c r="D73" s="5"/>
    </row>
    <row r="74" spans="1:4" x14ac:dyDescent="0.2">
      <c r="A74" s="6"/>
      <c r="B74" s="7"/>
      <c r="C74" s="7"/>
      <c r="D74" s="5"/>
    </row>
    <row r="75" spans="1:4" x14ac:dyDescent="0.2">
      <c r="A75" s="6"/>
      <c r="B75" s="7"/>
      <c r="C75" s="7"/>
      <c r="D75" s="5"/>
    </row>
    <row r="76" spans="1:4" x14ac:dyDescent="0.2">
      <c r="A76" s="6"/>
      <c r="B76" s="7"/>
      <c r="C76" s="7"/>
      <c r="D76" s="5"/>
    </row>
    <row r="77" spans="1:4" x14ac:dyDescent="0.2">
      <c r="A77" s="6"/>
      <c r="B77" s="7"/>
      <c r="C77" s="7"/>
      <c r="D77" s="5"/>
    </row>
    <row r="78" spans="1:4" x14ac:dyDescent="0.2">
      <c r="A78" s="6"/>
      <c r="B78" s="7"/>
      <c r="C78" s="7"/>
      <c r="D78" s="5"/>
    </row>
    <row r="79" spans="1:4" x14ac:dyDescent="0.2">
      <c r="A79" s="6"/>
      <c r="B79" s="7"/>
      <c r="C79" s="7"/>
      <c r="D79" s="5"/>
    </row>
    <row r="80" spans="1:4" x14ac:dyDescent="0.2">
      <c r="A80" s="6"/>
      <c r="B80" s="7"/>
      <c r="C80" s="7"/>
      <c r="D80" s="5"/>
    </row>
    <row r="81" spans="1:4" x14ac:dyDescent="0.2">
      <c r="A81" s="6"/>
      <c r="B81" s="7"/>
      <c r="C81" s="7"/>
      <c r="D81" s="5"/>
    </row>
    <row r="82" spans="1:4" x14ac:dyDescent="0.2">
      <c r="A82" s="6"/>
      <c r="B82" s="7"/>
      <c r="C82" s="7"/>
      <c r="D82" s="5"/>
    </row>
    <row r="83" spans="1:4" x14ac:dyDescent="0.2">
      <c r="A83" s="6"/>
      <c r="B83" s="7"/>
      <c r="C83" s="7"/>
      <c r="D83" s="5"/>
    </row>
    <row r="84" spans="1:4" x14ac:dyDescent="0.2">
      <c r="A84" s="6"/>
      <c r="B84" s="7"/>
      <c r="C84" s="7"/>
      <c r="D84" s="5"/>
    </row>
    <row r="85" spans="1:4" x14ac:dyDescent="0.2">
      <c r="A85" s="6"/>
      <c r="B85" s="7"/>
      <c r="C85" s="7"/>
      <c r="D85" s="5"/>
    </row>
    <row r="86" spans="1:4" x14ac:dyDescent="0.2">
      <c r="A86" s="6"/>
      <c r="B86" s="7"/>
      <c r="C86" s="7"/>
      <c r="D86" s="5"/>
    </row>
    <row r="87" spans="1:4" x14ac:dyDescent="0.2">
      <c r="A87" s="6"/>
      <c r="B87" s="7"/>
      <c r="C87" s="7"/>
      <c r="D87" s="5"/>
    </row>
    <row r="88" spans="1:4" x14ac:dyDescent="0.2">
      <c r="A88" s="6"/>
      <c r="B88" s="7"/>
      <c r="C88" s="7"/>
      <c r="D88" s="5"/>
    </row>
    <row r="89" spans="1:4" x14ac:dyDescent="0.2">
      <c r="A89" s="6"/>
      <c r="B89" s="7"/>
      <c r="C89" s="7"/>
      <c r="D89" s="5"/>
    </row>
    <row r="90" spans="1:4" x14ac:dyDescent="0.2">
      <c r="A90" s="6"/>
      <c r="B90" s="7"/>
      <c r="C90" s="7"/>
      <c r="D90" s="5"/>
    </row>
    <row r="91" spans="1:4" x14ac:dyDescent="0.2">
      <c r="A91" s="6"/>
      <c r="B91" s="7"/>
      <c r="C91" s="7"/>
      <c r="D91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6"/>
  <sheetViews>
    <sheetView showGridLines="0" zoomScaleNormal="100" workbookViewId="0"/>
  </sheetViews>
  <sheetFormatPr defaultColWidth="15.7109375" defaultRowHeight="12.75" x14ac:dyDescent="0.2"/>
  <cols>
    <col min="1" max="1" width="15.7109375" style="8" customWidth="1"/>
    <col min="2" max="2" width="30.7109375" style="8" customWidth="1"/>
  </cols>
  <sheetData>
    <row r="1" spans="1:3" ht="15.75" customHeight="1" x14ac:dyDescent="0.2">
      <c r="B1" s="28" t="s">
        <v>4</v>
      </c>
    </row>
    <row r="2" spans="1:3" ht="12.75" customHeight="1" x14ac:dyDescent="0.35">
      <c r="A2" s="27"/>
      <c r="B2" s="27"/>
      <c r="C2" s="27"/>
    </row>
    <row r="4" spans="1:3" x14ac:dyDescent="0.2">
      <c r="A4" s="24" t="s">
        <v>13</v>
      </c>
    </row>
    <row r="5" spans="1:3" x14ac:dyDescent="0.2">
      <c r="A5"/>
      <c r="B5" s="21" t="s">
        <v>20</v>
      </c>
    </row>
    <row r="6" spans="1:3" x14ac:dyDescent="0.2">
      <c r="A6"/>
    </row>
    <row r="7" spans="1:3" x14ac:dyDescent="0.2">
      <c r="A7" s="24" t="s">
        <v>14</v>
      </c>
    </row>
    <row r="8" spans="1:3" x14ac:dyDescent="0.2">
      <c r="A8"/>
      <c r="B8" s="21" t="s">
        <v>19</v>
      </c>
    </row>
    <row r="9" spans="1:3" x14ac:dyDescent="0.2">
      <c r="A9"/>
      <c r="B9" s="21"/>
    </row>
    <row r="10" spans="1:3" x14ac:dyDescent="0.2">
      <c r="A10" s="24" t="s">
        <v>22</v>
      </c>
    </row>
    <row r="11" spans="1:3" x14ac:dyDescent="0.2">
      <c r="A11"/>
      <c r="B11" s="21" t="s">
        <v>23</v>
      </c>
    </row>
    <row r="12" spans="1:3" x14ac:dyDescent="0.2">
      <c r="A12"/>
      <c r="B12" s="21"/>
    </row>
    <row r="13" spans="1:3" x14ac:dyDescent="0.2">
      <c r="A13" s="24" t="s">
        <v>15</v>
      </c>
    </row>
    <row r="14" spans="1:3" x14ac:dyDescent="0.2">
      <c r="A14"/>
      <c r="B14" s="21" t="s">
        <v>28</v>
      </c>
    </row>
    <row r="15" spans="1:3" x14ac:dyDescent="0.2">
      <c r="B15" s="21" t="s">
        <v>27</v>
      </c>
    </row>
    <row r="16" spans="1:3" x14ac:dyDescent="0.2">
      <c r="B16" s="21" t="s">
        <v>16</v>
      </c>
    </row>
  </sheetData>
  <hyperlinks>
    <hyperlink ref="B5" location="StatCarvmMortMult" display="Statutory CARVM Mortality Multiples" xr:uid="{00000000-0004-0000-0100-000000000000}"/>
    <hyperlink ref="B8" location="TaxCarvmMortMult" display="Tax CARVM Mortality Multiples" xr:uid="{00000000-0004-0000-0100-000001000000}"/>
    <hyperlink ref="B14" location="MortMult" display="Mortality Multiples" xr:uid="{00000000-0004-0000-0100-000002000000}"/>
    <hyperlink ref="B16" location="MortAddn" display="Mortality Additions" xr:uid="{00000000-0004-0000-0100-000003000000}"/>
    <hyperlink ref="B11" location="PurchMortMult" display="Purch Rate Mortality Multiples" xr:uid="{00000000-0004-0000-0100-000004000000}"/>
    <hyperlink ref="B15" location="mort_improve_pct" display="SOA G2 Improvement Factor" xr:uid="{00000000-0004-0000-0100-000005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I9"/>
  <sheetViews>
    <sheetView showGridLines="0" tabSelected="1" zoomScaleNormal="100" workbookViewId="0">
      <selection activeCell="I24" sqref="I24"/>
    </sheetView>
  </sheetViews>
  <sheetFormatPr defaultColWidth="15.7109375" defaultRowHeight="12.75" x14ac:dyDescent="0.2"/>
  <cols>
    <col min="1" max="1" width="11.5703125" style="17" customWidth="1"/>
    <col min="2" max="2" width="30.7109375" style="17" customWidth="1"/>
    <col min="3" max="5" width="15.7109375" style="12" customWidth="1"/>
    <col min="6" max="16384" width="15.7109375" style="12"/>
  </cols>
  <sheetData>
    <row r="1" spans="1:9" ht="15.75" x14ac:dyDescent="0.2">
      <c r="A1" s="16" t="s">
        <v>6</v>
      </c>
      <c r="B1" s="15" t="s">
        <v>20</v>
      </c>
      <c r="C1" s="13"/>
    </row>
    <row r="2" spans="1:9" ht="12.75" customHeight="1" x14ac:dyDescent="0.2">
      <c r="A2" s="16"/>
      <c r="B2" s="15"/>
      <c r="C2" s="13"/>
    </row>
    <row r="3" spans="1:9" x14ac:dyDescent="0.2">
      <c r="B3" s="18" t="str">
        <f ca="1">GetNameRange(B4)</f>
        <v>StatCarvmMortMult</v>
      </c>
      <c r="C3" s="26"/>
    </row>
    <row r="4" spans="1:9" x14ac:dyDescent="0.2">
      <c r="A4" s="29"/>
      <c r="B4" s="30" t="s">
        <v>9</v>
      </c>
      <c r="C4" s="31" t="s">
        <v>7</v>
      </c>
      <c r="D4" s="32" t="s">
        <v>7</v>
      </c>
    </row>
    <row r="5" spans="1:9" x14ac:dyDescent="0.2">
      <c r="A5" s="29"/>
      <c r="B5" s="33" t="s">
        <v>10</v>
      </c>
      <c r="C5" s="31" t="s">
        <v>12</v>
      </c>
      <c r="D5" s="34" t="s">
        <v>18</v>
      </c>
    </row>
    <row r="6" spans="1:9" x14ac:dyDescent="0.2">
      <c r="A6" s="29"/>
      <c r="B6" s="33" t="s">
        <v>11</v>
      </c>
      <c r="C6" s="31">
        <v>0</v>
      </c>
      <c r="D6" s="34">
        <v>0</v>
      </c>
    </row>
    <row r="7" spans="1:9" x14ac:dyDescent="0.2">
      <c r="A7" s="29" t="s">
        <v>5</v>
      </c>
      <c r="B7" s="62" t="s">
        <v>8</v>
      </c>
      <c r="C7" s="35"/>
      <c r="D7" s="36"/>
    </row>
    <row r="8" spans="1:9" s="19" customFormat="1" x14ac:dyDescent="0.2">
      <c r="A8" s="66">
        <v>1</v>
      </c>
      <c r="B8" s="63">
        <v>1</v>
      </c>
      <c r="C8" s="25">
        <v>1</v>
      </c>
      <c r="D8" s="23">
        <v>1</v>
      </c>
      <c r="E8" s="12"/>
      <c r="F8" s="12"/>
      <c r="G8" s="12"/>
      <c r="H8" s="12"/>
      <c r="I8" s="12"/>
    </row>
    <row r="9" spans="1:9" x14ac:dyDescent="0.2">
      <c r="D9" s="14"/>
    </row>
  </sheetData>
  <conditionalFormatting sqref="C8">
    <cfRule type="cellIs" dxfId="15" priority="3" operator="equal">
      <formula>""</formula>
    </cfRule>
    <cfRule type="cellIs" dxfId="14" priority="4" operator="notEqual">
      <formula>$A8</formula>
    </cfRule>
  </conditionalFormatting>
  <conditionalFormatting sqref="D8">
    <cfRule type="cellIs" dxfId="13" priority="1" operator="equal">
      <formula>""</formula>
    </cfRule>
    <cfRule type="cellIs" dxfId="12" priority="2" operator="notEqual">
      <formula>$A8</formula>
    </cfRule>
  </conditionalFormatting>
  <hyperlinks>
    <hyperlink ref="A1" location="'Table of Contents'!A1" display="Go to TOC" xr:uid="{00000000-0004-0000-0200-000000000000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I9"/>
  <sheetViews>
    <sheetView showGridLines="0" zoomScaleNormal="100" workbookViewId="0">
      <selection activeCell="B4" sqref="B4"/>
    </sheetView>
  </sheetViews>
  <sheetFormatPr defaultColWidth="15.7109375" defaultRowHeight="12.75" x14ac:dyDescent="0.2"/>
  <cols>
    <col min="1" max="1" width="11.5703125" style="17" customWidth="1"/>
    <col min="2" max="2" width="30.7109375" style="17" customWidth="1"/>
    <col min="3" max="5" width="15.7109375" style="12" customWidth="1"/>
    <col min="6" max="16384" width="15.7109375" style="12"/>
  </cols>
  <sheetData>
    <row r="1" spans="1:9" ht="15.75" x14ac:dyDescent="0.2">
      <c r="A1" s="16" t="s">
        <v>6</v>
      </c>
      <c r="B1" s="15" t="s">
        <v>19</v>
      </c>
      <c r="C1" s="13"/>
    </row>
    <row r="2" spans="1:9" ht="12.75" customHeight="1" x14ac:dyDescent="0.2">
      <c r="A2" s="16"/>
      <c r="B2" s="15"/>
      <c r="C2" s="13"/>
    </row>
    <row r="3" spans="1:9" x14ac:dyDescent="0.2">
      <c r="B3" s="18" t="str">
        <f ca="1">GetNameRange(B4)</f>
        <v>TaxCarvmMortMult</v>
      </c>
      <c r="C3" s="26"/>
    </row>
    <row r="4" spans="1:9" x14ac:dyDescent="0.2">
      <c r="A4" s="29"/>
      <c r="B4" s="30" t="s">
        <v>9</v>
      </c>
      <c r="C4" s="31" t="s">
        <v>7</v>
      </c>
      <c r="D4" s="32" t="s">
        <v>7</v>
      </c>
    </row>
    <row r="5" spans="1:9" x14ac:dyDescent="0.2">
      <c r="A5" s="29"/>
      <c r="B5" s="33" t="s">
        <v>10</v>
      </c>
      <c r="C5" s="31" t="s">
        <v>12</v>
      </c>
      <c r="D5" s="34" t="s">
        <v>18</v>
      </c>
    </row>
    <row r="6" spans="1:9" x14ac:dyDescent="0.2">
      <c r="A6" s="29"/>
      <c r="B6" s="33" t="s">
        <v>11</v>
      </c>
      <c r="C6" s="31">
        <v>0</v>
      </c>
      <c r="D6" s="34">
        <v>0</v>
      </c>
    </row>
    <row r="7" spans="1:9" x14ac:dyDescent="0.2">
      <c r="A7" s="60" t="s">
        <v>5</v>
      </c>
      <c r="B7" s="62" t="s">
        <v>8</v>
      </c>
      <c r="C7" s="35"/>
      <c r="D7" s="36"/>
    </row>
    <row r="8" spans="1:9" s="19" customFormat="1" x14ac:dyDescent="0.2">
      <c r="A8" s="64">
        <v>1</v>
      </c>
      <c r="B8" s="63">
        <v>1</v>
      </c>
      <c r="C8" s="25">
        <v>1</v>
      </c>
      <c r="D8" s="23">
        <v>1</v>
      </c>
      <c r="E8" s="12"/>
      <c r="F8" s="12"/>
      <c r="G8" s="12"/>
      <c r="H8" s="12"/>
      <c r="I8" s="12"/>
    </row>
    <row r="9" spans="1:9" x14ac:dyDescent="0.2">
      <c r="D9" s="14"/>
    </row>
  </sheetData>
  <conditionalFormatting sqref="C8">
    <cfRule type="cellIs" dxfId="11" priority="3" operator="equal">
      <formula>""</formula>
    </cfRule>
    <cfRule type="cellIs" dxfId="10" priority="4" operator="notEqual">
      <formula>$A8</formula>
    </cfRule>
  </conditionalFormatting>
  <conditionalFormatting sqref="D8">
    <cfRule type="cellIs" dxfId="9" priority="1" operator="equal">
      <formula>""</formula>
    </cfRule>
    <cfRule type="cellIs" dxfId="8" priority="2" operator="notEqual">
      <formula>$A8</formula>
    </cfRule>
  </conditionalFormatting>
  <hyperlinks>
    <hyperlink ref="A1" location="'Table of Contents'!A1" display="Go to TOC" xr:uid="{00000000-0004-0000-0300-000000000000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I8"/>
  <sheetViews>
    <sheetView showGridLines="0" zoomScaleNormal="100" workbookViewId="0">
      <selection activeCell="F14" sqref="F14"/>
    </sheetView>
  </sheetViews>
  <sheetFormatPr defaultColWidth="15.7109375" defaultRowHeight="12.75" x14ac:dyDescent="0.2"/>
  <cols>
    <col min="1" max="1" width="11.5703125" style="17" customWidth="1"/>
    <col min="2" max="2" width="30.7109375" style="17" customWidth="1"/>
    <col min="3" max="5" width="15.7109375" style="12" customWidth="1"/>
    <col min="6" max="16384" width="15.7109375" style="12"/>
  </cols>
  <sheetData>
    <row r="1" spans="1:9" ht="15.75" x14ac:dyDescent="0.2">
      <c r="A1" s="16" t="s">
        <v>6</v>
      </c>
      <c r="B1" s="15" t="s">
        <v>21</v>
      </c>
      <c r="C1" s="13"/>
    </row>
    <row r="2" spans="1:9" ht="12.75" customHeight="1" x14ac:dyDescent="0.2">
      <c r="A2" s="16"/>
      <c r="B2" s="15"/>
      <c r="C2" s="13"/>
    </row>
    <row r="3" spans="1:9" x14ac:dyDescent="0.2">
      <c r="B3" s="18" t="str">
        <f ca="1">GetNameRange(B4)</f>
        <v>PurchMortMult</v>
      </c>
    </row>
    <row r="4" spans="1:9" x14ac:dyDescent="0.2">
      <c r="A4" s="37"/>
      <c r="B4" s="38" t="s">
        <v>10</v>
      </c>
      <c r="C4" s="39" t="s">
        <v>12</v>
      </c>
      <c r="D4" s="40" t="s">
        <v>18</v>
      </c>
    </row>
    <row r="5" spans="1:9" x14ac:dyDescent="0.2">
      <c r="A5" s="37"/>
      <c r="B5" s="38" t="s">
        <v>11</v>
      </c>
      <c r="C5" s="39">
        <v>0</v>
      </c>
      <c r="D5" s="40">
        <v>0</v>
      </c>
    </row>
    <row r="6" spans="1:9" x14ac:dyDescent="0.2">
      <c r="A6" s="67" t="s">
        <v>5</v>
      </c>
      <c r="B6" s="65" t="s">
        <v>8</v>
      </c>
      <c r="C6" s="41"/>
      <c r="D6" s="42"/>
    </row>
    <row r="7" spans="1:9" x14ac:dyDescent="0.2">
      <c r="A7" s="64">
        <v>1</v>
      </c>
      <c r="B7" s="63">
        <v>1</v>
      </c>
      <c r="C7" s="43">
        <v>1</v>
      </c>
      <c r="D7" s="23">
        <v>1</v>
      </c>
    </row>
    <row r="8" spans="1:9" s="19" customFormat="1" x14ac:dyDescent="0.2">
      <c r="A8" s="17"/>
      <c r="B8" s="17"/>
      <c r="C8" s="12"/>
      <c r="D8" s="14"/>
      <c r="E8" s="12"/>
      <c r="F8" s="12"/>
      <c r="G8" s="12"/>
      <c r="H8" s="12"/>
      <c r="I8" s="12"/>
    </row>
  </sheetData>
  <conditionalFormatting sqref="C7">
    <cfRule type="cellIs" dxfId="7" priority="3" operator="equal">
      <formula>""</formula>
    </cfRule>
    <cfRule type="cellIs" dxfId="6" priority="4" operator="notEqual">
      <formula>$A7</formula>
    </cfRule>
  </conditionalFormatting>
  <conditionalFormatting sqref="D7">
    <cfRule type="cellIs" dxfId="5" priority="1" operator="equal">
      <formula>""</formula>
    </cfRule>
    <cfRule type="cellIs" dxfId="4" priority="2" operator="notEqual">
      <formula>$A7</formula>
    </cfRule>
  </conditionalFormatting>
  <hyperlinks>
    <hyperlink ref="A1" location="'Table of Contents'!A1" display="Go to TOC" xr:uid="{00000000-0004-0000-0400-000000000000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AO124"/>
  <sheetViews>
    <sheetView showGridLines="0" zoomScaleNormal="100" workbookViewId="0">
      <pane xSplit="2" ySplit="7" topLeftCell="Z8" activePane="bottomRight" state="frozen"/>
      <selection pane="topRight" activeCell="C1" sqref="C1"/>
      <selection pane="bottomLeft" activeCell="A8" sqref="A8"/>
      <selection pane="bottomRight" activeCell="AN22" sqref="AN22"/>
    </sheetView>
  </sheetViews>
  <sheetFormatPr defaultColWidth="9.140625" defaultRowHeight="12.75" x14ac:dyDescent="0.2"/>
  <cols>
    <col min="1" max="1" width="11.5703125" style="17" customWidth="1"/>
    <col min="2" max="2" width="18.5703125" style="17" customWidth="1"/>
    <col min="3" max="8" width="15.7109375" style="12"/>
    <col min="9" max="10" width="15.7109375" style="12" customWidth="1"/>
    <col min="11" max="30" width="11.28515625" style="12" customWidth="1"/>
    <col min="31" max="31" width="11.5703125" style="12" customWidth="1"/>
    <col min="32" max="32" width="11.42578125" style="12" customWidth="1"/>
    <col min="33" max="33" width="11.5703125" style="12" customWidth="1"/>
    <col min="34" max="34" width="11.42578125" style="12" customWidth="1"/>
    <col min="35" max="35" width="11.5703125" style="12" customWidth="1"/>
    <col min="36" max="36" width="11.42578125" style="12" customWidth="1"/>
    <col min="37" max="37" width="11.5703125" style="12" customWidth="1"/>
    <col min="38" max="38" width="11.42578125" style="12" customWidth="1"/>
    <col min="39" max="16384" width="9.140625" style="12"/>
  </cols>
  <sheetData>
    <row r="1" spans="1:41" ht="15.75" x14ac:dyDescent="0.2">
      <c r="A1" s="16" t="s">
        <v>6</v>
      </c>
      <c r="B1" s="15" t="s">
        <v>28</v>
      </c>
      <c r="I1" s="13"/>
      <c r="K1" s="70"/>
      <c r="L1" s="70"/>
      <c r="M1" s="71"/>
      <c r="N1" s="70"/>
      <c r="O1" s="70"/>
      <c r="P1" s="70"/>
      <c r="Q1" s="71"/>
      <c r="R1" s="70"/>
      <c r="S1" s="71"/>
      <c r="T1" s="70"/>
      <c r="U1" s="70"/>
      <c r="V1" s="70"/>
      <c r="W1" s="71"/>
      <c r="X1" s="70"/>
      <c r="Y1" s="71"/>
      <c r="Z1" s="70"/>
      <c r="AA1" s="70"/>
      <c r="AB1" s="70"/>
      <c r="AC1" s="70"/>
      <c r="AD1" s="70"/>
      <c r="AE1" s="71"/>
      <c r="AF1" s="70"/>
      <c r="AG1" s="71"/>
      <c r="AH1" s="70"/>
      <c r="AI1" s="71"/>
      <c r="AJ1" s="70"/>
      <c r="AK1" s="71"/>
      <c r="AL1" s="70"/>
    </row>
    <row r="2" spans="1:41" ht="12.75" customHeight="1" x14ac:dyDescent="0.2">
      <c r="A2" s="16"/>
      <c r="B2" s="15"/>
      <c r="I2" s="13"/>
      <c r="K2" s="70"/>
      <c r="L2" s="70"/>
      <c r="M2" s="71"/>
      <c r="N2" s="70"/>
      <c r="O2" s="70"/>
      <c r="P2" s="70"/>
      <c r="Q2" s="71"/>
      <c r="R2" s="70"/>
      <c r="S2" s="71"/>
      <c r="T2" s="70"/>
      <c r="U2" s="70"/>
      <c r="V2" s="70"/>
      <c r="W2" s="71"/>
      <c r="X2" s="70"/>
      <c r="Y2" s="71"/>
      <c r="Z2" s="70"/>
      <c r="AA2" s="70"/>
      <c r="AB2" s="70"/>
      <c r="AC2" s="70"/>
      <c r="AD2" s="70"/>
      <c r="AE2" s="71"/>
      <c r="AF2" s="70"/>
      <c r="AG2" s="71"/>
      <c r="AH2" s="70"/>
      <c r="AI2" s="71"/>
      <c r="AJ2" s="70"/>
      <c r="AK2" s="71"/>
      <c r="AL2" s="70"/>
    </row>
    <row r="3" spans="1:41" x14ac:dyDescent="0.2">
      <c r="B3" s="18" t="str">
        <f ca="1">GetNameRange(B4)</f>
        <v>MortMult</v>
      </c>
      <c r="I3" s="26"/>
      <c r="K3" s="70"/>
      <c r="L3" s="70"/>
      <c r="M3" s="72"/>
      <c r="N3" s="70"/>
      <c r="O3" s="70"/>
      <c r="P3" s="70"/>
      <c r="Q3" s="72"/>
      <c r="R3" s="70"/>
      <c r="S3" s="72"/>
      <c r="T3" s="70"/>
      <c r="U3" s="70"/>
      <c r="V3" s="70"/>
      <c r="W3" s="72"/>
      <c r="X3" s="70"/>
      <c r="Y3" s="72"/>
      <c r="Z3" s="70"/>
      <c r="AA3" s="70"/>
      <c r="AB3" s="70"/>
      <c r="AC3" s="70"/>
      <c r="AD3" s="70"/>
      <c r="AE3" s="72"/>
      <c r="AF3" s="70"/>
      <c r="AG3" s="105" t="s">
        <v>48</v>
      </c>
      <c r="AH3" s="105"/>
      <c r="AI3" s="105"/>
      <c r="AJ3" s="105"/>
      <c r="AK3" s="106" t="s">
        <v>49</v>
      </c>
      <c r="AL3" s="106"/>
    </row>
    <row r="4" spans="1:41" ht="38.25" x14ac:dyDescent="0.2">
      <c r="A4" s="29"/>
      <c r="B4" s="30" t="s">
        <v>9</v>
      </c>
      <c r="C4" s="46" t="s">
        <v>32</v>
      </c>
      <c r="D4" s="46" t="s">
        <v>32</v>
      </c>
      <c r="E4" s="46" t="s">
        <v>33</v>
      </c>
      <c r="F4" s="46" t="s">
        <v>33</v>
      </c>
      <c r="G4" s="46" t="s">
        <v>25</v>
      </c>
      <c r="H4" s="46" t="s">
        <v>25</v>
      </c>
      <c r="I4" s="46" t="s">
        <v>25</v>
      </c>
      <c r="J4" s="46" t="s">
        <v>25</v>
      </c>
      <c r="K4" s="73" t="s">
        <v>34</v>
      </c>
      <c r="L4" s="73" t="s">
        <v>34</v>
      </c>
      <c r="M4" s="73" t="s">
        <v>34</v>
      </c>
      <c r="N4" s="73" t="s">
        <v>34</v>
      </c>
      <c r="O4" s="73" t="s">
        <v>34</v>
      </c>
      <c r="P4" s="73" t="s">
        <v>34</v>
      </c>
      <c r="Q4" s="91" t="s">
        <v>45</v>
      </c>
      <c r="R4" s="91" t="s">
        <v>45</v>
      </c>
      <c r="S4" s="73" t="s">
        <v>45</v>
      </c>
      <c r="T4" s="73" t="s">
        <v>45</v>
      </c>
      <c r="U4" s="73" t="s">
        <v>45</v>
      </c>
      <c r="V4" s="73" t="s">
        <v>45</v>
      </c>
      <c r="W4" s="91" t="s">
        <v>46</v>
      </c>
      <c r="X4" s="91" t="s">
        <v>46</v>
      </c>
      <c r="Y4" s="73" t="s">
        <v>46</v>
      </c>
      <c r="Z4" s="73" t="s">
        <v>46</v>
      </c>
      <c r="AA4" s="73" t="s">
        <v>46</v>
      </c>
      <c r="AB4" s="73" t="s">
        <v>46</v>
      </c>
      <c r="AC4" s="73" t="s">
        <v>36</v>
      </c>
      <c r="AD4" s="73" t="s">
        <v>36</v>
      </c>
      <c r="AE4" s="73" t="s">
        <v>35</v>
      </c>
      <c r="AF4" s="73" t="s">
        <v>35</v>
      </c>
      <c r="AG4" s="96" t="s">
        <v>47</v>
      </c>
      <c r="AH4" s="96" t="s">
        <v>47</v>
      </c>
      <c r="AI4" s="96" t="s">
        <v>47</v>
      </c>
      <c r="AJ4" s="96" t="s">
        <v>47</v>
      </c>
      <c r="AK4" s="96" t="s">
        <v>47</v>
      </c>
      <c r="AL4" s="96" t="s">
        <v>47</v>
      </c>
    </row>
    <row r="5" spans="1:41" x14ac:dyDescent="0.2">
      <c r="A5" s="29"/>
      <c r="B5" s="33" t="s">
        <v>10</v>
      </c>
      <c r="C5" s="56" t="s">
        <v>12</v>
      </c>
      <c r="D5" s="57" t="s">
        <v>18</v>
      </c>
      <c r="E5" s="56" t="s">
        <v>12</v>
      </c>
      <c r="F5" s="57" t="s">
        <v>18</v>
      </c>
      <c r="G5" s="56" t="s">
        <v>12</v>
      </c>
      <c r="H5" s="57" t="s">
        <v>18</v>
      </c>
      <c r="I5" s="56" t="s">
        <v>12</v>
      </c>
      <c r="J5" s="57" t="s">
        <v>18</v>
      </c>
      <c r="K5" s="74" t="s">
        <v>12</v>
      </c>
      <c r="L5" s="75" t="s">
        <v>18</v>
      </c>
      <c r="M5" s="74" t="s">
        <v>12</v>
      </c>
      <c r="N5" s="75" t="s">
        <v>18</v>
      </c>
      <c r="O5" s="74" t="s">
        <v>12</v>
      </c>
      <c r="P5" s="75" t="s">
        <v>18</v>
      </c>
      <c r="Q5" s="92" t="s">
        <v>12</v>
      </c>
      <c r="R5" s="93" t="s">
        <v>18</v>
      </c>
      <c r="S5" s="74" t="s">
        <v>12</v>
      </c>
      <c r="T5" s="75" t="s">
        <v>18</v>
      </c>
      <c r="U5" s="74" t="s">
        <v>12</v>
      </c>
      <c r="V5" s="75" t="s">
        <v>18</v>
      </c>
      <c r="W5" s="92" t="s">
        <v>12</v>
      </c>
      <c r="X5" s="93" t="s">
        <v>18</v>
      </c>
      <c r="Y5" s="74" t="s">
        <v>12</v>
      </c>
      <c r="Z5" s="75" t="s">
        <v>18</v>
      </c>
      <c r="AA5" s="74" t="s">
        <v>12</v>
      </c>
      <c r="AB5" s="75" t="s">
        <v>18</v>
      </c>
      <c r="AC5" s="74" t="s">
        <v>12</v>
      </c>
      <c r="AD5" s="75" t="s">
        <v>18</v>
      </c>
      <c r="AE5" s="74" t="s">
        <v>12</v>
      </c>
      <c r="AF5" s="75" t="s">
        <v>18</v>
      </c>
      <c r="AG5" s="97" t="s">
        <v>12</v>
      </c>
      <c r="AH5" s="98" t="s">
        <v>18</v>
      </c>
      <c r="AI5" s="97" t="s">
        <v>12</v>
      </c>
      <c r="AJ5" s="98" t="s">
        <v>18</v>
      </c>
      <c r="AK5" s="97" t="s">
        <v>12</v>
      </c>
      <c r="AL5" s="98" t="s">
        <v>18</v>
      </c>
    </row>
    <row r="6" spans="1:41" x14ac:dyDescent="0.2">
      <c r="A6" s="60"/>
      <c r="B6" s="33" t="s">
        <v>26</v>
      </c>
      <c r="C6" s="58">
        <v>1</v>
      </c>
      <c r="D6" s="58">
        <v>1</v>
      </c>
      <c r="E6" s="58">
        <v>1</v>
      </c>
      <c r="F6" s="58">
        <v>1</v>
      </c>
      <c r="G6" s="58">
        <v>0</v>
      </c>
      <c r="H6" s="58">
        <v>0</v>
      </c>
      <c r="I6" s="58">
        <v>1</v>
      </c>
      <c r="J6" s="58">
        <v>1</v>
      </c>
      <c r="K6" s="76">
        <v>0</v>
      </c>
      <c r="L6" s="76">
        <v>0</v>
      </c>
      <c r="M6" s="76">
        <v>1</v>
      </c>
      <c r="N6" s="76">
        <v>1</v>
      </c>
      <c r="O6" s="76">
        <v>2</v>
      </c>
      <c r="P6" s="76">
        <v>2</v>
      </c>
      <c r="Q6" s="94">
        <v>0</v>
      </c>
      <c r="R6" s="94">
        <v>0</v>
      </c>
      <c r="S6" s="76">
        <v>1</v>
      </c>
      <c r="T6" s="76">
        <v>1</v>
      </c>
      <c r="U6" s="76">
        <v>2</v>
      </c>
      <c r="V6" s="76">
        <v>2</v>
      </c>
      <c r="W6" s="94">
        <v>0</v>
      </c>
      <c r="X6" s="94">
        <v>0</v>
      </c>
      <c r="Y6" s="76">
        <v>1</v>
      </c>
      <c r="Z6" s="76">
        <v>1</v>
      </c>
      <c r="AA6" s="76">
        <v>2</v>
      </c>
      <c r="AB6" s="76">
        <v>2</v>
      </c>
      <c r="AC6" s="76">
        <v>1</v>
      </c>
      <c r="AD6" s="76">
        <v>1</v>
      </c>
      <c r="AE6" s="76">
        <v>1</v>
      </c>
      <c r="AF6" s="76">
        <v>1</v>
      </c>
      <c r="AG6" s="99">
        <v>0</v>
      </c>
      <c r="AH6" s="99">
        <v>0</v>
      </c>
      <c r="AI6" s="99">
        <v>1</v>
      </c>
      <c r="AJ6" s="99">
        <v>1</v>
      </c>
      <c r="AK6" s="99">
        <v>2</v>
      </c>
      <c r="AL6" s="99">
        <v>2</v>
      </c>
    </row>
    <row r="7" spans="1:41" x14ac:dyDescent="0.2">
      <c r="A7" s="60" t="s">
        <v>5</v>
      </c>
      <c r="B7" s="54" t="s">
        <v>24</v>
      </c>
      <c r="C7" s="58"/>
      <c r="D7" s="59"/>
      <c r="E7" s="79"/>
      <c r="F7" s="80"/>
      <c r="G7" s="58"/>
      <c r="H7" s="59"/>
      <c r="I7" s="58"/>
      <c r="J7" s="59"/>
      <c r="K7" s="76"/>
      <c r="L7" s="77"/>
      <c r="M7" s="76"/>
      <c r="N7" s="77"/>
      <c r="O7" s="76"/>
      <c r="P7" s="77"/>
      <c r="Q7" s="76"/>
      <c r="R7" s="77"/>
      <c r="S7" s="76"/>
      <c r="T7" s="77"/>
      <c r="U7" s="76"/>
      <c r="V7" s="77"/>
      <c r="W7" s="76"/>
      <c r="X7" s="77"/>
      <c r="Y7" s="76"/>
      <c r="Z7" s="77"/>
      <c r="AA7" s="76"/>
      <c r="AB7" s="77"/>
      <c r="AC7" s="76"/>
      <c r="AD7" s="77"/>
      <c r="AE7" s="76"/>
      <c r="AF7" s="77"/>
      <c r="AG7" s="99"/>
      <c r="AH7" s="100"/>
      <c r="AI7" s="99"/>
      <c r="AJ7" s="100"/>
      <c r="AK7" s="99"/>
      <c r="AL7" s="100"/>
    </row>
    <row r="8" spans="1:41" x14ac:dyDescent="0.2">
      <c r="A8" s="60">
        <v>1</v>
      </c>
      <c r="B8" s="55">
        <v>0</v>
      </c>
      <c r="C8" s="61">
        <v>0.5573491166711505</v>
      </c>
      <c r="D8" s="61">
        <v>0.53370038184885882</v>
      </c>
      <c r="E8" s="81">
        <v>0.56141250405218623</v>
      </c>
      <c r="F8" s="81">
        <v>0.53941343828093335</v>
      </c>
      <c r="G8" s="78">
        <v>0.69321140000000003</v>
      </c>
      <c r="H8" s="78">
        <v>0.65003110000000008</v>
      </c>
      <c r="I8" s="78">
        <v>0.42961359999999998</v>
      </c>
      <c r="J8" s="78">
        <v>0.4287958</v>
      </c>
      <c r="K8" s="78">
        <v>0.44131500000000001</v>
      </c>
      <c r="L8" s="78">
        <v>0.43700410000000001</v>
      </c>
      <c r="M8" s="78">
        <v>0.38969579999999998</v>
      </c>
      <c r="N8" s="78">
        <v>0.38588920000000004</v>
      </c>
      <c r="O8" s="78">
        <v>0.44131500000000001</v>
      </c>
      <c r="P8" s="78">
        <v>0.43700410000000001</v>
      </c>
      <c r="Q8" s="78">
        <f>K8*1.025</f>
        <v>0.45234787499999995</v>
      </c>
      <c r="R8" s="78">
        <f t="shared" ref="R8:R71" si="0">L8*1.025</f>
        <v>0.44792920249999996</v>
      </c>
      <c r="S8" s="78">
        <f>M8*1.025</f>
        <v>0.39943819499999994</v>
      </c>
      <c r="T8" s="78">
        <f t="shared" ref="T8:T71" si="1">N8*1.025</f>
        <v>0.39553642999999999</v>
      </c>
      <c r="U8" s="78">
        <f t="shared" ref="U8:U71" si="2">O8*1.025</f>
        <v>0.45234787499999995</v>
      </c>
      <c r="V8" s="78">
        <f t="shared" ref="V8:V71" si="3">P8*1.025</f>
        <v>0.44792920249999996</v>
      </c>
      <c r="W8" s="78">
        <f>K8*0.96</f>
        <v>0.42366239999999999</v>
      </c>
      <c r="X8" s="78">
        <f t="shared" ref="X8:X71" si="4">L8*0.96</f>
        <v>0.41952393599999999</v>
      </c>
      <c r="Y8" s="78">
        <f>M8*0.96</f>
        <v>0.37410796799999996</v>
      </c>
      <c r="Z8" s="78">
        <f t="shared" ref="Z8:Z71" si="5">N8*0.96</f>
        <v>0.37045363200000003</v>
      </c>
      <c r="AA8" s="78">
        <f t="shared" ref="AA8:AA71" si="6">O8*0.96</f>
        <v>0.42366239999999999</v>
      </c>
      <c r="AB8" s="78">
        <f t="shared" ref="AB8:AB71" si="7">P8*0.96</f>
        <v>0.41952393599999999</v>
      </c>
      <c r="AC8" s="78">
        <v>0.41436239999999996</v>
      </c>
      <c r="AD8" s="78">
        <v>0.41357349999999998</v>
      </c>
      <c r="AE8" s="78">
        <v>0.41550540000000002</v>
      </c>
      <c r="AF8" s="78">
        <v>0.41144665000000002</v>
      </c>
      <c r="AG8" s="95">
        <v>0.44588299999999997</v>
      </c>
      <c r="AH8" s="95">
        <v>0.44896599999999998</v>
      </c>
      <c r="AI8" s="95">
        <v>0.41436200000000001</v>
      </c>
      <c r="AJ8" s="95">
        <v>0.413574</v>
      </c>
      <c r="AK8" s="95">
        <f t="shared" ref="AK8:AK39" si="8">AG8</f>
        <v>0.44588299999999997</v>
      </c>
      <c r="AL8" s="95">
        <f t="shared" ref="AL8:AL39" si="9">AH8</f>
        <v>0.44896599999999998</v>
      </c>
    </row>
    <row r="9" spans="1:41" s="19" customFormat="1" x14ac:dyDescent="0.2">
      <c r="A9" s="60">
        <v>1</v>
      </c>
      <c r="B9" s="55">
        <v>1</v>
      </c>
      <c r="C9" s="61">
        <v>1.0212969130192404</v>
      </c>
      <c r="D9" s="61">
        <v>1.0149492932738788</v>
      </c>
      <c r="E9" s="81">
        <v>1.0316814645829895</v>
      </c>
      <c r="F9" s="81">
        <v>1.0296225528462375</v>
      </c>
      <c r="G9" s="78">
        <v>0.96542550000000005</v>
      </c>
      <c r="H9" s="78">
        <v>0.95793760000000006</v>
      </c>
      <c r="I9" s="78">
        <v>1.0979374</v>
      </c>
      <c r="J9" s="78">
        <v>1.1013075000000001</v>
      </c>
      <c r="K9" s="78">
        <v>1.1278418000000001</v>
      </c>
      <c r="L9" s="78">
        <v>1.1223896</v>
      </c>
      <c r="M9" s="78">
        <v>0.99592179999999997</v>
      </c>
      <c r="N9" s="78">
        <v>0.99110730000000002</v>
      </c>
      <c r="O9" s="78">
        <v>1.1278418000000001</v>
      </c>
      <c r="P9" s="78">
        <v>1.1223896</v>
      </c>
      <c r="Q9" s="78">
        <f t="shared" ref="Q9:Q72" si="10">K9*1.025</f>
        <v>1.156037845</v>
      </c>
      <c r="R9" s="78">
        <f t="shared" si="0"/>
        <v>1.15044934</v>
      </c>
      <c r="S9" s="78">
        <f t="shared" ref="S9:S72" si="11">M9*1.025</f>
        <v>1.0208198449999999</v>
      </c>
      <c r="T9" s="78">
        <f t="shared" si="1"/>
        <v>1.0158849825</v>
      </c>
      <c r="U9" s="78">
        <f t="shared" si="2"/>
        <v>1.156037845</v>
      </c>
      <c r="V9" s="78">
        <f t="shared" si="3"/>
        <v>1.15044934</v>
      </c>
      <c r="W9" s="78">
        <f t="shared" ref="W9:W72" si="12">K9*0.96</f>
        <v>1.0827281280000001</v>
      </c>
      <c r="X9" s="78">
        <f t="shared" si="4"/>
        <v>1.0774940159999999</v>
      </c>
      <c r="Y9" s="78">
        <f t="shared" ref="Y9:Y72" si="13">M9*0.96</f>
        <v>0.95608492799999989</v>
      </c>
      <c r="Z9" s="78">
        <f t="shared" si="5"/>
        <v>0.95146300799999994</v>
      </c>
      <c r="AA9" s="78">
        <f t="shared" si="6"/>
        <v>1.0827281280000001</v>
      </c>
      <c r="AB9" s="78">
        <f t="shared" si="7"/>
        <v>1.0774940159999999</v>
      </c>
      <c r="AC9" s="78">
        <v>1.0589606</v>
      </c>
      <c r="AD9" s="78">
        <v>1.0622110999999999</v>
      </c>
      <c r="AE9" s="78">
        <v>1.0618818000000001</v>
      </c>
      <c r="AF9" s="78">
        <v>1.05674845</v>
      </c>
      <c r="AG9" s="95">
        <v>1.1395169999999999</v>
      </c>
      <c r="AH9" s="95">
        <v>1.153111</v>
      </c>
      <c r="AI9" s="95">
        <v>1.058961</v>
      </c>
      <c r="AJ9" s="95">
        <v>1.062211</v>
      </c>
      <c r="AK9" s="95">
        <f t="shared" si="8"/>
        <v>1.1395169999999999</v>
      </c>
      <c r="AL9" s="95">
        <f t="shared" si="9"/>
        <v>1.153111</v>
      </c>
      <c r="AM9" s="12"/>
      <c r="AN9" s="12"/>
      <c r="AO9" s="12"/>
    </row>
    <row r="10" spans="1:41" x14ac:dyDescent="0.2">
      <c r="A10" s="60">
        <v>1</v>
      </c>
      <c r="B10" s="55">
        <v>2</v>
      </c>
      <c r="C10" s="61">
        <v>1.0678662515484776</v>
      </c>
      <c r="D10" s="61">
        <v>1.0576263395558927</v>
      </c>
      <c r="E10" s="81">
        <v>1.0785399515919243</v>
      </c>
      <c r="F10" s="81">
        <v>1.0733991578581401</v>
      </c>
      <c r="G10" s="78">
        <v>1.0285713999999999</v>
      </c>
      <c r="H10" s="78">
        <v>0.96296300000000001</v>
      </c>
      <c r="I10" s="78">
        <v>1.1285084999999999</v>
      </c>
      <c r="J10" s="78">
        <v>1.1838354</v>
      </c>
      <c r="K10" s="78">
        <v>1.1592456</v>
      </c>
      <c r="L10" s="78">
        <v>1.2064972</v>
      </c>
      <c r="M10" s="78">
        <v>1.0236524</v>
      </c>
      <c r="N10" s="78">
        <v>1.0653771999999999</v>
      </c>
      <c r="O10" s="78">
        <v>1.1592456</v>
      </c>
      <c r="P10" s="78">
        <v>1.2064972</v>
      </c>
      <c r="Q10" s="78">
        <f t="shared" si="10"/>
        <v>1.1882267399999999</v>
      </c>
      <c r="R10" s="78">
        <f t="shared" si="0"/>
        <v>1.2366596299999999</v>
      </c>
      <c r="S10" s="78">
        <f t="shared" si="11"/>
        <v>1.0492437099999998</v>
      </c>
      <c r="T10" s="78">
        <f t="shared" si="1"/>
        <v>1.0920116299999998</v>
      </c>
      <c r="U10" s="78">
        <f t="shared" si="2"/>
        <v>1.1882267399999999</v>
      </c>
      <c r="V10" s="78">
        <f t="shared" si="3"/>
        <v>1.2366596299999999</v>
      </c>
      <c r="W10" s="78">
        <f t="shared" si="12"/>
        <v>1.1128757759999999</v>
      </c>
      <c r="X10" s="78">
        <f t="shared" si="4"/>
        <v>1.158237312</v>
      </c>
      <c r="Y10" s="78">
        <f t="shared" si="13"/>
        <v>0.98270630400000003</v>
      </c>
      <c r="Z10" s="78">
        <f t="shared" si="5"/>
        <v>1.0227621119999999</v>
      </c>
      <c r="AA10" s="78">
        <f t="shared" si="6"/>
        <v>1.1128757759999999</v>
      </c>
      <c r="AB10" s="78">
        <f t="shared" si="7"/>
        <v>1.158237312</v>
      </c>
      <c r="AC10" s="78">
        <v>1.0884464</v>
      </c>
      <c r="AD10" s="78">
        <v>1.1418092</v>
      </c>
      <c r="AE10" s="78">
        <v>1.0914489999999999</v>
      </c>
      <c r="AF10" s="78">
        <v>1.1359371999999999</v>
      </c>
      <c r="AG10" s="95">
        <v>1.171246</v>
      </c>
      <c r="AH10" s="95">
        <v>1.2395210000000001</v>
      </c>
      <c r="AI10" s="95">
        <v>1.088446</v>
      </c>
      <c r="AJ10" s="95">
        <v>1.1418090000000001</v>
      </c>
      <c r="AK10" s="95">
        <f t="shared" si="8"/>
        <v>1.171246</v>
      </c>
      <c r="AL10" s="95">
        <f t="shared" si="9"/>
        <v>1.2395210000000001</v>
      </c>
    </row>
    <row r="11" spans="1:41" x14ac:dyDescent="0.2">
      <c r="A11" s="60">
        <v>1</v>
      </c>
      <c r="B11" s="55">
        <v>3</v>
      </c>
      <c r="C11" s="61">
        <v>1.0805447438256568</v>
      </c>
      <c r="D11" s="61">
        <v>1.1709470093676198</v>
      </c>
      <c r="E11" s="81">
        <v>1.0915442401796305</v>
      </c>
      <c r="F11" s="81">
        <v>1.1881062440015884</v>
      </c>
      <c r="G11" s="78">
        <v>1.0201342</v>
      </c>
      <c r="H11" s="78">
        <v>1.0883190999999999</v>
      </c>
      <c r="I11" s="78">
        <v>1.1629543</v>
      </c>
      <c r="J11" s="78">
        <v>1.2878934000000002</v>
      </c>
      <c r="K11" s="78">
        <v>1.1946295</v>
      </c>
      <c r="L11" s="78">
        <v>1.3125472</v>
      </c>
      <c r="M11" s="78">
        <v>1.0548976000000001</v>
      </c>
      <c r="N11" s="78">
        <v>1.1590228</v>
      </c>
      <c r="O11" s="78">
        <v>1.1946295</v>
      </c>
      <c r="P11" s="78">
        <v>1.3125472</v>
      </c>
      <c r="Q11" s="78">
        <f t="shared" si="10"/>
        <v>1.2244952375</v>
      </c>
      <c r="R11" s="78">
        <f t="shared" si="0"/>
        <v>1.3453608799999999</v>
      </c>
      <c r="S11" s="78">
        <f t="shared" si="11"/>
        <v>1.0812700399999999</v>
      </c>
      <c r="T11" s="78">
        <f t="shared" si="1"/>
        <v>1.1879983699999999</v>
      </c>
      <c r="U11" s="78">
        <f t="shared" si="2"/>
        <v>1.2244952375</v>
      </c>
      <c r="V11" s="78">
        <f t="shared" si="3"/>
        <v>1.3453608799999999</v>
      </c>
      <c r="W11" s="78">
        <f t="shared" si="12"/>
        <v>1.14684432</v>
      </c>
      <c r="X11" s="78">
        <f t="shared" si="4"/>
        <v>1.2600453119999999</v>
      </c>
      <c r="Y11" s="78">
        <f t="shared" si="13"/>
        <v>1.0127016960000002</v>
      </c>
      <c r="Z11" s="78">
        <f t="shared" si="5"/>
        <v>1.1126618879999999</v>
      </c>
      <c r="AA11" s="78">
        <f t="shared" si="6"/>
        <v>1.14684432</v>
      </c>
      <c r="AB11" s="78">
        <f t="shared" si="7"/>
        <v>1.2600453119999999</v>
      </c>
      <c r="AC11" s="78">
        <v>1.1216694</v>
      </c>
      <c r="AD11" s="78">
        <v>1.2421732000000001</v>
      </c>
      <c r="AE11" s="78">
        <v>1.1247635499999999</v>
      </c>
      <c r="AF11" s="78">
        <v>1.2357849999999999</v>
      </c>
      <c r="AG11" s="95">
        <v>1.206996</v>
      </c>
      <c r="AH11" s="95">
        <v>1.348473</v>
      </c>
      <c r="AI11" s="95">
        <v>1.121669</v>
      </c>
      <c r="AJ11" s="95">
        <v>1.242173</v>
      </c>
      <c r="AK11" s="95">
        <f t="shared" si="8"/>
        <v>1.206996</v>
      </c>
      <c r="AL11" s="95">
        <f t="shared" si="9"/>
        <v>1.348473</v>
      </c>
    </row>
    <row r="12" spans="1:41" x14ac:dyDescent="0.2">
      <c r="A12" s="60">
        <v>1</v>
      </c>
      <c r="B12" s="55">
        <v>4</v>
      </c>
      <c r="C12" s="61">
        <v>1.1292891162694794</v>
      </c>
      <c r="D12" s="61">
        <v>1.21306185601378</v>
      </c>
      <c r="E12" s="81">
        <v>1.140735771421401</v>
      </c>
      <c r="F12" s="81">
        <v>1.2309366278974752</v>
      </c>
      <c r="G12" s="78">
        <v>1.0712401</v>
      </c>
      <c r="H12" s="78">
        <v>1.1202749000000001</v>
      </c>
      <c r="I12" s="78">
        <v>1.2102314000000001</v>
      </c>
      <c r="J12" s="78">
        <v>1.3415983</v>
      </c>
      <c r="K12" s="78">
        <v>1.2431943999999999</v>
      </c>
      <c r="L12" s="78">
        <v>1.3672801999999999</v>
      </c>
      <c r="M12" s="78">
        <v>1.097782</v>
      </c>
      <c r="N12" s="78">
        <v>1.2073539</v>
      </c>
      <c r="O12" s="78">
        <v>1.2431943999999999</v>
      </c>
      <c r="P12" s="78">
        <v>1.3672801999999999</v>
      </c>
      <c r="Q12" s="78">
        <f t="shared" si="10"/>
        <v>1.2742742599999999</v>
      </c>
      <c r="R12" s="78">
        <f t="shared" si="0"/>
        <v>1.4014622049999998</v>
      </c>
      <c r="S12" s="78">
        <f t="shared" si="11"/>
        <v>1.12522655</v>
      </c>
      <c r="T12" s="78">
        <f t="shared" si="1"/>
        <v>1.2375377474999998</v>
      </c>
      <c r="U12" s="78">
        <f t="shared" si="2"/>
        <v>1.2742742599999999</v>
      </c>
      <c r="V12" s="78">
        <f t="shared" si="3"/>
        <v>1.4014622049999998</v>
      </c>
      <c r="W12" s="78">
        <f t="shared" si="12"/>
        <v>1.1934666239999998</v>
      </c>
      <c r="X12" s="78">
        <f t="shared" si="4"/>
        <v>1.312588992</v>
      </c>
      <c r="Y12" s="78">
        <f t="shared" si="13"/>
        <v>1.0538707199999999</v>
      </c>
      <c r="Z12" s="78">
        <f t="shared" si="5"/>
        <v>1.1590597439999999</v>
      </c>
      <c r="AA12" s="78">
        <f t="shared" si="6"/>
        <v>1.1934666239999998</v>
      </c>
      <c r="AB12" s="78">
        <f t="shared" si="7"/>
        <v>1.312588992</v>
      </c>
      <c r="AC12" s="78">
        <v>1.1672682000000001</v>
      </c>
      <c r="AD12" s="78">
        <v>1.2939716000000001</v>
      </c>
      <c r="AE12" s="78">
        <v>1.1704881999999999</v>
      </c>
      <c r="AF12" s="78">
        <v>1.28731705</v>
      </c>
      <c r="AG12" s="95">
        <v>1.2560640000000001</v>
      </c>
      <c r="AH12" s="95">
        <v>1.4047050000000001</v>
      </c>
      <c r="AI12" s="95">
        <v>1.167268</v>
      </c>
      <c r="AJ12" s="95">
        <v>1.2939719999999999</v>
      </c>
      <c r="AK12" s="95">
        <f t="shared" si="8"/>
        <v>1.2560640000000001</v>
      </c>
      <c r="AL12" s="95">
        <f t="shared" si="9"/>
        <v>1.4047050000000001</v>
      </c>
    </row>
    <row r="13" spans="1:41" x14ac:dyDescent="0.2">
      <c r="A13" s="60">
        <v>1</v>
      </c>
      <c r="B13" s="55">
        <v>5</v>
      </c>
      <c r="C13" s="61">
        <v>1.1054068920554234</v>
      </c>
      <c r="D13" s="61">
        <v>1.1858752789609806</v>
      </c>
      <c r="E13" s="81">
        <v>1.1205780240126353</v>
      </c>
      <c r="F13" s="81">
        <v>1.20773562766465</v>
      </c>
      <c r="G13" s="78">
        <v>1.0486485999999999</v>
      </c>
      <c r="H13" s="78">
        <v>1.070632</v>
      </c>
      <c r="I13" s="78">
        <v>1.1845731000000002</v>
      </c>
      <c r="J13" s="78">
        <v>1.3367385999999999</v>
      </c>
      <c r="K13" s="78">
        <v>1.2168371999999998</v>
      </c>
      <c r="L13" s="78">
        <v>1.3623275000000001</v>
      </c>
      <c r="M13" s="78">
        <v>1.0745077000000001</v>
      </c>
      <c r="N13" s="78">
        <v>1.2029805</v>
      </c>
      <c r="O13" s="78">
        <v>1.2168371999999998</v>
      </c>
      <c r="P13" s="78">
        <v>1.3623275000000001</v>
      </c>
      <c r="Q13" s="78">
        <f t="shared" si="10"/>
        <v>1.2472581299999996</v>
      </c>
      <c r="R13" s="78">
        <f t="shared" si="0"/>
        <v>1.3963856875</v>
      </c>
      <c r="S13" s="78">
        <f t="shared" si="11"/>
        <v>1.1013703925</v>
      </c>
      <c r="T13" s="78">
        <f t="shared" si="1"/>
        <v>1.2330550124999999</v>
      </c>
      <c r="U13" s="78">
        <f t="shared" si="2"/>
        <v>1.2472581299999996</v>
      </c>
      <c r="V13" s="78">
        <f t="shared" si="3"/>
        <v>1.3963856875</v>
      </c>
      <c r="W13" s="78">
        <f t="shared" si="12"/>
        <v>1.1681637119999999</v>
      </c>
      <c r="X13" s="78">
        <f t="shared" si="4"/>
        <v>1.3078344000000002</v>
      </c>
      <c r="Y13" s="78">
        <f t="shared" si="13"/>
        <v>1.0315273920000001</v>
      </c>
      <c r="Z13" s="78">
        <f t="shared" si="5"/>
        <v>1.15486128</v>
      </c>
      <c r="AA13" s="78">
        <f t="shared" si="6"/>
        <v>1.1681637119999999</v>
      </c>
      <c r="AB13" s="78">
        <f t="shared" si="7"/>
        <v>1.3078344000000002</v>
      </c>
      <c r="AC13" s="78">
        <v>1.1425206999999999</v>
      </c>
      <c r="AD13" s="78">
        <v>1.2892843999999999</v>
      </c>
      <c r="AE13" s="78">
        <v>1.14567245</v>
      </c>
      <c r="AF13" s="78">
        <v>1.282654</v>
      </c>
      <c r="AG13" s="95">
        <v>1.2294339999999999</v>
      </c>
      <c r="AH13" s="95">
        <v>1.399616</v>
      </c>
      <c r="AI13" s="95">
        <v>1.1425209999999999</v>
      </c>
      <c r="AJ13" s="95">
        <v>1.2892840000000001</v>
      </c>
      <c r="AK13" s="95">
        <f t="shared" si="8"/>
        <v>1.2294339999999999</v>
      </c>
      <c r="AL13" s="95">
        <f t="shared" si="9"/>
        <v>1.399616</v>
      </c>
    </row>
    <row r="14" spans="1:41" x14ac:dyDescent="0.2">
      <c r="A14" s="60">
        <v>1</v>
      </c>
      <c r="B14" s="55">
        <v>6</v>
      </c>
      <c r="C14" s="61">
        <v>1.0747936982136588</v>
      </c>
      <c r="D14" s="61">
        <v>1.2261921628417782</v>
      </c>
      <c r="E14" s="81">
        <v>1.0895784010758007</v>
      </c>
      <c r="F14" s="81">
        <v>1.2484408466302943</v>
      </c>
      <c r="G14" s="78">
        <v>1.0138503999999999</v>
      </c>
      <c r="H14" s="78">
        <v>1.1428570999999998</v>
      </c>
      <c r="I14" s="78">
        <v>1.1576354</v>
      </c>
      <c r="J14" s="78">
        <v>1.3453774000000001</v>
      </c>
      <c r="K14" s="78">
        <v>1.1891658000000001</v>
      </c>
      <c r="L14" s="78">
        <v>1.3711316</v>
      </c>
      <c r="M14" s="78">
        <v>1.0500729</v>
      </c>
      <c r="N14" s="78">
        <v>1.2107547999999999</v>
      </c>
      <c r="O14" s="78">
        <v>1.1891658000000001</v>
      </c>
      <c r="P14" s="78">
        <v>1.3711316</v>
      </c>
      <c r="Q14" s="78">
        <f t="shared" si="10"/>
        <v>1.218894945</v>
      </c>
      <c r="R14" s="78">
        <f t="shared" si="0"/>
        <v>1.4054098899999998</v>
      </c>
      <c r="S14" s="78">
        <f t="shared" si="11"/>
        <v>1.0763247224999999</v>
      </c>
      <c r="T14" s="78">
        <f t="shared" si="1"/>
        <v>1.2410236699999997</v>
      </c>
      <c r="U14" s="78">
        <f t="shared" si="2"/>
        <v>1.218894945</v>
      </c>
      <c r="V14" s="78">
        <f t="shared" si="3"/>
        <v>1.4054098899999998</v>
      </c>
      <c r="W14" s="78">
        <f t="shared" si="12"/>
        <v>1.1415991679999999</v>
      </c>
      <c r="X14" s="78">
        <f t="shared" si="4"/>
        <v>1.3162863359999999</v>
      </c>
      <c r="Y14" s="78">
        <f t="shared" si="13"/>
        <v>1.008069984</v>
      </c>
      <c r="Z14" s="78">
        <f t="shared" si="5"/>
        <v>1.1623246079999998</v>
      </c>
      <c r="AA14" s="78">
        <f t="shared" si="6"/>
        <v>1.1415991679999999</v>
      </c>
      <c r="AB14" s="78">
        <f t="shared" si="7"/>
        <v>1.3162863359999999</v>
      </c>
      <c r="AC14" s="78">
        <v>1.1165393000000001</v>
      </c>
      <c r="AD14" s="78">
        <v>1.2976165</v>
      </c>
      <c r="AE14" s="78">
        <v>1.11961935</v>
      </c>
      <c r="AF14" s="78">
        <v>1.2909432000000001</v>
      </c>
      <c r="AG14" s="95">
        <v>1.201476</v>
      </c>
      <c r="AH14" s="95">
        <v>1.4086609999999999</v>
      </c>
      <c r="AI14" s="95">
        <v>1.1165389999999999</v>
      </c>
      <c r="AJ14" s="95">
        <v>1.297617</v>
      </c>
      <c r="AK14" s="95">
        <f t="shared" si="8"/>
        <v>1.201476</v>
      </c>
      <c r="AL14" s="95">
        <f t="shared" si="9"/>
        <v>1.4086609999999999</v>
      </c>
    </row>
    <row r="15" spans="1:41" x14ac:dyDescent="0.2">
      <c r="A15" s="60">
        <v>1</v>
      </c>
      <c r="B15" s="55">
        <v>7</v>
      </c>
      <c r="C15" s="61">
        <v>1.0952395834821578</v>
      </c>
      <c r="D15" s="61">
        <v>1.1982414099735907</v>
      </c>
      <c r="E15" s="81">
        <v>1.1103253063231078</v>
      </c>
      <c r="F15" s="81">
        <v>1.2203981248147271</v>
      </c>
      <c r="G15" s="78">
        <v>1.0297619</v>
      </c>
      <c r="H15" s="78">
        <v>1.0748899000000001</v>
      </c>
      <c r="I15" s="78">
        <v>1.1830973</v>
      </c>
      <c r="J15" s="78">
        <v>1.3577735000000002</v>
      </c>
      <c r="K15" s="78">
        <v>1.2153212</v>
      </c>
      <c r="L15" s="78">
        <v>1.3837649999999999</v>
      </c>
      <c r="M15" s="78">
        <v>1.0731690999999999</v>
      </c>
      <c r="N15" s="78">
        <v>1.2219105000000001</v>
      </c>
      <c r="O15" s="78">
        <v>1.2153212</v>
      </c>
      <c r="P15" s="78">
        <v>1.3837649999999999</v>
      </c>
      <c r="Q15" s="78">
        <f t="shared" si="10"/>
        <v>1.2457042299999999</v>
      </c>
      <c r="R15" s="78">
        <f t="shared" si="0"/>
        <v>1.4183591249999998</v>
      </c>
      <c r="S15" s="78">
        <f t="shared" si="11"/>
        <v>1.0999983274999998</v>
      </c>
      <c r="T15" s="78">
        <f t="shared" si="1"/>
        <v>1.2524582625</v>
      </c>
      <c r="U15" s="78">
        <f t="shared" si="2"/>
        <v>1.2457042299999999</v>
      </c>
      <c r="V15" s="78">
        <f t="shared" si="3"/>
        <v>1.4183591249999998</v>
      </c>
      <c r="W15" s="78">
        <f t="shared" si="12"/>
        <v>1.1667083519999999</v>
      </c>
      <c r="X15" s="78">
        <f t="shared" si="4"/>
        <v>1.3284143999999998</v>
      </c>
      <c r="Y15" s="78">
        <f t="shared" si="13"/>
        <v>1.0302423359999999</v>
      </c>
      <c r="Z15" s="78">
        <f t="shared" si="5"/>
        <v>1.1730340800000001</v>
      </c>
      <c r="AA15" s="78">
        <f t="shared" si="6"/>
        <v>1.1667083519999999</v>
      </c>
      <c r="AB15" s="78">
        <f t="shared" si="7"/>
        <v>1.3284143999999998</v>
      </c>
      <c r="AC15" s="78">
        <v>1.1410973</v>
      </c>
      <c r="AD15" s="78">
        <v>1.3095725999999999</v>
      </c>
      <c r="AE15" s="78">
        <v>1.1442451499999999</v>
      </c>
      <c r="AF15" s="78">
        <v>1.3028377500000001</v>
      </c>
      <c r="AG15" s="95">
        <v>1.227902</v>
      </c>
      <c r="AH15" s="95">
        <v>1.4216409999999999</v>
      </c>
      <c r="AI15" s="95">
        <v>1.141097</v>
      </c>
      <c r="AJ15" s="95">
        <v>1.3095730000000001</v>
      </c>
      <c r="AK15" s="95">
        <f t="shared" si="8"/>
        <v>1.227902</v>
      </c>
      <c r="AL15" s="95">
        <f t="shared" si="9"/>
        <v>1.4216409999999999</v>
      </c>
    </row>
    <row r="16" spans="1:41" x14ac:dyDescent="0.2">
      <c r="A16" s="60">
        <v>1</v>
      </c>
      <c r="B16" s="55">
        <v>8</v>
      </c>
      <c r="C16" s="61">
        <v>1.1192068710103618</v>
      </c>
      <c r="D16" s="61">
        <v>1.2364532019704433</v>
      </c>
      <c r="E16" s="81">
        <v>1.1348514593988632</v>
      </c>
      <c r="F16" s="81">
        <v>1.2594707340351405</v>
      </c>
      <c r="G16" s="78">
        <v>1.013245</v>
      </c>
      <c r="H16" s="78">
        <v>1.0935961000000001</v>
      </c>
      <c r="I16" s="78">
        <v>1.2487914</v>
      </c>
      <c r="J16" s="78">
        <v>1.417071</v>
      </c>
      <c r="K16" s="78">
        <v>1.2828047</v>
      </c>
      <c r="L16" s="78">
        <v>1.4441975999999999</v>
      </c>
      <c r="M16" s="78">
        <v>1.1327592</v>
      </c>
      <c r="N16" s="78">
        <v>1.2752745000000001</v>
      </c>
      <c r="O16" s="78">
        <v>1.2828047</v>
      </c>
      <c r="P16" s="78">
        <v>1.4441975999999999</v>
      </c>
      <c r="Q16" s="78">
        <f t="shared" si="10"/>
        <v>1.3148748175</v>
      </c>
      <c r="R16" s="78">
        <f t="shared" si="0"/>
        <v>1.4803025399999998</v>
      </c>
      <c r="S16" s="78">
        <f t="shared" si="11"/>
        <v>1.1610781799999998</v>
      </c>
      <c r="T16" s="78">
        <f t="shared" si="1"/>
        <v>1.3071563625</v>
      </c>
      <c r="U16" s="78">
        <f t="shared" si="2"/>
        <v>1.3148748175</v>
      </c>
      <c r="V16" s="78">
        <f t="shared" si="3"/>
        <v>1.4803025399999998</v>
      </c>
      <c r="W16" s="78">
        <f t="shared" si="12"/>
        <v>1.231492512</v>
      </c>
      <c r="X16" s="78">
        <f t="shared" si="4"/>
        <v>1.3864296959999998</v>
      </c>
      <c r="Y16" s="78">
        <f t="shared" si="13"/>
        <v>1.087448832</v>
      </c>
      <c r="Z16" s="78">
        <f t="shared" si="5"/>
        <v>1.22426352</v>
      </c>
      <c r="AA16" s="78">
        <f t="shared" si="6"/>
        <v>1.231492512</v>
      </c>
      <c r="AB16" s="78">
        <f t="shared" si="7"/>
        <v>1.3864296959999998</v>
      </c>
      <c r="AC16" s="78">
        <v>1.2044593000000001</v>
      </c>
      <c r="AD16" s="78">
        <v>1.366765</v>
      </c>
      <c r="AE16" s="78">
        <v>1.20778195</v>
      </c>
      <c r="AF16" s="78">
        <v>1.35973605</v>
      </c>
      <c r="AG16" s="95">
        <v>1.296084</v>
      </c>
      <c r="AH16" s="95">
        <v>1.483727</v>
      </c>
      <c r="AI16" s="95">
        <v>1.2044589999999999</v>
      </c>
      <c r="AJ16" s="95">
        <v>1.366765</v>
      </c>
      <c r="AK16" s="95">
        <f t="shared" si="8"/>
        <v>1.296084</v>
      </c>
      <c r="AL16" s="95">
        <f t="shared" si="9"/>
        <v>1.483727</v>
      </c>
    </row>
    <row r="17" spans="1:38" x14ac:dyDescent="0.2">
      <c r="A17" s="60">
        <v>1</v>
      </c>
      <c r="B17" s="55">
        <v>9</v>
      </c>
      <c r="C17" s="61">
        <v>1.178436988697013</v>
      </c>
      <c r="D17" s="61">
        <v>1.3072916666666667</v>
      </c>
      <c r="E17" s="81">
        <v>1.1954100629690585</v>
      </c>
      <c r="F17" s="81">
        <v>1.3316279115059038</v>
      </c>
      <c r="G17" s="78">
        <v>0.98141260000000008</v>
      </c>
      <c r="H17" s="78">
        <v>1.15625</v>
      </c>
      <c r="I17" s="78">
        <v>1.4019819</v>
      </c>
      <c r="J17" s="78">
        <v>1.4982574</v>
      </c>
      <c r="K17" s="78">
        <v>1.4401676000000001</v>
      </c>
      <c r="L17" s="78">
        <v>1.5269381000000002</v>
      </c>
      <c r="M17" s="78">
        <v>1.2717159</v>
      </c>
      <c r="N17" s="78">
        <v>1.3483372</v>
      </c>
      <c r="O17" s="78">
        <v>1.4401676000000001</v>
      </c>
      <c r="P17" s="78">
        <v>1.5269381000000002</v>
      </c>
      <c r="Q17" s="78">
        <f t="shared" si="10"/>
        <v>1.47617179</v>
      </c>
      <c r="R17" s="78">
        <f t="shared" si="0"/>
        <v>1.5651115525000001</v>
      </c>
      <c r="S17" s="78">
        <f t="shared" si="11"/>
        <v>1.3035087974999999</v>
      </c>
      <c r="T17" s="78">
        <f t="shared" si="1"/>
        <v>1.3820456299999999</v>
      </c>
      <c r="U17" s="78">
        <f t="shared" si="2"/>
        <v>1.47617179</v>
      </c>
      <c r="V17" s="78">
        <f t="shared" si="3"/>
        <v>1.5651115525000001</v>
      </c>
      <c r="W17" s="78">
        <f t="shared" si="12"/>
        <v>1.382560896</v>
      </c>
      <c r="X17" s="78">
        <f t="shared" si="4"/>
        <v>1.4658605760000001</v>
      </c>
      <c r="Y17" s="78">
        <f t="shared" si="13"/>
        <v>1.2208472639999999</v>
      </c>
      <c r="Z17" s="78">
        <f t="shared" si="5"/>
        <v>1.294403712</v>
      </c>
      <c r="AA17" s="78">
        <f t="shared" si="6"/>
        <v>1.382560896</v>
      </c>
      <c r="AB17" s="78">
        <f t="shared" si="7"/>
        <v>1.4658605760000001</v>
      </c>
      <c r="AC17" s="78">
        <v>1.3522114999999999</v>
      </c>
      <c r="AD17" s="78">
        <v>1.4450692000000001</v>
      </c>
      <c r="AE17" s="78">
        <v>1.3559417499999999</v>
      </c>
      <c r="AF17" s="78">
        <v>1.4376376500000001</v>
      </c>
      <c r="AG17" s="95">
        <v>1.455076</v>
      </c>
      <c r="AH17" s="95">
        <v>1.568732</v>
      </c>
      <c r="AI17" s="95">
        <v>1.352212</v>
      </c>
      <c r="AJ17" s="95">
        <v>1.4450689999999999</v>
      </c>
      <c r="AK17" s="95">
        <f t="shared" si="8"/>
        <v>1.455076</v>
      </c>
      <c r="AL17" s="95">
        <f t="shared" si="9"/>
        <v>1.568732</v>
      </c>
    </row>
    <row r="18" spans="1:38" x14ac:dyDescent="0.2">
      <c r="A18" s="60">
        <v>1</v>
      </c>
      <c r="B18" s="55">
        <v>10</v>
      </c>
      <c r="C18" s="61">
        <v>1.2730904616661476</v>
      </c>
      <c r="D18" s="61">
        <v>1.2894718419763069</v>
      </c>
      <c r="E18" s="81">
        <v>1.291897313989365</v>
      </c>
      <c r="F18" s="81">
        <v>1.3143465960442053</v>
      </c>
      <c r="G18" s="78">
        <v>0.97991969999999995</v>
      </c>
      <c r="H18" s="78">
        <v>1.0526316</v>
      </c>
      <c r="I18" s="78">
        <v>1.5964606000000001</v>
      </c>
      <c r="J18" s="78">
        <v>1.5680972</v>
      </c>
      <c r="K18" s="78">
        <v>1.6399432999999999</v>
      </c>
      <c r="L18" s="78">
        <v>1.5981147999999998</v>
      </c>
      <c r="M18" s="78">
        <v>1.4481245</v>
      </c>
      <c r="N18" s="78">
        <v>1.4111886</v>
      </c>
      <c r="O18" s="78">
        <v>1.6399432999999999</v>
      </c>
      <c r="P18" s="78">
        <v>1.5981147999999998</v>
      </c>
      <c r="Q18" s="78">
        <f t="shared" si="10"/>
        <v>1.6809418824999998</v>
      </c>
      <c r="R18" s="78">
        <f t="shared" si="0"/>
        <v>1.6380676699999996</v>
      </c>
      <c r="S18" s="78">
        <f t="shared" si="11"/>
        <v>1.4843276125</v>
      </c>
      <c r="T18" s="78">
        <f t="shared" si="1"/>
        <v>1.4464683149999999</v>
      </c>
      <c r="U18" s="78">
        <f t="shared" si="2"/>
        <v>1.6809418824999998</v>
      </c>
      <c r="V18" s="78">
        <f t="shared" si="3"/>
        <v>1.6380676699999996</v>
      </c>
      <c r="W18" s="78">
        <f t="shared" si="12"/>
        <v>1.5743455679999998</v>
      </c>
      <c r="X18" s="78">
        <f t="shared" si="4"/>
        <v>1.5341902079999998</v>
      </c>
      <c r="Y18" s="78">
        <f t="shared" si="13"/>
        <v>1.3901995199999999</v>
      </c>
      <c r="Z18" s="78">
        <f t="shared" si="5"/>
        <v>1.3547410559999999</v>
      </c>
      <c r="AA18" s="78">
        <f t="shared" si="6"/>
        <v>1.5743455679999998</v>
      </c>
      <c r="AB18" s="78">
        <f t="shared" si="7"/>
        <v>1.5341902079999998</v>
      </c>
      <c r="AC18" s="78">
        <v>1.5397863000000001</v>
      </c>
      <c r="AD18" s="78">
        <v>1.5124297000000002</v>
      </c>
      <c r="AE18" s="78">
        <v>1.5440339000000001</v>
      </c>
      <c r="AF18" s="78">
        <v>1.5046516999999999</v>
      </c>
      <c r="AG18" s="95">
        <v>1.6569199999999999</v>
      </c>
      <c r="AH18" s="95">
        <v>1.6418569999999999</v>
      </c>
      <c r="AI18" s="95">
        <v>1.5397860000000001</v>
      </c>
      <c r="AJ18" s="95">
        <v>1.5124299999999999</v>
      </c>
      <c r="AK18" s="95">
        <f t="shared" si="8"/>
        <v>1.6569199999999999</v>
      </c>
      <c r="AL18" s="95">
        <f t="shared" si="9"/>
        <v>1.6418569999999999</v>
      </c>
    </row>
    <row r="19" spans="1:38" x14ac:dyDescent="0.2">
      <c r="A19" s="60">
        <v>1</v>
      </c>
      <c r="B19" s="55">
        <v>11</v>
      </c>
      <c r="C19" s="61">
        <v>1.2851796290740183</v>
      </c>
      <c r="D19" s="61">
        <v>1.3482549748445063</v>
      </c>
      <c r="E19" s="81">
        <v>1.3042321212730967</v>
      </c>
      <c r="F19" s="81">
        <v>1.3742254628013821</v>
      </c>
      <c r="G19" s="78">
        <v>0.97777780000000003</v>
      </c>
      <c r="H19" s="78">
        <v>1.1044776000000001</v>
      </c>
      <c r="I19" s="78">
        <v>1.6232884000000001</v>
      </c>
      <c r="J19" s="78">
        <v>1.6356165999999999</v>
      </c>
      <c r="K19" s="78">
        <v>1.6675017999999999</v>
      </c>
      <c r="L19" s="78">
        <v>1.6669267999999999</v>
      </c>
      <c r="M19" s="78">
        <v>1.4724595</v>
      </c>
      <c r="N19" s="78">
        <v>1.4719518</v>
      </c>
      <c r="O19" s="78">
        <v>1.6675017999999999</v>
      </c>
      <c r="P19" s="78">
        <v>1.6669267999999999</v>
      </c>
      <c r="Q19" s="78">
        <f t="shared" si="10"/>
        <v>1.7091893449999997</v>
      </c>
      <c r="R19" s="78">
        <f t="shared" si="0"/>
        <v>1.7085999699999999</v>
      </c>
      <c r="S19" s="78">
        <f t="shared" si="11"/>
        <v>1.5092709874999999</v>
      </c>
      <c r="T19" s="78">
        <f t="shared" si="1"/>
        <v>1.508750595</v>
      </c>
      <c r="U19" s="78">
        <f t="shared" si="2"/>
        <v>1.7091893449999997</v>
      </c>
      <c r="V19" s="78">
        <f t="shared" si="3"/>
        <v>1.7085999699999999</v>
      </c>
      <c r="W19" s="78">
        <f t="shared" si="12"/>
        <v>1.6008017279999998</v>
      </c>
      <c r="X19" s="78">
        <f t="shared" si="4"/>
        <v>1.6002497279999999</v>
      </c>
      <c r="Y19" s="78">
        <f t="shared" si="13"/>
        <v>1.41356112</v>
      </c>
      <c r="Z19" s="78">
        <f t="shared" si="5"/>
        <v>1.4130737280000001</v>
      </c>
      <c r="AA19" s="78">
        <f t="shared" si="6"/>
        <v>1.6008017279999998</v>
      </c>
      <c r="AB19" s="78">
        <f t="shared" si="7"/>
        <v>1.6002497279999999</v>
      </c>
      <c r="AC19" s="78">
        <v>1.5656615999999999</v>
      </c>
      <c r="AD19" s="78">
        <v>1.5775522000000002</v>
      </c>
      <c r="AE19" s="78">
        <v>1.56998065</v>
      </c>
      <c r="AF19" s="78">
        <v>1.5694393</v>
      </c>
      <c r="AG19" s="95">
        <v>1.684763</v>
      </c>
      <c r="AH19" s="95">
        <v>1.712553</v>
      </c>
      <c r="AI19" s="95">
        <v>1.5656620000000001</v>
      </c>
      <c r="AJ19" s="95">
        <v>1.5775520000000001</v>
      </c>
      <c r="AK19" s="95">
        <f t="shared" si="8"/>
        <v>1.684763</v>
      </c>
      <c r="AL19" s="95">
        <f t="shared" si="9"/>
        <v>1.712553</v>
      </c>
    </row>
    <row r="20" spans="1:38" x14ac:dyDescent="0.2">
      <c r="A20" s="60">
        <v>1</v>
      </c>
      <c r="B20" s="55">
        <v>12</v>
      </c>
      <c r="C20" s="61">
        <v>1.2477560441838871</v>
      </c>
      <c r="D20" s="61">
        <v>1.342218444123306</v>
      </c>
      <c r="E20" s="81">
        <v>1.2657644628077707</v>
      </c>
      <c r="F20" s="81">
        <v>1.3682221041240314</v>
      </c>
      <c r="G20" s="78">
        <v>1.0328358</v>
      </c>
      <c r="H20" s="78">
        <v>1.0844444</v>
      </c>
      <c r="I20" s="78">
        <v>1.4908783999999999</v>
      </c>
      <c r="J20" s="78">
        <v>1.6437945999999999</v>
      </c>
      <c r="K20" s="78">
        <v>1.5314854</v>
      </c>
      <c r="L20" s="78">
        <v>1.6752613999999999</v>
      </c>
      <c r="M20" s="78">
        <v>1.3523525000000001</v>
      </c>
      <c r="N20" s="78">
        <v>1.4793115000000001</v>
      </c>
      <c r="O20" s="78">
        <v>1.5314854</v>
      </c>
      <c r="P20" s="78">
        <v>1.6752613999999999</v>
      </c>
      <c r="Q20" s="78">
        <f t="shared" si="10"/>
        <v>1.5697725349999998</v>
      </c>
      <c r="R20" s="78">
        <f t="shared" si="0"/>
        <v>1.7171429349999998</v>
      </c>
      <c r="S20" s="78">
        <f t="shared" si="11"/>
        <v>1.3861613124999999</v>
      </c>
      <c r="T20" s="78">
        <f t="shared" si="1"/>
        <v>1.5162942875000001</v>
      </c>
      <c r="U20" s="78">
        <f t="shared" si="2"/>
        <v>1.5697725349999998</v>
      </c>
      <c r="V20" s="78">
        <f t="shared" si="3"/>
        <v>1.7171429349999998</v>
      </c>
      <c r="W20" s="78">
        <f t="shared" si="12"/>
        <v>1.470225984</v>
      </c>
      <c r="X20" s="78">
        <f t="shared" si="4"/>
        <v>1.6082509439999999</v>
      </c>
      <c r="Y20" s="78">
        <f t="shared" si="13"/>
        <v>1.2982583999999999</v>
      </c>
      <c r="Z20" s="78">
        <f t="shared" si="5"/>
        <v>1.42013904</v>
      </c>
      <c r="AA20" s="78">
        <f t="shared" si="6"/>
        <v>1.470225984</v>
      </c>
      <c r="AB20" s="78">
        <f t="shared" si="7"/>
        <v>1.6082509439999999</v>
      </c>
      <c r="AC20" s="78">
        <v>1.4379522</v>
      </c>
      <c r="AD20" s="78">
        <v>1.5854399000000001</v>
      </c>
      <c r="AE20" s="78">
        <v>1.44191895</v>
      </c>
      <c r="AF20" s="78">
        <v>1.5772864499999999</v>
      </c>
      <c r="AG20" s="95">
        <v>1.547339</v>
      </c>
      <c r="AH20" s="95">
        <v>1.7211160000000001</v>
      </c>
      <c r="AI20" s="95">
        <v>1.4379519999999999</v>
      </c>
      <c r="AJ20" s="95">
        <v>1.58544</v>
      </c>
      <c r="AK20" s="95">
        <f t="shared" si="8"/>
        <v>1.547339</v>
      </c>
      <c r="AL20" s="95">
        <f t="shared" si="9"/>
        <v>1.7211160000000001</v>
      </c>
    </row>
    <row r="21" spans="1:38" x14ac:dyDescent="0.2">
      <c r="A21" s="60">
        <v>1</v>
      </c>
      <c r="B21" s="55">
        <v>13</v>
      </c>
      <c r="C21" s="61">
        <v>1.1650882067498962</v>
      </c>
      <c r="D21" s="61">
        <v>1.3120247175361359</v>
      </c>
      <c r="E21" s="81">
        <v>1.1816397658930544</v>
      </c>
      <c r="F21" s="81">
        <v>1.3372189914899684</v>
      </c>
      <c r="G21" s="78">
        <v>1.0094339999999999</v>
      </c>
      <c r="H21" s="78">
        <v>1.0827068</v>
      </c>
      <c r="I21" s="78">
        <v>1.3462080000000001</v>
      </c>
      <c r="J21" s="78">
        <v>1.5835391999999999</v>
      </c>
      <c r="K21" s="78">
        <v>1.3828745</v>
      </c>
      <c r="L21" s="78">
        <v>1.6138525000000001</v>
      </c>
      <c r="M21" s="78">
        <v>1.2211242</v>
      </c>
      <c r="N21" s="78">
        <v>1.4250854000000002</v>
      </c>
      <c r="O21" s="78">
        <v>1.3828745</v>
      </c>
      <c r="P21" s="78">
        <v>1.6138525000000001</v>
      </c>
      <c r="Q21" s="78">
        <f t="shared" si="10"/>
        <v>1.4174463624999998</v>
      </c>
      <c r="R21" s="78">
        <f t="shared" si="0"/>
        <v>1.6541988125</v>
      </c>
      <c r="S21" s="78">
        <f t="shared" si="11"/>
        <v>1.2516523049999999</v>
      </c>
      <c r="T21" s="78">
        <f t="shared" si="1"/>
        <v>1.4607125350000001</v>
      </c>
      <c r="U21" s="78">
        <f t="shared" si="2"/>
        <v>1.4174463624999998</v>
      </c>
      <c r="V21" s="78">
        <f t="shared" si="3"/>
        <v>1.6541988125</v>
      </c>
      <c r="W21" s="78">
        <f t="shared" si="12"/>
        <v>1.3275595199999999</v>
      </c>
      <c r="X21" s="78">
        <f t="shared" si="4"/>
        <v>1.5492984000000001</v>
      </c>
      <c r="Y21" s="78">
        <f t="shared" si="13"/>
        <v>1.1722792319999999</v>
      </c>
      <c r="Z21" s="78">
        <f t="shared" si="5"/>
        <v>1.368081984</v>
      </c>
      <c r="AA21" s="78">
        <f t="shared" si="6"/>
        <v>1.3275595199999999</v>
      </c>
      <c r="AB21" s="78">
        <f t="shared" si="7"/>
        <v>1.5492984000000001</v>
      </c>
      <c r="AC21" s="78">
        <v>1.2984175999999998</v>
      </c>
      <c r="AD21" s="78">
        <v>1.5273235999999999</v>
      </c>
      <c r="AE21" s="78">
        <v>1.30199935</v>
      </c>
      <c r="AF21" s="78">
        <v>1.5194689500000003</v>
      </c>
      <c r="AG21" s="95">
        <v>1.3971899999999999</v>
      </c>
      <c r="AH21" s="95">
        <v>1.658026</v>
      </c>
      <c r="AI21" s="95">
        <v>1.2984180000000001</v>
      </c>
      <c r="AJ21" s="95">
        <v>1.5273239999999999</v>
      </c>
      <c r="AK21" s="95">
        <f t="shared" si="8"/>
        <v>1.3971899999999999</v>
      </c>
      <c r="AL21" s="95">
        <f t="shared" si="9"/>
        <v>1.658026</v>
      </c>
    </row>
    <row r="22" spans="1:38" x14ac:dyDescent="0.2">
      <c r="A22" s="60">
        <v>1</v>
      </c>
      <c r="B22" s="55">
        <v>14</v>
      </c>
      <c r="C22" s="61">
        <v>1.1293378369689817</v>
      </c>
      <c r="D22" s="61">
        <v>1.2718715621218333</v>
      </c>
      <c r="E22" s="81">
        <v>1.1451196505270052</v>
      </c>
      <c r="F22" s="81">
        <v>1.2957333853688597</v>
      </c>
      <c r="G22" s="78">
        <v>1.023166</v>
      </c>
      <c r="H22" s="78">
        <v>1.10625</v>
      </c>
      <c r="I22" s="78">
        <v>1.2593318</v>
      </c>
      <c r="J22" s="78">
        <v>1.4768466</v>
      </c>
      <c r="K22" s="78">
        <v>1.2936321000000002</v>
      </c>
      <c r="L22" s="78">
        <v>1.5051175000000001</v>
      </c>
      <c r="M22" s="78">
        <v>1.1423202000000001</v>
      </c>
      <c r="N22" s="78">
        <v>1.3290687999999999</v>
      </c>
      <c r="O22" s="78">
        <v>1.2936321000000002</v>
      </c>
      <c r="P22" s="78">
        <v>1.5051175000000001</v>
      </c>
      <c r="Q22" s="78">
        <f t="shared" si="10"/>
        <v>1.3259729025</v>
      </c>
      <c r="R22" s="78">
        <f t="shared" si="0"/>
        <v>1.5427454375</v>
      </c>
      <c r="S22" s="78">
        <f t="shared" si="11"/>
        <v>1.1708782049999999</v>
      </c>
      <c r="T22" s="78">
        <f t="shared" si="1"/>
        <v>1.3622955199999998</v>
      </c>
      <c r="U22" s="78">
        <f t="shared" si="2"/>
        <v>1.3259729025</v>
      </c>
      <c r="V22" s="78">
        <f t="shared" si="3"/>
        <v>1.5427454375</v>
      </c>
      <c r="W22" s="78">
        <f t="shared" si="12"/>
        <v>1.2418868160000001</v>
      </c>
      <c r="X22" s="78">
        <f t="shared" si="4"/>
        <v>1.4449128</v>
      </c>
      <c r="Y22" s="78">
        <f t="shared" si="13"/>
        <v>1.096627392</v>
      </c>
      <c r="Z22" s="78">
        <f t="shared" si="5"/>
        <v>1.275906048</v>
      </c>
      <c r="AA22" s="78">
        <f t="shared" si="6"/>
        <v>1.2418868160000001</v>
      </c>
      <c r="AB22" s="78">
        <f t="shared" si="7"/>
        <v>1.4449128</v>
      </c>
      <c r="AC22" s="78">
        <v>1.2146254999999999</v>
      </c>
      <c r="AD22" s="78">
        <v>1.4244185999999999</v>
      </c>
      <c r="AE22" s="78">
        <v>1.2179761500000001</v>
      </c>
      <c r="AF22" s="78">
        <v>1.4170931499999999</v>
      </c>
      <c r="AG22" s="95">
        <v>1.307024</v>
      </c>
      <c r="AH22" s="95">
        <v>1.5463150000000001</v>
      </c>
      <c r="AI22" s="95">
        <v>1.214626</v>
      </c>
      <c r="AJ22" s="95">
        <v>1.4244190000000001</v>
      </c>
      <c r="AK22" s="95">
        <f t="shared" si="8"/>
        <v>1.307024</v>
      </c>
      <c r="AL22" s="95">
        <f t="shared" si="9"/>
        <v>1.5463150000000001</v>
      </c>
    </row>
    <row r="23" spans="1:38" x14ac:dyDescent="0.2">
      <c r="A23" s="60">
        <v>1</v>
      </c>
      <c r="B23" s="55">
        <v>15</v>
      </c>
      <c r="C23" s="61">
        <v>1.1054295704734387</v>
      </c>
      <c r="D23" s="61">
        <v>1.2466439672492604</v>
      </c>
      <c r="E23" s="81">
        <v>1.1208378490265229</v>
      </c>
      <c r="F23" s="81">
        <v>1.2696194684355622</v>
      </c>
      <c r="G23" s="78">
        <v>1.0082371999999999</v>
      </c>
      <c r="H23" s="78">
        <v>1.1260053999999999</v>
      </c>
      <c r="I23" s="78">
        <v>1.2258099</v>
      </c>
      <c r="J23" s="78">
        <v>1.4047139999999998</v>
      </c>
      <c r="K23" s="78">
        <v>1.2591972</v>
      </c>
      <c r="L23" s="78">
        <v>1.4316040000000001</v>
      </c>
      <c r="M23" s="78">
        <v>1.1119129999999999</v>
      </c>
      <c r="N23" s="78">
        <v>1.264154</v>
      </c>
      <c r="O23" s="78">
        <v>1.2591972</v>
      </c>
      <c r="P23" s="78">
        <v>1.4316040000000001</v>
      </c>
      <c r="Q23" s="78">
        <f t="shared" si="10"/>
        <v>1.29067713</v>
      </c>
      <c r="R23" s="78">
        <f t="shared" si="0"/>
        <v>1.4673940999999999</v>
      </c>
      <c r="S23" s="78">
        <f t="shared" si="11"/>
        <v>1.1397108249999999</v>
      </c>
      <c r="T23" s="78">
        <f t="shared" si="1"/>
        <v>1.29575785</v>
      </c>
      <c r="U23" s="78">
        <f t="shared" si="2"/>
        <v>1.29067713</v>
      </c>
      <c r="V23" s="78">
        <f t="shared" si="3"/>
        <v>1.4673940999999999</v>
      </c>
      <c r="W23" s="78">
        <f t="shared" si="12"/>
        <v>1.208829312</v>
      </c>
      <c r="X23" s="78">
        <f t="shared" si="4"/>
        <v>1.37433984</v>
      </c>
      <c r="Y23" s="78">
        <f t="shared" si="13"/>
        <v>1.0674364799999998</v>
      </c>
      <c r="Z23" s="78">
        <f t="shared" si="5"/>
        <v>1.21358784</v>
      </c>
      <c r="AA23" s="78">
        <f t="shared" si="6"/>
        <v>1.208829312</v>
      </c>
      <c r="AB23" s="78">
        <f t="shared" si="7"/>
        <v>1.37433984</v>
      </c>
      <c r="AC23" s="78">
        <v>1.1822937</v>
      </c>
      <c r="AD23" s="78">
        <v>1.3548465999999999</v>
      </c>
      <c r="AE23" s="78">
        <v>1.1855551</v>
      </c>
      <c r="AF23" s="78">
        <v>1.347879</v>
      </c>
      <c r="AG23" s="95">
        <v>1.272232</v>
      </c>
      <c r="AH23" s="95">
        <v>1.4707889999999999</v>
      </c>
      <c r="AI23" s="95">
        <v>1.182294</v>
      </c>
      <c r="AJ23" s="95">
        <v>1.3548469999999999</v>
      </c>
      <c r="AK23" s="95">
        <f t="shared" si="8"/>
        <v>1.272232</v>
      </c>
      <c r="AL23" s="95">
        <f t="shared" si="9"/>
        <v>1.4707889999999999</v>
      </c>
    </row>
    <row r="24" spans="1:38" x14ac:dyDescent="0.2">
      <c r="A24" s="60">
        <v>1</v>
      </c>
      <c r="B24" s="55">
        <v>16</v>
      </c>
      <c r="C24" s="61">
        <v>1.0899812401008908</v>
      </c>
      <c r="D24" s="61">
        <v>1.2100222551524169</v>
      </c>
      <c r="E24" s="81">
        <v>1.1051144014048577</v>
      </c>
      <c r="F24" s="81">
        <v>1.2321794853628842</v>
      </c>
      <c r="G24" s="78">
        <v>1.0043541</v>
      </c>
      <c r="H24" s="78">
        <v>1.1073986</v>
      </c>
      <c r="I24" s="78">
        <v>1.1982755</v>
      </c>
      <c r="J24" s="78">
        <v>1.3485815999999999</v>
      </c>
      <c r="K24" s="78">
        <v>1.2309128</v>
      </c>
      <c r="L24" s="78">
        <v>1.3743970999999999</v>
      </c>
      <c r="M24" s="78">
        <v>1.086937</v>
      </c>
      <c r="N24" s="78">
        <v>1.2136384</v>
      </c>
      <c r="O24" s="78">
        <v>1.2309128</v>
      </c>
      <c r="P24" s="78">
        <v>1.3743970999999999</v>
      </c>
      <c r="Q24" s="78">
        <f t="shared" si="10"/>
        <v>1.26168562</v>
      </c>
      <c r="R24" s="78">
        <f t="shared" si="0"/>
        <v>1.4087570274999999</v>
      </c>
      <c r="S24" s="78">
        <f t="shared" si="11"/>
        <v>1.114110425</v>
      </c>
      <c r="T24" s="78">
        <f t="shared" si="1"/>
        <v>1.24397936</v>
      </c>
      <c r="U24" s="78">
        <f t="shared" si="2"/>
        <v>1.26168562</v>
      </c>
      <c r="V24" s="78">
        <f t="shared" si="3"/>
        <v>1.4087570274999999</v>
      </c>
      <c r="W24" s="78">
        <f t="shared" si="12"/>
        <v>1.181676288</v>
      </c>
      <c r="X24" s="78">
        <f t="shared" si="4"/>
        <v>1.3194212159999998</v>
      </c>
      <c r="Y24" s="78">
        <f t="shared" si="13"/>
        <v>1.0434595200000001</v>
      </c>
      <c r="Z24" s="78">
        <f t="shared" si="5"/>
        <v>1.165092864</v>
      </c>
      <c r="AA24" s="78">
        <f t="shared" si="6"/>
        <v>1.181676288</v>
      </c>
      <c r="AB24" s="78">
        <f t="shared" si="7"/>
        <v>1.3194212159999998</v>
      </c>
      <c r="AC24" s="78">
        <v>1.1557367000000001</v>
      </c>
      <c r="AD24" s="78">
        <v>1.3007069000000002</v>
      </c>
      <c r="AE24" s="78">
        <v>1.1589249000000001</v>
      </c>
      <c r="AF24" s="78">
        <v>1.2940177500000001</v>
      </c>
      <c r="AG24" s="95">
        <v>1.243655</v>
      </c>
      <c r="AH24" s="95">
        <v>1.4120159999999999</v>
      </c>
      <c r="AI24" s="95">
        <v>1.155737</v>
      </c>
      <c r="AJ24" s="95">
        <v>1.3007070000000001</v>
      </c>
      <c r="AK24" s="95">
        <f t="shared" si="8"/>
        <v>1.243655</v>
      </c>
      <c r="AL24" s="95">
        <f t="shared" si="9"/>
        <v>1.4120159999999999</v>
      </c>
    </row>
    <row r="25" spans="1:38" x14ac:dyDescent="0.2">
      <c r="A25" s="60">
        <v>1</v>
      </c>
      <c r="B25" s="55">
        <v>17</v>
      </c>
      <c r="C25" s="61">
        <v>1.0707705105621328</v>
      </c>
      <c r="D25" s="61">
        <v>1.187223127537415</v>
      </c>
      <c r="E25" s="81">
        <v>1.0854743240685354</v>
      </c>
      <c r="F25" s="81">
        <v>1.2086418515137851</v>
      </c>
      <c r="G25" s="78">
        <v>1.0144168</v>
      </c>
      <c r="H25" s="78">
        <v>1.1189427000000001</v>
      </c>
      <c r="I25" s="78">
        <v>1.1488566</v>
      </c>
      <c r="J25" s="78">
        <v>1.2898748</v>
      </c>
      <c r="K25" s="78">
        <v>1.1801479000000001</v>
      </c>
      <c r="L25" s="78">
        <v>1.3145665</v>
      </c>
      <c r="M25" s="78">
        <v>1.0421098</v>
      </c>
      <c r="N25" s="78">
        <v>1.160806</v>
      </c>
      <c r="O25" s="78">
        <v>1.1801479000000001</v>
      </c>
      <c r="P25" s="78">
        <v>1.3145665</v>
      </c>
      <c r="Q25" s="78">
        <f t="shared" si="10"/>
        <v>1.2096515975</v>
      </c>
      <c r="R25" s="78">
        <f t="shared" si="0"/>
        <v>1.3474306624999999</v>
      </c>
      <c r="S25" s="78">
        <f t="shared" si="11"/>
        <v>1.0681625449999999</v>
      </c>
      <c r="T25" s="78">
        <f t="shared" si="1"/>
        <v>1.1898261499999998</v>
      </c>
      <c r="U25" s="78">
        <f t="shared" si="2"/>
        <v>1.2096515975</v>
      </c>
      <c r="V25" s="78">
        <f t="shared" si="3"/>
        <v>1.3474306624999999</v>
      </c>
      <c r="W25" s="78">
        <f t="shared" si="12"/>
        <v>1.1329419840000001</v>
      </c>
      <c r="X25" s="78">
        <f t="shared" si="4"/>
        <v>1.2619838399999999</v>
      </c>
      <c r="Y25" s="78">
        <f t="shared" si="13"/>
        <v>1.0004254079999999</v>
      </c>
      <c r="Z25" s="78">
        <f t="shared" si="5"/>
        <v>1.1143737599999999</v>
      </c>
      <c r="AA25" s="78">
        <f t="shared" si="6"/>
        <v>1.1329419840000001</v>
      </c>
      <c r="AB25" s="78">
        <f t="shared" si="7"/>
        <v>1.2619838399999999</v>
      </c>
      <c r="AC25" s="78">
        <v>1.1080722000000001</v>
      </c>
      <c r="AD25" s="78">
        <v>1.2440842000000001</v>
      </c>
      <c r="AE25" s="78">
        <v>1.1111288500000001</v>
      </c>
      <c r="AF25" s="78">
        <v>1.2376862499999999</v>
      </c>
      <c r="AG25" s="95">
        <v>1.1923649999999999</v>
      </c>
      <c r="AH25" s="95">
        <v>1.3505480000000001</v>
      </c>
      <c r="AI25" s="95">
        <v>1.1080719999999999</v>
      </c>
      <c r="AJ25" s="95">
        <v>1.244084</v>
      </c>
      <c r="AK25" s="95">
        <f t="shared" si="8"/>
        <v>1.1923649999999999</v>
      </c>
      <c r="AL25" s="95">
        <f t="shared" si="9"/>
        <v>1.3505480000000001</v>
      </c>
    </row>
    <row r="26" spans="1:38" x14ac:dyDescent="0.2">
      <c r="A26" s="60">
        <v>1</v>
      </c>
      <c r="B26" s="55">
        <v>18</v>
      </c>
      <c r="C26" s="61">
        <v>1.0470419777031286</v>
      </c>
      <c r="D26" s="61">
        <v>1.1711884653337366</v>
      </c>
      <c r="E26" s="81">
        <v>1.0613232624852083</v>
      </c>
      <c r="F26" s="81">
        <v>1.1922503851454052</v>
      </c>
      <c r="G26" s="78">
        <v>1.0084439000000001</v>
      </c>
      <c r="H26" s="78">
        <v>1.1106471999999998</v>
      </c>
      <c r="I26" s="78">
        <v>1.1065725</v>
      </c>
      <c r="J26" s="78">
        <v>1.2654501999999999</v>
      </c>
      <c r="K26" s="78">
        <v>1.1367121</v>
      </c>
      <c r="L26" s="78">
        <v>1.2896744</v>
      </c>
      <c r="M26" s="78">
        <v>1.0037545999999999</v>
      </c>
      <c r="N26" s="78">
        <v>1.1388254</v>
      </c>
      <c r="O26" s="78">
        <v>1.1367121</v>
      </c>
      <c r="P26" s="78">
        <v>1.2896744</v>
      </c>
      <c r="Q26" s="78">
        <f t="shared" si="10"/>
        <v>1.1651299024999999</v>
      </c>
      <c r="R26" s="78">
        <f t="shared" si="0"/>
        <v>1.3219162599999998</v>
      </c>
      <c r="S26" s="78">
        <f t="shared" si="11"/>
        <v>1.0288484649999998</v>
      </c>
      <c r="T26" s="78">
        <f t="shared" si="1"/>
        <v>1.1672960349999999</v>
      </c>
      <c r="U26" s="78">
        <f t="shared" si="2"/>
        <v>1.1651299024999999</v>
      </c>
      <c r="V26" s="78">
        <f t="shared" si="3"/>
        <v>1.3219162599999998</v>
      </c>
      <c r="W26" s="78">
        <f t="shared" si="12"/>
        <v>1.0912436159999999</v>
      </c>
      <c r="X26" s="78">
        <f t="shared" si="4"/>
        <v>1.2380874239999999</v>
      </c>
      <c r="Y26" s="78">
        <f t="shared" si="13"/>
        <v>0.96360441599999991</v>
      </c>
      <c r="Z26" s="78">
        <f t="shared" si="5"/>
        <v>1.093272384</v>
      </c>
      <c r="AA26" s="78">
        <f t="shared" si="6"/>
        <v>1.0912436159999999</v>
      </c>
      <c r="AB26" s="78">
        <f t="shared" si="7"/>
        <v>1.2380874239999999</v>
      </c>
      <c r="AC26" s="78">
        <v>1.0672892</v>
      </c>
      <c r="AD26" s="78">
        <v>1.2205267</v>
      </c>
      <c r="AE26" s="78">
        <v>1.0702333500000001</v>
      </c>
      <c r="AF26" s="78">
        <v>1.2142499</v>
      </c>
      <c r="AG26" s="95">
        <v>1.148479</v>
      </c>
      <c r="AH26" s="95">
        <v>1.324975</v>
      </c>
      <c r="AI26" s="95">
        <v>1.0672889999999999</v>
      </c>
      <c r="AJ26" s="95">
        <v>1.2205269999999999</v>
      </c>
      <c r="AK26" s="95">
        <f t="shared" si="8"/>
        <v>1.148479</v>
      </c>
      <c r="AL26" s="95">
        <f t="shared" si="9"/>
        <v>1.324975</v>
      </c>
    </row>
    <row r="27" spans="1:38" x14ac:dyDescent="0.2">
      <c r="A27" s="60">
        <v>1</v>
      </c>
      <c r="B27" s="55">
        <v>19</v>
      </c>
      <c r="C27" s="61">
        <v>1.0382413376898958</v>
      </c>
      <c r="D27" s="61">
        <v>1.1586345381526104</v>
      </c>
      <c r="E27" s="81">
        <v>1.0523562736623508</v>
      </c>
      <c r="F27" s="81">
        <v>1.1793349204748176</v>
      </c>
      <c r="G27" s="78">
        <v>1.0078740000000002</v>
      </c>
      <c r="H27" s="78">
        <v>1.1124498</v>
      </c>
      <c r="I27" s="78">
        <v>1.0892127</v>
      </c>
      <c r="J27" s="78">
        <v>1.237803</v>
      </c>
      <c r="K27" s="78">
        <v>1.1188795</v>
      </c>
      <c r="L27" s="78">
        <v>1.2614978999999999</v>
      </c>
      <c r="M27" s="78">
        <v>0.98800779999999999</v>
      </c>
      <c r="N27" s="78">
        <v>1.1139446</v>
      </c>
      <c r="O27" s="78">
        <v>1.1188795</v>
      </c>
      <c r="P27" s="78">
        <v>1.2614978999999999</v>
      </c>
      <c r="Q27" s="78">
        <f t="shared" si="10"/>
        <v>1.1468514875</v>
      </c>
      <c r="R27" s="78">
        <f t="shared" si="0"/>
        <v>1.2930353474999998</v>
      </c>
      <c r="S27" s="78">
        <f t="shared" si="11"/>
        <v>1.012707995</v>
      </c>
      <c r="T27" s="78">
        <f t="shared" si="1"/>
        <v>1.1417932149999999</v>
      </c>
      <c r="U27" s="78">
        <f t="shared" si="2"/>
        <v>1.1468514875</v>
      </c>
      <c r="V27" s="78">
        <f t="shared" si="3"/>
        <v>1.2930353474999998</v>
      </c>
      <c r="W27" s="78">
        <f t="shared" si="12"/>
        <v>1.0741243199999999</v>
      </c>
      <c r="X27" s="78">
        <f t="shared" si="4"/>
        <v>1.2110379839999998</v>
      </c>
      <c r="Y27" s="78">
        <f t="shared" si="13"/>
        <v>0.94848748799999993</v>
      </c>
      <c r="Z27" s="78">
        <f t="shared" si="5"/>
        <v>1.069386816</v>
      </c>
      <c r="AA27" s="78">
        <f t="shared" si="6"/>
        <v>1.0741243199999999</v>
      </c>
      <c r="AB27" s="78">
        <f t="shared" si="7"/>
        <v>1.2110379839999998</v>
      </c>
      <c r="AC27" s="78">
        <v>1.0505457</v>
      </c>
      <c r="AD27" s="78">
        <v>1.1938610000000001</v>
      </c>
      <c r="AE27" s="78">
        <v>1.05344365</v>
      </c>
      <c r="AF27" s="78">
        <v>1.1877212500000001</v>
      </c>
      <c r="AG27" s="95">
        <v>1.1304620000000001</v>
      </c>
      <c r="AH27" s="95">
        <v>1.296027</v>
      </c>
      <c r="AI27" s="95">
        <v>1.050546</v>
      </c>
      <c r="AJ27" s="95">
        <v>1.1938610000000001</v>
      </c>
      <c r="AK27" s="95">
        <f t="shared" si="8"/>
        <v>1.1304620000000001</v>
      </c>
      <c r="AL27" s="95">
        <f t="shared" si="9"/>
        <v>1.296027</v>
      </c>
    </row>
    <row r="28" spans="1:38" x14ac:dyDescent="0.2">
      <c r="A28" s="60">
        <v>1</v>
      </c>
      <c r="B28" s="55">
        <v>20</v>
      </c>
      <c r="C28" s="61">
        <v>1.0399553621446926</v>
      </c>
      <c r="D28" s="61">
        <v>1.1559439568956786</v>
      </c>
      <c r="E28" s="81">
        <v>1.0539831676356572</v>
      </c>
      <c r="F28" s="81">
        <v>1.1764680910416085</v>
      </c>
      <c r="G28" s="78">
        <v>1.0283911999999999</v>
      </c>
      <c r="H28" s="78">
        <v>1.1228069999999999</v>
      </c>
      <c r="I28" s="78">
        <v>1.0717941</v>
      </c>
      <c r="J28" s="78">
        <v>1.2216336999999999</v>
      </c>
      <c r="K28" s="78">
        <v>1.1009865000000001</v>
      </c>
      <c r="L28" s="78">
        <v>1.2450192</v>
      </c>
      <c r="M28" s="78">
        <v>0.97220770000000001</v>
      </c>
      <c r="N28" s="78">
        <v>1.0993933</v>
      </c>
      <c r="O28" s="78">
        <v>1.1009865000000001</v>
      </c>
      <c r="P28" s="78">
        <v>1.2450192</v>
      </c>
      <c r="Q28" s="78">
        <f t="shared" si="10"/>
        <v>1.1285111624999999</v>
      </c>
      <c r="R28" s="78">
        <f t="shared" si="0"/>
        <v>1.2761446799999998</v>
      </c>
      <c r="S28" s="78">
        <f t="shared" si="11"/>
        <v>0.99651289249999997</v>
      </c>
      <c r="T28" s="78">
        <f t="shared" si="1"/>
        <v>1.1268781324999999</v>
      </c>
      <c r="U28" s="78">
        <f t="shared" si="2"/>
        <v>1.1285111624999999</v>
      </c>
      <c r="V28" s="78">
        <f t="shared" si="3"/>
        <v>1.2761446799999998</v>
      </c>
      <c r="W28" s="78">
        <f t="shared" si="12"/>
        <v>1.0569470400000001</v>
      </c>
      <c r="X28" s="78">
        <f t="shared" si="4"/>
        <v>1.1952184319999999</v>
      </c>
      <c r="Y28" s="78">
        <f t="shared" si="13"/>
        <v>0.93331939200000003</v>
      </c>
      <c r="Z28" s="78">
        <f t="shared" si="5"/>
        <v>1.055417568</v>
      </c>
      <c r="AA28" s="78">
        <f t="shared" si="6"/>
        <v>1.0569470400000001</v>
      </c>
      <c r="AB28" s="78">
        <f t="shared" si="7"/>
        <v>1.1952184319999999</v>
      </c>
      <c r="AC28" s="78">
        <v>1.0337453999999999</v>
      </c>
      <c r="AD28" s="78">
        <v>1.1782657000000001</v>
      </c>
      <c r="AE28" s="78">
        <v>1.0365971</v>
      </c>
      <c r="AF28" s="78">
        <v>1.1722062499999999</v>
      </c>
      <c r="AG28" s="95">
        <v>1.112384</v>
      </c>
      <c r="AH28" s="95">
        <v>1.2790969999999999</v>
      </c>
      <c r="AI28" s="95">
        <v>1.0337449999999999</v>
      </c>
      <c r="AJ28" s="95">
        <v>1.178266</v>
      </c>
      <c r="AK28" s="95">
        <f t="shared" si="8"/>
        <v>1.112384</v>
      </c>
      <c r="AL28" s="95">
        <f t="shared" si="9"/>
        <v>1.2790969999999999</v>
      </c>
    </row>
    <row r="29" spans="1:38" x14ac:dyDescent="0.2">
      <c r="A29" s="60">
        <v>1</v>
      </c>
      <c r="B29" s="55">
        <v>21</v>
      </c>
      <c r="C29" s="61">
        <v>1.0255365167233557</v>
      </c>
      <c r="D29" s="61">
        <v>1.1368821292775666</v>
      </c>
      <c r="E29" s="81">
        <v>1.0393375320530795</v>
      </c>
      <c r="F29" s="81">
        <v>1.1571592847021428</v>
      </c>
      <c r="G29" s="78">
        <v>1.0196464000000001</v>
      </c>
      <c r="H29" s="78">
        <v>1.0950569999999999</v>
      </c>
      <c r="I29" s="78">
        <v>1.0513138</v>
      </c>
      <c r="J29" s="78">
        <v>1.2109761000000001</v>
      </c>
      <c r="K29" s="78">
        <v>1.0799483999999999</v>
      </c>
      <c r="L29" s="78">
        <v>1.2341575</v>
      </c>
      <c r="M29" s="78">
        <v>0.95363029999999993</v>
      </c>
      <c r="N29" s="78">
        <v>1.0898021</v>
      </c>
      <c r="O29" s="78">
        <v>1.0799483999999999</v>
      </c>
      <c r="P29" s="78">
        <v>1.2341575</v>
      </c>
      <c r="Q29" s="78">
        <f t="shared" si="10"/>
        <v>1.1069471099999999</v>
      </c>
      <c r="R29" s="78">
        <f t="shared" si="0"/>
        <v>1.2650114374999999</v>
      </c>
      <c r="S29" s="78">
        <f t="shared" si="11"/>
        <v>0.97747105749999985</v>
      </c>
      <c r="T29" s="78">
        <f t="shared" si="1"/>
        <v>1.1170471524999999</v>
      </c>
      <c r="U29" s="78">
        <f t="shared" si="2"/>
        <v>1.1069471099999999</v>
      </c>
      <c r="V29" s="78">
        <f t="shared" si="3"/>
        <v>1.2650114374999999</v>
      </c>
      <c r="W29" s="78">
        <f t="shared" si="12"/>
        <v>1.0367504639999998</v>
      </c>
      <c r="X29" s="78">
        <f t="shared" si="4"/>
        <v>1.1847912</v>
      </c>
      <c r="Y29" s="78">
        <f t="shared" si="13"/>
        <v>0.91548508799999995</v>
      </c>
      <c r="Z29" s="78">
        <f t="shared" si="5"/>
        <v>1.0462100159999999</v>
      </c>
      <c r="AA29" s="78">
        <f t="shared" si="6"/>
        <v>1.0367504639999998</v>
      </c>
      <c r="AB29" s="78">
        <f t="shared" si="7"/>
        <v>1.1847912</v>
      </c>
      <c r="AC29" s="78">
        <v>1.0139921999999999</v>
      </c>
      <c r="AD29" s="78">
        <v>1.1679864</v>
      </c>
      <c r="AE29" s="78">
        <v>1.0167893499999998</v>
      </c>
      <c r="AF29" s="78">
        <v>1.1619798000000001</v>
      </c>
      <c r="AG29" s="95">
        <v>1.0911280000000001</v>
      </c>
      <c r="AH29" s="95">
        <v>1.267938</v>
      </c>
      <c r="AI29" s="95">
        <v>1.013992</v>
      </c>
      <c r="AJ29" s="95">
        <v>1.167986</v>
      </c>
      <c r="AK29" s="95">
        <f t="shared" si="8"/>
        <v>1.0911280000000001</v>
      </c>
      <c r="AL29" s="95">
        <f t="shared" si="9"/>
        <v>1.267938</v>
      </c>
    </row>
    <row r="30" spans="1:38" x14ac:dyDescent="0.2">
      <c r="A30" s="60">
        <v>1</v>
      </c>
      <c r="B30" s="55">
        <v>22</v>
      </c>
      <c r="C30" s="61">
        <v>1.0182611405536115</v>
      </c>
      <c r="D30" s="61">
        <v>1.1319702602230484</v>
      </c>
      <c r="E30" s="81">
        <v>1.0319032236125734</v>
      </c>
      <c r="F30" s="81">
        <v>1.1519498370039887</v>
      </c>
      <c r="G30" s="78">
        <v>1.0228310999999999</v>
      </c>
      <c r="H30" s="78">
        <v>1.1115242000000001</v>
      </c>
      <c r="I30" s="78">
        <v>1.0332364000000001</v>
      </c>
      <c r="J30" s="78">
        <v>1.1839655</v>
      </c>
      <c r="K30" s="78">
        <v>1.0613786000000001</v>
      </c>
      <c r="L30" s="78">
        <v>1.2066298</v>
      </c>
      <c r="M30" s="78">
        <v>0.93723259999999997</v>
      </c>
      <c r="N30" s="78">
        <v>1.0654943000000001</v>
      </c>
      <c r="O30" s="78">
        <v>1.0613786000000001</v>
      </c>
      <c r="P30" s="78">
        <v>1.2066298</v>
      </c>
      <c r="Q30" s="78">
        <f t="shared" si="10"/>
        <v>1.087913065</v>
      </c>
      <c r="R30" s="78">
        <f t="shared" si="0"/>
        <v>1.2367955449999999</v>
      </c>
      <c r="S30" s="78">
        <f t="shared" si="11"/>
        <v>0.96066341499999985</v>
      </c>
      <c r="T30" s="78">
        <f t="shared" si="1"/>
        <v>1.0921316575</v>
      </c>
      <c r="U30" s="78">
        <f t="shared" si="2"/>
        <v>1.087913065</v>
      </c>
      <c r="V30" s="78">
        <f t="shared" si="3"/>
        <v>1.2367955449999999</v>
      </c>
      <c r="W30" s="78">
        <f t="shared" si="12"/>
        <v>1.018923456</v>
      </c>
      <c r="X30" s="78">
        <f t="shared" si="4"/>
        <v>1.1583646079999999</v>
      </c>
      <c r="Y30" s="78">
        <f t="shared" si="13"/>
        <v>0.89974329599999991</v>
      </c>
      <c r="Z30" s="78">
        <f t="shared" si="5"/>
        <v>1.022874528</v>
      </c>
      <c r="AA30" s="78">
        <f t="shared" si="6"/>
        <v>1.018923456</v>
      </c>
      <c r="AB30" s="78">
        <f t="shared" si="7"/>
        <v>1.1583646079999999</v>
      </c>
      <c r="AC30" s="78">
        <v>0.99655649999999996</v>
      </c>
      <c r="AD30" s="78">
        <v>1.1419347</v>
      </c>
      <c r="AE30" s="78">
        <v>0.99930560000000002</v>
      </c>
      <c r="AF30" s="78">
        <v>1.13606205</v>
      </c>
      <c r="AG30" s="95">
        <v>1.0723659999999999</v>
      </c>
      <c r="AH30" s="95">
        <v>1.239657</v>
      </c>
      <c r="AI30" s="95">
        <v>0.99655700000000003</v>
      </c>
      <c r="AJ30" s="95">
        <v>1.1419349999999999</v>
      </c>
      <c r="AK30" s="95">
        <f t="shared" si="8"/>
        <v>1.0723659999999999</v>
      </c>
      <c r="AL30" s="95">
        <f t="shared" si="9"/>
        <v>1.239657</v>
      </c>
    </row>
    <row r="31" spans="1:38" x14ac:dyDescent="0.2">
      <c r="A31" s="60">
        <v>1</v>
      </c>
      <c r="B31" s="55">
        <v>23</v>
      </c>
      <c r="C31" s="61">
        <v>1.0008402732331456</v>
      </c>
      <c r="D31" s="61">
        <v>1.1133455210237662</v>
      </c>
      <c r="E31" s="81">
        <v>1.0141961620882827</v>
      </c>
      <c r="F31" s="81">
        <v>1.132996366194051</v>
      </c>
      <c r="G31" s="78">
        <v>1.014346</v>
      </c>
      <c r="H31" s="78">
        <v>1.0932358</v>
      </c>
      <c r="I31" s="78">
        <v>1.0063716</v>
      </c>
      <c r="J31" s="78">
        <v>1.1644852000000001</v>
      </c>
      <c r="K31" s="78">
        <v>1.033782</v>
      </c>
      <c r="L31" s="78">
        <v>1.1867767</v>
      </c>
      <c r="M31" s="78">
        <v>0.91286389999999995</v>
      </c>
      <c r="N31" s="78">
        <v>1.0479632999999999</v>
      </c>
      <c r="O31" s="78">
        <v>1.033782</v>
      </c>
      <c r="P31" s="78">
        <v>1.1867767</v>
      </c>
      <c r="Q31" s="78">
        <f t="shared" si="10"/>
        <v>1.0596265499999999</v>
      </c>
      <c r="R31" s="78">
        <f t="shared" si="0"/>
        <v>1.2164461174999999</v>
      </c>
      <c r="S31" s="78">
        <f t="shared" si="11"/>
        <v>0.93568549749999985</v>
      </c>
      <c r="T31" s="78">
        <f t="shared" si="1"/>
        <v>1.0741623824999997</v>
      </c>
      <c r="U31" s="78">
        <f t="shared" si="2"/>
        <v>1.0596265499999999</v>
      </c>
      <c r="V31" s="78">
        <f t="shared" si="3"/>
        <v>1.2164461174999999</v>
      </c>
      <c r="W31" s="78">
        <f t="shared" si="12"/>
        <v>0.99243071999999999</v>
      </c>
      <c r="X31" s="78">
        <f t="shared" si="4"/>
        <v>1.1393056319999999</v>
      </c>
      <c r="Y31" s="78">
        <f t="shared" si="13"/>
        <v>0.87634934399999997</v>
      </c>
      <c r="Z31" s="78">
        <f t="shared" si="5"/>
        <v>1.006044768</v>
      </c>
      <c r="AA31" s="78">
        <f t="shared" si="6"/>
        <v>0.99243071999999999</v>
      </c>
      <c r="AB31" s="78">
        <f t="shared" si="7"/>
        <v>1.1393056319999999</v>
      </c>
      <c r="AC31" s="78">
        <v>0.97064539999999999</v>
      </c>
      <c r="AD31" s="78">
        <v>1.123146</v>
      </c>
      <c r="AE31" s="78">
        <v>0.97332295000000002</v>
      </c>
      <c r="AF31" s="78">
        <v>1.11737</v>
      </c>
      <c r="AG31" s="95">
        <v>1.044484</v>
      </c>
      <c r="AH31" s="95">
        <v>1.21926</v>
      </c>
      <c r="AI31" s="95">
        <v>0.97064499999999998</v>
      </c>
      <c r="AJ31" s="95">
        <v>1.123146</v>
      </c>
      <c r="AK31" s="95">
        <f t="shared" si="8"/>
        <v>1.044484</v>
      </c>
      <c r="AL31" s="95">
        <f t="shared" si="9"/>
        <v>1.21926</v>
      </c>
    </row>
    <row r="32" spans="1:38" x14ac:dyDescent="0.2">
      <c r="A32" s="60">
        <v>1</v>
      </c>
      <c r="B32" s="55">
        <v>24</v>
      </c>
      <c r="C32" s="61">
        <v>0.98987859782059129</v>
      </c>
      <c r="D32" s="61">
        <v>1.1231884057971016</v>
      </c>
      <c r="E32" s="81">
        <v>1.0030205550626519</v>
      </c>
      <c r="F32" s="81">
        <v>1.1428120305488489</v>
      </c>
      <c r="G32" s="78">
        <v>1.014786</v>
      </c>
      <c r="H32" s="78">
        <v>1.1231883999999999</v>
      </c>
      <c r="I32" s="78">
        <v>0.98357699999999992</v>
      </c>
      <c r="J32" s="78">
        <v>1.1539374</v>
      </c>
      <c r="K32" s="78">
        <v>1.0103666</v>
      </c>
      <c r="L32" s="78">
        <v>1.1760268999999999</v>
      </c>
      <c r="M32" s="78">
        <v>0.89218729999999991</v>
      </c>
      <c r="N32" s="78">
        <v>1.0384708999999999</v>
      </c>
      <c r="O32" s="78">
        <v>1.0103666</v>
      </c>
      <c r="P32" s="78">
        <v>1.1760268999999999</v>
      </c>
      <c r="Q32" s="78">
        <f t="shared" si="10"/>
        <v>1.0356257649999998</v>
      </c>
      <c r="R32" s="78">
        <f t="shared" si="0"/>
        <v>1.2054275724999999</v>
      </c>
      <c r="S32" s="78">
        <f t="shared" si="11"/>
        <v>0.91449198249999986</v>
      </c>
      <c r="T32" s="78">
        <f t="shared" si="1"/>
        <v>1.0644326724999997</v>
      </c>
      <c r="U32" s="78">
        <f t="shared" si="2"/>
        <v>1.0356257649999998</v>
      </c>
      <c r="V32" s="78">
        <f t="shared" si="3"/>
        <v>1.2054275724999999</v>
      </c>
      <c r="W32" s="78">
        <f t="shared" si="12"/>
        <v>0.96995193599999996</v>
      </c>
      <c r="X32" s="78">
        <f t="shared" si="4"/>
        <v>1.1289858239999999</v>
      </c>
      <c r="Y32" s="78">
        <f t="shared" si="13"/>
        <v>0.85649980799999992</v>
      </c>
      <c r="Z32" s="78">
        <f t="shared" si="5"/>
        <v>0.99693206399999978</v>
      </c>
      <c r="AA32" s="78">
        <f t="shared" si="6"/>
        <v>0.96995193599999996</v>
      </c>
      <c r="AB32" s="78">
        <f t="shared" si="7"/>
        <v>1.1289858239999999</v>
      </c>
      <c r="AC32" s="78">
        <v>0.94865999999999995</v>
      </c>
      <c r="AD32" s="78">
        <v>1.1129726</v>
      </c>
      <c r="AE32" s="78">
        <v>0.95127695000000001</v>
      </c>
      <c r="AF32" s="78">
        <v>1.1072488999999999</v>
      </c>
      <c r="AG32" s="95">
        <v>1.020826</v>
      </c>
      <c r="AH32" s="95">
        <v>1.208216</v>
      </c>
      <c r="AI32" s="95">
        <v>0.94865999999999995</v>
      </c>
      <c r="AJ32" s="95">
        <v>1.112973</v>
      </c>
      <c r="AK32" s="95">
        <f t="shared" si="8"/>
        <v>1.020826</v>
      </c>
      <c r="AL32" s="95">
        <f t="shared" si="9"/>
        <v>1.208216</v>
      </c>
    </row>
    <row r="33" spans="1:38" x14ac:dyDescent="0.2">
      <c r="A33" s="60">
        <v>1</v>
      </c>
      <c r="B33" s="55">
        <v>25</v>
      </c>
      <c r="C33" s="61">
        <v>0.97923779417573964</v>
      </c>
      <c r="D33" s="61">
        <v>1.1140806147591025</v>
      </c>
      <c r="E33" s="81">
        <v>0.99213959843855681</v>
      </c>
      <c r="F33" s="81">
        <v>1.133633381325819</v>
      </c>
      <c r="G33" s="78">
        <v>1.0207588000000001</v>
      </c>
      <c r="H33" s="78">
        <v>1.1051693</v>
      </c>
      <c r="I33" s="78">
        <v>0.95579710000000007</v>
      </c>
      <c r="J33" s="78">
        <v>1.1537355</v>
      </c>
      <c r="K33" s="78">
        <v>0.98183009999999993</v>
      </c>
      <c r="L33" s="78">
        <v>1.1758211000000001</v>
      </c>
      <c r="M33" s="78">
        <v>0.8669886</v>
      </c>
      <c r="N33" s="78">
        <v>1.0382891999999999</v>
      </c>
      <c r="O33" s="78">
        <v>0.98183009999999993</v>
      </c>
      <c r="P33" s="78">
        <v>1.1758211000000001</v>
      </c>
      <c r="Q33" s="78">
        <f t="shared" si="10"/>
        <v>1.0063758524999999</v>
      </c>
      <c r="R33" s="78">
        <f t="shared" si="0"/>
        <v>1.2052166275</v>
      </c>
      <c r="S33" s="78">
        <f t="shared" si="11"/>
        <v>0.88866331499999995</v>
      </c>
      <c r="T33" s="78">
        <f t="shared" si="1"/>
        <v>1.0642464299999999</v>
      </c>
      <c r="U33" s="78">
        <f t="shared" si="2"/>
        <v>1.0063758524999999</v>
      </c>
      <c r="V33" s="78">
        <f t="shared" si="3"/>
        <v>1.2052166275</v>
      </c>
      <c r="W33" s="78">
        <f t="shared" si="12"/>
        <v>0.94255689599999992</v>
      </c>
      <c r="X33" s="78">
        <f t="shared" si="4"/>
        <v>1.128788256</v>
      </c>
      <c r="Y33" s="78">
        <f t="shared" si="13"/>
        <v>0.83230905599999994</v>
      </c>
      <c r="Z33" s="78">
        <f t="shared" si="5"/>
        <v>0.99675763199999989</v>
      </c>
      <c r="AA33" s="78">
        <f t="shared" si="6"/>
        <v>0.94255689599999992</v>
      </c>
      <c r="AB33" s="78">
        <f t="shared" si="7"/>
        <v>1.128788256</v>
      </c>
      <c r="AC33" s="78">
        <v>0.92186629999999992</v>
      </c>
      <c r="AD33" s="78">
        <v>1.1127778000000002</v>
      </c>
      <c r="AE33" s="78">
        <v>0.92440934999999991</v>
      </c>
      <c r="AF33" s="78">
        <v>1.1070551499999999</v>
      </c>
      <c r="AG33" s="95">
        <v>0.99199400000000004</v>
      </c>
      <c r="AH33" s="95">
        <v>1.208005</v>
      </c>
      <c r="AI33" s="95">
        <v>0.92186599999999996</v>
      </c>
      <c r="AJ33" s="95">
        <v>1.112778</v>
      </c>
      <c r="AK33" s="95">
        <f t="shared" si="8"/>
        <v>0.99199400000000004</v>
      </c>
      <c r="AL33" s="95">
        <f t="shared" si="9"/>
        <v>1.208005</v>
      </c>
    </row>
    <row r="34" spans="1:38" x14ac:dyDescent="0.2">
      <c r="A34" s="60">
        <v>1</v>
      </c>
      <c r="B34" s="55">
        <v>26</v>
      </c>
      <c r="C34" s="61">
        <v>0.9678261721698217</v>
      </c>
      <c r="D34" s="61">
        <v>1.1254341461184314</v>
      </c>
      <c r="E34" s="81">
        <v>0.98048820735809783</v>
      </c>
      <c r="F34" s="81">
        <v>1.1451660184462507</v>
      </c>
      <c r="G34" s="78">
        <v>1.0241286999999999</v>
      </c>
      <c r="H34" s="78">
        <v>1.1184669</v>
      </c>
      <c r="I34" s="78">
        <v>0.92909890000000006</v>
      </c>
      <c r="J34" s="78">
        <v>1.1634026</v>
      </c>
      <c r="K34" s="78">
        <v>0.95440469999999999</v>
      </c>
      <c r="L34" s="78">
        <v>1.1856732999999999</v>
      </c>
      <c r="M34" s="78">
        <v>0.84277109999999988</v>
      </c>
      <c r="N34" s="78">
        <v>1.0469889000000001</v>
      </c>
      <c r="O34" s="78">
        <v>0.95440469999999999</v>
      </c>
      <c r="P34" s="78">
        <v>1.1856732999999999</v>
      </c>
      <c r="Q34" s="78">
        <f t="shared" si="10"/>
        <v>0.97826481749999994</v>
      </c>
      <c r="R34" s="78">
        <f t="shared" si="0"/>
        <v>1.2153151324999998</v>
      </c>
      <c r="S34" s="78">
        <f t="shared" si="11"/>
        <v>0.86384037749999976</v>
      </c>
      <c r="T34" s="78">
        <f t="shared" si="1"/>
        <v>1.0731636225000001</v>
      </c>
      <c r="U34" s="78">
        <f t="shared" si="2"/>
        <v>0.97826481749999994</v>
      </c>
      <c r="V34" s="78">
        <f t="shared" si="3"/>
        <v>1.2153151324999998</v>
      </c>
      <c r="W34" s="78">
        <f t="shared" si="12"/>
        <v>0.91622851199999999</v>
      </c>
      <c r="X34" s="78">
        <f t="shared" si="4"/>
        <v>1.1382463679999999</v>
      </c>
      <c r="Y34" s="78">
        <f t="shared" si="13"/>
        <v>0.80906025599999987</v>
      </c>
      <c r="Z34" s="78">
        <f t="shared" si="5"/>
        <v>1.0051093440000001</v>
      </c>
      <c r="AA34" s="78">
        <f t="shared" si="6"/>
        <v>0.91622851199999999</v>
      </c>
      <c r="AB34" s="78">
        <f t="shared" si="7"/>
        <v>1.1382463679999999</v>
      </c>
      <c r="AC34" s="78">
        <v>0.89611590000000008</v>
      </c>
      <c r="AD34" s="78">
        <v>1.1221018</v>
      </c>
      <c r="AE34" s="78">
        <v>0.89858789999999988</v>
      </c>
      <c r="AF34" s="78">
        <v>1.1163311</v>
      </c>
      <c r="AG34" s="95">
        <v>0.96428499999999995</v>
      </c>
      <c r="AH34" s="95">
        <v>1.218127</v>
      </c>
      <c r="AI34" s="95">
        <v>0.89611600000000002</v>
      </c>
      <c r="AJ34" s="95">
        <v>1.1221019999999999</v>
      </c>
      <c r="AK34" s="95">
        <f t="shared" si="8"/>
        <v>0.96428499999999995</v>
      </c>
      <c r="AL34" s="95">
        <f t="shared" si="9"/>
        <v>1.218127</v>
      </c>
    </row>
    <row r="35" spans="1:38" x14ac:dyDescent="0.2">
      <c r="A35" s="60">
        <v>1</v>
      </c>
      <c r="B35" s="55">
        <v>27</v>
      </c>
      <c r="C35" s="61">
        <v>0.9652252564159749</v>
      </c>
      <c r="D35" s="61">
        <v>1.1118630082438177</v>
      </c>
      <c r="E35" s="81">
        <v>0.97784646594756663</v>
      </c>
      <c r="F35" s="81">
        <v>1.1315237859278566</v>
      </c>
      <c r="G35" s="78">
        <v>1.022537</v>
      </c>
      <c r="H35" s="78">
        <v>1.0881356</v>
      </c>
      <c r="I35" s="78">
        <v>0.9254192</v>
      </c>
      <c r="J35" s="78">
        <v>1.1666789</v>
      </c>
      <c r="K35" s="78">
        <v>0.9506247000000001</v>
      </c>
      <c r="L35" s="78">
        <v>1.1890122999999999</v>
      </c>
      <c r="M35" s="78">
        <v>0.83943319999999999</v>
      </c>
      <c r="N35" s="78">
        <v>1.0499374000000001</v>
      </c>
      <c r="O35" s="78">
        <v>0.9506247000000001</v>
      </c>
      <c r="P35" s="78">
        <v>1.1890122999999999</v>
      </c>
      <c r="Q35" s="78">
        <f t="shared" si="10"/>
        <v>0.97439031750000005</v>
      </c>
      <c r="R35" s="78">
        <f t="shared" si="0"/>
        <v>1.2187376074999998</v>
      </c>
      <c r="S35" s="78">
        <f t="shared" si="11"/>
        <v>0.86041902999999986</v>
      </c>
      <c r="T35" s="78">
        <f t="shared" si="1"/>
        <v>1.076185835</v>
      </c>
      <c r="U35" s="78">
        <f t="shared" si="2"/>
        <v>0.97439031750000005</v>
      </c>
      <c r="V35" s="78">
        <f t="shared" si="3"/>
        <v>1.2187376074999998</v>
      </c>
      <c r="W35" s="78">
        <f t="shared" si="12"/>
        <v>0.91259971200000001</v>
      </c>
      <c r="X35" s="78">
        <f t="shared" si="4"/>
        <v>1.1414518079999998</v>
      </c>
      <c r="Y35" s="78">
        <f t="shared" si="13"/>
        <v>0.80585587199999997</v>
      </c>
      <c r="Z35" s="78">
        <f t="shared" si="5"/>
        <v>1.0079399040000001</v>
      </c>
      <c r="AA35" s="78">
        <f t="shared" si="6"/>
        <v>0.91259971200000001</v>
      </c>
      <c r="AB35" s="78">
        <f t="shared" si="7"/>
        <v>1.1414518079999998</v>
      </c>
      <c r="AC35" s="78">
        <v>0.89256679999999999</v>
      </c>
      <c r="AD35" s="78">
        <v>1.1252617999999999</v>
      </c>
      <c r="AE35" s="78">
        <v>0.89502895000000005</v>
      </c>
      <c r="AF35" s="78">
        <v>1.11947485</v>
      </c>
      <c r="AG35" s="95">
        <v>0.96046500000000001</v>
      </c>
      <c r="AH35" s="95">
        <v>1.221557</v>
      </c>
      <c r="AI35" s="95">
        <v>0.892567</v>
      </c>
      <c r="AJ35" s="95">
        <v>1.125262</v>
      </c>
      <c r="AK35" s="95">
        <f t="shared" si="8"/>
        <v>0.96046500000000001</v>
      </c>
      <c r="AL35" s="95">
        <f t="shared" si="9"/>
        <v>1.221557</v>
      </c>
    </row>
    <row r="36" spans="1:38" x14ac:dyDescent="0.2">
      <c r="A36" s="60">
        <v>1</v>
      </c>
      <c r="B36" s="55">
        <v>28</v>
      </c>
      <c r="C36" s="61">
        <v>0.96743669298906265</v>
      </c>
      <c r="D36" s="61">
        <v>1.1305029359069343</v>
      </c>
      <c r="E36" s="81">
        <v>0.98011151439935518</v>
      </c>
      <c r="F36" s="81">
        <v>1.1503674370287751</v>
      </c>
      <c r="G36" s="78">
        <v>1.0206637000000001</v>
      </c>
      <c r="H36" s="78">
        <v>1.1190864999999999</v>
      </c>
      <c r="I36" s="78">
        <v>0.93183670000000007</v>
      </c>
      <c r="J36" s="78">
        <v>1.1731811000000001</v>
      </c>
      <c r="K36" s="78">
        <v>0.95721710000000004</v>
      </c>
      <c r="L36" s="78">
        <v>1.1956391000000002</v>
      </c>
      <c r="M36" s="78">
        <v>0.84525450000000002</v>
      </c>
      <c r="N36" s="78">
        <v>1.0557890999999999</v>
      </c>
      <c r="O36" s="78">
        <v>0.95721710000000004</v>
      </c>
      <c r="P36" s="78">
        <v>1.1956391000000002</v>
      </c>
      <c r="Q36" s="78">
        <f t="shared" si="10"/>
        <v>0.98114752750000001</v>
      </c>
      <c r="R36" s="78">
        <f t="shared" si="0"/>
        <v>1.2255300775</v>
      </c>
      <c r="S36" s="78">
        <f t="shared" si="11"/>
        <v>0.86638586249999994</v>
      </c>
      <c r="T36" s="78">
        <f t="shared" si="1"/>
        <v>1.0821838274999998</v>
      </c>
      <c r="U36" s="78">
        <f t="shared" si="2"/>
        <v>0.98114752750000001</v>
      </c>
      <c r="V36" s="78">
        <f t="shared" si="3"/>
        <v>1.2255300775</v>
      </c>
      <c r="W36" s="78">
        <f t="shared" si="12"/>
        <v>0.91892841599999997</v>
      </c>
      <c r="X36" s="78">
        <f t="shared" si="4"/>
        <v>1.1478135360000001</v>
      </c>
      <c r="Y36" s="78">
        <f t="shared" si="13"/>
        <v>0.81144432</v>
      </c>
      <c r="Z36" s="78">
        <f t="shared" si="5"/>
        <v>1.013557536</v>
      </c>
      <c r="AA36" s="78">
        <f t="shared" si="6"/>
        <v>0.91892841599999997</v>
      </c>
      <c r="AB36" s="78">
        <f t="shared" si="7"/>
        <v>1.1478135360000001</v>
      </c>
      <c r="AC36" s="78">
        <v>0.89875649999999996</v>
      </c>
      <c r="AD36" s="78">
        <v>1.1315332</v>
      </c>
      <c r="AE36" s="78">
        <v>0.90123580000000003</v>
      </c>
      <c r="AF36" s="78">
        <v>1.1257141000000002</v>
      </c>
      <c r="AG36" s="95">
        <v>0.96712600000000004</v>
      </c>
      <c r="AH36" s="95">
        <v>1.2283649999999999</v>
      </c>
      <c r="AI36" s="95">
        <v>0.89875700000000003</v>
      </c>
      <c r="AJ36" s="95">
        <v>1.1315329999999999</v>
      </c>
      <c r="AK36" s="95">
        <f t="shared" si="8"/>
        <v>0.96712600000000004</v>
      </c>
      <c r="AL36" s="95">
        <f t="shared" si="9"/>
        <v>1.2283649999999999</v>
      </c>
    </row>
    <row r="37" spans="1:38" x14ac:dyDescent="0.2">
      <c r="A37" s="60">
        <v>1</v>
      </c>
      <c r="B37" s="55">
        <v>29</v>
      </c>
      <c r="C37" s="61">
        <v>0.97119871239613564</v>
      </c>
      <c r="D37" s="61">
        <v>1.1284787918172019</v>
      </c>
      <c r="E37" s="81">
        <v>0.98393072012640426</v>
      </c>
      <c r="F37" s="81">
        <v>1.1485167985753379</v>
      </c>
      <c r="G37" s="78">
        <v>1.0232843</v>
      </c>
      <c r="H37" s="78">
        <v>1.0959752</v>
      </c>
      <c r="I37" s="78">
        <v>0.93683470000000002</v>
      </c>
      <c r="J37" s="78">
        <v>1.192766</v>
      </c>
      <c r="K37" s="78">
        <v>0.96235119999999996</v>
      </c>
      <c r="L37" s="78">
        <v>1.2155988</v>
      </c>
      <c r="M37" s="78">
        <v>0.84978809999999994</v>
      </c>
      <c r="N37" s="78">
        <v>1.0734142</v>
      </c>
      <c r="O37" s="78">
        <v>0.96235119999999996</v>
      </c>
      <c r="P37" s="78">
        <v>1.2155988</v>
      </c>
      <c r="Q37" s="78">
        <f t="shared" si="10"/>
        <v>0.98640997999999991</v>
      </c>
      <c r="R37" s="78">
        <f t="shared" si="0"/>
        <v>1.2459887699999999</v>
      </c>
      <c r="S37" s="78">
        <f t="shared" si="11"/>
        <v>0.87103280249999981</v>
      </c>
      <c r="T37" s="78">
        <f t="shared" si="1"/>
        <v>1.100249555</v>
      </c>
      <c r="U37" s="78">
        <f t="shared" si="2"/>
        <v>0.98640997999999991</v>
      </c>
      <c r="V37" s="78">
        <f t="shared" si="3"/>
        <v>1.2459887699999999</v>
      </c>
      <c r="W37" s="78">
        <f t="shared" si="12"/>
        <v>0.92385715199999996</v>
      </c>
      <c r="X37" s="78">
        <f t="shared" si="4"/>
        <v>1.166974848</v>
      </c>
      <c r="Y37" s="78">
        <f t="shared" si="13"/>
        <v>0.81579657599999988</v>
      </c>
      <c r="Z37" s="78">
        <f t="shared" si="5"/>
        <v>1.030477632</v>
      </c>
      <c r="AA37" s="78">
        <f t="shared" si="6"/>
        <v>0.92385715199999996</v>
      </c>
      <c r="AB37" s="78">
        <f t="shared" si="7"/>
        <v>1.166974848</v>
      </c>
      <c r="AC37" s="78">
        <v>0.90357710000000002</v>
      </c>
      <c r="AD37" s="78">
        <v>1.1504228000000001</v>
      </c>
      <c r="AE37" s="78">
        <v>0.90606964999999995</v>
      </c>
      <c r="AF37" s="78">
        <v>1.1445064999999999</v>
      </c>
      <c r="AG37" s="95">
        <v>0.97231299999999998</v>
      </c>
      <c r="AH37" s="95">
        <v>1.2488710000000001</v>
      </c>
      <c r="AI37" s="95">
        <v>0.90357699999999996</v>
      </c>
      <c r="AJ37" s="95">
        <v>1.150423</v>
      </c>
      <c r="AK37" s="95">
        <f t="shared" si="8"/>
        <v>0.97231299999999998</v>
      </c>
      <c r="AL37" s="95">
        <f t="shared" si="9"/>
        <v>1.2488710000000001</v>
      </c>
    </row>
    <row r="38" spans="1:38" x14ac:dyDescent="0.2">
      <c r="A38" s="60">
        <v>1</v>
      </c>
      <c r="B38" s="55">
        <v>30</v>
      </c>
      <c r="C38" s="61">
        <v>0.97406284593211778</v>
      </c>
      <c r="D38" s="61">
        <v>1.1246348545212694</v>
      </c>
      <c r="E38" s="81">
        <v>0.98687341355380598</v>
      </c>
      <c r="F38" s="81">
        <v>1.1446282487470261</v>
      </c>
      <c r="G38" s="78">
        <v>1.0193004000000001</v>
      </c>
      <c r="H38" s="78">
        <v>1.0898551000000001</v>
      </c>
      <c r="I38" s="78">
        <v>0.94673419999999997</v>
      </c>
      <c r="J38" s="78">
        <v>1.1911553000000001</v>
      </c>
      <c r="K38" s="78">
        <v>0.9725203</v>
      </c>
      <c r="L38" s="78">
        <v>1.2139572999999999</v>
      </c>
      <c r="M38" s="78">
        <v>0.85876779999999997</v>
      </c>
      <c r="N38" s="78">
        <v>1.0719647000000001</v>
      </c>
      <c r="O38" s="78">
        <v>0.9725203</v>
      </c>
      <c r="P38" s="78">
        <v>1.2139572999999999</v>
      </c>
      <c r="Q38" s="78">
        <f t="shared" si="10"/>
        <v>0.99683330749999988</v>
      </c>
      <c r="R38" s="78">
        <f t="shared" si="0"/>
        <v>1.2443062324999998</v>
      </c>
      <c r="S38" s="78">
        <f t="shared" si="11"/>
        <v>0.88023699499999986</v>
      </c>
      <c r="T38" s="78">
        <f t="shared" si="1"/>
        <v>1.0987638175000001</v>
      </c>
      <c r="U38" s="78">
        <f t="shared" si="2"/>
        <v>0.99683330749999988</v>
      </c>
      <c r="V38" s="78">
        <f t="shared" si="3"/>
        <v>1.2443062324999998</v>
      </c>
      <c r="W38" s="78">
        <f t="shared" si="12"/>
        <v>0.93361948799999994</v>
      </c>
      <c r="X38" s="78">
        <f t="shared" si="4"/>
        <v>1.1653990079999998</v>
      </c>
      <c r="Y38" s="78">
        <f t="shared" si="13"/>
        <v>0.82441708799999991</v>
      </c>
      <c r="Z38" s="78">
        <f t="shared" si="5"/>
        <v>1.0290861120000001</v>
      </c>
      <c r="AA38" s="78">
        <f t="shared" si="6"/>
        <v>0.93361948799999994</v>
      </c>
      <c r="AB38" s="78">
        <f t="shared" si="7"/>
        <v>1.1653990079999998</v>
      </c>
      <c r="AC38" s="78">
        <v>0.91312510000000002</v>
      </c>
      <c r="AD38" s="78">
        <v>1.1488693000000001</v>
      </c>
      <c r="AE38" s="78">
        <v>0.91564405000000004</v>
      </c>
      <c r="AF38" s="78">
        <v>1.1429610000000001</v>
      </c>
      <c r="AG38" s="95">
        <v>0.98258800000000002</v>
      </c>
      <c r="AH38" s="95">
        <v>1.247185</v>
      </c>
      <c r="AI38" s="95">
        <v>0.91312499999999996</v>
      </c>
      <c r="AJ38" s="95">
        <v>1.1488689999999999</v>
      </c>
      <c r="AK38" s="95">
        <f t="shared" si="8"/>
        <v>0.98258800000000002</v>
      </c>
      <c r="AL38" s="95">
        <f t="shared" si="9"/>
        <v>1.247185</v>
      </c>
    </row>
    <row r="39" spans="1:38" x14ac:dyDescent="0.2">
      <c r="A39" s="60">
        <v>1</v>
      </c>
      <c r="B39" s="55">
        <v>31</v>
      </c>
      <c r="C39" s="61">
        <v>0.9814581634205759</v>
      </c>
      <c r="D39" s="61">
        <v>1.1393400606140653</v>
      </c>
      <c r="E39" s="81">
        <v>0.99438424203060283</v>
      </c>
      <c r="F39" s="81">
        <v>1.159462340504724</v>
      </c>
      <c r="G39" s="78">
        <v>1.0239234000000002</v>
      </c>
      <c r="H39" s="78">
        <v>1.1174863000000002</v>
      </c>
      <c r="I39" s="78">
        <v>0.9570978</v>
      </c>
      <c r="J39" s="78">
        <v>1.1929832</v>
      </c>
      <c r="K39" s="78">
        <v>0.98316619999999999</v>
      </c>
      <c r="L39" s="78">
        <v>1.2158202</v>
      </c>
      <c r="M39" s="78">
        <v>0.86816839999999995</v>
      </c>
      <c r="N39" s="78">
        <v>1.0736096000000002</v>
      </c>
      <c r="O39" s="78">
        <v>0.98316619999999999</v>
      </c>
      <c r="P39" s="78">
        <v>1.2158202</v>
      </c>
      <c r="Q39" s="78">
        <f t="shared" si="10"/>
        <v>1.007745355</v>
      </c>
      <c r="R39" s="78">
        <f t="shared" si="0"/>
        <v>1.246215705</v>
      </c>
      <c r="S39" s="78">
        <f t="shared" si="11"/>
        <v>0.88987260999999984</v>
      </c>
      <c r="T39" s="78">
        <f t="shared" si="1"/>
        <v>1.10044984</v>
      </c>
      <c r="U39" s="78">
        <f t="shared" si="2"/>
        <v>1.007745355</v>
      </c>
      <c r="V39" s="78">
        <f t="shared" si="3"/>
        <v>1.246215705</v>
      </c>
      <c r="W39" s="78">
        <f t="shared" si="12"/>
        <v>0.94383955199999992</v>
      </c>
      <c r="X39" s="78">
        <f t="shared" si="4"/>
        <v>1.167187392</v>
      </c>
      <c r="Y39" s="78">
        <f t="shared" si="13"/>
        <v>0.83344166399999997</v>
      </c>
      <c r="Z39" s="78">
        <f t="shared" si="5"/>
        <v>1.0306652160000001</v>
      </c>
      <c r="AA39" s="78">
        <f t="shared" si="6"/>
        <v>0.94383955199999992</v>
      </c>
      <c r="AB39" s="78">
        <f t="shared" si="7"/>
        <v>1.167187392</v>
      </c>
      <c r="AC39" s="78">
        <v>0.92312079999999996</v>
      </c>
      <c r="AD39" s="78">
        <v>1.1506323000000001</v>
      </c>
      <c r="AE39" s="78">
        <v>0.92566729999999997</v>
      </c>
      <c r="AF39" s="78">
        <v>1.1447149000000001</v>
      </c>
      <c r="AG39" s="95">
        <v>0.993344</v>
      </c>
      <c r="AH39" s="95">
        <v>1.249099</v>
      </c>
      <c r="AI39" s="95">
        <v>0.92312099999999997</v>
      </c>
      <c r="AJ39" s="95">
        <v>1.1506320000000001</v>
      </c>
      <c r="AK39" s="95">
        <f t="shared" si="8"/>
        <v>0.993344</v>
      </c>
      <c r="AL39" s="95">
        <f t="shared" si="9"/>
        <v>1.249099</v>
      </c>
    </row>
    <row r="40" spans="1:38" x14ac:dyDescent="0.2">
      <c r="A40" s="60">
        <v>1</v>
      </c>
      <c r="B40" s="55">
        <v>32</v>
      </c>
      <c r="C40" s="61">
        <v>0.98139255702280925</v>
      </c>
      <c r="D40" s="61">
        <v>1.1372520255109722</v>
      </c>
      <c r="E40" s="81">
        <v>0.9943731203608388</v>
      </c>
      <c r="F40" s="81">
        <v>1.1575097685153282</v>
      </c>
      <c r="G40" s="78">
        <v>1.0144058</v>
      </c>
      <c r="H40" s="78">
        <v>1.0980392000000001</v>
      </c>
      <c r="I40" s="78">
        <v>0.9666652</v>
      </c>
      <c r="J40" s="78">
        <v>1.2086723000000001</v>
      </c>
      <c r="K40" s="78">
        <v>0.99299419999999994</v>
      </c>
      <c r="L40" s="78">
        <v>1.2318096000000001</v>
      </c>
      <c r="M40" s="78">
        <v>0.87684689999999998</v>
      </c>
      <c r="N40" s="78">
        <v>1.0877289000000001</v>
      </c>
      <c r="O40" s="78">
        <v>0.99299419999999994</v>
      </c>
      <c r="P40" s="78">
        <v>1.2318096000000001</v>
      </c>
      <c r="Q40" s="78">
        <f t="shared" si="10"/>
        <v>1.0178190549999999</v>
      </c>
      <c r="R40" s="78">
        <f t="shared" si="0"/>
        <v>1.2626048400000001</v>
      </c>
      <c r="S40" s="78">
        <f t="shared" si="11"/>
        <v>0.8987680724999999</v>
      </c>
      <c r="T40" s="78">
        <f t="shared" si="1"/>
        <v>1.1149221225000001</v>
      </c>
      <c r="U40" s="78">
        <f t="shared" si="2"/>
        <v>1.0178190549999999</v>
      </c>
      <c r="V40" s="78">
        <f t="shared" si="3"/>
        <v>1.2626048400000001</v>
      </c>
      <c r="W40" s="78">
        <f t="shared" si="12"/>
        <v>0.95327443199999995</v>
      </c>
      <c r="X40" s="78">
        <f t="shared" si="4"/>
        <v>1.1825372160000001</v>
      </c>
      <c r="Y40" s="78">
        <f t="shared" si="13"/>
        <v>0.84177302399999998</v>
      </c>
      <c r="Z40" s="78">
        <f t="shared" si="5"/>
        <v>1.0442197440000001</v>
      </c>
      <c r="AA40" s="78">
        <f t="shared" si="6"/>
        <v>0.95327443199999995</v>
      </c>
      <c r="AB40" s="78">
        <f t="shared" si="7"/>
        <v>1.1825372160000001</v>
      </c>
      <c r="AC40" s="78">
        <v>0.93234859999999997</v>
      </c>
      <c r="AD40" s="78">
        <v>1.1657644</v>
      </c>
      <c r="AE40" s="78">
        <v>0.93492054999999996</v>
      </c>
      <c r="AF40" s="78">
        <v>1.1597692500000001</v>
      </c>
      <c r="AG40" s="95">
        <v>1.003274</v>
      </c>
      <c r="AH40" s="95">
        <v>1.2655259999999999</v>
      </c>
      <c r="AI40" s="95">
        <v>0.93234899999999998</v>
      </c>
      <c r="AJ40" s="95">
        <v>1.165764</v>
      </c>
      <c r="AK40" s="95">
        <f t="shared" ref="AK40:AK71" si="14">AG40</f>
        <v>1.003274</v>
      </c>
      <c r="AL40" s="95">
        <f t="shared" ref="AL40:AL71" si="15">AH40</f>
        <v>1.2655259999999999</v>
      </c>
    </row>
    <row r="41" spans="1:38" x14ac:dyDescent="0.2">
      <c r="A41" s="60">
        <v>1</v>
      </c>
      <c r="B41" s="55">
        <v>33</v>
      </c>
      <c r="C41" s="61">
        <v>0.9963313106476569</v>
      </c>
      <c r="D41" s="61">
        <v>1.154712640511091</v>
      </c>
      <c r="E41" s="81">
        <v>1.0095625601159683</v>
      </c>
      <c r="F41" s="81">
        <v>1.1752856902170961</v>
      </c>
      <c r="G41" s="78">
        <v>1.0207823999999999</v>
      </c>
      <c r="H41" s="78">
        <v>1.1144654000000001</v>
      </c>
      <c r="I41" s="78">
        <v>0.99061920000000003</v>
      </c>
      <c r="J41" s="78">
        <v>1.2276737</v>
      </c>
      <c r="K41" s="78">
        <v>1.0176007</v>
      </c>
      <c r="L41" s="78">
        <v>1.2511747</v>
      </c>
      <c r="M41" s="78">
        <v>0.89857519999999991</v>
      </c>
      <c r="N41" s="78">
        <v>1.1048289</v>
      </c>
      <c r="O41" s="78">
        <v>1.0176007</v>
      </c>
      <c r="P41" s="78">
        <v>1.2511747</v>
      </c>
      <c r="Q41" s="78">
        <f t="shared" si="10"/>
        <v>1.0430407174999998</v>
      </c>
      <c r="R41" s="78">
        <f t="shared" si="0"/>
        <v>1.2824540674999998</v>
      </c>
      <c r="S41" s="78">
        <f t="shared" si="11"/>
        <v>0.92103957999999986</v>
      </c>
      <c r="T41" s="78">
        <f t="shared" si="1"/>
        <v>1.1324496224999998</v>
      </c>
      <c r="U41" s="78">
        <f t="shared" si="2"/>
        <v>1.0430407174999998</v>
      </c>
      <c r="V41" s="78">
        <f t="shared" si="3"/>
        <v>1.2824540674999998</v>
      </c>
      <c r="W41" s="78">
        <f t="shared" si="12"/>
        <v>0.97689667199999997</v>
      </c>
      <c r="X41" s="78">
        <f t="shared" si="4"/>
        <v>1.2011277119999999</v>
      </c>
      <c r="Y41" s="78">
        <f t="shared" si="13"/>
        <v>0.86263219199999985</v>
      </c>
      <c r="Z41" s="78">
        <f t="shared" si="5"/>
        <v>1.060635744</v>
      </c>
      <c r="AA41" s="78">
        <f t="shared" si="6"/>
        <v>0.97689667199999997</v>
      </c>
      <c r="AB41" s="78">
        <f t="shared" si="7"/>
        <v>1.2011277119999999</v>
      </c>
      <c r="AC41" s="78">
        <v>0.95545230000000003</v>
      </c>
      <c r="AD41" s="78">
        <v>1.1840913</v>
      </c>
      <c r="AE41" s="78">
        <v>0.95808794999999991</v>
      </c>
      <c r="AF41" s="78">
        <v>1.1780018000000001</v>
      </c>
      <c r="AG41" s="95">
        <v>1.028135</v>
      </c>
      <c r="AH41" s="95">
        <v>1.2854209999999999</v>
      </c>
      <c r="AI41" s="95">
        <v>0.95545199999999997</v>
      </c>
      <c r="AJ41" s="95">
        <v>1.184091</v>
      </c>
      <c r="AK41" s="95">
        <f t="shared" si="14"/>
        <v>1.028135</v>
      </c>
      <c r="AL41" s="95">
        <f t="shared" si="15"/>
        <v>1.2854209999999999</v>
      </c>
    </row>
    <row r="42" spans="1:38" x14ac:dyDescent="0.2">
      <c r="A42" s="60">
        <v>1</v>
      </c>
      <c r="B42" s="55">
        <v>34</v>
      </c>
      <c r="C42" s="61">
        <v>1.0112711333750783</v>
      </c>
      <c r="D42" s="61">
        <v>1.162840891193252</v>
      </c>
      <c r="E42" s="81">
        <v>1.0247911356339716</v>
      </c>
      <c r="F42" s="81">
        <v>1.1838263437520258</v>
      </c>
      <c r="G42" s="78">
        <v>1.0206637000000001</v>
      </c>
      <c r="H42" s="78">
        <v>1.0952955</v>
      </c>
      <c r="I42" s="78">
        <v>1.0211958999999999</v>
      </c>
      <c r="J42" s="78">
        <v>1.2640699</v>
      </c>
      <c r="K42" s="78">
        <v>1.0490102000000001</v>
      </c>
      <c r="L42" s="78">
        <v>1.2882677</v>
      </c>
      <c r="M42" s="78">
        <v>0.92631090000000005</v>
      </c>
      <c r="N42" s="78">
        <v>1.1375831999999999</v>
      </c>
      <c r="O42" s="78">
        <v>1.0490102000000001</v>
      </c>
      <c r="P42" s="78">
        <v>1.2882677</v>
      </c>
      <c r="Q42" s="78">
        <f t="shared" si="10"/>
        <v>1.0752354550000001</v>
      </c>
      <c r="R42" s="78">
        <f t="shared" si="0"/>
        <v>1.3204743925</v>
      </c>
      <c r="S42" s="78">
        <f t="shared" si="11"/>
        <v>0.9494686725</v>
      </c>
      <c r="T42" s="78">
        <f t="shared" si="1"/>
        <v>1.1660227799999998</v>
      </c>
      <c r="U42" s="78">
        <f t="shared" si="2"/>
        <v>1.0752354550000001</v>
      </c>
      <c r="V42" s="78">
        <f t="shared" si="3"/>
        <v>1.3204743925</v>
      </c>
      <c r="W42" s="78">
        <f t="shared" si="12"/>
        <v>1.0070497920000001</v>
      </c>
      <c r="X42" s="78">
        <f t="shared" si="4"/>
        <v>1.236736992</v>
      </c>
      <c r="Y42" s="78">
        <f t="shared" si="13"/>
        <v>0.88925846399999997</v>
      </c>
      <c r="Z42" s="78">
        <f t="shared" si="5"/>
        <v>1.0920798719999998</v>
      </c>
      <c r="AA42" s="78">
        <f t="shared" si="6"/>
        <v>1.0070497920000001</v>
      </c>
      <c r="AB42" s="78">
        <f t="shared" si="7"/>
        <v>1.236736992</v>
      </c>
      <c r="AC42" s="78">
        <v>0.98494349999999997</v>
      </c>
      <c r="AD42" s="78">
        <v>1.2191954</v>
      </c>
      <c r="AE42" s="78">
        <v>0.98766055000000008</v>
      </c>
      <c r="AF42" s="78">
        <v>1.21292545</v>
      </c>
      <c r="AG42" s="95">
        <v>1.059869</v>
      </c>
      <c r="AH42" s="95">
        <v>1.323529</v>
      </c>
      <c r="AI42" s="95">
        <v>0.98494400000000004</v>
      </c>
      <c r="AJ42" s="95">
        <v>1.219195</v>
      </c>
      <c r="AK42" s="95">
        <f t="shared" si="14"/>
        <v>1.059869</v>
      </c>
      <c r="AL42" s="95">
        <f t="shared" si="15"/>
        <v>1.323529</v>
      </c>
    </row>
    <row r="43" spans="1:38" x14ac:dyDescent="0.2">
      <c r="A43" s="60">
        <v>1</v>
      </c>
      <c r="B43" s="55">
        <v>35</v>
      </c>
      <c r="C43" s="61">
        <v>1.0273511440199488</v>
      </c>
      <c r="D43" s="61">
        <v>1.1905794472963578</v>
      </c>
      <c r="E43" s="81">
        <v>1.0411606326860996</v>
      </c>
      <c r="F43" s="81">
        <v>1.212096868751809</v>
      </c>
      <c r="G43" s="78">
        <v>1.024173</v>
      </c>
      <c r="H43" s="78">
        <v>1.1182548999999999</v>
      </c>
      <c r="I43" s="78">
        <v>1.0503991000000001</v>
      </c>
      <c r="J43" s="78">
        <v>1.2974779000000001</v>
      </c>
      <c r="K43" s="78">
        <v>1.0790086999999999</v>
      </c>
      <c r="L43" s="78">
        <v>1.3223151999999998</v>
      </c>
      <c r="M43" s="78">
        <v>0.95280060000000011</v>
      </c>
      <c r="N43" s="78">
        <v>1.1676483</v>
      </c>
      <c r="O43" s="78">
        <v>1.0790086999999999</v>
      </c>
      <c r="P43" s="78">
        <v>1.3223151999999998</v>
      </c>
      <c r="Q43" s="78">
        <f t="shared" si="10"/>
        <v>1.1059839174999999</v>
      </c>
      <c r="R43" s="78">
        <f t="shared" si="0"/>
        <v>1.3553730799999997</v>
      </c>
      <c r="S43" s="78">
        <f t="shared" si="11"/>
        <v>0.97662061500000008</v>
      </c>
      <c r="T43" s="78">
        <f t="shared" si="1"/>
        <v>1.1968395074999998</v>
      </c>
      <c r="U43" s="78">
        <f t="shared" si="2"/>
        <v>1.1059839174999999</v>
      </c>
      <c r="V43" s="78">
        <f t="shared" si="3"/>
        <v>1.3553730799999997</v>
      </c>
      <c r="W43" s="78">
        <f t="shared" si="12"/>
        <v>1.0358483519999999</v>
      </c>
      <c r="X43" s="78">
        <f t="shared" si="4"/>
        <v>1.2694225919999997</v>
      </c>
      <c r="Y43" s="78">
        <f t="shared" si="13"/>
        <v>0.91468857600000009</v>
      </c>
      <c r="Z43" s="78">
        <f t="shared" si="5"/>
        <v>1.1209423679999999</v>
      </c>
      <c r="AA43" s="78">
        <f t="shared" si="6"/>
        <v>1.0358483519999999</v>
      </c>
      <c r="AB43" s="78">
        <f t="shared" si="7"/>
        <v>1.2694225919999997</v>
      </c>
      <c r="AC43" s="78">
        <v>1.0131099000000001</v>
      </c>
      <c r="AD43" s="78">
        <v>1.2514174</v>
      </c>
      <c r="AE43" s="78">
        <v>1.01590465</v>
      </c>
      <c r="AF43" s="78">
        <v>1.24498175</v>
      </c>
      <c r="AG43" s="95">
        <v>1.0901780000000001</v>
      </c>
      <c r="AH43" s="95">
        <v>1.358509</v>
      </c>
      <c r="AI43" s="95">
        <v>1.01311</v>
      </c>
      <c r="AJ43" s="95">
        <v>1.251417</v>
      </c>
      <c r="AK43" s="95">
        <f t="shared" si="14"/>
        <v>1.0901780000000001</v>
      </c>
      <c r="AL43" s="95">
        <f t="shared" si="15"/>
        <v>1.358509</v>
      </c>
    </row>
    <row r="44" spans="1:38" x14ac:dyDescent="0.2">
      <c r="A44" s="60">
        <v>1</v>
      </c>
      <c r="B44" s="55">
        <v>36</v>
      </c>
      <c r="C44" s="61">
        <v>1.0400406393830313</v>
      </c>
      <c r="D44" s="61">
        <v>1.1935738244205703</v>
      </c>
      <c r="E44" s="81">
        <v>1.0541364834090678</v>
      </c>
      <c r="F44" s="81">
        <v>1.2153250633239663</v>
      </c>
      <c r="G44" s="78">
        <v>1.0170561999999999</v>
      </c>
      <c r="H44" s="78">
        <v>1.1029252</v>
      </c>
      <c r="I44" s="78">
        <v>1.0835215</v>
      </c>
      <c r="J44" s="78">
        <v>1.3193799000000002</v>
      </c>
      <c r="K44" s="78">
        <v>1.1111911000000001</v>
      </c>
      <c r="L44" s="78">
        <v>1.3385689999999999</v>
      </c>
      <c r="M44" s="78">
        <v>0.9812187</v>
      </c>
      <c r="N44" s="78">
        <v>1.1820009</v>
      </c>
      <c r="O44" s="78">
        <v>1.1111911000000001</v>
      </c>
      <c r="P44" s="78">
        <v>1.3385689999999999</v>
      </c>
      <c r="Q44" s="78">
        <f t="shared" si="10"/>
        <v>1.1389708775</v>
      </c>
      <c r="R44" s="78">
        <f t="shared" si="0"/>
        <v>1.3720332249999998</v>
      </c>
      <c r="S44" s="78">
        <f t="shared" si="11"/>
        <v>1.0057491674999999</v>
      </c>
      <c r="T44" s="78">
        <f t="shared" si="1"/>
        <v>1.2115509224999998</v>
      </c>
      <c r="U44" s="78">
        <f t="shared" si="2"/>
        <v>1.1389708775</v>
      </c>
      <c r="V44" s="78">
        <f t="shared" si="3"/>
        <v>1.3720332249999998</v>
      </c>
      <c r="W44" s="78">
        <f t="shared" si="12"/>
        <v>1.066743456</v>
      </c>
      <c r="X44" s="78">
        <f t="shared" si="4"/>
        <v>1.2850262399999999</v>
      </c>
      <c r="Y44" s="78">
        <f t="shared" si="13"/>
        <v>0.941969952</v>
      </c>
      <c r="Z44" s="78">
        <f t="shared" si="5"/>
        <v>1.1347208639999999</v>
      </c>
      <c r="AA44" s="78">
        <f t="shared" si="6"/>
        <v>1.066743456</v>
      </c>
      <c r="AB44" s="78">
        <f t="shared" si="7"/>
        <v>1.2850262399999999</v>
      </c>
      <c r="AC44" s="78">
        <v>1.0348286</v>
      </c>
      <c r="AD44" s="78">
        <v>1.2564469</v>
      </c>
      <c r="AE44" s="78">
        <v>1.0462049</v>
      </c>
      <c r="AF44" s="78">
        <v>1.26028495</v>
      </c>
      <c r="AG44" s="95">
        <v>1.1220950000000001</v>
      </c>
      <c r="AH44" s="95">
        <v>1.3817010000000001</v>
      </c>
      <c r="AI44" s="95">
        <v>1.034829</v>
      </c>
      <c r="AJ44" s="95">
        <v>1.2564470000000001</v>
      </c>
      <c r="AK44" s="95">
        <f t="shared" si="14"/>
        <v>1.1220950000000001</v>
      </c>
      <c r="AL44" s="95">
        <f t="shared" si="15"/>
        <v>1.3817010000000001</v>
      </c>
    </row>
    <row r="45" spans="1:38" x14ac:dyDescent="0.2">
      <c r="A45" s="60">
        <v>1</v>
      </c>
      <c r="B45" s="55">
        <v>37</v>
      </c>
      <c r="C45" s="61">
        <v>1.0524883992791423</v>
      </c>
      <c r="D45" s="61">
        <v>1.1997906885489111</v>
      </c>
      <c r="E45" s="81">
        <v>1.0668060776547661</v>
      </c>
      <c r="F45" s="81">
        <v>1.2217911240909118</v>
      </c>
      <c r="G45" s="78">
        <v>1.0201587999999999</v>
      </c>
      <c r="H45" s="78">
        <v>1.0949495</v>
      </c>
      <c r="I45" s="78">
        <v>1.1057345999999999</v>
      </c>
      <c r="J45" s="78">
        <v>1.3403480999999999</v>
      </c>
      <c r="K45" s="78">
        <v>1.1320977999999999</v>
      </c>
      <c r="L45" s="78">
        <v>1.3537336</v>
      </c>
      <c r="M45" s="78">
        <v>0.99968000000000001</v>
      </c>
      <c r="N45" s="78">
        <v>1.1953918000000001</v>
      </c>
      <c r="O45" s="78">
        <v>1.1320977999999999</v>
      </c>
      <c r="P45" s="78">
        <v>1.3537336</v>
      </c>
      <c r="Q45" s="78">
        <f t="shared" si="10"/>
        <v>1.1604002449999997</v>
      </c>
      <c r="R45" s="78">
        <f t="shared" si="0"/>
        <v>1.3875769399999998</v>
      </c>
      <c r="S45" s="78">
        <f t="shared" si="11"/>
        <v>1.024672</v>
      </c>
      <c r="T45" s="78">
        <f t="shared" si="1"/>
        <v>1.225276595</v>
      </c>
      <c r="U45" s="78">
        <f t="shared" si="2"/>
        <v>1.1604002449999997</v>
      </c>
      <c r="V45" s="78">
        <f t="shared" si="3"/>
        <v>1.3875769399999998</v>
      </c>
      <c r="W45" s="78">
        <f t="shared" si="12"/>
        <v>1.0868138879999998</v>
      </c>
      <c r="X45" s="78">
        <f t="shared" si="4"/>
        <v>1.2995842559999999</v>
      </c>
      <c r="Y45" s="78">
        <f t="shared" si="13"/>
        <v>0.95969280000000001</v>
      </c>
      <c r="Z45" s="78">
        <f t="shared" si="5"/>
        <v>1.1475761280000001</v>
      </c>
      <c r="AA45" s="78">
        <f t="shared" si="6"/>
        <v>1.0868138879999998</v>
      </c>
      <c r="AB45" s="78">
        <f t="shared" si="7"/>
        <v>1.2995842559999999</v>
      </c>
      <c r="AC45" s="78">
        <v>1.0456405</v>
      </c>
      <c r="AD45" s="78">
        <v>1.2602111</v>
      </c>
      <c r="AE45" s="78">
        <v>1.0658889</v>
      </c>
      <c r="AF45" s="78">
        <v>1.2745627000000002</v>
      </c>
      <c r="AG45" s="95">
        <v>1.142598</v>
      </c>
      <c r="AH45" s="95">
        <v>1.403921</v>
      </c>
      <c r="AI45" s="95">
        <v>1.045641</v>
      </c>
      <c r="AJ45" s="95">
        <v>1.260211</v>
      </c>
      <c r="AK45" s="95">
        <f t="shared" si="14"/>
        <v>1.142598</v>
      </c>
      <c r="AL45" s="95">
        <f t="shared" si="15"/>
        <v>1.403921</v>
      </c>
    </row>
    <row r="46" spans="1:38" x14ac:dyDescent="0.2">
      <c r="A46" s="60">
        <v>1</v>
      </c>
      <c r="B46" s="55">
        <v>38</v>
      </c>
      <c r="C46" s="61">
        <v>1.0548443002050611</v>
      </c>
      <c r="D46" s="61">
        <v>1.2164885891707924</v>
      </c>
      <c r="E46" s="81">
        <v>1.0692372476464553</v>
      </c>
      <c r="F46" s="81">
        <v>1.2387799232149117</v>
      </c>
      <c r="G46" s="78">
        <v>1.0150637</v>
      </c>
      <c r="H46" s="78">
        <v>1.1117318</v>
      </c>
      <c r="I46" s="78">
        <v>1.1157306</v>
      </c>
      <c r="J46" s="78">
        <v>1.3574164</v>
      </c>
      <c r="K46" s="78">
        <v>1.1404477</v>
      </c>
      <c r="L46" s="78">
        <v>1.3648412999999999</v>
      </c>
      <c r="M46" s="78">
        <v>1.0070532999999999</v>
      </c>
      <c r="N46" s="78">
        <v>1.2052003</v>
      </c>
      <c r="O46" s="78">
        <v>1.1404477</v>
      </c>
      <c r="P46" s="78">
        <v>1.3648412999999999</v>
      </c>
      <c r="Q46" s="78">
        <f t="shared" si="10"/>
        <v>1.1689588924999998</v>
      </c>
      <c r="R46" s="78">
        <f t="shared" si="0"/>
        <v>1.3989623324999998</v>
      </c>
      <c r="S46" s="78">
        <f t="shared" si="11"/>
        <v>1.0322296324999998</v>
      </c>
      <c r="T46" s="78">
        <f t="shared" si="1"/>
        <v>1.2353303074999999</v>
      </c>
      <c r="U46" s="78">
        <f t="shared" si="2"/>
        <v>1.1689588924999998</v>
      </c>
      <c r="V46" s="78">
        <f t="shared" si="3"/>
        <v>1.3989623324999998</v>
      </c>
      <c r="W46" s="78">
        <f t="shared" si="12"/>
        <v>1.0948297919999999</v>
      </c>
      <c r="X46" s="78">
        <f t="shared" si="4"/>
        <v>1.3102476479999998</v>
      </c>
      <c r="Y46" s="78">
        <f t="shared" si="13"/>
        <v>0.96677116799999985</v>
      </c>
      <c r="Z46" s="78">
        <f t="shared" si="5"/>
        <v>1.1569922879999999</v>
      </c>
      <c r="AA46" s="78">
        <f t="shared" si="6"/>
        <v>1.0948297919999999</v>
      </c>
      <c r="AB46" s="78">
        <f t="shared" si="7"/>
        <v>1.3102476479999998</v>
      </c>
      <c r="AC46" s="78">
        <v>1.0446308</v>
      </c>
      <c r="AD46" s="78">
        <v>1.2599955</v>
      </c>
      <c r="AE46" s="78">
        <v>1.0737505000000001</v>
      </c>
      <c r="AF46" s="78">
        <v>1.2850207999999999</v>
      </c>
      <c r="AG46" s="95">
        <v>1.1504110000000001</v>
      </c>
      <c r="AH46" s="95">
        <v>1.422061</v>
      </c>
      <c r="AI46" s="95">
        <v>1.0446310000000001</v>
      </c>
      <c r="AJ46" s="95">
        <v>1.2599959999999999</v>
      </c>
      <c r="AK46" s="95">
        <f t="shared" si="14"/>
        <v>1.1504110000000001</v>
      </c>
      <c r="AL46" s="95">
        <f t="shared" si="15"/>
        <v>1.422061</v>
      </c>
    </row>
    <row r="47" spans="1:38" x14ac:dyDescent="0.2">
      <c r="A47" s="60">
        <v>1</v>
      </c>
      <c r="B47" s="55">
        <v>39</v>
      </c>
      <c r="C47" s="61">
        <v>1.0567501335658049</v>
      </c>
      <c r="D47" s="61">
        <v>1.2163415505458273</v>
      </c>
      <c r="E47" s="81">
        <v>1.0711727680400525</v>
      </c>
      <c r="F47" s="81">
        <v>1.2386124895793873</v>
      </c>
      <c r="G47" s="78">
        <v>1.0162690000000001</v>
      </c>
      <c r="H47" s="78">
        <v>1.1133845</v>
      </c>
      <c r="I47" s="78">
        <v>1.1183871999999999</v>
      </c>
      <c r="J47" s="78">
        <v>1.3554164</v>
      </c>
      <c r="K47" s="78">
        <v>1.1412806</v>
      </c>
      <c r="L47" s="78">
        <v>1.3567628999999999</v>
      </c>
      <c r="M47" s="78">
        <v>1.0077886999999999</v>
      </c>
      <c r="N47" s="78">
        <v>1.1980667</v>
      </c>
      <c r="O47" s="78">
        <v>1.1412806</v>
      </c>
      <c r="P47" s="78">
        <v>1.3567628999999999</v>
      </c>
      <c r="Q47" s="78">
        <f t="shared" si="10"/>
        <v>1.1698126149999999</v>
      </c>
      <c r="R47" s="78">
        <f t="shared" si="0"/>
        <v>1.3906819724999997</v>
      </c>
      <c r="S47" s="78">
        <f t="shared" si="11"/>
        <v>1.0329834174999997</v>
      </c>
      <c r="T47" s="78">
        <f t="shared" si="1"/>
        <v>1.2280183675</v>
      </c>
      <c r="U47" s="78">
        <f t="shared" si="2"/>
        <v>1.1698126149999999</v>
      </c>
      <c r="V47" s="78">
        <f t="shared" si="3"/>
        <v>1.3906819724999997</v>
      </c>
      <c r="W47" s="78">
        <f t="shared" si="12"/>
        <v>1.095629376</v>
      </c>
      <c r="X47" s="78">
        <f t="shared" si="4"/>
        <v>1.3024923839999998</v>
      </c>
      <c r="Y47" s="78">
        <f t="shared" si="13"/>
        <v>0.96747715199999984</v>
      </c>
      <c r="Z47" s="78">
        <f t="shared" si="5"/>
        <v>1.150144032</v>
      </c>
      <c r="AA47" s="78">
        <f t="shared" si="6"/>
        <v>1.095629376</v>
      </c>
      <c r="AB47" s="78">
        <f t="shared" si="7"/>
        <v>1.3024923839999998</v>
      </c>
      <c r="AC47" s="78">
        <v>1.0366652999999999</v>
      </c>
      <c r="AD47" s="78">
        <v>1.2420441</v>
      </c>
      <c r="AE47" s="78">
        <v>1.0745346499999999</v>
      </c>
      <c r="AF47" s="78">
        <v>1.2774147999999999</v>
      </c>
      <c r="AG47" s="95">
        <v>1.150636</v>
      </c>
      <c r="AH47" s="95">
        <v>1.420226</v>
      </c>
      <c r="AI47" s="95">
        <v>1.0366649999999999</v>
      </c>
      <c r="AJ47" s="95">
        <v>1.2420439999999999</v>
      </c>
      <c r="AK47" s="95">
        <f t="shared" si="14"/>
        <v>1.150636</v>
      </c>
      <c r="AL47" s="95">
        <f t="shared" si="15"/>
        <v>1.420226</v>
      </c>
    </row>
    <row r="48" spans="1:38" x14ac:dyDescent="0.2">
      <c r="A48" s="60">
        <v>1</v>
      </c>
      <c r="B48" s="55">
        <v>40</v>
      </c>
      <c r="C48" s="61">
        <v>1.0543811976191471</v>
      </c>
      <c r="D48" s="61">
        <v>1.2082597372852772</v>
      </c>
      <c r="E48" s="81">
        <v>1.0687589758976461</v>
      </c>
      <c r="F48" s="81">
        <v>1.2303800926688659</v>
      </c>
      <c r="G48" s="78">
        <v>1.0161290000000001</v>
      </c>
      <c r="H48" s="78">
        <v>1.10625</v>
      </c>
      <c r="I48" s="78">
        <v>1.1137006999999999</v>
      </c>
      <c r="J48" s="78">
        <v>1.3461400000000001</v>
      </c>
      <c r="K48" s="78">
        <v>1.1346295</v>
      </c>
      <c r="L48" s="78">
        <v>1.3415047999999998</v>
      </c>
      <c r="M48" s="78">
        <v>1.0019156</v>
      </c>
      <c r="N48" s="78">
        <v>1.1845934</v>
      </c>
      <c r="O48" s="78">
        <v>1.1346295</v>
      </c>
      <c r="P48" s="78">
        <v>1.3415047999999998</v>
      </c>
      <c r="Q48" s="78">
        <f t="shared" si="10"/>
        <v>1.1629952374999999</v>
      </c>
      <c r="R48" s="78">
        <f t="shared" si="0"/>
        <v>1.3750424199999998</v>
      </c>
      <c r="S48" s="78">
        <f t="shared" si="11"/>
        <v>1.02696349</v>
      </c>
      <c r="T48" s="78">
        <f t="shared" si="1"/>
        <v>1.2142082349999999</v>
      </c>
      <c r="U48" s="78">
        <f t="shared" si="2"/>
        <v>1.1629952374999999</v>
      </c>
      <c r="V48" s="78">
        <f t="shared" si="3"/>
        <v>1.3750424199999998</v>
      </c>
      <c r="W48" s="78">
        <f t="shared" si="12"/>
        <v>1.0892443199999999</v>
      </c>
      <c r="X48" s="78">
        <f t="shared" si="4"/>
        <v>1.2878446079999999</v>
      </c>
      <c r="Y48" s="78">
        <f t="shared" si="13"/>
        <v>0.96183897600000001</v>
      </c>
      <c r="Z48" s="78">
        <f t="shared" si="5"/>
        <v>1.137209664</v>
      </c>
      <c r="AA48" s="78">
        <f t="shared" si="6"/>
        <v>1.0892443199999999</v>
      </c>
      <c r="AB48" s="78">
        <f t="shared" si="7"/>
        <v>1.2878446079999999</v>
      </c>
      <c r="AC48" s="78">
        <v>1.0219464999999999</v>
      </c>
      <c r="AD48" s="78">
        <v>1.2177007</v>
      </c>
      <c r="AE48" s="78">
        <v>1.0682725500000001</v>
      </c>
      <c r="AF48" s="78">
        <v>1.2630490999999999</v>
      </c>
      <c r="AG48" s="95">
        <v>1.143319</v>
      </c>
      <c r="AH48" s="95">
        <v>1.4107609999999999</v>
      </c>
      <c r="AI48" s="95">
        <v>1.0219469999999999</v>
      </c>
      <c r="AJ48" s="95">
        <v>1.2177009999999999</v>
      </c>
      <c r="AK48" s="95">
        <f t="shared" si="14"/>
        <v>1.143319</v>
      </c>
      <c r="AL48" s="95">
        <f t="shared" si="15"/>
        <v>1.4107609999999999</v>
      </c>
    </row>
    <row r="49" spans="1:38" x14ac:dyDescent="0.2">
      <c r="A49" s="60">
        <v>1</v>
      </c>
      <c r="B49" s="55">
        <v>41</v>
      </c>
      <c r="C49" s="61">
        <v>1.0525555694066113</v>
      </c>
      <c r="D49" s="61">
        <v>1.1992231795492012</v>
      </c>
      <c r="E49" s="81">
        <v>1.0668803476237505</v>
      </c>
      <c r="F49" s="81">
        <v>1.2211794307790591</v>
      </c>
      <c r="G49" s="78">
        <v>1.0191678</v>
      </c>
      <c r="H49" s="78">
        <v>1.0978417</v>
      </c>
      <c r="I49" s="78">
        <v>1.1068815999999999</v>
      </c>
      <c r="J49" s="78">
        <v>1.3362106</v>
      </c>
      <c r="K49" s="78">
        <v>1.1258313</v>
      </c>
      <c r="L49" s="78">
        <v>1.3257334000000001</v>
      </c>
      <c r="M49" s="78">
        <v>0.9941464000000001</v>
      </c>
      <c r="N49" s="78">
        <v>1.1706666999999999</v>
      </c>
      <c r="O49" s="78">
        <v>1.1258313</v>
      </c>
      <c r="P49" s="78">
        <v>1.3257334000000001</v>
      </c>
      <c r="Q49" s="78">
        <f t="shared" si="10"/>
        <v>1.1539770825</v>
      </c>
      <c r="R49" s="78">
        <f t="shared" si="0"/>
        <v>1.3588767349999999</v>
      </c>
      <c r="S49" s="78">
        <f t="shared" si="11"/>
        <v>1.01900006</v>
      </c>
      <c r="T49" s="78">
        <f t="shared" si="1"/>
        <v>1.1999333674999999</v>
      </c>
      <c r="U49" s="78">
        <f t="shared" si="2"/>
        <v>1.1539770825</v>
      </c>
      <c r="V49" s="78">
        <f t="shared" si="3"/>
        <v>1.3588767349999999</v>
      </c>
      <c r="W49" s="78">
        <f t="shared" si="12"/>
        <v>1.0807980479999999</v>
      </c>
      <c r="X49" s="78">
        <f t="shared" si="4"/>
        <v>1.272704064</v>
      </c>
      <c r="Y49" s="78">
        <f t="shared" si="13"/>
        <v>0.95438054400000005</v>
      </c>
      <c r="Z49" s="78">
        <f t="shared" si="5"/>
        <v>1.1238400319999999</v>
      </c>
      <c r="AA49" s="78">
        <f t="shared" si="6"/>
        <v>1.0807980479999999</v>
      </c>
      <c r="AB49" s="78">
        <f t="shared" si="7"/>
        <v>1.272704064</v>
      </c>
      <c r="AC49" s="78">
        <v>1.0023913</v>
      </c>
      <c r="AD49" s="78">
        <v>1.1865698999999998</v>
      </c>
      <c r="AE49" s="78">
        <v>1.0599888500000001</v>
      </c>
      <c r="AF49" s="78">
        <v>1.2482000499999999</v>
      </c>
      <c r="AG49" s="95">
        <v>1.1297649999999999</v>
      </c>
      <c r="AH49" s="95">
        <v>1.386657</v>
      </c>
      <c r="AI49" s="95">
        <v>1.002391</v>
      </c>
      <c r="AJ49" s="95">
        <v>1.1865699999999999</v>
      </c>
      <c r="AK49" s="95">
        <f t="shared" si="14"/>
        <v>1.1297649999999999</v>
      </c>
      <c r="AL49" s="95">
        <f t="shared" si="15"/>
        <v>1.386657</v>
      </c>
    </row>
    <row r="50" spans="1:38" x14ac:dyDescent="0.2">
      <c r="A50" s="60">
        <v>1</v>
      </c>
      <c r="B50" s="55">
        <v>42</v>
      </c>
      <c r="C50" s="61">
        <v>1.0532221711836904</v>
      </c>
      <c r="D50" s="61">
        <v>1.2022791625479079</v>
      </c>
      <c r="E50" s="81">
        <v>1.0675599238354092</v>
      </c>
      <c r="F50" s="81">
        <v>1.2242096964349811</v>
      </c>
      <c r="G50" s="78">
        <v>1.0191471000000001</v>
      </c>
      <c r="H50" s="78">
        <v>1.1088844</v>
      </c>
      <c r="I50" s="78">
        <v>1.1082617000000001</v>
      </c>
      <c r="J50" s="78">
        <v>1.3311449</v>
      </c>
      <c r="K50" s="78">
        <v>1.1253877000000001</v>
      </c>
      <c r="L50" s="78">
        <v>1.314905</v>
      </c>
      <c r="M50" s="78">
        <v>0.9937547000000001</v>
      </c>
      <c r="N50" s="78">
        <v>1.1611047999999999</v>
      </c>
      <c r="O50" s="78">
        <v>1.1253877000000001</v>
      </c>
      <c r="P50" s="78">
        <v>1.314905</v>
      </c>
      <c r="Q50" s="78">
        <f t="shared" si="10"/>
        <v>1.1535223925</v>
      </c>
      <c r="R50" s="78">
        <f t="shared" si="0"/>
        <v>1.347777625</v>
      </c>
      <c r="S50" s="78">
        <f t="shared" si="11"/>
        <v>1.0185985675</v>
      </c>
      <c r="T50" s="78">
        <f t="shared" si="1"/>
        <v>1.1901324199999999</v>
      </c>
      <c r="U50" s="78">
        <f t="shared" si="2"/>
        <v>1.1535223925</v>
      </c>
      <c r="V50" s="78">
        <f t="shared" si="3"/>
        <v>1.347777625</v>
      </c>
      <c r="W50" s="78">
        <f t="shared" si="12"/>
        <v>1.080372192</v>
      </c>
      <c r="X50" s="78">
        <f t="shared" si="4"/>
        <v>1.2623088</v>
      </c>
      <c r="Y50" s="78">
        <f t="shared" si="13"/>
        <v>0.95400451200000003</v>
      </c>
      <c r="Z50" s="78">
        <f t="shared" si="5"/>
        <v>1.1146606079999999</v>
      </c>
      <c r="AA50" s="78">
        <f t="shared" si="6"/>
        <v>1.080372192</v>
      </c>
      <c r="AB50" s="78">
        <f t="shared" si="7"/>
        <v>1.2623088</v>
      </c>
      <c r="AC50" s="78">
        <v>0.99037030000000004</v>
      </c>
      <c r="AD50" s="78">
        <v>1.1602005</v>
      </c>
      <c r="AE50" s="78">
        <v>1.0595712000000002</v>
      </c>
      <c r="AF50" s="78">
        <v>1.2380049</v>
      </c>
      <c r="AG50" s="95">
        <v>1.1246320000000001</v>
      </c>
      <c r="AH50" s="95">
        <v>1.367874</v>
      </c>
      <c r="AI50" s="95">
        <v>0.99036999999999997</v>
      </c>
      <c r="AJ50" s="95">
        <v>1.160201</v>
      </c>
      <c r="AK50" s="95">
        <f t="shared" si="14"/>
        <v>1.1246320000000001</v>
      </c>
      <c r="AL50" s="95">
        <f t="shared" si="15"/>
        <v>1.367874</v>
      </c>
    </row>
    <row r="51" spans="1:38" x14ac:dyDescent="0.2">
      <c r="A51" s="60">
        <v>1</v>
      </c>
      <c r="B51" s="55">
        <v>43</v>
      </c>
      <c r="C51" s="61">
        <v>1.0568173627192909</v>
      </c>
      <c r="D51" s="61">
        <v>1.1997925642569658</v>
      </c>
      <c r="E51" s="81">
        <v>1.0712173402822147</v>
      </c>
      <c r="F51" s="81">
        <v>1.2216605342569054</v>
      </c>
      <c r="G51" s="78">
        <v>1.0203583000000001</v>
      </c>
      <c r="H51" s="78">
        <v>1.1083281</v>
      </c>
      <c r="I51" s="78">
        <v>1.1143561</v>
      </c>
      <c r="J51" s="78">
        <v>1.3266070999999999</v>
      </c>
      <c r="K51" s="78">
        <v>1.1297249</v>
      </c>
      <c r="L51" s="78">
        <v>1.3046905000000002</v>
      </c>
      <c r="M51" s="78">
        <v>0.99758469999999999</v>
      </c>
      <c r="N51" s="78">
        <v>1.1520851000000001</v>
      </c>
      <c r="O51" s="78">
        <v>1.1297249</v>
      </c>
      <c r="P51" s="78">
        <v>1.3046905000000002</v>
      </c>
      <c r="Q51" s="78">
        <f t="shared" si="10"/>
        <v>1.1579680225</v>
      </c>
      <c r="R51" s="78">
        <f t="shared" si="0"/>
        <v>1.3373077625000001</v>
      </c>
      <c r="S51" s="78">
        <f t="shared" si="11"/>
        <v>1.0225243174999998</v>
      </c>
      <c r="T51" s="78">
        <f t="shared" si="1"/>
        <v>1.1808872275</v>
      </c>
      <c r="U51" s="78">
        <f t="shared" si="2"/>
        <v>1.1579680225</v>
      </c>
      <c r="V51" s="78">
        <f t="shared" si="3"/>
        <v>1.3373077625000001</v>
      </c>
      <c r="W51" s="78">
        <f t="shared" si="12"/>
        <v>1.084535904</v>
      </c>
      <c r="X51" s="78">
        <f t="shared" si="4"/>
        <v>1.2525028800000002</v>
      </c>
      <c r="Y51" s="78">
        <f t="shared" si="13"/>
        <v>0.95768131199999995</v>
      </c>
      <c r="Z51" s="78">
        <f t="shared" si="5"/>
        <v>1.1060016960000001</v>
      </c>
      <c r="AA51" s="78">
        <f t="shared" si="6"/>
        <v>1.084535904</v>
      </c>
      <c r="AB51" s="78">
        <f t="shared" si="7"/>
        <v>1.2525028800000002</v>
      </c>
      <c r="AC51" s="78">
        <v>0.98251639999999996</v>
      </c>
      <c r="AD51" s="78">
        <v>1.1346397000000001</v>
      </c>
      <c r="AE51" s="78">
        <v>1.0636548000000001</v>
      </c>
      <c r="AF51" s="78">
        <v>1.2283878000000001</v>
      </c>
      <c r="AG51" s="95">
        <v>1.124261</v>
      </c>
      <c r="AH51" s="95">
        <v>1.3498490000000001</v>
      </c>
      <c r="AI51" s="95">
        <v>0.98251599999999994</v>
      </c>
      <c r="AJ51" s="95">
        <v>1.1346400000000001</v>
      </c>
      <c r="AK51" s="95">
        <f t="shared" si="14"/>
        <v>1.124261</v>
      </c>
      <c r="AL51" s="95">
        <f t="shared" si="15"/>
        <v>1.3498490000000001</v>
      </c>
    </row>
    <row r="52" spans="1:38" x14ac:dyDescent="0.2">
      <c r="A52" s="60">
        <v>1</v>
      </c>
      <c r="B52" s="55">
        <v>44</v>
      </c>
      <c r="C52" s="61">
        <v>1.0599401362907026</v>
      </c>
      <c r="D52" s="61">
        <v>1.1970510802365544</v>
      </c>
      <c r="E52" s="81">
        <v>1.0744190825775946</v>
      </c>
      <c r="F52" s="81">
        <v>1.2189259026181427</v>
      </c>
      <c r="G52" s="78">
        <v>1.0171559000000001</v>
      </c>
      <c r="H52" s="78">
        <v>1.1000592</v>
      </c>
      <c r="I52" s="78">
        <v>1.1239862</v>
      </c>
      <c r="J52" s="78">
        <v>1.3294693000000002</v>
      </c>
      <c r="K52" s="78">
        <v>1.1376264999999999</v>
      </c>
      <c r="L52" s="78">
        <v>1.3018109999999998</v>
      </c>
      <c r="M52" s="78">
        <v>1.0045621</v>
      </c>
      <c r="N52" s="78">
        <v>1.1495424000000001</v>
      </c>
      <c r="O52" s="78">
        <v>1.1376264999999999</v>
      </c>
      <c r="P52" s="78">
        <v>1.3018109999999998</v>
      </c>
      <c r="Q52" s="78">
        <f t="shared" si="10"/>
        <v>1.1660671624999999</v>
      </c>
      <c r="R52" s="78">
        <f t="shared" si="0"/>
        <v>1.3343562749999998</v>
      </c>
      <c r="S52" s="78">
        <f t="shared" si="11"/>
        <v>1.0296761525</v>
      </c>
      <c r="T52" s="78">
        <f t="shared" si="1"/>
        <v>1.1782809599999999</v>
      </c>
      <c r="U52" s="78">
        <f t="shared" si="2"/>
        <v>1.1660671624999999</v>
      </c>
      <c r="V52" s="78">
        <f t="shared" si="3"/>
        <v>1.3343562749999998</v>
      </c>
      <c r="W52" s="78">
        <f t="shared" si="12"/>
        <v>1.0921214399999999</v>
      </c>
      <c r="X52" s="78">
        <f t="shared" si="4"/>
        <v>1.2497385599999997</v>
      </c>
      <c r="Y52" s="78">
        <f t="shared" si="13"/>
        <v>0.964379616</v>
      </c>
      <c r="Z52" s="78">
        <f t="shared" si="5"/>
        <v>1.1035607039999999</v>
      </c>
      <c r="AA52" s="78">
        <f t="shared" si="6"/>
        <v>1.0921214399999999</v>
      </c>
      <c r="AB52" s="78">
        <f t="shared" si="7"/>
        <v>1.2497385599999997</v>
      </c>
      <c r="AC52" s="78">
        <v>0.97763589999999989</v>
      </c>
      <c r="AD52" s="78">
        <v>1.1156241</v>
      </c>
      <c r="AE52" s="78">
        <v>1.0710942999999999</v>
      </c>
      <c r="AF52" s="78">
        <v>1.2256767</v>
      </c>
      <c r="AG52" s="95">
        <v>1.127386</v>
      </c>
      <c r="AH52" s="95">
        <v>1.339486</v>
      </c>
      <c r="AI52" s="95">
        <v>0.97763599999999995</v>
      </c>
      <c r="AJ52" s="95">
        <v>1.1156239999999999</v>
      </c>
      <c r="AK52" s="95">
        <f t="shared" si="14"/>
        <v>1.127386</v>
      </c>
      <c r="AL52" s="95">
        <f t="shared" si="15"/>
        <v>1.339486</v>
      </c>
    </row>
    <row r="53" spans="1:38" x14ac:dyDescent="0.2">
      <c r="A53" s="60">
        <v>1</v>
      </c>
      <c r="B53" s="55">
        <v>45</v>
      </c>
      <c r="C53" s="61">
        <v>1.0665356591572182</v>
      </c>
      <c r="D53" s="61">
        <v>1.2090549978866756</v>
      </c>
      <c r="E53" s="81">
        <v>1.0811321391294508</v>
      </c>
      <c r="F53" s="81">
        <v>1.2312107005037467</v>
      </c>
      <c r="G53" s="78">
        <v>1.0188010000000001</v>
      </c>
      <c r="H53" s="78">
        <v>1.1048794</v>
      </c>
      <c r="I53" s="78">
        <v>1.1357548</v>
      </c>
      <c r="J53" s="78">
        <v>1.3491822</v>
      </c>
      <c r="K53" s="78">
        <v>1.1476633000000001</v>
      </c>
      <c r="L53" s="78">
        <v>1.3153851000000001</v>
      </c>
      <c r="M53" s="78">
        <v>1.0134249</v>
      </c>
      <c r="N53" s="78">
        <v>1.1615287999999999</v>
      </c>
      <c r="O53" s="78">
        <v>1.1476633000000001</v>
      </c>
      <c r="P53" s="78">
        <v>1.3153851000000001</v>
      </c>
      <c r="Q53" s="78">
        <f t="shared" si="10"/>
        <v>1.1763548824999999</v>
      </c>
      <c r="R53" s="78">
        <f t="shared" si="0"/>
        <v>1.3482697275</v>
      </c>
      <c r="S53" s="78">
        <f t="shared" si="11"/>
        <v>1.0387605224999998</v>
      </c>
      <c r="T53" s="78">
        <f t="shared" si="1"/>
        <v>1.1905670199999998</v>
      </c>
      <c r="U53" s="78">
        <f t="shared" si="2"/>
        <v>1.1763548824999999</v>
      </c>
      <c r="V53" s="78">
        <f t="shared" si="3"/>
        <v>1.3482697275</v>
      </c>
      <c r="W53" s="78">
        <f t="shared" si="12"/>
        <v>1.101756768</v>
      </c>
      <c r="X53" s="78">
        <f t="shared" si="4"/>
        <v>1.2627696960000001</v>
      </c>
      <c r="Y53" s="78">
        <f t="shared" si="13"/>
        <v>0.97288790399999991</v>
      </c>
      <c r="Z53" s="78">
        <f t="shared" si="5"/>
        <v>1.1150676479999999</v>
      </c>
      <c r="AA53" s="78">
        <f t="shared" si="6"/>
        <v>1.101756768</v>
      </c>
      <c r="AB53" s="78">
        <f t="shared" si="7"/>
        <v>1.2627696960000001</v>
      </c>
      <c r="AC53" s="78">
        <v>0.97440499999999997</v>
      </c>
      <c r="AD53" s="78">
        <v>1.1105731000000001</v>
      </c>
      <c r="AE53" s="78">
        <v>1.0805441</v>
      </c>
      <c r="AF53" s="78">
        <v>1.23845695</v>
      </c>
      <c r="AG53" s="95">
        <v>1.1325529999999999</v>
      </c>
      <c r="AH53" s="95">
        <v>1.345993</v>
      </c>
      <c r="AI53" s="95">
        <v>0.97440499999999997</v>
      </c>
      <c r="AJ53" s="95">
        <v>1.110573</v>
      </c>
      <c r="AK53" s="95">
        <f t="shared" si="14"/>
        <v>1.1325529999999999</v>
      </c>
      <c r="AL53" s="95">
        <f t="shared" si="15"/>
        <v>1.345993</v>
      </c>
    </row>
    <row r="54" spans="1:38" x14ac:dyDescent="0.2">
      <c r="A54" s="60">
        <v>1</v>
      </c>
      <c r="B54" s="55">
        <v>46</v>
      </c>
      <c r="C54" s="61">
        <v>1.0664397234745544</v>
      </c>
      <c r="D54" s="61">
        <v>1.2060795582517256</v>
      </c>
      <c r="E54" s="81">
        <v>1.0810356559641905</v>
      </c>
      <c r="F54" s="81">
        <v>1.2281395763542662</v>
      </c>
      <c r="G54" s="78">
        <v>1.0185786999999999</v>
      </c>
      <c r="H54" s="78">
        <v>1.1063158</v>
      </c>
      <c r="I54" s="78">
        <v>1.1357858000000001</v>
      </c>
      <c r="J54" s="78">
        <v>1.3415926999999999</v>
      </c>
      <c r="K54" s="78">
        <v>1.146034</v>
      </c>
      <c r="L54" s="78">
        <v>1.328063</v>
      </c>
      <c r="M54" s="78">
        <v>1.0119861000000001</v>
      </c>
      <c r="N54" s="78">
        <v>1.1727238</v>
      </c>
      <c r="O54" s="78">
        <v>1.146034</v>
      </c>
      <c r="P54" s="78">
        <v>1.328063</v>
      </c>
      <c r="Q54" s="78">
        <f t="shared" si="10"/>
        <v>1.17468485</v>
      </c>
      <c r="R54" s="78">
        <f t="shared" si="0"/>
        <v>1.3612645749999999</v>
      </c>
      <c r="S54" s="78">
        <f t="shared" si="11"/>
        <v>1.0372857525000001</v>
      </c>
      <c r="T54" s="78">
        <f t="shared" si="1"/>
        <v>1.2020418949999998</v>
      </c>
      <c r="U54" s="78">
        <f t="shared" si="2"/>
        <v>1.17468485</v>
      </c>
      <c r="V54" s="78">
        <f t="shared" si="3"/>
        <v>1.3612645749999999</v>
      </c>
      <c r="W54" s="78">
        <f t="shared" si="12"/>
        <v>1.1001926399999999</v>
      </c>
      <c r="X54" s="78">
        <f t="shared" si="4"/>
        <v>1.2749404799999999</v>
      </c>
      <c r="Y54" s="78">
        <f t="shared" si="13"/>
        <v>0.97150665600000008</v>
      </c>
      <c r="Z54" s="78">
        <f t="shared" si="5"/>
        <v>1.1258148479999999</v>
      </c>
      <c r="AA54" s="78">
        <f t="shared" si="6"/>
        <v>1.1001926399999999</v>
      </c>
      <c r="AB54" s="78">
        <f t="shared" si="7"/>
        <v>1.2749404799999999</v>
      </c>
      <c r="AC54" s="78">
        <v>0.97648709999999994</v>
      </c>
      <c r="AD54" s="78">
        <v>1.1111633000000001</v>
      </c>
      <c r="AE54" s="78">
        <v>1.0790100499999999</v>
      </c>
      <c r="AF54" s="78">
        <v>1.2503934000000001</v>
      </c>
      <c r="AG54" s="95">
        <v>1.137991</v>
      </c>
      <c r="AH54" s="95">
        <v>1.3365450000000001</v>
      </c>
      <c r="AI54" s="95">
        <v>0.97648699999999999</v>
      </c>
      <c r="AJ54" s="95">
        <v>1.1111629999999999</v>
      </c>
      <c r="AK54" s="95">
        <f t="shared" si="14"/>
        <v>1.137991</v>
      </c>
      <c r="AL54" s="95">
        <f t="shared" si="15"/>
        <v>1.3365450000000001</v>
      </c>
    </row>
    <row r="55" spans="1:38" x14ac:dyDescent="0.2">
      <c r="A55" s="60">
        <v>1</v>
      </c>
      <c r="B55" s="55">
        <v>47</v>
      </c>
      <c r="C55" s="61">
        <v>1.0557687836517471</v>
      </c>
      <c r="D55" s="61">
        <v>1.1942412015441803</v>
      </c>
      <c r="E55" s="81">
        <v>1.0701630594165124</v>
      </c>
      <c r="F55" s="81">
        <v>1.2159456955588968</v>
      </c>
      <c r="G55" s="78">
        <v>1.0178801</v>
      </c>
      <c r="H55" s="78">
        <v>1.1094891</v>
      </c>
      <c r="I55" s="78">
        <v>1.1147445</v>
      </c>
      <c r="J55" s="78">
        <v>1.3140076999999999</v>
      </c>
      <c r="K55" s="78">
        <v>1.1287346</v>
      </c>
      <c r="L55" s="78">
        <v>1.3297864000000001</v>
      </c>
      <c r="M55" s="78">
        <v>0.99671019999999999</v>
      </c>
      <c r="N55" s="78">
        <v>1.1742455999999999</v>
      </c>
      <c r="O55" s="78">
        <v>1.1287346</v>
      </c>
      <c r="P55" s="78">
        <v>1.3297864000000001</v>
      </c>
      <c r="Q55" s="78">
        <f t="shared" si="10"/>
        <v>1.1569529649999999</v>
      </c>
      <c r="R55" s="78">
        <f t="shared" si="0"/>
        <v>1.36303106</v>
      </c>
      <c r="S55" s="78">
        <f t="shared" si="11"/>
        <v>1.0216279549999998</v>
      </c>
      <c r="T55" s="78">
        <f t="shared" si="1"/>
        <v>1.2036017399999999</v>
      </c>
      <c r="U55" s="78">
        <f t="shared" si="2"/>
        <v>1.1569529649999999</v>
      </c>
      <c r="V55" s="78">
        <f t="shared" si="3"/>
        <v>1.36303106</v>
      </c>
      <c r="W55" s="78">
        <f t="shared" si="12"/>
        <v>1.0835852159999999</v>
      </c>
      <c r="X55" s="78">
        <f t="shared" si="4"/>
        <v>1.2765949440000002</v>
      </c>
      <c r="Y55" s="78">
        <f t="shared" si="13"/>
        <v>0.95684179199999997</v>
      </c>
      <c r="Z55" s="78">
        <f t="shared" si="5"/>
        <v>1.1272757759999998</v>
      </c>
      <c r="AA55" s="78">
        <f t="shared" si="6"/>
        <v>1.0835852159999999</v>
      </c>
      <c r="AB55" s="78">
        <f t="shared" si="7"/>
        <v>1.2765949440000002</v>
      </c>
      <c r="AC55" s="78">
        <v>0.9620206</v>
      </c>
      <c r="AD55" s="78">
        <v>1.0993902</v>
      </c>
      <c r="AE55" s="78">
        <v>1.0627224</v>
      </c>
      <c r="AF55" s="78">
        <v>1.252016</v>
      </c>
      <c r="AG55" s="95">
        <v>1.127713</v>
      </c>
      <c r="AH55" s="95">
        <v>1.3125230000000001</v>
      </c>
      <c r="AI55" s="95">
        <v>0.96202100000000002</v>
      </c>
      <c r="AJ55" s="95">
        <v>1.0993900000000001</v>
      </c>
      <c r="AK55" s="95">
        <f t="shared" si="14"/>
        <v>1.127713</v>
      </c>
      <c r="AL55" s="95">
        <f t="shared" si="15"/>
        <v>1.3125230000000001</v>
      </c>
    </row>
    <row r="56" spans="1:38" x14ac:dyDescent="0.2">
      <c r="A56" s="60">
        <v>1</v>
      </c>
      <c r="B56" s="55">
        <v>48</v>
      </c>
      <c r="C56" s="61">
        <v>1.04035047689222</v>
      </c>
      <c r="D56" s="61">
        <v>1.174930705413624</v>
      </c>
      <c r="E56" s="81">
        <v>1.0544451137984892</v>
      </c>
      <c r="F56" s="81">
        <v>1.1961386292159286</v>
      </c>
      <c r="G56" s="78">
        <v>1.0182822</v>
      </c>
      <c r="H56" s="78">
        <v>1.10625</v>
      </c>
      <c r="I56" s="78">
        <v>1.0829035</v>
      </c>
      <c r="J56" s="78">
        <v>1.2776570999999999</v>
      </c>
      <c r="K56" s="78">
        <v>1.1043109</v>
      </c>
      <c r="L56" s="78">
        <v>1.3274630999999999</v>
      </c>
      <c r="M56" s="78">
        <v>0.97514330000000005</v>
      </c>
      <c r="N56" s="78">
        <v>1.1721941</v>
      </c>
      <c r="O56" s="78">
        <v>1.1043109</v>
      </c>
      <c r="P56" s="78">
        <v>1.3274630999999999</v>
      </c>
      <c r="Q56" s="78">
        <f t="shared" si="10"/>
        <v>1.1319186724999999</v>
      </c>
      <c r="R56" s="78">
        <f t="shared" si="0"/>
        <v>1.3606496774999999</v>
      </c>
      <c r="S56" s="78">
        <f t="shared" si="11"/>
        <v>0.99952188249999996</v>
      </c>
      <c r="T56" s="78">
        <f t="shared" si="1"/>
        <v>1.2014989524999999</v>
      </c>
      <c r="U56" s="78">
        <f t="shared" si="2"/>
        <v>1.1319186724999999</v>
      </c>
      <c r="V56" s="78">
        <f t="shared" si="3"/>
        <v>1.3606496774999999</v>
      </c>
      <c r="W56" s="78">
        <f t="shared" si="12"/>
        <v>1.060138464</v>
      </c>
      <c r="X56" s="78">
        <f t="shared" si="4"/>
        <v>1.2743645759999997</v>
      </c>
      <c r="Y56" s="78">
        <f t="shared" si="13"/>
        <v>0.93613756800000003</v>
      </c>
      <c r="Z56" s="78">
        <f t="shared" si="5"/>
        <v>1.125306336</v>
      </c>
      <c r="AA56" s="78">
        <f t="shared" si="6"/>
        <v>1.060138464</v>
      </c>
      <c r="AB56" s="78">
        <f t="shared" si="7"/>
        <v>1.2743645759999997</v>
      </c>
      <c r="AC56" s="78">
        <v>0.93899670000000002</v>
      </c>
      <c r="AD56" s="78">
        <v>1.0824003</v>
      </c>
      <c r="AE56" s="78">
        <v>1.0397270999999999</v>
      </c>
      <c r="AF56" s="78">
        <v>1.2498285999999998</v>
      </c>
      <c r="AG56" s="95">
        <v>1.109804</v>
      </c>
      <c r="AH56" s="95">
        <v>1.283045</v>
      </c>
      <c r="AI56" s="95">
        <v>0.93899699999999997</v>
      </c>
      <c r="AJ56" s="95">
        <v>1.0824</v>
      </c>
      <c r="AK56" s="95">
        <f t="shared" si="14"/>
        <v>1.109804</v>
      </c>
      <c r="AL56" s="95">
        <f t="shared" si="15"/>
        <v>1.283045</v>
      </c>
    </row>
    <row r="57" spans="1:38" x14ac:dyDescent="0.2">
      <c r="A57" s="60">
        <v>1</v>
      </c>
      <c r="B57" s="55">
        <v>49</v>
      </c>
      <c r="C57" s="61">
        <v>1.0238543847084884</v>
      </c>
      <c r="D57" s="61">
        <v>1.1550694854504504</v>
      </c>
      <c r="E57" s="81">
        <v>1.0376251503489398</v>
      </c>
      <c r="F57" s="81">
        <v>1.1757222445437236</v>
      </c>
      <c r="G57" s="78">
        <v>1.0192734999999999</v>
      </c>
      <c r="H57" s="78">
        <v>1.1074044000000001</v>
      </c>
      <c r="I57" s="78">
        <v>1.0482647</v>
      </c>
      <c r="J57" s="78">
        <v>1.2356612</v>
      </c>
      <c r="K57" s="78">
        <v>1.0817199</v>
      </c>
      <c r="L57" s="78">
        <v>1.3247308000000002</v>
      </c>
      <c r="M57" s="78">
        <v>0.95519469999999995</v>
      </c>
      <c r="N57" s="78">
        <v>1.1697814</v>
      </c>
      <c r="O57" s="78">
        <v>1.0817199</v>
      </c>
      <c r="P57" s="78">
        <v>1.3247308000000002</v>
      </c>
      <c r="Q57" s="78">
        <f t="shared" si="10"/>
        <v>1.1087628974999999</v>
      </c>
      <c r="R57" s="78">
        <f t="shared" si="0"/>
        <v>1.3578490700000001</v>
      </c>
      <c r="S57" s="78">
        <f t="shared" si="11"/>
        <v>0.97907456749999988</v>
      </c>
      <c r="T57" s="78">
        <f t="shared" si="1"/>
        <v>1.1990259349999999</v>
      </c>
      <c r="U57" s="78">
        <f t="shared" si="2"/>
        <v>1.1087628974999999</v>
      </c>
      <c r="V57" s="78">
        <f t="shared" si="3"/>
        <v>1.3578490700000001</v>
      </c>
      <c r="W57" s="78">
        <f t="shared" si="12"/>
        <v>1.038451104</v>
      </c>
      <c r="X57" s="78">
        <f t="shared" si="4"/>
        <v>1.2717415680000002</v>
      </c>
      <c r="Y57" s="78">
        <f t="shared" si="13"/>
        <v>0.91698691199999993</v>
      </c>
      <c r="Z57" s="78">
        <f t="shared" si="5"/>
        <v>1.1229901439999999</v>
      </c>
      <c r="AA57" s="78">
        <f t="shared" si="6"/>
        <v>1.038451104</v>
      </c>
      <c r="AB57" s="78">
        <f t="shared" si="7"/>
        <v>1.2717415680000002</v>
      </c>
      <c r="AC57" s="78">
        <v>0.91473369999999998</v>
      </c>
      <c r="AD57" s="78">
        <v>1.0626034</v>
      </c>
      <c r="AE57" s="78">
        <v>1.0184572999999999</v>
      </c>
      <c r="AF57" s="78">
        <v>1.2472561</v>
      </c>
      <c r="AG57" s="95">
        <v>1.0917870000000001</v>
      </c>
      <c r="AH57" s="95">
        <v>1.251171</v>
      </c>
      <c r="AI57" s="95">
        <v>0.91473400000000005</v>
      </c>
      <c r="AJ57" s="95">
        <v>1.062603</v>
      </c>
      <c r="AK57" s="95">
        <f t="shared" si="14"/>
        <v>1.0917870000000001</v>
      </c>
      <c r="AL57" s="95">
        <f t="shared" si="15"/>
        <v>1.251171</v>
      </c>
    </row>
    <row r="58" spans="1:38" x14ac:dyDescent="0.2">
      <c r="A58" s="60">
        <v>1</v>
      </c>
      <c r="B58" s="55">
        <v>50</v>
      </c>
      <c r="C58" s="61">
        <v>1.0344058396732927</v>
      </c>
      <c r="D58" s="61">
        <v>1.1663325876735164</v>
      </c>
      <c r="E58" s="81">
        <v>1.0480690220377171</v>
      </c>
      <c r="F58" s="81">
        <v>1.1865114387567246</v>
      </c>
      <c r="G58" s="78">
        <v>1.0723727999999999</v>
      </c>
      <c r="H58" s="78">
        <v>1.1863789</v>
      </c>
      <c r="I58" s="78">
        <v>1.0156514999999999</v>
      </c>
      <c r="J58" s="78">
        <v>1.1776676000000001</v>
      </c>
      <c r="K58" s="78">
        <v>1.0682574</v>
      </c>
      <c r="L58" s="78">
        <v>1.2864378999999999</v>
      </c>
      <c r="M58" s="78">
        <v>0.9433068</v>
      </c>
      <c r="N58" s="78">
        <v>1.1359675</v>
      </c>
      <c r="O58" s="78">
        <v>1.0682574</v>
      </c>
      <c r="P58" s="78">
        <v>1.2864378999999999</v>
      </c>
      <c r="Q58" s="78">
        <f t="shared" si="10"/>
        <v>1.0949638349999999</v>
      </c>
      <c r="R58" s="78">
        <f t="shared" si="0"/>
        <v>1.3185988474999999</v>
      </c>
      <c r="S58" s="78">
        <f t="shared" si="11"/>
        <v>0.96688946999999992</v>
      </c>
      <c r="T58" s="78">
        <f t="shared" si="1"/>
        <v>1.1643666874999998</v>
      </c>
      <c r="U58" s="78">
        <f t="shared" si="2"/>
        <v>1.0949638349999999</v>
      </c>
      <c r="V58" s="78">
        <f t="shared" si="3"/>
        <v>1.3185988474999999</v>
      </c>
      <c r="W58" s="78">
        <f t="shared" si="12"/>
        <v>1.025527104</v>
      </c>
      <c r="X58" s="78">
        <f t="shared" si="4"/>
        <v>1.2349803839999998</v>
      </c>
      <c r="Y58" s="78">
        <f t="shared" si="13"/>
        <v>0.90557452799999993</v>
      </c>
      <c r="Z58" s="78">
        <f t="shared" si="5"/>
        <v>1.0905288</v>
      </c>
      <c r="AA58" s="78">
        <f t="shared" si="6"/>
        <v>1.025527104</v>
      </c>
      <c r="AB58" s="78">
        <f t="shared" si="7"/>
        <v>1.2349803839999998</v>
      </c>
      <c r="AC58" s="78">
        <v>0.8944880999999999</v>
      </c>
      <c r="AD58" s="78">
        <v>1.0209336999999998</v>
      </c>
      <c r="AE58" s="78">
        <v>1.0057821</v>
      </c>
      <c r="AF58" s="78">
        <v>1.2112026999999999</v>
      </c>
      <c r="AG58" s="95">
        <v>1.0790900000000001</v>
      </c>
      <c r="AH58" s="95">
        <v>1.195713</v>
      </c>
      <c r="AI58" s="95">
        <v>0.89448799999999995</v>
      </c>
      <c r="AJ58" s="95">
        <v>1.020934</v>
      </c>
      <c r="AK58" s="95">
        <f t="shared" si="14"/>
        <v>1.0790900000000001</v>
      </c>
      <c r="AL58" s="95">
        <f t="shared" si="15"/>
        <v>1.195713</v>
      </c>
    </row>
    <row r="59" spans="1:38" x14ac:dyDescent="0.2">
      <c r="A59" s="60">
        <v>1</v>
      </c>
      <c r="B59" s="55">
        <v>51</v>
      </c>
      <c r="C59" s="61">
        <v>1.0218931662442154</v>
      </c>
      <c r="D59" s="61">
        <v>1.140118461132503</v>
      </c>
      <c r="E59" s="81">
        <v>1.0355243407779489</v>
      </c>
      <c r="F59" s="81">
        <v>1.1596833030071538</v>
      </c>
      <c r="G59" s="78">
        <v>1.0715744999999999</v>
      </c>
      <c r="H59" s="78">
        <v>1.1896709000000001</v>
      </c>
      <c r="I59" s="78">
        <v>0.99095730000000004</v>
      </c>
      <c r="J59" s="78">
        <v>1.1204219</v>
      </c>
      <c r="K59" s="78">
        <v>1.0616391000000001</v>
      </c>
      <c r="L59" s="78">
        <v>1.2292532</v>
      </c>
      <c r="M59" s="78">
        <v>0.93746269999999998</v>
      </c>
      <c r="N59" s="78">
        <v>1.0854714999999999</v>
      </c>
      <c r="O59" s="78">
        <v>1.0616391000000001</v>
      </c>
      <c r="P59" s="78">
        <v>1.2292532</v>
      </c>
      <c r="Q59" s="78">
        <f t="shared" si="10"/>
        <v>1.0881800774999999</v>
      </c>
      <c r="R59" s="78">
        <f t="shared" si="0"/>
        <v>1.2599845299999999</v>
      </c>
      <c r="S59" s="78">
        <f t="shared" si="11"/>
        <v>0.96089926749999988</v>
      </c>
      <c r="T59" s="78">
        <f t="shared" si="1"/>
        <v>1.1126082874999998</v>
      </c>
      <c r="U59" s="78">
        <f t="shared" si="2"/>
        <v>1.0881800774999999</v>
      </c>
      <c r="V59" s="78">
        <f t="shared" si="3"/>
        <v>1.2599845299999999</v>
      </c>
      <c r="W59" s="78">
        <f t="shared" si="12"/>
        <v>1.019173536</v>
      </c>
      <c r="X59" s="78">
        <f t="shared" si="4"/>
        <v>1.180083072</v>
      </c>
      <c r="Y59" s="78">
        <f t="shared" si="13"/>
        <v>0.899964192</v>
      </c>
      <c r="Z59" s="78">
        <f t="shared" si="5"/>
        <v>1.0420526399999999</v>
      </c>
      <c r="AA59" s="78">
        <f t="shared" si="6"/>
        <v>1.019173536</v>
      </c>
      <c r="AB59" s="78">
        <f t="shared" si="7"/>
        <v>1.180083072</v>
      </c>
      <c r="AC59" s="78">
        <v>0.87995829999999997</v>
      </c>
      <c r="AD59" s="78">
        <v>0.98603379999999996</v>
      </c>
      <c r="AE59" s="78">
        <v>0.99955090000000002</v>
      </c>
      <c r="AF59" s="78">
        <v>1.1573623500000001</v>
      </c>
      <c r="AG59" s="95">
        <v>1.086368</v>
      </c>
      <c r="AH59" s="95">
        <v>1.1433249999999999</v>
      </c>
      <c r="AI59" s="95">
        <v>0.87995800000000002</v>
      </c>
      <c r="AJ59" s="95">
        <v>0.98603399999999997</v>
      </c>
      <c r="AK59" s="95">
        <f t="shared" si="14"/>
        <v>1.086368</v>
      </c>
      <c r="AL59" s="95">
        <f t="shared" si="15"/>
        <v>1.1433249999999999</v>
      </c>
    </row>
    <row r="60" spans="1:38" x14ac:dyDescent="0.2">
      <c r="A60" s="60">
        <v>1</v>
      </c>
      <c r="B60" s="55">
        <v>52</v>
      </c>
      <c r="C60" s="61">
        <v>1.0161935164196605</v>
      </c>
      <c r="D60" s="61">
        <v>1.1206025030243962</v>
      </c>
      <c r="E60" s="81">
        <v>1.0299093754788953</v>
      </c>
      <c r="F60" s="81">
        <v>1.139767399301113</v>
      </c>
      <c r="G60" s="78">
        <v>1.0734330000000001</v>
      </c>
      <c r="H60" s="78">
        <v>1.1898763999999999</v>
      </c>
      <c r="I60" s="78">
        <v>0.97744389999999992</v>
      </c>
      <c r="J60" s="78">
        <v>1.0801103000000001</v>
      </c>
      <c r="K60" s="78">
        <v>1.058376</v>
      </c>
      <c r="L60" s="78">
        <v>1.1899909</v>
      </c>
      <c r="M60" s="78">
        <v>0.93458119999999989</v>
      </c>
      <c r="N60" s="78">
        <v>1.0508014999999999</v>
      </c>
      <c r="O60" s="78">
        <v>1.058376</v>
      </c>
      <c r="P60" s="78">
        <v>1.1899909</v>
      </c>
      <c r="Q60" s="78">
        <f t="shared" si="10"/>
        <v>1.0848353999999998</v>
      </c>
      <c r="R60" s="78">
        <f t="shared" si="0"/>
        <v>1.2197406725</v>
      </c>
      <c r="S60" s="78">
        <f t="shared" si="11"/>
        <v>0.95794572999999983</v>
      </c>
      <c r="T60" s="78">
        <f t="shared" si="1"/>
        <v>1.0770715375</v>
      </c>
      <c r="U60" s="78">
        <f t="shared" si="2"/>
        <v>1.0848353999999998</v>
      </c>
      <c r="V60" s="78">
        <f t="shared" si="3"/>
        <v>1.2197406725</v>
      </c>
      <c r="W60" s="78">
        <f t="shared" si="12"/>
        <v>1.01604096</v>
      </c>
      <c r="X60" s="78">
        <f t="shared" si="4"/>
        <v>1.142391264</v>
      </c>
      <c r="Y60" s="78">
        <f t="shared" si="13"/>
        <v>0.89719795199999985</v>
      </c>
      <c r="Z60" s="78">
        <f t="shared" si="5"/>
        <v>1.00876944</v>
      </c>
      <c r="AA60" s="78">
        <f t="shared" si="6"/>
        <v>1.01604096</v>
      </c>
      <c r="AB60" s="78">
        <f t="shared" si="7"/>
        <v>1.142391264</v>
      </c>
      <c r="AC60" s="78">
        <v>0.8720618</v>
      </c>
      <c r="AD60" s="78">
        <v>0.9612788000000001</v>
      </c>
      <c r="AE60" s="78">
        <v>0.99647859999999988</v>
      </c>
      <c r="AF60" s="78">
        <v>1.1203962000000001</v>
      </c>
      <c r="AG60" s="95">
        <v>1.1018749999999999</v>
      </c>
      <c r="AH60" s="95">
        <v>1.1089800000000001</v>
      </c>
      <c r="AI60" s="95">
        <v>0.872062</v>
      </c>
      <c r="AJ60" s="95">
        <v>0.96127899999999999</v>
      </c>
      <c r="AK60" s="95">
        <f t="shared" si="14"/>
        <v>1.1018749999999999</v>
      </c>
      <c r="AL60" s="95">
        <f t="shared" si="15"/>
        <v>1.1089800000000001</v>
      </c>
    </row>
    <row r="61" spans="1:38" x14ac:dyDescent="0.2">
      <c r="A61" s="60">
        <v>1</v>
      </c>
      <c r="B61" s="55">
        <v>53</v>
      </c>
      <c r="C61" s="61">
        <v>1.0141721825140995</v>
      </c>
      <c r="D61" s="61">
        <v>1.1056161608975108</v>
      </c>
      <c r="E61" s="81">
        <v>1.0280518678331845</v>
      </c>
      <c r="F61" s="81">
        <v>1.1245388454040424</v>
      </c>
      <c r="G61" s="78">
        <v>1.0739048</v>
      </c>
      <c r="H61" s="78">
        <v>1.1865668</v>
      </c>
      <c r="I61" s="78">
        <v>0.97284229999999994</v>
      </c>
      <c r="J61" s="78">
        <v>1.0527173000000001</v>
      </c>
      <c r="K61" s="78">
        <v>1.0595731000000002</v>
      </c>
      <c r="L61" s="78">
        <v>1.1627803000000001</v>
      </c>
      <c r="M61" s="78">
        <v>0.93563829999999992</v>
      </c>
      <c r="N61" s="78">
        <v>1.0267736999999999</v>
      </c>
      <c r="O61" s="78">
        <v>1.0595731000000002</v>
      </c>
      <c r="P61" s="78">
        <v>1.1627803000000001</v>
      </c>
      <c r="Q61" s="78">
        <f t="shared" si="10"/>
        <v>1.0860624275000001</v>
      </c>
      <c r="R61" s="78">
        <f t="shared" si="0"/>
        <v>1.1918498074999999</v>
      </c>
      <c r="S61" s="78">
        <f t="shared" si="11"/>
        <v>0.95902925749999979</v>
      </c>
      <c r="T61" s="78">
        <f t="shared" si="1"/>
        <v>1.0524430424999998</v>
      </c>
      <c r="U61" s="78">
        <f t="shared" si="2"/>
        <v>1.0860624275000001</v>
      </c>
      <c r="V61" s="78">
        <f t="shared" si="3"/>
        <v>1.1918498074999999</v>
      </c>
      <c r="W61" s="78">
        <f t="shared" si="12"/>
        <v>1.0171901760000002</v>
      </c>
      <c r="X61" s="78">
        <f t="shared" si="4"/>
        <v>1.1162690880000001</v>
      </c>
      <c r="Y61" s="78">
        <f t="shared" si="13"/>
        <v>0.89821276799999994</v>
      </c>
      <c r="Z61" s="78">
        <f t="shared" si="5"/>
        <v>0.9857027519999999</v>
      </c>
      <c r="AA61" s="78">
        <f t="shared" si="6"/>
        <v>1.0171901760000002</v>
      </c>
      <c r="AB61" s="78">
        <f t="shared" si="7"/>
        <v>1.1162690880000001</v>
      </c>
      <c r="AC61" s="78">
        <v>0.86979850000000003</v>
      </c>
      <c r="AD61" s="78">
        <v>0.94371219999999989</v>
      </c>
      <c r="AE61" s="78">
        <v>0.99760570000000004</v>
      </c>
      <c r="AF61" s="78">
        <v>1.0947770000000001</v>
      </c>
      <c r="AG61" s="95">
        <v>1.1237470000000001</v>
      </c>
      <c r="AH61" s="95">
        <v>1.0882989999999999</v>
      </c>
      <c r="AI61" s="95">
        <v>0.86979899999999999</v>
      </c>
      <c r="AJ61" s="95">
        <v>0.943712</v>
      </c>
      <c r="AK61" s="95">
        <f t="shared" si="14"/>
        <v>1.1237470000000001</v>
      </c>
      <c r="AL61" s="95">
        <f t="shared" si="15"/>
        <v>1.0882989999999999</v>
      </c>
    </row>
    <row r="62" spans="1:38" x14ac:dyDescent="0.2">
      <c r="A62" s="60">
        <v>1</v>
      </c>
      <c r="B62" s="55">
        <v>54</v>
      </c>
      <c r="C62" s="61">
        <v>1.0130727087039049</v>
      </c>
      <c r="D62" s="61">
        <v>1.0971468332680199</v>
      </c>
      <c r="E62" s="81">
        <v>1.0271433611847562</v>
      </c>
      <c r="F62" s="81">
        <v>1.1159549916977092</v>
      </c>
      <c r="G62" s="78">
        <v>1.0726087</v>
      </c>
      <c r="H62" s="78">
        <v>1.1885543000000001</v>
      </c>
      <c r="I62" s="78">
        <v>0.97192210000000001</v>
      </c>
      <c r="J62" s="78">
        <v>1.0332729999999999</v>
      </c>
      <c r="K62" s="78">
        <v>1.0619240000000001</v>
      </c>
      <c r="L62" s="78">
        <v>1.1411793000000001</v>
      </c>
      <c r="M62" s="78">
        <v>0.93771420000000005</v>
      </c>
      <c r="N62" s="78">
        <v>1.0076993000000001</v>
      </c>
      <c r="O62" s="78">
        <v>1.0619240000000001</v>
      </c>
      <c r="P62" s="78">
        <v>1.1411793000000001</v>
      </c>
      <c r="Q62" s="78">
        <f t="shared" si="10"/>
        <v>1.0884720999999999</v>
      </c>
      <c r="R62" s="78">
        <f t="shared" si="0"/>
        <v>1.1697087825000001</v>
      </c>
      <c r="S62" s="78">
        <f t="shared" si="11"/>
        <v>0.96115705499999993</v>
      </c>
      <c r="T62" s="78">
        <f t="shared" si="1"/>
        <v>1.0328917824999999</v>
      </c>
      <c r="U62" s="78">
        <f t="shared" si="2"/>
        <v>1.0884720999999999</v>
      </c>
      <c r="V62" s="78">
        <f t="shared" si="3"/>
        <v>1.1697087825000001</v>
      </c>
      <c r="W62" s="78">
        <f t="shared" si="12"/>
        <v>1.01944704</v>
      </c>
      <c r="X62" s="78">
        <f t="shared" si="4"/>
        <v>1.0955321280000001</v>
      </c>
      <c r="Y62" s="78">
        <f t="shared" si="13"/>
        <v>0.90020563200000003</v>
      </c>
      <c r="Z62" s="78">
        <f t="shared" si="5"/>
        <v>0.96739132800000005</v>
      </c>
      <c r="AA62" s="78">
        <f t="shared" si="6"/>
        <v>1.01944704</v>
      </c>
      <c r="AB62" s="78">
        <f t="shared" si="7"/>
        <v>1.0955321280000001</v>
      </c>
      <c r="AC62" s="78">
        <v>0.8692107</v>
      </c>
      <c r="AD62" s="78">
        <v>0.92936220000000003</v>
      </c>
      <c r="AE62" s="78">
        <v>0.99981910000000007</v>
      </c>
      <c r="AF62" s="78">
        <v>1.0744393000000001</v>
      </c>
      <c r="AG62" s="95">
        <v>1.1464510000000001</v>
      </c>
      <c r="AH62" s="95">
        <v>1.0760270000000001</v>
      </c>
      <c r="AI62" s="95">
        <v>0.86921099999999996</v>
      </c>
      <c r="AJ62" s="95">
        <v>0.92936200000000002</v>
      </c>
      <c r="AK62" s="95">
        <f t="shared" si="14"/>
        <v>1.1464510000000001</v>
      </c>
      <c r="AL62" s="95">
        <f t="shared" si="15"/>
        <v>1.0760270000000001</v>
      </c>
    </row>
    <row r="63" spans="1:38" x14ac:dyDescent="0.2">
      <c r="A63" s="60">
        <v>1</v>
      </c>
      <c r="B63" s="55">
        <v>55</v>
      </c>
      <c r="C63" s="61">
        <v>0.91662871740003704</v>
      </c>
      <c r="D63" s="61">
        <v>1.0466593482810045</v>
      </c>
      <c r="E63" s="81">
        <v>0.92997822231261273</v>
      </c>
      <c r="F63" s="81">
        <v>1.0650085776401645</v>
      </c>
      <c r="G63" s="78">
        <v>0.88226709999999997</v>
      </c>
      <c r="H63" s="78">
        <v>1.1042380000000001</v>
      </c>
      <c r="I63" s="78">
        <v>0.96932660000000004</v>
      </c>
      <c r="J63" s="78">
        <v>1.0161583000000001</v>
      </c>
      <c r="K63" s="78">
        <v>1.0612192</v>
      </c>
      <c r="L63" s="78">
        <v>1.1207612</v>
      </c>
      <c r="M63" s="78">
        <v>0.93709180000000003</v>
      </c>
      <c r="N63" s="78">
        <v>0.98966939999999992</v>
      </c>
      <c r="O63" s="78">
        <v>1.0612192</v>
      </c>
      <c r="P63" s="78">
        <v>1.1207612</v>
      </c>
      <c r="Q63" s="78">
        <f t="shared" si="10"/>
        <v>1.0877496799999999</v>
      </c>
      <c r="R63" s="78">
        <f t="shared" si="0"/>
        <v>1.1487802299999998</v>
      </c>
      <c r="S63" s="78">
        <f t="shared" si="11"/>
        <v>0.96051909499999999</v>
      </c>
      <c r="T63" s="78">
        <f t="shared" si="1"/>
        <v>1.0144111349999998</v>
      </c>
      <c r="U63" s="78">
        <f t="shared" si="2"/>
        <v>1.0877496799999999</v>
      </c>
      <c r="V63" s="78">
        <f t="shared" si="3"/>
        <v>1.1487802299999998</v>
      </c>
      <c r="W63" s="78">
        <f t="shared" si="12"/>
        <v>1.0187704319999999</v>
      </c>
      <c r="X63" s="78">
        <f t="shared" si="4"/>
        <v>1.0759307519999999</v>
      </c>
      <c r="Y63" s="78">
        <f t="shared" si="13"/>
        <v>0.89960812800000001</v>
      </c>
      <c r="Z63" s="78">
        <f t="shared" si="5"/>
        <v>0.95008262399999988</v>
      </c>
      <c r="AA63" s="78">
        <f t="shared" si="6"/>
        <v>1.0187704319999999</v>
      </c>
      <c r="AB63" s="78">
        <f t="shared" si="7"/>
        <v>1.0759307519999999</v>
      </c>
      <c r="AC63" s="78">
        <v>0.86606610000000006</v>
      </c>
      <c r="AD63" s="78">
        <v>0.91366820000000004</v>
      </c>
      <c r="AE63" s="78">
        <v>0.99915550000000009</v>
      </c>
      <c r="AF63" s="78">
        <v>1.0552153</v>
      </c>
      <c r="AG63" s="95">
        <v>1.163926</v>
      </c>
      <c r="AH63" s="95">
        <v>1.066271</v>
      </c>
      <c r="AI63" s="95">
        <v>0.866066</v>
      </c>
      <c r="AJ63" s="95">
        <v>0.91366800000000004</v>
      </c>
      <c r="AK63" s="95">
        <f t="shared" si="14"/>
        <v>1.163926</v>
      </c>
      <c r="AL63" s="95">
        <f t="shared" si="15"/>
        <v>1.066271</v>
      </c>
    </row>
    <row r="64" spans="1:38" x14ac:dyDescent="0.2">
      <c r="A64" s="60">
        <v>1</v>
      </c>
      <c r="B64" s="55">
        <v>56</v>
      </c>
      <c r="C64" s="61">
        <v>0.91331775605647147</v>
      </c>
      <c r="D64" s="61">
        <v>1.0368321551683053</v>
      </c>
      <c r="E64" s="81">
        <v>0.92677074536371684</v>
      </c>
      <c r="F64" s="81">
        <v>1.055038965574058</v>
      </c>
      <c r="G64" s="78">
        <v>0.88266169999999999</v>
      </c>
      <c r="H64" s="78">
        <v>1.1042581</v>
      </c>
      <c r="I64" s="78">
        <v>0.9621748</v>
      </c>
      <c r="J64" s="78">
        <v>0.99594510000000003</v>
      </c>
      <c r="K64" s="78">
        <v>1.0554728</v>
      </c>
      <c r="L64" s="78">
        <v>1.096951</v>
      </c>
      <c r="M64" s="78">
        <v>0.93201759999999989</v>
      </c>
      <c r="N64" s="78">
        <v>0.96864419999999996</v>
      </c>
      <c r="O64" s="78">
        <v>1.0554728</v>
      </c>
      <c r="P64" s="78">
        <v>1.096951</v>
      </c>
      <c r="Q64" s="78">
        <f t="shared" si="10"/>
        <v>1.0818596199999999</v>
      </c>
      <c r="R64" s="78">
        <f t="shared" si="0"/>
        <v>1.1243747749999999</v>
      </c>
      <c r="S64" s="78">
        <f t="shared" si="11"/>
        <v>0.95531803999999976</v>
      </c>
      <c r="T64" s="78">
        <f t="shared" si="1"/>
        <v>0.99286030499999989</v>
      </c>
      <c r="U64" s="78">
        <f t="shared" si="2"/>
        <v>1.0818596199999999</v>
      </c>
      <c r="V64" s="78">
        <f t="shared" si="3"/>
        <v>1.1243747749999999</v>
      </c>
      <c r="W64" s="78">
        <f t="shared" si="12"/>
        <v>1.0132538879999999</v>
      </c>
      <c r="X64" s="78">
        <f t="shared" si="4"/>
        <v>1.0530729599999999</v>
      </c>
      <c r="Y64" s="78">
        <f t="shared" si="13"/>
        <v>0.89473689599999984</v>
      </c>
      <c r="Z64" s="78">
        <f t="shared" si="5"/>
        <v>0.92989843199999989</v>
      </c>
      <c r="AA64" s="78">
        <f t="shared" si="6"/>
        <v>1.0132538879999999</v>
      </c>
      <c r="AB64" s="78">
        <f t="shared" si="7"/>
        <v>1.0530729599999999</v>
      </c>
      <c r="AC64" s="78">
        <v>0.85828700000000002</v>
      </c>
      <c r="AD64" s="78">
        <v>0.89239599999999997</v>
      </c>
      <c r="AE64" s="78">
        <v>0.9937452</v>
      </c>
      <c r="AF64" s="78">
        <v>1.0327975999999999</v>
      </c>
      <c r="AG64" s="95">
        <v>1.1729019999999999</v>
      </c>
      <c r="AH64" s="95">
        <v>1.0533269999999999</v>
      </c>
      <c r="AI64" s="95">
        <v>0.85828700000000002</v>
      </c>
      <c r="AJ64" s="95">
        <v>0.89239599999999997</v>
      </c>
      <c r="AK64" s="95">
        <f t="shared" si="14"/>
        <v>1.1729019999999999</v>
      </c>
      <c r="AL64" s="95">
        <f t="shared" si="15"/>
        <v>1.0533269999999999</v>
      </c>
    </row>
    <row r="65" spans="1:38" x14ac:dyDescent="0.2">
      <c r="A65" s="60">
        <v>1</v>
      </c>
      <c r="B65" s="55">
        <v>57</v>
      </c>
      <c r="C65" s="61">
        <v>0.90708595254467816</v>
      </c>
      <c r="D65" s="61">
        <v>1.0235491170415223</v>
      </c>
      <c r="E65" s="81">
        <v>0.92058807357528127</v>
      </c>
      <c r="F65" s="81">
        <v>1.0415324647880293</v>
      </c>
      <c r="G65" s="78">
        <v>0.88268809999999998</v>
      </c>
      <c r="H65" s="78">
        <v>1.1027958</v>
      </c>
      <c r="I65" s="78">
        <v>0.94944400000000007</v>
      </c>
      <c r="J65" s="78">
        <v>0.97015410000000002</v>
      </c>
      <c r="K65" s="78">
        <v>1.0443587999999999</v>
      </c>
      <c r="L65" s="78">
        <v>1.0681187999999999</v>
      </c>
      <c r="M65" s="78">
        <v>0.92220360000000001</v>
      </c>
      <c r="N65" s="78">
        <v>0.94318439999999992</v>
      </c>
      <c r="O65" s="78">
        <v>1.0443587999999999</v>
      </c>
      <c r="P65" s="78">
        <v>1.0681187999999999</v>
      </c>
      <c r="Q65" s="78">
        <f t="shared" si="10"/>
        <v>1.0704677699999998</v>
      </c>
      <c r="R65" s="78">
        <f t="shared" si="0"/>
        <v>1.0948217699999998</v>
      </c>
      <c r="S65" s="78">
        <f t="shared" si="11"/>
        <v>0.94525868999999996</v>
      </c>
      <c r="T65" s="78">
        <f t="shared" si="1"/>
        <v>0.96676400999999978</v>
      </c>
      <c r="U65" s="78">
        <f t="shared" si="2"/>
        <v>1.0704677699999998</v>
      </c>
      <c r="V65" s="78">
        <f t="shared" si="3"/>
        <v>1.0948217699999998</v>
      </c>
      <c r="W65" s="78">
        <f t="shared" si="12"/>
        <v>1.0025844479999999</v>
      </c>
      <c r="X65" s="78">
        <f t="shared" si="4"/>
        <v>1.0253940479999999</v>
      </c>
      <c r="Y65" s="78">
        <f t="shared" si="13"/>
        <v>0.88531545599999995</v>
      </c>
      <c r="Z65" s="78">
        <f t="shared" si="5"/>
        <v>0.90545702399999994</v>
      </c>
      <c r="AA65" s="78">
        <f t="shared" si="6"/>
        <v>1.0025844479999999</v>
      </c>
      <c r="AB65" s="78">
        <f t="shared" si="7"/>
        <v>1.0253940479999999</v>
      </c>
      <c r="AC65" s="78">
        <v>0.84542760000000006</v>
      </c>
      <c r="AD65" s="78">
        <v>0.86419309999999994</v>
      </c>
      <c r="AE65" s="78">
        <v>0.98328119999999997</v>
      </c>
      <c r="AF65" s="78">
        <v>1.0056516</v>
      </c>
      <c r="AG65" s="95">
        <v>1.1724429999999999</v>
      </c>
      <c r="AH65" s="95">
        <v>1.034565</v>
      </c>
      <c r="AI65" s="95">
        <v>0.84542799999999996</v>
      </c>
      <c r="AJ65" s="95">
        <v>0.86419299999999999</v>
      </c>
      <c r="AK65" s="95">
        <f t="shared" si="14"/>
        <v>1.1724429999999999</v>
      </c>
      <c r="AL65" s="95">
        <f t="shared" si="15"/>
        <v>1.034565</v>
      </c>
    </row>
    <row r="66" spans="1:38" x14ac:dyDescent="0.2">
      <c r="A66" s="60">
        <v>1</v>
      </c>
      <c r="B66" s="55">
        <v>58</v>
      </c>
      <c r="C66" s="61">
        <v>0.89793079724726754</v>
      </c>
      <c r="D66" s="61">
        <v>1.0101612872738037</v>
      </c>
      <c r="E66" s="81">
        <v>0.91143093007201192</v>
      </c>
      <c r="F66" s="81">
        <v>1.0278845240477856</v>
      </c>
      <c r="G66" s="78">
        <v>0.88153879999999996</v>
      </c>
      <c r="H66" s="78">
        <v>1.1050622999999999</v>
      </c>
      <c r="I66" s="78">
        <v>0.93195210000000006</v>
      </c>
      <c r="J66" s="78">
        <v>0.94031690000000001</v>
      </c>
      <c r="K66" s="78">
        <v>1.0292604000000001</v>
      </c>
      <c r="L66" s="78">
        <v>1.0351152000000001</v>
      </c>
      <c r="M66" s="78">
        <v>0.90887119999999999</v>
      </c>
      <c r="N66" s="78">
        <v>0.91404110000000005</v>
      </c>
      <c r="O66" s="78">
        <v>1.0292604000000001</v>
      </c>
      <c r="P66" s="78">
        <v>1.0351152000000001</v>
      </c>
      <c r="Q66" s="78">
        <f t="shared" si="10"/>
        <v>1.05499191</v>
      </c>
      <c r="R66" s="78">
        <f t="shared" si="0"/>
        <v>1.06099308</v>
      </c>
      <c r="S66" s="78">
        <f t="shared" si="11"/>
        <v>0.9315929799999999</v>
      </c>
      <c r="T66" s="78">
        <f t="shared" si="1"/>
        <v>0.93689212749999995</v>
      </c>
      <c r="U66" s="78">
        <f t="shared" si="2"/>
        <v>1.05499191</v>
      </c>
      <c r="V66" s="78">
        <f t="shared" si="3"/>
        <v>1.06099308</v>
      </c>
      <c r="W66" s="78">
        <f t="shared" si="12"/>
        <v>0.98808998400000003</v>
      </c>
      <c r="X66" s="78">
        <f t="shared" si="4"/>
        <v>0.99371059200000011</v>
      </c>
      <c r="Y66" s="78">
        <f t="shared" si="13"/>
        <v>0.872516352</v>
      </c>
      <c r="Z66" s="78">
        <f t="shared" si="5"/>
        <v>0.87747945599999999</v>
      </c>
      <c r="AA66" s="78">
        <f t="shared" si="6"/>
        <v>0.98808998400000003</v>
      </c>
      <c r="AB66" s="78">
        <f t="shared" si="7"/>
        <v>0.99371059200000011</v>
      </c>
      <c r="AC66" s="78">
        <v>0.82864389999999999</v>
      </c>
      <c r="AD66" s="78">
        <v>0.83143600000000006</v>
      </c>
      <c r="AE66" s="78">
        <v>0.96906580000000009</v>
      </c>
      <c r="AF66" s="78">
        <v>0.97457815000000014</v>
      </c>
      <c r="AG66" s="95">
        <v>1.16405</v>
      </c>
      <c r="AH66" s="95">
        <v>1.011633</v>
      </c>
      <c r="AI66" s="95">
        <v>0.82864400000000005</v>
      </c>
      <c r="AJ66" s="95">
        <v>0.83143599999999995</v>
      </c>
      <c r="AK66" s="95">
        <f t="shared" si="14"/>
        <v>1.16405</v>
      </c>
      <c r="AL66" s="95">
        <f t="shared" si="15"/>
        <v>1.011633</v>
      </c>
    </row>
    <row r="67" spans="1:38" x14ac:dyDescent="0.2">
      <c r="A67" s="60">
        <v>1</v>
      </c>
      <c r="B67" s="55">
        <v>59</v>
      </c>
      <c r="C67" s="61">
        <v>0.88830962914581346</v>
      </c>
      <c r="D67" s="61">
        <v>0.99498872175869346</v>
      </c>
      <c r="E67" s="81">
        <v>0.90179391399927333</v>
      </c>
      <c r="F67" s="81">
        <v>1.0124291427931951</v>
      </c>
      <c r="G67" s="78">
        <v>0.88149829999999996</v>
      </c>
      <c r="H67" s="78">
        <v>1.1044471</v>
      </c>
      <c r="I67" s="78">
        <v>0.91237989999999991</v>
      </c>
      <c r="J67" s="78">
        <v>0.9097731</v>
      </c>
      <c r="K67" s="78">
        <v>1.0123926000000001</v>
      </c>
      <c r="L67" s="78">
        <v>0.99976960000000004</v>
      </c>
      <c r="M67" s="78">
        <v>0.8939764</v>
      </c>
      <c r="N67" s="78">
        <v>0.8828298</v>
      </c>
      <c r="O67" s="78">
        <v>1.0123926000000001</v>
      </c>
      <c r="P67" s="78">
        <v>0.99976960000000004</v>
      </c>
      <c r="Q67" s="78">
        <f t="shared" si="10"/>
        <v>1.037702415</v>
      </c>
      <c r="R67" s="78">
        <f t="shared" si="0"/>
        <v>1.0247638399999999</v>
      </c>
      <c r="S67" s="78">
        <f t="shared" si="11"/>
        <v>0.91632580999999991</v>
      </c>
      <c r="T67" s="78">
        <f t="shared" si="1"/>
        <v>0.90490054499999995</v>
      </c>
      <c r="U67" s="78">
        <f t="shared" si="2"/>
        <v>1.037702415</v>
      </c>
      <c r="V67" s="78">
        <f t="shared" si="3"/>
        <v>1.0247638399999999</v>
      </c>
      <c r="W67" s="78">
        <f t="shared" si="12"/>
        <v>0.97189689600000007</v>
      </c>
      <c r="X67" s="78">
        <f t="shared" si="4"/>
        <v>0.95977881600000003</v>
      </c>
      <c r="Y67" s="78">
        <f t="shared" si="13"/>
        <v>0.85821734399999994</v>
      </c>
      <c r="Z67" s="78">
        <f t="shared" si="5"/>
        <v>0.84751660799999995</v>
      </c>
      <c r="AA67" s="78">
        <f t="shared" si="6"/>
        <v>0.97189689600000007</v>
      </c>
      <c r="AB67" s="78">
        <f t="shared" si="7"/>
        <v>0.95977881600000003</v>
      </c>
      <c r="AC67" s="78">
        <v>0.81068740000000006</v>
      </c>
      <c r="AD67" s="78">
        <v>0.79804789999999992</v>
      </c>
      <c r="AE67" s="78">
        <v>0.9531845000000001</v>
      </c>
      <c r="AF67" s="78">
        <v>0.94129970000000007</v>
      </c>
      <c r="AG67" s="95">
        <v>1.1517280000000001</v>
      </c>
      <c r="AH67" s="95">
        <v>0.98818700000000004</v>
      </c>
      <c r="AI67" s="95">
        <v>0.81068700000000005</v>
      </c>
      <c r="AJ67" s="95">
        <v>0.79804799999999998</v>
      </c>
      <c r="AK67" s="95">
        <f t="shared" si="14"/>
        <v>1.1517280000000001</v>
      </c>
      <c r="AL67" s="95">
        <f t="shared" si="15"/>
        <v>0.98818700000000004</v>
      </c>
    </row>
    <row r="68" spans="1:38" x14ac:dyDescent="0.2">
      <c r="A68" s="60">
        <v>1</v>
      </c>
      <c r="B68" s="55">
        <v>60</v>
      </c>
      <c r="C68" s="61">
        <v>0.87167621810103424</v>
      </c>
      <c r="D68" s="61">
        <v>0.85909501640402652</v>
      </c>
      <c r="E68" s="81">
        <v>0.88506094473075603</v>
      </c>
      <c r="F68" s="81">
        <v>0.87507188612320197</v>
      </c>
      <c r="G68" s="78">
        <v>0.868425</v>
      </c>
      <c r="H68" s="78">
        <v>0.8612569000000001</v>
      </c>
      <c r="I68" s="78">
        <v>0.89179710000000001</v>
      </c>
      <c r="J68" s="78">
        <v>0.88039299999999998</v>
      </c>
      <c r="K68" s="78">
        <v>0.99611839999999996</v>
      </c>
      <c r="L68" s="78">
        <v>0.96838399999999991</v>
      </c>
      <c r="M68" s="78">
        <v>0.87960570000000005</v>
      </c>
      <c r="N68" s="78">
        <v>0.85511520000000008</v>
      </c>
      <c r="O68" s="78">
        <v>0.99611839999999996</v>
      </c>
      <c r="P68" s="78">
        <v>0.96838399999999991</v>
      </c>
      <c r="Q68" s="78">
        <f t="shared" si="10"/>
        <v>1.0210213599999998</v>
      </c>
      <c r="R68" s="78">
        <f t="shared" si="0"/>
        <v>0.99259359999999985</v>
      </c>
      <c r="S68" s="78">
        <f t="shared" si="11"/>
        <v>0.90159584250000002</v>
      </c>
      <c r="T68" s="78">
        <f t="shared" si="1"/>
        <v>0.87649308000000004</v>
      </c>
      <c r="U68" s="78">
        <f t="shared" si="2"/>
        <v>1.0210213599999998</v>
      </c>
      <c r="V68" s="78">
        <f t="shared" si="3"/>
        <v>0.99259359999999985</v>
      </c>
      <c r="W68" s="78">
        <f t="shared" si="12"/>
        <v>0.95627366399999991</v>
      </c>
      <c r="X68" s="78">
        <f t="shared" si="4"/>
        <v>0.92964863999999992</v>
      </c>
      <c r="Y68" s="78">
        <f t="shared" si="13"/>
        <v>0.84442147200000006</v>
      </c>
      <c r="Z68" s="78">
        <f t="shared" si="5"/>
        <v>0.82091059200000005</v>
      </c>
      <c r="AA68" s="78">
        <f t="shared" si="6"/>
        <v>0.95627366399999991</v>
      </c>
      <c r="AB68" s="78">
        <f t="shared" si="7"/>
        <v>0.92964863999999992</v>
      </c>
      <c r="AC68" s="78">
        <v>0.79280620000000002</v>
      </c>
      <c r="AD68" s="78">
        <v>0.76646409999999998</v>
      </c>
      <c r="AE68" s="78">
        <v>0.93786205</v>
      </c>
      <c r="AF68" s="78">
        <v>0.91174960000000005</v>
      </c>
      <c r="AG68" s="95">
        <v>1.1375679999999999</v>
      </c>
      <c r="AH68" s="95">
        <v>0.96634500000000001</v>
      </c>
      <c r="AI68" s="95">
        <v>0.79280600000000001</v>
      </c>
      <c r="AJ68" s="95">
        <v>0.76646400000000003</v>
      </c>
      <c r="AK68" s="95">
        <f t="shared" si="14"/>
        <v>1.1375679999999999</v>
      </c>
      <c r="AL68" s="95">
        <f t="shared" si="15"/>
        <v>0.96634500000000001</v>
      </c>
    </row>
    <row r="69" spans="1:38" x14ac:dyDescent="0.2">
      <c r="A69" s="60">
        <v>1</v>
      </c>
      <c r="B69" s="55">
        <v>61</v>
      </c>
      <c r="C69" s="61">
        <v>0.86150480896048587</v>
      </c>
      <c r="D69" s="61">
        <v>0.84580874947445273</v>
      </c>
      <c r="E69" s="81">
        <v>0.87469667474771207</v>
      </c>
      <c r="F69" s="81">
        <v>0.861435571845097</v>
      </c>
      <c r="G69" s="78">
        <v>0.86759870000000006</v>
      </c>
      <c r="H69" s="78">
        <v>0.85969430000000002</v>
      </c>
      <c r="I69" s="78">
        <v>0.87190420000000002</v>
      </c>
      <c r="J69" s="78">
        <v>0.85469840000000008</v>
      </c>
      <c r="K69" s="78">
        <v>0.98300749999999992</v>
      </c>
      <c r="L69" s="78">
        <v>0.94396720000000001</v>
      </c>
      <c r="M69" s="78">
        <v>0.86802829999999997</v>
      </c>
      <c r="N69" s="78">
        <v>0.83355450000000009</v>
      </c>
      <c r="O69" s="78">
        <v>0.98300749999999992</v>
      </c>
      <c r="P69" s="78">
        <v>0.94396720000000001</v>
      </c>
      <c r="Q69" s="78">
        <f t="shared" si="10"/>
        <v>1.0075826874999998</v>
      </c>
      <c r="R69" s="78">
        <f t="shared" si="0"/>
        <v>0.96756637999999995</v>
      </c>
      <c r="S69" s="78">
        <f t="shared" si="11"/>
        <v>0.88972900749999995</v>
      </c>
      <c r="T69" s="78">
        <f t="shared" si="1"/>
        <v>0.85439336249999998</v>
      </c>
      <c r="U69" s="78">
        <f t="shared" si="2"/>
        <v>1.0075826874999998</v>
      </c>
      <c r="V69" s="78">
        <f t="shared" si="3"/>
        <v>0.96756637999999995</v>
      </c>
      <c r="W69" s="78">
        <f t="shared" si="12"/>
        <v>0.94368719999999984</v>
      </c>
      <c r="X69" s="78">
        <f t="shared" si="4"/>
        <v>0.90620851199999997</v>
      </c>
      <c r="Y69" s="78">
        <f t="shared" si="13"/>
        <v>0.83330716799999993</v>
      </c>
      <c r="Z69" s="78">
        <f t="shared" si="5"/>
        <v>0.80021232000000009</v>
      </c>
      <c r="AA69" s="78">
        <f t="shared" si="6"/>
        <v>0.94368719999999984</v>
      </c>
      <c r="AB69" s="78">
        <f t="shared" si="7"/>
        <v>0.90620851199999997</v>
      </c>
      <c r="AC69" s="78">
        <v>0.77674319999999997</v>
      </c>
      <c r="AD69" s="78">
        <v>0.73945740000000004</v>
      </c>
      <c r="AE69" s="78">
        <v>0.9255179</v>
      </c>
      <c r="AF69" s="78">
        <v>0.88876085000000005</v>
      </c>
      <c r="AG69" s="95">
        <v>1.124452</v>
      </c>
      <c r="AH69" s="95">
        <v>0.94894599999999996</v>
      </c>
      <c r="AI69" s="95">
        <v>0.77674299999999996</v>
      </c>
      <c r="AJ69" s="95">
        <v>0.73945700000000003</v>
      </c>
      <c r="AK69" s="95">
        <f t="shared" si="14"/>
        <v>1.124452</v>
      </c>
      <c r="AL69" s="95">
        <f t="shared" si="15"/>
        <v>0.94894599999999996</v>
      </c>
    </row>
    <row r="70" spans="1:38" x14ac:dyDescent="0.2">
      <c r="A70" s="60">
        <v>1</v>
      </c>
      <c r="B70" s="55">
        <v>62</v>
      </c>
      <c r="C70" s="61">
        <v>0.85321458632316405</v>
      </c>
      <c r="D70" s="61">
        <v>0.83624454155414352</v>
      </c>
      <c r="E70" s="81">
        <v>0.86624448824202649</v>
      </c>
      <c r="F70" s="81">
        <v>0.85160048744336592</v>
      </c>
      <c r="G70" s="78">
        <v>0.86813630000000008</v>
      </c>
      <c r="H70" s="78">
        <v>0.86072680000000001</v>
      </c>
      <c r="I70" s="78">
        <v>0.8544562</v>
      </c>
      <c r="J70" s="78">
        <v>0.83398550000000005</v>
      </c>
      <c r="K70" s="78">
        <v>0.974603</v>
      </c>
      <c r="L70" s="78">
        <v>0.9269428999999999</v>
      </c>
      <c r="M70" s="78">
        <v>0.86060680000000001</v>
      </c>
      <c r="N70" s="78">
        <v>0.81852140000000007</v>
      </c>
      <c r="O70" s="78">
        <v>0.974603</v>
      </c>
      <c r="P70" s="78">
        <v>0.9269428999999999</v>
      </c>
      <c r="Q70" s="78">
        <f t="shared" si="10"/>
        <v>0.99896807499999996</v>
      </c>
      <c r="R70" s="78">
        <f t="shared" si="0"/>
        <v>0.95011647249999986</v>
      </c>
      <c r="S70" s="78">
        <f t="shared" si="11"/>
        <v>0.88212196999999992</v>
      </c>
      <c r="T70" s="78">
        <f t="shared" si="1"/>
        <v>0.83898443499999997</v>
      </c>
      <c r="U70" s="78">
        <f t="shared" si="2"/>
        <v>0.99896807499999996</v>
      </c>
      <c r="V70" s="78">
        <f t="shared" si="3"/>
        <v>0.95011647249999986</v>
      </c>
      <c r="W70" s="78">
        <f t="shared" si="12"/>
        <v>0.93561887999999993</v>
      </c>
      <c r="X70" s="78">
        <f t="shared" si="4"/>
        <v>0.88986518399999992</v>
      </c>
      <c r="Y70" s="78">
        <f t="shared" si="13"/>
        <v>0.82618252800000003</v>
      </c>
      <c r="Z70" s="78">
        <f t="shared" si="5"/>
        <v>0.78578054400000008</v>
      </c>
      <c r="AA70" s="78">
        <f t="shared" si="6"/>
        <v>0.93561887999999993</v>
      </c>
      <c r="AB70" s="78">
        <f t="shared" si="7"/>
        <v>0.88986518399999992</v>
      </c>
      <c r="AC70" s="78">
        <v>0.76423669999999999</v>
      </c>
      <c r="AD70" s="78">
        <v>0.71850520000000007</v>
      </c>
      <c r="AE70" s="78">
        <v>0.91760489999999995</v>
      </c>
      <c r="AF70" s="78">
        <v>0.87273215000000004</v>
      </c>
      <c r="AG70" s="95">
        <v>1.1152899999999999</v>
      </c>
      <c r="AH70" s="95">
        <v>0.937469</v>
      </c>
      <c r="AI70" s="95">
        <v>0.76423700000000006</v>
      </c>
      <c r="AJ70" s="95">
        <v>0.71850499999999995</v>
      </c>
      <c r="AK70" s="95">
        <f t="shared" si="14"/>
        <v>1.1152899999999999</v>
      </c>
      <c r="AL70" s="95">
        <f t="shared" si="15"/>
        <v>0.937469</v>
      </c>
    </row>
    <row r="71" spans="1:38" x14ac:dyDescent="0.2">
      <c r="A71" s="60">
        <v>1</v>
      </c>
      <c r="B71" s="55">
        <v>63</v>
      </c>
      <c r="C71" s="61">
        <v>0.84541703334076712</v>
      </c>
      <c r="D71" s="61">
        <v>0.82769541662713408</v>
      </c>
      <c r="E71" s="81">
        <v>0.85829797389972684</v>
      </c>
      <c r="F71" s="81">
        <v>0.84281647319774111</v>
      </c>
      <c r="G71" s="78">
        <v>0.86778490000000008</v>
      </c>
      <c r="H71" s="78">
        <v>0.86082320000000001</v>
      </c>
      <c r="I71" s="78">
        <v>0.83891859999999996</v>
      </c>
      <c r="J71" s="78">
        <v>0.81632009999999999</v>
      </c>
      <c r="K71" s="78">
        <v>0.97050669999999994</v>
      </c>
      <c r="L71" s="78">
        <v>0.91529329999999998</v>
      </c>
      <c r="M71" s="78">
        <v>0.85698970000000008</v>
      </c>
      <c r="N71" s="78">
        <v>0.80823440000000002</v>
      </c>
      <c r="O71" s="78">
        <v>0.97050669999999994</v>
      </c>
      <c r="P71" s="78">
        <v>0.91529329999999998</v>
      </c>
      <c r="Q71" s="78">
        <f t="shared" si="10"/>
        <v>0.99476936749999989</v>
      </c>
      <c r="R71" s="78">
        <f t="shared" si="0"/>
        <v>0.93817563249999991</v>
      </c>
      <c r="S71" s="78">
        <f t="shared" si="11"/>
        <v>0.8784144425</v>
      </c>
      <c r="T71" s="78">
        <f t="shared" si="1"/>
        <v>0.82844025999999993</v>
      </c>
      <c r="U71" s="78">
        <f t="shared" si="2"/>
        <v>0.99476936749999989</v>
      </c>
      <c r="V71" s="78">
        <f t="shared" si="3"/>
        <v>0.93817563249999991</v>
      </c>
      <c r="W71" s="78">
        <f t="shared" si="12"/>
        <v>0.9316864319999999</v>
      </c>
      <c r="X71" s="78">
        <f t="shared" si="4"/>
        <v>0.87868156799999997</v>
      </c>
      <c r="Y71" s="78">
        <f t="shared" si="13"/>
        <v>0.82271011199999999</v>
      </c>
      <c r="Z71" s="78">
        <f t="shared" si="5"/>
        <v>0.77590502399999994</v>
      </c>
      <c r="AA71" s="78">
        <f t="shared" si="6"/>
        <v>0.9316864319999999</v>
      </c>
      <c r="AB71" s="78">
        <f t="shared" si="7"/>
        <v>0.87868156799999997</v>
      </c>
      <c r="AC71" s="78">
        <v>0.75493460000000001</v>
      </c>
      <c r="AD71" s="78">
        <v>0.70212059999999998</v>
      </c>
      <c r="AE71" s="78">
        <v>0.91374820000000001</v>
      </c>
      <c r="AF71" s="78">
        <v>0.86176385</v>
      </c>
      <c r="AG71" s="95">
        <v>1.109896</v>
      </c>
      <c r="AH71" s="95">
        <v>0.92966800000000005</v>
      </c>
      <c r="AI71" s="95">
        <v>0.75493500000000002</v>
      </c>
      <c r="AJ71" s="95">
        <v>0.702121</v>
      </c>
      <c r="AK71" s="95">
        <f t="shared" si="14"/>
        <v>1.109896</v>
      </c>
      <c r="AL71" s="95">
        <f t="shared" si="15"/>
        <v>0.92966800000000005</v>
      </c>
    </row>
    <row r="72" spans="1:38" x14ac:dyDescent="0.2">
      <c r="A72" s="60">
        <v>1</v>
      </c>
      <c r="B72" s="55">
        <v>64</v>
      </c>
      <c r="C72" s="61">
        <v>0.83814039512414196</v>
      </c>
      <c r="D72" s="61">
        <v>0.81899914471643753</v>
      </c>
      <c r="E72" s="81">
        <v>0.85087978714163537</v>
      </c>
      <c r="F72" s="81">
        <v>0.83388698830642394</v>
      </c>
      <c r="G72" s="78">
        <v>0.86810109999999996</v>
      </c>
      <c r="H72" s="78">
        <v>0.86026820000000004</v>
      </c>
      <c r="I72" s="78">
        <v>0.82376240000000001</v>
      </c>
      <c r="J72" s="78">
        <v>0.7990216</v>
      </c>
      <c r="K72" s="78">
        <v>0.96883330000000001</v>
      </c>
      <c r="L72" s="78">
        <v>0.90660059999999998</v>
      </c>
      <c r="M72" s="78">
        <v>0.85551199999999994</v>
      </c>
      <c r="N72" s="78">
        <v>0.80055850000000006</v>
      </c>
      <c r="O72" s="78">
        <v>0.96883330000000001</v>
      </c>
      <c r="P72" s="78">
        <v>0.90660059999999998</v>
      </c>
      <c r="Q72" s="78">
        <f t="shared" si="10"/>
        <v>0.99305413249999996</v>
      </c>
      <c r="R72" s="78">
        <f t="shared" ref="R72:R123" si="16">L72*1.025</f>
        <v>0.92926561499999993</v>
      </c>
      <c r="S72" s="78">
        <f t="shared" si="11"/>
        <v>0.8768997999999999</v>
      </c>
      <c r="T72" s="78">
        <f t="shared" ref="T72:T123" si="17">N72*1.025</f>
        <v>0.82057246250000004</v>
      </c>
      <c r="U72" s="78">
        <f t="shared" ref="U72:U123" si="18">O72*1.025</f>
        <v>0.99305413249999996</v>
      </c>
      <c r="V72" s="78">
        <f t="shared" ref="V72:V123" si="19">P72*1.025</f>
        <v>0.92926561499999993</v>
      </c>
      <c r="W72" s="78">
        <f t="shared" si="12"/>
        <v>0.93007996799999992</v>
      </c>
      <c r="X72" s="78">
        <f t="shared" ref="X72:X123" si="20">L72*0.96</f>
        <v>0.87033657599999992</v>
      </c>
      <c r="Y72" s="78">
        <f t="shared" si="13"/>
        <v>0.82129151999999994</v>
      </c>
      <c r="Z72" s="78">
        <f t="shared" ref="Z72:Z123" si="21">N72*0.96</f>
        <v>0.76853616000000002</v>
      </c>
      <c r="AA72" s="78">
        <f t="shared" ref="AA72:AA123" si="22">O72*0.96</f>
        <v>0.93007996799999992</v>
      </c>
      <c r="AB72" s="78">
        <f t="shared" ref="AB72:AB123" si="23">P72*0.96</f>
        <v>0.87033657599999992</v>
      </c>
      <c r="AC72" s="78">
        <v>0.74751220000000007</v>
      </c>
      <c r="AD72" s="78">
        <v>0.68801829999999997</v>
      </c>
      <c r="AE72" s="78">
        <v>0.91217265000000003</v>
      </c>
      <c r="AF72" s="78">
        <v>0.85357955000000008</v>
      </c>
      <c r="AG72" s="95">
        <v>1.1064890000000001</v>
      </c>
      <c r="AH72" s="95">
        <v>0.92219099999999998</v>
      </c>
      <c r="AI72" s="95">
        <v>0.74751199999999995</v>
      </c>
      <c r="AJ72" s="95">
        <v>0.68801800000000002</v>
      </c>
      <c r="AK72" s="95">
        <f t="shared" ref="AK72:AK103" si="24">AG72</f>
        <v>1.1064890000000001</v>
      </c>
      <c r="AL72" s="95">
        <f t="shared" ref="AL72:AL103" si="25">AH72</f>
        <v>0.92219099999999998</v>
      </c>
    </row>
    <row r="73" spans="1:38" x14ac:dyDescent="0.2">
      <c r="A73" s="60">
        <v>1</v>
      </c>
      <c r="B73" s="55">
        <v>65</v>
      </c>
      <c r="C73" s="61">
        <v>0.80449021307988977</v>
      </c>
      <c r="D73" s="61">
        <v>0.84161206009881762</v>
      </c>
      <c r="E73" s="81">
        <v>0.81685116880401099</v>
      </c>
      <c r="F73" s="81">
        <v>0.85673363338135589</v>
      </c>
      <c r="G73" s="78">
        <v>0.79948980000000003</v>
      </c>
      <c r="H73" s="78">
        <v>0.90427040000000003</v>
      </c>
      <c r="I73" s="78">
        <v>0.82509860000000002</v>
      </c>
      <c r="J73" s="78">
        <v>0.8002786999999999</v>
      </c>
      <c r="K73" s="78">
        <v>0.98846050000000008</v>
      </c>
      <c r="L73" s="78">
        <v>0.92099039999999999</v>
      </c>
      <c r="M73" s="78">
        <v>0.87284349999999999</v>
      </c>
      <c r="N73" s="78">
        <v>0.81326509999999996</v>
      </c>
      <c r="O73" s="78">
        <v>0.98846050000000008</v>
      </c>
      <c r="P73" s="78">
        <v>0.92099039999999999</v>
      </c>
      <c r="Q73" s="78">
        <f t="shared" ref="Q73:Q123" si="26">K73*1.025</f>
        <v>1.0131720124999999</v>
      </c>
      <c r="R73" s="78">
        <f t="shared" si="16"/>
        <v>0.94401515999999985</v>
      </c>
      <c r="S73" s="78">
        <f t="shared" ref="S73:S123" si="27">M73*1.025</f>
        <v>0.89466458749999989</v>
      </c>
      <c r="T73" s="78">
        <f t="shared" si="17"/>
        <v>0.83359672749999991</v>
      </c>
      <c r="U73" s="78">
        <f t="shared" si="18"/>
        <v>1.0131720124999999</v>
      </c>
      <c r="V73" s="78">
        <f t="shared" si="19"/>
        <v>0.94401515999999985</v>
      </c>
      <c r="W73" s="78">
        <f t="shared" ref="W73:W123" si="28">K73*0.96</f>
        <v>0.94892208</v>
      </c>
      <c r="X73" s="78">
        <f t="shared" si="20"/>
        <v>0.88415078399999991</v>
      </c>
      <c r="Y73" s="78">
        <f t="shared" ref="Y73:Y123" si="29">M73*0.96</f>
        <v>0.83792975999999997</v>
      </c>
      <c r="Z73" s="78">
        <f t="shared" si="21"/>
        <v>0.78073449599999989</v>
      </c>
      <c r="AA73" s="78">
        <f t="shared" si="22"/>
        <v>0.94892208</v>
      </c>
      <c r="AB73" s="78">
        <f t="shared" si="23"/>
        <v>0.88415078399999991</v>
      </c>
      <c r="AC73" s="78">
        <v>0.75669520000000001</v>
      </c>
      <c r="AD73" s="78">
        <v>0.69175410000000004</v>
      </c>
      <c r="AE73" s="78">
        <v>0.93065200000000003</v>
      </c>
      <c r="AF73" s="78">
        <v>0.86712774999999997</v>
      </c>
      <c r="AG73" s="95">
        <v>1.126989</v>
      </c>
      <c r="AH73" s="95">
        <v>0.93580399999999997</v>
      </c>
      <c r="AI73" s="95">
        <v>0.75669500000000001</v>
      </c>
      <c r="AJ73" s="95">
        <v>0.69175399999999998</v>
      </c>
      <c r="AK73" s="95">
        <f t="shared" si="24"/>
        <v>1.126989</v>
      </c>
      <c r="AL73" s="95">
        <f t="shared" si="25"/>
        <v>0.93580399999999997</v>
      </c>
    </row>
    <row r="74" spans="1:38" x14ac:dyDescent="0.2">
      <c r="A74" s="60">
        <v>1</v>
      </c>
      <c r="B74" s="55">
        <v>66</v>
      </c>
      <c r="C74" s="61">
        <v>0.81168850638329015</v>
      </c>
      <c r="D74" s="61">
        <v>0.84940990635608993</v>
      </c>
      <c r="E74" s="81">
        <v>0.82418812713577028</v>
      </c>
      <c r="F74" s="81">
        <v>0.86474070831525573</v>
      </c>
      <c r="G74" s="78">
        <v>0.79952190000000001</v>
      </c>
      <c r="H74" s="78">
        <v>0.90475559999999999</v>
      </c>
      <c r="I74" s="78">
        <v>0.83974000000000004</v>
      </c>
      <c r="J74" s="78">
        <v>0.8158029</v>
      </c>
      <c r="K74" s="78">
        <v>1.0270710999999999</v>
      </c>
      <c r="L74" s="78">
        <v>0.95339870000000004</v>
      </c>
      <c r="M74" s="78">
        <v>0.90693799999999991</v>
      </c>
      <c r="N74" s="78">
        <v>0.84188280000000004</v>
      </c>
      <c r="O74" s="78">
        <v>1.0270710999999999</v>
      </c>
      <c r="P74" s="78">
        <v>0.95339870000000004</v>
      </c>
      <c r="Q74" s="78">
        <f t="shared" si="26"/>
        <v>1.0527478774999999</v>
      </c>
      <c r="R74" s="78">
        <f t="shared" si="16"/>
        <v>0.97723366749999996</v>
      </c>
      <c r="S74" s="78">
        <f t="shared" si="27"/>
        <v>0.92961144999999978</v>
      </c>
      <c r="T74" s="78">
        <f t="shared" si="17"/>
        <v>0.86292986999999999</v>
      </c>
      <c r="U74" s="78">
        <f t="shared" si="18"/>
        <v>1.0527478774999999</v>
      </c>
      <c r="V74" s="78">
        <f t="shared" si="19"/>
        <v>0.97723366749999996</v>
      </c>
      <c r="W74" s="78">
        <f t="shared" si="28"/>
        <v>0.98598825599999984</v>
      </c>
      <c r="X74" s="78">
        <f t="shared" si="20"/>
        <v>0.91526275199999996</v>
      </c>
      <c r="Y74" s="78">
        <f t="shared" si="29"/>
        <v>0.87066047999999985</v>
      </c>
      <c r="Z74" s="78">
        <f t="shared" si="21"/>
        <v>0.80820748799999997</v>
      </c>
      <c r="AA74" s="78">
        <f t="shared" si="22"/>
        <v>0.98598825599999984</v>
      </c>
      <c r="AB74" s="78">
        <f t="shared" si="23"/>
        <v>0.91526275199999996</v>
      </c>
      <c r="AC74" s="78">
        <v>0.77994320000000006</v>
      </c>
      <c r="AD74" s="78">
        <v>0.70954049999999991</v>
      </c>
      <c r="AE74" s="78">
        <v>0.96700454999999996</v>
      </c>
      <c r="AF74" s="78">
        <v>0.8976407500000001</v>
      </c>
      <c r="AG74" s="95">
        <v>1.1677839999999999</v>
      </c>
      <c r="AH74" s="95">
        <v>0.96561799999999998</v>
      </c>
      <c r="AI74" s="95">
        <v>0.77994300000000005</v>
      </c>
      <c r="AJ74" s="95">
        <v>0.70954099999999998</v>
      </c>
      <c r="AK74" s="95">
        <f t="shared" si="24"/>
        <v>1.1677839999999999</v>
      </c>
      <c r="AL74" s="95">
        <f t="shared" si="25"/>
        <v>0.96561799999999998</v>
      </c>
    </row>
    <row r="75" spans="1:38" x14ac:dyDescent="0.2">
      <c r="A75" s="60">
        <v>1</v>
      </c>
      <c r="B75" s="55">
        <v>67</v>
      </c>
      <c r="C75" s="61">
        <v>0.8164762295605611</v>
      </c>
      <c r="D75" s="61">
        <v>0.85410437560689123</v>
      </c>
      <c r="E75" s="81">
        <v>0.82906943685077716</v>
      </c>
      <c r="F75" s="81">
        <v>0.86956130112209629</v>
      </c>
      <c r="G75" s="78">
        <v>0.7991988000000001</v>
      </c>
      <c r="H75" s="78">
        <v>0.90502899999999997</v>
      </c>
      <c r="I75" s="78">
        <v>0.84982939999999996</v>
      </c>
      <c r="J75" s="78">
        <v>0.82516800000000001</v>
      </c>
      <c r="K75" s="78">
        <v>1.0629125000000001</v>
      </c>
      <c r="L75" s="78">
        <v>0.9804486</v>
      </c>
      <c r="M75" s="78">
        <v>0.93858710000000001</v>
      </c>
      <c r="N75" s="78">
        <v>0.86576869999999995</v>
      </c>
      <c r="O75" s="78">
        <v>1.0629125000000001</v>
      </c>
      <c r="P75" s="78">
        <v>0.9804486</v>
      </c>
      <c r="Q75" s="78">
        <f t="shared" si="26"/>
        <v>1.0894853125000001</v>
      </c>
      <c r="R75" s="78">
        <f t="shared" si="16"/>
        <v>1.0049598149999999</v>
      </c>
      <c r="S75" s="78">
        <f t="shared" si="27"/>
        <v>0.96205177749999993</v>
      </c>
      <c r="T75" s="78">
        <f t="shared" si="17"/>
        <v>0.88741291749999984</v>
      </c>
      <c r="U75" s="78">
        <f t="shared" si="18"/>
        <v>1.0894853125000001</v>
      </c>
      <c r="V75" s="78">
        <f t="shared" si="19"/>
        <v>1.0049598149999999</v>
      </c>
      <c r="W75" s="78">
        <f t="shared" si="28"/>
        <v>1.0203960000000001</v>
      </c>
      <c r="X75" s="78">
        <f t="shared" si="20"/>
        <v>0.941230656</v>
      </c>
      <c r="Y75" s="78">
        <f t="shared" si="29"/>
        <v>0.90104361599999994</v>
      </c>
      <c r="Z75" s="78">
        <f t="shared" si="21"/>
        <v>0.83113795199999996</v>
      </c>
      <c r="AA75" s="78">
        <f t="shared" si="22"/>
        <v>1.0203960000000001</v>
      </c>
      <c r="AB75" s="78">
        <f t="shared" si="23"/>
        <v>0.941230656</v>
      </c>
      <c r="AC75" s="78">
        <v>0.80079939999999994</v>
      </c>
      <c r="AD75" s="78">
        <v>0.72333500000000006</v>
      </c>
      <c r="AE75" s="78">
        <v>1.0007498000000001</v>
      </c>
      <c r="AF75" s="78">
        <v>0.92310864999999998</v>
      </c>
      <c r="AG75" s="95">
        <v>1.2040109999999999</v>
      </c>
      <c r="AH75" s="95">
        <v>0.98699499999999996</v>
      </c>
      <c r="AI75" s="95">
        <v>0.80079900000000004</v>
      </c>
      <c r="AJ75" s="95">
        <v>0.72333499999999995</v>
      </c>
      <c r="AK75" s="95">
        <f t="shared" si="24"/>
        <v>1.2040109999999999</v>
      </c>
      <c r="AL75" s="95">
        <f t="shared" si="25"/>
        <v>0.98699499999999996</v>
      </c>
    </row>
    <row r="76" spans="1:38" x14ac:dyDescent="0.2">
      <c r="A76" s="60">
        <v>1</v>
      </c>
      <c r="B76" s="55">
        <v>68</v>
      </c>
      <c r="C76" s="61">
        <v>0.81931071818903878</v>
      </c>
      <c r="D76" s="61">
        <v>0.85616314585789788</v>
      </c>
      <c r="E76" s="81">
        <v>0.83195822028570887</v>
      </c>
      <c r="F76" s="81">
        <v>0.87168249841880496</v>
      </c>
      <c r="G76" s="78">
        <v>0.79928949999999999</v>
      </c>
      <c r="H76" s="78">
        <v>0.90433639999999993</v>
      </c>
      <c r="I76" s="78">
        <v>0.85551519999999992</v>
      </c>
      <c r="J76" s="78">
        <v>0.83010980000000001</v>
      </c>
      <c r="K76" s="78">
        <v>1.094516</v>
      </c>
      <c r="L76" s="78">
        <v>1.0021363999999999</v>
      </c>
      <c r="M76" s="78">
        <v>0.96649399999999996</v>
      </c>
      <c r="N76" s="78">
        <v>0.88491980000000003</v>
      </c>
      <c r="O76" s="78">
        <v>1.094516</v>
      </c>
      <c r="P76" s="78">
        <v>1.0021363999999999</v>
      </c>
      <c r="Q76" s="78">
        <f t="shared" si="26"/>
        <v>1.1218789</v>
      </c>
      <c r="R76" s="78">
        <f t="shared" si="16"/>
        <v>1.0271898099999999</v>
      </c>
      <c r="S76" s="78">
        <f t="shared" si="27"/>
        <v>0.99065634999999985</v>
      </c>
      <c r="T76" s="78">
        <f t="shared" si="17"/>
        <v>0.90704279499999996</v>
      </c>
      <c r="U76" s="78">
        <f t="shared" si="18"/>
        <v>1.1218789</v>
      </c>
      <c r="V76" s="78">
        <f t="shared" si="19"/>
        <v>1.0271898099999999</v>
      </c>
      <c r="W76" s="78">
        <f t="shared" si="28"/>
        <v>1.05073536</v>
      </c>
      <c r="X76" s="78">
        <f t="shared" si="20"/>
        <v>0.96205094399999991</v>
      </c>
      <c r="Y76" s="78">
        <f t="shared" si="29"/>
        <v>0.92783423999999992</v>
      </c>
      <c r="Z76" s="78">
        <f t="shared" si="21"/>
        <v>0.84952300800000002</v>
      </c>
      <c r="AA76" s="78">
        <f t="shared" si="22"/>
        <v>1.05073536</v>
      </c>
      <c r="AB76" s="78">
        <f t="shared" si="23"/>
        <v>0.96205094399999991</v>
      </c>
      <c r="AC76" s="78">
        <v>0.81897369999999992</v>
      </c>
      <c r="AD76" s="78">
        <v>0.73396780000000006</v>
      </c>
      <c r="AE76" s="78">
        <v>1.030505</v>
      </c>
      <c r="AF76" s="78">
        <v>0.94352809999999998</v>
      </c>
      <c r="AG76" s="95">
        <v>1.2346459999999999</v>
      </c>
      <c r="AH76" s="95">
        <v>1.0009589999999999</v>
      </c>
      <c r="AI76" s="95">
        <v>0.81897399999999998</v>
      </c>
      <c r="AJ76" s="95">
        <v>0.73396799999999995</v>
      </c>
      <c r="AK76" s="95">
        <f t="shared" si="24"/>
        <v>1.2346459999999999</v>
      </c>
      <c r="AL76" s="95">
        <f t="shared" si="25"/>
        <v>1.0009589999999999</v>
      </c>
    </row>
    <row r="77" spans="1:38" x14ac:dyDescent="0.2">
      <c r="A77" s="60">
        <v>1</v>
      </c>
      <c r="B77" s="55">
        <v>69</v>
      </c>
      <c r="C77" s="61">
        <v>0.82029680686684525</v>
      </c>
      <c r="D77" s="61">
        <v>0.85844669532428519</v>
      </c>
      <c r="E77" s="81">
        <v>0.83296223901072708</v>
      </c>
      <c r="F77" s="81">
        <v>0.87402287264909406</v>
      </c>
      <c r="G77" s="78">
        <v>0.79956430000000001</v>
      </c>
      <c r="H77" s="78">
        <v>0.90498630000000002</v>
      </c>
      <c r="I77" s="78">
        <v>0.85724529999999999</v>
      </c>
      <c r="J77" s="78">
        <v>0.83413430000000011</v>
      </c>
      <c r="K77" s="78">
        <v>1.1219218</v>
      </c>
      <c r="L77" s="78">
        <v>1.0211570000000001</v>
      </c>
      <c r="M77" s="78">
        <v>0.99069429999999992</v>
      </c>
      <c r="N77" s="78">
        <v>0.90171559999999995</v>
      </c>
      <c r="O77" s="78">
        <v>1.1219218</v>
      </c>
      <c r="P77" s="78">
        <v>1.0211570000000001</v>
      </c>
      <c r="Q77" s="78">
        <f t="shared" si="26"/>
        <v>1.1499698449999998</v>
      </c>
      <c r="R77" s="78">
        <f t="shared" si="16"/>
        <v>1.046685925</v>
      </c>
      <c r="S77" s="78">
        <f t="shared" si="27"/>
        <v>1.0154616574999997</v>
      </c>
      <c r="T77" s="78">
        <f t="shared" si="17"/>
        <v>0.92425848999999982</v>
      </c>
      <c r="U77" s="78">
        <f t="shared" si="18"/>
        <v>1.1499698449999998</v>
      </c>
      <c r="V77" s="78">
        <f t="shared" si="19"/>
        <v>1.046685925</v>
      </c>
      <c r="W77" s="78">
        <f t="shared" si="28"/>
        <v>1.0770449279999998</v>
      </c>
      <c r="X77" s="78">
        <f t="shared" si="20"/>
        <v>0.98031072000000008</v>
      </c>
      <c r="Y77" s="78">
        <f t="shared" si="29"/>
        <v>0.95106652799999991</v>
      </c>
      <c r="Z77" s="78">
        <f t="shared" si="21"/>
        <v>0.86564697599999996</v>
      </c>
      <c r="AA77" s="78">
        <f t="shared" si="22"/>
        <v>1.0770449279999998</v>
      </c>
      <c r="AB77" s="78">
        <f t="shared" si="23"/>
        <v>0.98031072000000008</v>
      </c>
      <c r="AC77" s="78">
        <v>0.83431700000000009</v>
      </c>
      <c r="AD77" s="78">
        <v>0.74374359999999995</v>
      </c>
      <c r="AE77" s="78">
        <v>1.0563080499999999</v>
      </c>
      <c r="AF77" s="78">
        <v>0.96143630000000002</v>
      </c>
      <c r="AG77" s="95">
        <v>1.258861</v>
      </c>
      <c r="AH77" s="95">
        <v>1.010856</v>
      </c>
      <c r="AI77" s="95">
        <v>0.83431699999999998</v>
      </c>
      <c r="AJ77" s="95">
        <v>0.74374399999999996</v>
      </c>
      <c r="AK77" s="95">
        <f t="shared" si="24"/>
        <v>1.258861</v>
      </c>
      <c r="AL77" s="95">
        <f t="shared" si="25"/>
        <v>1.010856</v>
      </c>
    </row>
    <row r="78" spans="1:38" x14ac:dyDescent="0.2">
      <c r="A78" s="60">
        <v>1</v>
      </c>
      <c r="B78" s="55">
        <v>70</v>
      </c>
      <c r="C78" s="61">
        <v>0.83457649516048071</v>
      </c>
      <c r="D78" s="61">
        <v>0.90384647165267362</v>
      </c>
      <c r="E78" s="81">
        <v>0.8473985066271652</v>
      </c>
      <c r="F78" s="81">
        <v>0.91992367921106055</v>
      </c>
      <c r="G78" s="78">
        <v>0.8296983</v>
      </c>
      <c r="H78" s="78">
        <v>0.98970089999999999</v>
      </c>
      <c r="I78" s="78">
        <v>0.85564040000000008</v>
      </c>
      <c r="J78" s="78">
        <v>0.84038579999999996</v>
      </c>
      <c r="K78" s="78">
        <v>1.1449590999999999</v>
      </c>
      <c r="L78" s="78">
        <v>1.0408455999999999</v>
      </c>
      <c r="M78" s="78">
        <v>1.011037</v>
      </c>
      <c r="N78" s="78">
        <v>0.91910120000000006</v>
      </c>
      <c r="O78" s="78">
        <v>1.1449590999999999</v>
      </c>
      <c r="P78" s="78">
        <v>1.0408455999999999</v>
      </c>
      <c r="Q78" s="78">
        <f t="shared" si="26"/>
        <v>1.1735830774999998</v>
      </c>
      <c r="R78" s="78">
        <f t="shared" si="16"/>
        <v>1.0668667399999998</v>
      </c>
      <c r="S78" s="78">
        <f t="shared" si="27"/>
        <v>1.0363129249999998</v>
      </c>
      <c r="T78" s="78">
        <f t="shared" si="17"/>
        <v>0.94207872999999998</v>
      </c>
      <c r="U78" s="78">
        <f t="shared" si="18"/>
        <v>1.1735830774999998</v>
      </c>
      <c r="V78" s="78">
        <f t="shared" si="19"/>
        <v>1.0668667399999998</v>
      </c>
      <c r="W78" s="78">
        <f t="shared" si="28"/>
        <v>1.0991607359999997</v>
      </c>
      <c r="X78" s="78">
        <f t="shared" si="20"/>
        <v>0.99921177599999988</v>
      </c>
      <c r="Y78" s="78">
        <f t="shared" si="29"/>
        <v>0.97059551999999993</v>
      </c>
      <c r="Z78" s="78">
        <f t="shared" si="21"/>
        <v>0.88233715200000007</v>
      </c>
      <c r="AA78" s="78">
        <f t="shared" si="22"/>
        <v>1.0991607359999997</v>
      </c>
      <c r="AB78" s="78">
        <f t="shared" si="23"/>
        <v>0.99921177599999988</v>
      </c>
      <c r="AC78" s="78">
        <v>0.84675839999999991</v>
      </c>
      <c r="AD78" s="78">
        <v>0.75470539999999997</v>
      </c>
      <c r="AE78" s="78">
        <v>1.0779980499999999</v>
      </c>
      <c r="AF78" s="78">
        <v>0.97997339999999999</v>
      </c>
      <c r="AG78" s="95">
        <v>1.2759990000000001</v>
      </c>
      <c r="AH78" s="95">
        <v>1.0198670000000001</v>
      </c>
      <c r="AI78" s="95">
        <v>0.84675800000000001</v>
      </c>
      <c r="AJ78" s="95">
        <v>0.75470499999999996</v>
      </c>
      <c r="AK78" s="95">
        <f t="shared" si="24"/>
        <v>1.2759990000000001</v>
      </c>
      <c r="AL78" s="95">
        <f t="shared" si="25"/>
        <v>1.0198670000000001</v>
      </c>
    </row>
    <row r="79" spans="1:38" x14ac:dyDescent="0.2">
      <c r="A79" s="60">
        <v>1</v>
      </c>
      <c r="B79" s="55">
        <v>71</v>
      </c>
      <c r="C79" s="61">
        <v>0.83252422982954044</v>
      </c>
      <c r="D79" s="61">
        <v>0.90902287050879726</v>
      </c>
      <c r="E79" s="81">
        <v>0.84530603367093837</v>
      </c>
      <c r="F79" s="81">
        <v>0.92523652667583078</v>
      </c>
      <c r="G79" s="78">
        <v>0.82986009999999988</v>
      </c>
      <c r="H79" s="78">
        <v>0.99030190000000007</v>
      </c>
      <c r="I79" s="78">
        <v>0.85129180000000004</v>
      </c>
      <c r="J79" s="78">
        <v>0.85040459999999995</v>
      </c>
      <c r="K79" s="78">
        <v>1.1627654000000001</v>
      </c>
      <c r="L79" s="78">
        <v>1.0614794000000001</v>
      </c>
      <c r="M79" s="78">
        <v>1.0267605</v>
      </c>
      <c r="N79" s="78">
        <v>0.93732159999999998</v>
      </c>
      <c r="O79" s="78">
        <v>1.1627654000000001</v>
      </c>
      <c r="P79" s="78">
        <v>1.0614794000000001</v>
      </c>
      <c r="Q79" s="78">
        <f t="shared" si="26"/>
        <v>1.1918345349999999</v>
      </c>
      <c r="R79" s="78">
        <f t="shared" si="16"/>
        <v>1.088016385</v>
      </c>
      <c r="S79" s="78">
        <f t="shared" si="27"/>
        <v>1.0524295124999998</v>
      </c>
      <c r="T79" s="78">
        <f t="shared" si="17"/>
        <v>0.96075463999999988</v>
      </c>
      <c r="U79" s="78">
        <f t="shared" si="18"/>
        <v>1.1918345349999999</v>
      </c>
      <c r="V79" s="78">
        <f t="shared" si="19"/>
        <v>1.088016385</v>
      </c>
      <c r="W79" s="78">
        <f t="shared" si="28"/>
        <v>1.1162547840000001</v>
      </c>
      <c r="X79" s="78">
        <f t="shared" si="20"/>
        <v>1.0190202240000001</v>
      </c>
      <c r="Y79" s="78">
        <f t="shared" si="29"/>
        <v>0.98569007999999991</v>
      </c>
      <c r="Z79" s="78">
        <f t="shared" si="21"/>
        <v>0.89982873599999991</v>
      </c>
      <c r="AA79" s="78">
        <f t="shared" si="22"/>
        <v>1.1162547840000001</v>
      </c>
      <c r="AB79" s="78">
        <f t="shared" si="23"/>
        <v>1.0190202240000001</v>
      </c>
      <c r="AC79" s="78">
        <v>0.85616490000000001</v>
      </c>
      <c r="AD79" s="78">
        <v>0.76758930000000003</v>
      </c>
      <c r="AE79" s="78">
        <v>1.09476295</v>
      </c>
      <c r="AF79" s="78">
        <v>0.99940050000000002</v>
      </c>
      <c r="AG79" s="95">
        <v>1.285433</v>
      </c>
      <c r="AH79" s="95">
        <v>1.0294700000000001</v>
      </c>
      <c r="AI79" s="95">
        <v>0.85616499999999995</v>
      </c>
      <c r="AJ79" s="95">
        <v>0.76758899999999997</v>
      </c>
      <c r="AK79" s="95">
        <f t="shared" si="24"/>
        <v>1.285433</v>
      </c>
      <c r="AL79" s="95">
        <f t="shared" si="25"/>
        <v>1.0294700000000001</v>
      </c>
    </row>
    <row r="80" spans="1:38" x14ac:dyDescent="0.2">
      <c r="A80" s="60">
        <v>1</v>
      </c>
      <c r="B80" s="55">
        <v>72</v>
      </c>
      <c r="C80" s="61">
        <v>0.82966995737312133</v>
      </c>
      <c r="D80" s="61">
        <v>0.91590296285059114</v>
      </c>
      <c r="E80" s="81">
        <v>0.84239588199334892</v>
      </c>
      <c r="F80" s="81">
        <v>0.93230532948719114</v>
      </c>
      <c r="G80" s="78">
        <v>0.8300746</v>
      </c>
      <c r="H80" s="78">
        <v>0.99026099999999995</v>
      </c>
      <c r="I80" s="78">
        <v>0.84525459999999997</v>
      </c>
      <c r="J80" s="78">
        <v>0.86458340000000011</v>
      </c>
      <c r="K80" s="78">
        <v>1.1754521</v>
      </c>
      <c r="L80" s="78">
        <v>1.0825588000000002</v>
      </c>
      <c r="M80" s="78">
        <v>1.0379632999999999</v>
      </c>
      <c r="N80" s="78">
        <v>0.95593539999999999</v>
      </c>
      <c r="O80" s="78">
        <v>1.1754521</v>
      </c>
      <c r="P80" s="78">
        <v>1.0825588000000002</v>
      </c>
      <c r="Q80" s="78">
        <f t="shared" si="26"/>
        <v>1.2048384024999998</v>
      </c>
      <c r="R80" s="78">
        <f t="shared" si="16"/>
        <v>1.1096227700000001</v>
      </c>
      <c r="S80" s="78">
        <f t="shared" si="27"/>
        <v>1.0639123824999999</v>
      </c>
      <c r="T80" s="78">
        <f t="shared" si="17"/>
        <v>0.97983378499999996</v>
      </c>
      <c r="U80" s="78">
        <f t="shared" si="18"/>
        <v>1.2048384024999998</v>
      </c>
      <c r="V80" s="78">
        <f t="shared" si="19"/>
        <v>1.1096227700000001</v>
      </c>
      <c r="W80" s="78">
        <f t="shared" si="28"/>
        <v>1.1284340159999999</v>
      </c>
      <c r="X80" s="78">
        <f t="shared" si="20"/>
        <v>1.0392564480000002</v>
      </c>
      <c r="Y80" s="78">
        <f t="shared" si="29"/>
        <v>0.99644476799999993</v>
      </c>
      <c r="Z80" s="78">
        <f t="shared" si="21"/>
        <v>0.91769798399999991</v>
      </c>
      <c r="AA80" s="78">
        <f t="shared" si="22"/>
        <v>1.1284340159999999</v>
      </c>
      <c r="AB80" s="78">
        <f t="shared" si="23"/>
        <v>1.0392564480000002</v>
      </c>
      <c r="AC80" s="78">
        <v>0.86288670000000001</v>
      </c>
      <c r="AD80" s="78">
        <v>0.78227119999999994</v>
      </c>
      <c r="AE80" s="78">
        <v>1.1067076999999998</v>
      </c>
      <c r="AF80" s="78">
        <v>1.0192471000000001</v>
      </c>
      <c r="AG80" s="95">
        <v>1.287442</v>
      </c>
      <c r="AH80" s="95">
        <v>1.0399959999999999</v>
      </c>
      <c r="AI80" s="95">
        <v>0.86288699999999996</v>
      </c>
      <c r="AJ80" s="95">
        <v>0.78227100000000005</v>
      </c>
      <c r="AK80" s="95">
        <f t="shared" si="24"/>
        <v>1.287442</v>
      </c>
      <c r="AL80" s="95">
        <f t="shared" si="25"/>
        <v>1.0399959999999999</v>
      </c>
    </row>
    <row r="81" spans="1:38" x14ac:dyDescent="0.2">
      <c r="A81" s="60">
        <v>1</v>
      </c>
      <c r="B81" s="55">
        <v>73</v>
      </c>
      <c r="C81" s="61">
        <v>0.82670975743679664</v>
      </c>
      <c r="D81" s="61">
        <v>0.92456247438090833</v>
      </c>
      <c r="E81" s="81">
        <v>0.83937814200265914</v>
      </c>
      <c r="F81" s="81">
        <v>0.94120323870459099</v>
      </c>
      <c r="G81" s="78">
        <v>0.83019229999999988</v>
      </c>
      <c r="H81" s="78">
        <v>0.99010909999999996</v>
      </c>
      <c r="I81" s="78">
        <v>0.83909999999999996</v>
      </c>
      <c r="J81" s="78">
        <v>0.88253270000000006</v>
      </c>
      <c r="K81" s="78">
        <v>1.1845064000000001</v>
      </c>
      <c r="L81" s="78">
        <v>1.1039634999999999</v>
      </c>
      <c r="M81" s="78">
        <v>1.0459585</v>
      </c>
      <c r="N81" s="78">
        <v>0.97483649999999999</v>
      </c>
      <c r="O81" s="78">
        <v>1.1845064000000001</v>
      </c>
      <c r="P81" s="78">
        <v>1.1039634999999999</v>
      </c>
      <c r="Q81" s="78">
        <f t="shared" si="26"/>
        <v>1.21411906</v>
      </c>
      <c r="R81" s="78">
        <f t="shared" si="16"/>
        <v>1.1315625874999997</v>
      </c>
      <c r="S81" s="78">
        <f t="shared" si="27"/>
        <v>1.0721074625</v>
      </c>
      <c r="T81" s="78">
        <f t="shared" si="17"/>
        <v>0.99920741249999989</v>
      </c>
      <c r="U81" s="78">
        <f t="shared" si="18"/>
        <v>1.21411906</v>
      </c>
      <c r="V81" s="78">
        <f t="shared" si="19"/>
        <v>1.1315625874999997</v>
      </c>
      <c r="W81" s="78">
        <f t="shared" si="28"/>
        <v>1.137126144</v>
      </c>
      <c r="X81" s="78">
        <f t="shared" si="20"/>
        <v>1.0598049599999999</v>
      </c>
      <c r="Y81" s="78">
        <f t="shared" si="29"/>
        <v>1.00412016</v>
      </c>
      <c r="Z81" s="78">
        <f t="shared" si="21"/>
        <v>0.93584303999999996</v>
      </c>
      <c r="AA81" s="78">
        <f t="shared" si="22"/>
        <v>1.137126144</v>
      </c>
      <c r="AB81" s="78">
        <f t="shared" si="23"/>
        <v>1.0598049599999999</v>
      </c>
      <c r="AC81" s="78">
        <v>0.86788470000000006</v>
      </c>
      <c r="AD81" s="78">
        <v>0.79815799999999992</v>
      </c>
      <c r="AE81" s="78">
        <v>1.1152324500000002</v>
      </c>
      <c r="AF81" s="78">
        <v>1.0393999999999999</v>
      </c>
      <c r="AG81" s="95">
        <v>1.283401</v>
      </c>
      <c r="AH81" s="95">
        <v>1.0511239999999999</v>
      </c>
      <c r="AI81" s="95">
        <v>0.86788500000000002</v>
      </c>
      <c r="AJ81" s="95">
        <v>0.79815800000000003</v>
      </c>
      <c r="AK81" s="95">
        <f t="shared" si="24"/>
        <v>1.283401</v>
      </c>
      <c r="AL81" s="95">
        <f t="shared" si="25"/>
        <v>1.0511239999999999</v>
      </c>
    </row>
    <row r="82" spans="1:38" x14ac:dyDescent="0.2">
      <c r="A82" s="60">
        <v>1</v>
      </c>
      <c r="B82" s="55">
        <v>74</v>
      </c>
      <c r="C82" s="61">
        <v>0.82435606225409785</v>
      </c>
      <c r="D82" s="61">
        <v>0.93444447652009011</v>
      </c>
      <c r="E82" s="81">
        <v>0.83697966752417952</v>
      </c>
      <c r="F82" s="81">
        <v>0.9513534518470077</v>
      </c>
      <c r="G82" s="78">
        <v>0.83003929999999992</v>
      </c>
      <c r="H82" s="78">
        <v>0.99037439999999999</v>
      </c>
      <c r="I82" s="78">
        <v>0.83445780000000003</v>
      </c>
      <c r="J82" s="78">
        <v>0.90256519999999996</v>
      </c>
      <c r="K82" s="78">
        <v>1.1909482</v>
      </c>
      <c r="L82" s="78">
        <v>1.1228800999999999</v>
      </c>
      <c r="M82" s="78">
        <v>1.0516468000000001</v>
      </c>
      <c r="N82" s="78">
        <v>0.99154049999999994</v>
      </c>
      <c r="O82" s="78">
        <v>1.1909482</v>
      </c>
      <c r="P82" s="78">
        <v>1.1228800999999999</v>
      </c>
      <c r="Q82" s="78">
        <f t="shared" si="26"/>
        <v>1.220721905</v>
      </c>
      <c r="R82" s="78">
        <f t="shared" si="16"/>
        <v>1.1509521024999998</v>
      </c>
      <c r="S82" s="78">
        <f t="shared" si="27"/>
        <v>1.07793797</v>
      </c>
      <c r="T82" s="78">
        <f t="shared" si="17"/>
        <v>1.0163290124999997</v>
      </c>
      <c r="U82" s="78">
        <f t="shared" si="18"/>
        <v>1.220721905</v>
      </c>
      <c r="V82" s="78">
        <f t="shared" si="19"/>
        <v>1.1509521024999998</v>
      </c>
      <c r="W82" s="78">
        <f t="shared" si="28"/>
        <v>1.1433102719999999</v>
      </c>
      <c r="X82" s="78">
        <f t="shared" si="20"/>
        <v>1.0779648959999999</v>
      </c>
      <c r="Y82" s="78">
        <f t="shared" si="29"/>
        <v>1.0095809280000001</v>
      </c>
      <c r="Z82" s="78">
        <f t="shared" si="21"/>
        <v>0.95187887999999987</v>
      </c>
      <c r="AA82" s="78">
        <f t="shared" si="22"/>
        <v>1.1433102719999999</v>
      </c>
      <c r="AB82" s="78">
        <f t="shared" si="23"/>
        <v>1.0779648959999999</v>
      </c>
      <c r="AC82" s="78">
        <v>0.87231069999999999</v>
      </c>
      <c r="AD82" s="78">
        <v>0.81377869999999997</v>
      </c>
      <c r="AE82" s="78">
        <v>1.1212975000000001</v>
      </c>
      <c r="AF82" s="78">
        <v>1.0572102999999999</v>
      </c>
      <c r="AG82" s="95">
        <v>1.27512</v>
      </c>
      <c r="AH82" s="95">
        <v>1.061337</v>
      </c>
      <c r="AI82" s="95">
        <v>0.87231099999999995</v>
      </c>
      <c r="AJ82" s="95">
        <v>0.81377900000000003</v>
      </c>
      <c r="AK82" s="95">
        <f t="shared" si="24"/>
        <v>1.27512</v>
      </c>
      <c r="AL82" s="95">
        <f t="shared" si="25"/>
        <v>1.061337</v>
      </c>
    </row>
    <row r="83" spans="1:38" x14ac:dyDescent="0.2">
      <c r="A83" s="60">
        <v>1</v>
      </c>
      <c r="B83" s="55">
        <v>75</v>
      </c>
      <c r="C83" s="61">
        <v>0.82900644038072402</v>
      </c>
      <c r="D83" s="61">
        <v>0.98347473865714408</v>
      </c>
      <c r="E83" s="81">
        <v>0.84167606185096155</v>
      </c>
      <c r="F83" s="81">
        <v>1.0010416319381288</v>
      </c>
      <c r="G83" s="78">
        <v>0.84111559999999996</v>
      </c>
      <c r="H83" s="78">
        <v>1.0685232</v>
      </c>
      <c r="I83" s="78">
        <v>0.8326481</v>
      </c>
      <c r="J83" s="78">
        <v>0.92302210000000007</v>
      </c>
      <c r="K83" s="78">
        <v>1.1958648999999999</v>
      </c>
      <c r="L83" s="78">
        <v>1.1376674</v>
      </c>
      <c r="M83" s="78">
        <v>1.0559885</v>
      </c>
      <c r="N83" s="78">
        <v>1.0045980999999999</v>
      </c>
      <c r="O83" s="78">
        <v>1.1958648999999999</v>
      </c>
      <c r="P83" s="78">
        <v>1.1376674</v>
      </c>
      <c r="Q83" s="78">
        <f t="shared" si="26"/>
        <v>1.2257615224999998</v>
      </c>
      <c r="R83" s="78">
        <f t="shared" si="16"/>
        <v>1.166109085</v>
      </c>
      <c r="S83" s="78">
        <f t="shared" si="27"/>
        <v>1.0823882124999999</v>
      </c>
      <c r="T83" s="78">
        <f t="shared" si="17"/>
        <v>1.0297130524999998</v>
      </c>
      <c r="U83" s="78">
        <f t="shared" si="18"/>
        <v>1.2257615224999998</v>
      </c>
      <c r="V83" s="78">
        <f t="shared" si="19"/>
        <v>1.166109085</v>
      </c>
      <c r="W83" s="78">
        <f t="shared" si="28"/>
        <v>1.1480303039999999</v>
      </c>
      <c r="X83" s="78">
        <f t="shared" si="20"/>
        <v>1.0921607039999999</v>
      </c>
      <c r="Y83" s="78">
        <f t="shared" si="29"/>
        <v>1.01374896</v>
      </c>
      <c r="Z83" s="78">
        <f t="shared" si="21"/>
        <v>0.9644141759999999</v>
      </c>
      <c r="AA83" s="78">
        <f t="shared" si="22"/>
        <v>1.1480303039999999</v>
      </c>
      <c r="AB83" s="78">
        <f t="shared" si="23"/>
        <v>1.0921607039999999</v>
      </c>
      <c r="AC83" s="78">
        <v>0.87713419999999998</v>
      </c>
      <c r="AD83" s="78">
        <v>0.82800640000000003</v>
      </c>
      <c r="AE83" s="78">
        <v>1.1259266999999999</v>
      </c>
      <c r="AF83" s="78">
        <v>1.0711327499999999</v>
      </c>
      <c r="AG83" s="95">
        <v>1.2642420000000001</v>
      </c>
      <c r="AH83" s="95">
        <v>1.069539</v>
      </c>
      <c r="AI83" s="95">
        <v>0.87713399999999997</v>
      </c>
      <c r="AJ83" s="95">
        <v>0.82800600000000002</v>
      </c>
      <c r="AK83" s="95">
        <f t="shared" si="24"/>
        <v>1.2642420000000001</v>
      </c>
      <c r="AL83" s="95">
        <f t="shared" si="25"/>
        <v>1.069539</v>
      </c>
    </row>
    <row r="84" spans="1:38" x14ac:dyDescent="0.2">
      <c r="A84" s="60">
        <v>1</v>
      </c>
      <c r="B84" s="55">
        <v>76</v>
      </c>
      <c r="C84" s="61">
        <v>0.82978301645442243</v>
      </c>
      <c r="D84" s="61">
        <v>0.99321817574925508</v>
      </c>
      <c r="E84" s="81">
        <v>0.84246776803569035</v>
      </c>
      <c r="F84" s="81">
        <v>1.0110536417743348</v>
      </c>
      <c r="G84" s="78">
        <v>0.84107580000000004</v>
      </c>
      <c r="H84" s="78">
        <v>1.068314</v>
      </c>
      <c r="I84" s="78">
        <v>0.83427170000000006</v>
      </c>
      <c r="J84" s="78">
        <v>0.94325729999999997</v>
      </c>
      <c r="K84" s="78">
        <v>1.2001448000000001</v>
      </c>
      <c r="L84" s="78">
        <v>1.1490918000000001</v>
      </c>
      <c r="M84" s="78">
        <v>1.0597678000000001</v>
      </c>
      <c r="N84" s="78">
        <v>1.0146862000000001</v>
      </c>
      <c r="O84" s="78">
        <v>1.2001448000000001</v>
      </c>
      <c r="P84" s="78">
        <v>1.1490918000000001</v>
      </c>
      <c r="Q84" s="78">
        <f t="shared" si="26"/>
        <v>1.2301484199999999</v>
      </c>
      <c r="R84" s="78">
        <f t="shared" si="16"/>
        <v>1.177819095</v>
      </c>
      <c r="S84" s="78">
        <f t="shared" si="27"/>
        <v>1.0862619950000001</v>
      </c>
      <c r="T84" s="78">
        <f t="shared" si="17"/>
        <v>1.040053355</v>
      </c>
      <c r="U84" s="78">
        <f t="shared" si="18"/>
        <v>1.2301484199999999</v>
      </c>
      <c r="V84" s="78">
        <f t="shared" si="19"/>
        <v>1.177819095</v>
      </c>
      <c r="W84" s="78">
        <f t="shared" si="28"/>
        <v>1.152139008</v>
      </c>
      <c r="X84" s="78">
        <f t="shared" si="20"/>
        <v>1.103128128</v>
      </c>
      <c r="Y84" s="78">
        <f t="shared" si="29"/>
        <v>1.0173770880000002</v>
      </c>
      <c r="Z84" s="78">
        <f t="shared" si="21"/>
        <v>0.97409875200000007</v>
      </c>
      <c r="AA84" s="78">
        <f t="shared" si="22"/>
        <v>1.152139008</v>
      </c>
      <c r="AB84" s="78">
        <f t="shared" si="23"/>
        <v>1.103128128</v>
      </c>
      <c r="AC84" s="78">
        <v>0.88269599999999993</v>
      </c>
      <c r="AD84" s="78">
        <v>0.8408907000000001</v>
      </c>
      <c r="AE84" s="78">
        <v>1.1299563000000001</v>
      </c>
      <c r="AF84" s="78">
        <v>1.0818890000000001</v>
      </c>
      <c r="AG84" s="95">
        <v>1.251574</v>
      </c>
      <c r="AH84" s="95">
        <v>1.0760879999999999</v>
      </c>
      <c r="AI84" s="95">
        <v>0.88269600000000004</v>
      </c>
      <c r="AJ84" s="95">
        <v>0.84089100000000006</v>
      </c>
      <c r="AK84" s="95">
        <f t="shared" si="24"/>
        <v>1.251574</v>
      </c>
      <c r="AL84" s="95">
        <f t="shared" si="25"/>
        <v>1.0760879999999999</v>
      </c>
    </row>
    <row r="85" spans="1:38" x14ac:dyDescent="0.2">
      <c r="A85" s="60">
        <v>1</v>
      </c>
      <c r="B85" s="55">
        <v>77</v>
      </c>
      <c r="C85" s="61">
        <v>0.83240575403613404</v>
      </c>
      <c r="D85" s="61">
        <v>1.0025084462299849</v>
      </c>
      <c r="E85" s="81">
        <v>0.84514048835377942</v>
      </c>
      <c r="F85" s="81">
        <v>1.0205979885281717</v>
      </c>
      <c r="G85" s="78">
        <v>0.84122470000000005</v>
      </c>
      <c r="H85" s="78">
        <v>1.0683435000000001</v>
      </c>
      <c r="I85" s="78">
        <v>0.83946659999999995</v>
      </c>
      <c r="J85" s="78">
        <v>0.96231620000000007</v>
      </c>
      <c r="K85" s="78">
        <v>1.2037477000000001</v>
      </c>
      <c r="L85" s="78">
        <v>1.1566324000000001</v>
      </c>
      <c r="M85" s="78">
        <v>1.0629492999999999</v>
      </c>
      <c r="N85" s="78">
        <v>1.0213448999999999</v>
      </c>
      <c r="O85" s="78">
        <v>1.2037477000000001</v>
      </c>
      <c r="P85" s="78">
        <v>1.1566324000000001</v>
      </c>
      <c r="Q85" s="78">
        <f t="shared" si="26"/>
        <v>1.2338413925</v>
      </c>
      <c r="R85" s="78">
        <f t="shared" si="16"/>
        <v>1.1855482100000001</v>
      </c>
      <c r="S85" s="78">
        <f t="shared" si="27"/>
        <v>1.0895230324999998</v>
      </c>
      <c r="T85" s="78">
        <f t="shared" si="17"/>
        <v>1.0468785224999997</v>
      </c>
      <c r="U85" s="78">
        <f t="shared" si="18"/>
        <v>1.2338413925</v>
      </c>
      <c r="V85" s="78">
        <f t="shared" si="19"/>
        <v>1.1855482100000001</v>
      </c>
      <c r="W85" s="78">
        <f t="shared" si="28"/>
        <v>1.155597792</v>
      </c>
      <c r="X85" s="78">
        <f t="shared" si="20"/>
        <v>1.110367104</v>
      </c>
      <c r="Y85" s="78">
        <f t="shared" si="29"/>
        <v>1.0204313279999999</v>
      </c>
      <c r="Z85" s="78">
        <f t="shared" si="21"/>
        <v>0.98049110399999984</v>
      </c>
      <c r="AA85" s="78">
        <f t="shared" si="22"/>
        <v>1.155597792</v>
      </c>
      <c r="AB85" s="78">
        <f t="shared" si="23"/>
        <v>1.110367104</v>
      </c>
      <c r="AC85" s="78">
        <v>0.88896750000000002</v>
      </c>
      <c r="AD85" s="78">
        <v>0.85235169999999993</v>
      </c>
      <c r="AE85" s="78">
        <v>1.1333484999999999</v>
      </c>
      <c r="AF85" s="78">
        <v>1.0889886500000001</v>
      </c>
      <c r="AG85" s="95">
        <v>1.237493</v>
      </c>
      <c r="AH85" s="95">
        <v>1.081073</v>
      </c>
      <c r="AI85" s="95">
        <v>0.88896799999999998</v>
      </c>
      <c r="AJ85" s="95">
        <v>0.852352</v>
      </c>
      <c r="AK85" s="95">
        <f t="shared" si="24"/>
        <v>1.237493</v>
      </c>
      <c r="AL85" s="95">
        <f t="shared" si="25"/>
        <v>1.081073</v>
      </c>
    </row>
    <row r="86" spans="1:38" x14ac:dyDescent="0.2">
      <c r="A86" s="60">
        <v>1</v>
      </c>
      <c r="B86" s="55">
        <v>78</v>
      </c>
      <c r="C86" s="61">
        <v>0.83679020441055918</v>
      </c>
      <c r="D86" s="61">
        <v>1.0102215253110272</v>
      </c>
      <c r="E86" s="81">
        <v>0.84960906227205613</v>
      </c>
      <c r="F86" s="81">
        <v>1.0285234060159896</v>
      </c>
      <c r="G86" s="78">
        <v>0.84132969999999996</v>
      </c>
      <c r="H86" s="78">
        <v>1.0682086</v>
      </c>
      <c r="I86" s="78">
        <v>0.84829750000000004</v>
      </c>
      <c r="J86" s="78">
        <v>0.97830329999999999</v>
      </c>
      <c r="K86" s="78">
        <v>1.2064722999999999</v>
      </c>
      <c r="L86" s="78">
        <v>1.1594438</v>
      </c>
      <c r="M86" s="78">
        <v>1.0653551000000001</v>
      </c>
      <c r="N86" s="78">
        <v>1.0238275000000001</v>
      </c>
      <c r="O86" s="78">
        <v>1.2064722999999999</v>
      </c>
      <c r="P86" s="78">
        <v>1.1594438</v>
      </c>
      <c r="Q86" s="78">
        <f t="shared" si="26"/>
        <v>1.2366341074999998</v>
      </c>
      <c r="R86" s="78">
        <f t="shared" si="16"/>
        <v>1.1884298949999998</v>
      </c>
      <c r="S86" s="78">
        <f t="shared" si="27"/>
        <v>1.0919889775</v>
      </c>
      <c r="T86" s="78">
        <f t="shared" si="17"/>
        <v>1.0494231875</v>
      </c>
      <c r="U86" s="78">
        <f t="shared" si="18"/>
        <v>1.2366341074999998</v>
      </c>
      <c r="V86" s="78">
        <f t="shared" si="19"/>
        <v>1.1884298949999998</v>
      </c>
      <c r="W86" s="78">
        <f t="shared" si="28"/>
        <v>1.1582134079999999</v>
      </c>
      <c r="X86" s="78">
        <f t="shared" si="20"/>
        <v>1.1130660480000001</v>
      </c>
      <c r="Y86" s="78">
        <f t="shared" si="29"/>
        <v>1.0227408960000002</v>
      </c>
      <c r="Z86" s="78">
        <f t="shared" si="21"/>
        <v>0.98287440000000004</v>
      </c>
      <c r="AA86" s="78">
        <f t="shared" si="22"/>
        <v>1.1582134079999999</v>
      </c>
      <c r="AB86" s="78">
        <f t="shared" si="23"/>
        <v>1.1130660480000001</v>
      </c>
      <c r="AC86" s="78">
        <v>0.89597150000000003</v>
      </c>
      <c r="AD86" s="78">
        <v>0.86149759999999997</v>
      </c>
      <c r="AE86" s="78">
        <v>1.1359137000000001</v>
      </c>
      <c r="AF86" s="78">
        <v>1.0916356500000002</v>
      </c>
      <c r="AG86" s="95">
        <v>1.2225379999999999</v>
      </c>
      <c r="AH86" s="95">
        <v>1.0834710000000001</v>
      </c>
      <c r="AI86" s="95">
        <v>0.89597199999999999</v>
      </c>
      <c r="AJ86" s="95">
        <v>0.86149799999999999</v>
      </c>
      <c r="AK86" s="95">
        <f t="shared" si="24"/>
        <v>1.2225379999999999</v>
      </c>
      <c r="AL86" s="95">
        <f t="shared" si="25"/>
        <v>1.0834710000000001</v>
      </c>
    </row>
    <row r="87" spans="1:38" x14ac:dyDescent="0.2">
      <c r="A87" s="60">
        <v>1</v>
      </c>
      <c r="B87" s="55">
        <v>79</v>
      </c>
      <c r="C87" s="61">
        <v>0.84239624830935755</v>
      </c>
      <c r="D87" s="61">
        <v>1.0154601753317403</v>
      </c>
      <c r="E87" s="81">
        <v>0.85532347927463914</v>
      </c>
      <c r="F87" s="81">
        <v>1.0339036783745732</v>
      </c>
      <c r="G87" s="78">
        <v>0.84125820000000007</v>
      </c>
      <c r="H87" s="78">
        <v>1.0684134000000001</v>
      </c>
      <c r="I87" s="78">
        <v>0.85979859999999997</v>
      </c>
      <c r="J87" s="78">
        <v>0.98885699999999999</v>
      </c>
      <c r="K87" s="78">
        <v>1.2068877</v>
      </c>
      <c r="L87" s="78">
        <v>1.1563275</v>
      </c>
      <c r="M87" s="78">
        <v>1.0657220000000001</v>
      </c>
      <c r="N87" s="78">
        <v>1.0210756999999999</v>
      </c>
      <c r="O87" s="78">
        <v>1.2068877</v>
      </c>
      <c r="P87" s="78">
        <v>1.1563275</v>
      </c>
      <c r="Q87" s="78">
        <f t="shared" si="26"/>
        <v>1.2370598924999998</v>
      </c>
      <c r="R87" s="78">
        <f t="shared" si="16"/>
        <v>1.1852356874999999</v>
      </c>
      <c r="S87" s="78">
        <f t="shared" si="27"/>
        <v>1.0923650499999999</v>
      </c>
      <c r="T87" s="78">
        <f t="shared" si="17"/>
        <v>1.0466025924999998</v>
      </c>
      <c r="U87" s="78">
        <f t="shared" si="18"/>
        <v>1.2370598924999998</v>
      </c>
      <c r="V87" s="78">
        <f t="shared" si="19"/>
        <v>1.1852356874999999</v>
      </c>
      <c r="W87" s="78">
        <f t="shared" si="28"/>
        <v>1.1586121919999999</v>
      </c>
      <c r="X87" s="78">
        <f t="shared" si="20"/>
        <v>1.1100744</v>
      </c>
      <c r="Y87" s="78">
        <f t="shared" si="29"/>
        <v>1.02309312</v>
      </c>
      <c r="Z87" s="78">
        <f t="shared" si="21"/>
        <v>0.98023267199999986</v>
      </c>
      <c r="AA87" s="78">
        <f t="shared" si="22"/>
        <v>1.1586121919999999</v>
      </c>
      <c r="AB87" s="78">
        <f t="shared" si="23"/>
        <v>1.1100744</v>
      </c>
      <c r="AC87" s="78">
        <v>0.9027771</v>
      </c>
      <c r="AD87" s="78">
        <v>0.86694599999999999</v>
      </c>
      <c r="AE87" s="78">
        <v>1.1363048500000001</v>
      </c>
      <c r="AF87" s="78">
        <v>1.0887015999999998</v>
      </c>
      <c r="AG87" s="95">
        <v>1.206054</v>
      </c>
      <c r="AH87" s="95">
        <v>1.081609</v>
      </c>
      <c r="AI87" s="95">
        <v>0.90277700000000005</v>
      </c>
      <c r="AJ87" s="95">
        <v>0.86694599999999999</v>
      </c>
      <c r="AK87" s="95">
        <f t="shared" si="24"/>
        <v>1.206054</v>
      </c>
      <c r="AL87" s="95">
        <f t="shared" si="25"/>
        <v>1.081609</v>
      </c>
    </row>
    <row r="88" spans="1:38" x14ac:dyDescent="0.2">
      <c r="A88" s="60">
        <v>1</v>
      </c>
      <c r="B88" s="55">
        <v>80</v>
      </c>
      <c r="C88" s="61">
        <v>0.86683019413371376</v>
      </c>
      <c r="D88" s="61">
        <v>0.96633916388653041</v>
      </c>
      <c r="E88" s="81">
        <v>0.88008155821821377</v>
      </c>
      <c r="F88" s="81">
        <v>0.98430958220016551</v>
      </c>
      <c r="G88" s="78">
        <v>0.87855649999999996</v>
      </c>
      <c r="H88" s="78">
        <v>0.96887429999999997</v>
      </c>
      <c r="I88" s="78">
        <v>0.87159139999999991</v>
      </c>
      <c r="J88" s="78">
        <v>0.99018960000000011</v>
      </c>
      <c r="K88" s="78">
        <v>1.2023099000000002</v>
      </c>
      <c r="L88" s="78">
        <v>1.143661</v>
      </c>
      <c r="M88" s="78">
        <v>1.0616795999999999</v>
      </c>
      <c r="N88" s="78">
        <v>1.0098906999999999</v>
      </c>
      <c r="O88" s="78">
        <v>1.2023099000000002</v>
      </c>
      <c r="P88" s="78">
        <v>1.143661</v>
      </c>
      <c r="Q88" s="78">
        <f t="shared" si="26"/>
        <v>1.2323676475000001</v>
      </c>
      <c r="R88" s="78">
        <f t="shared" si="16"/>
        <v>1.172252525</v>
      </c>
      <c r="S88" s="78">
        <f t="shared" si="27"/>
        <v>1.0882215899999998</v>
      </c>
      <c r="T88" s="78">
        <f t="shared" si="17"/>
        <v>1.0351379674999999</v>
      </c>
      <c r="U88" s="78">
        <f t="shared" si="18"/>
        <v>1.2323676475000001</v>
      </c>
      <c r="V88" s="78">
        <f t="shared" si="19"/>
        <v>1.172252525</v>
      </c>
      <c r="W88" s="78">
        <f t="shared" si="28"/>
        <v>1.154217504</v>
      </c>
      <c r="X88" s="78">
        <f t="shared" si="20"/>
        <v>1.09791456</v>
      </c>
      <c r="Y88" s="78">
        <f t="shared" si="29"/>
        <v>1.019212416</v>
      </c>
      <c r="Z88" s="78">
        <f t="shared" si="21"/>
        <v>0.96949507199999985</v>
      </c>
      <c r="AA88" s="78">
        <f t="shared" si="22"/>
        <v>1.154217504</v>
      </c>
      <c r="AB88" s="78">
        <f t="shared" si="23"/>
        <v>1.09791456</v>
      </c>
      <c r="AC88" s="78">
        <v>0.90712879999999996</v>
      </c>
      <c r="AD88" s="78">
        <v>0.86590090000000008</v>
      </c>
      <c r="AE88" s="78">
        <v>1.13199475</v>
      </c>
      <c r="AF88" s="78">
        <v>1.07677585</v>
      </c>
      <c r="AG88" s="95">
        <v>1.185813</v>
      </c>
      <c r="AH88" s="95">
        <v>1.072055</v>
      </c>
      <c r="AI88" s="95">
        <v>0.90712899999999996</v>
      </c>
      <c r="AJ88" s="95">
        <v>0.86590100000000003</v>
      </c>
      <c r="AK88" s="95">
        <f t="shared" si="24"/>
        <v>1.185813</v>
      </c>
      <c r="AL88" s="95">
        <f t="shared" si="25"/>
        <v>1.072055</v>
      </c>
    </row>
    <row r="89" spans="1:38" x14ac:dyDescent="0.2">
      <c r="A89" s="60">
        <v>1</v>
      </c>
      <c r="B89" s="55">
        <v>81</v>
      </c>
      <c r="C89" s="61">
        <v>0.87362159067494061</v>
      </c>
      <c r="D89" s="61">
        <v>0.96301616998414752</v>
      </c>
      <c r="E89" s="81">
        <v>0.88673377859987645</v>
      </c>
      <c r="F89" s="81">
        <v>0.98063588998037754</v>
      </c>
      <c r="G89" s="78">
        <v>0.8784820000000001</v>
      </c>
      <c r="H89" s="78">
        <v>0.96883740000000007</v>
      </c>
      <c r="I89" s="78">
        <v>0.88551190000000002</v>
      </c>
      <c r="J89" s="78">
        <v>0.98339949999999998</v>
      </c>
      <c r="K89" s="78">
        <v>1.1959195</v>
      </c>
      <c r="L89" s="78">
        <v>1.1234169000000001</v>
      </c>
      <c r="M89" s="78">
        <v>1.0560366999999999</v>
      </c>
      <c r="N89" s="78">
        <v>0.99201449999999991</v>
      </c>
      <c r="O89" s="78">
        <v>1.1959195</v>
      </c>
      <c r="P89" s="78">
        <v>1.1234169000000001</v>
      </c>
      <c r="Q89" s="78">
        <f t="shared" si="26"/>
        <v>1.2258174874999999</v>
      </c>
      <c r="R89" s="78">
        <f t="shared" si="16"/>
        <v>1.1515023225000001</v>
      </c>
      <c r="S89" s="78">
        <f t="shared" si="27"/>
        <v>1.0824376174999999</v>
      </c>
      <c r="T89" s="78">
        <f t="shared" si="17"/>
        <v>1.0168148624999997</v>
      </c>
      <c r="U89" s="78">
        <f t="shared" si="18"/>
        <v>1.2258174874999999</v>
      </c>
      <c r="V89" s="78">
        <f t="shared" si="19"/>
        <v>1.1515023225000001</v>
      </c>
      <c r="W89" s="78">
        <f t="shared" si="28"/>
        <v>1.1480827199999999</v>
      </c>
      <c r="X89" s="78">
        <f t="shared" si="20"/>
        <v>1.078480224</v>
      </c>
      <c r="Y89" s="78">
        <f t="shared" si="29"/>
        <v>1.0137952319999999</v>
      </c>
      <c r="Z89" s="78">
        <f t="shared" si="21"/>
        <v>0.95233391999999983</v>
      </c>
      <c r="AA89" s="78">
        <f t="shared" si="22"/>
        <v>1.1480827199999999</v>
      </c>
      <c r="AB89" s="78">
        <f t="shared" si="23"/>
        <v>1.078480224</v>
      </c>
      <c r="AC89" s="78">
        <v>0.91131010000000001</v>
      </c>
      <c r="AD89" s="78">
        <v>0.85961200000000004</v>
      </c>
      <c r="AE89" s="78">
        <v>1.1259781</v>
      </c>
      <c r="AF89" s="78">
        <v>1.0577156999999999</v>
      </c>
      <c r="AG89" s="95">
        <v>1.165664</v>
      </c>
      <c r="AH89" s="95">
        <v>1.0564089999999999</v>
      </c>
      <c r="AI89" s="95">
        <v>0.91130999999999995</v>
      </c>
      <c r="AJ89" s="95">
        <v>0.85961200000000004</v>
      </c>
      <c r="AK89" s="95">
        <f t="shared" si="24"/>
        <v>1.165664</v>
      </c>
      <c r="AL89" s="95">
        <f t="shared" si="25"/>
        <v>1.0564089999999999</v>
      </c>
    </row>
    <row r="90" spans="1:38" x14ac:dyDescent="0.2">
      <c r="A90" s="60">
        <v>1</v>
      </c>
      <c r="B90" s="55">
        <v>82</v>
      </c>
      <c r="C90" s="61">
        <v>0.88291813023470089</v>
      </c>
      <c r="D90" s="61">
        <v>0.95790528907272043</v>
      </c>
      <c r="E90" s="81">
        <v>0.89593883506256644</v>
      </c>
      <c r="F90" s="81">
        <v>0.97512434273493431</v>
      </c>
      <c r="G90" s="78">
        <v>0.87863550000000001</v>
      </c>
      <c r="H90" s="78">
        <v>0.96894729999999996</v>
      </c>
      <c r="I90" s="78">
        <v>0.90430699999999997</v>
      </c>
      <c r="J90" s="78">
        <v>0.9727849999999999</v>
      </c>
      <c r="K90" s="78">
        <v>1.1917144</v>
      </c>
      <c r="L90" s="78">
        <v>1.1011572999999999</v>
      </c>
      <c r="M90" s="78">
        <v>1.0523235</v>
      </c>
      <c r="N90" s="78">
        <v>0.97235850000000001</v>
      </c>
      <c r="O90" s="78">
        <v>1.1917144</v>
      </c>
      <c r="P90" s="78">
        <v>1.1011572999999999</v>
      </c>
      <c r="Q90" s="78">
        <f t="shared" si="26"/>
        <v>1.2215072599999999</v>
      </c>
      <c r="R90" s="78">
        <f t="shared" si="16"/>
        <v>1.1286862324999998</v>
      </c>
      <c r="S90" s="78">
        <f t="shared" si="27"/>
        <v>1.0786315874999999</v>
      </c>
      <c r="T90" s="78">
        <f t="shared" si="17"/>
        <v>0.99666746249999993</v>
      </c>
      <c r="U90" s="78">
        <f t="shared" si="18"/>
        <v>1.2215072599999999</v>
      </c>
      <c r="V90" s="78">
        <f t="shared" si="19"/>
        <v>1.1286862324999998</v>
      </c>
      <c r="W90" s="78">
        <f t="shared" si="28"/>
        <v>1.144045824</v>
      </c>
      <c r="X90" s="78">
        <f t="shared" si="20"/>
        <v>1.0571110079999999</v>
      </c>
      <c r="Y90" s="78">
        <f t="shared" si="29"/>
        <v>1.0102305599999999</v>
      </c>
      <c r="Z90" s="78">
        <f t="shared" si="21"/>
        <v>0.93346415999999999</v>
      </c>
      <c r="AA90" s="78">
        <f t="shared" si="22"/>
        <v>1.144045824</v>
      </c>
      <c r="AB90" s="78">
        <f t="shared" si="23"/>
        <v>1.0571110079999999</v>
      </c>
      <c r="AC90" s="78">
        <v>0.91850269999999989</v>
      </c>
      <c r="AD90" s="78">
        <v>0.85187979999999996</v>
      </c>
      <c r="AE90" s="78">
        <v>1.12201895</v>
      </c>
      <c r="AF90" s="78">
        <v>1.0367579</v>
      </c>
      <c r="AG90" s="95">
        <v>1.150288</v>
      </c>
      <c r="AH90" s="95">
        <v>1.0393159999999999</v>
      </c>
      <c r="AI90" s="95">
        <v>0.91850299999999996</v>
      </c>
      <c r="AJ90" s="95">
        <v>0.85187999999999997</v>
      </c>
      <c r="AK90" s="95">
        <f t="shared" si="24"/>
        <v>1.150288</v>
      </c>
      <c r="AL90" s="95">
        <f t="shared" si="25"/>
        <v>1.0393159999999999</v>
      </c>
    </row>
    <row r="91" spans="1:38" x14ac:dyDescent="0.2">
      <c r="A91" s="60">
        <v>1</v>
      </c>
      <c r="B91" s="55">
        <v>83</v>
      </c>
      <c r="C91" s="61">
        <v>0.89364961175807112</v>
      </c>
      <c r="D91" s="61">
        <v>0.95192879933597641</v>
      </c>
      <c r="E91" s="81">
        <v>0.90660814530086409</v>
      </c>
      <c r="F91" s="81">
        <v>0.96872425273887164</v>
      </c>
      <c r="G91" s="78">
        <v>0.87851029999999997</v>
      </c>
      <c r="H91" s="78">
        <v>0.96900490000000006</v>
      </c>
      <c r="I91" s="78">
        <v>0.92631150000000007</v>
      </c>
      <c r="J91" s="78">
        <v>0.96044569999999996</v>
      </c>
      <c r="K91" s="78">
        <v>1.1879888999999999</v>
      </c>
      <c r="L91" s="78">
        <v>1.0793504</v>
      </c>
      <c r="M91" s="78">
        <v>1.0490336999999998</v>
      </c>
      <c r="N91" s="78">
        <v>0.95310230000000007</v>
      </c>
      <c r="O91" s="78">
        <v>1.1879888999999999</v>
      </c>
      <c r="P91" s="78">
        <v>1.0793504</v>
      </c>
      <c r="Q91" s="78">
        <f t="shared" si="26"/>
        <v>1.2176886224999999</v>
      </c>
      <c r="R91" s="78">
        <f t="shared" si="16"/>
        <v>1.1063341599999998</v>
      </c>
      <c r="S91" s="78">
        <f t="shared" si="27"/>
        <v>1.0752595424999998</v>
      </c>
      <c r="T91" s="78">
        <f t="shared" si="17"/>
        <v>0.97692985749999994</v>
      </c>
      <c r="U91" s="78">
        <f t="shared" si="18"/>
        <v>1.2176886224999999</v>
      </c>
      <c r="V91" s="78">
        <f t="shared" si="19"/>
        <v>1.1063341599999998</v>
      </c>
      <c r="W91" s="78">
        <f t="shared" si="28"/>
        <v>1.1404693439999998</v>
      </c>
      <c r="X91" s="78">
        <f t="shared" si="20"/>
        <v>1.036176384</v>
      </c>
      <c r="Y91" s="78">
        <f t="shared" si="29"/>
        <v>1.0070723519999998</v>
      </c>
      <c r="Z91" s="78">
        <f t="shared" si="21"/>
        <v>0.91497820800000007</v>
      </c>
      <c r="AA91" s="78">
        <f t="shared" si="22"/>
        <v>1.1404693439999998</v>
      </c>
      <c r="AB91" s="78">
        <f t="shared" si="23"/>
        <v>1.036176384</v>
      </c>
      <c r="AC91" s="78">
        <v>0.92731300000000005</v>
      </c>
      <c r="AD91" s="78">
        <v>0.84442909999999993</v>
      </c>
      <c r="AE91" s="78">
        <v>1.1185112999999998</v>
      </c>
      <c r="AF91" s="78">
        <v>1.0162263500000002</v>
      </c>
      <c r="AG91" s="95">
        <v>1.1383529999999999</v>
      </c>
      <c r="AH91" s="95">
        <v>1.0227790000000001</v>
      </c>
      <c r="AI91" s="95">
        <v>0.92731300000000005</v>
      </c>
      <c r="AJ91" s="95">
        <v>0.84442899999999999</v>
      </c>
      <c r="AK91" s="95">
        <f t="shared" si="24"/>
        <v>1.1383529999999999</v>
      </c>
      <c r="AL91" s="95">
        <f t="shared" si="25"/>
        <v>1.0227790000000001</v>
      </c>
    </row>
    <row r="92" spans="1:38" x14ac:dyDescent="0.2">
      <c r="A92" s="60">
        <v>1</v>
      </c>
      <c r="B92" s="55">
        <v>84</v>
      </c>
      <c r="C92" s="61">
        <v>0.90459141684906563</v>
      </c>
      <c r="D92" s="61">
        <v>0.94599410401741491</v>
      </c>
      <c r="E92" s="81">
        <v>0.91749174830113123</v>
      </c>
      <c r="F92" s="81">
        <v>0.96236870461135948</v>
      </c>
      <c r="G92" s="78">
        <v>0.8784904</v>
      </c>
      <c r="H92" s="78">
        <v>0.96892889999999998</v>
      </c>
      <c r="I92" s="78">
        <v>0.94863730000000002</v>
      </c>
      <c r="J92" s="78">
        <v>0.94832949999999994</v>
      </c>
      <c r="K92" s="78">
        <v>1.1815345000000002</v>
      </c>
      <c r="L92" s="78">
        <v>1.0598516</v>
      </c>
      <c r="M92" s="78">
        <v>1.0433342000000001</v>
      </c>
      <c r="N92" s="78">
        <v>0.93588419999999994</v>
      </c>
      <c r="O92" s="78">
        <v>1.1815345000000002</v>
      </c>
      <c r="P92" s="78">
        <v>1.0598516</v>
      </c>
      <c r="Q92" s="78">
        <f t="shared" si="26"/>
        <v>1.2110728625</v>
      </c>
      <c r="R92" s="78">
        <f t="shared" si="16"/>
        <v>1.0863478899999999</v>
      </c>
      <c r="S92" s="78">
        <f t="shared" si="27"/>
        <v>1.069417555</v>
      </c>
      <c r="T92" s="78">
        <f t="shared" si="17"/>
        <v>0.95928130499999986</v>
      </c>
      <c r="U92" s="78">
        <f t="shared" si="18"/>
        <v>1.2110728625</v>
      </c>
      <c r="V92" s="78">
        <f t="shared" si="19"/>
        <v>1.0863478899999999</v>
      </c>
      <c r="W92" s="78">
        <f t="shared" si="28"/>
        <v>1.13427312</v>
      </c>
      <c r="X92" s="78">
        <f t="shared" si="20"/>
        <v>1.017457536</v>
      </c>
      <c r="Y92" s="78">
        <f t="shared" si="29"/>
        <v>1.0016008320000001</v>
      </c>
      <c r="Z92" s="78">
        <f t="shared" si="21"/>
        <v>0.89844883199999992</v>
      </c>
      <c r="AA92" s="78">
        <f t="shared" si="22"/>
        <v>1.13427312</v>
      </c>
      <c r="AB92" s="78">
        <f t="shared" si="23"/>
        <v>1.017457536</v>
      </c>
      <c r="AC92" s="78">
        <v>0.93520049999999999</v>
      </c>
      <c r="AD92" s="78">
        <v>0.83878699999999995</v>
      </c>
      <c r="AE92" s="78">
        <v>1.11243435</v>
      </c>
      <c r="AF92" s="78">
        <v>0.99786789999999992</v>
      </c>
      <c r="AG92" s="95">
        <v>1.1272009999999999</v>
      </c>
      <c r="AH92" s="95">
        <v>1.0085120000000001</v>
      </c>
      <c r="AI92" s="95">
        <v>0.93520099999999995</v>
      </c>
      <c r="AJ92" s="95">
        <v>0.83878699999999995</v>
      </c>
      <c r="AK92" s="95">
        <f t="shared" si="24"/>
        <v>1.1272009999999999</v>
      </c>
      <c r="AL92" s="95">
        <f t="shared" si="25"/>
        <v>1.0085120000000001</v>
      </c>
    </row>
    <row r="93" spans="1:38" x14ac:dyDescent="0.2">
      <c r="A93" s="60">
        <v>1</v>
      </c>
      <c r="B93" s="55">
        <v>85</v>
      </c>
      <c r="C93" s="61">
        <v>0.96011751612266483</v>
      </c>
      <c r="D93" s="61">
        <v>0.91043205189180121</v>
      </c>
      <c r="E93" s="81">
        <v>0.97332053991808209</v>
      </c>
      <c r="F93" s="81">
        <v>0.92619391294324205</v>
      </c>
      <c r="G93" s="78">
        <v>0.96962909999999991</v>
      </c>
      <c r="H93" s="78">
        <v>0.90755600000000003</v>
      </c>
      <c r="I93" s="78">
        <v>0.96893479999999998</v>
      </c>
      <c r="J93" s="78">
        <v>0.93831130000000007</v>
      </c>
      <c r="K93" s="78">
        <v>1.1700443</v>
      </c>
      <c r="L93" s="78">
        <v>1.0444934000000001</v>
      </c>
      <c r="M93" s="78">
        <v>1.033188</v>
      </c>
      <c r="N93" s="78">
        <v>0.92232249999999993</v>
      </c>
      <c r="O93" s="78">
        <v>1.1700443</v>
      </c>
      <c r="P93" s="78">
        <v>1.0444934000000001</v>
      </c>
      <c r="Q93" s="78">
        <f t="shared" si="26"/>
        <v>1.1992954075</v>
      </c>
      <c r="R93" s="78">
        <f t="shared" si="16"/>
        <v>1.070605735</v>
      </c>
      <c r="S93" s="78">
        <f t="shared" si="27"/>
        <v>1.0590176999999998</v>
      </c>
      <c r="T93" s="78">
        <f t="shared" si="17"/>
        <v>0.9453805624999998</v>
      </c>
      <c r="U93" s="78">
        <f t="shared" si="18"/>
        <v>1.1992954075</v>
      </c>
      <c r="V93" s="78">
        <f t="shared" si="19"/>
        <v>1.070605735</v>
      </c>
      <c r="W93" s="78">
        <f t="shared" si="28"/>
        <v>1.123242528</v>
      </c>
      <c r="X93" s="78">
        <f t="shared" si="20"/>
        <v>1.0027136640000001</v>
      </c>
      <c r="Y93" s="78">
        <f t="shared" si="29"/>
        <v>0.99186047999999993</v>
      </c>
      <c r="Z93" s="78">
        <f t="shared" si="21"/>
        <v>0.88542959999999993</v>
      </c>
      <c r="AA93" s="78">
        <f t="shared" si="22"/>
        <v>1.123242528</v>
      </c>
      <c r="AB93" s="78">
        <f t="shared" si="23"/>
        <v>1.0027136640000001</v>
      </c>
      <c r="AC93" s="78">
        <v>0.94027730000000009</v>
      </c>
      <c r="AD93" s="78">
        <v>0.8364201</v>
      </c>
      <c r="AE93" s="78">
        <v>1.1016161499999999</v>
      </c>
      <c r="AF93" s="78">
        <v>0.98340795000000003</v>
      </c>
      <c r="AG93" s="95">
        <v>1.115046</v>
      </c>
      <c r="AH93" s="95">
        <v>0.998116</v>
      </c>
      <c r="AI93" s="95">
        <v>0.94027700000000003</v>
      </c>
      <c r="AJ93" s="95">
        <v>0.83642000000000005</v>
      </c>
      <c r="AK93" s="95">
        <f t="shared" si="24"/>
        <v>1.115046</v>
      </c>
      <c r="AL93" s="95">
        <f t="shared" si="25"/>
        <v>0.998116</v>
      </c>
    </row>
    <row r="94" spans="1:38" x14ac:dyDescent="0.2">
      <c r="A94" s="60">
        <v>1</v>
      </c>
      <c r="B94" s="55">
        <v>86</v>
      </c>
      <c r="C94" s="61">
        <v>0.96159560561840884</v>
      </c>
      <c r="D94" s="61">
        <v>0.91002820437055387</v>
      </c>
      <c r="E94" s="81">
        <v>0.97453029228793253</v>
      </c>
      <c r="F94" s="81">
        <v>0.92553716664904606</v>
      </c>
      <c r="G94" s="78">
        <v>0.96971069999999993</v>
      </c>
      <c r="H94" s="78">
        <v>0.90753150000000005</v>
      </c>
      <c r="I94" s="78">
        <v>0.97186470000000003</v>
      </c>
      <c r="J94" s="78">
        <v>0.93750670000000003</v>
      </c>
      <c r="K94" s="78">
        <v>1.1533367999999999</v>
      </c>
      <c r="L94" s="78">
        <v>1.0340581</v>
      </c>
      <c r="M94" s="78">
        <v>1.0184347</v>
      </c>
      <c r="N94" s="78">
        <v>0.91310770000000008</v>
      </c>
      <c r="O94" s="78">
        <v>1.1533367999999999</v>
      </c>
      <c r="P94" s="78">
        <v>1.0340581</v>
      </c>
      <c r="Q94" s="78">
        <f t="shared" si="26"/>
        <v>1.1821702199999999</v>
      </c>
      <c r="R94" s="78">
        <f t="shared" si="16"/>
        <v>1.0599095525</v>
      </c>
      <c r="S94" s="78">
        <f t="shared" si="27"/>
        <v>1.0438955674999999</v>
      </c>
      <c r="T94" s="78">
        <f t="shared" si="17"/>
        <v>0.93593539250000002</v>
      </c>
      <c r="U94" s="78">
        <f t="shared" si="18"/>
        <v>1.1821702199999999</v>
      </c>
      <c r="V94" s="78">
        <f t="shared" si="19"/>
        <v>1.0599095525</v>
      </c>
      <c r="W94" s="78">
        <f t="shared" si="28"/>
        <v>1.107203328</v>
      </c>
      <c r="X94" s="78">
        <f t="shared" si="20"/>
        <v>0.99269577599999992</v>
      </c>
      <c r="Y94" s="78">
        <f t="shared" si="29"/>
        <v>0.97769731199999999</v>
      </c>
      <c r="Z94" s="78">
        <f t="shared" si="21"/>
        <v>0.87658339200000002</v>
      </c>
      <c r="AA94" s="78">
        <f t="shared" si="22"/>
        <v>1.107203328</v>
      </c>
      <c r="AB94" s="78">
        <f t="shared" si="23"/>
        <v>0.99269577599999992</v>
      </c>
      <c r="AC94" s="78">
        <v>0.94678970000000007</v>
      </c>
      <c r="AD94" s="78">
        <v>0.84419200000000005</v>
      </c>
      <c r="AE94" s="78">
        <v>1.0858857500000001</v>
      </c>
      <c r="AF94" s="78">
        <v>0.97358290000000003</v>
      </c>
      <c r="AG94" s="95">
        <v>1.1018619999999999</v>
      </c>
      <c r="AH94" s="95">
        <v>0.99238199999999999</v>
      </c>
      <c r="AI94" s="95">
        <v>0.94679000000000002</v>
      </c>
      <c r="AJ94" s="95">
        <v>0.84419200000000005</v>
      </c>
      <c r="AK94" s="95">
        <f t="shared" si="24"/>
        <v>1.1018619999999999</v>
      </c>
      <c r="AL94" s="95">
        <f t="shared" si="25"/>
        <v>0.99238199999999999</v>
      </c>
    </row>
    <row r="95" spans="1:38" x14ac:dyDescent="0.2">
      <c r="A95" s="60">
        <v>1</v>
      </c>
      <c r="B95" s="55">
        <v>87</v>
      </c>
      <c r="C95" s="61">
        <v>0.96120490484014465</v>
      </c>
      <c r="D95" s="61">
        <v>0.91173760599285147</v>
      </c>
      <c r="E95" s="81">
        <v>0.97383615440437665</v>
      </c>
      <c r="F95" s="81">
        <v>0.92705105201518267</v>
      </c>
      <c r="G95" s="78">
        <v>0.96969980000000011</v>
      </c>
      <c r="H95" s="78">
        <v>0.90758059999999996</v>
      </c>
      <c r="I95" s="78">
        <v>0.97107940000000004</v>
      </c>
      <c r="J95" s="78">
        <v>0.94096860000000004</v>
      </c>
      <c r="K95" s="78">
        <v>1.1328617000000001</v>
      </c>
      <c r="L95" s="78">
        <v>1.0284751999999999</v>
      </c>
      <c r="M95" s="78">
        <v>1.0003546000000001</v>
      </c>
      <c r="N95" s="78">
        <v>0.90817780000000004</v>
      </c>
      <c r="O95" s="78">
        <v>1.1328617000000001</v>
      </c>
      <c r="P95" s="78">
        <v>1.0284751999999999</v>
      </c>
      <c r="Q95" s="78">
        <f t="shared" si="26"/>
        <v>1.1611832424999999</v>
      </c>
      <c r="R95" s="78">
        <f t="shared" si="16"/>
        <v>1.0541870799999997</v>
      </c>
      <c r="S95" s="78">
        <f t="shared" si="27"/>
        <v>1.0253634650000001</v>
      </c>
      <c r="T95" s="78">
        <f t="shared" si="17"/>
        <v>0.93088224499999994</v>
      </c>
      <c r="U95" s="78">
        <f t="shared" si="18"/>
        <v>1.1611832424999999</v>
      </c>
      <c r="V95" s="78">
        <f t="shared" si="19"/>
        <v>1.0541870799999997</v>
      </c>
      <c r="W95" s="78">
        <f t="shared" si="28"/>
        <v>1.0875472320000001</v>
      </c>
      <c r="X95" s="78">
        <f t="shared" si="20"/>
        <v>0.98733619199999989</v>
      </c>
      <c r="Y95" s="78">
        <f t="shared" si="29"/>
        <v>0.96034041600000009</v>
      </c>
      <c r="Z95" s="78">
        <f t="shared" si="21"/>
        <v>0.87185068799999998</v>
      </c>
      <c r="AA95" s="78">
        <f t="shared" si="22"/>
        <v>1.0875472320000001</v>
      </c>
      <c r="AB95" s="78">
        <f t="shared" si="23"/>
        <v>0.98733619199999989</v>
      </c>
      <c r="AC95" s="78">
        <v>0.9502815</v>
      </c>
      <c r="AD95" s="78">
        <v>0.85608230000000007</v>
      </c>
      <c r="AE95" s="78">
        <v>1.06660815</v>
      </c>
      <c r="AF95" s="78">
        <v>0.96832649999999998</v>
      </c>
      <c r="AG95" s="95">
        <v>1.0890610000000001</v>
      </c>
      <c r="AH95" s="95">
        <v>0.99132100000000001</v>
      </c>
      <c r="AI95" s="95">
        <v>0.95028199999999996</v>
      </c>
      <c r="AJ95" s="95">
        <v>0.85608200000000001</v>
      </c>
      <c r="AK95" s="95">
        <f t="shared" si="24"/>
        <v>1.0890610000000001</v>
      </c>
      <c r="AL95" s="95">
        <f t="shared" si="25"/>
        <v>0.99132100000000001</v>
      </c>
    </row>
    <row r="96" spans="1:38" x14ac:dyDescent="0.2">
      <c r="A96" s="60">
        <v>1</v>
      </c>
      <c r="B96" s="55">
        <v>88</v>
      </c>
      <c r="C96" s="61">
        <v>0.95983926084026383</v>
      </c>
      <c r="D96" s="61">
        <v>0.91556158137776811</v>
      </c>
      <c r="E96" s="81">
        <v>0.97214871264134628</v>
      </c>
      <c r="F96" s="81">
        <v>0.9307379298680627</v>
      </c>
      <c r="G96" s="78">
        <v>0.96968689999999991</v>
      </c>
      <c r="H96" s="78">
        <v>0.90760620000000003</v>
      </c>
      <c r="I96" s="78">
        <v>0.96830859999999996</v>
      </c>
      <c r="J96" s="78">
        <v>0.94879959999999997</v>
      </c>
      <c r="K96" s="78">
        <v>1.1107918999999999</v>
      </c>
      <c r="L96" s="78">
        <v>1.027725</v>
      </c>
      <c r="M96" s="78">
        <v>0.98086619999999991</v>
      </c>
      <c r="N96" s="78">
        <v>0.90751540000000008</v>
      </c>
      <c r="O96" s="78">
        <v>1.1107918999999999</v>
      </c>
      <c r="P96" s="78">
        <v>1.027725</v>
      </c>
      <c r="Q96" s="78">
        <f t="shared" si="26"/>
        <v>1.1385616974999999</v>
      </c>
      <c r="R96" s="78">
        <f t="shared" si="16"/>
        <v>1.0534181249999999</v>
      </c>
      <c r="S96" s="78">
        <f t="shared" si="27"/>
        <v>1.0053878549999997</v>
      </c>
      <c r="T96" s="78">
        <f t="shared" si="17"/>
        <v>0.93020328500000005</v>
      </c>
      <c r="U96" s="78">
        <f t="shared" si="18"/>
        <v>1.1385616974999999</v>
      </c>
      <c r="V96" s="78">
        <f t="shared" si="19"/>
        <v>1.0534181249999999</v>
      </c>
      <c r="W96" s="78">
        <f t="shared" si="28"/>
        <v>1.0663602239999999</v>
      </c>
      <c r="X96" s="78">
        <f t="shared" si="20"/>
        <v>0.98661599999999994</v>
      </c>
      <c r="Y96" s="78">
        <f t="shared" si="29"/>
        <v>0.94163155199999993</v>
      </c>
      <c r="Z96" s="78">
        <f t="shared" si="21"/>
        <v>0.87121478400000008</v>
      </c>
      <c r="AA96" s="78">
        <f t="shared" si="22"/>
        <v>1.0663602239999999</v>
      </c>
      <c r="AB96" s="78">
        <f t="shared" si="23"/>
        <v>0.98661599999999994</v>
      </c>
      <c r="AC96" s="78">
        <v>0.95240480000000005</v>
      </c>
      <c r="AD96" s="78">
        <v>0.87231979999999998</v>
      </c>
      <c r="AE96" s="78">
        <v>1.04582905</v>
      </c>
      <c r="AF96" s="78">
        <v>0.96762020000000004</v>
      </c>
      <c r="AG96" s="95">
        <v>1.0786039999999999</v>
      </c>
      <c r="AH96" s="95">
        <v>0.99493200000000004</v>
      </c>
      <c r="AI96" s="95">
        <v>0.95240499999999995</v>
      </c>
      <c r="AJ96" s="95">
        <v>0.87231999999999998</v>
      </c>
      <c r="AK96" s="95">
        <f t="shared" si="24"/>
        <v>1.0786039999999999</v>
      </c>
      <c r="AL96" s="95">
        <f t="shared" si="25"/>
        <v>0.99493200000000004</v>
      </c>
    </row>
    <row r="97" spans="1:38" x14ac:dyDescent="0.2">
      <c r="A97" s="60">
        <v>1</v>
      </c>
      <c r="B97" s="55">
        <v>89</v>
      </c>
      <c r="C97" s="61">
        <v>0.95841220460300869</v>
      </c>
      <c r="D97" s="61">
        <v>0.92157639005475189</v>
      </c>
      <c r="E97" s="81">
        <v>0.97039927949205307</v>
      </c>
      <c r="F97" s="81">
        <v>0.93667648810139337</v>
      </c>
      <c r="G97" s="78">
        <v>0.96964699999999993</v>
      </c>
      <c r="H97" s="78">
        <v>0.90757929999999998</v>
      </c>
      <c r="I97" s="78">
        <v>0.96544010000000002</v>
      </c>
      <c r="J97" s="78">
        <v>0.9611862000000001</v>
      </c>
      <c r="K97" s="78">
        <v>1.0893358</v>
      </c>
      <c r="L97" s="78">
        <v>1.0318788000000001</v>
      </c>
      <c r="M97" s="78">
        <v>0.96191969999999993</v>
      </c>
      <c r="N97" s="78">
        <v>0.91118330000000003</v>
      </c>
      <c r="O97" s="78">
        <v>1.0893358</v>
      </c>
      <c r="P97" s="78">
        <v>1.0318788000000001</v>
      </c>
      <c r="Q97" s="78">
        <f t="shared" si="26"/>
        <v>1.1165691949999998</v>
      </c>
      <c r="R97" s="78">
        <f t="shared" si="16"/>
        <v>1.0576757699999999</v>
      </c>
      <c r="S97" s="78">
        <f t="shared" si="27"/>
        <v>0.98596769249999983</v>
      </c>
      <c r="T97" s="78">
        <f t="shared" si="17"/>
        <v>0.93396288249999992</v>
      </c>
      <c r="U97" s="78">
        <f t="shared" si="18"/>
        <v>1.1165691949999998</v>
      </c>
      <c r="V97" s="78">
        <f t="shared" si="19"/>
        <v>1.0576757699999999</v>
      </c>
      <c r="W97" s="78">
        <f t="shared" si="28"/>
        <v>1.0457623679999999</v>
      </c>
      <c r="X97" s="78">
        <f t="shared" si="20"/>
        <v>0.990603648</v>
      </c>
      <c r="Y97" s="78">
        <f t="shared" si="29"/>
        <v>0.92344291199999995</v>
      </c>
      <c r="Z97" s="78">
        <f t="shared" si="21"/>
        <v>0.87473596799999997</v>
      </c>
      <c r="AA97" s="78">
        <f t="shared" si="22"/>
        <v>1.0457623679999999</v>
      </c>
      <c r="AB97" s="78">
        <f t="shared" si="23"/>
        <v>0.990603648</v>
      </c>
      <c r="AC97" s="78">
        <v>0.95497200000000004</v>
      </c>
      <c r="AD97" s="78">
        <v>0.89323490000000005</v>
      </c>
      <c r="AE97" s="78">
        <v>1.0256277499999999</v>
      </c>
      <c r="AF97" s="78">
        <v>0.97153105000000006</v>
      </c>
      <c r="AG97" s="95">
        <v>1.072417</v>
      </c>
      <c r="AH97" s="95">
        <v>1.003339</v>
      </c>
      <c r="AI97" s="95">
        <v>0.95497200000000004</v>
      </c>
      <c r="AJ97" s="95">
        <v>0.893235</v>
      </c>
      <c r="AK97" s="95">
        <f t="shared" si="24"/>
        <v>1.072417</v>
      </c>
      <c r="AL97" s="95">
        <f t="shared" si="25"/>
        <v>1.003339</v>
      </c>
    </row>
    <row r="98" spans="1:38" x14ac:dyDescent="0.2">
      <c r="A98" s="60">
        <v>1</v>
      </c>
      <c r="B98" s="55">
        <v>90</v>
      </c>
      <c r="C98" s="61">
        <v>0.95522072254850732</v>
      </c>
      <c r="D98" s="61">
        <v>0.96217447880006646</v>
      </c>
      <c r="E98" s="81">
        <v>0.96689281030867402</v>
      </c>
      <c r="F98" s="81">
        <v>0.9774142902028814</v>
      </c>
      <c r="G98" s="78">
        <v>0.96375389999999994</v>
      </c>
      <c r="H98" s="78">
        <v>0.97153750000000005</v>
      </c>
      <c r="I98" s="78">
        <v>0.96494079999999993</v>
      </c>
      <c r="J98" s="78">
        <v>0.97889610000000005</v>
      </c>
      <c r="K98" s="78">
        <v>1.0712023000000002</v>
      </c>
      <c r="L98" s="78">
        <v>1.0416238</v>
      </c>
      <c r="M98" s="78">
        <v>0.94590720000000006</v>
      </c>
      <c r="N98" s="78">
        <v>0.9197884999999999</v>
      </c>
      <c r="O98" s="78">
        <v>1.0712023000000002</v>
      </c>
      <c r="P98" s="78">
        <v>1.0416238</v>
      </c>
      <c r="Q98" s="78">
        <f t="shared" si="26"/>
        <v>1.0979823575000001</v>
      </c>
      <c r="R98" s="78">
        <f t="shared" si="16"/>
        <v>1.067664395</v>
      </c>
      <c r="S98" s="78">
        <f t="shared" si="27"/>
        <v>0.96955488000000001</v>
      </c>
      <c r="T98" s="78">
        <f t="shared" si="17"/>
        <v>0.94278321249999986</v>
      </c>
      <c r="U98" s="78">
        <f t="shared" si="18"/>
        <v>1.0979823575000001</v>
      </c>
      <c r="V98" s="78">
        <f t="shared" si="19"/>
        <v>1.067664395</v>
      </c>
      <c r="W98" s="78">
        <f t="shared" si="28"/>
        <v>1.0283542080000001</v>
      </c>
      <c r="X98" s="78">
        <f t="shared" si="20"/>
        <v>0.9999588479999999</v>
      </c>
      <c r="Y98" s="78">
        <f t="shared" si="29"/>
        <v>0.90807091200000001</v>
      </c>
      <c r="Z98" s="78">
        <f t="shared" si="21"/>
        <v>0.88299695999999983</v>
      </c>
      <c r="AA98" s="78">
        <f t="shared" si="22"/>
        <v>1.0283542080000001</v>
      </c>
      <c r="AB98" s="78">
        <f t="shared" si="23"/>
        <v>0.9999588479999999</v>
      </c>
      <c r="AC98" s="78">
        <v>0.96041700000000008</v>
      </c>
      <c r="AD98" s="78">
        <v>0.91972399999999999</v>
      </c>
      <c r="AE98" s="78">
        <v>1.0085547500000001</v>
      </c>
      <c r="AF98" s="78">
        <v>0.98070614999999994</v>
      </c>
      <c r="AG98" s="95">
        <v>1.0730120000000001</v>
      </c>
      <c r="AH98" s="95">
        <v>1.0172939999999999</v>
      </c>
      <c r="AI98" s="95">
        <v>0.96041699999999997</v>
      </c>
      <c r="AJ98" s="95">
        <v>0.91972399999999999</v>
      </c>
      <c r="AK98" s="95">
        <f t="shared" si="24"/>
        <v>1.0730120000000001</v>
      </c>
      <c r="AL98" s="95">
        <f t="shared" si="25"/>
        <v>1.0172939999999999</v>
      </c>
    </row>
    <row r="99" spans="1:38" x14ac:dyDescent="0.2">
      <c r="A99" s="60">
        <v>1</v>
      </c>
      <c r="B99" s="55">
        <v>91</v>
      </c>
      <c r="C99" s="61">
        <v>0.95646530546503017</v>
      </c>
      <c r="D99" s="61">
        <v>0.97252804457184339</v>
      </c>
      <c r="E99" s="81">
        <v>0.96797844926759502</v>
      </c>
      <c r="F99" s="81">
        <v>0.987904638396367</v>
      </c>
      <c r="G99" s="78">
        <v>0.96376540000000011</v>
      </c>
      <c r="H99" s="78">
        <v>0.97148909999999999</v>
      </c>
      <c r="I99" s="78">
        <v>0.96746619999999994</v>
      </c>
      <c r="J99" s="78">
        <v>1.0002198</v>
      </c>
      <c r="K99" s="78">
        <v>1.0569493000000001</v>
      </c>
      <c r="L99" s="78">
        <v>1.0550101999999999</v>
      </c>
      <c r="M99" s="78">
        <v>0.93332139999999997</v>
      </c>
      <c r="N99" s="78">
        <v>0.93160909999999997</v>
      </c>
      <c r="O99" s="78">
        <v>1.0569493000000001</v>
      </c>
      <c r="P99" s="78">
        <v>1.0550101999999999</v>
      </c>
      <c r="Q99" s="78">
        <f t="shared" si="26"/>
        <v>1.0833730324999999</v>
      </c>
      <c r="R99" s="78">
        <f t="shared" si="16"/>
        <v>1.0813854549999997</v>
      </c>
      <c r="S99" s="78">
        <f t="shared" si="27"/>
        <v>0.95665443499999991</v>
      </c>
      <c r="T99" s="78">
        <f t="shared" si="17"/>
        <v>0.95489932749999984</v>
      </c>
      <c r="U99" s="78">
        <f t="shared" si="18"/>
        <v>1.0833730324999999</v>
      </c>
      <c r="V99" s="78">
        <f t="shared" si="19"/>
        <v>1.0813854549999997</v>
      </c>
      <c r="W99" s="78">
        <f t="shared" si="28"/>
        <v>1.0146713280000002</v>
      </c>
      <c r="X99" s="78">
        <f t="shared" si="20"/>
        <v>1.0128097919999999</v>
      </c>
      <c r="Y99" s="78">
        <f t="shared" si="29"/>
        <v>0.89598854399999994</v>
      </c>
      <c r="Z99" s="78">
        <f t="shared" si="21"/>
        <v>0.89434473599999997</v>
      </c>
      <c r="AA99" s="78">
        <f t="shared" si="22"/>
        <v>1.0146713280000002</v>
      </c>
      <c r="AB99" s="78">
        <f t="shared" si="23"/>
        <v>1.0128097919999999</v>
      </c>
      <c r="AC99" s="78">
        <v>0.95659000000000005</v>
      </c>
      <c r="AD99" s="78">
        <v>0.94492390000000004</v>
      </c>
      <c r="AE99" s="78">
        <v>0.99513534999999997</v>
      </c>
      <c r="AF99" s="78">
        <v>0.99330964999999993</v>
      </c>
      <c r="AG99" s="95">
        <v>1.0622750000000001</v>
      </c>
      <c r="AH99" s="95">
        <v>1.033793</v>
      </c>
      <c r="AI99" s="95">
        <v>0.95659000000000005</v>
      </c>
      <c r="AJ99" s="95">
        <v>0.94492399999999999</v>
      </c>
      <c r="AK99" s="95">
        <f t="shared" si="24"/>
        <v>1.0622750000000001</v>
      </c>
      <c r="AL99" s="95">
        <f t="shared" si="25"/>
        <v>1.033793</v>
      </c>
    </row>
    <row r="100" spans="1:38" x14ac:dyDescent="0.2">
      <c r="A100" s="60">
        <v>1</v>
      </c>
      <c r="B100" s="55">
        <v>92</v>
      </c>
      <c r="C100" s="61">
        <v>0.95869927335165872</v>
      </c>
      <c r="D100" s="61">
        <v>0.98247507591177885</v>
      </c>
      <c r="E100" s="81">
        <v>0.97007258078046799</v>
      </c>
      <c r="F100" s="81">
        <v>0.99797610999202524</v>
      </c>
      <c r="G100" s="78">
        <v>0.96379389999999998</v>
      </c>
      <c r="H100" s="78">
        <v>0.97155420000000003</v>
      </c>
      <c r="I100" s="78">
        <v>0.9719913</v>
      </c>
      <c r="J100" s="78">
        <v>1.0205916000000002</v>
      </c>
      <c r="K100" s="78">
        <v>1.0452923000000001</v>
      </c>
      <c r="L100" s="78">
        <v>1.0671691999999999</v>
      </c>
      <c r="M100" s="78">
        <v>0.92302790000000001</v>
      </c>
      <c r="N100" s="78">
        <v>0.94234589999999996</v>
      </c>
      <c r="O100" s="78">
        <v>1.0452923000000001</v>
      </c>
      <c r="P100" s="78">
        <v>1.0671691999999999</v>
      </c>
      <c r="Q100" s="78">
        <f t="shared" si="26"/>
        <v>1.0714246075</v>
      </c>
      <c r="R100" s="78">
        <f t="shared" si="16"/>
        <v>1.0938484299999998</v>
      </c>
      <c r="S100" s="78">
        <f t="shared" si="27"/>
        <v>0.94610359749999995</v>
      </c>
      <c r="T100" s="78">
        <f t="shared" si="17"/>
        <v>0.96590454749999988</v>
      </c>
      <c r="U100" s="78">
        <f t="shared" si="18"/>
        <v>1.0714246075</v>
      </c>
      <c r="V100" s="78">
        <f t="shared" si="19"/>
        <v>1.0938484299999998</v>
      </c>
      <c r="W100" s="78">
        <f t="shared" si="28"/>
        <v>1.0034806080000001</v>
      </c>
      <c r="X100" s="78">
        <f t="shared" si="20"/>
        <v>1.0244824319999999</v>
      </c>
      <c r="Y100" s="78">
        <f t="shared" si="29"/>
        <v>0.88610678399999998</v>
      </c>
      <c r="Z100" s="78">
        <f t="shared" si="21"/>
        <v>0.90465206399999998</v>
      </c>
      <c r="AA100" s="78">
        <f t="shared" si="22"/>
        <v>1.0034806080000001</v>
      </c>
      <c r="AB100" s="78">
        <f t="shared" si="23"/>
        <v>1.0244824319999999</v>
      </c>
      <c r="AC100" s="78">
        <v>0.95489310000000005</v>
      </c>
      <c r="AD100" s="78">
        <v>0.96934849999999995</v>
      </c>
      <c r="AE100" s="78">
        <v>0.98416009999999998</v>
      </c>
      <c r="AF100" s="78">
        <v>1.0047575499999999</v>
      </c>
      <c r="AG100" s="95">
        <v>1.05406</v>
      </c>
      <c r="AH100" s="95">
        <v>1.04884</v>
      </c>
      <c r="AI100" s="95">
        <v>0.95489299999999999</v>
      </c>
      <c r="AJ100" s="95">
        <v>0.96934900000000002</v>
      </c>
      <c r="AK100" s="95">
        <f t="shared" si="24"/>
        <v>1.05406</v>
      </c>
      <c r="AL100" s="95">
        <f t="shared" si="25"/>
        <v>1.04884</v>
      </c>
    </row>
    <row r="101" spans="1:38" x14ac:dyDescent="0.2">
      <c r="A101" s="60">
        <v>1</v>
      </c>
      <c r="B101" s="55">
        <v>93</v>
      </c>
      <c r="C101" s="61">
        <v>0.961708800431474</v>
      </c>
      <c r="D101" s="61">
        <v>0.98980743582030417</v>
      </c>
      <c r="E101" s="81">
        <v>0.97295770656547509</v>
      </c>
      <c r="F101" s="81">
        <v>1.0053624887166108</v>
      </c>
      <c r="G101" s="78">
        <v>0.96377859999999993</v>
      </c>
      <c r="H101" s="78">
        <v>0.97152879999999997</v>
      </c>
      <c r="I101" s="78">
        <v>0.97814199999999996</v>
      </c>
      <c r="J101" s="78">
        <v>1.0356839</v>
      </c>
      <c r="K101" s="78">
        <v>1.0357155</v>
      </c>
      <c r="L101" s="78">
        <v>1.0736462</v>
      </c>
      <c r="M101" s="78">
        <v>0.91457120000000003</v>
      </c>
      <c r="N101" s="78">
        <v>0.9480653</v>
      </c>
      <c r="O101" s="78">
        <v>1.0357155</v>
      </c>
      <c r="P101" s="78">
        <v>1.0736462</v>
      </c>
      <c r="Q101" s="78">
        <f t="shared" si="26"/>
        <v>1.0616083875</v>
      </c>
      <c r="R101" s="78">
        <f t="shared" si="16"/>
        <v>1.1004873549999998</v>
      </c>
      <c r="S101" s="78">
        <f t="shared" si="27"/>
        <v>0.93743547999999999</v>
      </c>
      <c r="T101" s="78">
        <f t="shared" si="17"/>
        <v>0.9717669324999999</v>
      </c>
      <c r="U101" s="78">
        <f t="shared" si="18"/>
        <v>1.0616083875</v>
      </c>
      <c r="V101" s="78">
        <f t="shared" si="19"/>
        <v>1.1004873549999998</v>
      </c>
      <c r="W101" s="78">
        <f t="shared" si="28"/>
        <v>0.99428687999999998</v>
      </c>
      <c r="X101" s="78">
        <f t="shared" si="20"/>
        <v>1.030700352</v>
      </c>
      <c r="Y101" s="78">
        <f t="shared" si="29"/>
        <v>0.87798835200000003</v>
      </c>
      <c r="Z101" s="78">
        <f t="shared" si="21"/>
        <v>0.91014268799999998</v>
      </c>
      <c r="AA101" s="78">
        <f t="shared" si="22"/>
        <v>0.99428687999999998</v>
      </c>
      <c r="AB101" s="78">
        <f t="shared" si="23"/>
        <v>1.030700352</v>
      </c>
      <c r="AC101" s="78">
        <v>0.9549166</v>
      </c>
      <c r="AD101" s="78">
        <v>0.9888482999999999</v>
      </c>
      <c r="AE101" s="78">
        <v>0.97514334999999996</v>
      </c>
      <c r="AF101" s="78">
        <v>1.0108557499999999</v>
      </c>
      <c r="AG101" s="95">
        <v>1.0478719999999999</v>
      </c>
      <c r="AH101" s="95">
        <v>1.0580700000000001</v>
      </c>
      <c r="AI101" s="95">
        <v>0.95491700000000002</v>
      </c>
      <c r="AJ101" s="95">
        <v>0.98884799999999995</v>
      </c>
      <c r="AK101" s="95">
        <f t="shared" si="24"/>
        <v>1.0478719999999999</v>
      </c>
      <c r="AL101" s="95">
        <f t="shared" si="25"/>
        <v>1.0580700000000001</v>
      </c>
    </row>
    <row r="102" spans="1:38" x14ac:dyDescent="0.2">
      <c r="A102" s="60">
        <v>1</v>
      </c>
      <c r="B102" s="55">
        <v>94</v>
      </c>
      <c r="C102" s="61">
        <v>0.96536684038673493</v>
      </c>
      <c r="D102" s="61">
        <v>0.99253446583700056</v>
      </c>
      <c r="E102" s="81">
        <v>0.97650380423515792</v>
      </c>
      <c r="F102" s="81">
        <v>1.0080170924682992</v>
      </c>
      <c r="G102" s="78">
        <v>0.96379059999999994</v>
      </c>
      <c r="H102" s="78">
        <v>0.97154319999999994</v>
      </c>
      <c r="I102" s="78">
        <v>0.98558689999999993</v>
      </c>
      <c r="J102" s="78">
        <v>1.0412725</v>
      </c>
      <c r="K102" s="78">
        <v>1.0277786999999998</v>
      </c>
      <c r="L102" s="78">
        <v>1.0702449000000001</v>
      </c>
      <c r="M102" s="78">
        <v>0.9075628</v>
      </c>
      <c r="N102" s="78">
        <v>0.94506179999999995</v>
      </c>
      <c r="O102" s="78">
        <v>1.0277786999999998</v>
      </c>
      <c r="P102" s="78">
        <v>1.0702449000000001</v>
      </c>
      <c r="Q102" s="78">
        <f t="shared" si="26"/>
        <v>1.0534731674999998</v>
      </c>
      <c r="R102" s="78">
        <f t="shared" si="16"/>
        <v>1.0970010225</v>
      </c>
      <c r="S102" s="78">
        <f t="shared" si="27"/>
        <v>0.93025186999999987</v>
      </c>
      <c r="T102" s="78">
        <f t="shared" si="17"/>
        <v>0.9686883449999999</v>
      </c>
      <c r="U102" s="78">
        <f t="shared" si="18"/>
        <v>1.0534731674999998</v>
      </c>
      <c r="V102" s="78">
        <f t="shared" si="19"/>
        <v>1.0970010225</v>
      </c>
      <c r="W102" s="78">
        <f t="shared" si="28"/>
        <v>0.98666755199999978</v>
      </c>
      <c r="X102" s="78">
        <f t="shared" si="20"/>
        <v>1.027435104</v>
      </c>
      <c r="Y102" s="78">
        <f t="shared" si="29"/>
        <v>0.87126028799999999</v>
      </c>
      <c r="Z102" s="78">
        <f t="shared" si="21"/>
        <v>0.90725932799999986</v>
      </c>
      <c r="AA102" s="78">
        <f t="shared" si="22"/>
        <v>0.98666755199999978</v>
      </c>
      <c r="AB102" s="78">
        <f t="shared" si="23"/>
        <v>1.027435104</v>
      </c>
      <c r="AC102" s="78">
        <v>0.95630380000000004</v>
      </c>
      <c r="AD102" s="78">
        <v>0.99928889999999992</v>
      </c>
      <c r="AE102" s="78">
        <v>0.96767074999999991</v>
      </c>
      <c r="AF102" s="78">
        <v>1.00765335</v>
      </c>
      <c r="AG102" s="95">
        <v>1.0432840000000001</v>
      </c>
      <c r="AH102" s="95">
        <v>1.0573239999999999</v>
      </c>
      <c r="AI102" s="95">
        <v>0.95630400000000004</v>
      </c>
      <c r="AJ102" s="95">
        <v>0.99928899999999998</v>
      </c>
      <c r="AK102" s="95">
        <f t="shared" si="24"/>
        <v>1.0432840000000001</v>
      </c>
      <c r="AL102" s="95">
        <f t="shared" si="25"/>
        <v>1.0573239999999999</v>
      </c>
    </row>
    <row r="103" spans="1:38" x14ac:dyDescent="0.2">
      <c r="A103" s="60">
        <v>1</v>
      </c>
      <c r="B103" s="55">
        <v>95</v>
      </c>
      <c r="C103" s="61">
        <v>1.0030962754990143</v>
      </c>
      <c r="D103" s="61">
        <v>0.97125928076712464</v>
      </c>
      <c r="E103" s="81">
        <v>1.0143513008015137</v>
      </c>
      <c r="F103" s="81">
        <v>0.98650227947382818</v>
      </c>
      <c r="G103" s="78">
        <v>1.0175486999999999</v>
      </c>
      <c r="H103" s="78">
        <v>0.93135429999999997</v>
      </c>
      <c r="I103" s="78">
        <v>1.0077061</v>
      </c>
      <c r="J103" s="78">
        <v>1.0388463999999999</v>
      </c>
      <c r="K103" s="78">
        <v>1.0351528999999999</v>
      </c>
      <c r="L103" s="78">
        <v>1.0587328</v>
      </c>
      <c r="M103" s="78">
        <v>0.91407450000000001</v>
      </c>
      <c r="N103" s="78">
        <v>0.93489630000000001</v>
      </c>
      <c r="O103" s="78">
        <v>1.0351528999999999</v>
      </c>
      <c r="P103" s="78">
        <v>1.0587328</v>
      </c>
      <c r="Q103" s="78">
        <f t="shared" si="26"/>
        <v>1.0610317224999999</v>
      </c>
      <c r="R103" s="78">
        <f t="shared" si="16"/>
        <v>1.08520112</v>
      </c>
      <c r="S103" s="78">
        <f t="shared" si="27"/>
        <v>0.93692636249999994</v>
      </c>
      <c r="T103" s="78">
        <f t="shared" si="17"/>
        <v>0.95826870749999993</v>
      </c>
      <c r="U103" s="78">
        <f t="shared" si="18"/>
        <v>1.0610317224999999</v>
      </c>
      <c r="V103" s="78">
        <f t="shared" si="19"/>
        <v>1.08520112</v>
      </c>
      <c r="W103" s="78">
        <f t="shared" si="28"/>
        <v>0.99374678399999994</v>
      </c>
      <c r="X103" s="78">
        <f t="shared" si="20"/>
        <v>1.016383488</v>
      </c>
      <c r="Y103" s="78">
        <f t="shared" si="29"/>
        <v>0.87751151999999999</v>
      </c>
      <c r="Z103" s="78">
        <f t="shared" si="21"/>
        <v>0.89750044799999995</v>
      </c>
      <c r="AA103" s="78">
        <f t="shared" si="22"/>
        <v>0.99374678399999994</v>
      </c>
      <c r="AB103" s="78">
        <f t="shared" si="23"/>
        <v>1.016383488</v>
      </c>
      <c r="AC103" s="78">
        <v>0.97193250000000009</v>
      </c>
      <c r="AD103" s="78">
        <v>1.0019674000000001</v>
      </c>
      <c r="AE103" s="78">
        <v>0.97461369999999992</v>
      </c>
      <c r="AF103" s="78">
        <v>0.99681455000000008</v>
      </c>
      <c r="AG103" s="95">
        <v>1.054236</v>
      </c>
      <c r="AH103" s="95">
        <v>1.0486679999999999</v>
      </c>
      <c r="AI103" s="95">
        <v>0.97193300000000005</v>
      </c>
      <c r="AJ103" s="95">
        <v>1.0019670000000001</v>
      </c>
      <c r="AK103" s="95">
        <f t="shared" si="24"/>
        <v>1.054236</v>
      </c>
      <c r="AL103" s="95">
        <f t="shared" si="25"/>
        <v>1.0486679999999999</v>
      </c>
    </row>
    <row r="104" spans="1:38" x14ac:dyDescent="0.2">
      <c r="A104" s="60">
        <v>1</v>
      </c>
      <c r="B104" s="55">
        <v>96</v>
      </c>
      <c r="C104" s="61">
        <v>1.0089513188140973</v>
      </c>
      <c r="D104" s="61">
        <v>0.96875384755059835</v>
      </c>
      <c r="E104" s="81">
        <v>1.0201270505102049</v>
      </c>
      <c r="F104" s="81">
        <v>0.98378763873262265</v>
      </c>
      <c r="G104" s="78">
        <v>1.0175448</v>
      </c>
      <c r="H104" s="78">
        <v>0.93135270000000003</v>
      </c>
      <c r="I104" s="78">
        <v>1.0196460000000001</v>
      </c>
      <c r="J104" s="78">
        <v>1.0337000000000001</v>
      </c>
      <c r="K104" s="78">
        <v>1.047418</v>
      </c>
      <c r="L104" s="78">
        <v>1.0534878999999999</v>
      </c>
      <c r="M104" s="78">
        <v>0.92490489999999992</v>
      </c>
      <c r="N104" s="78">
        <v>0.93026480000000011</v>
      </c>
      <c r="O104" s="78">
        <v>1.047418</v>
      </c>
      <c r="P104" s="78">
        <v>1.0534878999999999</v>
      </c>
      <c r="Q104" s="78">
        <f t="shared" si="26"/>
        <v>1.0736034499999998</v>
      </c>
      <c r="R104" s="78">
        <f t="shared" si="16"/>
        <v>1.0798250974999999</v>
      </c>
      <c r="S104" s="78">
        <f t="shared" si="27"/>
        <v>0.94802752249999989</v>
      </c>
      <c r="T104" s="78">
        <f t="shared" si="17"/>
        <v>0.95352142000000006</v>
      </c>
      <c r="U104" s="78">
        <f t="shared" si="18"/>
        <v>1.0736034499999998</v>
      </c>
      <c r="V104" s="78">
        <f t="shared" si="19"/>
        <v>1.0798250974999999</v>
      </c>
      <c r="W104" s="78">
        <f t="shared" si="28"/>
        <v>1.00552128</v>
      </c>
      <c r="X104" s="78">
        <f t="shared" si="20"/>
        <v>1.0113483839999999</v>
      </c>
      <c r="Y104" s="78">
        <f t="shared" si="29"/>
        <v>0.88790870399999988</v>
      </c>
      <c r="Z104" s="78">
        <f t="shared" si="21"/>
        <v>0.89305420800000013</v>
      </c>
      <c r="AA104" s="78">
        <f t="shared" si="22"/>
        <v>1.00552128</v>
      </c>
      <c r="AB104" s="78">
        <f t="shared" si="23"/>
        <v>1.0113483839999999</v>
      </c>
      <c r="AC104" s="78">
        <v>0.98344849999999995</v>
      </c>
      <c r="AD104" s="78">
        <v>0.99700359999999999</v>
      </c>
      <c r="AE104" s="78">
        <v>0.98616144999999999</v>
      </c>
      <c r="AF104" s="78">
        <v>0.99187635000000007</v>
      </c>
      <c r="AG104" s="95">
        <v>1.065034</v>
      </c>
      <c r="AH104" s="95">
        <v>1.0544230000000001</v>
      </c>
      <c r="AI104" s="95">
        <v>0.98344900000000002</v>
      </c>
      <c r="AJ104" s="95">
        <v>0.997004</v>
      </c>
      <c r="AK104" s="95">
        <f t="shared" ref="AK104:AK124" si="30">AG104</f>
        <v>1.065034</v>
      </c>
      <c r="AL104" s="95">
        <f t="shared" ref="AL104:AL124" si="31">AH104</f>
        <v>1.0544230000000001</v>
      </c>
    </row>
    <row r="105" spans="1:38" x14ac:dyDescent="0.2">
      <c r="A105" s="60">
        <v>1</v>
      </c>
      <c r="B105" s="55">
        <v>97</v>
      </c>
      <c r="C105" s="61">
        <v>1.0084077431901883</v>
      </c>
      <c r="D105" s="61">
        <v>0.9705553688260431</v>
      </c>
      <c r="E105" s="81">
        <v>1.0193810542709472</v>
      </c>
      <c r="F105" s="81">
        <v>0.98549778516396269</v>
      </c>
      <c r="G105" s="78">
        <v>1.0175316999999999</v>
      </c>
      <c r="H105" s="78">
        <v>0.9313652</v>
      </c>
      <c r="I105" s="78">
        <v>1.0185511</v>
      </c>
      <c r="J105" s="78">
        <v>1.0373888</v>
      </c>
      <c r="K105" s="78">
        <v>1.0462932999999999</v>
      </c>
      <c r="L105" s="78">
        <v>1.0572473</v>
      </c>
      <c r="M105" s="78">
        <v>0.92391180000000006</v>
      </c>
      <c r="N105" s="78">
        <v>0.93358450000000004</v>
      </c>
      <c r="O105" s="78">
        <v>1.0462932999999999</v>
      </c>
      <c r="P105" s="78">
        <v>1.0572473</v>
      </c>
      <c r="Q105" s="78">
        <f t="shared" si="26"/>
        <v>1.0724506324999998</v>
      </c>
      <c r="R105" s="78">
        <f t="shared" si="16"/>
        <v>1.0836784824999999</v>
      </c>
      <c r="S105" s="78">
        <f t="shared" si="27"/>
        <v>0.94700959499999993</v>
      </c>
      <c r="T105" s="78">
        <f t="shared" si="17"/>
        <v>0.95692411249999998</v>
      </c>
      <c r="U105" s="78">
        <f t="shared" si="18"/>
        <v>1.0724506324999998</v>
      </c>
      <c r="V105" s="78">
        <f t="shared" si="19"/>
        <v>1.0836784824999999</v>
      </c>
      <c r="W105" s="78">
        <f t="shared" si="28"/>
        <v>1.0044415679999998</v>
      </c>
      <c r="X105" s="78">
        <f t="shared" si="20"/>
        <v>1.0149574079999999</v>
      </c>
      <c r="Y105" s="78">
        <f t="shared" si="29"/>
        <v>0.88695532799999999</v>
      </c>
      <c r="Z105" s="78">
        <f t="shared" si="21"/>
        <v>0.89624112</v>
      </c>
      <c r="AA105" s="78">
        <f t="shared" si="22"/>
        <v>1.0044415679999998</v>
      </c>
      <c r="AB105" s="78">
        <f t="shared" si="23"/>
        <v>1.0149574079999999</v>
      </c>
      <c r="AC105" s="78">
        <v>0.98239260000000006</v>
      </c>
      <c r="AD105" s="78">
        <v>1.0005615000000001</v>
      </c>
      <c r="AE105" s="78">
        <v>0.98510254999999991</v>
      </c>
      <c r="AF105" s="78">
        <v>0.99541590000000002</v>
      </c>
      <c r="AG105" s="95">
        <v>1.0621989999999999</v>
      </c>
      <c r="AH105" s="95">
        <v>1.069175</v>
      </c>
      <c r="AI105" s="95">
        <v>0.98239299999999996</v>
      </c>
      <c r="AJ105" s="95">
        <v>1.000562</v>
      </c>
      <c r="AK105" s="95">
        <f t="shared" si="30"/>
        <v>1.0621989999999999</v>
      </c>
      <c r="AL105" s="95">
        <f t="shared" si="31"/>
        <v>1.069175</v>
      </c>
    </row>
    <row r="106" spans="1:38" x14ac:dyDescent="0.2">
      <c r="A106" s="60">
        <v>1</v>
      </c>
      <c r="B106" s="55">
        <v>98</v>
      </c>
      <c r="C106" s="61">
        <v>1.0084448091300242</v>
      </c>
      <c r="D106" s="61">
        <v>0.97230005354208482</v>
      </c>
      <c r="E106" s="81">
        <v>1.0192268068083685</v>
      </c>
      <c r="F106" s="81">
        <v>0.98715009372994</v>
      </c>
      <c r="G106" s="78">
        <v>1.0175494999999999</v>
      </c>
      <c r="H106" s="78">
        <v>0.93134130000000004</v>
      </c>
      <c r="I106" s="78">
        <v>1.0186086000000001</v>
      </c>
      <c r="J106" s="78">
        <v>1.0409983</v>
      </c>
      <c r="K106" s="78">
        <v>1.0463524</v>
      </c>
      <c r="L106" s="78">
        <v>1.0609257999999999</v>
      </c>
      <c r="M106" s="78">
        <v>0.92396400000000001</v>
      </c>
      <c r="N106" s="78">
        <v>0.93683279999999991</v>
      </c>
      <c r="O106" s="78">
        <v>1.0463524</v>
      </c>
      <c r="P106" s="78">
        <v>1.0609257999999999</v>
      </c>
      <c r="Q106" s="78">
        <f t="shared" si="26"/>
        <v>1.0725112099999998</v>
      </c>
      <c r="R106" s="78">
        <f t="shared" si="16"/>
        <v>1.0874489449999998</v>
      </c>
      <c r="S106" s="78">
        <f t="shared" si="27"/>
        <v>0.94706309999999994</v>
      </c>
      <c r="T106" s="78">
        <f t="shared" si="17"/>
        <v>0.96025361999999981</v>
      </c>
      <c r="U106" s="78">
        <f t="shared" si="18"/>
        <v>1.0725112099999998</v>
      </c>
      <c r="V106" s="78">
        <f t="shared" si="19"/>
        <v>1.0874489449999998</v>
      </c>
      <c r="W106" s="78">
        <f t="shared" si="28"/>
        <v>1.004498304</v>
      </c>
      <c r="X106" s="78">
        <f t="shared" si="20"/>
        <v>1.0184887679999999</v>
      </c>
      <c r="Y106" s="78">
        <f t="shared" si="29"/>
        <v>0.88700543999999992</v>
      </c>
      <c r="Z106" s="78">
        <f t="shared" si="21"/>
        <v>0.89935948799999987</v>
      </c>
      <c r="AA106" s="78">
        <f t="shared" si="22"/>
        <v>1.004498304</v>
      </c>
      <c r="AB106" s="78">
        <f t="shared" si="23"/>
        <v>1.0184887679999999</v>
      </c>
      <c r="AC106" s="78">
        <v>0.98244799999999999</v>
      </c>
      <c r="AD106" s="78">
        <v>1.0040427999999999</v>
      </c>
      <c r="AE106" s="78">
        <v>0.98515819999999998</v>
      </c>
      <c r="AF106" s="78">
        <v>0.99887929999999991</v>
      </c>
      <c r="AG106" s="95">
        <v>1.060567</v>
      </c>
      <c r="AH106" s="95">
        <v>1.083923</v>
      </c>
      <c r="AI106" s="95">
        <v>0.98244799999999999</v>
      </c>
      <c r="AJ106" s="95">
        <v>1.004043</v>
      </c>
      <c r="AK106" s="95">
        <f t="shared" si="30"/>
        <v>1.060567</v>
      </c>
      <c r="AL106" s="95">
        <f t="shared" si="31"/>
        <v>1.083923</v>
      </c>
    </row>
    <row r="107" spans="1:38" x14ac:dyDescent="0.2">
      <c r="A107" s="60">
        <v>1</v>
      </c>
      <c r="B107" s="55">
        <v>99</v>
      </c>
      <c r="C107" s="61">
        <v>1.0086832962073671</v>
      </c>
      <c r="D107" s="61">
        <v>0.97386443068373085</v>
      </c>
      <c r="E107" s="81">
        <v>1.0192783696413974</v>
      </c>
      <c r="F107" s="81">
        <v>0.98861687548040578</v>
      </c>
      <c r="G107" s="78">
        <v>1.0175277</v>
      </c>
      <c r="H107" s="78">
        <v>0.93134780000000006</v>
      </c>
      <c r="I107" s="78">
        <v>1.0191170000000001</v>
      </c>
      <c r="J107" s="78">
        <v>1.044206</v>
      </c>
      <c r="K107" s="78">
        <v>1.0468746</v>
      </c>
      <c r="L107" s="78">
        <v>1.0641948999999999</v>
      </c>
      <c r="M107" s="78">
        <v>0.9244251</v>
      </c>
      <c r="N107" s="78">
        <v>0.93971950000000004</v>
      </c>
      <c r="O107" s="78">
        <v>1.0468746</v>
      </c>
      <c r="P107" s="78">
        <v>1.0641948999999999</v>
      </c>
      <c r="Q107" s="78">
        <f t="shared" si="26"/>
        <v>1.073046465</v>
      </c>
      <c r="R107" s="78">
        <f t="shared" si="16"/>
        <v>1.0907997724999998</v>
      </c>
      <c r="S107" s="78">
        <f t="shared" si="27"/>
        <v>0.94753572749999992</v>
      </c>
      <c r="T107" s="78">
        <f t="shared" si="17"/>
        <v>0.96321248749999999</v>
      </c>
      <c r="U107" s="78">
        <f t="shared" si="18"/>
        <v>1.073046465</v>
      </c>
      <c r="V107" s="78">
        <f t="shared" si="19"/>
        <v>1.0907997724999998</v>
      </c>
      <c r="W107" s="78">
        <f t="shared" si="28"/>
        <v>1.0049996159999999</v>
      </c>
      <c r="X107" s="78">
        <f t="shared" si="20"/>
        <v>1.021627104</v>
      </c>
      <c r="Y107" s="78">
        <f t="shared" si="29"/>
        <v>0.88744809599999996</v>
      </c>
      <c r="Z107" s="78">
        <f t="shared" si="21"/>
        <v>0.90213072000000005</v>
      </c>
      <c r="AA107" s="78">
        <f t="shared" si="22"/>
        <v>1.0049996159999999</v>
      </c>
      <c r="AB107" s="78">
        <f t="shared" si="23"/>
        <v>1.021627104</v>
      </c>
      <c r="AC107" s="78">
        <v>0.98293839999999999</v>
      </c>
      <c r="AD107" s="78">
        <v>1.0071367</v>
      </c>
      <c r="AE107" s="78">
        <v>0.98564984999999994</v>
      </c>
      <c r="AF107" s="78">
        <v>1.0019572000000001</v>
      </c>
      <c r="AG107" s="95">
        <v>1.059404</v>
      </c>
      <c r="AH107" s="95">
        <v>1.0983240000000001</v>
      </c>
      <c r="AI107" s="95">
        <v>0.98293799999999998</v>
      </c>
      <c r="AJ107" s="95">
        <v>1.0071369999999999</v>
      </c>
      <c r="AK107" s="95">
        <f t="shared" si="30"/>
        <v>1.059404</v>
      </c>
      <c r="AL107" s="95">
        <f t="shared" si="31"/>
        <v>1.0983240000000001</v>
      </c>
    </row>
    <row r="108" spans="1:38" x14ac:dyDescent="0.2">
      <c r="A108" s="60">
        <v>1</v>
      </c>
      <c r="B108" s="55">
        <v>100</v>
      </c>
      <c r="C108" s="61">
        <v>1.0070231681920323</v>
      </c>
      <c r="D108" s="61">
        <v>1.0135869760667373</v>
      </c>
      <c r="E108" s="81">
        <v>1.0173692349472367</v>
      </c>
      <c r="F108" s="81">
        <v>1.0281345555581418</v>
      </c>
      <c r="G108" s="78">
        <v>1.0203915000000001</v>
      </c>
      <c r="H108" s="78">
        <v>1.020402</v>
      </c>
      <c r="I108" s="78">
        <v>1.0128136999999999</v>
      </c>
      <c r="J108" s="78">
        <v>1.0343338</v>
      </c>
      <c r="K108" s="78">
        <v>1.0403996</v>
      </c>
      <c r="L108" s="78">
        <v>1.0541338</v>
      </c>
      <c r="M108" s="78">
        <v>0.91870750000000001</v>
      </c>
      <c r="N108" s="78">
        <v>0.93083519999999997</v>
      </c>
      <c r="O108" s="78">
        <v>1.0403996</v>
      </c>
      <c r="P108" s="78">
        <v>1.0541338</v>
      </c>
      <c r="Q108" s="78">
        <f t="shared" si="26"/>
        <v>1.0664095899999999</v>
      </c>
      <c r="R108" s="78">
        <f t="shared" si="16"/>
        <v>1.080487145</v>
      </c>
      <c r="S108" s="78">
        <f t="shared" si="27"/>
        <v>0.9416751874999999</v>
      </c>
      <c r="T108" s="78">
        <f t="shared" si="17"/>
        <v>0.95410607999999986</v>
      </c>
      <c r="U108" s="78">
        <f t="shared" si="18"/>
        <v>1.0664095899999999</v>
      </c>
      <c r="V108" s="78">
        <f t="shared" si="19"/>
        <v>1.080487145</v>
      </c>
      <c r="W108" s="78">
        <f t="shared" si="28"/>
        <v>0.99878361599999999</v>
      </c>
      <c r="X108" s="78">
        <f t="shared" si="20"/>
        <v>1.011968448</v>
      </c>
      <c r="Y108" s="78">
        <f t="shared" si="29"/>
        <v>0.88195919999999994</v>
      </c>
      <c r="Z108" s="78">
        <f t="shared" si="21"/>
        <v>0.89360179199999989</v>
      </c>
      <c r="AA108" s="78">
        <f t="shared" si="22"/>
        <v>0.99878361599999999</v>
      </c>
      <c r="AB108" s="78">
        <f t="shared" si="23"/>
        <v>1.011968448</v>
      </c>
      <c r="AC108" s="78">
        <v>0.97685880000000003</v>
      </c>
      <c r="AD108" s="78">
        <v>0.99761500000000003</v>
      </c>
      <c r="AE108" s="78">
        <v>0.97955355</v>
      </c>
      <c r="AF108" s="78">
        <v>0.99248449999999999</v>
      </c>
      <c r="AG108" s="95">
        <v>1.0511699999999999</v>
      </c>
      <c r="AH108" s="95">
        <v>1.0829869999999999</v>
      </c>
      <c r="AI108" s="95">
        <v>0.97685900000000003</v>
      </c>
      <c r="AJ108" s="95">
        <v>0.99761500000000003</v>
      </c>
      <c r="AK108" s="95">
        <f t="shared" si="30"/>
        <v>1.0511699999999999</v>
      </c>
      <c r="AL108" s="95">
        <f t="shared" si="31"/>
        <v>1.0829869999999999</v>
      </c>
    </row>
    <row r="109" spans="1:38" x14ac:dyDescent="0.2">
      <c r="A109" s="60">
        <v>1</v>
      </c>
      <c r="B109" s="55">
        <v>101</v>
      </c>
      <c r="C109" s="61">
        <v>1.0029420504672786</v>
      </c>
      <c r="D109" s="61">
        <v>1.0072745575178921</v>
      </c>
      <c r="E109" s="81">
        <v>1.0130558380229027</v>
      </c>
      <c r="F109" s="81">
        <v>1.0214956917309244</v>
      </c>
      <c r="G109" s="78">
        <v>1.0203968000000001</v>
      </c>
      <c r="H109" s="78">
        <v>1.0204089000000001</v>
      </c>
      <c r="I109" s="78">
        <v>1.0044886</v>
      </c>
      <c r="J109" s="78">
        <v>1.0213563000000001</v>
      </c>
      <c r="K109" s="78">
        <v>1.0318478</v>
      </c>
      <c r="L109" s="78">
        <v>1.0409078999999999</v>
      </c>
      <c r="M109" s="78">
        <v>0.91115590000000002</v>
      </c>
      <c r="N109" s="78">
        <v>0.91915629999999993</v>
      </c>
      <c r="O109" s="78">
        <v>1.0318478</v>
      </c>
      <c r="P109" s="78">
        <v>1.0409078999999999</v>
      </c>
      <c r="Q109" s="78">
        <f t="shared" si="26"/>
        <v>1.0576439949999998</v>
      </c>
      <c r="R109" s="78">
        <f t="shared" si="16"/>
        <v>1.0669305974999999</v>
      </c>
      <c r="S109" s="78">
        <f t="shared" si="27"/>
        <v>0.93393479749999997</v>
      </c>
      <c r="T109" s="78">
        <f t="shared" si="17"/>
        <v>0.94213520749999979</v>
      </c>
      <c r="U109" s="78">
        <f t="shared" si="18"/>
        <v>1.0576439949999998</v>
      </c>
      <c r="V109" s="78">
        <f t="shared" si="19"/>
        <v>1.0669305974999999</v>
      </c>
      <c r="W109" s="78">
        <f t="shared" si="28"/>
        <v>0.9905738879999999</v>
      </c>
      <c r="X109" s="78">
        <f t="shared" si="20"/>
        <v>0.99927158399999982</v>
      </c>
      <c r="Y109" s="78">
        <f t="shared" si="29"/>
        <v>0.87470966399999994</v>
      </c>
      <c r="Z109" s="78">
        <f t="shared" si="21"/>
        <v>0.88239004799999987</v>
      </c>
      <c r="AA109" s="78">
        <f t="shared" si="22"/>
        <v>0.9905738879999999</v>
      </c>
      <c r="AB109" s="78">
        <f t="shared" si="23"/>
        <v>0.99927158399999982</v>
      </c>
      <c r="AC109" s="78">
        <v>0.9688293</v>
      </c>
      <c r="AD109" s="78">
        <v>0.98509820000000003</v>
      </c>
      <c r="AE109" s="78">
        <v>0.97150185</v>
      </c>
      <c r="AF109" s="78">
        <v>0.98003209999999985</v>
      </c>
      <c r="AG109" s="95">
        <v>1.042529</v>
      </c>
      <c r="AH109" s="95">
        <v>1.069399</v>
      </c>
      <c r="AI109" s="95">
        <v>0.96882900000000005</v>
      </c>
      <c r="AJ109" s="95">
        <v>0.98509800000000003</v>
      </c>
      <c r="AK109" s="95">
        <f t="shared" si="30"/>
        <v>1.042529</v>
      </c>
      <c r="AL109" s="95">
        <f t="shared" si="31"/>
        <v>1.069399</v>
      </c>
    </row>
    <row r="110" spans="1:38" x14ac:dyDescent="0.2">
      <c r="A110" s="60">
        <v>1</v>
      </c>
      <c r="B110" s="55">
        <v>102</v>
      </c>
      <c r="C110" s="61">
        <v>1.0029531785562866</v>
      </c>
      <c r="D110" s="61">
        <v>1.007979839296345</v>
      </c>
      <c r="E110" s="81">
        <v>1.0129135615929279</v>
      </c>
      <c r="F110" s="81">
        <v>1.0220669055460807</v>
      </c>
      <c r="G110" s="78">
        <v>1.0204169000000001</v>
      </c>
      <c r="H110" s="78">
        <v>1.0204043</v>
      </c>
      <c r="I110" s="78">
        <v>1.0044909</v>
      </c>
      <c r="J110" s="78">
        <v>1.0228101999999999</v>
      </c>
      <c r="K110" s="78">
        <v>1.0318502000000001</v>
      </c>
      <c r="L110" s="78">
        <v>1.0423896000000001</v>
      </c>
      <c r="M110" s="78">
        <v>0.91115799999999991</v>
      </c>
      <c r="N110" s="78">
        <v>0.92046470000000002</v>
      </c>
      <c r="O110" s="78">
        <v>1.0318502000000001</v>
      </c>
      <c r="P110" s="78">
        <v>1.0423896000000001</v>
      </c>
      <c r="Q110" s="78">
        <f t="shared" si="26"/>
        <v>1.057646455</v>
      </c>
      <c r="R110" s="78">
        <f t="shared" si="16"/>
        <v>1.0684493400000001</v>
      </c>
      <c r="S110" s="78">
        <f t="shared" si="27"/>
        <v>0.93393694999999988</v>
      </c>
      <c r="T110" s="78">
        <f t="shared" si="17"/>
        <v>0.94347631749999994</v>
      </c>
      <c r="U110" s="78">
        <f t="shared" si="18"/>
        <v>1.057646455</v>
      </c>
      <c r="V110" s="78">
        <f t="shared" si="19"/>
        <v>1.0684493400000001</v>
      </c>
      <c r="W110" s="78">
        <f t="shared" si="28"/>
        <v>0.99057619200000002</v>
      </c>
      <c r="X110" s="78">
        <f t="shared" si="20"/>
        <v>1.0006940160000002</v>
      </c>
      <c r="Y110" s="78">
        <f t="shared" si="29"/>
        <v>0.87471167999999988</v>
      </c>
      <c r="Z110" s="78">
        <f t="shared" si="21"/>
        <v>0.88364611199999998</v>
      </c>
      <c r="AA110" s="78">
        <f t="shared" si="22"/>
        <v>0.99057619200000002</v>
      </c>
      <c r="AB110" s="78">
        <f t="shared" si="23"/>
        <v>1.0006940160000002</v>
      </c>
      <c r="AC110" s="78">
        <v>0.96883149999999996</v>
      </c>
      <c r="AD110" s="78">
        <v>0.98650049999999989</v>
      </c>
      <c r="AE110" s="78">
        <v>0.97150409999999998</v>
      </c>
      <c r="AF110" s="78">
        <v>0.98142715000000003</v>
      </c>
      <c r="AG110" s="95">
        <v>1.042532</v>
      </c>
      <c r="AH110" s="95">
        <v>1.070921</v>
      </c>
      <c r="AI110" s="95">
        <v>0.96883200000000003</v>
      </c>
      <c r="AJ110" s="95">
        <v>0.98650099999999996</v>
      </c>
      <c r="AK110" s="95">
        <f t="shared" si="30"/>
        <v>1.042532</v>
      </c>
      <c r="AL110" s="95">
        <f t="shared" si="31"/>
        <v>1.070921</v>
      </c>
    </row>
    <row r="111" spans="1:38" x14ac:dyDescent="0.2">
      <c r="A111" s="60">
        <v>1</v>
      </c>
      <c r="B111" s="55">
        <v>103</v>
      </c>
      <c r="C111" s="61">
        <v>1.0027808190491232</v>
      </c>
      <c r="D111" s="61">
        <v>1.0085465436846572</v>
      </c>
      <c r="E111" s="81">
        <v>1.0125846757620474</v>
      </c>
      <c r="F111" s="81">
        <v>1.0224958477322077</v>
      </c>
      <c r="G111" s="78">
        <v>1.0204031999999998</v>
      </c>
      <c r="H111" s="78">
        <v>1.0204002999999999</v>
      </c>
      <c r="I111" s="78">
        <v>1.0041535000000001</v>
      </c>
      <c r="J111" s="78">
        <v>1.0239787</v>
      </c>
      <c r="K111" s="78">
        <v>1.0315036</v>
      </c>
      <c r="L111" s="78">
        <v>1.0435804</v>
      </c>
      <c r="M111" s="78">
        <v>0.91085189999999994</v>
      </c>
      <c r="N111" s="78">
        <v>0.9215161999999999</v>
      </c>
      <c r="O111" s="78">
        <v>1.0315036</v>
      </c>
      <c r="P111" s="78">
        <v>1.0435804</v>
      </c>
      <c r="Q111" s="78">
        <f t="shared" si="26"/>
        <v>1.0572911899999999</v>
      </c>
      <c r="R111" s="78">
        <f t="shared" si="16"/>
        <v>1.0696699099999998</v>
      </c>
      <c r="S111" s="78">
        <f t="shared" si="27"/>
        <v>0.93362319749999989</v>
      </c>
      <c r="T111" s="78">
        <f t="shared" si="17"/>
        <v>0.94455410499999981</v>
      </c>
      <c r="U111" s="78">
        <f t="shared" si="18"/>
        <v>1.0572911899999999</v>
      </c>
      <c r="V111" s="78">
        <f t="shared" si="19"/>
        <v>1.0696699099999998</v>
      </c>
      <c r="W111" s="78">
        <f t="shared" si="28"/>
        <v>0.99024345599999997</v>
      </c>
      <c r="X111" s="78">
        <f t="shared" si="20"/>
        <v>1.001837184</v>
      </c>
      <c r="Y111" s="78">
        <f t="shared" si="29"/>
        <v>0.8744178239999999</v>
      </c>
      <c r="Z111" s="78">
        <f t="shared" si="21"/>
        <v>0.8846555519999999</v>
      </c>
      <c r="AA111" s="78">
        <f t="shared" si="22"/>
        <v>0.99024345599999997</v>
      </c>
      <c r="AB111" s="78">
        <f t="shared" si="23"/>
        <v>1.001837184</v>
      </c>
      <c r="AC111" s="78">
        <v>0.96850610000000004</v>
      </c>
      <c r="AD111" s="78">
        <v>0.98762739999999993</v>
      </c>
      <c r="AE111" s="78">
        <v>0.97117774999999995</v>
      </c>
      <c r="AF111" s="78">
        <v>0.98254829999999993</v>
      </c>
      <c r="AG111" s="95">
        <v>1.0421819999999999</v>
      </c>
      <c r="AH111" s="95">
        <v>1.0721449999999999</v>
      </c>
      <c r="AI111" s="95">
        <v>0.96850599999999998</v>
      </c>
      <c r="AJ111" s="95">
        <v>0.98762700000000003</v>
      </c>
      <c r="AK111" s="95">
        <f t="shared" si="30"/>
        <v>1.0421819999999999</v>
      </c>
      <c r="AL111" s="95">
        <f t="shared" si="31"/>
        <v>1.0721449999999999</v>
      </c>
    </row>
    <row r="112" spans="1:38" x14ac:dyDescent="0.2">
      <c r="A112" s="60">
        <v>1</v>
      </c>
      <c r="B112" s="55">
        <v>104</v>
      </c>
      <c r="C112" s="61">
        <v>0.98559194384718585</v>
      </c>
      <c r="D112" s="61">
        <v>1.0090574751998196</v>
      </c>
      <c r="E112" s="81">
        <v>0.99509442217388389</v>
      </c>
      <c r="F112" s="81">
        <v>1.0228673498442447</v>
      </c>
      <c r="G112" s="78">
        <v>1.0010929</v>
      </c>
      <c r="H112" s="78">
        <v>1.0204148000000002</v>
      </c>
      <c r="I112" s="78">
        <v>0.98879549999999994</v>
      </c>
      <c r="J112" s="78">
        <v>1.0250136000000001</v>
      </c>
      <c r="K112" s="78">
        <v>1.0157273</v>
      </c>
      <c r="L112" s="78">
        <v>1.0446352000000001</v>
      </c>
      <c r="M112" s="78">
        <v>0.89692099999999997</v>
      </c>
      <c r="N112" s="78">
        <v>0.92244760000000003</v>
      </c>
      <c r="O112" s="78">
        <v>1.0157273</v>
      </c>
      <c r="P112" s="78">
        <v>1.0446352000000001</v>
      </c>
      <c r="Q112" s="78">
        <f t="shared" si="26"/>
        <v>1.0411204825</v>
      </c>
      <c r="R112" s="78">
        <f t="shared" si="16"/>
        <v>1.07075108</v>
      </c>
      <c r="S112" s="78">
        <f t="shared" si="27"/>
        <v>0.9193440249999999</v>
      </c>
      <c r="T112" s="78">
        <f t="shared" si="17"/>
        <v>0.94550878999999999</v>
      </c>
      <c r="U112" s="78">
        <f t="shared" si="18"/>
        <v>1.0411204825</v>
      </c>
      <c r="V112" s="78">
        <f t="shared" si="19"/>
        <v>1.07075108</v>
      </c>
      <c r="W112" s="78">
        <f t="shared" si="28"/>
        <v>0.97509820799999991</v>
      </c>
      <c r="X112" s="78">
        <f t="shared" si="20"/>
        <v>1.0028497920000001</v>
      </c>
      <c r="Y112" s="78">
        <f t="shared" si="29"/>
        <v>0.86104415999999995</v>
      </c>
      <c r="Z112" s="78">
        <f t="shared" si="21"/>
        <v>0.885549696</v>
      </c>
      <c r="AA112" s="78">
        <f t="shared" si="22"/>
        <v>0.97509820799999991</v>
      </c>
      <c r="AB112" s="78">
        <f t="shared" si="23"/>
        <v>1.0028497920000001</v>
      </c>
      <c r="AC112" s="78">
        <v>0.95369330000000008</v>
      </c>
      <c r="AD112" s="78">
        <v>0.98862570000000005</v>
      </c>
      <c r="AE112" s="78">
        <v>0.95632414999999993</v>
      </c>
      <c r="AF112" s="78">
        <v>0.98354140000000001</v>
      </c>
      <c r="AG112" s="95">
        <v>1.0262420000000001</v>
      </c>
      <c r="AH112" s="95">
        <v>1.0732280000000001</v>
      </c>
      <c r="AI112" s="95">
        <v>0.95369300000000001</v>
      </c>
      <c r="AJ112" s="95">
        <v>0.988626</v>
      </c>
      <c r="AK112" s="95">
        <f t="shared" si="30"/>
        <v>1.0262420000000001</v>
      </c>
      <c r="AL112" s="95">
        <f t="shared" si="31"/>
        <v>1.0732280000000001</v>
      </c>
    </row>
    <row r="113" spans="1:38" x14ac:dyDescent="0.2">
      <c r="A113" s="60">
        <v>1</v>
      </c>
      <c r="B113" s="55">
        <v>105</v>
      </c>
      <c r="C113" s="61">
        <v>0.93713393037559523</v>
      </c>
      <c r="D113" s="61">
        <v>1.01001003233984</v>
      </c>
      <c r="E113" s="81">
        <v>0.94613142265201844</v>
      </c>
      <c r="F113" s="81">
        <v>1.0236930002254456</v>
      </c>
      <c r="G113" s="78">
        <v>0.94097639999999994</v>
      </c>
      <c r="H113" s="78">
        <v>1.0204051999999999</v>
      </c>
      <c r="I113" s="78">
        <v>0.95128649999999992</v>
      </c>
      <c r="J113" s="78">
        <v>1.0269808</v>
      </c>
      <c r="K113" s="78">
        <v>0.97719660000000008</v>
      </c>
      <c r="L113" s="78">
        <v>1.04664</v>
      </c>
      <c r="M113" s="78">
        <v>0.86289709999999997</v>
      </c>
      <c r="N113" s="78">
        <v>0.92421790000000004</v>
      </c>
      <c r="O113" s="78">
        <v>0.97719660000000008</v>
      </c>
      <c r="P113" s="78">
        <v>1.04664</v>
      </c>
      <c r="Q113" s="78">
        <f t="shared" si="26"/>
        <v>1.0016265150000001</v>
      </c>
      <c r="R113" s="78">
        <f t="shared" si="16"/>
        <v>1.0728059999999999</v>
      </c>
      <c r="S113" s="78">
        <f t="shared" si="27"/>
        <v>0.88446952749999985</v>
      </c>
      <c r="T113" s="78">
        <f t="shared" si="17"/>
        <v>0.94732334749999991</v>
      </c>
      <c r="U113" s="78">
        <f t="shared" si="18"/>
        <v>1.0016265150000001</v>
      </c>
      <c r="V113" s="78">
        <f t="shared" si="19"/>
        <v>1.0728059999999999</v>
      </c>
      <c r="W113" s="78">
        <f t="shared" si="28"/>
        <v>0.938108736</v>
      </c>
      <c r="X113" s="78">
        <f t="shared" si="20"/>
        <v>1.0047744000000001</v>
      </c>
      <c r="Y113" s="78">
        <f t="shared" si="29"/>
        <v>0.82838121599999992</v>
      </c>
      <c r="Z113" s="78">
        <f t="shared" si="21"/>
        <v>0.88724918399999997</v>
      </c>
      <c r="AA113" s="78">
        <f t="shared" si="22"/>
        <v>0.938108736</v>
      </c>
      <c r="AB113" s="78">
        <f t="shared" si="23"/>
        <v>1.0047744000000001</v>
      </c>
      <c r="AC113" s="78">
        <v>0.91751579999999999</v>
      </c>
      <c r="AD113" s="78">
        <v>0.99052300000000004</v>
      </c>
      <c r="AE113" s="78">
        <v>0.92004685000000008</v>
      </c>
      <c r="AF113" s="78">
        <v>0.98542894999999997</v>
      </c>
      <c r="AG113" s="95">
        <v>0.98731199999999997</v>
      </c>
      <c r="AH113" s="95">
        <v>1.075288</v>
      </c>
      <c r="AI113" s="95">
        <v>0.917516</v>
      </c>
      <c r="AJ113" s="95">
        <v>0.99052300000000004</v>
      </c>
      <c r="AK113" s="95">
        <f t="shared" si="30"/>
        <v>0.98731199999999997</v>
      </c>
      <c r="AL113" s="95">
        <f t="shared" si="31"/>
        <v>1.075288</v>
      </c>
    </row>
    <row r="114" spans="1:38" x14ac:dyDescent="0.2">
      <c r="A114" s="60">
        <v>1</v>
      </c>
      <c r="B114" s="55">
        <v>106</v>
      </c>
      <c r="C114" s="61">
        <v>0.87923605787579029</v>
      </c>
      <c r="D114" s="61">
        <v>1.013900238238679</v>
      </c>
      <c r="E114" s="81">
        <v>0.88786004018607056</v>
      </c>
      <c r="F114" s="81">
        <v>1.0277040535859094</v>
      </c>
      <c r="G114" s="78">
        <v>0.86392409999999997</v>
      </c>
      <c r="H114" s="78">
        <v>1.0193570999999999</v>
      </c>
      <c r="I114" s="78">
        <v>0.91179599999999994</v>
      </c>
      <c r="J114" s="78">
        <v>1.0360509999999998</v>
      </c>
      <c r="K114" s="78">
        <v>0.93663050000000003</v>
      </c>
      <c r="L114" s="78">
        <v>1.0558839</v>
      </c>
      <c r="M114" s="78">
        <v>0.82707589999999997</v>
      </c>
      <c r="N114" s="78">
        <v>0.9323806</v>
      </c>
      <c r="O114" s="78">
        <v>0.93663050000000003</v>
      </c>
      <c r="P114" s="78">
        <v>1.0558839</v>
      </c>
      <c r="Q114" s="78">
        <f t="shared" si="26"/>
        <v>0.96004626249999991</v>
      </c>
      <c r="R114" s="78">
        <f t="shared" si="16"/>
        <v>1.0822809974999998</v>
      </c>
      <c r="S114" s="78">
        <f t="shared" si="27"/>
        <v>0.84775279749999988</v>
      </c>
      <c r="T114" s="78">
        <f t="shared" si="17"/>
        <v>0.9556901149999999</v>
      </c>
      <c r="U114" s="78">
        <f t="shared" si="18"/>
        <v>0.96004626249999991</v>
      </c>
      <c r="V114" s="78">
        <f t="shared" si="19"/>
        <v>1.0822809974999998</v>
      </c>
      <c r="W114" s="78">
        <f t="shared" si="28"/>
        <v>0.89916527999999996</v>
      </c>
      <c r="X114" s="78">
        <f t="shared" si="20"/>
        <v>1.013648544</v>
      </c>
      <c r="Y114" s="78">
        <f t="shared" si="29"/>
        <v>0.79399286399999991</v>
      </c>
      <c r="Z114" s="78">
        <f t="shared" si="21"/>
        <v>0.89508537599999993</v>
      </c>
      <c r="AA114" s="78">
        <f t="shared" si="22"/>
        <v>0.89916527999999996</v>
      </c>
      <c r="AB114" s="78">
        <f t="shared" si="23"/>
        <v>1.013648544</v>
      </c>
      <c r="AC114" s="78">
        <v>0.87942730000000002</v>
      </c>
      <c r="AD114" s="78">
        <v>0.99927120000000003</v>
      </c>
      <c r="AE114" s="78">
        <v>0.8818532</v>
      </c>
      <c r="AF114" s="78">
        <v>0.99413225000000005</v>
      </c>
      <c r="AG114" s="95">
        <v>0.946326</v>
      </c>
      <c r="AH114" s="95">
        <v>1.0847850000000001</v>
      </c>
      <c r="AI114" s="95">
        <v>0.87942699999999996</v>
      </c>
      <c r="AJ114" s="95">
        <v>0.99927100000000002</v>
      </c>
      <c r="AK114" s="95">
        <f t="shared" si="30"/>
        <v>0.946326</v>
      </c>
      <c r="AL114" s="95">
        <f t="shared" si="31"/>
        <v>1.0847850000000001</v>
      </c>
    </row>
    <row r="115" spans="1:38" x14ac:dyDescent="0.2">
      <c r="A115" s="60">
        <v>1</v>
      </c>
      <c r="B115" s="55">
        <v>107</v>
      </c>
      <c r="C115" s="61">
        <v>0.82374271275485322</v>
      </c>
      <c r="D115" s="61">
        <v>0.98469718508125226</v>
      </c>
      <c r="E115" s="81">
        <v>0.8319771440630489</v>
      </c>
      <c r="F115" s="81">
        <v>0.99830736386081609</v>
      </c>
      <c r="G115" s="78">
        <v>0.79334470000000001</v>
      </c>
      <c r="H115" s="78">
        <v>0.9750972</v>
      </c>
      <c r="I115" s="78">
        <v>0.87060959999999998</v>
      </c>
      <c r="J115" s="78">
        <v>1.0215175999999999</v>
      </c>
      <c r="K115" s="78">
        <v>0.89432230000000001</v>
      </c>
      <c r="L115" s="78">
        <v>1.0410721999999999</v>
      </c>
      <c r="M115" s="78">
        <v>0.78971630000000004</v>
      </c>
      <c r="N115" s="78">
        <v>0.91930139999999994</v>
      </c>
      <c r="O115" s="78">
        <v>0.89432230000000001</v>
      </c>
      <c r="P115" s="78">
        <v>1.0410721999999999</v>
      </c>
      <c r="Q115" s="78">
        <f t="shared" si="26"/>
        <v>0.91668035749999999</v>
      </c>
      <c r="R115" s="78">
        <f t="shared" si="16"/>
        <v>1.0670990049999998</v>
      </c>
      <c r="S115" s="78">
        <f t="shared" si="27"/>
        <v>0.8094592075</v>
      </c>
      <c r="T115" s="78">
        <f t="shared" si="17"/>
        <v>0.94228393499999985</v>
      </c>
      <c r="U115" s="78">
        <f t="shared" si="18"/>
        <v>0.91668035749999999</v>
      </c>
      <c r="V115" s="78">
        <f t="shared" si="19"/>
        <v>1.0670990049999998</v>
      </c>
      <c r="W115" s="78">
        <f t="shared" si="28"/>
        <v>0.85854940800000001</v>
      </c>
      <c r="X115" s="78">
        <f t="shared" si="20"/>
        <v>0.99942931199999985</v>
      </c>
      <c r="Y115" s="78">
        <f t="shared" si="29"/>
        <v>0.75812764799999999</v>
      </c>
      <c r="Z115" s="78">
        <f t="shared" si="21"/>
        <v>0.88252934399999994</v>
      </c>
      <c r="AA115" s="78">
        <f t="shared" si="22"/>
        <v>0.85854940800000001</v>
      </c>
      <c r="AB115" s="78">
        <f t="shared" si="23"/>
        <v>0.99942931199999985</v>
      </c>
      <c r="AC115" s="78">
        <v>0.83970290000000003</v>
      </c>
      <c r="AD115" s="78">
        <v>0.9852536999999999</v>
      </c>
      <c r="AE115" s="78">
        <v>0.84201930000000003</v>
      </c>
      <c r="AF115" s="78">
        <v>0.98018679999999991</v>
      </c>
      <c r="AG115" s="95">
        <v>0.90358000000000005</v>
      </c>
      <c r="AH115" s="95">
        <v>1.0695680000000001</v>
      </c>
      <c r="AI115" s="95">
        <v>0.83970299999999998</v>
      </c>
      <c r="AJ115" s="95">
        <v>0.98525399999999996</v>
      </c>
      <c r="AK115" s="95">
        <f t="shared" si="30"/>
        <v>0.90358000000000005</v>
      </c>
      <c r="AL115" s="95">
        <f t="shared" si="31"/>
        <v>1.0695680000000001</v>
      </c>
    </row>
    <row r="116" spans="1:38" x14ac:dyDescent="0.2">
      <c r="A116" s="60">
        <v>1</v>
      </c>
      <c r="B116" s="55">
        <v>108</v>
      </c>
      <c r="C116" s="61">
        <v>0.77059933898685107</v>
      </c>
      <c r="D116" s="61">
        <v>0.90366445264853201</v>
      </c>
      <c r="E116" s="81">
        <v>0.77843219201821567</v>
      </c>
      <c r="F116" s="81">
        <v>0.91643841433306017</v>
      </c>
      <c r="G116" s="78">
        <v>0.7287129</v>
      </c>
      <c r="H116" s="78">
        <v>0.87412190000000001</v>
      </c>
      <c r="I116" s="78">
        <v>0.82815150000000004</v>
      </c>
      <c r="J116" s="78">
        <v>0.95875489999999997</v>
      </c>
      <c r="K116" s="78">
        <v>0.85070780000000001</v>
      </c>
      <c r="L116" s="78">
        <v>0.97710809999999992</v>
      </c>
      <c r="M116" s="78">
        <v>0.75120329999999991</v>
      </c>
      <c r="N116" s="78">
        <v>0.86281899999999989</v>
      </c>
      <c r="O116" s="78">
        <v>0.85070780000000001</v>
      </c>
      <c r="P116" s="78">
        <v>0.97710809999999992</v>
      </c>
      <c r="Q116" s="78">
        <f t="shared" si="26"/>
        <v>0.87197549499999993</v>
      </c>
      <c r="R116" s="78">
        <f t="shared" si="16"/>
        <v>1.0015358024999998</v>
      </c>
      <c r="S116" s="78">
        <f t="shared" si="27"/>
        <v>0.76998338249999987</v>
      </c>
      <c r="T116" s="78">
        <f t="shared" si="17"/>
        <v>0.88438947499999976</v>
      </c>
      <c r="U116" s="78">
        <f t="shared" si="18"/>
        <v>0.87197549499999993</v>
      </c>
      <c r="V116" s="78">
        <f t="shared" si="19"/>
        <v>1.0015358024999998</v>
      </c>
      <c r="W116" s="78">
        <f t="shared" si="28"/>
        <v>0.81667948800000001</v>
      </c>
      <c r="X116" s="78">
        <f t="shared" si="20"/>
        <v>0.93802377599999986</v>
      </c>
      <c r="Y116" s="78">
        <f t="shared" si="29"/>
        <v>0.7211551679999999</v>
      </c>
      <c r="Z116" s="78">
        <f t="shared" si="21"/>
        <v>0.82830623999999986</v>
      </c>
      <c r="AA116" s="78">
        <f t="shared" si="22"/>
        <v>0.81667948800000001</v>
      </c>
      <c r="AB116" s="78">
        <f t="shared" si="23"/>
        <v>0.93802377599999986</v>
      </c>
      <c r="AC116" s="78">
        <v>0.79875220000000002</v>
      </c>
      <c r="AD116" s="78">
        <v>0.92471909999999991</v>
      </c>
      <c r="AE116" s="78">
        <v>0.80095554999999996</v>
      </c>
      <c r="AF116" s="78">
        <v>0.91996354999999985</v>
      </c>
      <c r="AG116" s="95">
        <v>0.859514</v>
      </c>
      <c r="AH116" s="95">
        <v>1.0038530000000001</v>
      </c>
      <c r="AI116" s="95">
        <v>0.79875200000000002</v>
      </c>
      <c r="AJ116" s="95">
        <v>0.92471899999999996</v>
      </c>
      <c r="AK116" s="95">
        <f t="shared" si="30"/>
        <v>0.859514</v>
      </c>
      <c r="AL116" s="95">
        <f t="shared" si="31"/>
        <v>1.0038530000000001</v>
      </c>
    </row>
    <row r="117" spans="1:38" x14ac:dyDescent="0.2">
      <c r="A117" s="60">
        <v>1</v>
      </c>
      <c r="B117" s="55">
        <v>109</v>
      </c>
      <c r="C117" s="61">
        <v>0.71977876169816912</v>
      </c>
      <c r="D117" s="61">
        <v>0.82664795385980638</v>
      </c>
      <c r="E117" s="81">
        <v>0.72720209994107732</v>
      </c>
      <c r="F117" s="81">
        <v>0.83857168657515135</v>
      </c>
      <c r="G117" s="78">
        <v>0.66954980000000008</v>
      </c>
      <c r="H117" s="78">
        <v>0.78220270000000003</v>
      </c>
      <c r="I117" s="78">
        <v>0.78485439999999995</v>
      </c>
      <c r="J117" s="78">
        <v>0.89494069999999992</v>
      </c>
      <c r="K117" s="78">
        <v>0.80623140000000004</v>
      </c>
      <c r="L117" s="78">
        <v>0.91207229999999995</v>
      </c>
      <c r="M117" s="78">
        <v>0.71192909999999998</v>
      </c>
      <c r="N117" s="78">
        <v>0.80539019999999995</v>
      </c>
      <c r="O117" s="78">
        <v>0.80623140000000004</v>
      </c>
      <c r="P117" s="78">
        <v>0.91207229999999995</v>
      </c>
      <c r="Q117" s="78">
        <f t="shared" si="26"/>
        <v>0.82638718499999997</v>
      </c>
      <c r="R117" s="78">
        <f t="shared" si="16"/>
        <v>0.93487410749999988</v>
      </c>
      <c r="S117" s="78">
        <f t="shared" si="27"/>
        <v>0.72972732749999991</v>
      </c>
      <c r="T117" s="78">
        <f t="shared" si="17"/>
        <v>0.82552495499999989</v>
      </c>
      <c r="U117" s="78">
        <f t="shared" si="18"/>
        <v>0.82638718499999997</v>
      </c>
      <c r="V117" s="78">
        <f t="shared" si="19"/>
        <v>0.93487410749999988</v>
      </c>
      <c r="W117" s="78">
        <f t="shared" si="28"/>
        <v>0.77398214399999998</v>
      </c>
      <c r="X117" s="78">
        <f t="shared" si="20"/>
        <v>0.87558940799999996</v>
      </c>
      <c r="Y117" s="78">
        <f t="shared" si="29"/>
        <v>0.68345193599999998</v>
      </c>
      <c r="Z117" s="78">
        <f t="shared" si="21"/>
        <v>0.77317459199999994</v>
      </c>
      <c r="AA117" s="78">
        <f t="shared" si="22"/>
        <v>0.77398214399999998</v>
      </c>
      <c r="AB117" s="78">
        <f t="shared" si="23"/>
        <v>0.87558940799999996</v>
      </c>
      <c r="AC117" s="78">
        <v>0.756992</v>
      </c>
      <c r="AD117" s="78">
        <v>0.86317030000000006</v>
      </c>
      <c r="AE117" s="78">
        <v>0.75908025000000001</v>
      </c>
      <c r="AF117" s="78">
        <v>0.85873124999999995</v>
      </c>
      <c r="AG117" s="95">
        <v>0.814577</v>
      </c>
      <c r="AH117" s="95">
        <v>0.93703700000000001</v>
      </c>
      <c r="AI117" s="95">
        <v>0.756992</v>
      </c>
      <c r="AJ117" s="95">
        <v>0.86316999999999999</v>
      </c>
      <c r="AK117" s="95">
        <f t="shared" si="30"/>
        <v>0.814577</v>
      </c>
      <c r="AL117" s="95">
        <f t="shared" si="31"/>
        <v>0.93703700000000001</v>
      </c>
    </row>
    <row r="118" spans="1:38" x14ac:dyDescent="0.2">
      <c r="A118" s="60">
        <v>1</v>
      </c>
      <c r="B118" s="55">
        <v>110</v>
      </c>
      <c r="C118" s="61">
        <v>0.67125518336947121</v>
      </c>
      <c r="D118" s="61">
        <v>0.75447355925784321</v>
      </c>
      <c r="E118" s="81">
        <v>0.67826475447711687</v>
      </c>
      <c r="F118" s="81">
        <v>0.7655547637189194</v>
      </c>
      <c r="G118" s="78">
        <v>0.61542189999999997</v>
      </c>
      <c r="H118" s="78">
        <v>0.69940520000000006</v>
      </c>
      <c r="I118" s="78">
        <v>0.74110759999999998</v>
      </c>
      <c r="J118" s="78">
        <v>0.83170429999999995</v>
      </c>
      <c r="K118" s="78">
        <v>0.76129310000000006</v>
      </c>
      <c r="L118" s="78">
        <v>0.84762550000000003</v>
      </c>
      <c r="M118" s="78">
        <v>0.67224709999999999</v>
      </c>
      <c r="N118" s="78">
        <v>0.74848150000000002</v>
      </c>
      <c r="O118" s="78">
        <v>0.76129310000000006</v>
      </c>
      <c r="P118" s="78">
        <v>0.84762550000000003</v>
      </c>
      <c r="Q118" s="78">
        <f t="shared" si="26"/>
        <v>0.7803254275</v>
      </c>
      <c r="R118" s="78">
        <f t="shared" si="16"/>
        <v>0.86881613749999997</v>
      </c>
      <c r="S118" s="78">
        <f t="shared" si="27"/>
        <v>0.68905327749999989</v>
      </c>
      <c r="T118" s="78">
        <f t="shared" si="17"/>
        <v>0.76719353749999997</v>
      </c>
      <c r="U118" s="78">
        <f t="shared" si="18"/>
        <v>0.7803254275</v>
      </c>
      <c r="V118" s="78">
        <f t="shared" si="19"/>
        <v>0.86881613749999997</v>
      </c>
      <c r="W118" s="78">
        <f t="shared" si="28"/>
        <v>0.73084137599999999</v>
      </c>
      <c r="X118" s="78">
        <f t="shared" si="20"/>
        <v>0.81372047999999997</v>
      </c>
      <c r="Y118" s="78">
        <f t="shared" si="29"/>
        <v>0.64535721599999996</v>
      </c>
      <c r="Z118" s="78">
        <f t="shared" si="21"/>
        <v>0.71854224</v>
      </c>
      <c r="AA118" s="78">
        <f t="shared" si="22"/>
        <v>0.73084137599999999</v>
      </c>
      <c r="AB118" s="78">
        <f t="shared" si="23"/>
        <v>0.81372047999999997</v>
      </c>
      <c r="AC118" s="78">
        <v>0.71479830000000011</v>
      </c>
      <c r="AD118" s="78">
        <v>0.80217879999999997</v>
      </c>
      <c r="AE118" s="78">
        <v>0.71677009999999997</v>
      </c>
      <c r="AF118" s="78">
        <v>0.79805349999999997</v>
      </c>
      <c r="AG118" s="95">
        <v>0.76917400000000002</v>
      </c>
      <c r="AH118" s="95">
        <v>0.87082599999999999</v>
      </c>
      <c r="AI118" s="95">
        <v>0.71479800000000004</v>
      </c>
      <c r="AJ118" s="95">
        <v>0.80217899999999998</v>
      </c>
      <c r="AK118" s="95">
        <f t="shared" si="30"/>
        <v>0.76917400000000002</v>
      </c>
      <c r="AL118" s="95">
        <f t="shared" si="31"/>
        <v>0.87082599999999999</v>
      </c>
    </row>
    <row r="119" spans="1:38" x14ac:dyDescent="0.2">
      <c r="A119" s="60">
        <v>1</v>
      </c>
      <c r="B119" s="55">
        <v>111</v>
      </c>
      <c r="C119" s="61">
        <v>0.62501033313527288</v>
      </c>
      <c r="D119" s="61">
        <v>0.68764509727223977</v>
      </c>
      <c r="E119" s="81">
        <v>0.63160530350855837</v>
      </c>
      <c r="F119" s="81">
        <v>0.69790867879771801</v>
      </c>
      <c r="G119" s="78">
        <v>0.56593789999999999</v>
      </c>
      <c r="H119" s="78">
        <v>0.62548000000000004</v>
      </c>
      <c r="I119" s="78">
        <v>0.69727270000000008</v>
      </c>
      <c r="J119" s="78">
        <v>0.7703373</v>
      </c>
      <c r="K119" s="78">
        <v>0.71626429999999996</v>
      </c>
      <c r="L119" s="78">
        <v>0.78508369999999994</v>
      </c>
      <c r="M119" s="78">
        <v>0.63248519999999997</v>
      </c>
      <c r="N119" s="78">
        <v>0.69325500000000007</v>
      </c>
      <c r="O119" s="78">
        <v>0.71626429999999996</v>
      </c>
      <c r="P119" s="78">
        <v>0.78508369999999994</v>
      </c>
      <c r="Q119" s="78">
        <f t="shared" si="26"/>
        <v>0.73417090749999991</v>
      </c>
      <c r="R119" s="78">
        <f t="shared" si="16"/>
        <v>0.80471079249999988</v>
      </c>
      <c r="S119" s="78">
        <f t="shared" si="27"/>
        <v>0.64829732999999989</v>
      </c>
      <c r="T119" s="78">
        <f t="shared" si="17"/>
        <v>0.71058637499999999</v>
      </c>
      <c r="U119" s="78">
        <f t="shared" si="18"/>
        <v>0.73417090749999991</v>
      </c>
      <c r="V119" s="78">
        <f t="shared" si="19"/>
        <v>0.80471079249999988</v>
      </c>
      <c r="W119" s="78">
        <f t="shared" si="28"/>
        <v>0.68761372799999998</v>
      </c>
      <c r="X119" s="78">
        <f t="shared" si="20"/>
        <v>0.75368035199999994</v>
      </c>
      <c r="Y119" s="78">
        <f t="shared" si="29"/>
        <v>0.607185792</v>
      </c>
      <c r="Z119" s="78">
        <f t="shared" si="21"/>
        <v>0.66552480000000003</v>
      </c>
      <c r="AA119" s="78">
        <f t="shared" si="22"/>
        <v>0.68761372799999998</v>
      </c>
      <c r="AB119" s="78">
        <f t="shared" si="23"/>
        <v>0.75368035199999994</v>
      </c>
      <c r="AC119" s="78">
        <v>0.67251949999999994</v>
      </c>
      <c r="AD119" s="78">
        <v>0.74299029999999999</v>
      </c>
      <c r="AE119" s="78">
        <v>0.67437474999999991</v>
      </c>
      <c r="AF119" s="78">
        <v>0.73916935000000006</v>
      </c>
      <c r="AG119" s="95">
        <v>0.72367899999999996</v>
      </c>
      <c r="AH119" s="95">
        <v>0.80657299999999998</v>
      </c>
      <c r="AI119" s="95">
        <v>0.67252000000000001</v>
      </c>
      <c r="AJ119" s="95">
        <v>0.74299000000000004</v>
      </c>
      <c r="AK119" s="95">
        <f t="shared" si="30"/>
        <v>0.72367899999999996</v>
      </c>
      <c r="AL119" s="95">
        <f t="shared" si="31"/>
        <v>0.80657299999999998</v>
      </c>
    </row>
    <row r="120" spans="1:38" x14ac:dyDescent="0.2">
      <c r="A120" s="60">
        <v>1</v>
      </c>
      <c r="B120" s="55">
        <v>112</v>
      </c>
      <c r="C120" s="61">
        <v>0.81895873397559316</v>
      </c>
      <c r="D120" s="61">
        <v>0.84297922539231618</v>
      </c>
      <c r="E120" s="81">
        <v>0.82510864325041222</v>
      </c>
      <c r="F120" s="81">
        <v>0.85236878964712048</v>
      </c>
      <c r="G120" s="78">
        <v>1</v>
      </c>
      <c r="H120" s="78">
        <v>1</v>
      </c>
      <c r="I120" s="78">
        <v>0.6502173</v>
      </c>
      <c r="J120" s="78">
        <v>0.70473759999999996</v>
      </c>
      <c r="K120" s="78">
        <v>0.66792720000000005</v>
      </c>
      <c r="L120" s="78">
        <v>0.71822819999999998</v>
      </c>
      <c r="M120" s="78">
        <v>0.58980200000000005</v>
      </c>
      <c r="N120" s="78">
        <v>0.63421939999999999</v>
      </c>
      <c r="O120" s="78">
        <v>0.66792720000000005</v>
      </c>
      <c r="P120" s="78">
        <v>0.71822819999999998</v>
      </c>
      <c r="Q120" s="78">
        <f t="shared" si="26"/>
        <v>0.68462537999999995</v>
      </c>
      <c r="R120" s="78">
        <f t="shared" si="16"/>
        <v>0.73618390499999997</v>
      </c>
      <c r="S120" s="78">
        <f t="shared" si="27"/>
        <v>0.60454704999999997</v>
      </c>
      <c r="T120" s="78">
        <f t="shared" si="17"/>
        <v>0.65007488499999988</v>
      </c>
      <c r="U120" s="78">
        <f t="shared" si="18"/>
        <v>0.68462537999999995</v>
      </c>
      <c r="V120" s="78">
        <f t="shared" si="19"/>
        <v>0.73618390499999997</v>
      </c>
      <c r="W120" s="78">
        <f t="shared" si="28"/>
        <v>0.641210112</v>
      </c>
      <c r="X120" s="78">
        <f t="shared" si="20"/>
        <v>0.68949907199999994</v>
      </c>
      <c r="Y120" s="78">
        <f t="shared" si="29"/>
        <v>0.56620992000000003</v>
      </c>
      <c r="Z120" s="78">
        <f t="shared" si="21"/>
        <v>0.60885062400000001</v>
      </c>
      <c r="AA120" s="78">
        <f t="shared" si="22"/>
        <v>0.641210112</v>
      </c>
      <c r="AB120" s="78">
        <f t="shared" si="23"/>
        <v>0.68949907199999994</v>
      </c>
      <c r="AC120" s="78">
        <v>0.62713459999999999</v>
      </c>
      <c r="AD120" s="78">
        <v>0.67971940000000008</v>
      </c>
      <c r="AE120" s="78">
        <v>0.6288646</v>
      </c>
      <c r="AF120" s="78">
        <v>0.67622380000000004</v>
      </c>
      <c r="AG120" s="95">
        <v>0.67484200000000005</v>
      </c>
      <c r="AH120" s="95">
        <v>0.73788699999999996</v>
      </c>
      <c r="AI120" s="95">
        <v>0.627135</v>
      </c>
      <c r="AJ120" s="95">
        <v>0.67971899999999996</v>
      </c>
      <c r="AK120" s="95">
        <f t="shared" si="30"/>
        <v>0.67484200000000005</v>
      </c>
      <c r="AL120" s="95">
        <f t="shared" si="31"/>
        <v>0.73788699999999996</v>
      </c>
    </row>
    <row r="121" spans="1:38" x14ac:dyDescent="0.2">
      <c r="A121" s="60">
        <v>1</v>
      </c>
      <c r="B121" s="55">
        <v>113</v>
      </c>
      <c r="C121" s="61">
        <v>0.79372386076289092</v>
      </c>
      <c r="D121" s="61">
        <v>0.80765443348041921</v>
      </c>
      <c r="E121" s="81">
        <v>0.7993872113059769</v>
      </c>
      <c r="F121" s="81">
        <v>0.81607692819981825</v>
      </c>
      <c r="G121" s="78">
        <v>1</v>
      </c>
      <c r="H121" s="78">
        <v>1.0000001000000001</v>
      </c>
      <c r="I121" s="78">
        <v>0.59877449999999999</v>
      </c>
      <c r="J121" s="78">
        <v>0.63215379999999999</v>
      </c>
      <c r="K121" s="78">
        <v>0.61508319999999994</v>
      </c>
      <c r="L121" s="78">
        <v>0.64425500000000002</v>
      </c>
      <c r="M121" s="78">
        <v>0.54313899999999993</v>
      </c>
      <c r="N121" s="78">
        <v>0.56889860000000003</v>
      </c>
      <c r="O121" s="78">
        <v>0.61508319999999994</v>
      </c>
      <c r="P121" s="78">
        <v>0.64425500000000002</v>
      </c>
      <c r="Q121" s="78">
        <f t="shared" si="26"/>
        <v>0.63046027999999987</v>
      </c>
      <c r="R121" s="78">
        <f t="shared" si="16"/>
        <v>0.66036137499999992</v>
      </c>
      <c r="S121" s="78">
        <f t="shared" si="27"/>
        <v>0.55671747499999991</v>
      </c>
      <c r="T121" s="78">
        <f t="shared" si="17"/>
        <v>0.58312106499999994</v>
      </c>
      <c r="U121" s="78">
        <f t="shared" si="18"/>
        <v>0.63046027999999987</v>
      </c>
      <c r="V121" s="78">
        <f t="shared" si="19"/>
        <v>0.66036137499999992</v>
      </c>
      <c r="W121" s="78">
        <f t="shared" si="28"/>
        <v>0.59047987199999996</v>
      </c>
      <c r="X121" s="78">
        <f t="shared" si="20"/>
        <v>0.61848479999999995</v>
      </c>
      <c r="Y121" s="78">
        <f t="shared" si="29"/>
        <v>0.52141343999999989</v>
      </c>
      <c r="Z121" s="78">
        <f t="shared" si="21"/>
        <v>0.546142656</v>
      </c>
      <c r="AA121" s="78">
        <f t="shared" si="22"/>
        <v>0.59047987199999996</v>
      </c>
      <c r="AB121" s="78">
        <f t="shared" si="23"/>
        <v>0.61848479999999995</v>
      </c>
      <c r="AC121" s="78">
        <v>0.57751799999999998</v>
      </c>
      <c r="AD121" s="78">
        <v>0.60971229999999998</v>
      </c>
      <c r="AE121" s="78">
        <v>0.57911109999999999</v>
      </c>
      <c r="AF121" s="78">
        <v>0.60657680000000003</v>
      </c>
      <c r="AG121" s="95">
        <v>0.62145099999999998</v>
      </c>
      <c r="AH121" s="95">
        <v>0.66188899999999995</v>
      </c>
      <c r="AI121" s="95">
        <v>0.57751799999999998</v>
      </c>
      <c r="AJ121" s="95">
        <v>0.60971200000000003</v>
      </c>
      <c r="AK121" s="95">
        <f t="shared" si="30"/>
        <v>0.62145099999999998</v>
      </c>
      <c r="AL121" s="95">
        <f t="shared" si="31"/>
        <v>0.66188899999999995</v>
      </c>
    </row>
    <row r="122" spans="1:38" x14ac:dyDescent="0.2">
      <c r="A122" s="60">
        <v>1</v>
      </c>
      <c r="B122" s="55">
        <v>114</v>
      </c>
      <c r="C122" s="61">
        <v>0.77077592428286335</v>
      </c>
      <c r="D122" s="61">
        <v>0.77676928183084015</v>
      </c>
      <c r="E122" s="81">
        <v>0.77599681010518529</v>
      </c>
      <c r="F122" s="81">
        <v>0.78434625003529168</v>
      </c>
      <c r="G122" s="78">
        <v>1</v>
      </c>
      <c r="H122" s="78">
        <v>1</v>
      </c>
      <c r="I122" s="78">
        <v>0.55199359999999997</v>
      </c>
      <c r="J122" s="78">
        <v>0.56869250000000005</v>
      </c>
      <c r="K122" s="78">
        <v>0.56702819999999998</v>
      </c>
      <c r="L122" s="78">
        <v>0.57957880000000006</v>
      </c>
      <c r="M122" s="78">
        <v>0.5007047</v>
      </c>
      <c r="N122" s="78">
        <v>0.5117874</v>
      </c>
      <c r="O122" s="78">
        <v>0.56702819999999998</v>
      </c>
      <c r="P122" s="78">
        <v>0.57957880000000006</v>
      </c>
      <c r="Q122" s="78">
        <f t="shared" si="26"/>
        <v>0.58120390499999997</v>
      </c>
      <c r="R122" s="78">
        <f t="shared" si="16"/>
        <v>0.59406827000000006</v>
      </c>
      <c r="S122" s="78">
        <f t="shared" si="27"/>
        <v>0.51322231749999991</v>
      </c>
      <c r="T122" s="78">
        <f t="shared" si="17"/>
        <v>0.52458208499999992</v>
      </c>
      <c r="U122" s="78">
        <f t="shared" si="18"/>
        <v>0.58120390499999997</v>
      </c>
      <c r="V122" s="78">
        <f t="shared" si="19"/>
        <v>0.59406827000000006</v>
      </c>
      <c r="W122" s="78">
        <f t="shared" si="28"/>
        <v>0.54434707199999999</v>
      </c>
      <c r="X122" s="78">
        <f t="shared" si="20"/>
        <v>0.55639564800000008</v>
      </c>
      <c r="Y122" s="78">
        <f t="shared" si="29"/>
        <v>0.480676512</v>
      </c>
      <c r="Z122" s="78">
        <f t="shared" si="21"/>
        <v>0.49131590399999997</v>
      </c>
      <c r="AA122" s="78">
        <f t="shared" si="22"/>
        <v>0.54434707199999999</v>
      </c>
      <c r="AB122" s="78">
        <f t="shared" si="23"/>
        <v>0.55639564800000008</v>
      </c>
      <c r="AC122" s="78">
        <v>0.53239780000000003</v>
      </c>
      <c r="AD122" s="78">
        <v>0.54850389999999993</v>
      </c>
      <c r="AE122" s="78">
        <v>0.53386644999999999</v>
      </c>
      <c r="AF122" s="78">
        <v>0.54568309999999998</v>
      </c>
      <c r="AG122" s="95">
        <v>0.57289800000000002</v>
      </c>
      <c r="AH122" s="95">
        <v>0.59544299999999994</v>
      </c>
      <c r="AI122" s="95">
        <v>0.53239800000000004</v>
      </c>
      <c r="AJ122" s="95">
        <v>0.54850399999999999</v>
      </c>
      <c r="AK122" s="95">
        <f t="shared" si="30"/>
        <v>0.57289800000000002</v>
      </c>
      <c r="AL122" s="95">
        <f t="shared" si="31"/>
        <v>0.59544299999999994</v>
      </c>
    </row>
    <row r="123" spans="1:38" x14ac:dyDescent="0.2">
      <c r="A123" s="60">
        <v>1</v>
      </c>
      <c r="B123" s="55">
        <v>115</v>
      </c>
      <c r="C123" s="61">
        <v>1</v>
      </c>
      <c r="D123" s="61">
        <v>1</v>
      </c>
      <c r="E123" s="81">
        <v>1</v>
      </c>
      <c r="F123" s="81">
        <v>1</v>
      </c>
      <c r="G123" s="78">
        <v>1</v>
      </c>
      <c r="H123" s="78">
        <v>1</v>
      </c>
      <c r="I123" s="78">
        <v>1</v>
      </c>
      <c r="J123" s="78">
        <v>1</v>
      </c>
      <c r="K123" s="78">
        <v>1</v>
      </c>
      <c r="L123" s="78">
        <v>1</v>
      </c>
      <c r="M123" s="78">
        <v>0.92457400000000012</v>
      </c>
      <c r="N123" s="78">
        <v>0.92457400000000012</v>
      </c>
      <c r="O123" s="78">
        <v>1</v>
      </c>
      <c r="P123" s="78">
        <v>1</v>
      </c>
      <c r="Q123" s="78">
        <f t="shared" si="26"/>
        <v>1.0249999999999999</v>
      </c>
      <c r="R123" s="78">
        <f t="shared" si="16"/>
        <v>1.0249999999999999</v>
      </c>
      <c r="S123" s="78">
        <f t="shared" si="27"/>
        <v>0.94768835000000007</v>
      </c>
      <c r="T123" s="78">
        <f t="shared" si="17"/>
        <v>0.94768835000000007</v>
      </c>
      <c r="U123" s="78">
        <f t="shared" si="18"/>
        <v>1.0249999999999999</v>
      </c>
      <c r="V123" s="78">
        <f t="shared" si="19"/>
        <v>1.0249999999999999</v>
      </c>
      <c r="W123" s="78">
        <f t="shared" si="28"/>
        <v>0.96</v>
      </c>
      <c r="X123" s="78">
        <f t="shared" si="20"/>
        <v>0.96</v>
      </c>
      <c r="Y123" s="78">
        <f t="shared" si="29"/>
        <v>0.88759104000000011</v>
      </c>
      <c r="Z123" s="78">
        <f t="shared" si="21"/>
        <v>0.88759104000000011</v>
      </c>
      <c r="AA123" s="78">
        <f t="shared" si="22"/>
        <v>0.96</v>
      </c>
      <c r="AB123" s="78">
        <f t="shared" si="23"/>
        <v>0.96</v>
      </c>
      <c r="AC123" s="78">
        <v>1</v>
      </c>
      <c r="AD123" s="78">
        <v>1</v>
      </c>
      <c r="AE123" s="78">
        <v>0.96228700000000011</v>
      </c>
      <c r="AF123" s="78">
        <v>0.96228700000000011</v>
      </c>
      <c r="AG123" s="95">
        <v>1</v>
      </c>
      <c r="AH123" s="95">
        <v>1</v>
      </c>
      <c r="AI123" s="95">
        <v>1</v>
      </c>
      <c r="AJ123" s="95">
        <v>1</v>
      </c>
      <c r="AK123" s="95">
        <f t="shared" si="30"/>
        <v>1</v>
      </c>
      <c r="AL123" s="95">
        <f t="shared" si="31"/>
        <v>1</v>
      </c>
    </row>
    <row r="124" spans="1:38" x14ac:dyDescent="0.2">
      <c r="A124" s="60">
        <v>1</v>
      </c>
      <c r="B124" s="55">
        <v>116</v>
      </c>
      <c r="C124" s="61">
        <v>1</v>
      </c>
      <c r="D124" s="61">
        <v>1</v>
      </c>
      <c r="E124" s="81">
        <v>1</v>
      </c>
      <c r="F124" s="81">
        <v>1</v>
      </c>
      <c r="G124" s="78">
        <v>1</v>
      </c>
      <c r="H124" s="78">
        <v>1</v>
      </c>
      <c r="I124" s="78">
        <v>1</v>
      </c>
      <c r="J124" s="78">
        <v>1</v>
      </c>
      <c r="K124" s="78">
        <v>1</v>
      </c>
      <c r="L124" s="78">
        <v>1</v>
      </c>
      <c r="M124" s="78">
        <v>1</v>
      </c>
      <c r="N124" s="78">
        <v>1</v>
      </c>
      <c r="O124" s="78">
        <v>1</v>
      </c>
      <c r="P124" s="78">
        <v>1</v>
      </c>
      <c r="Q124" s="78">
        <f>K124</f>
        <v>1</v>
      </c>
      <c r="R124" s="78">
        <f t="shared" ref="R124" si="32">L124</f>
        <v>1</v>
      </c>
      <c r="S124" s="78">
        <f>M124</f>
        <v>1</v>
      </c>
      <c r="T124" s="78">
        <f t="shared" ref="T124:V124" si="33">N124</f>
        <v>1</v>
      </c>
      <c r="U124" s="78">
        <f t="shared" si="33"/>
        <v>1</v>
      </c>
      <c r="V124" s="78">
        <f t="shared" si="33"/>
        <v>1</v>
      </c>
      <c r="W124" s="78">
        <f>K124</f>
        <v>1</v>
      </c>
      <c r="X124" s="78">
        <f t="shared" ref="X124" si="34">L124</f>
        <v>1</v>
      </c>
      <c r="Y124" s="78">
        <f>M124</f>
        <v>1</v>
      </c>
      <c r="Z124" s="78">
        <f t="shared" ref="Z124:AB124" si="35">N124</f>
        <v>1</v>
      </c>
      <c r="AA124" s="78">
        <f t="shared" si="35"/>
        <v>1</v>
      </c>
      <c r="AB124" s="78">
        <f t="shared" si="35"/>
        <v>1</v>
      </c>
      <c r="AC124" s="78">
        <v>1</v>
      </c>
      <c r="AD124" s="78">
        <v>1</v>
      </c>
      <c r="AE124" s="78">
        <v>1</v>
      </c>
      <c r="AF124" s="78">
        <v>1</v>
      </c>
      <c r="AG124" s="95">
        <v>1</v>
      </c>
      <c r="AH124" s="95">
        <v>1</v>
      </c>
      <c r="AI124" s="95">
        <v>1</v>
      </c>
      <c r="AJ124" s="95">
        <v>1</v>
      </c>
      <c r="AK124" s="95">
        <f t="shared" si="30"/>
        <v>1</v>
      </c>
      <c r="AL124" s="95">
        <f t="shared" si="31"/>
        <v>1</v>
      </c>
    </row>
  </sheetData>
  <mergeCells count="2">
    <mergeCell ref="AG3:AJ3"/>
    <mergeCell ref="AK3:AL3"/>
  </mergeCells>
  <hyperlinks>
    <hyperlink ref="A1" location="'Table of Contents'!A1" display="Go to TOC" xr:uid="{00000000-0004-0000-0500-000000000000}"/>
  </hyperlink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P126"/>
  <sheetViews>
    <sheetView workbookViewId="0">
      <pane xSplit="2" ySplit="7" topLeftCell="C90" activePane="bottomRight" state="frozen"/>
      <selection pane="topRight" activeCell="C1" sqref="C1"/>
      <selection pane="bottomLeft" activeCell="A8" sqref="A8"/>
      <selection pane="bottomRight" activeCell="I102" sqref="I102"/>
    </sheetView>
  </sheetViews>
  <sheetFormatPr defaultRowHeight="12.75" x14ac:dyDescent="0.2"/>
  <cols>
    <col min="1" max="1" width="9.85546875" bestFit="1" customWidth="1"/>
    <col min="3" max="16" width="13.28515625" style="50" customWidth="1"/>
  </cols>
  <sheetData>
    <row r="1" spans="1:16" ht="15.75" x14ac:dyDescent="0.2">
      <c r="A1" s="16" t="s">
        <v>6</v>
      </c>
      <c r="B1" s="15" t="s">
        <v>27</v>
      </c>
      <c r="C1" s="44"/>
      <c r="D1" s="45"/>
      <c r="E1" s="45"/>
      <c r="F1" s="45"/>
      <c r="G1" s="44"/>
      <c r="H1" s="45"/>
      <c r="I1" s="44"/>
      <c r="J1" s="45"/>
      <c r="K1" s="44"/>
      <c r="L1" s="45"/>
      <c r="M1" s="44"/>
      <c r="N1" s="45"/>
      <c r="O1" s="44"/>
      <c r="P1" s="45"/>
    </row>
    <row r="2" spans="1:16" ht="15.75" x14ac:dyDescent="0.2">
      <c r="A2" s="16"/>
      <c r="B2" s="15"/>
      <c r="C2" s="44"/>
      <c r="D2" s="45"/>
      <c r="E2" s="45"/>
      <c r="F2" s="45"/>
      <c r="G2" s="44"/>
      <c r="H2" s="45"/>
      <c r="I2" s="44"/>
      <c r="J2" s="45"/>
      <c r="K2" s="44"/>
      <c r="L2" s="45"/>
      <c r="M2" s="44"/>
      <c r="N2" s="45"/>
      <c r="O2" s="44"/>
      <c r="P2" s="45"/>
    </row>
    <row r="3" spans="1:16" x14ac:dyDescent="0.2">
      <c r="A3" s="17"/>
      <c r="B3" s="18" t="str">
        <f ca="1">GetNameRange(B5)</f>
        <v>mort_improve_pct</v>
      </c>
      <c r="C3" s="87" t="s">
        <v>40</v>
      </c>
      <c r="D3" s="45"/>
      <c r="E3" s="17" t="s">
        <v>38</v>
      </c>
      <c r="F3" s="45"/>
      <c r="G3" s="87" t="s">
        <v>39</v>
      </c>
      <c r="H3" s="45"/>
      <c r="I3" s="87" t="s">
        <v>41</v>
      </c>
      <c r="J3" s="45"/>
      <c r="K3" s="87" t="s">
        <v>41</v>
      </c>
      <c r="L3" s="45"/>
      <c r="M3" s="107" t="s">
        <v>48</v>
      </c>
      <c r="N3" s="107"/>
      <c r="O3" s="87" t="s">
        <v>41</v>
      </c>
      <c r="P3" s="45"/>
    </row>
    <row r="4" spans="1:16" ht="13.5" customHeight="1" x14ac:dyDescent="0.2">
      <c r="A4" s="17" t="s">
        <v>7</v>
      </c>
      <c r="B4" s="52" t="s">
        <v>9</v>
      </c>
      <c r="C4" s="68" t="s">
        <v>25</v>
      </c>
      <c r="D4" s="68" t="s">
        <v>25</v>
      </c>
      <c r="E4" s="82" t="s">
        <v>37</v>
      </c>
      <c r="F4" s="82" t="s">
        <v>37</v>
      </c>
      <c r="G4" s="73" t="s">
        <v>31</v>
      </c>
      <c r="H4" s="73" t="s">
        <v>31</v>
      </c>
      <c r="I4" s="73" t="s">
        <v>43</v>
      </c>
      <c r="J4" s="73" t="s">
        <v>43</v>
      </c>
      <c r="K4" s="73" t="s">
        <v>44</v>
      </c>
      <c r="L4" s="73" t="s">
        <v>44</v>
      </c>
      <c r="M4" s="96" t="s">
        <v>47</v>
      </c>
      <c r="N4" s="96" t="s">
        <v>47</v>
      </c>
      <c r="O4" s="73" t="s">
        <v>42</v>
      </c>
      <c r="P4" s="73" t="s">
        <v>42</v>
      </c>
    </row>
    <row r="5" spans="1:16" x14ac:dyDescent="0.2">
      <c r="A5" s="37"/>
      <c r="B5" s="53" t="s">
        <v>10</v>
      </c>
      <c r="C5" s="69" t="s">
        <v>12</v>
      </c>
      <c r="D5" s="69" t="s">
        <v>18</v>
      </c>
      <c r="E5" s="83" t="s">
        <v>12</v>
      </c>
      <c r="F5" s="83" t="s">
        <v>18</v>
      </c>
      <c r="G5" s="47" t="s">
        <v>12</v>
      </c>
      <c r="H5" s="47" t="s">
        <v>18</v>
      </c>
      <c r="I5" s="47" t="s">
        <v>12</v>
      </c>
      <c r="J5" s="47" t="s">
        <v>18</v>
      </c>
      <c r="K5" s="47" t="s">
        <v>12</v>
      </c>
      <c r="L5" s="47" t="s">
        <v>18</v>
      </c>
      <c r="M5" s="101" t="s">
        <v>12</v>
      </c>
      <c r="N5" s="101" t="s">
        <v>18</v>
      </c>
      <c r="O5" s="47" t="s">
        <v>12</v>
      </c>
      <c r="P5" s="47" t="s">
        <v>18</v>
      </c>
    </row>
    <row r="6" spans="1:16" x14ac:dyDescent="0.2">
      <c r="A6" s="37" t="s">
        <v>5</v>
      </c>
      <c r="B6" s="51" t="s">
        <v>24</v>
      </c>
      <c r="C6" s="41"/>
      <c r="D6" s="42"/>
      <c r="E6" s="84"/>
      <c r="F6" s="84"/>
      <c r="G6" s="41"/>
      <c r="H6" s="42"/>
      <c r="I6" s="41"/>
      <c r="J6" s="42"/>
      <c r="K6" s="41"/>
      <c r="L6" s="42"/>
      <c r="M6" s="102"/>
      <c r="N6" s="103"/>
      <c r="O6" s="48"/>
      <c r="P6" s="49"/>
    </row>
    <row r="7" spans="1:16" x14ac:dyDescent="0.2">
      <c r="A7" s="22">
        <v>1</v>
      </c>
      <c r="B7" s="47">
        <v>0</v>
      </c>
      <c r="C7" s="88">
        <v>0</v>
      </c>
      <c r="D7" s="88">
        <v>0</v>
      </c>
      <c r="E7" s="85">
        <v>0.01</v>
      </c>
      <c r="F7" s="85">
        <v>0.01</v>
      </c>
      <c r="G7" s="90">
        <v>0</v>
      </c>
      <c r="H7" s="90">
        <v>0</v>
      </c>
      <c r="I7" s="90">
        <v>0</v>
      </c>
      <c r="J7" s="90">
        <v>0</v>
      </c>
      <c r="K7" s="90">
        <v>0</v>
      </c>
      <c r="L7" s="90">
        <v>0</v>
      </c>
      <c r="M7" s="104">
        <v>0</v>
      </c>
      <c r="N7" s="104">
        <v>0</v>
      </c>
      <c r="O7" s="88">
        <v>0.01</v>
      </c>
      <c r="P7" s="88">
        <v>0.01</v>
      </c>
    </row>
    <row r="8" spans="1:16" x14ac:dyDescent="0.2">
      <c r="A8" s="17"/>
      <c r="B8" s="47">
        <v>1</v>
      </c>
      <c r="C8" s="12">
        <v>0</v>
      </c>
      <c r="D8" s="14">
        <v>0</v>
      </c>
      <c r="E8" s="86">
        <v>0.01</v>
      </c>
      <c r="F8" s="86">
        <v>0.01</v>
      </c>
      <c r="G8" s="90">
        <v>0.01</v>
      </c>
      <c r="H8" s="90">
        <v>0.01</v>
      </c>
      <c r="I8" s="90">
        <f>O8*0.6</f>
        <v>6.0000000000000001E-3</v>
      </c>
      <c r="J8" s="90">
        <f>P8*0.6</f>
        <v>6.0000000000000001E-3</v>
      </c>
      <c r="K8" s="90">
        <f>O8*1.4</f>
        <v>1.3999999999999999E-2</v>
      </c>
      <c r="L8" s="90">
        <f>P8*1.4</f>
        <v>1.3999999999999999E-2</v>
      </c>
      <c r="M8" s="104">
        <v>0</v>
      </c>
      <c r="N8" s="104">
        <v>0</v>
      </c>
      <c r="O8" s="88">
        <v>0.01</v>
      </c>
      <c r="P8" s="88">
        <v>0.01</v>
      </c>
    </row>
    <row r="9" spans="1:16" x14ac:dyDescent="0.2">
      <c r="A9" s="17"/>
      <c r="B9" s="47">
        <v>2</v>
      </c>
      <c r="C9" s="12">
        <v>0</v>
      </c>
      <c r="D9" s="12">
        <v>0</v>
      </c>
      <c r="E9" s="86">
        <v>0.01</v>
      </c>
      <c r="F9" s="86">
        <v>0.01</v>
      </c>
      <c r="G9" s="90">
        <v>0.01</v>
      </c>
      <c r="H9" s="90">
        <v>0.01</v>
      </c>
      <c r="I9" s="90">
        <f t="shared" ref="I9:I72" si="0">O9*0.6</f>
        <v>6.0000000000000001E-3</v>
      </c>
      <c r="J9" s="90">
        <f t="shared" ref="J9:J72" si="1">P9*0.6</f>
        <v>6.0000000000000001E-3</v>
      </c>
      <c r="K9" s="90">
        <f t="shared" ref="K9:K72" si="2">O9*1.4</f>
        <v>1.3999999999999999E-2</v>
      </c>
      <c r="L9" s="90">
        <f t="shared" ref="L9:L72" si="3">P9*1.4</f>
        <v>1.3999999999999999E-2</v>
      </c>
      <c r="M9" s="104">
        <v>0</v>
      </c>
      <c r="N9" s="104">
        <v>0</v>
      </c>
      <c r="O9" s="88">
        <v>0.01</v>
      </c>
      <c r="P9" s="88">
        <v>0.01</v>
      </c>
    </row>
    <row r="10" spans="1:16" x14ac:dyDescent="0.2">
      <c r="A10" s="17"/>
      <c r="B10" s="47">
        <v>3</v>
      </c>
      <c r="C10" s="12">
        <v>0</v>
      </c>
      <c r="D10" s="12">
        <v>0</v>
      </c>
      <c r="E10" s="86">
        <v>0.01</v>
      </c>
      <c r="F10" s="86">
        <v>0.01</v>
      </c>
      <c r="G10" s="90">
        <v>0.01</v>
      </c>
      <c r="H10" s="90">
        <v>0.01</v>
      </c>
      <c r="I10" s="90">
        <f t="shared" si="0"/>
        <v>6.0000000000000001E-3</v>
      </c>
      <c r="J10" s="90">
        <f t="shared" si="1"/>
        <v>6.0000000000000001E-3</v>
      </c>
      <c r="K10" s="90">
        <f t="shared" si="2"/>
        <v>1.3999999999999999E-2</v>
      </c>
      <c r="L10" s="90">
        <f t="shared" si="3"/>
        <v>1.3999999999999999E-2</v>
      </c>
      <c r="M10" s="104">
        <v>0</v>
      </c>
      <c r="N10" s="104">
        <v>0</v>
      </c>
      <c r="O10" s="88">
        <v>0.01</v>
      </c>
      <c r="P10" s="88">
        <v>0.01</v>
      </c>
    </row>
    <row r="11" spans="1:16" x14ac:dyDescent="0.2">
      <c r="A11" s="17"/>
      <c r="B11" s="47">
        <v>4</v>
      </c>
      <c r="C11" s="12">
        <v>0</v>
      </c>
      <c r="D11" s="12">
        <v>0</v>
      </c>
      <c r="E11" s="86">
        <v>0.01</v>
      </c>
      <c r="F11" s="86">
        <v>0.01</v>
      </c>
      <c r="G11" s="90">
        <v>0.01</v>
      </c>
      <c r="H11" s="90">
        <v>0.01</v>
      </c>
      <c r="I11" s="90">
        <f t="shared" si="0"/>
        <v>6.0000000000000001E-3</v>
      </c>
      <c r="J11" s="90">
        <f t="shared" si="1"/>
        <v>6.0000000000000001E-3</v>
      </c>
      <c r="K11" s="90">
        <f t="shared" si="2"/>
        <v>1.3999999999999999E-2</v>
      </c>
      <c r="L11" s="90">
        <f t="shared" si="3"/>
        <v>1.3999999999999999E-2</v>
      </c>
      <c r="M11" s="104">
        <v>0</v>
      </c>
      <c r="N11" s="104">
        <v>0</v>
      </c>
      <c r="O11" s="88">
        <v>0.01</v>
      </c>
      <c r="P11" s="88">
        <v>0.01</v>
      </c>
    </row>
    <row r="12" spans="1:16" x14ac:dyDescent="0.2">
      <c r="A12" s="17"/>
      <c r="B12" s="47">
        <v>5</v>
      </c>
      <c r="C12" s="12">
        <v>0.01</v>
      </c>
      <c r="D12" s="12">
        <v>0.01</v>
      </c>
      <c r="E12" s="86">
        <v>0.01</v>
      </c>
      <c r="F12" s="86">
        <v>0.01</v>
      </c>
      <c r="G12" s="90">
        <v>0.01</v>
      </c>
      <c r="H12" s="90">
        <v>0.01</v>
      </c>
      <c r="I12" s="90">
        <f t="shared" si="0"/>
        <v>6.0000000000000001E-3</v>
      </c>
      <c r="J12" s="90">
        <f t="shared" si="1"/>
        <v>6.0000000000000001E-3</v>
      </c>
      <c r="K12" s="90">
        <f t="shared" si="2"/>
        <v>1.3999999999999999E-2</v>
      </c>
      <c r="L12" s="90">
        <f t="shared" si="3"/>
        <v>1.3999999999999999E-2</v>
      </c>
      <c r="M12" s="104">
        <v>0.01</v>
      </c>
      <c r="N12" s="104">
        <v>0.01</v>
      </c>
      <c r="O12" s="88">
        <v>0.01</v>
      </c>
      <c r="P12" s="88">
        <v>0.01</v>
      </c>
    </row>
    <row r="13" spans="1:16" x14ac:dyDescent="0.2">
      <c r="A13" s="17"/>
      <c r="B13" s="47">
        <v>6</v>
      </c>
      <c r="C13" s="12">
        <v>0.01</v>
      </c>
      <c r="D13" s="12">
        <v>0.01</v>
      </c>
      <c r="E13" s="86">
        <v>0.01</v>
      </c>
      <c r="F13" s="86">
        <v>0.01</v>
      </c>
      <c r="G13" s="90">
        <v>0.01</v>
      </c>
      <c r="H13" s="90">
        <v>0.01</v>
      </c>
      <c r="I13" s="90">
        <f t="shared" si="0"/>
        <v>6.0000000000000001E-3</v>
      </c>
      <c r="J13" s="90">
        <f t="shared" si="1"/>
        <v>6.0000000000000001E-3</v>
      </c>
      <c r="K13" s="90">
        <f t="shared" si="2"/>
        <v>1.3999999999999999E-2</v>
      </c>
      <c r="L13" s="90">
        <f t="shared" si="3"/>
        <v>1.3999999999999999E-2</v>
      </c>
      <c r="M13" s="104">
        <v>0.01</v>
      </c>
      <c r="N13" s="104">
        <v>0.01</v>
      </c>
      <c r="O13" s="88">
        <v>0.01</v>
      </c>
      <c r="P13" s="88">
        <v>0.01</v>
      </c>
    </row>
    <row r="14" spans="1:16" x14ac:dyDescent="0.2">
      <c r="B14" s="47">
        <v>7</v>
      </c>
      <c r="C14" s="89">
        <v>0.01</v>
      </c>
      <c r="D14" s="89">
        <v>0.01</v>
      </c>
      <c r="E14" s="85">
        <v>0.01</v>
      </c>
      <c r="F14" s="85">
        <v>0.01</v>
      </c>
      <c r="G14" s="90">
        <v>0.01</v>
      </c>
      <c r="H14" s="90">
        <v>0.01</v>
      </c>
      <c r="I14" s="90">
        <f t="shared" si="0"/>
        <v>6.0000000000000001E-3</v>
      </c>
      <c r="J14" s="90">
        <f t="shared" si="1"/>
        <v>6.0000000000000001E-3</v>
      </c>
      <c r="K14" s="90">
        <f t="shared" si="2"/>
        <v>1.3999999999999999E-2</v>
      </c>
      <c r="L14" s="90">
        <f t="shared" si="3"/>
        <v>1.3999999999999999E-2</v>
      </c>
      <c r="M14" s="104">
        <v>0.01</v>
      </c>
      <c r="N14" s="104">
        <v>0.01</v>
      </c>
      <c r="O14" s="88">
        <v>0.01</v>
      </c>
      <c r="P14" s="88">
        <v>0.01</v>
      </c>
    </row>
    <row r="15" spans="1:16" x14ac:dyDescent="0.2">
      <c r="B15" s="47">
        <v>8</v>
      </c>
      <c r="C15" s="89">
        <v>0.01</v>
      </c>
      <c r="D15" s="89">
        <v>0.01</v>
      </c>
      <c r="E15" s="85">
        <v>0.01</v>
      </c>
      <c r="F15" s="85">
        <v>0.01</v>
      </c>
      <c r="G15" s="90">
        <v>0.01</v>
      </c>
      <c r="H15" s="90">
        <v>0.01</v>
      </c>
      <c r="I15" s="90">
        <f t="shared" si="0"/>
        <v>6.0000000000000001E-3</v>
      </c>
      <c r="J15" s="90">
        <f t="shared" si="1"/>
        <v>6.0000000000000001E-3</v>
      </c>
      <c r="K15" s="90">
        <f t="shared" si="2"/>
        <v>1.3999999999999999E-2</v>
      </c>
      <c r="L15" s="90">
        <f t="shared" si="3"/>
        <v>1.3999999999999999E-2</v>
      </c>
      <c r="M15" s="104">
        <v>0.01</v>
      </c>
      <c r="N15" s="104">
        <v>0.01</v>
      </c>
      <c r="O15" s="88">
        <v>0.01</v>
      </c>
      <c r="P15" s="88">
        <v>0.01</v>
      </c>
    </row>
    <row r="16" spans="1:16" x14ac:dyDescent="0.2">
      <c r="B16" s="47">
        <v>9</v>
      </c>
      <c r="C16" s="89">
        <v>0.01</v>
      </c>
      <c r="D16" s="89">
        <v>0.01</v>
      </c>
      <c r="E16" s="85">
        <v>0.01</v>
      </c>
      <c r="F16" s="85">
        <v>0.01</v>
      </c>
      <c r="G16" s="90">
        <v>0.01</v>
      </c>
      <c r="H16" s="90">
        <v>0.01</v>
      </c>
      <c r="I16" s="90">
        <f t="shared" si="0"/>
        <v>6.0000000000000001E-3</v>
      </c>
      <c r="J16" s="90">
        <f t="shared" si="1"/>
        <v>6.0000000000000001E-3</v>
      </c>
      <c r="K16" s="90">
        <f t="shared" si="2"/>
        <v>1.3999999999999999E-2</v>
      </c>
      <c r="L16" s="90">
        <f t="shared" si="3"/>
        <v>1.3999999999999999E-2</v>
      </c>
      <c r="M16" s="104">
        <v>0.01</v>
      </c>
      <c r="N16" s="104">
        <v>0.01</v>
      </c>
      <c r="O16" s="88">
        <v>0.01</v>
      </c>
      <c r="P16" s="88">
        <v>0.01</v>
      </c>
    </row>
    <row r="17" spans="2:16" x14ac:dyDescent="0.2">
      <c r="B17" s="47">
        <v>10</v>
      </c>
      <c r="C17" s="89">
        <v>0.01</v>
      </c>
      <c r="D17" s="89">
        <v>0.01</v>
      </c>
      <c r="E17" s="85">
        <v>0.01</v>
      </c>
      <c r="F17" s="85">
        <v>0.01</v>
      </c>
      <c r="G17" s="90">
        <v>0.01</v>
      </c>
      <c r="H17" s="90">
        <v>0.01</v>
      </c>
      <c r="I17" s="90">
        <f t="shared" si="0"/>
        <v>6.0000000000000001E-3</v>
      </c>
      <c r="J17" s="90">
        <f t="shared" si="1"/>
        <v>6.0000000000000001E-3</v>
      </c>
      <c r="K17" s="90">
        <f t="shared" si="2"/>
        <v>1.3999999999999999E-2</v>
      </c>
      <c r="L17" s="90">
        <f t="shared" si="3"/>
        <v>1.3999999999999999E-2</v>
      </c>
      <c r="M17" s="104">
        <v>0.01</v>
      </c>
      <c r="N17" s="104">
        <v>0.01</v>
      </c>
      <c r="O17" s="88">
        <v>0.01</v>
      </c>
      <c r="P17" s="88">
        <v>0.01</v>
      </c>
    </row>
    <row r="18" spans="2:16" x14ac:dyDescent="0.2">
      <c r="B18" s="47">
        <v>11</v>
      </c>
      <c r="C18" s="89">
        <v>0.01</v>
      </c>
      <c r="D18" s="89">
        <v>0.01</v>
      </c>
      <c r="E18" s="85">
        <v>0.01</v>
      </c>
      <c r="F18" s="85">
        <v>0.01</v>
      </c>
      <c r="G18" s="90">
        <v>0.01</v>
      </c>
      <c r="H18" s="90">
        <v>0.01</v>
      </c>
      <c r="I18" s="90">
        <f t="shared" si="0"/>
        <v>6.0000000000000001E-3</v>
      </c>
      <c r="J18" s="90">
        <f t="shared" si="1"/>
        <v>6.0000000000000001E-3</v>
      </c>
      <c r="K18" s="90">
        <f t="shared" si="2"/>
        <v>1.3999999999999999E-2</v>
      </c>
      <c r="L18" s="90">
        <f t="shared" si="3"/>
        <v>1.3999999999999999E-2</v>
      </c>
      <c r="M18" s="104">
        <v>0.01</v>
      </c>
      <c r="N18" s="104">
        <v>0.01</v>
      </c>
      <c r="O18" s="88">
        <v>0.01</v>
      </c>
      <c r="P18" s="88">
        <v>0.01</v>
      </c>
    </row>
    <row r="19" spans="2:16" x14ac:dyDescent="0.2">
      <c r="B19" s="47">
        <v>12</v>
      </c>
      <c r="C19" s="89">
        <v>0.01</v>
      </c>
      <c r="D19" s="89">
        <v>0.01</v>
      </c>
      <c r="E19" s="85">
        <v>0.01</v>
      </c>
      <c r="F19" s="85">
        <v>0.01</v>
      </c>
      <c r="G19" s="90">
        <v>0.01</v>
      </c>
      <c r="H19" s="90">
        <v>0.01</v>
      </c>
      <c r="I19" s="90">
        <f t="shared" si="0"/>
        <v>6.0000000000000001E-3</v>
      </c>
      <c r="J19" s="90">
        <f t="shared" si="1"/>
        <v>6.0000000000000001E-3</v>
      </c>
      <c r="K19" s="90">
        <f t="shared" si="2"/>
        <v>1.3999999999999999E-2</v>
      </c>
      <c r="L19" s="90">
        <f t="shared" si="3"/>
        <v>1.3999999999999999E-2</v>
      </c>
      <c r="M19" s="104">
        <v>0.01</v>
      </c>
      <c r="N19" s="104">
        <v>0.01</v>
      </c>
      <c r="O19" s="88">
        <v>0.01</v>
      </c>
      <c r="P19" s="88">
        <v>0.01</v>
      </c>
    </row>
    <row r="20" spans="2:16" x14ac:dyDescent="0.2">
      <c r="B20" s="47">
        <v>13</v>
      </c>
      <c r="C20" s="89">
        <v>0.01</v>
      </c>
      <c r="D20" s="89">
        <v>0.01</v>
      </c>
      <c r="E20" s="85">
        <v>0.01</v>
      </c>
      <c r="F20" s="85">
        <v>0.01</v>
      </c>
      <c r="G20" s="90">
        <v>0.01</v>
      </c>
      <c r="H20" s="90">
        <v>0.01</v>
      </c>
      <c r="I20" s="90">
        <f t="shared" si="0"/>
        <v>6.0000000000000001E-3</v>
      </c>
      <c r="J20" s="90">
        <f t="shared" si="1"/>
        <v>6.0000000000000001E-3</v>
      </c>
      <c r="K20" s="90">
        <f t="shared" si="2"/>
        <v>1.3999999999999999E-2</v>
      </c>
      <c r="L20" s="90">
        <f t="shared" si="3"/>
        <v>1.3999999999999999E-2</v>
      </c>
      <c r="M20" s="104">
        <v>0.01</v>
      </c>
      <c r="N20" s="104">
        <v>0.01</v>
      </c>
      <c r="O20" s="88">
        <v>0.01</v>
      </c>
      <c r="P20" s="88">
        <v>0.01</v>
      </c>
    </row>
    <row r="21" spans="2:16" x14ac:dyDescent="0.2">
      <c r="B21" s="47">
        <v>14</v>
      </c>
      <c r="C21" s="89">
        <v>0.01</v>
      </c>
      <c r="D21" s="89">
        <v>0.01</v>
      </c>
      <c r="E21" s="85">
        <v>0.01</v>
      </c>
      <c r="F21" s="85">
        <v>0.01</v>
      </c>
      <c r="G21" s="90">
        <v>0.01</v>
      </c>
      <c r="H21" s="90">
        <v>0.01</v>
      </c>
      <c r="I21" s="90">
        <f t="shared" si="0"/>
        <v>6.0000000000000001E-3</v>
      </c>
      <c r="J21" s="90">
        <f t="shared" si="1"/>
        <v>6.0000000000000001E-3</v>
      </c>
      <c r="K21" s="90">
        <f t="shared" si="2"/>
        <v>1.3999999999999999E-2</v>
      </c>
      <c r="L21" s="90">
        <f t="shared" si="3"/>
        <v>1.3999999999999999E-2</v>
      </c>
      <c r="M21" s="104">
        <v>0.01</v>
      </c>
      <c r="N21" s="104">
        <v>0.01</v>
      </c>
      <c r="O21" s="88">
        <v>0.01</v>
      </c>
      <c r="P21" s="88">
        <v>0.01</v>
      </c>
    </row>
    <row r="22" spans="2:16" x14ac:dyDescent="0.2">
      <c r="B22" s="47">
        <v>15</v>
      </c>
      <c r="C22" s="89">
        <v>0.01</v>
      </c>
      <c r="D22" s="89">
        <v>0.01</v>
      </c>
      <c r="E22" s="85">
        <v>0.01</v>
      </c>
      <c r="F22" s="85">
        <v>0.01</v>
      </c>
      <c r="G22" s="90">
        <v>0.01</v>
      </c>
      <c r="H22" s="90">
        <v>0.01</v>
      </c>
      <c r="I22" s="90">
        <f t="shared" si="0"/>
        <v>6.0000000000000001E-3</v>
      </c>
      <c r="J22" s="90">
        <f t="shared" si="1"/>
        <v>6.0000000000000001E-3</v>
      </c>
      <c r="K22" s="90">
        <f t="shared" si="2"/>
        <v>1.3999999999999999E-2</v>
      </c>
      <c r="L22" s="90">
        <f t="shared" si="3"/>
        <v>1.3999999999999999E-2</v>
      </c>
      <c r="M22" s="104">
        <v>0.01</v>
      </c>
      <c r="N22" s="104">
        <v>0.01</v>
      </c>
      <c r="O22" s="88">
        <v>0.01</v>
      </c>
      <c r="P22" s="88">
        <v>0.01</v>
      </c>
    </row>
    <row r="23" spans="2:16" x14ac:dyDescent="0.2">
      <c r="B23" s="47">
        <v>16</v>
      </c>
      <c r="C23" s="89">
        <v>0.01</v>
      </c>
      <c r="D23" s="89">
        <v>0.01</v>
      </c>
      <c r="E23" s="85">
        <v>0.01</v>
      </c>
      <c r="F23" s="85">
        <v>0.01</v>
      </c>
      <c r="G23" s="90">
        <v>0.01</v>
      </c>
      <c r="H23" s="90">
        <v>0.01</v>
      </c>
      <c r="I23" s="90">
        <f t="shared" si="0"/>
        <v>6.0000000000000001E-3</v>
      </c>
      <c r="J23" s="90">
        <f t="shared" si="1"/>
        <v>6.0000000000000001E-3</v>
      </c>
      <c r="K23" s="90">
        <f t="shared" si="2"/>
        <v>1.3999999999999999E-2</v>
      </c>
      <c r="L23" s="90">
        <f t="shared" si="3"/>
        <v>1.3999999999999999E-2</v>
      </c>
      <c r="M23" s="104">
        <v>0.01</v>
      </c>
      <c r="N23" s="104">
        <v>0.01</v>
      </c>
      <c r="O23" s="88">
        <v>0.01</v>
      </c>
      <c r="P23" s="88">
        <v>0.01</v>
      </c>
    </row>
    <row r="24" spans="2:16" x14ac:dyDescent="0.2">
      <c r="B24" s="47">
        <v>17</v>
      </c>
      <c r="C24" s="89">
        <v>0.01</v>
      </c>
      <c r="D24" s="89">
        <v>0.01</v>
      </c>
      <c r="E24" s="85">
        <v>0.01</v>
      </c>
      <c r="F24" s="85">
        <v>0.01</v>
      </c>
      <c r="G24" s="90">
        <v>0.01</v>
      </c>
      <c r="H24" s="90">
        <v>0.01</v>
      </c>
      <c r="I24" s="90">
        <f t="shared" si="0"/>
        <v>6.0000000000000001E-3</v>
      </c>
      <c r="J24" s="90">
        <f t="shared" si="1"/>
        <v>6.0000000000000001E-3</v>
      </c>
      <c r="K24" s="90">
        <f t="shared" si="2"/>
        <v>1.3999999999999999E-2</v>
      </c>
      <c r="L24" s="90">
        <f t="shared" si="3"/>
        <v>1.3999999999999999E-2</v>
      </c>
      <c r="M24" s="104">
        <v>0.01</v>
      </c>
      <c r="N24" s="104">
        <v>0.01</v>
      </c>
      <c r="O24" s="88">
        <v>0.01</v>
      </c>
      <c r="P24" s="88">
        <v>0.01</v>
      </c>
    </row>
    <row r="25" spans="2:16" x14ac:dyDescent="0.2">
      <c r="B25" s="47">
        <v>18</v>
      </c>
      <c r="C25" s="89">
        <v>0.01</v>
      </c>
      <c r="D25" s="89">
        <v>0.01</v>
      </c>
      <c r="E25" s="85">
        <v>0.01</v>
      </c>
      <c r="F25" s="85">
        <v>0.01</v>
      </c>
      <c r="G25" s="90">
        <v>0.01</v>
      </c>
      <c r="H25" s="90">
        <v>0.01</v>
      </c>
      <c r="I25" s="90">
        <f t="shared" si="0"/>
        <v>6.0000000000000001E-3</v>
      </c>
      <c r="J25" s="90">
        <f t="shared" si="1"/>
        <v>6.0000000000000001E-3</v>
      </c>
      <c r="K25" s="90">
        <f t="shared" si="2"/>
        <v>1.3999999999999999E-2</v>
      </c>
      <c r="L25" s="90">
        <f t="shared" si="3"/>
        <v>1.3999999999999999E-2</v>
      </c>
      <c r="M25" s="104">
        <v>0.01</v>
      </c>
      <c r="N25" s="104">
        <v>0.01</v>
      </c>
      <c r="O25" s="88">
        <v>0.01</v>
      </c>
      <c r="P25" s="88">
        <v>0.01</v>
      </c>
    </row>
    <row r="26" spans="2:16" x14ac:dyDescent="0.2">
      <c r="B26" s="47">
        <v>19</v>
      </c>
      <c r="C26" s="89">
        <v>0.01</v>
      </c>
      <c r="D26" s="89">
        <v>0.01</v>
      </c>
      <c r="E26" s="85">
        <v>0.01</v>
      </c>
      <c r="F26" s="85">
        <v>0.01</v>
      </c>
      <c r="G26" s="90">
        <v>0.01</v>
      </c>
      <c r="H26" s="90">
        <v>0.01</v>
      </c>
      <c r="I26" s="90">
        <f t="shared" si="0"/>
        <v>6.0000000000000001E-3</v>
      </c>
      <c r="J26" s="90">
        <f t="shared" si="1"/>
        <v>6.0000000000000001E-3</v>
      </c>
      <c r="K26" s="90">
        <f t="shared" si="2"/>
        <v>1.3999999999999999E-2</v>
      </c>
      <c r="L26" s="90">
        <f t="shared" si="3"/>
        <v>1.3999999999999999E-2</v>
      </c>
      <c r="M26" s="104">
        <v>0.01</v>
      </c>
      <c r="N26" s="104">
        <v>0.01</v>
      </c>
      <c r="O26" s="88">
        <v>0.01</v>
      </c>
      <c r="P26" s="88">
        <v>0.01</v>
      </c>
    </row>
    <row r="27" spans="2:16" x14ac:dyDescent="0.2">
      <c r="B27" s="47">
        <v>20</v>
      </c>
      <c r="C27" s="89">
        <v>0.01</v>
      </c>
      <c r="D27" s="89">
        <v>0.01</v>
      </c>
      <c r="E27" s="85">
        <v>0.01</v>
      </c>
      <c r="F27" s="85">
        <v>0.01</v>
      </c>
      <c r="G27" s="90">
        <v>0.01</v>
      </c>
      <c r="H27" s="90">
        <v>0.01</v>
      </c>
      <c r="I27" s="90">
        <f t="shared" si="0"/>
        <v>6.0000000000000001E-3</v>
      </c>
      <c r="J27" s="90">
        <f t="shared" si="1"/>
        <v>6.0000000000000001E-3</v>
      </c>
      <c r="K27" s="90">
        <f t="shared" si="2"/>
        <v>1.3999999999999999E-2</v>
      </c>
      <c r="L27" s="90">
        <f t="shared" si="3"/>
        <v>1.3999999999999999E-2</v>
      </c>
      <c r="M27" s="104">
        <v>0.01</v>
      </c>
      <c r="N27" s="104">
        <v>0.01</v>
      </c>
      <c r="O27" s="88">
        <v>0.01</v>
      </c>
      <c r="P27" s="88">
        <v>0.01</v>
      </c>
    </row>
    <row r="28" spans="2:16" x14ac:dyDescent="0.2">
      <c r="B28" s="47">
        <v>21</v>
      </c>
      <c r="C28" s="89">
        <v>0.01</v>
      </c>
      <c r="D28" s="89">
        <v>0.01</v>
      </c>
      <c r="E28" s="85">
        <v>0.01</v>
      </c>
      <c r="F28" s="85">
        <v>0.01</v>
      </c>
      <c r="G28" s="90">
        <v>0.01</v>
      </c>
      <c r="H28" s="90">
        <v>0.01</v>
      </c>
      <c r="I28" s="90">
        <f t="shared" si="0"/>
        <v>6.0000000000000001E-3</v>
      </c>
      <c r="J28" s="90">
        <f t="shared" si="1"/>
        <v>6.0000000000000001E-3</v>
      </c>
      <c r="K28" s="90">
        <f t="shared" si="2"/>
        <v>1.3999999999999999E-2</v>
      </c>
      <c r="L28" s="90">
        <f t="shared" si="3"/>
        <v>1.3999999999999999E-2</v>
      </c>
      <c r="M28" s="104">
        <v>0.01</v>
      </c>
      <c r="N28" s="104">
        <v>0.01</v>
      </c>
      <c r="O28" s="88">
        <v>0.01</v>
      </c>
      <c r="P28" s="88">
        <v>0.01</v>
      </c>
    </row>
    <row r="29" spans="2:16" x14ac:dyDescent="0.2">
      <c r="B29" s="47">
        <v>22</v>
      </c>
      <c r="C29" s="89">
        <v>0.01</v>
      </c>
      <c r="D29" s="89">
        <v>0.01</v>
      </c>
      <c r="E29" s="85">
        <v>0.01</v>
      </c>
      <c r="F29" s="85">
        <v>0.01</v>
      </c>
      <c r="G29" s="90">
        <v>0.01</v>
      </c>
      <c r="H29" s="90">
        <v>0.01</v>
      </c>
      <c r="I29" s="90">
        <f t="shared" si="0"/>
        <v>6.0000000000000001E-3</v>
      </c>
      <c r="J29" s="90">
        <f t="shared" si="1"/>
        <v>6.0000000000000001E-3</v>
      </c>
      <c r="K29" s="90">
        <f t="shared" si="2"/>
        <v>1.3999999999999999E-2</v>
      </c>
      <c r="L29" s="90">
        <f t="shared" si="3"/>
        <v>1.3999999999999999E-2</v>
      </c>
      <c r="M29" s="104">
        <v>0.01</v>
      </c>
      <c r="N29" s="104">
        <v>0.01</v>
      </c>
      <c r="O29" s="88">
        <v>0.01</v>
      </c>
      <c r="P29" s="88">
        <v>0.01</v>
      </c>
    </row>
    <row r="30" spans="2:16" x14ac:dyDescent="0.2">
      <c r="B30" s="47">
        <v>23</v>
      </c>
      <c r="C30" s="89">
        <v>0.01</v>
      </c>
      <c r="D30" s="89">
        <v>0.01</v>
      </c>
      <c r="E30" s="85">
        <v>0.01</v>
      </c>
      <c r="F30" s="85">
        <v>0.01</v>
      </c>
      <c r="G30" s="90">
        <v>0.01</v>
      </c>
      <c r="H30" s="90">
        <v>0.01</v>
      </c>
      <c r="I30" s="90">
        <f t="shared" si="0"/>
        <v>6.0000000000000001E-3</v>
      </c>
      <c r="J30" s="90">
        <f t="shared" si="1"/>
        <v>6.0000000000000001E-3</v>
      </c>
      <c r="K30" s="90">
        <f t="shared" si="2"/>
        <v>1.3999999999999999E-2</v>
      </c>
      <c r="L30" s="90">
        <f t="shared" si="3"/>
        <v>1.3999999999999999E-2</v>
      </c>
      <c r="M30" s="104">
        <v>0.01</v>
      </c>
      <c r="N30" s="104">
        <v>0.01</v>
      </c>
      <c r="O30" s="88">
        <v>0.01</v>
      </c>
      <c r="P30" s="88">
        <v>0.01</v>
      </c>
    </row>
    <row r="31" spans="2:16" x14ac:dyDescent="0.2">
      <c r="B31" s="47">
        <v>24</v>
      </c>
      <c r="C31" s="89">
        <v>0.01</v>
      </c>
      <c r="D31" s="89">
        <v>0.01</v>
      </c>
      <c r="E31" s="85">
        <v>0.01</v>
      </c>
      <c r="F31" s="85">
        <v>0.01</v>
      </c>
      <c r="G31" s="90">
        <v>0.01</v>
      </c>
      <c r="H31" s="90">
        <v>0.01</v>
      </c>
      <c r="I31" s="90">
        <f t="shared" si="0"/>
        <v>6.0000000000000001E-3</v>
      </c>
      <c r="J31" s="90">
        <f t="shared" si="1"/>
        <v>6.0000000000000001E-3</v>
      </c>
      <c r="K31" s="90">
        <f t="shared" si="2"/>
        <v>1.3999999999999999E-2</v>
      </c>
      <c r="L31" s="90">
        <f t="shared" si="3"/>
        <v>1.3999999999999999E-2</v>
      </c>
      <c r="M31" s="104">
        <v>0.01</v>
      </c>
      <c r="N31" s="104">
        <v>0.01</v>
      </c>
      <c r="O31" s="88">
        <v>0.01</v>
      </c>
      <c r="P31" s="88">
        <v>0.01</v>
      </c>
    </row>
    <row r="32" spans="2:16" x14ac:dyDescent="0.2">
      <c r="B32" s="47">
        <v>25</v>
      </c>
      <c r="C32" s="89">
        <v>0.01</v>
      </c>
      <c r="D32" s="89">
        <v>0.01</v>
      </c>
      <c r="E32" s="85">
        <v>0.01</v>
      </c>
      <c r="F32" s="85">
        <v>0.01</v>
      </c>
      <c r="G32" s="90">
        <v>0.01</v>
      </c>
      <c r="H32" s="90">
        <v>0.01</v>
      </c>
      <c r="I32" s="90">
        <f t="shared" si="0"/>
        <v>6.0000000000000001E-3</v>
      </c>
      <c r="J32" s="90">
        <f t="shared" si="1"/>
        <v>6.0000000000000001E-3</v>
      </c>
      <c r="K32" s="90">
        <f t="shared" si="2"/>
        <v>1.3999999999999999E-2</v>
      </c>
      <c r="L32" s="90">
        <f t="shared" si="3"/>
        <v>1.3999999999999999E-2</v>
      </c>
      <c r="M32" s="104">
        <v>0.01</v>
      </c>
      <c r="N32" s="104">
        <v>0.01</v>
      </c>
      <c r="O32" s="88">
        <v>0.01</v>
      </c>
      <c r="P32" s="88">
        <v>0.01</v>
      </c>
    </row>
    <row r="33" spans="2:16" x14ac:dyDescent="0.2">
      <c r="B33" s="47">
        <v>26</v>
      </c>
      <c r="C33" s="89">
        <v>0.01</v>
      </c>
      <c r="D33" s="89">
        <v>0.01</v>
      </c>
      <c r="E33" s="85">
        <v>0.01</v>
      </c>
      <c r="F33" s="85">
        <v>0.01</v>
      </c>
      <c r="G33" s="90">
        <v>0.01</v>
      </c>
      <c r="H33" s="90">
        <v>0.01</v>
      </c>
      <c r="I33" s="90">
        <f t="shared" si="0"/>
        <v>6.0000000000000001E-3</v>
      </c>
      <c r="J33" s="90">
        <f t="shared" si="1"/>
        <v>6.0000000000000001E-3</v>
      </c>
      <c r="K33" s="90">
        <f t="shared" si="2"/>
        <v>1.3999999999999999E-2</v>
      </c>
      <c r="L33" s="90">
        <f t="shared" si="3"/>
        <v>1.3999999999999999E-2</v>
      </c>
      <c r="M33" s="104">
        <v>0.01</v>
      </c>
      <c r="N33" s="104">
        <v>0.01</v>
      </c>
      <c r="O33" s="88">
        <v>0.01</v>
      </c>
      <c r="P33" s="88">
        <v>0.01</v>
      </c>
    </row>
    <row r="34" spans="2:16" x14ac:dyDescent="0.2">
      <c r="B34" s="47">
        <v>27</v>
      </c>
      <c r="C34" s="89">
        <v>0.01</v>
      </c>
      <c r="D34" s="89">
        <v>0.01</v>
      </c>
      <c r="E34" s="85">
        <v>0.01</v>
      </c>
      <c r="F34" s="85">
        <v>0.01</v>
      </c>
      <c r="G34" s="90">
        <v>0.01</v>
      </c>
      <c r="H34" s="90">
        <v>0.01</v>
      </c>
      <c r="I34" s="90">
        <f t="shared" si="0"/>
        <v>6.0000000000000001E-3</v>
      </c>
      <c r="J34" s="90">
        <f t="shared" si="1"/>
        <v>6.0000000000000001E-3</v>
      </c>
      <c r="K34" s="90">
        <f t="shared" si="2"/>
        <v>1.3999999999999999E-2</v>
      </c>
      <c r="L34" s="90">
        <f t="shared" si="3"/>
        <v>1.3999999999999999E-2</v>
      </c>
      <c r="M34" s="104">
        <v>0.01</v>
      </c>
      <c r="N34" s="104">
        <v>0.01</v>
      </c>
      <c r="O34" s="88">
        <v>0.01</v>
      </c>
      <c r="P34" s="88">
        <v>0.01</v>
      </c>
    </row>
    <row r="35" spans="2:16" x14ac:dyDescent="0.2">
      <c r="B35" s="47">
        <v>28</v>
      </c>
      <c r="C35" s="89">
        <v>0.01</v>
      </c>
      <c r="D35" s="89">
        <v>0.01</v>
      </c>
      <c r="E35" s="85">
        <v>0.01</v>
      </c>
      <c r="F35" s="85">
        <v>0.01</v>
      </c>
      <c r="G35" s="90">
        <v>0.01</v>
      </c>
      <c r="H35" s="90">
        <v>0.01</v>
      </c>
      <c r="I35" s="90">
        <f t="shared" si="0"/>
        <v>6.0000000000000001E-3</v>
      </c>
      <c r="J35" s="90">
        <f t="shared" si="1"/>
        <v>6.0000000000000001E-3</v>
      </c>
      <c r="K35" s="90">
        <f t="shared" si="2"/>
        <v>1.3999999999999999E-2</v>
      </c>
      <c r="L35" s="90">
        <f t="shared" si="3"/>
        <v>1.3999999999999999E-2</v>
      </c>
      <c r="M35" s="104">
        <v>0.01</v>
      </c>
      <c r="N35" s="104">
        <v>0.01</v>
      </c>
      <c r="O35" s="88">
        <v>0.01</v>
      </c>
      <c r="P35" s="88">
        <v>0.01</v>
      </c>
    </row>
    <row r="36" spans="2:16" x14ac:dyDescent="0.2">
      <c r="B36" s="47">
        <v>29</v>
      </c>
      <c r="C36" s="89">
        <v>0.01</v>
      </c>
      <c r="D36" s="89">
        <v>0.01</v>
      </c>
      <c r="E36" s="85">
        <v>0.01</v>
      </c>
      <c r="F36" s="85">
        <v>0.01</v>
      </c>
      <c r="G36" s="90">
        <v>0.01</v>
      </c>
      <c r="H36" s="90">
        <v>0.01</v>
      </c>
      <c r="I36" s="90">
        <f t="shared" si="0"/>
        <v>6.0000000000000001E-3</v>
      </c>
      <c r="J36" s="90">
        <f t="shared" si="1"/>
        <v>6.0000000000000001E-3</v>
      </c>
      <c r="K36" s="90">
        <f t="shared" si="2"/>
        <v>1.3999999999999999E-2</v>
      </c>
      <c r="L36" s="90">
        <f t="shared" si="3"/>
        <v>1.3999999999999999E-2</v>
      </c>
      <c r="M36" s="104">
        <v>0.01</v>
      </c>
      <c r="N36" s="104">
        <v>0.01</v>
      </c>
      <c r="O36" s="88">
        <v>0.01</v>
      </c>
      <c r="P36" s="88">
        <v>0.01</v>
      </c>
    </row>
    <row r="37" spans="2:16" x14ac:dyDescent="0.2">
      <c r="B37" s="47">
        <v>30</v>
      </c>
      <c r="C37" s="89">
        <v>0.01</v>
      </c>
      <c r="D37" s="89">
        <v>0.01</v>
      </c>
      <c r="E37" s="85">
        <v>0.01</v>
      </c>
      <c r="F37" s="85">
        <v>0.01</v>
      </c>
      <c r="G37" s="90">
        <v>0.01</v>
      </c>
      <c r="H37" s="90">
        <v>0.01</v>
      </c>
      <c r="I37" s="90">
        <f t="shared" si="0"/>
        <v>6.0000000000000001E-3</v>
      </c>
      <c r="J37" s="90">
        <f t="shared" si="1"/>
        <v>6.0000000000000001E-3</v>
      </c>
      <c r="K37" s="90">
        <f t="shared" si="2"/>
        <v>1.3999999999999999E-2</v>
      </c>
      <c r="L37" s="90">
        <f t="shared" si="3"/>
        <v>1.3999999999999999E-2</v>
      </c>
      <c r="M37" s="104">
        <v>0.01</v>
      </c>
      <c r="N37" s="104">
        <v>0.01</v>
      </c>
      <c r="O37" s="88">
        <v>0.01</v>
      </c>
      <c r="P37" s="88">
        <v>0.01</v>
      </c>
    </row>
    <row r="38" spans="2:16" x14ac:dyDescent="0.2">
      <c r="B38" s="47">
        <v>31</v>
      </c>
      <c r="C38" s="89">
        <v>0.01</v>
      </c>
      <c r="D38" s="89">
        <v>0.01</v>
      </c>
      <c r="E38" s="85">
        <v>0.01</v>
      </c>
      <c r="F38" s="85">
        <v>0.01</v>
      </c>
      <c r="G38" s="90">
        <v>0.01</v>
      </c>
      <c r="H38" s="90">
        <v>0.01</v>
      </c>
      <c r="I38" s="90">
        <f t="shared" si="0"/>
        <v>6.0000000000000001E-3</v>
      </c>
      <c r="J38" s="90">
        <f t="shared" si="1"/>
        <v>6.0000000000000001E-3</v>
      </c>
      <c r="K38" s="90">
        <f t="shared" si="2"/>
        <v>1.3999999999999999E-2</v>
      </c>
      <c r="L38" s="90">
        <f t="shared" si="3"/>
        <v>1.3999999999999999E-2</v>
      </c>
      <c r="M38" s="104">
        <v>0.01</v>
      </c>
      <c r="N38" s="104">
        <v>0.01</v>
      </c>
      <c r="O38" s="88">
        <v>0.01</v>
      </c>
      <c r="P38" s="88">
        <v>0.01</v>
      </c>
    </row>
    <row r="39" spans="2:16" x14ac:dyDescent="0.2">
      <c r="B39" s="47">
        <v>32</v>
      </c>
      <c r="C39" s="89">
        <v>0.01</v>
      </c>
      <c r="D39" s="89">
        <v>0.01</v>
      </c>
      <c r="E39" s="85">
        <v>0.01</v>
      </c>
      <c r="F39" s="85">
        <v>0.01</v>
      </c>
      <c r="G39" s="90">
        <v>0.01</v>
      </c>
      <c r="H39" s="90">
        <v>0.01</v>
      </c>
      <c r="I39" s="90">
        <f t="shared" si="0"/>
        <v>6.0000000000000001E-3</v>
      </c>
      <c r="J39" s="90">
        <f t="shared" si="1"/>
        <v>6.0000000000000001E-3</v>
      </c>
      <c r="K39" s="90">
        <f t="shared" si="2"/>
        <v>1.3999999999999999E-2</v>
      </c>
      <c r="L39" s="90">
        <f t="shared" si="3"/>
        <v>1.3999999999999999E-2</v>
      </c>
      <c r="M39" s="104">
        <v>0.01</v>
      </c>
      <c r="N39" s="104">
        <v>0.01</v>
      </c>
      <c r="O39" s="88">
        <v>0.01</v>
      </c>
      <c r="P39" s="88">
        <v>0.01</v>
      </c>
    </row>
    <row r="40" spans="2:16" x14ac:dyDescent="0.2">
      <c r="B40" s="47">
        <v>33</v>
      </c>
      <c r="C40">
        <v>0.01</v>
      </c>
      <c r="D40">
        <v>0.01</v>
      </c>
      <c r="E40" s="85">
        <v>0.01</v>
      </c>
      <c r="F40" s="85">
        <v>0.01</v>
      </c>
      <c r="G40" s="90">
        <v>0.01</v>
      </c>
      <c r="H40" s="90">
        <v>0.01</v>
      </c>
      <c r="I40" s="90">
        <f t="shared" si="0"/>
        <v>6.0000000000000001E-3</v>
      </c>
      <c r="J40" s="90">
        <f t="shared" si="1"/>
        <v>6.0000000000000001E-3</v>
      </c>
      <c r="K40" s="90">
        <f t="shared" si="2"/>
        <v>1.3999999999999999E-2</v>
      </c>
      <c r="L40" s="90">
        <f t="shared" si="3"/>
        <v>1.3999999999999999E-2</v>
      </c>
      <c r="M40" s="104">
        <v>0.01</v>
      </c>
      <c r="N40" s="104">
        <v>0.01</v>
      </c>
      <c r="O40" s="88">
        <v>0.01</v>
      </c>
      <c r="P40" s="88">
        <v>0.01</v>
      </c>
    </row>
    <row r="41" spans="2:16" x14ac:dyDescent="0.2">
      <c r="B41" s="47">
        <v>34</v>
      </c>
      <c r="C41">
        <v>0.01</v>
      </c>
      <c r="D41">
        <v>0.01</v>
      </c>
      <c r="E41" s="85">
        <v>0.01</v>
      </c>
      <c r="F41" s="85">
        <v>0.01</v>
      </c>
      <c r="G41" s="90">
        <v>0.01</v>
      </c>
      <c r="H41" s="90">
        <v>0.01</v>
      </c>
      <c r="I41" s="90">
        <f t="shared" si="0"/>
        <v>6.0000000000000001E-3</v>
      </c>
      <c r="J41" s="90">
        <f t="shared" si="1"/>
        <v>6.0000000000000001E-3</v>
      </c>
      <c r="K41" s="90">
        <f t="shared" si="2"/>
        <v>1.3999999999999999E-2</v>
      </c>
      <c r="L41" s="90">
        <f t="shared" si="3"/>
        <v>1.3999999999999999E-2</v>
      </c>
      <c r="M41" s="104">
        <v>0.01</v>
      </c>
      <c r="N41" s="104">
        <v>0.01</v>
      </c>
      <c r="O41" s="88">
        <v>0.01</v>
      </c>
      <c r="P41" s="88">
        <v>0.01</v>
      </c>
    </row>
    <row r="42" spans="2:16" x14ac:dyDescent="0.2">
      <c r="B42" s="47">
        <v>35</v>
      </c>
      <c r="C42">
        <v>0.01</v>
      </c>
      <c r="D42">
        <v>0.01</v>
      </c>
      <c r="E42" s="85">
        <v>0.01</v>
      </c>
      <c r="F42" s="85">
        <v>0.01</v>
      </c>
      <c r="G42" s="90">
        <v>0.01</v>
      </c>
      <c r="H42" s="90">
        <v>0.01</v>
      </c>
      <c r="I42" s="90">
        <f t="shared" si="0"/>
        <v>6.0000000000000001E-3</v>
      </c>
      <c r="J42" s="90">
        <f t="shared" si="1"/>
        <v>6.0000000000000001E-3</v>
      </c>
      <c r="K42" s="90">
        <f t="shared" si="2"/>
        <v>1.3999999999999999E-2</v>
      </c>
      <c r="L42" s="90">
        <f t="shared" si="3"/>
        <v>1.3999999999999999E-2</v>
      </c>
      <c r="M42" s="104">
        <v>0.01</v>
      </c>
      <c r="N42" s="104">
        <v>0.01</v>
      </c>
      <c r="O42" s="88">
        <v>0.01</v>
      </c>
      <c r="P42" s="88">
        <v>0.01</v>
      </c>
    </row>
    <row r="43" spans="2:16" x14ac:dyDescent="0.2">
      <c r="B43" s="47">
        <v>36</v>
      </c>
      <c r="C43">
        <v>0.01</v>
      </c>
      <c r="D43">
        <v>0.01</v>
      </c>
      <c r="E43" s="85">
        <v>0.01</v>
      </c>
      <c r="F43" s="85">
        <v>0.01</v>
      </c>
      <c r="G43" s="90">
        <v>0.01</v>
      </c>
      <c r="H43" s="90">
        <v>0.01</v>
      </c>
      <c r="I43" s="90">
        <f t="shared" si="0"/>
        <v>6.0000000000000001E-3</v>
      </c>
      <c r="J43" s="90">
        <f t="shared" si="1"/>
        <v>6.0000000000000001E-3</v>
      </c>
      <c r="K43" s="90">
        <f t="shared" si="2"/>
        <v>1.3999999999999999E-2</v>
      </c>
      <c r="L43" s="90">
        <f t="shared" si="3"/>
        <v>1.3999999999999999E-2</v>
      </c>
      <c r="M43" s="104">
        <v>0.01</v>
      </c>
      <c r="N43" s="104">
        <v>0.01</v>
      </c>
      <c r="O43" s="88">
        <v>0.01</v>
      </c>
      <c r="P43" s="88">
        <v>0.01</v>
      </c>
    </row>
    <row r="44" spans="2:16" x14ac:dyDescent="0.2">
      <c r="B44" s="47">
        <v>37</v>
      </c>
      <c r="C44">
        <v>0.01</v>
      </c>
      <c r="D44">
        <v>0.01</v>
      </c>
      <c r="E44" s="85">
        <v>0.01</v>
      </c>
      <c r="F44" s="85">
        <v>0.01</v>
      </c>
      <c r="G44" s="88">
        <v>0.01</v>
      </c>
      <c r="H44" s="88">
        <v>0.01</v>
      </c>
      <c r="I44" s="90">
        <f t="shared" si="0"/>
        <v>6.0000000000000001E-3</v>
      </c>
      <c r="J44" s="90">
        <f t="shared" si="1"/>
        <v>6.0000000000000001E-3</v>
      </c>
      <c r="K44" s="90">
        <f t="shared" si="2"/>
        <v>1.3999999999999999E-2</v>
      </c>
      <c r="L44" s="90">
        <f t="shared" si="3"/>
        <v>1.3999999999999999E-2</v>
      </c>
      <c r="M44" s="104">
        <v>0.01</v>
      </c>
      <c r="N44" s="104">
        <v>0.01</v>
      </c>
      <c r="O44" s="88">
        <v>0.01</v>
      </c>
      <c r="P44" s="88">
        <v>0.01</v>
      </c>
    </row>
    <row r="45" spans="2:16" x14ac:dyDescent="0.2">
      <c r="B45" s="47">
        <v>38</v>
      </c>
      <c r="C45">
        <v>0.01</v>
      </c>
      <c r="D45">
        <v>0.01</v>
      </c>
      <c r="E45" s="85">
        <v>0.01</v>
      </c>
      <c r="F45" s="85">
        <v>0.01</v>
      </c>
      <c r="G45" s="88">
        <v>0.01</v>
      </c>
      <c r="H45" s="88">
        <v>0.01</v>
      </c>
      <c r="I45" s="90">
        <f t="shared" si="0"/>
        <v>6.0000000000000001E-3</v>
      </c>
      <c r="J45" s="90">
        <f t="shared" si="1"/>
        <v>6.0000000000000001E-3</v>
      </c>
      <c r="K45" s="90">
        <f t="shared" si="2"/>
        <v>1.3999999999999999E-2</v>
      </c>
      <c r="L45" s="90">
        <f t="shared" si="3"/>
        <v>1.3999999999999999E-2</v>
      </c>
      <c r="M45" s="104">
        <v>0.01</v>
      </c>
      <c r="N45" s="104">
        <v>0.01</v>
      </c>
      <c r="O45" s="88">
        <v>0.01</v>
      </c>
      <c r="P45" s="88">
        <v>0.01</v>
      </c>
    </row>
    <row r="46" spans="2:16" x14ac:dyDescent="0.2">
      <c r="B46" s="47">
        <v>39</v>
      </c>
      <c r="C46">
        <v>0.01</v>
      </c>
      <c r="D46">
        <v>0.01</v>
      </c>
      <c r="E46" s="85">
        <v>0.01</v>
      </c>
      <c r="F46" s="85">
        <v>0.01</v>
      </c>
      <c r="G46" s="88">
        <v>0.01</v>
      </c>
      <c r="H46" s="88">
        <v>0.01</v>
      </c>
      <c r="I46" s="90">
        <f t="shared" si="0"/>
        <v>6.0000000000000001E-3</v>
      </c>
      <c r="J46" s="90">
        <f t="shared" si="1"/>
        <v>6.0000000000000001E-3</v>
      </c>
      <c r="K46" s="90">
        <f t="shared" si="2"/>
        <v>1.3999999999999999E-2</v>
      </c>
      <c r="L46" s="90">
        <f t="shared" si="3"/>
        <v>1.3999999999999999E-2</v>
      </c>
      <c r="M46" s="104">
        <v>0.01</v>
      </c>
      <c r="N46" s="104">
        <v>0.01</v>
      </c>
      <c r="O46" s="88">
        <v>0.01</v>
      </c>
      <c r="P46" s="88">
        <v>0.01</v>
      </c>
    </row>
    <row r="47" spans="2:16" x14ac:dyDescent="0.2">
      <c r="B47" s="47">
        <v>40</v>
      </c>
      <c r="C47">
        <v>0.01</v>
      </c>
      <c r="D47">
        <v>0.01</v>
      </c>
      <c r="E47" s="85">
        <v>0.01</v>
      </c>
      <c r="F47" s="85">
        <v>0.01</v>
      </c>
      <c r="G47" s="88">
        <v>0.01</v>
      </c>
      <c r="H47" s="88">
        <v>0.01</v>
      </c>
      <c r="I47" s="90">
        <f t="shared" si="0"/>
        <v>6.0000000000000001E-3</v>
      </c>
      <c r="J47" s="90">
        <f t="shared" si="1"/>
        <v>6.0000000000000001E-3</v>
      </c>
      <c r="K47" s="90">
        <f t="shared" si="2"/>
        <v>1.3999999999999999E-2</v>
      </c>
      <c r="L47" s="90">
        <f t="shared" si="3"/>
        <v>1.3999999999999999E-2</v>
      </c>
      <c r="M47" s="104">
        <v>0.01</v>
      </c>
      <c r="N47" s="104">
        <v>0.01</v>
      </c>
      <c r="O47" s="88">
        <v>0.01</v>
      </c>
      <c r="P47" s="88">
        <v>0.01</v>
      </c>
    </row>
    <row r="48" spans="2:16" x14ac:dyDescent="0.2">
      <c r="B48" s="47">
        <v>41</v>
      </c>
      <c r="C48">
        <v>0.01</v>
      </c>
      <c r="D48">
        <v>0.01</v>
      </c>
      <c r="E48" s="85">
        <v>0.01</v>
      </c>
      <c r="F48" s="85">
        <v>0.01</v>
      </c>
      <c r="G48" s="88">
        <v>0.01</v>
      </c>
      <c r="H48" s="88">
        <v>0.01</v>
      </c>
      <c r="I48" s="90">
        <f t="shared" si="0"/>
        <v>6.0000000000000001E-3</v>
      </c>
      <c r="J48" s="90">
        <f t="shared" si="1"/>
        <v>6.0000000000000001E-3</v>
      </c>
      <c r="K48" s="90">
        <f t="shared" si="2"/>
        <v>1.3999999999999999E-2</v>
      </c>
      <c r="L48" s="90">
        <f t="shared" si="3"/>
        <v>1.3999999999999999E-2</v>
      </c>
      <c r="M48" s="104">
        <v>0.01</v>
      </c>
      <c r="N48" s="104">
        <v>0.01</v>
      </c>
      <c r="O48" s="88">
        <v>0.01</v>
      </c>
      <c r="P48" s="88">
        <v>0.01</v>
      </c>
    </row>
    <row r="49" spans="2:16" x14ac:dyDescent="0.2">
      <c r="B49" s="47">
        <v>42</v>
      </c>
      <c r="C49">
        <v>0.01</v>
      </c>
      <c r="D49">
        <v>0.01</v>
      </c>
      <c r="E49" s="85">
        <v>0.01</v>
      </c>
      <c r="F49" s="85">
        <v>0.01</v>
      </c>
      <c r="G49" s="88">
        <v>0.01</v>
      </c>
      <c r="H49" s="88">
        <v>0.01</v>
      </c>
      <c r="I49" s="90">
        <f t="shared" si="0"/>
        <v>6.0000000000000001E-3</v>
      </c>
      <c r="J49" s="90">
        <f t="shared" si="1"/>
        <v>6.0000000000000001E-3</v>
      </c>
      <c r="K49" s="90">
        <f t="shared" si="2"/>
        <v>1.3999999999999999E-2</v>
      </c>
      <c r="L49" s="90">
        <f t="shared" si="3"/>
        <v>1.3999999999999999E-2</v>
      </c>
      <c r="M49" s="104">
        <v>0.01</v>
      </c>
      <c r="N49" s="104">
        <v>0.01</v>
      </c>
      <c r="O49" s="88">
        <v>0.01</v>
      </c>
      <c r="P49" s="88">
        <v>0.01</v>
      </c>
    </row>
    <row r="50" spans="2:16" x14ac:dyDescent="0.2">
      <c r="B50" s="47">
        <v>43</v>
      </c>
      <c r="C50">
        <v>0.01</v>
      </c>
      <c r="D50">
        <v>0.01</v>
      </c>
      <c r="E50" s="85">
        <v>0.01</v>
      </c>
      <c r="F50" s="85">
        <v>0.01</v>
      </c>
      <c r="G50" s="88">
        <v>0.01</v>
      </c>
      <c r="H50" s="88">
        <v>0.01</v>
      </c>
      <c r="I50" s="90">
        <f t="shared" si="0"/>
        <v>6.0000000000000001E-3</v>
      </c>
      <c r="J50" s="90">
        <f t="shared" si="1"/>
        <v>6.0000000000000001E-3</v>
      </c>
      <c r="K50" s="90">
        <f t="shared" si="2"/>
        <v>1.3999999999999999E-2</v>
      </c>
      <c r="L50" s="90">
        <f t="shared" si="3"/>
        <v>1.3999999999999999E-2</v>
      </c>
      <c r="M50" s="104">
        <v>0.01</v>
      </c>
      <c r="N50" s="104">
        <v>0.01</v>
      </c>
      <c r="O50" s="88">
        <v>0.01</v>
      </c>
      <c r="P50" s="88">
        <v>0.01</v>
      </c>
    </row>
    <row r="51" spans="2:16" x14ac:dyDescent="0.2">
      <c r="B51" s="47">
        <v>44</v>
      </c>
      <c r="C51">
        <v>0.01</v>
      </c>
      <c r="D51">
        <v>0.01</v>
      </c>
      <c r="E51" s="85">
        <v>0.01</v>
      </c>
      <c r="F51" s="85">
        <v>0.01</v>
      </c>
      <c r="G51" s="88">
        <v>0.01</v>
      </c>
      <c r="H51" s="88">
        <v>0.01</v>
      </c>
      <c r="I51" s="90">
        <f t="shared" si="0"/>
        <v>6.0000000000000001E-3</v>
      </c>
      <c r="J51" s="90">
        <f t="shared" si="1"/>
        <v>6.0000000000000001E-3</v>
      </c>
      <c r="K51" s="90">
        <f t="shared" si="2"/>
        <v>1.3999999999999999E-2</v>
      </c>
      <c r="L51" s="90">
        <f t="shared" si="3"/>
        <v>1.3999999999999999E-2</v>
      </c>
      <c r="M51" s="104">
        <v>0.01</v>
      </c>
      <c r="N51" s="104">
        <v>0.01</v>
      </c>
      <c r="O51" s="88">
        <v>0.01</v>
      </c>
      <c r="P51" s="88">
        <v>0.01</v>
      </c>
    </row>
    <row r="52" spans="2:16" x14ac:dyDescent="0.2">
      <c r="B52" s="47">
        <v>45</v>
      </c>
      <c r="C52">
        <v>0.01</v>
      </c>
      <c r="D52">
        <v>0.01</v>
      </c>
      <c r="E52" s="85">
        <v>0.01</v>
      </c>
      <c r="F52" s="85">
        <v>0.01</v>
      </c>
      <c r="G52" s="88">
        <v>0.01</v>
      </c>
      <c r="H52" s="88">
        <v>0.01</v>
      </c>
      <c r="I52" s="90">
        <f t="shared" si="0"/>
        <v>6.0000000000000001E-3</v>
      </c>
      <c r="J52" s="90">
        <f t="shared" si="1"/>
        <v>6.0000000000000001E-3</v>
      </c>
      <c r="K52" s="90">
        <f t="shared" si="2"/>
        <v>1.3999999999999999E-2</v>
      </c>
      <c r="L52" s="90">
        <f t="shared" si="3"/>
        <v>1.3999999999999999E-2</v>
      </c>
      <c r="M52" s="104">
        <v>0.01</v>
      </c>
      <c r="N52" s="104">
        <v>0.01</v>
      </c>
      <c r="O52" s="88">
        <v>0.01</v>
      </c>
      <c r="P52" s="88">
        <v>0.01</v>
      </c>
    </row>
    <row r="53" spans="2:16" x14ac:dyDescent="0.2">
      <c r="B53" s="47">
        <v>46</v>
      </c>
      <c r="C53">
        <v>0.01</v>
      </c>
      <c r="D53">
        <v>0.01</v>
      </c>
      <c r="E53" s="85">
        <v>0.01</v>
      </c>
      <c r="F53" s="85">
        <v>0.01</v>
      </c>
      <c r="G53" s="88">
        <v>0.01</v>
      </c>
      <c r="H53" s="88">
        <v>0.01</v>
      </c>
      <c r="I53" s="90">
        <f t="shared" si="0"/>
        <v>6.0000000000000001E-3</v>
      </c>
      <c r="J53" s="90">
        <f t="shared" si="1"/>
        <v>6.0000000000000001E-3</v>
      </c>
      <c r="K53" s="90">
        <f t="shared" si="2"/>
        <v>1.3999999999999999E-2</v>
      </c>
      <c r="L53" s="90">
        <f t="shared" si="3"/>
        <v>1.3999999999999999E-2</v>
      </c>
      <c r="M53" s="104">
        <v>0.01</v>
      </c>
      <c r="N53" s="104">
        <v>0.01</v>
      </c>
      <c r="O53" s="88">
        <v>0.01</v>
      </c>
      <c r="P53" s="88">
        <v>0.01</v>
      </c>
    </row>
    <row r="54" spans="2:16" x14ac:dyDescent="0.2">
      <c r="B54" s="47">
        <v>47</v>
      </c>
      <c r="C54">
        <v>0.01</v>
      </c>
      <c r="D54">
        <v>0.01</v>
      </c>
      <c r="E54" s="85">
        <v>0.01</v>
      </c>
      <c r="F54" s="85">
        <v>0.01</v>
      </c>
      <c r="G54" s="88">
        <v>0.01</v>
      </c>
      <c r="H54" s="88">
        <v>0.01</v>
      </c>
      <c r="I54" s="90">
        <f t="shared" si="0"/>
        <v>6.0000000000000001E-3</v>
      </c>
      <c r="J54" s="90">
        <f t="shared" si="1"/>
        <v>6.0000000000000001E-3</v>
      </c>
      <c r="K54" s="90">
        <f t="shared" si="2"/>
        <v>1.3999999999999999E-2</v>
      </c>
      <c r="L54" s="90">
        <f t="shared" si="3"/>
        <v>1.3999999999999999E-2</v>
      </c>
      <c r="M54" s="104">
        <v>0.01</v>
      </c>
      <c r="N54" s="104">
        <v>0.01</v>
      </c>
      <c r="O54" s="88">
        <v>0.01</v>
      </c>
      <c r="P54" s="88">
        <v>0.01</v>
      </c>
    </row>
    <row r="55" spans="2:16" x14ac:dyDescent="0.2">
      <c r="B55" s="47">
        <v>48</v>
      </c>
      <c r="C55">
        <v>0.01</v>
      </c>
      <c r="D55">
        <v>0.01</v>
      </c>
      <c r="E55" s="85">
        <v>0.01</v>
      </c>
      <c r="F55" s="85">
        <v>0.01</v>
      </c>
      <c r="G55" s="88">
        <v>0.01</v>
      </c>
      <c r="H55" s="88">
        <v>0.01</v>
      </c>
      <c r="I55" s="90">
        <f t="shared" si="0"/>
        <v>6.0000000000000001E-3</v>
      </c>
      <c r="J55" s="90">
        <f t="shared" si="1"/>
        <v>6.0000000000000001E-3</v>
      </c>
      <c r="K55" s="90">
        <f t="shared" si="2"/>
        <v>1.3999999999999999E-2</v>
      </c>
      <c r="L55" s="90">
        <f t="shared" si="3"/>
        <v>1.3999999999999999E-2</v>
      </c>
      <c r="M55" s="104">
        <v>0.01</v>
      </c>
      <c r="N55" s="104">
        <v>0.01</v>
      </c>
      <c r="O55" s="88">
        <v>0.01</v>
      </c>
      <c r="P55" s="88">
        <v>0.01</v>
      </c>
    </row>
    <row r="56" spans="2:16" x14ac:dyDescent="0.2">
      <c r="B56" s="47">
        <v>49</v>
      </c>
      <c r="C56">
        <v>0.01</v>
      </c>
      <c r="D56">
        <v>0.01</v>
      </c>
      <c r="E56" s="85">
        <v>0.01</v>
      </c>
      <c r="F56" s="85">
        <v>0.01</v>
      </c>
      <c r="G56" s="88">
        <v>0.01</v>
      </c>
      <c r="H56" s="88">
        <v>0.01</v>
      </c>
      <c r="I56" s="90">
        <f t="shared" si="0"/>
        <v>6.0000000000000001E-3</v>
      </c>
      <c r="J56" s="90">
        <f t="shared" si="1"/>
        <v>6.0000000000000001E-3</v>
      </c>
      <c r="K56" s="90">
        <f t="shared" si="2"/>
        <v>1.3999999999999999E-2</v>
      </c>
      <c r="L56" s="90">
        <f t="shared" si="3"/>
        <v>1.3999999999999999E-2</v>
      </c>
      <c r="M56" s="104">
        <v>0.01</v>
      </c>
      <c r="N56" s="104">
        <v>0.01</v>
      </c>
      <c r="O56" s="88">
        <v>0.01</v>
      </c>
      <c r="P56" s="88">
        <v>0.01</v>
      </c>
    </row>
    <row r="57" spans="2:16" x14ac:dyDescent="0.2">
      <c r="B57" s="47">
        <v>50</v>
      </c>
      <c r="C57">
        <v>0.01</v>
      </c>
      <c r="D57">
        <v>0.01</v>
      </c>
      <c r="E57" s="85">
        <v>0.01</v>
      </c>
      <c r="F57" s="85">
        <v>0.01</v>
      </c>
      <c r="G57" s="88">
        <v>0.01</v>
      </c>
      <c r="H57" s="88">
        <v>0.01</v>
      </c>
      <c r="I57" s="90">
        <f t="shared" si="0"/>
        <v>6.3E-3</v>
      </c>
      <c r="J57" s="90">
        <f t="shared" si="1"/>
        <v>6.0000000000000001E-3</v>
      </c>
      <c r="K57" s="90">
        <f t="shared" si="2"/>
        <v>1.47E-2</v>
      </c>
      <c r="L57" s="90">
        <f t="shared" si="3"/>
        <v>1.3999999999999999E-2</v>
      </c>
      <c r="M57" s="104">
        <v>0.01</v>
      </c>
      <c r="N57" s="104">
        <v>0.01</v>
      </c>
      <c r="O57" s="70">
        <v>1.0500000000000001E-2</v>
      </c>
      <c r="P57" s="70">
        <v>0.01</v>
      </c>
    </row>
    <row r="58" spans="2:16" x14ac:dyDescent="0.2">
      <c r="B58" s="47">
        <v>51</v>
      </c>
      <c r="C58">
        <v>1.0500000000000001E-2</v>
      </c>
      <c r="D58">
        <v>1.03E-2</v>
      </c>
      <c r="E58" s="85">
        <v>1.100000023842E-2</v>
      </c>
      <c r="F58" s="85">
        <v>0.01</v>
      </c>
      <c r="G58" s="88">
        <v>0.01</v>
      </c>
      <c r="H58" s="88">
        <v>0.01</v>
      </c>
      <c r="I58" s="90">
        <f t="shared" si="0"/>
        <v>6.5999999999999991E-3</v>
      </c>
      <c r="J58" s="90">
        <f t="shared" si="1"/>
        <v>6.3E-3</v>
      </c>
      <c r="K58" s="90">
        <f t="shared" si="2"/>
        <v>1.5399999999999999E-2</v>
      </c>
      <c r="L58" s="90">
        <f t="shared" si="3"/>
        <v>1.47E-2</v>
      </c>
      <c r="M58" s="104">
        <v>1.0500000000000001E-2</v>
      </c>
      <c r="N58" s="104">
        <v>1.03E-2</v>
      </c>
      <c r="O58" s="70">
        <v>1.0999999999999999E-2</v>
      </c>
      <c r="P58" s="70">
        <v>1.0500000000000001E-2</v>
      </c>
    </row>
    <row r="59" spans="2:16" x14ac:dyDescent="0.2">
      <c r="B59" s="47">
        <v>52</v>
      </c>
      <c r="C59">
        <v>1.0999999999999999E-2</v>
      </c>
      <c r="D59">
        <v>1.06E-2</v>
      </c>
      <c r="E59" s="85">
        <v>1.100000023842E-2</v>
      </c>
      <c r="F59" s="85">
        <v>1.100000023842E-2</v>
      </c>
      <c r="G59" s="88">
        <v>1.0999999999999999E-2</v>
      </c>
      <c r="H59" s="88">
        <v>0.01</v>
      </c>
      <c r="I59" s="90">
        <f t="shared" si="0"/>
        <v>6.8999999999999999E-3</v>
      </c>
      <c r="J59" s="90">
        <f t="shared" si="1"/>
        <v>6.5999999999999991E-3</v>
      </c>
      <c r="K59" s="90">
        <f t="shared" si="2"/>
        <v>1.61E-2</v>
      </c>
      <c r="L59" s="90">
        <f t="shared" si="3"/>
        <v>1.5399999999999999E-2</v>
      </c>
      <c r="M59" s="104">
        <v>1.0999999999999999E-2</v>
      </c>
      <c r="N59" s="104">
        <v>1.06E-2</v>
      </c>
      <c r="O59" s="70">
        <v>1.15E-2</v>
      </c>
      <c r="P59" s="70">
        <v>1.0999999999999999E-2</v>
      </c>
    </row>
    <row r="60" spans="2:16" x14ac:dyDescent="0.2">
      <c r="B60" s="47">
        <v>53</v>
      </c>
      <c r="C60">
        <v>1.15E-2</v>
      </c>
      <c r="D60">
        <v>1.09E-2</v>
      </c>
      <c r="E60" s="85">
        <v>1.200000047684E-2</v>
      </c>
      <c r="F60" s="85">
        <v>1.100000023842E-2</v>
      </c>
      <c r="G60" s="88">
        <v>1.0999999999999999E-2</v>
      </c>
      <c r="H60" s="88">
        <v>1.0999999999999999E-2</v>
      </c>
      <c r="I60" s="90">
        <f t="shared" si="0"/>
        <v>7.1999999999999998E-3</v>
      </c>
      <c r="J60" s="90">
        <f t="shared" si="1"/>
        <v>6.5999999999999991E-3</v>
      </c>
      <c r="K60" s="90">
        <f t="shared" si="2"/>
        <v>1.6799999999999999E-2</v>
      </c>
      <c r="L60" s="90">
        <f t="shared" si="3"/>
        <v>1.5399999999999999E-2</v>
      </c>
      <c r="M60" s="104">
        <v>1.15E-2</v>
      </c>
      <c r="N60" s="104">
        <v>1.09E-2</v>
      </c>
      <c r="O60" s="70">
        <v>1.2E-2</v>
      </c>
      <c r="P60" s="70">
        <v>1.0999999999999999E-2</v>
      </c>
    </row>
    <row r="61" spans="2:16" x14ac:dyDescent="0.2">
      <c r="B61" s="47">
        <v>54</v>
      </c>
      <c r="C61">
        <v>1.2E-2</v>
      </c>
      <c r="D61">
        <v>1.12E-2</v>
      </c>
      <c r="E61" s="85">
        <v>1.200000047684E-2</v>
      </c>
      <c r="F61" s="85">
        <v>1.100000023842E-2</v>
      </c>
      <c r="G61" s="88">
        <v>1.2E-2</v>
      </c>
      <c r="H61" s="88">
        <v>1.0999999999999999E-2</v>
      </c>
      <c r="I61" s="90">
        <f t="shared" si="0"/>
        <v>7.4999999999999997E-3</v>
      </c>
      <c r="J61" s="90">
        <f t="shared" si="1"/>
        <v>6.8999999999999999E-3</v>
      </c>
      <c r="K61" s="90">
        <f t="shared" si="2"/>
        <v>1.7499999999999998E-2</v>
      </c>
      <c r="L61" s="90">
        <f t="shared" si="3"/>
        <v>1.61E-2</v>
      </c>
      <c r="M61" s="104">
        <v>1.2E-2</v>
      </c>
      <c r="N61" s="104">
        <v>1.12E-2</v>
      </c>
      <c r="O61" s="70">
        <v>1.2500000000000001E-2</v>
      </c>
      <c r="P61" s="70">
        <v>1.15E-2</v>
      </c>
    </row>
    <row r="62" spans="2:16" x14ac:dyDescent="0.2">
      <c r="B62" s="47">
        <v>55</v>
      </c>
      <c r="C62">
        <v>1.2500000000000001E-2</v>
      </c>
      <c r="D62">
        <v>1.15E-2</v>
      </c>
      <c r="E62" s="85">
        <v>1.299999952316E-2</v>
      </c>
      <c r="F62" s="85">
        <v>1.200000047684E-2</v>
      </c>
      <c r="G62" s="88">
        <v>1.2E-2</v>
      </c>
      <c r="H62" s="88">
        <v>1.0999999999999999E-2</v>
      </c>
      <c r="I62" s="90">
        <f t="shared" si="0"/>
        <v>7.7999999999999996E-3</v>
      </c>
      <c r="J62" s="90">
        <f t="shared" si="1"/>
        <v>7.1999999999999998E-3</v>
      </c>
      <c r="K62" s="90">
        <f t="shared" si="2"/>
        <v>1.8199999999999997E-2</v>
      </c>
      <c r="L62" s="90">
        <f t="shared" si="3"/>
        <v>1.6799999999999999E-2</v>
      </c>
      <c r="M62" s="104">
        <v>1.2500000000000001E-2</v>
      </c>
      <c r="N62" s="104">
        <v>1.15E-2</v>
      </c>
      <c r="O62" s="70">
        <v>1.2999999999999999E-2</v>
      </c>
      <c r="P62" s="70">
        <v>1.2E-2</v>
      </c>
    </row>
    <row r="63" spans="2:16" x14ac:dyDescent="0.2">
      <c r="B63" s="47">
        <v>56</v>
      </c>
      <c r="C63">
        <v>1.2999999999999999E-2</v>
      </c>
      <c r="D63">
        <v>1.18E-2</v>
      </c>
      <c r="E63" s="85">
        <v>1.299999952316E-2</v>
      </c>
      <c r="F63" s="85">
        <v>1.200000047684E-2</v>
      </c>
      <c r="G63" s="88">
        <v>1.2999999999999999E-2</v>
      </c>
      <c r="H63" s="88">
        <v>1.2E-2</v>
      </c>
      <c r="I63" s="90">
        <f t="shared" si="0"/>
        <v>8.0999999999999996E-3</v>
      </c>
      <c r="J63" s="90">
        <f t="shared" si="1"/>
        <v>7.1999999999999998E-3</v>
      </c>
      <c r="K63" s="90">
        <f t="shared" si="2"/>
        <v>1.89E-2</v>
      </c>
      <c r="L63" s="90">
        <f t="shared" si="3"/>
        <v>1.6799999999999999E-2</v>
      </c>
      <c r="M63" s="104">
        <v>1.2999999999999999E-2</v>
      </c>
      <c r="N63" s="104">
        <v>1.18E-2</v>
      </c>
      <c r="O63" s="70">
        <v>1.35E-2</v>
      </c>
      <c r="P63" s="70">
        <v>1.2E-2</v>
      </c>
    </row>
    <row r="64" spans="2:16" x14ac:dyDescent="0.2">
      <c r="B64" s="47">
        <v>57</v>
      </c>
      <c r="C64">
        <v>1.35E-2</v>
      </c>
      <c r="D64">
        <v>1.21E-2</v>
      </c>
      <c r="E64" s="85">
        <v>1.399999976158E-2</v>
      </c>
      <c r="F64" s="85">
        <v>1.200000047684E-2</v>
      </c>
      <c r="G64" s="88">
        <v>1.2999999999999999E-2</v>
      </c>
      <c r="H64" s="88">
        <v>1.2E-2</v>
      </c>
      <c r="I64" s="90">
        <f t="shared" si="0"/>
        <v>8.3999999999999995E-3</v>
      </c>
      <c r="J64" s="90">
        <f t="shared" si="1"/>
        <v>7.1999999999999998E-3</v>
      </c>
      <c r="K64" s="90">
        <f t="shared" si="2"/>
        <v>1.9599999999999999E-2</v>
      </c>
      <c r="L64" s="90">
        <f t="shared" si="3"/>
        <v>1.6799999999999999E-2</v>
      </c>
      <c r="M64" s="104">
        <v>1.35E-2</v>
      </c>
      <c r="N64" s="104">
        <v>1.21E-2</v>
      </c>
      <c r="O64" s="70">
        <v>1.4E-2</v>
      </c>
      <c r="P64" s="70">
        <v>1.2E-2</v>
      </c>
    </row>
    <row r="65" spans="2:16" x14ac:dyDescent="0.2">
      <c r="B65" s="47">
        <v>58</v>
      </c>
      <c r="C65">
        <v>1.4E-2</v>
      </c>
      <c r="D65">
        <v>1.24E-2</v>
      </c>
      <c r="E65" s="85">
        <v>1.399999976158E-2</v>
      </c>
      <c r="F65" s="85">
        <v>1.200000047684E-2</v>
      </c>
      <c r="G65" s="88">
        <v>1.4E-2</v>
      </c>
      <c r="H65" s="88">
        <v>1.2E-2</v>
      </c>
      <c r="I65" s="90">
        <f t="shared" si="0"/>
        <v>8.6999999999999994E-3</v>
      </c>
      <c r="J65" s="90">
        <f t="shared" si="1"/>
        <v>7.4999999999999997E-3</v>
      </c>
      <c r="K65" s="90">
        <f t="shared" si="2"/>
        <v>2.0299999999999999E-2</v>
      </c>
      <c r="L65" s="90">
        <f t="shared" si="3"/>
        <v>1.7499999999999998E-2</v>
      </c>
      <c r="M65" s="104">
        <v>1.4E-2</v>
      </c>
      <c r="N65" s="104">
        <v>1.24E-2</v>
      </c>
      <c r="O65" s="70">
        <v>1.4500000000000001E-2</v>
      </c>
      <c r="P65" s="70">
        <v>1.2500000000000001E-2</v>
      </c>
    </row>
    <row r="66" spans="2:16" x14ac:dyDescent="0.2">
      <c r="B66" s="47">
        <v>59</v>
      </c>
      <c r="C66">
        <v>1.4500000000000001E-2</v>
      </c>
      <c r="D66">
        <v>1.2699999999999999E-2</v>
      </c>
      <c r="E66" s="85">
        <v>1.4999999999999999E-2</v>
      </c>
      <c r="F66" s="85">
        <v>1.299999952316E-2</v>
      </c>
      <c r="G66" s="88">
        <v>1.4E-2</v>
      </c>
      <c r="H66" s="88">
        <v>1.2E-2</v>
      </c>
      <c r="I66" s="90">
        <f t="shared" si="0"/>
        <v>8.9999999999999993E-3</v>
      </c>
      <c r="J66" s="90">
        <f t="shared" si="1"/>
        <v>7.7999999999999996E-3</v>
      </c>
      <c r="K66" s="90">
        <f t="shared" si="2"/>
        <v>2.0999999999999998E-2</v>
      </c>
      <c r="L66" s="90">
        <f t="shared" si="3"/>
        <v>1.8199999999999997E-2</v>
      </c>
      <c r="M66" s="104">
        <v>1.4500000000000001E-2</v>
      </c>
      <c r="N66" s="104">
        <v>1.2699999999999999E-2</v>
      </c>
      <c r="O66" s="70">
        <v>1.4999999999999999E-2</v>
      </c>
      <c r="P66" s="70">
        <v>1.2999999999999999E-2</v>
      </c>
    </row>
    <row r="67" spans="2:16" x14ac:dyDescent="0.2">
      <c r="B67" s="47">
        <v>60</v>
      </c>
      <c r="C67">
        <v>1.4999999999999999E-2</v>
      </c>
      <c r="D67">
        <v>1.2999999999999999E-2</v>
      </c>
      <c r="E67" s="85">
        <v>1.4999999999999999E-2</v>
      </c>
      <c r="F67" s="85">
        <v>1.299999952316E-2</v>
      </c>
      <c r="G67" s="88">
        <v>1.4999999999999999E-2</v>
      </c>
      <c r="H67" s="88">
        <v>1.2999999999999999E-2</v>
      </c>
      <c r="I67" s="90">
        <f t="shared" si="0"/>
        <v>8.9999999999999993E-3</v>
      </c>
      <c r="J67" s="90">
        <f t="shared" si="1"/>
        <v>7.7999999999999996E-3</v>
      </c>
      <c r="K67" s="90">
        <f t="shared" si="2"/>
        <v>2.0999999999999998E-2</v>
      </c>
      <c r="L67" s="90">
        <f t="shared" si="3"/>
        <v>1.8199999999999997E-2</v>
      </c>
      <c r="M67" s="104">
        <v>1.4999999999999999E-2</v>
      </c>
      <c r="N67" s="104">
        <v>1.2999999999999999E-2</v>
      </c>
      <c r="O67" s="70">
        <v>1.4999999999999999E-2</v>
      </c>
      <c r="P67" s="70">
        <v>1.2999999999999999E-2</v>
      </c>
    </row>
    <row r="68" spans="2:16" x14ac:dyDescent="0.2">
      <c r="B68" s="47">
        <v>61</v>
      </c>
      <c r="C68">
        <v>1.4999999999999999E-2</v>
      </c>
      <c r="D68">
        <v>1.2999999999999999E-2</v>
      </c>
      <c r="E68" s="85">
        <v>1.4999999999999999E-2</v>
      </c>
      <c r="F68" s="85">
        <v>1.299999952316E-2</v>
      </c>
      <c r="G68" s="88">
        <v>1.4999999999999999E-2</v>
      </c>
      <c r="H68" s="88">
        <v>1.2999999999999999E-2</v>
      </c>
      <c r="I68" s="90">
        <f t="shared" si="0"/>
        <v>8.9999999999999993E-3</v>
      </c>
      <c r="J68" s="90">
        <f t="shared" si="1"/>
        <v>7.7999999999999996E-3</v>
      </c>
      <c r="K68" s="90">
        <f t="shared" si="2"/>
        <v>2.0999999999999998E-2</v>
      </c>
      <c r="L68" s="90">
        <f t="shared" si="3"/>
        <v>1.8199999999999997E-2</v>
      </c>
      <c r="M68" s="104">
        <v>1.4999999999999999E-2</v>
      </c>
      <c r="N68" s="104">
        <v>1.2999999999999999E-2</v>
      </c>
      <c r="O68" s="70">
        <v>1.4999999999999999E-2</v>
      </c>
      <c r="P68" s="70">
        <v>1.2999999999999999E-2</v>
      </c>
    </row>
    <row r="69" spans="2:16" x14ac:dyDescent="0.2">
      <c r="B69" s="47">
        <v>62</v>
      </c>
      <c r="C69">
        <v>1.4999999999999999E-2</v>
      </c>
      <c r="D69">
        <v>1.2999999999999999E-2</v>
      </c>
      <c r="E69" s="85">
        <v>1.4999999999999999E-2</v>
      </c>
      <c r="F69" s="85">
        <v>1.299999952316E-2</v>
      </c>
      <c r="G69" s="88">
        <v>1.4999999999999999E-2</v>
      </c>
      <c r="H69" s="88">
        <v>1.2999999999999999E-2</v>
      </c>
      <c r="I69" s="90">
        <f t="shared" si="0"/>
        <v>8.9999999999999993E-3</v>
      </c>
      <c r="J69" s="90">
        <f t="shared" si="1"/>
        <v>7.7999999999999996E-3</v>
      </c>
      <c r="K69" s="90">
        <f t="shared" si="2"/>
        <v>2.0999999999999998E-2</v>
      </c>
      <c r="L69" s="90">
        <f t="shared" si="3"/>
        <v>1.8199999999999997E-2</v>
      </c>
      <c r="M69" s="104">
        <v>1.4999999999999999E-2</v>
      </c>
      <c r="N69" s="104">
        <v>1.2999999999999999E-2</v>
      </c>
      <c r="O69" s="70">
        <v>1.4999999999999999E-2</v>
      </c>
      <c r="P69" s="70">
        <v>1.2999999999999999E-2</v>
      </c>
    </row>
    <row r="70" spans="2:16" x14ac:dyDescent="0.2">
      <c r="B70" s="47">
        <v>63</v>
      </c>
      <c r="C70">
        <v>1.4999999999999999E-2</v>
      </c>
      <c r="D70">
        <v>1.2999999999999999E-2</v>
      </c>
      <c r="E70" s="85">
        <v>1.4999999999999999E-2</v>
      </c>
      <c r="F70" s="85">
        <v>1.299999952316E-2</v>
      </c>
      <c r="G70" s="88">
        <v>1.4999999999999999E-2</v>
      </c>
      <c r="H70" s="88">
        <v>1.2999999999999999E-2</v>
      </c>
      <c r="I70" s="90">
        <f t="shared" si="0"/>
        <v>8.9999999999999993E-3</v>
      </c>
      <c r="J70" s="90">
        <f t="shared" si="1"/>
        <v>7.7999999999999996E-3</v>
      </c>
      <c r="K70" s="90">
        <f t="shared" si="2"/>
        <v>2.0999999999999998E-2</v>
      </c>
      <c r="L70" s="90">
        <f t="shared" si="3"/>
        <v>1.8199999999999997E-2</v>
      </c>
      <c r="M70" s="104">
        <v>1.4999999999999999E-2</v>
      </c>
      <c r="N70" s="104">
        <v>1.2999999999999999E-2</v>
      </c>
      <c r="O70" s="70">
        <v>1.4999999999999999E-2</v>
      </c>
      <c r="P70" s="70">
        <v>1.2999999999999999E-2</v>
      </c>
    </row>
    <row r="71" spans="2:16" x14ac:dyDescent="0.2">
      <c r="B71" s="47">
        <v>64</v>
      </c>
      <c r="C71">
        <v>1.4999999999999999E-2</v>
      </c>
      <c r="D71">
        <v>1.2999999999999999E-2</v>
      </c>
      <c r="E71" s="85">
        <v>1.4999999999999999E-2</v>
      </c>
      <c r="F71" s="85">
        <v>1.299999952316E-2</v>
      </c>
      <c r="G71" s="88">
        <v>1.4999999999999999E-2</v>
      </c>
      <c r="H71" s="88">
        <v>1.2999999999999999E-2</v>
      </c>
      <c r="I71" s="90">
        <f t="shared" si="0"/>
        <v>8.9999999999999993E-3</v>
      </c>
      <c r="J71" s="90">
        <f t="shared" si="1"/>
        <v>7.7999999999999996E-3</v>
      </c>
      <c r="K71" s="90">
        <f t="shared" si="2"/>
        <v>2.0999999999999998E-2</v>
      </c>
      <c r="L71" s="90">
        <f t="shared" si="3"/>
        <v>1.8199999999999997E-2</v>
      </c>
      <c r="M71" s="104">
        <v>1.4999999999999999E-2</v>
      </c>
      <c r="N71" s="104">
        <v>1.2999999999999999E-2</v>
      </c>
      <c r="O71" s="70">
        <v>1.4999999999999999E-2</v>
      </c>
      <c r="P71" s="70">
        <v>1.2999999999999999E-2</v>
      </c>
    </row>
    <row r="72" spans="2:16" x14ac:dyDescent="0.2">
      <c r="B72" s="47">
        <v>65</v>
      </c>
      <c r="C72">
        <v>1.4999999999999999E-2</v>
      </c>
      <c r="D72">
        <v>1.2999999999999999E-2</v>
      </c>
      <c r="E72" s="85">
        <v>1.4999999999999999E-2</v>
      </c>
      <c r="F72" s="85">
        <v>1.299999952316E-2</v>
      </c>
      <c r="G72" s="88">
        <v>1.4999999999999999E-2</v>
      </c>
      <c r="H72" s="88">
        <v>1.2999999999999999E-2</v>
      </c>
      <c r="I72" s="90">
        <f t="shared" si="0"/>
        <v>8.9999999999999993E-3</v>
      </c>
      <c r="J72" s="90">
        <f t="shared" si="1"/>
        <v>7.7999999999999996E-3</v>
      </c>
      <c r="K72" s="90">
        <f t="shared" si="2"/>
        <v>2.0999999999999998E-2</v>
      </c>
      <c r="L72" s="90">
        <f t="shared" si="3"/>
        <v>1.8199999999999997E-2</v>
      </c>
      <c r="M72" s="104">
        <v>1.4999999999999999E-2</v>
      </c>
      <c r="N72" s="104">
        <v>1.2999999999999999E-2</v>
      </c>
      <c r="O72" s="70">
        <v>1.4999999999999999E-2</v>
      </c>
      <c r="P72" s="70">
        <v>1.2999999999999999E-2</v>
      </c>
    </row>
    <row r="73" spans="2:16" x14ac:dyDescent="0.2">
      <c r="B73" s="47">
        <v>66</v>
      </c>
      <c r="C73">
        <v>1.4999999999999999E-2</v>
      </c>
      <c r="D73">
        <v>1.2999999999999999E-2</v>
      </c>
      <c r="E73" s="85">
        <v>1.4999999999999999E-2</v>
      </c>
      <c r="F73" s="85">
        <v>1.299999952316E-2</v>
      </c>
      <c r="G73" s="88">
        <v>1.4999999999999999E-2</v>
      </c>
      <c r="H73" s="88">
        <v>1.2999999999999999E-2</v>
      </c>
      <c r="I73" s="90">
        <f t="shared" ref="I73:I126" si="4">O73*0.6</f>
        <v>8.9999999999999993E-3</v>
      </c>
      <c r="J73" s="90">
        <f t="shared" ref="J73:J126" si="5">P73*0.6</f>
        <v>7.7999999999999996E-3</v>
      </c>
      <c r="K73" s="90">
        <f t="shared" ref="K73:K126" si="6">O73*1.4</f>
        <v>2.0999999999999998E-2</v>
      </c>
      <c r="L73" s="90">
        <f t="shared" ref="L73:L126" si="7">P73*1.4</f>
        <v>1.8199999999999997E-2</v>
      </c>
      <c r="M73" s="104">
        <v>1.4999999999999999E-2</v>
      </c>
      <c r="N73" s="104">
        <v>1.2999999999999999E-2</v>
      </c>
      <c r="O73" s="70">
        <v>1.4999999999999999E-2</v>
      </c>
      <c r="P73" s="70">
        <v>1.2999999999999999E-2</v>
      </c>
    </row>
    <row r="74" spans="2:16" x14ac:dyDescent="0.2">
      <c r="B74" s="47">
        <v>67</v>
      </c>
      <c r="C74">
        <v>1.4999999999999999E-2</v>
      </c>
      <c r="D74">
        <v>1.2999999999999999E-2</v>
      </c>
      <c r="E74" s="85">
        <v>1.4999999999999999E-2</v>
      </c>
      <c r="F74" s="85">
        <v>1.299999952316E-2</v>
      </c>
      <c r="G74" s="88">
        <v>1.4999999999999999E-2</v>
      </c>
      <c r="H74" s="88">
        <v>1.2999999999999999E-2</v>
      </c>
      <c r="I74" s="90">
        <f t="shared" si="4"/>
        <v>8.9999999999999993E-3</v>
      </c>
      <c r="J74" s="90">
        <f t="shared" si="5"/>
        <v>7.7999999999999996E-3</v>
      </c>
      <c r="K74" s="90">
        <f t="shared" si="6"/>
        <v>2.0999999999999998E-2</v>
      </c>
      <c r="L74" s="90">
        <f t="shared" si="7"/>
        <v>1.8199999999999997E-2</v>
      </c>
      <c r="M74" s="104">
        <v>1.4999999999999999E-2</v>
      </c>
      <c r="N74" s="104">
        <v>1.2999999999999999E-2</v>
      </c>
      <c r="O74" s="70">
        <v>1.4999999999999999E-2</v>
      </c>
      <c r="P74" s="70">
        <v>1.2999999999999999E-2</v>
      </c>
    </row>
    <row r="75" spans="2:16" x14ac:dyDescent="0.2">
      <c r="B75" s="47">
        <v>68</v>
      </c>
      <c r="C75">
        <v>1.4999999999999999E-2</v>
      </c>
      <c r="D75">
        <v>1.2999999999999999E-2</v>
      </c>
      <c r="E75" s="85">
        <v>1.4999999999999999E-2</v>
      </c>
      <c r="F75" s="85">
        <v>1.299999952316E-2</v>
      </c>
      <c r="G75" s="88">
        <v>1.4999999999999999E-2</v>
      </c>
      <c r="H75" s="88">
        <v>1.2999999999999999E-2</v>
      </c>
      <c r="I75" s="90">
        <f t="shared" si="4"/>
        <v>8.9999999999999993E-3</v>
      </c>
      <c r="J75" s="90">
        <f t="shared" si="5"/>
        <v>7.7999999999999996E-3</v>
      </c>
      <c r="K75" s="90">
        <f t="shared" si="6"/>
        <v>2.0999999999999998E-2</v>
      </c>
      <c r="L75" s="90">
        <f t="shared" si="7"/>
        <v>1.8199999999999997E-2</v>
      </c>
      <c r="M75" s="104">
        <v>1.4999999999999999E-2</v>
      </c>
      <c r="N75" s="104">
        <v>1.2999999999999999E-2</v>
      </c>
      <c r="O75" s="70">
        <v>1.4999999999999999E-2</v>
      </c>
      <c r="P75" s="70">
        <v>1.2999999999999999E-2</v>
      </c>
    </row>
    <row r="76" spans="2:16" x14ac:dyDescent="0.2">
      <c r="B76" s="47">
        <v>69</v>
      </c>
      <c r="C76">
        <v>1.4999999999999999E-2</v>
      </c>
      <c r="D76">
        <v>1.2999999999999999E-2</v>
      </c>
      <c r="E76" s="85">
        <v>1.4999999999999999E-2</v>
      </c>
      <c r="F76" s="85">
        <v>1.299999952316E-2</v>
      </c>
      <c r="G76" s="88">
        <v>1.4999999999999999E-2</v>
      </c>
      <c r="H76" s="88">
        <v>1.2999999999999999E-2</v>
      </c>
      <c r="I76" s="90">
        <f t="shared" si="4"/>
        <v>8.9999999999999993E-3</v>
      </c>
      <c r="J76" s="90">
        <f t="shared" si="5"/>
        <v>7.7999999999999996E-3</v>
      </c>
      <c r="K76" s="90">
        <f t="shared" si="6"/>
        <v>2.0999999999999998E-2</v>
      </c>
      <c r="L76" s="90">
        <f t="shared" si="7"/>
        <v>1.8199999999999997E-2</v>
      </c>
      <c r="M76" s="104">
        <v>1.4999999999999999E-2</v>
      </c>
      <c r="N76" s="104">
        <v>1.2999999999999999E-2</v>
      </c>
      <c r="O76" s="70">
        <v>1.4999999999999999E-2</v>
      </c>
      <c r="P76" s="70">
        <v>1.2999999999999999E-2</v>
      </c>
    </row>
    <row r="77" spans="2:16" x14ac:dyDescent="0.2">
      <c r="B77" s="47">
        <v>70</v>
      </c>
      <c r="C77">
        <v>1.4999999999999999E-2</v>
      </c>
      <c r="D77">
        <v>1.2999999999999999E-2</v>
      </c>
      <c r="E77" s="85">
        <v>1.4999999999999999E-2</v>
      </c>
      <c r="F77" s="85">
        <v>1.299999952316E-2</v>
      </c>
      <c r="G77" s="88">
        <v>1.4999999999999999E-2</v>
      </c>
      <c r="H77" s="88">
        <v>1.2999999999999999E-2</v>
      </c>
      <c r="I77" s="90">
        <f t="shared" si="4"/>
        <v>8.9999999999999993E-3</v>
      </c>
      <c r="J77" s="90">
        <f t="shared" si="5"/>
        <v>7.7999999999999996E-3</v>
      </c>
      <c r="K77" s="90">
        <f t="shared" si="6"/>
        <v>2.0999999999999998E-2</v>
      </c>
      <c r="L77" s="90">
        <f t="shared" si="7"/>
        <v>1.8199999999999997E-2</v>
      </c>
      <c r="M77" s="104">
        <v>1.4999999999999999E-2</v>
      </c>
      <c r="N77" s="104">
        <v>1.2999999999999999E-2</v>
      </c>
      <c r="O77" s="70">
        <v>1.4999999999999999E-2</v>
      </c>
      <c r="P77" s="70">
        <v>1.2999999999999999E-2</v>
      </c>
    </row>
    <row r="78" spans="2:16" x14ac:dyDescent="0.2">
      <c r="B78" s="47">
        <v>71</v>
      </c>
      <c r="C78">
        <v>1.4999999999999999E-2</v>
      </c>
      <c r="D78">
        <v>1.2999999999999999E-2</v>
      </c>
      <c r="E78" s="85">
        <v>1.4999999999999999E-2</v>
      </c>
      <c r="F78" s="85">
        <v>1.299999952316E-2</v>
      </c>
      <c r="G78" s="88">
        <v>1.4999999999999999E-2</v>
      </c>
      <c r="H78" s="88">
        <v>1.2999999999999999E-2</v>
      </c>
      <c r="I78" s="90">
        <f t="shared" si="4"/>
        <v>8.9999999999999993E-3</v>
      </c>
      <c r="J78" s="90">
        <f t="shared" si="5"/>
        <v>7.7999999999999996E-3</v>
      </c>
      <c r="K78" s="90">
        <f t="shared" si="6"/>
        <v>2.0999999999999998E-2</v>
      </c>
      <c r="L78" s="90">
        <f t="shared" si="7"/>
        <v>1.8199999999999997E-2</v>
      </c>
      <c r="M78" s="104">
        <v>1.4999999999999999E-2</v>
      </c>
      <c r="N78" s="104">
        <v>1.2999999999999999E-2</v>
      </c>
      <c r="O78" s="70">
        <v>1.4999999999999999E-2</v>
      </c>
      <c r="P78" s="70">
        <v>1.2999999999999999E-2</v>
      </c>
    </row>
    <row r="79" spans="2:16" x14ac:dyDescent="0.2">
      <c r="B79" s="47">
        <v>72</v>
      </c>
      <c r="C79">
        <v>1.4999999999999999E-2</v>
      </c>
      <c r="D79">
        <v>1.2999999999999999E-2</v>
      </c>
      <c r="E79" s="85">
        <v>1.4999999999999999E-2</v>
      </c>
      <c r="F79" s="85">
        <v>1.299999952316E-2</v>
      </c>
      <c r="G79" s="88">
        <v>1.4999999999999999E-2</v>
      </c>
      <c r="H79" s="88">
        <v>1.2999999999999999E-2</v>
      </c>
      <c r="I79" s="90">
        <f t="shared" si="4"/>
        <v>8.9999999999999993E-3</v>
      </c>
      <c r="J79" s="90">
        <f t="shared" si="5"/>
        <v>7.7999999999999996E-3</v>
      </c>
      <c r="K79" s="90">
        <f t="shared" si="6"/>
        <v>2.0999999999999998E-2</v>
      </c>
      <c r="L79" s="90">
        <f t="shared" si="7"/>
        <v>1.8199999999999997E-2</v>
      </c>
      <c r="M79" s="104">
        <v>1.4999999999999999E-2</v>
      </c>
      <c r="N79" s="104">
        <v>1.2999999999999999E-2</v>
      </c>
      <c r="O79" s="70">
        <v>1.4999999999999999E-2</v>
      </c>
      <c r="P79" s="70">
        <v>1.2999999999999999E-2</v>
      </c>
    </row>
    <row r="80" spans="2:16" x14ac:dyDescent="0.2">
      <c r="B80" s="47">
        <v>73</v>
      </c>
      <c r="C80">
        <v>1.4999999999999999E-2</v>
      </c>
      <c r="D80">
        <v>1.2999999999999999E-2</v>
      </c>
      <c r="E80" s="85">
        <v>1.4999999999999999E-2</v>
      </c>
      <c r="F80" s="85">
        <v>1.299999952316E-2</v>
      </c>
      <c r="G80" s="88">
        <v>1.4999999999999999E-2</v>
      </c>
      <c r="H80" s="88">
        <v>1.2999999999999999E-2</v>
      </c>
      <c r="I80" s="90">
        <f t="shared" si="4"/>
        <v>8.9999999999999993E-3</v>
      </c>
      <c r="J80" s="90">
        <f t="shared" si="5"/>
        <v>7.7999999999999996E-3</v>
      </c>
      <c r="K80" s="90">
        <f t="shared" si="6"/>
        <v>2.0999999999999998E-2</v>
      </c>
      <c r="L80" s="90">
        <f t="shared" si="7"/>
        <v>1.8199999999999997E-2</v>
      </c>
      <c r="M80" s="104">
        <v>1.4999999999999999E-2</v>
      </c>
      <c r="N80" s="104">
        <v>1.2999999999999999E-2</v>
      </c>
      <c r="O80" s="70">
        <v>1.4999999999999999E-2</v>
      </c>
      <c r="P80" s="70">
        <v>1.2999999999999999E-2</v>
      </c>
    </row>
    <row r="81" spans="2:16" x14ac:dyDescent="0.2">
      <c r="B81" s="47">
        <v>74</v>
      </c>
      <c r="C81">
        <v>1.4999999999999999E-2</v>
      </c>
      <c r="D81">
        <v>1.2999999999999999E-2</v>
      </c>
      <c r="E81" s="85">
        <v>1.4999999999999999E-2</v>
      </c>
      <c r="F81" s="85">
        <v>1.299999952316E-2</v>
      </c>
      <c r="G81" s="88">
        <v>1.4999999999999999E-2</v>
      </c>
      <c r="H81" s="88">
        <v>1.2999999999999999E-2</v>
      </c>
      <c r="I81" s="90">
        <f t="shared" si="4"/>
        <v>8.9999999999999993E-3</v>
      </c>
      <c r="J81" s="90">
        <f t="shared" si="5"/>
        <v>7.7999999999999996E-3</v>
      </c>
      <c r="K81" s="90">
        <f t="shared" si="6"/>
        <v>2.0999999999999998E-2</v>
      </c>
      <c r="L81" s="90">
        <f t="shared" si="7"/>
        <v>1.8199999999999997E-2</v>
      </c>
      <c r="M81" s="104">
        <v>1.4999999999999999E-2</v>
      </c>
      <c r="N81" s="104">
        <v>1.2999999999999999E-2</v>
      </c>
      <c r="O81" s="70">
        <v>1.4999999999999999E-2</v>
      </c>
      <c r="P81" s="70">
        <v>1.2999999999999999E-2</v>
      </c>
    </row>
    <row r="82" spans="2:16" x14ac:dyDescent="0.2">
      <c r="B82" s="47">
        <v>75</v>
      </c>
      <c r="C82">
        <v>1.4999999999999999E-2</v>
      </c>
      <c r="D82">
        <v>1.2999999999999999E-2</v>
      </c>
      <c r="E82" s="85">
        <v>1.4999999999999999E-2</v>
      </c>
      <c r="F82" s="85">
        <v>1.299999952316E-2</v>
      </c>
      <c r="G82" s="88">
        <v>1.4999999999999999E-2</v>
      </c>
      <c r="H82" s="88">
        <v>1.2999999999999999E-2</v>
      </c>
      <c r="I82" s="90">
        <f t="shared" si="4"/>
        <v>8.9999999999999993E-3</v>
      </c>
      <c r="J82" s="90">
        <f t="shared" si="5"/>
        <v>7.7999999999999996E-3</v>
      </c>
      <c r="K82" s="90">
        <f t="shared" si="6"/>
        <v>2.0999999999999998E-2</v>
      </c>
      <c r="L82" s="90">
        <f t="shared" si="7"/>
        <v>1.8199999999999997E-2</v>
      </c>
      <c r="M82" s="104">
        <v>1.4999999999999999E-2</v>
      </c>
      <c r="N82" s="104">
        <v>1.2999999999999999E-2</v>
      </c>
      <c r="O82" s="70">
        <v>1.4999999999999999E-2</v>
      </c>
      <c r="P82" s="70">
        <v>1.2999999999999999E-2</v>
      </c>
    </row>
    <row r="83" spans="2:16" x14ac:dyDescent="0.2">
      <c r="B83" s="47">
        <v>76</v>
      </c>
      <c r="C83">
        <v>1.4999999999999999E-2</v>
      </c>
      <c r="D83">
        <v>1.2999999999999999E-2</v>
      </c>
      <c r="E83" s="85">
        <v>1.4999999999999999E-2</v>
      </c>
      <c r="F83" s="85">
        <v>1.299999952316E-2</v>
      </c>
      <c r="G83" s="88">
        <v>1.4999999999999999E-2</v>
      </c>
      <c r="H83" s="88">
        <v>1.2999999999999999E-2</v>
      </c>
      <c r="I83" s="90">
        <f t="shared" si="4"/>
        <v>8.9999999999999993E-3</v>
      </c>
      <c r="J83" s="90">
        <f t="shared" si="5"/>
        <v>7.7999999999999996E-3</v>
      </c>
      <c r="K83" s="90">
        <f t="shared" si="6"/>
        <v>2.0999999999999998E-2</v>
      </c>
      <c r="L83" s="90">
        <f t="shared" si="7"/>
        <v>1.8199999999999997E-2</v>
      </c>
      <c r="M83" s="104">
        <v>1.4999999999999999E-2</v>
      </c>
      <c r="N83" s="104">
        <v>1.2999999999999999E-2</v>
      </c>
      <c r="O83" s="70">
        <v>1.4999999999999999E-2</v>
      </c>
      <c r="P83" s="70">
        <v>1.2999999999999999E-2</v>
      </c>
    </row>
    <row r="84" spans="2:16" x14ac:dyDescent="0.2">
      <c r="B84" s="47">
        <v>77</v>
      </c>
      <c r="C84">
        <v>1.4999999999999999E-2</v>
      </c>
      <c r="D84">
        <v>1.2999999999999999E-2</v>
      </c>
      <c r="E84" s="85">
        <v>1.4999999999999999E-2</v>
      </c>
      <c r="F84" s="85">
        <v>1.299999952316E-2</v>
      </c>
      <c r="G84" s="88">
        <v>1.4999999999999999E-2</v>
      </c>
      <c r="H84" s="88">
        <v>1.2999999999999999E-2</v>
      </c>
      <c r="I84" s="90">
        <f t="shared" si="4"/>
        <v>8.9999999999999993E-3</v>
      </c>
      <c r="J84" s="90">
        <f t="shared" si="5"/>
        <v>7.7999999999999996E-3</v>
      </c>
      <c r="K84" s="90">
        <f t="shared" si="6"/>
        <v>2.0999999999999998E-2</v>
      </c>
      <c r="L84" s="90">
        <f t="shared" si="7"/>
        <v>1.8199999999999997E-2</v>
      </c>
      <c r="M84" s="104">
        <v>1.4999999999999999E-2</v>
      </c>
      <c r="N84" s="104">
        <v>1.2999999999999999E-2</v>
      </c>
      <c r="O84" s="70">
        <v>1.4999999999999999E-2</v>
      </c>
      <c r="P84" s="70">
        <v>1.2999999999999999E-2</v>
      </c>
    </row>
    <row r="85" spans="2:16" x14ac:dyDescent="0.2">
      <c r="B85" s="47">
        <v>78</v>
      </c>
      <c r="C85">
        <v>1.4999999999999999E-2</v>
      </c>
      <c r="D85">
        <v>1.2999999999999999E-2</v>
      </c>
      <c r="E85" s="85">
        <v>1.4999999999999999E-2</v>
      </c>
      <c r="F85" s="85">
        <v>1.299999952316E-2</v>
      </c>
      <c r="G85" s="88">
        <v>1.4999999999999999E-2</v>
      </c>
      <c r="H85" s="88">
        <v>1.2999999999999999E-2</v>
      </c>
      <c r="I85" s="90">
        <f t="shared" si="4"/>
        <v>8.9999999999999993E-3</v>
      </c>
      <c r="J85" s="90">
        <f t="shared" si="5"/>
        <v>7.7999999999999996E-3</v>
      </c>
      <c r="K85" s="90">
        <f t="shared" si="6"/>
        <v>2.0999999999999998E-2</v>
      </c>
      <c r="L85" s="90">
        <f t="shared" si="7"/>
        <v>1.8199999999999997E-2</v>
      </c>
      <c r="M85" s="104">
        <v>1.4999999999999999E-2</v>
      </c>
      <c r="N85" s="104">
        <v>1.2999999999999999E-2</v>
      </c>
      <c r="O85" s="70">
        <v>1.4999999999999999E-2</v>
      </c>
      <c r="P85" s="70">
        <v>1.2999999999999999E-2</v>
      </c>
    </row>
    <row r="86" spans="2:16" x14ac:dyDescent="0.2">
      <c r="B86" s="47">
        <v>79</v>
      </c>
      <c r="C86">
        <v>1.4999999999999999E-2</v>
      </c>
      <c r="D86">
        <v>1.2999999999999999E-2</v>
      </c>
      <c r="E86" s="85">
        <v>1.4999999999999999E-2</v>
      </c>
      <c r="F86" s="85">
        <v>1.299999952316E-2</v>
      </c>
      <c r="G86" s="88">
        <v>1.4999999999999999E-2</v>
      </c>
      <c r="H86" s="88">
        <v>1.2999999999999999E-2</v>
      </c>
      <c r="I86" s="90">
        <f t="shared" si="4"/>
        <v>8.9999999999999993E-3</v>
      </c>
      <c r="J86" s="90">
        <f t="shared" si="5"/>
        <v>7.7999999999999996E-3</v>
      </c>
      <c r="K86" s="90">
        <f t="shared" si="6"/>
        <v>2.0999999999999998E-2</v>
      </c>
      <c r="L86" s="90">
        <f t="shared" si="7"/>
        <v>1.8199999999999997E-2</v>
      </c>
      <c r="M86" s="104">
        <v>1.4999999999999999E-2</v>
      </c>
      <c r="N86" s="104">
        <v>1.2999999999999999E-2</v>
      </c>
      <c r="O86" s="70">
        <v>1.4999999999999999E-2</v>
      </c>
      <c r="P86" s="70">
        <v>1.2999999999999999E-2</v>
      </c>
    </row>
    <row r="87" spans="2:16" x14ac:dyDescent="0.2">
      <c r="B87" s="47">
        <v>80</v>
      </c>
      <c r="C87">
        <v>1.4999999999999999E-2</v>
      </c>
      <c r="D87">
        <v>1.2999999999999999E-2</v>
      </c>
      <c r="E87" s="85">
        <v>1.4999999999999999E-2</v>
      </c>
      <c r="F87" s="85">
        <v>1.299999952316E-2</v>
      </c>
      <c r="G87" s="88">
        <v>1.4999999999999999E-2</v>
      </c>
      <c r="H87" s="88">
        <v>1.2999999999999999E-2</v>
      </c>
      <c r="I87" s="90">
        <f t="shared" si="4"/>
        <v>8.6999999999999994E-3</v>
      </c>
      <c r="J87" s="90">
        <f t="shared" si="5"/>
        <v>7.4999999999999997E-3</v>
      </c>
      <c r="K87" s="90">
        <f t="shared" si="6"/>
        <v>2.0299999999999999E-2</v>
      </c>
      <c r="L87" s="90">
        <f t="shared" si="7"/>
        <v>1.7499999999999998E-2</v>
      </c>
      <c r="M87" s="104">
        <v>1.4999999999999999E-2</v>
      </c>
      <c r="N87" s="104">
        <v>1.2999999999999999E-2</v>
      </c>
      <c r="O87" s="70">
        <v>1.4500000000000001E-2</v>
      </c>
      <c r="P87" s="70">
        <v>1.2500000000000001E-2</v>
      </c>
    </row>
    <row r="88" spans="2:16" x14ac:dyDescent="0.2">
      <c r="B88" s="47">
        <v>81</v>
      </c>
      <c r="C88">
        <v>1.4200000000000001E-2</v>
      </c>
      <c r="D88">
        <v>1.23E-2</v>
      </c>
      <c r="E88" s="85">
        <v>1.399999976158E-2</v>
      </c>
      <c r="F88" s="85">
        <v>1.200000047684E-2</v>
      </c>
      <c r="G88" s="88">
        <v>1.4999999999999999E-2</v>
      </c>
      <c r="H88" s="88">
        <v>1.2999999999999999E-2</v>
      </c>
      <c r="I88" s="90">
        <f t="shared" si="4"/>
        <v>8.0999999999999996E-3</v>
      </c>
      <c r="J88" s="90">
        <f t="shared" si="5"/>
        <v>7.1999999999999998E-3</v>
      </c>
      <c r="K88" s="90">
        <f t="shared" si="6"/>
        <v>1.89E-2</v>
      </c>
      <c r="L88" s="90">
        <f t="shared" si="7"/>
        <v>1.6799999999999999E-2</v>
      </c>
      <c r="M88" s="104">
        <v>1.4200000000000001E-2</v>
      </c>
      <c r="N88" s="104">
        <v>1.23E-2</v>
      </c>
      <c r="O88" s="70">
        <v>1.35E-2</v>
      </c>
      <c r="P88" s="70">
        <v>1.2E-2</v>
      </c>
    </row>
    <row r="89" spans="2:16" x14ac:dyDescent="0.2">
      <c r="B89" s="47">
        <v>82</v>
      </c>
      <c r="C89">
        <v>1.34E-2</v>
      </c>
      <c r="D89">
        <v>1.1599999999999999E-2</v>
      </c>
      <c r="E89" s="85">
        <v>1.299999952316E-2</v>
      </c>
      <c r="F89" s="85">
        <v>1.200000047684E-2</v>
      </c>
      <c r="G89" s="88">
        <v>1.4E-2</v>
      </c>
      <c r="H89" s="88">
        <v>1.2E-2</v>
      </c>
      <c r="I89" s="90">
        <f t="shared" si="4"/>
        <v>7.7999999999999996E-3</v>
      </c>
      <c r="J89" s="90">
        <f t="shared" si="5"/>
        <v>6.8999999999999999E-3</v>
      </c>
      <c r="K89" s="90">
        <f t="shared" si="6"/>
        <v>1.8199999999999997E-2</v>
      </c>
      <c r="L89" s="90">
        <f t="shared" si="7"/>
        <v>1.61E-2</v>
      </c>
      <c r="M89" s="104">
        <v>1.34E-2</v>
      </c>
      <c r="N89" s="104">
        <v>1.1599999999999999E-2</v>
      </c>
      <c r="O89" s="70">
        <v>1.2999999999999999E-2</v>
      </c>
      <c r="P89" s="70">
        <v>1.15E-2</v>
      </c>
    </row>
    <row r="90" spans="2:16" x14ac:dyDescent="0.2">
      <c r="B90" s="47">
        <v>83</v>
      </c>
      <c r="C90">
        <v>1.26E-2</v>
      </c>
      <c r="D90">
        <v>1.09E-2</v>
      </c>
      <c r="E90" s="85">
        <v>1.299999952316E-2</v>
      </c>
      <c r="F90" s="85">
        <v>1.100000023842E-2</v>
      </c>
      <c r="G90" s="88">
        <v>1.2999999999999999E-2</v>
      </c>
      <c r="H90" s="88">
        <v>1.2E-2</v>
      </c>
      <c r="I90" s="90">
        <f t="shared" si="4"/>
        <v>7.4999999999999997E-3</v>
      </c>
      <c r="J90" s="90">
        <f t="shared" si="5"/>
        <v>6.3E-3</v>
      </c>
      <c r="K90" s="90">
        <f t="shared" si="6"/>
        <v>1.7499999999999998E-2</v>
      </c>
      <c r="L90" s="90">
        <f t="shared" si="7"/>
        <v>1.47E-2</v>
      </c>
      <c r="M90" s="104">
        <v>1.26E-2</v>
      </c>
      <c r="N90" s="104">
        <v>1.09E-2</v>
      </c>
      <c r="O90" s="70">
        <v>1.2500000000000001E-2</v>
      </c>
      <c r="P90" s="70">
        <v>1.0500000000000001E-2</v>
      </c>
    </row>
    <row r="91" spans="2:16" x14ac:dyDescent="0.2">
      <c r="B91" s="47">
        <v>84</v>
      </c>
      <c r="C91">
        <v>1.18E-2</v>
      </c>
      <c r="D91">
        <v>1.0200000000000001E-2</v>
      </c>
      <c r="E91" s="85">
        <v>1.200000047684E-2</v>
      </c>
      <c r="F91" s="85">
        <v>0.01</v>
      </c>
      <c r="G91" s="88">
        <v>1.2999999999999999E-2</v>
      </c>
      <c r="H91" s="88">
        <v>1.0999999999999999E-2</v>
      </c>
      <c r="I91" s="90">
        <f t="shared" si="4"/>
        <v>6.8999999999999999E-3</v>
      </c>
      <c r="J91" s="90">
        <f t="shared" si="5"/>
        <v>6.0000000000000001E-3</v>
      </c>
      <c r="K91" s="90">
        <f t="shared" si="6"/>
        <v>1.61E-2</v>
      </c>
      <c r="L91" s="90">
        <f t="shared" si="7"/>
        <v>1.3999999999999999E-2</v>
      </c>
      <c r="M91" s="104">
        <v>1.18E-2</v>
      </c>
      <c r="N91" s="104">
        <v>1.0200000000000001E-2</v>
      </c>
      <c r="O91" s="70">
        <v>1.15E-2</v>
      </c>
      <c r="P91" s="70">
        <v>0.01</v>
      </c>
    </row>
    <row r="92" spans="2:16" x14ac:dyDescent="0.2">
      <c r="B92" s="47">
        <v>85</v>
      </c>
      <c r="C92">
        <v>1.0999999999999999E-2</v>
      </c>
      <c r="D92">
        <v>9.4999999999999998E-3</v>
      </c>
      <c r="E92" s="85">
        <v>1.100000023842E-2</v>
      </c>
      <c r="F92" s="85">
        <v>0.01</v>
      </c>
      <c r="G92" s="88">
        <v>1.2E-2</v>
      </c>
      <c r="H92" s="88">
        <v>0.01</v>
      </c>
      <c r="I92" s="90">
        <f t="shared" si="4"/>
        <v>6.3E-3</v>
      </c>
      <c r="J92" s="90">
        <f t="shared" si="5"/>
        <v>5.6999999999999993E-3</v>
      </c>
      <c r="K92" s="90">
        <f t="shared" si="6"/>
        <v>1.47E-2</v>
      </c>
      <c r="L92" s="90">
        <f t="shared" si="7"/>
        <v>1.3299999999999999E-2</v>
      </c>
      <c r="M92" s="104">
        <v>1.0999999999999999E-2</v>
      </c>
      <c r="N92" s="104">
        <v>9.4999999999999998E-3</v>
      </c>
      <c r="O92" s="70">
        <v>1.0500000000000001E-2</v>
      </c>
      <c r="P92" s="70">
        <v>9.4999999999999998E-3</v>
      </c>
    </row>
    <row r="93" spans="2:16" x14ac:dyDescent="0.2">
      <c r="B93" s="47">
        <v>86</v>
      </c>
      <c r="C93">
        <v>1.0200000000000001E-2</v>
      </c>
      <c r="D93">
        <v>8.8000000000000005E-3</v>
      </c>
      <c r="E93" s="85">
        <v>0.01</v>
      </c>
      <c r="F93" s="85">
        <v>8.9999997615809995E-3</v>
      </c>
      <c r="G93" s="88">
        <v>1.0999999999999999E-2</v>
      </c>
      <c r="H93" s="88">
        <v>0.01</v>
      </c>
      <c r="I93" s="90">
        <f t="shared" si="4"/>
        <v>5.6999999999999993E-3</v>
      </c>
      <c r="J93" s="90">
        <f t="shared" si="5"/>
        <v>5.1000000000000004E-3</v>
      </c>
      <c r="K93" s="90">
        <f t="shared" si="6"/>
        <v>1.3299999999999999E-2</v>
      </c>
      <c r="L93" s="90">
        <f t="shared" si="7"/>
        <v>1.1900000000000001E-2</v>
      </c>
      <c r="M93" s="104">
        <v>1.0200000000000001E-2</v>
      </c>
      <c r="N93" s="104">
        <v>8.8000000000000005E-3</v>
      </c>
      <c r="O93" s="70">
        <v>9.4999999999999998E-3</v>
      </c>
      <c r="P93" s="70">
        <v>8.5000000000000006E-3</v>
      </c>
    </row>
    <row r="94" spans="2:16" x14ac:dyDescent="0.2">
      <c r="B94" s="47">
        <v>87</v>
      </c>
      <c r="C94">
        <v>9.4000000000000004E-3</v>
      </c>
      <c r="D94">
        <v>8.0999999999999996E-3</v>
      </c>
      <c r="E94" s="85">
        <v>8.9999997615809995E-3</v>
      </c>
      <c r="F94" s="85">
        <v>8.0000001192090005E-3</v>
      </c>
      <c r="G94" s="88">
        <v>0.01</v>
      </c>
      <c r="H94" s="88">
        <v>8.9999999999999993E-3</v>
      </c>
      <c r="I94" s="90">
        <f t="shared" si="4"/>
        <v>5.3999999999999994E-3</v>
      </c>
      <c r="J94" s="90">
        <f t="shared" si="5"/>
        <v>4.4999999999999997E-3</v>
      </c>
      <c r="K94" s="90">
        <f t="shared" si="6"/>
        <v>1.2599999999999998E-2</v>
      </c>
      <c r="L94" s="90">
        <f t="shared" si="7"/>
        <v>1.0499999999999999E-2</v>
      </c>
      <c r="M94" s="104">
        <v>9.4000000000000004E-3</v>
      </c>
      <c r="N94" s="104">
        <v>8.0999999999999996E-3</v>
      </c>
      <c r="O94" s="70">
        <v>8.9999999999999993E-3</v>
      </c>
      <c r="P94" s="70">
        <v>7.4999999999999997E-3</v>
      </c>
    </row>
    <row r="95" spans="2:16" x14ac:dyDescent="0.2">
      <c r="B95" s="47">
        <v>88</v>
      </c>
      <c r="C95">
        <v>8.6E-3</v>
      </c>
      <c r="D95">
        <v>7.4000000000000003E-3</v>
      </c>
      <c r="E95" s="85">
        <v>8.9999997615809995E-3</v>
      </c>
      <c r="F95" s="85">
        <v>6.9999998807909998E-3</v>
      </c>
      <c r="G95" s="88">
        <v>8.9999999999999993E-3</v>
      </c>
      <c r="H95" s="88">
        <v>8.0000000000000002E-3</v>
      </c>
      <c r="I95" s="90">
        <f t="shared" si="4"/>
        <v>5.1000000000000004E-3</v>
      </c>
      <c r="J95" s="90">
        <f t="shared" si="5"/>
        <v>4.1999999999999997E-3</v>
      </c>
      <c r="K95" s="90">
        <f t="shared" si="6"/>
        <v>1.1900000000000001E-2</v>
      </c>
      <c r="L95" s="90">
        <f t="shared" si="7"/>
        <v>9.7999999999999997E-3</v>
      </c>
      <c r="M95" s="104">
        <v>8.6E-3</v>
      </c>
      <c r="N95" s="104">
        <v>7.4000000000000003E-3</v>
      </c>
      <c r="O95" s="70">
        <v>8.5000000000000006E-3</v>
      </c>
      <c r="P95" s="70">
        <v>7.0000000000000001E-3</v>
      </c>
    </row>
    <row r="96" spans="2:16" x14ac:dyDescent="0.2">
      <c r="B96" s="47">
        <v>89</v>
      </c>
      <c r="C96">
        <v>7.7999999999999996E-3</v>
      </c>
      <c r="D96">
        <v>6.7000000000000002E-3</v>
      </c>
      <c r="E96" s="85">
        <v>8.0000001192090005E-3</v>
      </c>
      <c r="F96" s="85">
        <v>6.9999998807909998E-3</v>
      </c>
      <c r="G96" s="88">
        <v>8.9999999999999993E-3</v>
      </c>
      <c r="H96" s="88">
        <v>7.0000000000000001E-3</v>
      </c>
      <c r="I96" s="90">
        <f t="shared" si="4"/>
        <v>4.4999999999999997E-3</v>
      </c>
      <c r="J96" s="90">
        <f t="shared" si="5"/>
        <v>3.8999999999999998E-3</v>
      </c>
      <c r="K96" s="90">
        <f t="shared" si="6"/>
        <v>1.0499999999999999E-2</v>
      </c>
      <c r="L96" s="90">
        <f t="shared" si="7"/>
        <v>9.0999999999999987E-3</v>
      </c>
      <c r="M96" s="104">
        <v>7.7999999999999996E-3</v>
      </c>
      <c r="N96" s="104">
        <v>6.7000000000000002E-3</v>
      </c>
      <c r="O96" s="70">
        <v>7.4999999999999997E-3</v>
      </c>
      <c r="P96" s="70">
        <v>6.4999999999999997E-3</v>
      </c>
    </row>
    <row r="97" spans="2:16" x14ac:dyDescent="0.2">
      <c r="B97" s="47">
        <v>90</v>
      </c>
      <c r="C97">
        <v>7.0000000000000001E-3</v>
      </c>
      <c r="D97">
        <v>6.0000000000000001E-3</v>
      </c>
      <c r="E97" s="85">
        <v>6.9999998807909998E-3</v>
      </c>
      <c r="F97" s="85">
        <v>6.0000002384189999E-3</v>
      </c>
      <c r="G97" s="88">
        <v>8.0000000000000002E-3</v>
      </c>
      <c r="H97" s="88">
        <v>7.0000000000000001E-3</v>
      </c>
      <c r="I97" s="90">
        <f t="shared" si="4"/>
        <v>4.1999999999999997E-3</v>
      </c>
      <c r="J97" s="90">
        <f t="shared" si="5"/>
        <v>3.5999999999999999E-3</v>
      </c>
      <c r="K97" s="90">
        <f t="shared" si="6"/>
        <v>9.7999999999999997E-3</v>
      </c>
      <c r="L97" s="90">
        <f t="shared" si="7"/>
        <v>8.3999999999999995E-3</v>
      </c>
      <c r="M97" s="104">
        <v>7.0000000000000001E-3</v>
      </c>
      <c r="N97" s="104">
        <v>6.0000000000000001E-3</v>
      </c>
      <c r="O97" s="70">
        <v>7.0000000000000001E-3</v>
      </c>
      <c r="P97" s="70">
        <v>6.0000000000000001E-3</v>
      </c>
    </row>
    <row r="98" spans="2:16" x14ac:dyDescent="0.2">
      <c r="B98" s="47">
        <v>91</v>
      </c>
      <c r="C98">
        <v>6.4999999999999997E-3</v>
      </c>
      <c r="D98">
        <v>5.5999999999999999E-3</v>
      </c>
      <c r="E98" s="85">
        <v>6.9999998807909998E-3</v>
      </c>
      <c r="F98" s="85">
        <v>6.0000002384189999E-3</v>
      </c>
      <c r="G98" s="88">
        <v>7.0000000000000001E-3</v>
      </c>
      <c r="H98" s="88">
        <v>6.0000000000000001E-3</v>
      </c>
      <c r="I98" s="90">
        <f t="shared" si="4"/>
        <v>3.8999999999999998E-3</v>
      </c>
      <c r="J98" s="90">
        <f t="shared" si="5"/>
        <v>3.2999999999999995E-3</v>
      </c>
      <c r="K98" s="90">
        <f t="shared" si="6"/>
        <v>9.0999999999999987E-3</v>
      </c>
      <c r="L98" s="90">
        <f t="shared" si="7"/>
        <v>7.6999999999999994E-3</v>
      </c>
      <c r="M98" s="104">
        <v>6.4999999999999997E-3</v>
      </c>
      <c r="N98" s="104">
        <v>5.5999999999999999E-3</v>
      </c>
      <c r="O98" s="70">
        <v>6.4999999999999997E-3</v>
      </c>
      <c r="P98" s="70">
        <v>5.4999999999999997E-3</v>
      </c>
    </row>
    <row r="99" spans="2:16" x14ac:dyDescent="0.2">
      <c r="B99" s="47">
        <v>92</v>
      </c>
      <c r="C99">
        <v>6.0000000000000001E-3</v>
      </c>
      <c r="D99">
        <v>5.1999999999999998E-3</v>
      </c>
      <c r="E99" s="85">
        <v>6.0000002384189999E-3</v>
      </c>
      <c r="F99" s="85">
        <v>5.0000000000000001E-3</v>
      </c>
      <c r="G99" s="88">
        <v>7.0000000000000001E-3</v>
      </c>
      <c r="H99" s="88">
        <v>6.0000000000000001E-3</v>
      </c>
      <c r="I99" s="90">
        <f t="shared" si="4"/>
        <v>3.2999999999999995E-3</v>
      </c>
      <c r="J99" s="90">
        <f t="shared" si="5"/>
        <v>3.0000000000000001E-3</v>
      </c>
      <c r="K99" s="90">
        <f t="shared" si="6"/>
        <v>7.6999999999999994E-3</v>
      </c>
      <c r="L99" s="90">
        <f t="shared" si="7"/>
        <v>6.9999999999999993E-3</v>
      </c>
      <c r="M99" s="104">
        <v>6.0000000000000001E-3</v>
      </c>
      <c r="N99" s="104">
        <v>5.1999999999999998E-3</v>
      </c>
      <c r="O99" s="70">
        <v>5.4999999999999997E-3</v>
      </c>
      <c r="P99" s="70">
        <v>5.0000000000000001E-3</v>
      </c>
    </row>
    <row r="100" spans="2:16" x14ac:dyDescent="0.2">
      <c r="B100" s="47">
        <v>93</v>
      </c>
      <c r="C100">
        <v>5.4999999999999997E-3</v>
      </c>
      <c r="D100">
        <v>4.7999999999999996E-3</v>
      </c>
      <c r="E100" s="85">
        <v>5.0000000000000001E-3</v>
      </c>
      <c r="F100" s="85">
        <v>5.0000000000000001E-3</v>
      </c>
      <c r="G100" s="88">
        <v>6.0000000000000001E-3</v>
      </c>
      <c r="H100" s="88">
        <v>5.0000000000000001E-3</v>
      </c>
      <c r="I100" s="90">
        <f t="shared" si="4"/>
        <v>3.0000000000000001E-3</v>
      </c>
      <c r="J100" s="90">
        <f t="shared" si="5"/>
        <v>2.6999999999999997E-3</v>
      </c>
      <c r="K100" s="90">
        <f t="shared" si="6"/>
        <v>6.9999999999999993E-3</v>
      </c>
      <c r="L100" s="90">
        <f t="shared" si="7"/>
        <v>6.2999999999999992E-3</v>
      </c>
      <c r="M100" s="104">
        <v>5.4999999999999997E-3</v>
      </c>
      <c r="N100" s="104">
        <v>4.7999999999999996E-3</v>
      </c>
      <c r="O100" s="70">
        <v>5.0000000000000001E-3</v>
      </c>
      <c r="P100" s="70">
        <v>4.4999999999999997E-3</v>
      </c>
    </row>
    <row r="101" spans="2:16" x14ac:dyDescent="0.2">
      <c r="B101" s="47">
        <v>94</v>
      </c>
      <c r="C101">
        <v>5.0000000000000001E-3</v>
      </c>
      <c r="D101">
        <v>4.4000000000000003E-3</v>
      </c>
      <c r="E101" s="85">
        <v>5.0000000000000001E-3</v>
      </c>
      <c r="F101" s="85">
        <v>4.0000000596049998E-3</v>
      </c>
      <c r="G101" s="88">
        <v>5.0000000000000001E-3</v>
      </c>
      <c r="H101" s="88">
        <v>5.0000000000000001E-3</v>
      </c>
      <c r="I101" s="90">
        <f t="shared" si="4"/>
        <v>2.6999999999999997E-3</v>
      </c>
      <c r="J101" s="90">
        <f t="shared" si="5"/>
        <v>2.3999999999999998E-3</v>
      </c>
      <c r="K101" s="90">
        <f t="shared" si="6"/>
        <v>6.2999999999999992E-3</v>
      </c>
      <c r="L101" s="90">
        <f t="shared" si="7"/>
        <v>5.5999999999999999E-3</v>
      </c>
      <c r="M101" s="104">
        <v>5.0000000000000001E-3</v>
      </c>
      <c r="N101" s="104">
        <v>4.4000000000000003E-3</v>
      </c>
      <c r="O101" s="70">
        <v>4.4999999999999997E-3</v>
      </c>
      <c r="P101" s="70">
        <v>4.0000000000000001E-3</v>
      </c>
    </row>
    <row r="102" spans="2:16" x14ac:dyDescent="0.2">
      <c r="B102" s="47">
        <v>95</v>
      </c>
      <c r="C102">
        <v>4.4999999999999997E-3</v>
      </c>
      <c r="D102">
        <v>4.0000000000000001E-3</v>
      </c>
      <c r="E102" s="85">
        <v>4.0000000596049998E-3</v>
      </c>
      <c r="F102" s="85">
        <v>4.0000000596049998E-3</v>
      </c>
      <c r="G102" s="88">
        <v>5.0000000000000001E-3</v>
      </c>
      <c r="H102" s="88">
        <v>4.0000000000000001E-3</v>
      </c>
      <c r="I102" s="90">
        <f t="shared" si="4"/>
        <v>2.3999999999999998E-3</v>
      </c>
      <c r="J102" s="90">
        <f t="shared" si="5"/>
        <v>2.3999999999999998E-3</v>
      </c>
      <c r="K102" s="90">
        <f t="shared" si="6"/>
        <v>5.5999999999999999E-3</v>
      </c>
      <c r="L102" s="90">
        <f t="shared" si="7"/>
        <v>5.5999999999999999E-3</v>
      </c>
      <c r="M102" s="104">
        <v>4.4999999999999997E-3</v>
      </c>
      <c r="N102" s="104">
        <v>4.0000000000000001E-3</v>
      </c>
      <c r="O102" s="70">
        <v>4.0000000000000001E-3</v>
      </c>
      <c r="P102" s="70">
        <v>4.0000000000000001E-3</v>
      </c>
    </row>
    <row r="103" spans="2:16" x14ac:dyDescent="0.2">
      <c r="B103" s="47">
        <v>96</v>
      </c>
      <c r="C103">
        <v>4.0000000000000001E-3</v>
      </c>
      <c r="D103">
        <v>3.5999999999999999E-3</v>
      </c>
      <c r="E103" s="85">
        <v>4.0000000596049998E-3</v>
      </c>
      <c r="F103" s="85">
        <v>4.0000000596049998E-3</v>
      </c>
      <c r="G103" s="88">
        <v>4.0000000000000001E-3</v>
      </c>
      <c r="H103" s="88">
        <v>4.0000000000000001E-3</v>
      </c>
      <c r="I103" s="90">
        <f t="shared" si="4"/>
        <v>2.0999999999999999E-3</v>
      </c>
      <c r="J103" s="90">
        <f t="shared" si="5"/>
        <v>2.0999999999999999E-3</v>
      </c>
      <c r="K103" s="90">
        <f t="shared" si="6"/>
        <v>4.8999999999999998E-3</v>
      </c>
      <c r="L103" s="90">
        <f t="shared" si="7"/>
        <v>4.8999999999999998E-3</v>
      </c>
      <c r="M103" s="104">
        <v>4.0000000000000001E-3</v>
      </c>
      <c r="N103" s="104">
        <v>3.5999999999999999E-3</v>
      </c>
      <c r="O103" s="70">
        <v>3.5000000000000001E-3</v>
      </c>
      <c r="P103" s="70">
        <v>3.5000000000000001E-3</v>
      </c>
    </row>
    <row r="104" spans="2:16" x14ac:dyDescent="0.2">
      <c r="B104" s="47">
        <v>97</v>
      </c>
      <c r="C104">
        <v>3.5000000000000001E-3</v>
      </c>
      <c r="D104">
        <v>3.2000000000000002E-3</v>
      </c>
      <c r="E104" s="85">
        <v>3.0000001192089999E-3</v>
      </c>
      <c r="F104" s="85">
        <v>3.0000001192089999E-3</v>
      </c>
      <c r="G104" s="88">
        <v>4.0000000000000001E-3</v>
      </c>
      <c r="H104" s="88">
        <v>4.0000000000000001E-3</v>
      </c>
      <c r="I104" s="90">
        <f t="shared" si="4"/>
        <v>1.8E-3</v>
      </c>
      <c r="J104" s="90">
        <f t="shared" si="5"/>
        <v>1.8E-3</v>
      </c>
      <c r="K104" s="90">
        <f t="shared" si="6"/>
        <v>4.1999999999999997E-3</v>
      </c>
      <c r="L104" s="90">
        <f t="shared" si="7"/>
        <v>4.1999999999999997E-3</v>
      </c>
      <c r="M104" s="104">
        <v>3.5000000000000001E-3</v>
      </c>
      <c r="N104" s="104">
        <v>3.2000000000000002E-3</v>
      </c>
      <c r="O104" s="70">
        <v>3.0000000000000001E-3</v>
      </c>
      <c r="P104" s="70">
        <v>3.0000000000000001E-3</v>
      </c>
    </row>
    <row r="105" spans="2:16" x14ac:dyDescent="0.2">
      <c r="B105" s="47">
        <v>98</v>
      </c>
      <c r="C105">
        <v>3.0000000000000001E-3</v>
      </c>
      <c r="D105">
        <v>2.8E-3</v>
      </c>
      <c r="E105" s="85">
        <v>3.0000001192089999E-3</v>
      </c>
      <c r="F105" s="85">
        <v>3.0000001192089999E-3</v>
      </c>
      <c r="G105" s="88">
        <v>3.0000000000000001E-3</v>
      </c>
      <c r="H105" s="88">
        <v>3.0000000000000001E-3</v>
      </c>
      <c r="I105" s="90">
        <f t="shared" si="4"/>
        <v>1.5E-3</v>
      </c>
      <c r="J105" s="90">
        <f t="shared" si="5"/>
        <v>1.5E-3</v>
      </c>
      <c r="K105" s="90">
        <f t="shared" si="6"/>
        <v>3.4999999999999996E-3</v>
      </c>
      <c r="L105" s="90">
        <f t="shared" si="7"/>
        <v>3.4999999999999996E-3</v>
      </c>
      <c r="M105" s="104">
        <v>3.0000000000000001E-3</v>
      </c>
      <c r="N105" s="104">
        <v>2.8E-3</v>
      </c>
      <c r="O105" s="70">
        <v>2.5000000000000001E-3</v>
      </c>
      <c r="P105" s="70">
        <v>2.5000000000000001E-3</v>
      </c>
    </row>
    <row r="106" spans="2:16" x14ac:dyDescent="0.2">
      <c r="B106" s="47">
        <v>99</v>
      </c>
      <c r="C106">
        <v>2.5000000000000001E-3</v>
      </c>
      <c r="D106">
        <v>2.3999999999999998E-3</v>
      </c>
      <c r="E106" s="85">
        <v>2.0000000298019999E-3</v>
      </c>
      <c r="F106" s="85">
        <v>2.0000000298019999E-3</v>
      </c>
      <c r="G106" s="88">
        <v>3.0000000000000001E-3</v>
      </c>
      <c r="H106" s="88">
        <v>3.0000000000000001E-3</v>
      </c>
      <c r="I106" s="90">
        <f t="shared" si="4"/>
        <v>1.1999999999999999E-3</v>
      </c>
      <c r="J106" s="90">
        <f t="shared" si="5"/>
        <v>1.1999999999999999E-3</v>
      </c>
      <c r="K106" s="90">
        <f t="shared" si="6"/>
        <v>2.8E-3</v>
      </c>
      <c r="L106" s="90">
        <f t="shared" si="7"/>
        <v>2.8E-3</v>
      </c>
      <c r="M106" s="104">
        <v>2.5000000000000001E-3</v>
      </c>
      <c r="N106" s="104">
        <v>2.3999999999999998E-3</v>
      </c>
      <c r="O106" s="70">
        <v>2E-3</v>
      </c>
      <c r="P106" s="70">
        <v>2E-3</v>
      </c>
    </row>
    <row r="107" spans="2:16" x14ac:dyDescent="0.2">
      <c r="B107" s="47">
        <v>100</v>
      </c>
      <c r="C107">
        <v>2E-3</v>
      </c>
      <c r="D107">
        <v>2E-3</v>
      </c>
      <c r="E107" s="85">
        <v>2.0000000298019999E-3</v>
      </c>
      <c r="F107" s="85">
        <v>2.0000000298019999E-3</v>
      </c>
      <c r="G107" s="88">
        <v>2E-3</v>
      </c>
      <c r="H107" s="88">
        <v>2E-3</v>
      </c>
      <c r="I107" s="90">
        <f t="shared" si="4"/>
        <v>1.1999999999999999E-3</v>
      </c>
      <c r="J107" s="90">
        <f t="shared" si="5"/>
        <v>1.1999999999999999E-3</v>
      </c>
      <c r="K107" s="90">
        <f t="shared" si="6"/>
        <v>2.8E-3</v>
      </c>
      <c r="L107" s="90">
        <f t="shared" si="7"/>
        <v>2.8E-3</v>
      </c>
      <c r="M107" s="104">
        <v>2E-3</v>
      </c>
      <c r="N107" s="104">
        <v>2E-3</v>
      </c>
      <c r="O107" s="70">
        <v>2E-3</v>
      </c>
      <c r="P107" s="70">
        <v>2E-3</v>
      </c>
    </row>
    <row r="108" spans="2:16" x14ac:dyDescent="0.2">
      <c r="B108" s="47">
        <v>101</v>
      </c>
      <c r="C108">
        <v>1.6000000000000001E-3</v>
      </c>
      <c r="D108">
        <v>1.6000000000000001E-3</v>
      </c>
      <c r="E108" s="85">
        <v>2.0000000298019999E-3</v>
      </c>
      <c r="F108" s="85">
        <v>2.0000000298019999E-3</v>
      </c>
      <c r="G108" s="88">
        <v>2E-3</v>
      </c>
      <c r="H108" s="88">
        <v>2E-3</v>
      </c>
      <c r="I108" s="90">
        <f t="shared" si="4"/>
        <v>8.9999999999999998E-4</v>
      </c>
      <c r="J108" s="90">
        <f t="shared" si="5"/>
        <v>8.9999999999999998E-4</v>
      </c>
      <c r="K108" s="90">
        <f t="shared" si="6"/>
        <v>2.0999999999999999E-3</v>
      </c>
      <c r="L108" s="90">
        <f t="shared" si="7"/>
        <v>2.0999999999999999E-3</v>
      </c>
      <c r="M108" s="104">
        <v>1.6000000000000001E-3</v>
      </c>
      <c r="N108" s="104">
        <v>1.6000000000000001E-3</v>
      </c>
      <c r="O108" s="70">
        <v>1.5E-3</v>
      </c>
      <c r="P108" s="70">
        <v>1.5E-3</v>
      </c>
    </row>
    <row r="109" spans="2:16" x14ac:dyDescent="0.2">
      <c r="B109" s="47">
        <v>102</v>
      </c>
      <c r="C109">
        <v>1.1999999999999999E-3</v>
      </c>
      <c r="D109">
        <v>1.1999999999999999E-3</v>
      </c>
      <c r="E109" s="85">
        <v>1.0000000149009999E-3</v>
      </c>
      <c r="F109" s="85">
        <v>1.0000000149009999E-3</v>
      </c>
      <c r="G109" s="88">
        <v>2E-3</v>
      </c>
      <c r="H109" s="88">
        <v>2E-3</v>
      </c>
      <c r="I109" s="90">
        <f t="shared" si="4"/>
        <v>5.9999999999999995E-4</v>
      </c>
      <c r="J109" s="90">
        <f t="shared" si="5"/>
        <v>5.9999999999999995E-4</v>
      </c>
      <c r="K109" s="90">
        <f t="shared" si="6"/>
        <v>1.4E-3</v>
      </c>
      <c r="L109" s="90">
        <f t="shared" si="7"/>
        <v>1.4E-3</v>
      </c>
      <c r="M109" s="104">
        <v>1.1999999999999999E-3</v>
      </c>
      <c r="N109" s="104">
        <v>1.1999999999999999E-3</v>
      </c>
      <c r="O109" s="70">
        <v>1E-3</v>
      </c>
      <c r="P109" s="70">
        <v>1E-3</v>
      </c>
    </row>
    <row r="110" spans="2:16" x14ac:dyDescent="0.2">
      <c r="B110" s="47">
        <v>103</v>
      </c>
      <c r="C110">
        <v>8.0000000000000004E-4</v>
      </c>
      <c r="D110">
        <v>8.0000000000000004E-4</v>
      </c>
      <c r="E110" s="85">
        <v>1.0000000149009999E-3</v>
      </c>
      <c r="F110" s="85">
        <v>1.0000000149009999E-3</v>
      </c>
      <c r="G110" s="88">
        <v>1E-3</v>
      </c>
      <c r="H110" s="88">
        <v>1E-3</v>
      </c>
      <c r="I110" s="90">
        <f t="shared" si="4"/>
        <v>2.9999999999999997E-4</v>
      </c>
      <c r="J110" s="90">
        <f t="shared" si="5"/>
        <v>2.9999999999999997E-4</v>
      </c>
      <c r="K110" s="90">
        <f t="shared" si="6"/>
        <v>6.9999999999999999E-4</v>
      </c>
      <c r="L110" s="90">
        <f t="shared" si="7"/>
        <v>6.9999999999999999E-4</v>
      </c>
      <c r="M110" s="104">
        <v>8.0000000000000004E-4</v>
      </c>
      <c r="N110" s="104">
        <v>8.0000000000000004E-4</v>
      </c>
      <c r="O110" s="70">
        <v>5.0000000000000001E-4</v>
      </c>
      <c r="P110" s="70">
        <v>5.0000000000000001E-4</v>
      </c>
    </row>
    <row r="111" spans="2:16" x14ac:dyDescent="0.2">
      <c r="B111" s="47">
        <v>104</v>
      </c>
      <c r="C111">
        <v>4.0000000000000002E-4</v>
      </c>
      <c r="D111">
        <v>4.0000000000000002E-4</v>
      </c>
      <c r="E111" s="85">
        <v>0</v>
      </c>
      <c r="F111" s="85">
        <v>0</v>
      </c>
      <c r="G111" s="88">
        <v>1E-3</v>
      </c>
      <c r="H111" s="88">
        <v>1E-3</v>
      </c>
      <c r="I111" s="90">
        <f t="shared" si="4"/>
        <v>0</v>
      </c>
      <c r="J111" s="90">
        <f t="shared" si="5"/>
        <v>0</v>
      </c>
      <c r="K111" s="90">
        <f t="shared" si="6"/>
        <v>0</v>
      </c>
      <c r="L111" s="90">
        <f t="shared" si="7"/>
        <v>0</v>
      </c>
      <c r="M111" s="104">
        <v>4.0000000000000002E-4</v>
      </c>
      <c r="N111" s="104">
        <v>4.0000000000000002E-4</v>
      </c>
      <c r="O111" s="88">
        <v>0</v>
      </c>
      <c r="P111" s="88">
        <v>0</v>
      </c>
    </row>
    <row r="112" spans="2:16" x14ac:dyDescent="0.2">
      <c r="B112" s="47">
        <v>105</v>
      </c>
      <c r="C112">
        <v>0</v>
      </c>
      <c r="D112">
        <v>0</v>
      </c>
      <c r="E112" s="85">
        <v>0</v>
      </c>
      <c r="F112" s="85">
        <v>0</v>
      </c>
      <c r="G112" s="88">
        <v>0</v>
      </c>
      <c r="H112" s="88">
        <v>0</v>
      </c>
      <c r="I112" s="90">
        <f t="shared" si="4"/>
        <v>0</v>
      </c>
      <c r="J112" s="90">
        <f t="shared" si="5"/>
        <v>0</v>
      </c>
      <c r="K112" s="90">
        <f t="shared" si="6"/>
        <v>0</v>
      </c>
      <c r="L112" s="90">
        <f t="shared" si="7"/>
        <v>0</v>
      </c>
      <c r="M112" s="104">
        <v>0</v>
      </c>
      <c r="N112" s="104">
        <v>0</v>
      </c>
      <c r="O112" s="88">
        <v>0</v>
      </c>
      <c r="P112" s="88">
        <v>0</v>
      </c>
    </row>
    <row r="113" spans="2:16" x14ac:dyDescent="0.2">
      <c r="B113" s="47">
        <v>106</v>
      </c>
      <c r="C113">
        <v>0</v>
      </c>
      <c r="D113">
        <v>0</v>
      </c>
      <c r="E113" s="85">
        <v>0</v>
      </c>
      <c r="F113" s="85">
        <v>0</v>
      </c>
      <c r="G113" s="88">
        <v>0</v>
      </c>
      <c r="H113" s="88">
        <v>0</v>
      </c>
      <c r="I113" s="90">
        <f t="shared" si="4"/>
        <v>0</v>
      </c>
      <c r="J113" s="90">
        <f t="shared" si="5"/>
        <v>0</v>
      </c>
      <c r="K113" s="90">
        <f t="shared" si="6"/>
        <v>0</v>
      </c>
      <c r="L113" s="90">
        <f t="shared" si="7"/>
        <v>0</v>
      </c>
      <c r="M113" s="104">
        <v>0</v>
      </c>
      <c r="N113" s="104">
        <v>0</v>
      </c>
      <c r="O113" s="88">
        <v>0</v>
      </c>
      <c r="P113" s="88">
        <v>0</v>
      </c>
    </row>
    <row r="114" spans="2:16" x14ac:dyDescent="0.2">
      <c r="B114" s="47">
        <v>107</v>
      </c>
      <c r="C114">
        <v>0</v>
      </c>
      <c r="D114">
        <v>0</v>
      </c>
      <c r="E114" s="85">
        <v>0</v>
      </c>
      <c r="F114" s="85">
        <v>0</v>
      </c>
      <c r="G114" s="89">
        <v>0</v>
      </c>
      <c r="H114" s="89">
        <v>0</v>
      </c>
      <c r="I114" s="90">
        <f t="shared" si="4"/>
        <v>0</v>
      </c>
      <c r="J114" s="90">
        <f t="shared" si="5"/>
        <v>0</v>
      </c>
      <c r="K114" s="90">
        <f t="shared" si="6"/>
        <v>0</v>
      </c>
      <c r="L114" s="90">
        <f t="shared" si="7"/>
        <v>0</v>
      </c>
      <c r="M114" s="104">
        <v>0</v>
      </c>
      <c r="N114" s="104">
        <v>0</v>
      </c>
      <c r="O114" s="89">
        <v>0</v>
      </c>
      <c r="P114" s="89">
        <v>0</v>
      </c>
    </row>
    <row r="115" spans="2:16" x14ac:dyDescent="0.2">
      <c r="B115" s="47">
        <v>108</v>
      </c>
      <c r="C115">
        <v>0</v>
      </c>
      <c r="D115">
        <v>0</v>
      </c>
      <c r="E115" s="85">
        <v>0</v>
      </c>
      <c r="F115" s="85">
        <v>0</v>
      </c>
      <c r="G115" s="89">
        <v>0</v>
      </c>
      <c r="H115" s="89">
        <v>0</v>
      </c>
      <c r="I115" s="90">
        <f t="shared" si="4"/>
        <v>0</v>
      </c>
      <c r="J115" s="90">
        <f t="shared" si="5"/>
        <v>0</v>
      </c>
      <c r="K115" s="90">
        <f t="shared" si="6"/>
        <v>0</v>
      </c>
      <c r="L115" s="90">
        <f t="shared" si="7"/>
        <v>0</v>
      </c>
      <c r="M115" s="104">
        <v>0</v>
      </c>
      <c r="N115" s="104">
        <v>0</v>
      </c>
      <c r="O115" s="89">
        <v>0</v>
      </c>
      <c r="P115" s="89">
        <v>0</v>
      </c>
    </row>
    <row r="116" spans="2:16" x14ac:dyDescent="0.2">
      <c r="B116" s="47">
        <v>109</v>
      </c>
      <c r="C116">
        <v>0</v>
      </c>
      <c r="D116">
        <v>0</v>
      </c>
      <c r="E116" s="85">
        <v>0</v>
      </c>
      <c r="F116" s="85">
        <v>0</v>
      </c>
      <c r="G116" s="89">
        <v>0</v>
      </c>
      <c r="H116" s="89">
        <v>0</v>
      </c>
      <c r="I116" s="90">
        <f t="shared" si="4"/>
        <v>0</v>
      </c>
      <c r="J116" s="90">
        <f t="shared" si="5"/>
        <v>0</v>
      </c>
      <c r="K116" s="90">
        <f t="shared" si="6"/>
        <v>0</v>
      </c>
      <c r="L116" s="90">
        <f t="shared" si="7"/>
        <v>0</v>
      </c>
      <c r="M116" s="104">
        <v>0</v>
      </c>
      <c r="N116" s="104">
        <v>0</v>
      </c>
      <c r="O116" s="89">
        <v>0</v>
      </c>
      <c r="P116" s="89">
        <v>0</v>
      </c>
    </row>
    <row r="117" spans="2:16" x14ac:dyDescent="0.2">
      <c r="B117" s="47">
        <v>110</v>
      </c>
      <c r="C117">
        <v>0</v>
      </c>
      <c r="D117">
        <v>0</v>
      </c>
      <c r="E117" s="85">
        <v>0</v>
      </c>
      <c r="F117" s="85">
        <v>0</v>
      </c>
      <c r="G117" s="89">
        <v>0</v>
      </c>
      <c r="H117" s="89">
        <v>0</v>
      </c>
      <c r="I117" s="90">
        <f t="shared" si="4"/>
        <v>0</v>
      </c>
      <c r="J117" s="90">
        <f t="shared" si="5"/>
        <v>0</v>
      </c>
      <c r="K117" s="90">
        <f t="shared" si="6"/>
        <v>0</v>
      </c>
      <c r="L117" s="90">
        <f t="shared" si="7"/>
        <v>0</v>
      </c>
      <c r="M117" s="104">
        <v>0</v>
      </c>
      <c r="N117" s="104">
        <v>0</v>
      </c>
      <c r="O117" s="89">
        <v>0</v>
      </c>
      <c r="P117" s="89">
        <v>0</v>
      </c>
    </row>
    <row r="118" spans="2:16" x14ac:dyDescent="0.2">
      <c r="B118" s="47">
        <v>111</v>
      </c>
      <c r="C118">
        <v>0</v>
      </c>
      <c r="D118">
        <v>0</v>
      </c>
      <c r="E118" s="85">
        <v>0</v>
      </c>
      <c r="F118" s="85">
        <v>0</v>
      </c>
      <c r="G118" s="89">
        <v>0</v>
      </c>
      <c r="H118" s="89">
        <v>0</v>
      </c>
      <c r="I118" s="90">
        <f t="shared" si="4"/>
        <v>0</v>
      </c>
      <c r="J118" s="90">
        <f t="shared" si="5"/>
        <v>0</v>
      </c>
      <c r="K118" s="90">
        <f t="shared" si="6"/>
        <v>0</v>
      </c>
      <c r="L118" s="90">
        <f t="shared" si="7"/>
        <v>0</v>
      </c>
      <c r="M118" s="104">
        <v>0</v>
      </c>
      <c r="N118" s="104">
        <v>0</v>
      </c>
      <c r="O118" s="89">
        <v>0</v>
      </c>
      <c r="P118" s="89">
        <v>0</v>
      </c>
    </row>
    <row r="119" spans="2:16" x14ac:dyDescent="0.2">
      <c r="B119" s="47">
        <v>112</v>
      </c>
      <c r="C119">
        <v>0</v>
      </c>
      <c r="D119">
        <v>0</v>
      </c>
      <c r="E119" s="85">
        <v>0</v>
      </c>
      <c r="F119" s="85">
        <v>0</v>
      </c>
      <c r="G119" s="89">
        <v>0</v>
      </c>
      <c r="H119" s="89">
        <v>0</v>
      </c>
      <c r="I119" s="90">
        <f t="shared" si="4"/>
        <v>0</v>
      </c>
      <c r="J119" s="90">
        <f t="shared" si="5"/>
        <v>0</v>
      </c>
      <c r="K119" s="90">
        <f t="shared" si="6"/>
        <v>0</v>
      </c>
      <c r="L119" s="90">
        <f t="shared" si="7"/>
        <v>0</v>
      </c>
      <c r="M119" s="104">
        <v>0</v>
      </c>
      <c r="N119" s="104">
        <v>0</v>
      </c>
      <c r="O119" s="89">
        <v>0</v>
      </c>
      <c r="P119" s="89">
        <v>0</v>
      </c>
    </row>
    <row r="120" spans="2:16" x14ac:dyDescent="0.2">
      <c r="B120" s="47">
        <v>113</v>
      </c>
      <c r="C120">
        <v>0</v>
      </c>
      <c r="D120">
        <v>0</v>
      </c>
      <c r="E120" s="85">
        <v>0</v>
      </c>
      <c r="F120" s="85">
        <v>0</v>
      </c>
      <c r="G120" s="89">
        <v>0</v>
      </c>
      <c r="H120" s="89">
        <v>0</v>
      </c>
      <c r="I120" s="90">
        <f t="shared" si="4"/>
        <v>0</v>
      </c>
      <c r="J120" s="90">
        <f t="shared" si="5"/>
        <v>0</v>
      </c>
      <c r="K120" s="90">
        <f t="shared" si="6"/>
        <v>0</v>
      </c>
      <c r="L120" s="90">
        <f t="shared" si="7"/>
        <v>0</v>
      </c>
      <c r="M120" s="104">
        <v>0</v>
      </c>
      <c r="N120" s="104">
        <v>0</v>
      </c>
      <c r="O120" s="89">
        <v>0</v>
      </c>
      <c r="P120" s="89">
        <v>0</v>
      </c>
    </row>
    <row r="121" spans="2:16" x14ac:dyDescent="0.2">
      <c r="B121" s="47">
        <v>114</v>
      </c>
      <c r="C121">
        <v>0</v>
      </c>
      <c r="D121">
        <v>0</v>
      </c>
      <c r="E121" s="85">
        <v>0</v>
      </c>
      <c r="F121" s="85">
        <v>0</v>
      </c>
      <c r="G121" s="89">
        <v>0</v>
      </c>
      <c r="H121" s="89">
        <v>0</v>
      </c>
      <c r="I121" s="90">
        <f t="shared" si="4"/>
        <v>0</v>
      </c>
      <c r="J121" s="90">
        <f t="shared" si="5"/>
        <v>0</v>
      </c>
      <c r="K121" s="90">
        <f t="shared" si="6"/>
        <v>0</v>
      </c>
      <c r="L121" s="90">
        <f t="shared" si="7"/>
        <v>0</v>
      </c>
      <c r="M121" s="104">
        <v>0</v>
      </c>
      <c r="N121" s="104">
        <v>0</v>
      </c>
      <c r="O121" s="89">
        <v>0</v>
      </c>
      <c r="P121" s="89">
        <v>0</v>
      </c>
    </row>
    <row r="122" spans="2:16" x14ac:dyDescent="0.2">
      <c r="B122" s="47">
        <v>115</v>
      </c>
      <c r="C122">
        <v>0</v>
      </c>
      <c r="D122">
        <v>0</v>
      </c>
      <c r="E122" s="85">
        <v>0</v>
      </c>
      <c r="F122" s="85">
        <v>0</v>
      </c>
      <c r="G122" s="89">
        <v>0</v>
      </c>
      <c r="H122" s="89">
        <v>0</v>
      </c>
      <c r="I122" s="90">
        <f t="shared" si="4"/>
        <v>0</v>
      </c>
      <c r="J122" s="90">
        <f t="shared" si="5"/>
        <v>0</v>
      </c>
      <c r="K122" s="90">
        <f t="shared" si="6"/>
        <v>0</v>
      </c>
      <c r="L122" s="90">
        <f t="shared" si="7"/>
        <v>0</v>
      </c>
      <c r="M122" s="104">
        <v>0</v>
      </c>
      <c r="N122" s="104">
        <v>0</v>
      </c>
      <c r="O122" s="89">
        <v>0</v>
      </c>
      <c r="P122" s="89">
        <v>0</v>
      </c>
    </row>
    <row r="123" spans="2:16" x14ac:dyDescent="0.2">
      <c r="B123" s="47">
        <f t="shared" ref="B123:B126" si="8">B122+1</f>
        <v>116</v>
      </c>
      <c r="C123" s="70">
        <v>0</v>
      </c>
      <c r="D123" s="70">
        <v>0</v>
      </c>
      <c r="E123" s="85">
        <v>0</v>
      </c>
      <c r="F123" s="85">
        <v>0</v>
      </c>
      <c r="G123" s="89">
        <v>0</v>
      </c>
      <c r="H123" s="89">
        <v>0</v>
      </c>
      <c r="I123" s="90">
        <f t="shared" si="4"/>
        <v>0</v>
      </c>
      <c r="J123" s="90">
        <f t="shared" si="5"/>
        <v>0</v>
      </c>
      <c r="K123" s="90">
        <f t="shared" si="6"/>
        <v>0</v>
      </c>
      <c r="L123" s="90">
        <f t="shared" si="7"/>
        <v>0</v>
      </c>
      <c r="M123" s="104">
        <v>0</v>
      </c>
      <c r="N123" s="104">
        <v>0</v>
      </c>
      <c r="O123" s="88">
        <v>0</v>
      </c>
      <c r="P123" s="88">
        <v>0</v>
      </c>
    </row>
    <row r="124" spans="2:16" x14ac:dyDescent="0.2">
      <c r="B124" s="47">
        <f t="shared" si="8"/>
        <v>117</v>
      </c>
      <c r="C124" s="70">
        <v>0</v>
      </c>
      <c r="D124" s="70">
        <v>0</v>
      </c>
      <c r="E124" s="85">
        <v>0</v>
      </c>
      <c r="F124" s="85">
        <v>0</v>
      </c>
      <c r="G124" s="89">
        <v>0</v>
      </c>
      <c r="H124" s="89">
        <v>0</v>
      </c>
      <c r="I124" s="90">
        <f t="shared" si="4"/>
        <v>0</v>
      </c>
      <c r="J124" s="90">
        <f t="shared" si="5"/>
        <v>0</v>
      </c>
      <c r="K124" s="90">
        <f t="shared" si="6"/>
        <v>0</v>
      </c>
      <c r="L124" s="90">
        <f t="shared" si="7"/>
        <v>0</v>
      </c>
      <c r="M124" s="104">
        <v>0</v>
      </c>
      <c r="N124" s="104">
        <v>0</v>
      </c>
      <c r="O124" s="88">
        <v>0</v>
      </c>
      <c r="P124" s="88">
        <v>0</v>
      </c>
    </row>
    <row r="125" spans="2:16" x14ac:dyDescent="0.2">
      <c r="B125" s="47">
        <f t="shared" si="8"/>
        <v>118</v>
      </c>
      <c r="C125" s="70">
        <v>0</v>
      </c>
      <c r="D125" s="70">
        <v>0</v>
      </c>
      <c r="E125" s="85">
        <v>0</v>
      </c>
      <c r="F125" s="85">
        <v>0</v>
      </c>
      <c r="G125" s="89">
        <v>0</v>
      </c>
      <c r="H125" s="89">
        <v>0</v>
      </c>
      <c r="I125" s="90">
        <f t="shared" si="4"/>
        <v>0</v>
      </c>
      <c r="J125" s="90">
        <f t="shared" si="5"/>
        <v>0</v>
      </c>
      <c r="K125" s="90">
        <f t="shared" si="6"/>
        <v>0</v>
      </c>
      <c r="L125" s="90">
        <f t="shared" si="7"/>
        <v>0</v>
      </c>
      <c r="M125" s="104">
        <v>0</v>
      </c>
      <c r="N125" s="104">
        <v>0</v>
      </c>
      <c r="O125" s="88">
        <v>0</v>
      </c>
      <c r="P125" s="88">
        <v>0</v>
      </c>
    </row>
    <row r="126" spans="2:16" x14ac:dyDescent="0.2">
      <c r="B126" s="47">
        <f t="shared" si="8"/>
        <v>119</v>
      </c>
      <c r="C126" s="70">
        <v>0</v>
      </c>
      <c r="D126" s="70">
        <v>0</v>
      </c>
      <c r="E126" s="85">
        <v>0</v>
      </c>
      <c r="F126" s="85">
        <v>0</v>
      </c>
      <c r="G126" s="89">
        <v>0</v>
      </c>
      <c r="H126" s="89">
        <v>0</v>
      </c>
      <c r="I126" s="90">
        <f t="shared" si="4"/>
        <v>0</v>
      </c>
      <c r="J126" s="90">
        <f t="shared" si="5"/>
        <v>0</v>
      </c>
      <c r="K126" s="90">
        <f t="shared" si="6"/>
        <v>0</v>
      </c>
      <c r="L126" s="90">
        <f t="shared" si="7"/>
        <v>0</v>
      </c>
      <c r="M126" s="104">
        <v>0</v>
      </c>
      <c r="N126" s="104">
        <v>0</v>
      </c>
      <c r="O126" s="88">
        <v>0</v>
      </c>
      <c r="P126" s="88">
        <v>0</v>
      </c>
    </row>
  </sheetData>
  <mergeCells count="1">
    <mergeCell ref="M3:N3"/>
  </mergeCells>
  <hyperlinks>
    <hyperlink ref="A1" location="'Table of Contents'!A1" display="Go to TOC" xr:uid="{00000000-0004-0000-0600-000000000000}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D11"/>
  <sheetViews>
    <sheetView showGridLines="0" zoomScaleNormal="100" workbookViewId="0">
      <selection activeCell="B4" sqref="B4"/>
    </sheetView>
  </sheetViews>
  <sheetFormatPr defaultColWidth="15.7109375" defaultRowHeight="12.75" x14ac:dyDescent="0.2"/>
  <cols>
    <col min="1" max="1" width="11.5703125" style="17" customWidth="1"/>
    <col min="2" max="2" width="30.7109375" style="17" customWidth="1"/>
    <col min="3" max="5" width="15.7109375" style="12" customWidth="1"/>
    <col min="6" max="16384" width="15.7109375" style="12"/>
  </cols>
  <sheetData>
    <row r="1" spans="1:4" ht="15.75" x14ac:dyDescent="0.2">
      <c r="A1" s="16" t="s">
        <v>6</v>
      </c>
      <c r="B1" s="15" t="s">
        <v>17</v>
      </c>
      <c r="C1" s="13"/>
    </row>
    <row r="2" spans="1:4" ht="12.75" customHeight="1" x14ac:dyDescent="0.2">
      <c r="A2" s="16"/>
      <c r="B2" s="15"/>
      <c r="C2" s="13"/>
    </row>
    <row r="3" spans="1:4" x14ac:dyDescent="0.2">
      <c r="B3" s="18" t="str">
        <f ca="1">GetNameRange(B4)</f>
        <v>MortAddn</v>
      </c>
    </row>
    <row r="4" spans="1:4" x14ac:dyDescent="0.2">
      <c r="A4" s="29"/>
      <c r="B4" s="30" t="s">
        <v>9</v>
      </c>
      <c r="C4" s="31" t="s">
        <v>7</v>
      </c>
      <c r="D4" s="32" t="s">
        <v>7</v>
      </c>
    </row>
    <row r="5" spans="1:4" x14ac:dyDescent="0.2">
      <c r="A5" s="29"/>
      <c r="B5" s="33" t="s">
        <v>10</v>
      </c>
      <c r="C5" s="31" t="s">
        <v>12</v>
      </c>
      <c r="D5" s="34" t="s">
        <v>18</v>
      </c>
    </row>
    <row r="6" spans="1:4" x14ac:dyDescent="0.2">
      <c r="A6" s="29"/>
      <c r="B6" s="33" t="s">
        <v>11</v>
      </c>
      <c r="C6" s="31">
        <v>0</v>
      </c>
      <c r="D6" s="34">
        <v>0</v>
      </c>
    </row>
    <row r="7" spans="1:4" x14ac:dyDescent="0.2">
      <c r="A7" s="29" t="s">
        <v>5</v>
      </c>
      <c r="B7" s="62" t="s">
        <v>8</v>
      </c>
      <c r="C7" s="35"/>
      <c r="D7" s="36"/>
    </row>
    <row r="8" spans="1:4" x14ac:dyDescent="0.2">
      <c r="A8" s="22">
        <v>0</v>
      </c>
      <c r="B8" s="63">
        <v>1</v>
      </c>
      <c r="C8" s="25">
        <v>0</v>
      </c>
      <c r="D8" s="23">
        <v>0</v>
      </c>
    </row>
    <row r="9" spans="1:4" customFormat="1" x14ac:dyDescent="0.2"/>
    <row r="10" spans="1:4" customFormat="1" x14ac:dyDescent="0.2"/>
    <row r="11" spans="1:4" x14ac:dyDescent="0.2">
      <c r="D11" s="14"/>
    </row>
  </sheetData>
  <conditionalFormatting sqref="C8">
    <cfRule type="cellIs" dxfId="3" priority="3" operator="equal">
      <formula>""</formula>
    </cfRule>
    <cfRule type="cellIs" dxfId="2" priority="4" operator="notEqual">
      <formula>$A8</formula>
    </cfRule>
  </conditionalFormatting>
  <conditionalFormatting sqref="D8">
    <cfRule type="cellIs" dxfId="1" priority="1" operator="equal">
      <formula>""</formula>
    </cfRule>
    <cfRule type="cellIs" dxfId="0" priority="2" operator="notEqual">
      <formula>$A8</formula>
    </cfRule>
  </conditionalFormatting>
  <hyperlinks>
    <hyperlink ref="A1" location="'Table of Contents'!A1" display="Go to TOC" xr:uid="{00000000-0004-0000-0700-000000000000}"/>
  </hyperlink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  <separator id="MySeparator2"/>
          <button id="UpdateAssumptions" visible="true" size="normal" label="Update Assumptions" screentip="Create duplicate assumptions with a new key." onAction="UpdateAssumption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84D6E80-2345-45FA-BD69-575C46F8AC22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Change Log</vt:lpstr>
      <vt:lpstr>Table of Contents</vt:lpstr>
      <vt:lpstr>StatCarvmMortMult</vt:lpstr>
      <vt:lpstr>TaxCarvmMortMult</vt:lpstr>
      <vt:lpstr>PurchMortBaseMult</vt:lpstr>
      <vt:lpstr>MortMult</vt:lpstr>
      <vt:lpstr>MortImprvm</vt:lpstr>
      <vt:lpstr>MortAddn</vt:lpstr>
      <vt:lpstr>mort_improve_pct</vt:lpstr>
      <vt:lpstr>MortAddn</vt:lpstr>
      <vt:lpstr>MortMult</vt:lpstr>
      <vt:lpstr>PurchMortMult</vt:lpstr>
      <vt:lpstr>StatCarvmMortMult</vt:lpstr>
      <vt:lpstr>TaxCarvmMortMult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Qin, Michelle</cp:lastModifiedBy>
  <cp:lastPrinted>2013-07-12T20:12:54Z</cp:lastPrinted>
  <dcterms:created xsi:type="dcterms:W3CDTF">2013-06-26T20:08:07Z</dcterms:created>
  <dcterms:modified xsi:type="dcterms:W3CDTF">2024-03-28T18:00:41Z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</Properties>
</file>