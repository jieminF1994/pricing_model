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zihliu_local\Projects\RILA Prod v1.2\rila_prod_v1.2_alpha_v1.0\Projects\Fixed Indexed Annuity\ProjectData\2013YearEnd\Assumptions\"/>
    </mc:Choice>
  </mc:AlternateContent>
  <xr:revisionPtr revIDLastSave="0" documentId="13_ncr:1_{919B357B-1C73-4C2A-894D-41C63F6466FE}" xr6:coauthVersionLast="47" xr6:coauthVersionMax="47" xr10:uidLastSave="{00000000-0000-0000-0000-000000000000}"/>
  <bookViews>
    <workbookView xWindow="-110" yWindow="-110" windowWidth="19420" windowHeight="10420" tabRatio="757" activeTab="2" xr2:uid="{00000000-000D-0000-FFFF-FFFF00000000}"/>
  </bookViews>
  <sheets>
    <sheet name="Change Log" sheetId="12" r:id="rId1"/>
    <sheet name="Table of Contents" sheetId="13" r:id="rId2"/>
    <sheet name="BaseLapse" sheetId="28" r:id="rId3"/>
    <sheet name="DynLapse" sheetId="31" r:id="rId4"/>
    <sheet name="FPWUtil" sheetId="29" r:id="rId5"/>
    <sheet name="Annuitization" sheetId="30" r:id="rId6"/>
  </sheets>
  <functionGroups builtInGroupCount="19"/>
  <definedNames>
    <definedName name="ann_rate_tables">Annuitization!$B$4:$P$36</definedName>
    <definedName name="base_lapse_rate">BaseLapse!$B$4:$CZ$21</definedName>
    <definedName name="dyn_lapse_table_aig">DynLapse!$B$4:$AI$47</definedName>
    <definedName name="fpw_util_tables">FPWUtil!$B$4:$L$107</definedName>
    <definedName name="fpw_util_tables_by_PY">#REF!</definedName>
    <definedName name="lapse_skew_2025">BaseLapse!$B$24:$C$36</definedName>
    <definedName name="rila_dyn_lapse_addn_aig">DynLapse!$B$49:$P$59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8" i="28" l="1"/>
  <c r="CL8" i="28"/>
  <c r="CK9" i="28"/>
  <c r="CL9" i="28"/>
  <c r="CK10" i="28"/>
  <c r="CL10" i="28"/>
  <c r="CK11" i="28"/>
  <c r="CL11" i="28"/>
  <c r="CK12" i="28"/>
  <c r="CL12" i="28"/>
  <c r="CL7" i="28"/>
  <c r="CK7" i="28"/>
  <c r="B23" i="28"/>
  <c r="N53" i="31" l="1"/>
  <c r="N54" i="31"/>
  <c r="N55" i="31"/>
  <c r="N56" i="31"/>
  <c r="N57" i="31"/>
  <c r="N58" i="31"/>
  <c r="N59" i="31"/>
  <c r="N52" i="31"/>
  <c r="M53" i="31"/>
  <c r="M54" i="31"/>
  <c r="M55" i="31"/>
  <c r="M56" i="31"/>
  <c r="M57" i="31"/>
  <c r="M58" i="31"/>
  <c r="M59" i="31"/>
  <c r="M52" i="31"/>
  <c r="L53" i="31"/>
  <c r="L54" i="31"/>
  <c r="L55" i="31"/>
  <c r="L56" i="31"/>
  <c r="L57" i="31"/>
  <c r="L58" i="31"/>
  <c r="L59" i="31"/>
  <c r="L52" i="31"/>
  <c r="K53" i="31"/>
  <c r="K54" i="31"/>
  <c r="K55" i="31"/>
  <c r="K56" i="31"/>
  <c r="K57" i="31"/>
  <c r="K58" i="31"/>
  <c r="K59" i="31"/>
  <c r="K52" i="31"/>
  <c r="CZ21" i="28" l="1"/>
  <c r="CY21" i="28"/>
  <c r="CZ7" i="28"/>
  <c r="CZ8" i="28"/>
  <c r="CZ9" i="28"/>
  <c r="CZ10" i="28"/>
  <c r="CZ11" i="28"/>
  <c r="CZ12" i="28"/>
  <c r="CZ13" i="28"/>
  <c r="CY7" i="28"/>
  <c r="CY8" i="28"/>
  <c r="CY9" i="28"/>
  <c r="CY10" i="28"/>
  <c r="CY11" i="28"/>
  <c r="CY12" i="28"/>
  <c r="CY13" i="28"/>
  <c r="CZ20" i="28"/>
  <c r="CY20" i="28"/>
  <c r="CZ19" i="28"/>
  <c r="CY19" i="28"/>
  <c r="CZ18" i="28"/>
  <c r="CY18" i="28"/>
  <c r="CZ17" i="28"/>
  <c r="CY17" i="28"/>
  <c r="CZ16" i="28"/>
  <c r="CY16" i="28"/>
  <c r="CZ15" i="28"/>
  <c r="CY15" i="28"/>
  <c r="CZ14" i="28"/>
  <c r="CY14" i="28"/>
  <c r="CX13" i="28"/>
  <c r="CW13" i="28"/>
  <c r="CX21" i="28"/>
  <c r="CW21" i="28"/>
  <c r="CX20" i="28"/>
  <c r="CW20" i="28"/>
  <c r="CX19" i="28"/>
  <c r="CW19" i="28"/>
  <c r="CX18" i="28"/>
  <c r="CW18" i="28"/>
  <c r="CX17" i="28"/>
  <c r="CW17" i="28"/>
  <c r="CX16" i="28"/>
  <c r="CW16" i="28"/>
  <c r="CX15" i="28"/>
  <c r="CW15" i="28"/>
  <c r="CX14" i="28"/>
  <c r="CW14" i="28"/>
  <c r="CX12" i="28"/>
  <c r="CW12" i="28"/>
  <c r="CX11" i="28"/>
  <c r="CW11" i="28"/>
  <c r="CX10" i="28"/>
  <c r="CW10" i="28"/>
  <c r="CX9" i="28"/>
  <c r="CW9" i="28"/>
  <c r="CX8" i="28"/>
  <c r="CW8" i="28"/>
  <c r="CX7" i="28"/>
  <c r="CW7" i="28"/>
  <c r="CV13" i="28"/>
  <c r="CU13" i="28"/>
  <c r="CV7" i="28"/>
  <c r="CV8" i="28"/>
  <c r="CV9" i="28"/>
  <c r="CV10" i="28"/>
  <c r="CV11" i="28"/>
  <c r="CV12" i="28"/>
  <c r="CU7" i="28"/>
  <c r="CU8" i="28"/>
  <c r="CU9" i="28"/>
  <c r="CU10" i="28"/>
  <c r="CU11" i="28"/>
  <c r="CU12" i="28"/>
  <c r="CV21" i="28"/>
  <c r="CU21" i="28"/>
  <c r="CV20" i="28"/>
  <c r="CU20" i="28"/>
  <c r="CV19" i="28"/>
  <c r="CU19" i="28"/>
  <c r="CV18" i="28"/>
  <c r="CU18" i="28"/>
  <c r="CV17" i="28"/>
  <c r="CU17" i="28"/>
  <c r="CV16" i="28"/>
  <c r="CU16" i="28"/>
  <c r="CV15" i="28"/>
  <c r="CU15" i="28"/>
  <c r="CV14" i="28"/>
  <c r="CU14" i="28"/>
  <c r="CS8" i="28"/>
  <c r="CT8" i="28"/>
  <c r="CS9" i="28"/>
  <c r="CT9" i="28"/>
  <c r="CS10" i="28"/>
  <c r="CT10" i="28"/>
  <c r="CS11" i="28"/>
  <c r="CT11" i="28"/>
  <c r="CS12" i="28"/>
  <c r="CT12" i="28"/>
  <c r="CT7" i="28"/>
  <c r="CS7" i="28"/>
  <c r="CT21" i="28"/>
  <c r="CS21" i="28"/>
  <c r="CT20" i="28"/>
  <c r="CS20" i="28"/>
  <c r="CT19" i="28"/>
  <c r="CS19" i="28"/>
  <c r="CT18" i="28"/>
  <c r="CS18" i="28"/>
  <c r="CT17" i="28"/>
  <c r="CS17" i="28"/>
  <c r="CT16" i="28"/>
  <c r="CS16" i="28"/>
  <c r="CT15" i="28"/>
  <c r="CS15" i="28"/>
  <c r="CT14" i="28"/>
  <c r="CS14" i="28"/>
  <c r="CT13" i="28"/>
  <c r="CS13" i="28"/>
  <c r="CQ14" i="28"/>
  <c r="CR14" i="28"/>
  <c r="CQ15" i="28"/>
  <c r="CR15" i="28"/>
  <c r="CQ16" i="28"/>
  <c r="CR16" i="28"/>
  <c r="CQ17" i="28"/>
  <c r="CR17" i="28"/>
  <c r="CQ18" i="28"/>
  <c r="CR18" i="28"/>
  <c r="CQ19" i="28"/>
  <c r="CR19" i="28"/>
  <c r="CQ20" i="28"/>
  <c r="CR20" i="28"/>
  <c r="CQ21" i="28"/>
  <c r="CR21" i="28"/>
  <c r="CR13" i="28"/>
  <c r="CQ13" i="28"/>
  <c r="CO8" i="28"/>
  <c r="CP8" i="28"/>
  <c r="CO9" i="28"/>
  <c r="CP9" i="28"/>
  <c r="CO10" i="28"/>
  <c r="CP10" i="28"/>
  <c r="CO11" i="28"/>
  <c r="CP11" i="28"/>
  <c r="CO12" i="28"/>
  <c r="CP12" i="28"/>
  <c r="CO13" i="28"/>
  <c r="CP13" i="28"/>
  <c r="CO14" i="28"/>
  <c r="CP14" i="28"/>
  <c r="CO15" i="28"/>
  <c r="CP15" i="28"/>
  <c r="CO16" i="28"/>
  <c r="CP16" i="28"/>
  <c r="CO17" i="28"/>
  <c r="CP17" i="28"/>
  <c r="CO18" i="28"/>
  <c r="CP18" i="28"/>
  <c r="CO19" i="28"/>
  <c r="CP19" i="28"/>
  <c r="CO20" i="28"/>
  <c r="CP20" i="28"/>
  <c r="CO21" i="28"/>
  <c r="CP21" i="28"/>
  <c r="CP7" i="28"/>
  <c r="CO7" i="28"/>
  <c r="CM8" i="28"/>
  <c r="CN8" i="28"/>
  <c r="CM9" i="28"/>
  <c r="CN9" i="28"/>
  <c r="CM10" i="28"/>
  <c r="CN10" i="28"/>
  <c r="CM11" i="28"/>
  <c r="CN11" i="28"/>
  <c r="CM12" i="28"/>
  <c r="CN12" i="28"/>
  <c r="CM13" i="28"/>
  <c r="CN13" i="28"/>
  <c r="CM14" i="28"/>
  <c r="CN14" i="28"/>
  <c r="CM15" i="28"/>
  <c r="CN15" i="28"/>
  <c r="CM16" i="28"/>
  <c r="CN16" i="28"/>
  <c r="CM17" i="28"/>
  <c r="CN17" i="28"/>
  <c r="CM18" i="28"/>
  <c r="CN18" i="28"/>
  <c r="CM19" i="28"/>
  <c r="CN19" i="28"/>
  <c r="CM20" i="28"/>
  <c r="CN20" i="28"/>
  <c r="CM21" i="28"/>
  <c r="CN21" i="28"/>
  <c r="CN7" i="28"/>
  <c r="CM7" i="28"/>
  <c r="J107" i="29" l="1"/>
  <c r="F107" i="29"/>
  <c r="J106" i="29"/>
  <c r="F106" i="29"/>
  <c r="J105" i="29"/>
  <c r="F105" i="29"/>
  <c r="J104" i="29"/>
  <c r="F104" i="29"/>
  <c r="J103" i="29"/>
  <c r="F103" i="29"/>
  <c r="J102" i="29"/>
  <c r="F102" i="29"/>
  <c r="J101" i="29"/>
  <c r="F101" i="29"/>
  <c r="J100" i="29"/>
  <c r="F100" i="29"/>
  <c r="J99" i="29"/>
  <c r="F99" i="29"/>
  <c r="J98" i="29"/>
  <c r="F98" i="29"/>
  <c r="J97" i="29"/>
  <c r="F97" i="29"/>
  <c r="J96" i="29"/>
  <c r="F96" i="29"/>
  <c r="J95" i="29"/>
  <c r="F95" i="29"/>
  <c r="J94" i="29"/>
  <c r="F94" i="29"/>
  <c r="J93" i="29"/>
  <c r="F93" i="29"/>
  <c r="J92" i="29"/>
  <c r="F92" i="29"/>
  <c r="J91" i="29"/>
  <c r="F91" i="29"/>
  <c r="J90" i="29"/>
  <c r="F90" i="29"/>
  <c r="J89" i="29"/>
  <c r="F89" i="29"/>
  <c r="J88" i="29"/>
  <c r="F88" i="29"/>
  <c r="J87" i="29"/>
  <c r="F87" i="29"/>
  <c r="J86" i="29"/>
  <c r="F86" i="29"/>
  <c r="J85" i="29"/>
  <c r="F85" i="29"/>
  <c r="J84" i="29"/>
  <c r="F84" i="29"/>
  <c r="J83" i="29"/>
  <c r="F83" i="29"/>
  <c r="J82" i="29"/>
  <c r="F82" i="29"/>
  <c r="J81" i="29"/>
  <c r="F81" i="29"/>
  <c r="J80" i="29"/>
  <c r="F80" i="29"/>
  <c r="J79" i="29"/>
  <c r="F79" i="29"/>
  <c r="J78" i="29"/>
  <c r="F78" i="29"/>
  <c r="J77" i="29"/>
  <c r="F77" i="29"/>
  <c r="J76" i="29"/>
  <c r="F76" i="29"/>
  <c r="J75" i="29"/>
  <c r="F75" i="29"/>
  <c r="J74" i="29"/>
  <c r="F74" i="29"/>
  <c r="J73" i="29"/>
  <c r="F73" i="29"/>
  <c r="J72" i="29"/>
  <c r="F72" i="29"/>
  <c r="J71" i="29"/>
  <c r="F71" i="29"/>
  <c r="J70" i="29"/>
  <c r="F70" i="29"/>
  <c r="J69" i="29"/>
  <c r="F69" i="29"/>
  <c r="J68" i="29"/>
  <c r="F68" i="29"/>
  <c r="J67" i="29"/>
  <c r="F67" i="29"/>
  <c r="J66" i="29"/>
  <c r="F66" i="29"/>
  <c r="J65" i="29"/>
  <c r="F65" i="29"/>
  <c r="J64" i="29"/>
  <c r="F64" i="29"/>
  <c r="J63" i="29"/>
  <c r="F63" i="29"/>
  <c r="J62" i="29"/>
  <c r="F62" i="29"/>
  <c r="J61" i="29"/>
  <c r="F61" i="29"/>
  <c r="J60" i="29"/>
  <c r="F60" i="29"/>
  <c r="J59" i="29"/>
  <c r="F59" i="29"/>
  <c r="J58" i="29"/>
  <c r="F58" i="29"/>
  <c r="J57" i="29"/>
  <c r="F57" i="29"/>
  <c r="J56" i="29"/>
  <c r="F56" i="29"/>
  <c r="J55" i="29"/>
  <c r="F55" i="29"/>
  <c r="J54" i="29"/>
  <c r="F54" i="29"/>
  <c r="J53" i="29"/>
  <c r="F53" i="29"/>
  <c r="J52" i="29"/>
  <c r="F52" i="29"/>
  <c r="J51" i="29"/>
  <c r="F51" i="29"/>
  <c r="J50" i="29"/>
  <c r="F50" i="29"/>
  <c r="J49" i="29"/>
  <c r="F49" i="29"/>
  <c r="J48" i="29"/>
  <c r="F48" i="29"/>
  <c r="J47" i="29"/>
  <c r="F47" i="29"/>
  <c r="J46" i="29"/>
  <c r="F46" i="29"/>
  <c r="J45" i="29"/>
  <c r="F45" i="29"/>
  <c r="J44" i="29"/>
  <c r="F44" i="29"/>
  <c r="J43" i="29"/>
  <c r="F43" i="29"/>
  <c r="J42" i="29"/>
  <c r="F42" i="29"/>
  <c r="J41" i="29"/>
  <c r="F41" i="29"/>
  <c r="J40" i="29"/>
  <c r="F40" i="29"/>
  <c r="J39" i="29"/>
  <c r="F39" i="29"/>
  <c r="J38" i="29"/>
  <c r="F38" i="29"/>
  <c r="J37" i="29"/>
  <c r="F37" i="29"/>
  <c r="J36" i="29"/>
  <c r="F36" i="29"/>
  <c r="J35" i="29"/>
  <c r="F35" i="29"/>
  <c r="J34" i="29"/>
  <c r="F34" i="29"/>
  <c r="J33" i="29"/>
  <c r="F33" i="29"/>
  <c r="J32" i="29"/>
  <c r="F32" i="29"/>
  <c r="J31" i="29"/>
  <c r="F31" i="29"/>
  <c r="J30" i="29"/>
  <c r="F30" i="29"/>
  <c r="J29" i="29"/>
  <c r="F29" i="29"/>
  <c r="J28" i="29"/>
  <c r="F28" i="29"/>
  <c r="J27" i="29"/>
  <c r="F27" i="29"/>
  <c r="J26" i="29"/>
  <c r="F26" i="29"/>
  <c r="J25" i="29"/>
  <c r="F25" i="29"/>
  <c r="J24" i="29"/>
  <c r="F24" i="29"/>
  <c r="J23" i="29"/>
  <c r="F23" i="29"/>
  <c r="J22" i="29"/>
  <c r="F22" i="29"/>
  <c r="J21" i="29"/>
  <c r="F21" i="29"/>
  <c r="J20" i="29"/>
  <c r="F20" i="29"/>
  <c r="J19" i="29"/>
  <c r="F19" i="29"/>
  <c r="J18" i="29"/>
  <c r="F18" i="29"/>
  <c r="J17" i="29"/>
  <c r="F17" i="29"/>
  <c r="J16" i="29"/>
  <c r="F16" i="29"/>
  <c r="J15" i="29"/>
  <c r="F15" i="29"/>
  <c r="J14" i="29"/>
  <c r="F14" i="29"/>
  <c r="J13" i="29"/>
  <c r="F13" i="29"/>
  <c r="J12" i="29"/>
  <c r="F12" i="29"/>
  <c r="J11" i="29"/>
  <c r="F11" i="29"/>
  <c r="J10" i="29"/>
  <c r="F10" i="29"/>
  <c r="J9" i="29"/>
  <c r="F9" i="29"/>
  <c r="J8" i="29"/>
  <c r="F8" i="29"/>
  <c r="J7" i="29"/>
  <c r="F7" i="29"/>
  <c r="J6" i="29"/>
  <c r="F6" i="29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7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7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7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7" i="28"/>
  <c r="G8" i="28"/>
  <c r="H8" i="28"/>
  <c r="G9" i="28"/>
  <c r="H9" i="28"/>
  <c r="G10" i="28"/>
  <c r="H10" i="28"/>
  <c r="G11" i="28"/>
  <c r="H11" i="28"/>
  <c r="G12" i="28"/>
  <c r="H12" i="28"/>
  <c r="G13" i="28"/>
  <c r="H13" i="28"/>
  <c r="G14" i="28"/>
  <c r="H14" i="28"/>
  <c r="G15" i="28"/>
  <c r="H15" i="28"/>
  <c r="G16" i="28"/>
  <c r="H16" i="28"/>
  <c r="G17" i="28"/>
  <c r="H17" i="28"/>
  <c r="G18" i="28"/>
  <c r="H18" i="28"/>
  <c r="G19" i="28"/>
  <c r="H19" i="28"/>
  <c r="G20" i="28"/>
  <c r="H20" i="28"/>
  <c r="G21" i="28"/>
  <c r="H21" i="28"/>
  <c r="H7" i="28"/>
  <c r="G7" i="28"/>
  <c r="E8" i="28"/>
  <c r="F8" i="28"/>
  <c r="E9" i="28"/>
  <c r="F9" i="28"/>
  <c r="E10" i="28"/>
  <c r="F10" i="28"/>
  <c r="E11" i="28"/>
  <c r="F11" i="28"/>
  <c r="E12" i="28"/>
  <c r="F12" i="28"/>
  <c r="E13" i="28"/>
  <c r="F13" i="28"/>
  <c r="E14" i="28"/>
  <c r="F14" i="28"/>
  <c r="E15" i="28"/>
  <c r="F15" i="28"/>
  <c r="E16" i="28"/>
  <c r="F16" i="28"/>
  <c r="E17" i="28"/>
  <c r="F17" i="28"/>
  <c r="E18" i="28"/>
  <c r="F18" i="28"/>
  <c r="E19" i="28"/>
  <c r="F19" i="28"/>
  <c r="E20" i="28"/>
  <c r="F20" i="28"/>
  <c r="E21" i="28"/>
  <c r="F21" i="28"/>
  <c r="F7" i="28"/>
  <c r="E7" i="28"/>
  <c r="X8" i="28"/>
  <c r="Y8" i="28"/>
  <c r="X9" i="28"/>
  <c r="Y9" i="28"/>
  <c r="X10" i="28"/>
  <c r="Y10" i="28"/>
  <c r="X11" i="28"/>
  <c r="Y11" i="28"/>
  <c r="X12" i="28"/>
  <c r="Y12" i="28"/>
  <c r="X13" i="28"/>
  <c r="Y13" i="28"/>
  <c r="X14" i="28"/>
  <c r="Y14" i="28"/>
  <c r="X15" i="28"/>
  <c r="Y15" i="28"/>
  <c r="X16" i="28"/>
  <c r="Y16" i="28"/>
  <c r="X17" i="28"/>
  <c r="Y17" i="28"/>
  <c r="X18" i="28"/>
  <c r="Y18" i="28"/>
  <c r="X19" i="28"/>
  <c r="Y19" i="28"/>
  <c r="X20" i="28"/>
  <c r="Y20" i="28"/>
  <c r="X21" i="28"/>
  <c r="Y21" i="28"/>
  <c r="Y7" i="28"/>
  <c r="X7" i="28"/>
  <c r="V8" i="28"/>
  <c r="W8" i="28"/>
  <c r="V9" i="28"/>
  <c r="W9" i="28"/>
  <c r="V10" i="28"/>
  <c r="W10" i="28"/>
  <c r="V11" i="28"/>
  <c r="W11" i="28"/>
  <c r="V12" i="28"/>
  <c r="W12" i="28"/>
  <c r="V13" i="28"/>
  <c r="W13" i="28"/>
  <c r="V14" i="28"/>
  <c r="W14" i="28"/>
  <c r="V15" i="28"/>
  <c r="W15" i="28"/>
  <c r="V16" i="28"/>
  <c r="W16" i="28"/>
  <c r="V17" i="28"/>
  <c r="W17" i="28"/>
  <c r="V18" i="28"/>
  <c r="W18" i="28"/>
  <c r="V19" i="28"/>
  <c r="W19" i="28"/>
  <c r="V20" i="28"/>
  <c r="W20" i="28"/>
  <c r="V21" i="28"/>
  <c r="W21" i="28"/>
  <c r="W7" i="28"/>
  <c r="V7" i="28"/>
  <c r="B3" i="30"/>
  <c r="B3" i="31"/>
  <c r="B3" i="28"/>
  <c r="B3" i="29"/>
  <c r="B48" i="31"/>
  <c r="P8" i="28" l="1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7" i="28"/>
  <c r="M8" i="28"/>
  <c r="M9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7" i="28"/>
  <c r="AH8" i="28"/>
  <c r="AH9" i="28"/>
  <c r="AH10" i="28"/>
  <c r="AH11" i="28"/>
  <c r="AH12" i="28"/>
  <c r="AH13" i="28"/>
  <c r="AH14" i="28"/>
  <c r="AH15" i="28"/>
  <c r="AH16" i="28"/>
  <c r="AH17" i="28"/>
  <c r="AH18" i="28"/>
  <c r="AH19" i="28"/>
  <c r="AH20" i="28"/>
  <c r="AH21" i="28"/>
  <c r="AH7" i="28"/>
  <c r="AG8" i="28"/>
  <c r="AG9" i="28"/>
  <c r="AG10" i="28"/>
  <c r="AG11" i="28"/>
  <c r="AG12" i="28"/>
  <c r="AG13" i="28"/>
  <c r="AG14" i="28"/>
  <c r="AG15" i="28"/>
  <c r="AG16" i="28"/>
  <c r="AG17" i="28"/>
  <c r="AG18" i="28"/>
  <c r="AG19" i="28"/>
  <c r="AG20" i="28"/>
  <c r="AG21" i="28"/>
  <c r="AG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E7" i="28"/>
  <c r="AD7" i="28"/>
  <c r="AB8" i="28"/>
  <c r="AC8" i="28"/>
  <c r="AB9" i="28"/>
  <c r="AC9" i="28"/>
  <c r="AB10" i="28"/>
  <c r="AC10" i="28"/>
  <c r="AB11" i="28"/>
  <c r="AC11" i="28"/>
  <c r="AB12" i="28"/>
  <c r="AC12" i="28"/>
  <c r="AB13" i="28"/>
  <c r="AC13" i="28"/>
  <c r="AB14" i="28"/>
  <c r="AC14" i="28"/>
  <c r="AB15" i="28"/>
  <c r="AC15" i="28"/>
  <c r="AB16" i="28"/>
  <c r="AC16" i="28"/>
  <c r="AB17" i="28"/>
  <c r="AC17" i="28"/>
  <c r="AB18" i="28"/>
  <c r="AC18" i="28"/>
  <c r="AB19" i="28"/>
  <c r="AC19" i="28"/>
  <c r="AB20" i="28"/>
  <c r="AC20" i="28"/>
  <c r="AB21" i="28"/>
  <c r="AC21" i="28"/>
  <c r="AC7" i="28"/>
  <c r="AB7" i="28"/>
  <c r="AT21" i="28" l="1"/>
  <c r="AS21" i="28"/>
  <c r="AT20" i="28"/>
  <c r="AS20" i="28"/>
  <c r="AT19" i="28"/>
  <c r="AS19" i="28"/>
  <c r="AT18" i="28"/>
  <c r="AS18" i="28"/>
  <c r="AT17" i="28"/>
  <c r="AS17" i="28"/>
  <c r="AT16" i="28"/>
  <c r="AS16" i="28"/>
  <c r="AT15" i="28"/>
  <c r="AS15" i="28"/>
  <c r="AT14" i="28"/>
  <c r="AS14" i="28"/>
  <c r="AT13" i="28"/>
  <c r="AS13" i="28"/>
  <c r="AT12" i="28"/>
  <c r="AS12" i="28"/>
  <c r="AT11" i="28"/>
  <c r="AS11" i="28"/>
  <c r="AT10" i="28"/>
  <c r="AS10" i="28"/>
  <c r="AT9" i="28"/>
  <c r="AS9" i="28"/>
  <c r="AT8" i="28"/>
  <c r="AS8" i="28"/>
  <c r="AT7" i="28"/>
  <c r="AS7" i="28"/>
  <c r="CA21" i="28"/>
  <c r="BZ21" i="28"/>
  <c r="CA20" i="28"/>
  <c r="BZ20" i="28"/>
  <c r="CA19" i="28"/>
  <c r="BZ19" i="28"/>
  <c r="CA18" i="28"/>
  <c r="BZ18" i="28"/>
  <c r="CA17" i="28"/>
  <c r="BZ17" i="28"/>
  <c r="CA16" i="28"/>
  <c r="BZ16" i="28"/>
  <c r="CA15" i="28"/>
  <c r="BZ15" i="28"/>
  <c r="CA14" i="28"/>
  <c r="BZ14" i="28"/>
  <c r="CA13" i="28"/>
  <c r="BZ13" i="28"/>
  <c r="CA12" i="28"/>
  <c r="BZ12" i="28"/>
  <c r="CA11" i="28"/>
  <c r="BZ11" i="28"/>
  <c r="CA10" i="28"/>
  <c r="BZ10" i="28"/>
  <c r="CA9" i="28"/>
  <c r="BZ9" i="28"/>
  <c r="CA8" i="28"/>
  <c r="BZ8" i="28"/>
  <c r="CA7" i="28"/>
  <c r="BZ7" i="28"/>
  <c r="AM21" i="28" l="1"/>
  <c r="AN21" i="28"/>
  <c r="AM20" i="28"/>
  <c r="AN20" i="28"/>
  <c r="AM19" i="28"/>
  <c r="AN19" i="28"/>
  <c r="AM18" i="28"/>
  <c r="AN18" i="28"/>
  <c r="AM17" i="28"/>
  <c r="AN17" i="28"/>
  <c r="AM16" i="28"/>
  <c r="AN16" i="28"/>
  <c r="AM15" i="28"/>
  <c r="AN15" i="28"/>
  <c r="AM14" i="28"/>
  <c r="AN14" i="28"/>
  <c r="AM13" i="28"/>
  <c r="AN13" i="28"/>
  <c r="AM12" i="28"/>
  <c r="AN12" i="28"/>
  <c r="AM11" i="28"/>
  <c r="AN11" i="28"/>
  <c r="AM10" i="28"/>
  <c r="AN10" i="28"/>
  <c r="AM9" i="28"/>
  <c r="AN9" i="28"/>
  <c r="AM8" i="28"/>
  <c r="AN8" i="28"/>
  <c r="AM7" i="28"/>
  <c r="AN7" i="28"/>
  <c r="R21" i="28"/>
  <c r="S21" i="28"/>
  <c r="R20" i="28"/>
  <c r="S20" i="28"/>
  <c r="R19" i="28"/>
  <c r="S19" i="28"/>
  <c r="R18" i="28"/>
  <c r="S18" i="28"/>
  <c r="R17" i="28"/>
  <c r="S17" i="28"/>
  <c r="R16" i="28"/>
  <c r="S16" i="28"/>
  <c r="R15" i="28"/>
  <c r="S15" i="28"/>
  <c r="R14" i="28"/>
  <c r="S14" i="28"/>
  <c r="R13" i="28"/>
  <c r="S13" i="28"/>
  <c r="R12" i="28"/>
  <c r="S12" i="28"/>
  <c r="R11" i="28"/>
  <c r="S11" i="28"/>
  <c r="R10" i="28"/>
  <c r="S10" i="28"/>
  <c r="R9" i="28"/>
  <c r="S9" i="28"/>
  <c r="R8" i="28"/>
  <c r="S8" i="28"/>
  <c r="R7" i="28"/>
  <c r="S7" i="28"/>
  <c r="BV8" i="28" l="1"/>
  <c r="BV9" i="28"/>
  <c r="BV10" i="28"/>
  <c r="BV11" i="28"/>
  <c r="BV12" i="28"/>
  <c r="BV13" i="28"/>
  <c r="BV14" i="28"/>
  <c r="BV15" i="28"/>
  <c r="BV16" i="28"/>
  <c r="BV17" i="28"/>
  <c r="BV18" i="28"/>
  <c r="BV19" i="28"/>
  <c r="BV20" i="28"/>
  <c r="BV21" i="28"/>
  <c r="BV7" i="28"/>
  <c r="BU8" i="28"/>
  <c r="BU9" i="28"/>
  <c r="BU10" i="28"/>
  <c r="BU11" i="28"/>
  <c r="BU12" i="28"/>
  <c r="BU13" i="28"/>
  <c r="BU14" i="28"/>
  <c r="BU15" i="28"/>
  <c r="BU16" i="28"/>
  <c r="BU17" i="28"/>
  <c r="BU18" i="28"/>
  <c r="BU19" i="28"/>
  <c r="BU20" i="28"/>
  <c r="BU21" i="28"/>
  <c r="BU7" i="28"/>
  <c r="BX21" i="28" l="1"/>
  <c r="BY21" i="28"/>
  <c r="BX20" i="28"/>
  <c r="BY20" i="28"/>
  <c r="BX19" i="28"/>
  <c r="BY19" i="28"/>
  <c r="BX18" i="28"/>
  <c r="BY18" i="28"/>
  <c r="BX17" i="28"/>
  <c r="BY17" i="28"/>
  <c r="BX16" i="28"/>
  <c r="BY16" i="28"/>
  <c r="BX15" i="28"/>
  <c r="BY15" i="28"/>
  <c r="BX14" i="28"/>
  <c r="BY14" i="28"/>
  <c r="BX13" i="28"/>
  <c r="BY13" i="28"/>
  <c r="BX12" i="28"/>
  <c r="BY12" i="28"/>
  <c r="BX11" i="28"/>
  <c r="BY11" i="28"/>
  <c r="BX10" i="28"/>
  <c r="BY10" i="28"/>
  <c r="BX9" i="28"/>
  <c r="BY9" i="28"/>
  <c r="BX8" i="28"/>
  <c r="BY8" i="28"/>
  <c r="BX7" i="28"/>
  <c r="BY7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Edgel, Kiara</author>
  </authors>
  <commentList>
    <comment ref="I4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Edgel, Kiara:</t>
        </r>
        <r>
          <rPr>
            <sz val="9"/>
            <color indexed="81"/>
            <rFont val="Tahoma"/>
            <family val="2"/>
          </rPr>
          <t xml:space="preserve">
Multiplied values in 
rila_dyn_lapse_addn_aig by 250% </t>
        </r>
      </text>
    </comment>
    <comment ref="J4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Edgel, Kiara:</t>
        </r>
        <r>
          <rPr>
            <sz val="9"/>
            <color indexed="81"/>
            <rFont val="Tahoma"/>
            <family val="2"/>
          </rPr>
          <t xml:space="preserve">
Multiplied values in 
rila_dyn_lapse_addn_aig by 250% </t>
        </r>
      </text>
    </comment>
    <comment ref="K4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Edgel, Kiara:</t>
        </r>
        <r>
          <rPr>
            <sz val="9"/>
            <color indexed="81"/>
            <rFont val="Tahoma"/>
            <family val="2"/>
          </rPr>
          <t xml:space="preserve">
Multiplied values in 
rila_dyn_lapse_addn_aig by 175% </t>
        </r>
      </text>
    </comment>
    <comment ref="L4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Edgel, Kiara:</t>
        </r>
        <r>
          <rPr>
            <sz val="9"/>
            <color indexed="81"/>
            <rFont val="Tahoma"/>
            <family val="2"/>
          </rPr>
          <t xml:space="preserve">
Multiplied values in 
rila_dyn_lapse_addn_aig by 175%
</t>
        </r>
      </text>
    </comment>
  </commentList>
</comments>
</file>

<file path=xl/sharedStrings.xml><?xml version="1.0" encoding="utf-8"?>
<sst xmlns="http://schemas.openxmlformats.org/spreadsheetml/2006/main" count="942" uniqueCount="232">
  <si>
    <t>#</t>
  </si>
  <si>
    <t>Date</t>
  </si>
  <si>
    <t>Name</t>
  </si>
  <si>
    <t>Comments</t>
  </si>
  <si>
    <t>Table of Contents</t>
  </si>
  <si>
    <t>Default</t>
  </si>
  <si>
    <t>Go to TOC</t>
  </si>
  <si>
    <t>NONE</t>
  </si>
  <si>
    <t>pol_yr</t>
  </si>
  <si>
    <t>tbl_id</t>
  </si>
  <si>
    <t>issue age</t>
  </si>
  <si>
    <t>2015base_10YrUpfront</t>
  </si>
  <si>
    <t>2017GLB_10YrUpfront</t>
  </si>
  <si>
    <t>Base Lapse Rate Tables</t>
  </si>
  <si>
    <t>fpw_util_2015</t>
  </si>
  <si>
    <t>fpw_util_2017</t>
  </si>
  <si>
    <t>ann_rate_5yr</t>
  </si>
  <si>
    <t>zero</t>
  </si>
  <si>
    <t>ann_rate_7yr</t>
  </si>
  <si>
    <t>ann_rate_10yr</t>
  </si>
  <si>
    <t>2015base_5YrUpfront</t>
  </si>
  <si>
    <t>2015base_7YrUpfront</t>
  </si>
  <si>
    <t>2015base_8YrUpfront</t>
  </si>
  <si>
    <t>2017GLB_5YrUpfront</t>
  </si>
  <si>
    <t>2017GLB_7YrUpfront</t>
  </si>
  <si>
    <t>attained_age</t>
  </si>
  <si>
    <t>fpw_util_AnnGen</t>
  </si>
  <si>
    <t>Base Product Free Partial Withdrawal Utilization Rate Tables</t>
  </si>
  <si>
    <t>Annutization Rate Tables</t>
  </si>
  <si>
    <t>Annutization Rate</t>
  </si>
  <si>
    <t>Free Partial Withdrawal</t>
  </si>
  <si>
    <t>Base Lapse</t>
  </si>
  <si>
    <t>Var_ID</t>
  </si>
  <si>
    <t>lapse_is_dynamic</t>
  </si>
  <si>
    <t>lapse_dyn_defn_aig</t>
  </si>
  <si>
    <t>lapse_dyn_beta_defn_aig</t>
  </si>
  <si>
    <t>lapse_dyn_arctan_param_defn_aig</t>
  </si>
  <si>
    <t>lapse_dyn_rate_defn_aig</t>
  </si>
  <si>
    <t>NoDyn</t>
  </si>
  <si>
    <t>Yes</t>
  </si>
  <si>
    <t>Beta</t>
  </si>
  <si>
    <t>ArcTan</t>
  </si>
  <si>
    <t>Non Advisory</t>
  </si>
  <si>
    <t>Use Future Forward Rates</t>
  </si>
  <si>
    <t>Use Current Spot Rates</t>
  </si>
  <si>
    <t>No</t>
  </si>
  <si>
    <t>Advisory</t>
  </si>
  <si>
    <t>Beta_NonAdvisory</t>
  </si>
  <si>
    <t>Beta_Advisory</t>
  </si>
  <si>
    <t>ArcTan_NonAdvisory</t>
  </si>
  <si>
    <t>ArcTan_Advisory</t>
  </si>
  <si>
    <t>Beta_AnnGen</t>
  </si>
  <si>
    <t>ArcTan_AnnGen</t>
  </si>
  <si>
    <t>None</t>
  </si>
  <si>
    <t>2015base_7YrPrim</t>
  </si>
  <si>
    <t>2015base_10YrPrim</t>
  </si>
  <si>
    <t>2015base_7YrAdv</t>
  </si>
  <si>
    <t>NoGLB_2018Q3</t>
  </si>
  <si>
    <t>NoGLB_Plan2019</t>
  </si>
  <si>
    <t>lapse_dyn_base_prod_defn_aig</t>
  </si>
  <si>
    <t>lapse_rate_base_prod_max_aig</t>
  </si>
  <si>
    <t>lapse_rate_base_prod_min_aig</t>
  </si>
  <si>
    <t>lapse_dyn_base_prod_threshold_aig</t>
  </si>
  <si>
    <t>lapse_dyn_base_prod_tgt_pri_sprd_reduction_aig</t>
  </si>
  <si>
    <t>fpw_util_2019_AnnGen</t>
  </si>
  <si>
    <t>ArcTan 2019</t>
  </si>
  <si>
    <t>2019base_5YrUpfront</t>
  </si>
  <si>
    <t>2019base_7YrUpfront</t>
  </si>
  <si>
    <t>2019base_7YrPrim</t>
  </si>
  <si>
    <t>2019base_7YrAdv</t>
  </si>
  <si>
    <t>2019base_8YrUpfront</t>
  </si>
  <si>
    <t>2019base_10YrUpfront</t>
  </si>
  <si>
    <t>2019base_10YrPrim</t>
  </si>
  <si>
    <t>2019GLB_5YrUpfront</t>
  </si>
  <si>
    <t>2019GLB_7YrUpfront</t>
  </si>
  <si>
    <t>2019GLB_10YrUpfront</t>
  </si>
  <si>
    <t>Alt Model</t>
  </si>
  <si>
    <t>Alt_Model</t>
  </si>
  <si>
    <t>2017GLB_AnnGen_Alt</t>
  </si>
  <si>
    <t>Non Advisory_AnnGen</t>
  </si>
  <si>
    <t>ArcTan_2019</t>
  </si>
  <si>
    <t>2019GLB_10YrUpfront_SL10</t>
  </si>
  <si>
    <t>2019GLB_10YrUpfront_SL30</t>
  </si>
  <si>
    <t>2019GLB_10YrUpfront_SL20</t>
  </si>
  <si>
    <t>ArcTan_2019_X5_Util</t>
  </si>
  <si>
    <t>ArcTan_2019_X5_NonUtil</t>
  </si>
  <si>
    <t>X5_Util</t>
  </si>
  <si>
    <t>X5_NonUtil</t>
  </si>
  <si>
    <t>lapse_dyn_gmwb_dth_ben_no_wdl_defn_aig</t>
  </si>
  <si>
    <t>2019GLB_10YrUpfront_X5</t>
  </si>
  <si>
    <t>2019base_10YrUpfront_X5</t>
  </si>
  <si>
    <t>2019base_7YrAdv0SC</t>
  </si>
  <si>
    <t>2019base_7YrAdv0SC_Up</t>
  </si>
  <si>
    <t>2019base_7YrAdv0SC_down</t>
  </si>
  <si>
    <t>2019GLB_7YrAdv0SC_down</t>
  </si>
  <si>
    <t>2019GLB_7YrAdv0SC_up</t>
  </si>
  <si>
    <t>2019GLB_7YrAdv0SC</t>
  </si>
  <si>
    <t>Interest Sensitive Lapse</t>
  </si>
  <si>
    <t>lapse_dyn_isl_method_aig</t>
  </si>
  <si>
    <t>Interest Senstivie Lapse: 2019</t>
  </si>
  <si>
    <t>Use Ten Year Swap Rate At Issue</t>
  </si>
  <si>
    <t>isl_2019_lapse_dyn_rate_defn_at_issue_aig</t>
  </si>
  <si>
    <t>Use Ten Year Swap Rate</t>
  </si>
  <si>
    <t>isl_2019_lapse_dyn_rate_defn_aig</t>
  </si>
  <si>
    <t>isl_2019_alpha_aig</t>
  </si>
  <si>
    <t>isl_2019_beta_aig</t>
  </si>
  <si>
    <t>isl_2019_coefficient_aig</t>
  </si>
  <si>
    <t>isl_2019_divisor_aig</t>
  </si>
  <si>
    <t>isl_2019_surr_chg_pct_threshold_aig</t>
  </si>
  <si>
    <t>ArcTan_2019_Advisory</t>
  </si>
  <si>
    <t>ISL 2019</t>
  </si>
  <si>
    <t>2019base_7YrAdv0SC_Final</t>
  </si>
  <si>
    <t>2019base_7YrAdv0SC_Final_20%Up</t>
  </si>
  <si>
    <t>2019base_7YrAdv0SC_Final_20%down</t>
  </si>
  <si>
    <t>2019GLB_7YrAdv0SC_Final</t>
  </si>
  <si>
    <t>2019GLB_7YrAdv0SC_Final_up</t>
  </si>
  <si>
    <t>2019GLB_7YrAdv0SC_Final_down</t>
  </si>
  <si>
    <t>2020GLB_5YrUpfront</t>
  </si>
  <si>
    <t>2020GLB_7YrUpfront</t>
  </si>
  <si>
    <t>2020GLB_10YrUpfront</t>
  </si>
  <si>
    <t>lapse_rate_max</t>
  </si>
  <si>
    <t>lapse_rate_min</t>
  </si>
  <si>
    <t>itm_defn</t>
  </si>
  <si>
    <t>Annuity Benefit</t>
  </si>
  <si>
    <t>Alt Model with Death Benefits</t>
  </si>
  <si>
    <t>NotUsed</t>
  </si>
  <si>
    <t>Temporarily recommended during Advisory pricing</t>
  </si>
  <si>
    <t>no_wdl_cohort_lapse_is_dynamic_aig</t>
  </si>
  <si>
    <t>lapse_dyn_surr_chg_period_defn_aig</t>
  </si>
  <si>
    <t>lapse_sens_test_deep_otm_threshold_aig</t>
  </si>
  <si>
    <t>lapse_sens_test_otm_threshold_aig</t>
  </si>
  <si>
    <t>lapse_sens_test_itm_threshold_aig</t>
  </si>
  <si>
    <t>lapse_sens_test_deep_itm_threshold_aig</t>
  </si>
  <si>
    <t>lapse_sens_test_deep_otm_mult_aig</t>
  </si>
  <si>
    <t>lapse_sens_test_otm_mult_aig</t>
  </si>
  <si>
    <t>lapse_sens_test_itm_mult_aig</t>
  </si>
  <si>
    <t>lapse_sens_test_deep_itm_mult_aig</t>
  </si>
  <si>
    <t>lapse_sens_test_otm_add_aig</t>
  </si>
  <si>
    <t>lapse_sens_test_itm_add_aig</t>
  </si>
  <si>
    <t>lapse_sens_test_dyn_lapse_add_mult_aig</t>
  </si>
  <si>
    <t>2019GLB_10YrUpfront_X5_80%</t>
  </si>
  <si>
    <t>2019GLB_10YrUpfront_X5_120%</t>
  </si>
  <si>
    <t>2019base_10YrUpfront_X5_80%</t>
  </si>
  <si>
    <t>2019base_10YrUpfront_X5_120%</t>
  </si>
  <si>
    <t>ArcTan_2019_ICDynLapse</t>
  </si>
  <si>
    <t>ArcTan_2019_Advisory_ICDynLapse</t>
  </si>
  <si>
    <t>ArcTan_2019_X5_Util_ICDynLapse</t>
  </si>
  <si>
    <t>ArcTan_2019_X5_NonUtil_ICDynLapse</t>
  </si>
  <si>
    <t>NoGLB_Plan2019_ICDynLapse</t>
  </si>
  <si>
    <t>YE20</t>
  </si>
  <si>
    <t>fpw_util_2019_X5_Q</t>
  </si>
  <si>
    <t>fpw_util_2019_X5_NQ</t>
  </si>
  <si>
    <t>fpw_util_2019_X5_C</t>
  </si>
  <si>
    <t>YE21</t>
  </si>
  <si>
    <t>2019base_10YrUpfront_80%</t>
  </si>
  <si>
    <t>2019base_10YrUpfront_120%</t>
  </si>
  <si>
    <t>2019GLB_5YrUpfront_80%</t>
  </si>
  <si>
    <t>2019GLB_5YrUpfront_120%</t>
  </si>
  <si>
    <t>2019base_7YrUpfront_80%</t>
  </si>
  <si>
    <t>2019base_7YrUpfront_120%</t>
  </si>
  <si>
    <t>2019base_8YrUpfront_80%</t>
  </si>
  <si>
    <t>2019base_8YrUpfront_120%</t>
  </si>
  <si>
    <t>2019base_5YrUpfront_80%</t>
  </si>
  <si>
    <t>2019base_5YrUpfront_120%</t>
  </si>
  <si>
    <t>2019GLB_7YrUpfront_80%</t>
  </si>
  <si>
    <t>2019GLB_7YrUpfront_120%</t>
  </si>
  <si>
    <t>2019GLB_10YrUpfront_80%</t>
  </si>
  <si>
    <t>2019GLB_10YrUpfront_120%</t>
  </si>
  <si>
    <t>NoGLB_Plan2019_ICDynLapse_175</t>
  </si>
  <si>
    <t>YE20/YE21</t>
  </si>
  <si>
    <t>ArcTan_YE21_ICDynLapse_X5_Util</t>
  </si>
  <si>
    <t>ArcTan_YE21_ICDynLapse_X5_NonUtil</t>
  </si>
  <si>
    <t>Feb 21</t>
  </si>
  <si>
    <t>NoGLB_Plan2019_DynDurCDSC</t>
  </si>
  <si>
    <t>ArcTan_2019_DynDurCDSC</t>
  </si>
  <si>
    <t>ArcTan_2019_Advisory_DynDurCDSC</t>
  </si>
  <si>
    <t>ArcTan_2019_X5_Util_DynDurCDSC</t>
  </si>
  <si>
    <t>ArcTan_2019_X5_NonUtil_DynDurCDSC</t>
  </si>
  <si>
    <t>2019base_5YrUpfront_0%DurCDSC</t>
  </si>
  <si>
    <t>NoGLB_Plan2019_0%DurCDSC</t>
  </si>
  <si>
    <t>RILA_Base_Lapse</t>
  </si>
  <si>
    <t>Qualified_split</t>
  </si>
  <si>
    <t>Non_Qualified</t>
  </si>
  <si>
    <t>Qualified</t>
  </si>
  <si>
    <t>RILA_pfwd</t>
  </si>
  <si>
    <t>RILA_ROP_Lapse</t>
  </si>
  <si>
    <t>ROP</t>
  </si>
  <si>
    <t>shock status</t>
  </si>
  <si>
    <t>shock_year</t>
  </si>
  <si>
    <t>post_shock</t>
  </si>
  <si>
    <t>up</t>
  </si>
  <si>
    <t>down</t>
  </si>
  <si>
    <t>IV chg</t>
  </si>
  <si>
    <t>NA</t>
  </si>
  <si>
    <t>IA</t>
  </si>
  <si>
    <t>lapse_dyn_rila_iv_chg_threshold_aig</t>
  </si>
  <si>
    <t>RILA</t>
  </si>
  <si>
    <t>RILA_Base_Lapse_80%</t>
  </si>
  <si>
    <t>RILA_ROP_Lapse_80%</t>
  </si>
  <si>
    <t>RILA_Base_Lapse_120%</t>
  </si>
  <si>
    <t>RILA_ROP_Lapse_120%</t>
  </si>
  <si>
    <t>RILA_Base_Lapse_NoCDSC</t>
  </si>
  <si>
    <t>RILA_ROP_Lapse_NoCDSC</t>
  </si>
  <si>
    <t>RILA_Base_Lapse_2xCDSC</t>
  </si>
  <si>
    <t>RILA_ROP_Lapse_2xCDSC</t>
  </si>
  <si>
    <t>RILA_Base_Lapse_Shock+15%</t>
  </si>
  <si>
    <t>RILA_ROP_Lapse_Shock+15</t>
  </si>
  <si>
    <t>RILA_Base_Lapse_Shock-15%</t>
  </si>
  <si>
    <t>RILA_ROP_Lapse_Shock-15</t>
  </si>
  <si>
    <t>RILA_Base_Lapse_Ultx2</t>
  </si>
  <si>
    <t>RILA_ROP_Lapse_Ultx2</t>
  </si>
  <si>
    <t>ROP_250%ICLps</t>
  </si>
  <si>
    <t>NoGLB_Plan2019_250%ICLps</t>
  </si>
  <si>
    <t>ROP_175%ICLps</t>
  </si>
  <si>
    <t>NoGLB_Plan2019_175%ICLps</t>
  </si>
  <si>
    <t>ROP_RSD3.4DynLps</t>
  </si>
  <si>
    <t>NoGLB_Plan2019_RSD3.4DynLps</t>
  </si>
  <si>
    <t>RILA_Base_Lapse_100%ShockLapse</t>
  </si>
  <si>
    <t>RILA_ROP_Lapse_100%ShockLapse</t>
  </si>
  <si>
    <t>NoDyn_100%ShockLapse</t>
  </si>
  <si>
    <t>No Lapse</t>
  </si>
  <si>
    <t>ROP_DynLpsDurCDSC</t>
  </si>
  <si>
    <t>NoGLB_Plan2019_DynLpsDurCDSC</t>
  </si>
  <si>
    <t>Hybrid</t>
  </si>
  <si>
    <t>Govt_7Yr</t>
  </si>
  <si>
    <t>Swap_plus_sprd</t>
  </si>
  <si>
    <t>lapse_dyn_rila_nmr_method_aig</t>
  </si>
  <si>
    <t>nmr less cr</t>
  </si>
  <si>
    <t>positive</t>
  </si>
  <si>
    <t>negative</t>
  </si>
  <si>
    <t>pol_mth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</si>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</sst>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"/>
    <numFmt numFmtId="165" formatCode="0.000"/>
    <numFmt numFmtId="166" formatCode="0.000000"/>
    <numFmt numFmtId="167" formatCode="0.00_)"/>
    <numFmt numFmtId="168" formatCode="0.000%"/>
  </numFmts>
  <fonts count="6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i/>
      <sz val="16"/>
      <name val="Helv"/>
    </font>
    <font>
      <sz val="10"/>
      <name val="MS Sans Serif"/>
      <family val="2"/>
    </font>
    <font>
      <b/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8E4B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56">
    <xf numFmtId="0" fontId="0" fillId="0" borderId="0"/>
    <xf numFmtId="0" fontId="4" fillId="3" borderId="0">
      <alignment horizontal="left" vertical="top" wrapText="1"/>
    </xf>
    <xf numFmtId="0" fontId="4" fillId="3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8" fillId="4" borderId="0">
      <alignment horizontal="left" vertical="top" wrapText="1"/>
    </xf>
    <xf numFmtId="0" fontId="7" fillId="4" borderId="0">
      <alignment horizontal="left" vertical="top" wrapText="1"/>
    </xf>
    <xf numFmtId="0" fontId="5" fillId="4" borderId="0">
      <alignment horizontal="righ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9" fillId="0" borderId="0" applyNumberFormat="0" applyFill="0" applyBorder="0" applyAlignment="0" applyProtection="0"/>
    <xf numFmtId="0" fontId="6" fillId="5" borderId="0">
      <alignment horizontal="left" vertical="top" wrapText="1"/>
    </xf>
    <xf numFmtId="0" fontId="7" fillId="4" borderId="0">
      <alignment horizontal="left" vertical="top" wrapText="1"/>
    </xf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9" applyNumberFormat="0" applyAlignment="0" applyProtection="0"/>
    <xf numFmtId="0" fontId="24" fillId="12" borderId="10" applyNumberFormat="0" applyAlignment="0" applyProtection="0"/>
    <xf numFmtId="0" fontId="25" fillId="12" borderId="9" applyNumberFormat="0" applyAlignment="0" applyProtection="0"/>
    <xf numFmtId="0" fontId="26" fillId="0" borderId="11" applyNumberFormat="0" applyFill="0" applyAlignment="0" applyProtection="0"/>
    <xf numFmtId="0" fontId="27" fillId="13" borderId="12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4" applyNumberFormat="0" applyFill="0" applyAlignment="0" applyProtection="0"/>
    <xf numFmtId="0" fontId="31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1" fillId="34" borderId="0" applyNumberFormat="0" applyBorder="0" applyAlignment="0" applyProtection="0"/>
    <xf numFmtId="0" fontId="31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31" fillId="38" borderId="0" applyNumberFormat="0" applyBorder="0" applyAlignment="0" applyProtection="0"/>
    <xf numFmtId="0" fontId="2" fillId="0" borderId="0"/>
    <xf numFmtId="0" fontId="2" fillId="14" borderId="13" applyNumberFormat="0" applyFont="0" applyAlignment="0" applyProtection="0"/>
    <xf numFmtId="0" fontId="1" fillId="0" borderId="0"/>
    <xf numFmtId="0" fontId="10" fillId="0" borderId="0"/>
    <xf numFmtId="38" fontId="37" fillId="3" borderId="0" applyNumberFormat="0" applyBorder="0" applyAlignment="0" applyProtection="0"/>
    <xf numFmtId="0" fontId="34" fillId="0" borderId="17" applyNumberFormat="0" applyAlignment="0" applyProtection="0">
      <alignment horizontal="left" vertical="center"/>
    </xf>
    <xf numFmtId="0" fontId="34" fillId="0" borderId="16">
      <alignment horizontal="left" vertical="center"/>
    </xf>
    <xf numFmtId="10" fontId="37" fillId="40" borderId="1" applyNumberFormat="0" applyBorder="0" applyAlignment="0" applyProtection="0"/>
    <xf numFmtId="167" fontId="38" fillId="0" borderId="0"/>
    <xf numFmtId="10" fontId="10" fillId="0" borderId="0" applyFont="0" applyFill="0" applyBorder="0" applyAlignment="0" applyProtection="0"/>
    <xf numFmtId="0" fontId="39" fillId="0" borderId="0" applyNumberFormat="0" applyFont="0" applyFill="0" applyBorder="0" applyAlignment="0" applyProtection="0">
      <alignment horizontal="left"/>
    </xf>
    <xf numFmtId="0" fontId="40" fillId="0" borderId="18">
      <alignment horizontal="center"/>
    </xf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36" fillId="0" borderId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45" borderId="0" applyNumberFormat="0" applyBorder="0" applyAlignment="0" applyProtection="0"/>
    <xf numFmtId="0" fontId="41" fillId="46" borderId="0" applyNumberFormat="0" applyBorder="0" applyAlignment="0" applyProtection="0"/>
    <xf numFmtId="0" fontId="41" fillId="47" borderId="0" applyNumberFormat="0" applyBorder="0" applyAlignment="0" applyProtection="0"/>
    <xf numFmtId="0" fontId="41" fillId="48" borderId="0" applyNumberFormat="0" applyBorder="0" applyAlignment="0" applyProtection="0"/>
    <xf numFmtId="0" fontId="41" fillId="49" borderId="0" applyNumberFormat="0" applyBorder="0" applyAlignment="0" applyProtection="0"/>
    <xf numFmtId="0" fontId="41" fillId="44" borderId="0" applyNumberFormat="0" applyBorder="0" applyAlignment="0" applyProtection="0"/>
    <xf numFmtId="0" fontId="41" fillId="47" borderId="0" applyNumberFormat="0" applyBorder="0" applyAlignment="0" applyProtection="0"/>
    <xf numFmtId="0" fontId="41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48" borderId="0" applyNumberFormat="0" applyBorder="0" applyAlignment="0" applyProtection="0"/>
    <xf numFmtId="0" fontId="42" fillId="49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42" fillId="57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8" borderId="0" applyNumberFormat="0" applyBorder="0" applyAlignment="0" applyProtection="0"/>
    <xf numFmtId="0" fontId="43" fillId="42" borderId="0" applyNumberFormat="0" applyBorder="0" applyAlignment="0" applyProtection="0"/>
    <xf numFmtId="0" fontId="44" fillId="59" borderId="19" applyNumberFormat="0" applyAlignment="0" applyProtection="0"/>
    <xf numFmtId="0" fontId="44" fillId="59" borderId="19" applyNumberFormat="0" applyAlignment="0" applyProtection="0"/>
    <xf numFmtId="0" fontId="45" fillId="60" borderId="20" applyNumberFormat="0" applyAlignment="0" applyProtection="0"/>
    <xf numFmtId="43" fontId="36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20" fillId="8" borderId="0" applyNumberFormat="0" applyBorder="0" applyAlignment="0" applyProtection="0"/>
    <xf numFmtId="0" fontId="47" fillId="43" borderId="0" applyNumberFormat="0" applyBorder="0" applyAlignment="0" applyProtection="0"/>
    <xf numFmtId="0" fontId="34" fillId="0" borderId="16">
      <alignment horizontal="left" vertical="center"/>
    </xf>
    <xf numFmtId="0" fontId="48" fillId="0" borderId="21" applyNumberFormat="0" applyFill="0" applyAlignment="0" applyProtection="0"/>
    <xf numFmtId="0" fontId="49" fillId="0" borderId="22" applyNumberFormat="0" applyFill="0" applyAlignment="0" applyProtection="0"/>
    <xf numFmtId="0" fontId="50" fillId="0" borderId="23" applyNumberFormat="0" applyFill="0" applyAlignment="0" applyProtection="0"/>
    <xf numFmtId="0" fontId="50" fillId="0" borderId="0" applyNumberFormat="0" applyFill="0" applyBorder="0" applyAlignment="0" applyProtection="0"/>
    <xf numFmtId="10" fontId="37" fillId="40" borderId="1" applyNumberFormat="0" applyBorder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2" fillId="0" borderId="24" applyNumberFormat="0" applyFill="0" applyAlignment="0" applyProtection="0"/>
    <xf numFmtId="0" fontId="53" fillId="6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62" borderId="25" applyNumberFormat="0" applyFont="0" applyAlignment="0" applyProtection="0"/>
    <xf numFmtId="0" fontId="54" fillId="62" borderId="25" applyNumberFormat="0" applyFont="0" applyAlignment="0" applyProtection="0"/>
    <xf numFmtId="0" fontId="10" fillId="62" borderId="25" applyNumberFormat="0" applyFont="0" applyAlignment="0" applyProtection="0"/>
    <xf numFmtId="0" fontId="10" fillId="62" borderId="25" applyNumberFormat="0" applyFont="0" applyAlignment="0" applyProtection="0"/>
    <xf numFmtId="0" fontId="55" fillId="59" borderId="26" applyNumberFormat="0" applyAlignment="0" applyProtection="0"/>
    <xf numFmtId="0" fontId="55" fillId="59" borderId="26" applyNumberFormat="0" applyAlignment="0" applyProtection="0"/>
    <xf numFmtId="10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7" applyNumberFormat="0" applyFill="0" applyAlignment="0" applyProtection="0"/>
    <xf numFmtId="0" fontId="57" fillId="0" borderId="27" applyNumberFormat="0" applyFill="0" applyAlignment="0" applyProtection="0"/>
    <xf numFmtId="0" fontId="58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20" fillId="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62" borderId="25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123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2" fillId="0" borderId="0" xfId="0" applyFont="1" applyBorder="1" applyAlignment="1">
      <alignment horizontal="right" vertical="top"/>
    </xf>
    <xf numFmtId="0" fontId="12" fillId="0" borderId="0" xfId="0" applyFont="1" applyBorder="1" applyAlignment="1">
      <alignment horizontal="left" vertical="top"/>
    </xf>
    <xf numFmtId="0" fontId="9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14" fontId="0" fillId="0" borderId="1" xfId="0" quotePrefix="1" applyNumberFormat="1" applyBorder="1" applyAlignment="1">
      <alignment horizontal="center" vertical="top" wrapText="1"/>
    </xf>
    <xf numFmtId="0" fontId="9" fillId="0" borderId="0" xfId="16" applyAlignment="1">
      <alignment horizontal="left" vertical="top"/>
    </xf>
    <xf numFmtId="0" fontId="15" fillId="0" borderId="0" xfId="0" applyFont="1"/>
    <xf numFmtId="0" fontId="0" fillId="0" borderId="5" xfId="0" applyBorder="1" applyAlignment="1">
      <alignment horizontal="right" vertical="top"/>
    </xf>
    <xf numFmtId="0" fontId="11" fillId="0" borderId="0" xfId="0" applyFont="1" applyAlignment="1"/>
    <xf numFmtId="0" fontId="11" fillId="0" borderId="0" xfId="0" applyFont="1" applyAlignment="1">
      <alignment horizontal="centerContinuous" vertical="center"/>
    </xf>
    <xf numFmtId="0" fontId="3" fillId="6" borderId="0" xfId="0" applyFont="1" applyFill="1" applyBorder="1" applyAlignment="1">
      <alignment horizontal="left" vertical="top"/>
    </xf>
    <xf numFmtId="0" fontId="14" fillId="6" borderId="4" xfId="0" applyFont="1" applyFill="1" applyBorder="1" applyAlignment="1">
      <alignment horizontal="right" vertical="top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 wrapText="1"/>
    </xf>
    <xf numFmtId="0" fontId="3" fillId="6" borderId="2" xfId="0" applyFont="1" applyFill="1" applyBorder="1" applyAlignment="1">
      <alignment horizontal="right" vertical="top"/>
    </xf>
    <xf numFmtId="0" fontId="12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0" borderId="0" xfId="0" applyFont="1" applyBorder="1" applyAlignment="1">
      <alignment horizontal="center" vertical="top"/>
    </xf>
    <xf numFmtId="0" fontId="3" fillId="6" borderId="2" xfId="0" applyFont="1" applyFill="1" applyBorder="1" applyAlignment="1">
      <alignment horizontal="center" vertical="top"/>
    </xf>
    <xf numFmtId="0" fontId="3" fillId="6" borderId="3" xfId="0" applyFont="1" applyFill="1" applyBorder="1" applyAlignment="1">
      <alignment horizontal="center" vertical="top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164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0" fontId="0" fillId="6" borderId="0" xfId="0" applyFill="1" applyAlignment="1">
      <alignment horizontal="center" wrapText="1"/>
    </xf>
    <xf numFmtId="0" fontId="14" fillId="6" borderId="4" xfId="0" applyFont="1" applyFill="1" applyBorder="1" applyAlignment="1">
      <alignment horizontal="center" vertical="top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2" xfId="0" applyFont="1" applyFill="1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164" fontId="10" fillId="0" borderId="0" xfId="0" applyNumberFormat="1" applyFont="1" applyFill="1" applyBorder="1" applyAlignment="1">
      <alignment horizontal="center" vertical="top"/>
    </xf>
    <xf numFmtId="164" fontId="2" fillId="0" borderId="0" xfId="59" applyNumberFormat="1" applyAlignment="1">
      <alignment horizontal="center"/>
    </xf>
    <xf numFmtId="0" fontId="10" fillId="6" borderId="3" xfId="0" applyFont="1" applyFill="1" applyBorder="1" applyAlignment="1">
      <alignment vertical="center"/>
    </xf>
    <xf numFmtId="0" fontId="14" fillId="7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1" fontId="10" fillId="0" borderId="0" xfId="0" applyNumberFormat="1" applyFont="1" applyFill="1" applyBorder="1" applyAlignment="1">
      <alignment horizontal="left"/>
    </xf>
    <xf numFmtId="0" fontId="32" fillId="0" borderId="0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left"/>
    </xf>
    <xf numFmtId="166" fontId="10" fillId="0" borderId="0" xfId="0" applyNumberFormat="1" applyFont="1" applyBorder="1" applyAlignment="1">
      <alignment horizontal="left"/>
    </xf>
    <xf numFmtId="0" fontId="0" fillId="0" borderId="0" xfId="0" applyFill="1" applyBorder="1" applyAlignment="1">
      <alignment horizontal="left" vertical="top"/>
    </xf>
    <xf numFmtId="0" fontId="0" fillId="0" borderId="0" xfId="0" applyFill="1"/>
    <xf numFmtId="0" fontId="35" fillId="39" borderId="0" xfId="0" applyNumberFormat="1" applyFont="1" applyFill="1" applyBorder="1" applyAlignment="1" applyProtection="1">
      <alignment horizontal="center" vertical="center" wrapText="1"/>
    </xf>
    <xf numFmtId="0" fontId="14" fillId="39" borderId="15" xfId="0" applyNumberFormat="1" applyFont="1" applyFill="1" applyBorder="1" applyAlignment="1" applyProtection="1">
      <alignment horizontal="center" vertical="center" wrapText="1"/>
    </xf>
    <xf numFmtId="10" fontId="35" fillId="0" borderId="0" xfId="0" applyNumberFormat="1" applyFont="1" applyFill="1" applyBorder="1" applyAlignment="1" applyProtection="1">
      <alignment horizontal="center" vertical="center" wrapText="1"/>
    </xf>
    <xf numFmtId="10" fontId="10" fillId="0" borderId="0" xfId="0" applyNumberFormat="1" applyFont="1" applyFill="1" applyBorder="1" applyAlignment="1" applyProtection="1">
      <alignment horizontal="center" vertical="center" wrapText="1"/>
    </xf>
    <xf numFmtId="0" fontId="10" fillId="7" borderId="0" xfId="0" applyFont="1" applyFill="1" applyBorder="1" applyAlignment="1">
      <alignment horizontal="left"/>
    </xf>
    <xf numFmtId="168" fontId="10" fillId="0" borderId="0" xfId="0" applyNumberFormat="1" applyFont="1" applyFill="1" applyBorder="1" applyAlignment="1" applyProtection="1">
      <alignment horizontal="center" vertical="center" wrapText="1"/>
    </xf>
    <xf numFmtId="166" fontId="10" fillId="7" borderId="0" xfId="0" applyNumberFormat="1" applyFont="1" applyFill="1" applyBorder="1" applyAlignment="1">
      <alignment horizontal="left"/>
    </xf>
    <xf numFmtId="9" fontId="10" fillId="0" borderId="0" xfId="255" applyFont="1" applyBorder="1" applyAlignment="1">
      <alignment horizontal="left"/>
    </xf>
    <xf numFmtId="0" fontId="10" fillId="6" borderId="0" xfId="0" applyFont="1" applyFill="1" applyBorder="1" applyAlignment="1">
      <alignment vertical="center"/>
    </xf>
    <xf numFmtId="0" fontId="10" fillId="0" borderId="0" xfId="255" applyNumberFormat="1" applyFont="1" applyBorder="1" applyAlignment="1">
      <alignment horizontal="left"/>
    </xf>
    <xf numFmtId="16" fontId="13" fillId="0" borderId="0" xfId="0" quotePrefix="1" applyNumberFormat="1" applyFont="1" applyBorder="1" applyAlignment="1">
      <alignment horizontal="center" vertical="center" wrapText="1"/>
    </xf>
    <xf numFmtId="0" fontId="14" fillId="6" borderId="15" xfId="0" applyFont="1" applyFill="1" applyBorder="1" applyAlignment="1">
      <alignment horizontal="center" vertical="top"/>
    </xf>
    <xf numFmtId="0" fontId="33" fillId="0" borderId="0" xfId="0" applyFont="1"/>
    <xf numFmtId="0" fontId="33" fillId="39" borderId="0" xfId="0" applyNumberFormat="1" applyFont="1" applyFill="1" applyBorder="1" applyAlignment="1" applyProtection="1">
      <alignment horizontal="center" vertical="center" wrapText="1"/>
    </xf>
    <xf numFmtId="0" fontId="59" fillId="39" borderId="15" xfId="0" applyNumberFormat="1" applyFont="1" applyFill="1" applyBorder="1" applyAlignment="1" applyProtection="1">
      <alignment horizontal="center" vertical="center" wrapText="1"/>
    </xf>
    <xf numFmtId="10" fontId="33" fillId="0" borderId="0" xfId="0" applyNumberFormat="1" applyFont="1" applyFill="1" applyBorder="1" applyAlignment="1" applyProtection="1">
      <alignment horizontal="center" vertical="center" wrapText="1"/>
    </xf>
    <xf numFmtId="0" fontId="60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6" borderId="0" xfId="0" applyFont="1" applyFill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0" fontId="33" fillId="0" borderId="0" xfId="0" applyNumberFormat="1" applyFont="1" applyFill="1" applyAlignment="1">
      <alignment horizontal="center" vertical="center" wrapText="1"/>
    </xf>
    <xf numFmtId="10" fontId="33" fillId="0" borderId="0" xfId="0" applyNumberFormat="1" applyFont="1" applyFill="1" applyBorder="1" applyAlignment="1">
      <alignment horizontal="center" vertical="center" wrapText="1"/>
    </xf>
    <xf numFmtId="168" fontId="33" fillId="0" borderId="0" xfId="0" applyNumberFormat="1" applyFont="1" applyFill="1" applyBorder="1" applyAlignment="1" applyProtection="1">
      <alignment horizontal="center" vertical="center" wrapText="1"/>
    </xf>
    <xf numFmtId="1" fontId="10" fillId="7" borderId="0" xfId="0" applyNumberFormat="1" applyFont="1" applyFill="1" applyBorder="1" applyAlignment="1">
      <alignment horizontal="left"/>
    </xf>
    <xf numFmtId="0" fontId="3" fillId="6" borderId="0" xfId="0" applyFont="1" applyFill="1" applyBorder="1" applyAlignment="1">
      <alignment horizontal="right" vertical="top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0" fillId="7" borderId="0" xfId="0" applyNumberFormat="1" applyFont="1" applyFill="1" applyBorder="1" applyAlignment="1" applyProtection="1"/>
    <xf numFmtId="0" fontId="10" fillId="7" borderId="0" xfId="0" applyNumberFormat="1" applyFont="1" applyFill="1" applyBorder="1" applyAlignment="1" applyProtection="1">
      <alignment horizontal="center" vertical="center" wrapText="1"/>
    </xf>
    <xf numFmtId="0" fontId="14" fillId="7" borderId="28" xfId="0" applyNumberFormat="1" applyFont="1" applyFill="1" applyBorder="1" applyAlignment="1" applyProtection="1">
      <alignment horizontal="center" vertical="center" wrapText="1"/>
    </xf>
    <xf numFmtId="10" fontId="10" fillId="7" borderId="0" xfId="0" applyNumberFormat="1" applyFont="1" applyFill="1" applyBorder="1" applyAlignment="1" applyProtection="1">
      <alignment horizontal="center" vertical="center" wrapText="1"/>
    </xf>
    <xf numFmtId="165" fontId="10" fillId="7" borderId="0" xfId="0" applyNumberFormat="1" applyFon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0" fontId="14" fillId="6" borderId="28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31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right" vertical="center" wrapText="1"/>
    </xf>
    <xf numFmtId="0" fontId="0" fillId="0" borderId="30" xfId="0" applyBorder="1" applyAlignment="1">
      <alignment horizontal="center"/>
    </xf>
    <xf numFmtId="0" fontId="0" fillId="0" borderId="0" xfId="0" applyBorder="1" applyAlignment="1">
      <alignment horizontal="right" vertical="center" wrapText="1"/>
    </xf>
    <xf numFmtId="0" fontId="0" fillId="0" borderId="0" xfId="0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166" fontId="10" fillId="0" borderId="0" xfId="0" applyNumberFormat="1" applyFont="1" applyFill="1" applyBorder="1" applyAlignment="1">
      <alignment horizontal="left"/>
    </xf>
    <xf numFmtId="0" fontId="59" fillId="6" borderId="0" xfId="0" applyFont="1" applyFill="1" applyBorder="1" applyAlignment="1">
      <alignment horizontal="left"/>
    </xf>
    <xf numFmtId="0" fontId="10" fillId="7" borderId="0" xfId="0" applyNumberFormat="1" applyFont="1" applyFill="1" applyBorder="1" applyAlignment="1" applyProtection="1">
      <alignment horizontal="left"/>
    </xf>
    <xf numFmtId="0" fontId="0" fillId="63" borderId="0" xfId="0" applyFill="1" applyAlignment="1">
      <alignment horizontal="center" vertical="center" wrapText="1"/>
    </xf>
    <xf numFmtId="0" fontId="0" fillId="6" borderId="32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0" fillId="63" borderId="29" xfId="0" applyFill="1" applyBorder="1" applyAlignment="1">
      <alignment horizontal="center" vertical="center" wrapText="1"/>
    </xf>
    <xf numFmtId="0" fontId="0" fillId="63" borderId="33" xfId="0" applyFill="1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10" fillId="7" borderId="0" xfId="0" applyNumberFormat="1" applyFont="1" applyFill="1" applyBorder="1" applyAlignment="1" applyProtection="1">
      <alignment horizontal="left"/>
    </xf>
    <xf numFmtId="0" fontId="10" fillId="0" borderId="0" xfId="0" applyFont="1" applyAlignment="1">
      <alignment horizontal="left"/>
    </xf>
    <xf numFmtId="0" fontId="10" fillId="7" borderId="0" xfId="0" applyNumberFormat="1" applyFont="1" applyFill="1" applyBorder="1" applyAlignment="1" applyProtection="1">
      <alignment horizontal="left"/>
    </xf>
    <xf numFmtId="0" fontId="13" fillId="0" borderId="0" xfId="0" applyFont="1" applyAlignment="1">
      <alignment horizontal="left" vertical="top"/>
    </xf>
  </cellXfs>
  <cellStyles count="256">
    <cellStyle name="20% - Accent1" xfId="36" builtinId="30" customBuiltin="1"/>
    <cellStyle name="20% - Accent1 2" xfId="75" xr:uid="{00000000-0005-0000-0000-000001000000}"/>
    <cellStyle name="20% - Accent2" xfId="40" builtinId="34" customBuiltin="1"/>
    <cellStyle name="20% - Accent2 2" xfId="76" xr:uid="{00000000-0005-0000-0000-000003000000}"/>
    <cellStyle name="20% - Accent3" xfId="44" builtinId="38" customBuiltin="1"/>
    <cellStyle name="20% - Accent3 2" xfId="77" xr:uid="{00000000-0005-0000-0000-000005000000}"/>
    <cellStyle name="20% - Accent4" xfId="48" builtinId="42" customBuiltin="1"/>
    <cellStyle name="20% - Accent4 2" xfId="78" xr:uid="{00000000-0005-0000-0000-000007000000}"/>
    <cellStyle name="20% - Accent5" xfId="52" builtinId="46" customBuiltin="1"/>
    <cellStyle name="20% - Accent5 2" xfId="79" xr:uid="{00000000-0005-0000-0000-000009000000}"/>
    <cellStyle name="20% - Accent6" xfId="56" builtinId="50" customBuiltin="1"/>
    <cellStyle name="20% - Accent6 2" xfId="80" xr:uid="{00000000-0005-0000-0000-00000B000000}"/>
    <cellStyle name="40% - Accent1" xfId="37" builtinId="31" customBuiltin="1"/>
    <cellStyle name="40% - Accent1 2" xfId="81" xr:uid="{00000000-0005-0000-0000-00000D000000}"/>
    <cellStyle name="40% - Accent2" xfId="41" builtinId="35" customBuiltin="1"/>
    <cellStyle name="40% - Accent2 2" xfId="82" xr:uid="{00000000-0005-0000-0000-00000F000000}"/>
    <cellStyle name="40% - Accent3" xfId="45" builtinId="39" customBuiltin="1"/>
    <cellStyle name="40% - Accent3 2" xfId="83" xr:uid="{00000000-0005-0000-0000-000011000000}"/>
    <cellStyle name="40% - Accent4" xfId="49" builtinId="43" customBuiltin="1"/>
    <cellStyle name="40% - Accent4 2" xfId="84" xr:uid="{00000000-0005-0000-0000-000013000000}"/>
    <cellStyle name="40% - Accent5" xfId="53" builtinId="47" customBuiltin="1"/>
    <cellStyle name="40% - Accent5 2" xfId="85" xr:uid="{00000000-0005-0000-0000-000015000000}"/>
    <cellStyle name="40% - Accent6" xfId="57" builtinId="51" customBuiltin="1"/>
    <cellStyle name="40% - Accent6 2" xfId="86" xr:uid="{00000000-0005-0000-0000-000017000000}"/>
    <cellStyle name="60% - Accent1" xfId="38" builtinId="32" customBuiltin="1"/>
    <cellStyle name="60% - Accent1 2" xfId="87" xr:uid="{00000000-0005-0000-0000-000019000000}"/>
    <cellStyle name="60% - Accent2" xfId="42" builtinId="36" customBuiltin="1"/>
    <cellStyle name="60% - Accent2 2" xfId="88" xr:uid="{00000000-0005-0000-0000-00001B000000}"/>
    <cellStyle name="60% - Accent3" xfId="46" builtinId="40" customBuiltin="1"/>
    <cellStyle name="60% - Accent3 2" xfId="89" xr:uid="{00000000-0005-0000-0000-00001D000000}"/>
    <cellStyle name="60% - Accent4" xfId="50" builtinId="44" customBuiltin="1"/>
    <cellStyle name="60% - Accent4 2" xfId="90" xr:uid="{00000000-0005-0000-0000-00001F000000}"/>
    <cellStyle name="60% - Accent5" xfId="54" builtinId="48" customBuiltin="1"/>
    <cellStyle name="60% - Accent5 2" xfId="91" xr:uid="{00000000-0005-0000-0000-000021000000}"/>
    <cellStyle name="60% - Accent6" xfId="58" builtinId="52" customBuiltin="1"/>
    <cellStyle name="60% - Accent6 2" xfId="92" xr:uid="{00000000-0005-0000-0000-000023000000}"/>
    <cellStyle name="Accent1" xfId="35" builtinId="29" customBuiltin="1"/>
    <cellStyle name="Accent1 2" xfId="93" xr:uid="{00000000-0005-0000-0000-000025000000}"/>
    <cellStyle name="Accent2" xfId="39" builtinId="33" customBuiltin="1"/>
    <cellStyle name="Accent2 2" xfId="94" xr:uid="{00000000-0005-0000-0000-000027000000}"/>
    <cellStyle name="Accent3" xfId="43" builtinId="37" customBuiltin="1"/>
    <cellStyle name="Accent3 2" xfId="95" xr:uid="{00000000-0005-0000-0000-000029000000}"/>
    <cellStyle name="Accent4" xfId="47" builtinId="41" customBuiltin="1"/>
    <cellStyle name="Accent4 2" xfId="96" xr:uid="{00000000-0005-0000-0000-00002B000000}"/>
    <cellStyle name="Accent5" xfId="51" builtinId="45" customBuiltin="1"/>
    <cellStyle name="Accent5 2" xfId="97" xr:uid="{00000000-0005-0000-0000-00002D000000}"/>
    <cellStyle name="Accent6" xfId="55" builtinId="49" customBuiltin="1"/>
    <cellStyle name="Accent6 2" xfId="98" xr:uid="{00000000-0005-0000-0000-00002F000000}"/>
    <cellStyle name="Bad" xfId="25" builtinId="27" customBuiltin="1"/>
    <cellStyle name="Bad 2" xfId="99" xr:uid="{00000000-0005-0000-0000-000031000000}"/>
    <cellStyle name="BodyStyle00" xfId="1" xr:uid="{00000000-0005-0000-0000-000032000000}"/>
    <cellStyle name="BodyStyle01" xfId="2" xr:uid="{00000000-0005-0000-0000-000033000000}"/>
    <cellStyle name="BodyStyle010" xfId="13" xr:uid="{00000000-0005-0000-0000-000034000000}"/>
    <cellStyle name="BodyStyle011_aa_1" xfId="3" xr:uid="{00000000-0005-0000-0000-000035000000}"/>
    <cellStyle name="BodyStyle014_aa" xfId="4" xr:uid="{00000000-0005-0000-0000-000036000000}"/>
    <cellStyle name="BodyStyle015_aa" xfId="5" xr:uid="{00000000-0005-0000-0000-000037000000}"/>
    <cellStyle name="BodyStyle02_aa" xfId="6" xr:uid="{00000000-0005-0000-0000-000038000000}"/>
    <cellStyle name="BodyStyle03_aa" xfId="7" xr:uid="{00000000-0005-0000-0000-000039000000}"/>
    <cellStyle name="BodyStyle04" xfId="14" xr:uid="{00000000-0005-0000-0000-00003A000000}"/>
    <cellStyle name="BodyStyle05" xfId="17" xr:uid="{00000000-0005-0000-0000-00003B000000}"/>
    <cellStyle name="BodyStyle06" xfId="8" xr:uid="{00000000-0005-0000-0000-00003C000000}"/>
    <cellStyle name="BodyStyle06 2" xfId="9" xr:uid="{00000000-0005-0000-0000-00003D000000}"/>
    <cellStyle name="BodyStyle06 3" xfId="10" xr:uid="{00000000-0005-0000-0000-00003E000000}"/>
    <cellStyle name="BodyStyle06 4" xfId="11" xr:uid="{00000000-0005-0000-0000-00003F000000}"/>
    <cellStyle name="BodyStyle06 4 2" xfId="12" xr:uid="{00000000-0005-0000-0000-000040000000}"/>
    <cellStyle name="BodyStyle07" xfId="15" xr:uid="{00000000-0005-0000-0000-000041000000}"/>
    <cellStyle name="BodyStyle08" xfId="18" xr:uid="{00000000-0005-0000-0000-000042000000}"/>
    <cellStyle name="Calculation" xfId="29" builtinId="22" customBuiltin="1"/>
    <cellStyle name="Calculation 2" xfId="100" xr:uid="{00000000-0005-0000-0000-000044000000}"/>
    <cellStyle name="Calculation 3" xfId="101" xr:uid="{00000000-0005-0000-0000-000045000000}"/>
    <cellStyle name="Check Cell" xfId="31" builtinId="23" customBuiltin="1"/>
    <cellStyle name="Check Cell 2" xfId="102" xr:uid="{00000000-0005-0000-0000-000047000000}"/>
    <cellStyle name="Comma 2" xfId="103" xr:uid="{00000000-0005-0000-0000-000048000000}"/>
    <cellStyle name="Comma 2 2" xfId="202" xr:uid="{00000000-0005-0000-0000-000049000000}"/>
    <cellStyle name="Comma 2 3" xfId="188" xr:uid="{00000000-0005-0000-0000-00004A000000}"/>
    <cellStyle name="Comma 3" xfId="180" xr:uid="{00000000-0005-0000-0000-00004B000000}"/>
    <cellStyle name="Comma 3 2" xfId="232" xr:uid="{00000000-0005-0000-0000-00004C000000}"/>
    <cellStyle name="Comma 3 3" xfId="189" xr:uid="{00000000-0005-0000-0000-00004D000000}"/>
    <cellStyle name="Comma 4" xfId="196" xr:uid="{00000000-0005-0000-0000-00004E000000}"/>
    <cellStyle name="Explanatory Text" xfId="33" builtinId="53" customBuiltin="1"/>
    <cellStyle name="Explanatory Text 2" xfId="104" xr:uid="{00000000-0005-0000-0000-000050000000}"/>
    <cellStyle name="Good" xfId="24" builtinId="26" customBuiltin="1"/>
    <cellStyle name="Good 2" xfId="105" xr:uid="{00000000-0005-0000-0000-000052000000}"/>
    <cellStyle name="Good 2 2" xfId="106" xr:uid="{00000000-0005-0000-0000-000053000000}"/>
    <cellStyle name="Good 2 3" xfId="203" xr:uid="{00000000-0005-0000-0000-000054000000}"/>
    <cellStyle name="Grey" xfId="63" xr:uid="{00000000-0005-0000-0000-000055000000}"/>
    <cellStyle name="Header1" xfId="64" xr:uid="{00000000-0005-0000-0000-000056000000}"/>
    <cellStyle name="Header2" xfId="65" xr:uid="{00000000-0005-0000-0000-000057000000}"/>
    <cellStyle name="Header2 2" xfId="107" xr:uid="{00000000-0005-0000-0000-000058000000}"/>
    <cellStyle name="Heading 1" xfId="20" builtinId="16" customBuiltin="1"/>
    <cellStyle name="Heading 1 2" xfId="108" xr:uid="{00000000-0005-0000-0000-00005A000000}"/>
    <cellStyle name="Heading 2" xfId="21" builtinId="17" customBuiltin="1"/>
    <cellStyle name="Heading 2 2" xfId="109" xr:uid="{00000000-0005-0000-0000-00005C000000}"/>
    <cellStyle name="Heading 3" xfId="22" builtinId="18" customBuiltin="1"/>
    <cellStyle name="Heading 3 2" xfId="110" xr:uid="{00000000-0005-0000-0000-00005E000000}"/>
    <cellStyle name="Heading 4" xfId="23" builtinId="19" customBuiltin="1"/>
    <cellStyle name="Heading 4 2" xfId="111" xr:uid="{00000000-0005-0000-0000-000060000000}"/>
    <cellStyle name="Hyperlink" xfId="16" builtinId="8"/>
    <cellStyle name="Input" xfId="27" builtinId="20" customBuiltin="1"/>
    <cellStyle name="Input [yellow]" xfId="66" xr:uid="{00000000-0005-0000-0000-000063000000}"/>
    <cellStyle name="Input [yellow] 2" xfId="112" xr:uid="{00000000-0005-0000-0000-000064000000}"/>
    <cellStyle name="Input 2" xfId="113" xr:uid="{00000000-0005-0000-0000-000065000000}"/>
    <cellStyle name="Input 3" xfId="114" xr:uid="{00000000-0005-0000-0000-000066000000}"/>
    <cellStyle name="Input 4" xfId="115" xr:uid="{00000000-0005-0000-0000-000067000000}"/>
    <cellStyle name="Input 5" xfId="116" xr:uid="{00000000-0005-0000-0000-000068000000}"/>
    <cellStyle name="Input 6" xfId="117" xr:uid="{00000000-0005-0000-0000-000069000000}"/>
    <cellStyle name="Input 7" xfId="118" xr:uid="{00000000-0005-0000-0000-00006A000000}"/>
    <cellStyle name="Input 8" xfId="119" xr:uid="{00000000-0005-0000-0000-00006B000000}"/>
    <cellStyle name="Linked Cell" xfId="30" builtinId="24" customBuiltin="1"/>
    <cellStyle name="Linked Cell 2" xfId="120" xr:uid="{00000000-0005-0000-0000-00006D000000}"/>
    <cellStyle name="Neutral" xfId="26" builtinId="28" customBuiltin="1"/>
    <cellStyle name="Neutral 2" xfId="121" xr:uid="{00000000-0005-0000-0000-00006F000000}"/>
    <cellStyle name="Normal" xfId="0" builtinId="0"/>
    <cellStyle name="Normal - Style1" xfId="67" xr:uid="{00000000-0005-0000-0000-000071000000}"/>
    <cellStyle name="Normal 10" xfId="122" xr:uid="{00000000-0005-0000-0000-000072000000}"/>
    <cellStyle name="Normal 10 2" xfId="166" xr:uid="{00000000-0005-0000-0000-000073000000}"/>
    <cellStyle name="Normal 10 2 2" xfId="221" xr:uid="{00000000-0005-0000-0000-000074000000}"/>
    <cellStyle name="Normal 10 3" xfId="204" xr:uid="{00000000-0005-0000-0000-000075000000}"/>
    <cellStyle name="Normal 11" xfId="123" xr:uid="{00000000-0005-0000-0000-000076000000}"/>
    <cellStyle name="Normal 11 2" xfId="167" xr:uid="{00000000-0005-0000-0000-000077000000}"/>
    <cellStyle name="Normal 11 2 2" xfId="222" xr:uid="{00000000-0005-0000-0000-000078000000}"/>
    <cellStyle name="Normal 11 3" xfId="205" xr:uid="{00000000-0005-0000-0000-000079000000}"/>
    <cellStyle name="Normal 12" xfId="124" xr:uid="{00000000-0005-0000-0000-00007A000000}"/>
    <cellStyle name="Normal 12 2" xfId="168" xr:uid="{00000000-0005-0000-0000-00007B000000}"/>
    <cellStyle name="Normal 12 2 2" xfId="223" xr:uid="{00000000-0005-0000-0000-00007C000000}"/>
    <cellStyle name="Normal 12 3" xfId="206" xr:uid="{00000000-0005-0000-0000-00007D000000}"/>
    <cellStyle name="Normal 13" xfId="125" xr:uid="{00000000-0005-0000-0000-00007E000000}"/>
    <cellStyle name="Normal 13 2" xfId="169" xr:uid="{00000000-0005-0000-0000-00007F000000}"/>
    <cellStyle name="Normal 13 2 2" xfId="224" xr:uid="{00000000-0005-0000-0000-000080000000}"/>
    <cellStyle name="Normal 13 3" xfId="207" xr:uid="{00000000-0005-0000-0000-000081000000}"/>
    <cellStyle name="Normal 14" xfId="126" xr:uid="{00000000-0005-0000-0000-000082000000}"/>
    <cellStyle name="Normal 14 2" xfId="170" xr:uid="{00000000-0005-0000-0000-000083000000}"/>
    <cellStyle name="Normal 14 2 2" xfId="225" xr:uid="{00000000-0005-0000-0000-000084000000}"/>
    <cellStyle name="Normal 14 3" xfId="208" xr:uid="{00000000-0005-0000-0000-000085000000}"/>
    <cellStyle name="Normal 15" xfId="164" xr:uid="{00000000-0005-0000-0000-000086000000}"/>
    <cellStyle name="Normal 15 2" xfId="219" xr:uid="{00000000-0005-0000-0000-000087000000}"/>
    <cellStyle name="Normal 16" xfId="177" xr:uid="{00000000-0005-0000-0000-000088000000}"/>
    <cellStyle name="Normal 16 2" xfId="230" xr:uid="{00000000-0005-0000-0000-000089000000}"/>
    <cellStyle name="Normal 17" xfId="179" xr:uid="{00000000-0005-0000-0000-00008A000000}"/>
    <cellStyle name="Normal 18" xfId="178" xr:uid="{00000000-0005-0000-0000-00008B000000}"/>
    <cellStyle name="Normal 18 2" xfId="231" xr:uid="{00000000-0005-0000-0000-00008C000000}"/>
    <cellStyle name="Normal 19" xfId="184" xr:uid="{00000000-0005-0000-0000-00008D000000}"/>
    <cellStyle name="Normal 19 2" xfId="235" xr:uid="{00000000-0005-0000-0000-00008E000000}"/>
    <cellStyle name="Normal 2" xfId="59" xr:uid="{00000000-0005-0000-0000-00008F000000}"/>
    <cellStyle name="Normal 2 2" xfId="74" xr:uid="{00000000-0005-0000-0000-000090000000}"/>
    <cellStyle name="Normal 2 2 2" xfId="171" xr:uid="{00000000-0005-0000-0000-000091000000}"/>
    <cellStyle name="Normal 2 3" xfId="127" xr:uid="{00000000-0005-0000-0000-000092000000}"/>
    <cellStyle name="Normal 2 4" xfId="181" xr:uid="{00000000-0005-0000-0000-000093000000}"/>
    <cellStyle name="Normal 2 4 2" xfId="233" xr:uid="{00000000-0005-0000-0000-000094000000}"/>
    <cellStyle name="Normal 2 5" xfId="197" xr:uid="{00000000-0005-0000-0000-000095000000}"/>
    <cellStyle name="Normal 2 6" xfId="61" xr:uid="{00000000-0005-0000-0000-000096000000}"/>
    <cellStyle name="Normal 20" xfId="183" xr:uid="{00000000-0005-0000-0000-000097000000}"/>
    <cellStyle name="Normal 20 2" xfId="234" xr:uid="{00000000-0005-0000-0000-000098000000}"/>
    <cellStyle name="Normal 21" xfId="195" xr:uid="{00000000-0005-0000-0000-000099000000}"/>
    <cellStyle name="Normal 22" xfId="201" xr:uid="{00000000-0005-0000-0000-00009A000000}"/>
    <cellStyle name="Normal 23" xfId="237" xr:uid="{00000000-0005-0000-0000-00009B000000}"/>
    <cellStyle name="Normal 24" xfId="239" xr:uid="{00000000-0005-0000-0000-00009C000000}"/>
    <cellStyle name="Normal 25" xfId="238" xr:uid="{00000000-0005-0000-0000-00009D000000}"/>
    <cellStyle name="Normal 26" xfId="185" xr:uid="{00000000-0005-0000-0000-00009E000000}"/>
    <cellStyle name="Normal 27" xfId="194" xr:uid="{00000000-0005-0000-0000-00009F000000}"/>
    <cellStyle name="Normal 28" xfId="187" xr:uid="{00000000-0005-0000-0000-0000A0000000}"/>
    <cellStyle name="Normal 29" xfId="244" xr:uid="{00000000-0005-0000-0000-0000A1000000}"/>
    <cellStyle name="Normal 3" xfId="62" xr:uid="{00000000-0005-0000-0000-0000A2000000}"/>
    <cellStyle name="Normal 3 2" xfId="128" xr:uid="{00000000-0005-0000-0000-0000A3000000}"/>
    <cellStyle name="Normal 30" xfId="241" xr:uid="{00000000-0005-0000-0000-0000A4000000}"/>
    <cellStyle name="Normal 31" xfId="240" xr:uid="{00000000-0005-0000-0000-0000A5000000}"/>
    <cellStyle name="Normal 32" xfId="245" xr:uid="{00000000-0005-0000-0000-0000A6000000}"/>
    <cellStyle name="Normal 33" xfId="190" xr:uid="{00000000-0005-0000-0000-0000A7000000}"/>
    <cellStyle name="Normal 34" xfId="193" xr:uid="{00000000-0005-0000-0000-0000A8000000}"/>
    <cellStyle name="Normal 35" xfId="191" xr:uid="{00000000-0005-0000-0000-0000A9000000}"/>
    <cellStyle name="Normal 36" xfId="247" xr:uid="{00000000-0005-0000-0000-0000AA000000}"/>
    <cellStyle name="Normal 37" xfId="209" xr:uid="{00000000-0005-0000-0000-0000AB000000}"/>
    <cellStyle name="Normal 38" xfId="250" xr:uid="{00000000-0005-0000-0000-0000AC000000}"/>
    <cellStyle name="Normal 39" xfId="252" xr:uid="{00000000-0005-0000-0000-0000AD000000}"/>
    <cellStyle name="Normal 4" xfId="71" xr:uid="{00000000-0005-0000-0000-0000AE000000}"/>
    <cellStyle name="Normal 4 2" xfId="129" xr:uid="{00000000-0005-0000-0000-0000AF000000}"/>
    <cellStyle name="Normal 5" xfId="72" xr:uid="{00000000-0005-0000-0000-0000B0000000}"/>
    <cellStyle name="Normal 5 2" xfId="172" xr:uid="{00000000-0005-0000-0000-0000B1000000}"/>
    <cellStyle name="Normal 6" xfId="130" xr:uid="{00000000-0005-0000-0000-0000B2000000}"/>
    <cellStyle name="Normal 7" xfId="131" xr:uid="{00000000-0005-0000-0000-0000B3000000}"/>
    <cellStyle name="Normal 8" xfId="132" xr:uid="{00000000-0005-0000-0000-0000B4000000}"/>
    <cellStyle name="Normal 9" xfId="133" xr:uid="{00000000-0005-0000-0000-0000B5000000}"/>
    <cellStyle name="Note 2" xfId="60" xr:uid="{00000000-0005-0000-0000-0000B6000000}"/>
    <cellStyle name="Note 2 2" xfId="135" xr:uid="{00000000-0005-0000-0000-0000B7000000}"/>
    <cellStyle name="Note 2 3" xfId="210" xr:uid="{00000000-0005-0000-0000-0000B8000000}"/>
    <cellStyle name="Note 2 4" xfId="134" xr:uid="{00000000-0005-0000-0000-0000B9000000}"/>
    <cellStyle name="Note 3" xfId="136" xr:uid="{00000000-0005-0000-0000-0000BA000000}"/>
    <cellStyle name="Note 4" xfId="137" xr:uid="{00000000-0005-0000-0000-0000BB000000}"/>
    <cellStyle name="Output" xfId="28" builtinId="21" customBuiltin="1"/>
    <cellStyle name="Output 2" xfId="138" xr:uid="{00000000-0005-0000-0000-0000BD000000}"/>
    <cellStyle name="Output 3" xfId="139" xr:uid="{00000000-0005-0000-0000-0000BE000000}"/>
    <cellStyle name="Percent" xfId="255" builtinId="5"/>
    <cellStyle name="Percent [2]" xfId="68" xr:uid="{00000000-0005-0000-0000-0000C0000000}"/>
    <cellStyle name="Percent [2] 2" xfId="140" xr:uid="{00000000-0005-0000-0000-0000C1000000}"/>
    <cellStyle name="Percent 10" xfId="141" xr:uid="{00000000-0005-0000-0000-0000C2000000}"/>
    <cellStyle name="Percent 11" xfId="142" xr:uid="{00000000-0005-0000-0000-0000C3000000}"/>
    <cellStyle name="Percent 12" xfId="143" xr:uid="{00000000-0005-0000-0000-0000C4000000}"/>
    <cellStyle name="Percent 13" xfId="144" xr:uid="{00000000-0005-0000-0000-0000C5000000}"/>
    <cellStyle name="Percent 14" xfId="145" xr:uid="{00000000-0005-0000-0000-0000C6000000}"/>
    <cellStyle name="Percent 14 2" xfId="173" xr:uid="{00000000-0005-0000-0000-0000C7000000}"/>
    <cellStyle name="Percent 14 2 2" xfId="226" xr:uid="{00000000-0005-0000-0000-0000C8000000}"/>
    <cellStyle name="Percent 14 3" xfId="215" xr:uid="{00000000-0005-0000-0000-0000C9000000}"/>
    <cellStyle name="Percent 15" xfId="146" xr:uid="{00000000-0005-0000-0000-0000CA000000}"/>
    <cellStyle name="Percent 15 2" xfId="174" xr:uid="{00000000-0005-0000-0000-0000CB000000}"/>
    <cellStyle name="Percent 15 2 2" xfId="227" xr:uid="{00000000-0005-0000-0000-0000CC000000}"/>
    <cellStyle name="Percent 15 3" xfId="216" xr:uid="{00000000-0005-0000-0000-0000CD000000}"/>
    <cellStyle name="Percent 16" xfId="147" xr:uid="{00000000-0005-0000-0000-0000CE000000}"/>
    <cellStyle name="Percent 16 2" xfId="175" xr:uid="{00000000-0005-0000-0000-0000CF000000}"/>
    <cellStyle name="Percent 16 2 2" xfId="228" xr:uid="{00000000-0005-0000-0000-0000D0000000}"/>
    <cellStyle name="Percent 16 3" xfId="217" xr:uid="{00000000-0005-0000-0000-0000D1000000}"/>
    <cellStyle name="Percent 17" xfId="148" xr:uid="{00000000-0005-0000-0000-0000D2000000}"/>
    <cellStyle name="Percent 18" xfId="165" xr:uid="{00000000-0005-0000-0000-0000D3000000}"/>
    <cellStyle name="Percent 18 2" xfId="220" xr:uid="{00000000-0005-0000-0000-0000D4000000}"/>
    <cellStyle name="Percent 19" xfId="176" xr:uid="{00000000-0005-0000-0000-0000D5000000}"/>
    <cellStyle name="Percent 19 2" xfId="229" xr:uid="{00000000-0005-0000-0000-0000D6000000}"/>
    <cellStyle name="Percent 2" xfId="73" xr:uid="{00000000-0005-0000-0000-0000D7000000}"/>
    <cellStyle name="Percent 2 2" xfId="149" xr:uid="{00000000-0005-0000-0000-0000D8000000}"/>
    <cellStyle name="Percent 2 3" xfId="150" xr:uid="{00000000-0005-0000-0000-0000D9000000}"/>
    <cellStyle name="Percent 20" xfId="182" xr:uid="{00000000-0005-0000-0000-0000DA000000}"/>
    <cellStyle name="Percent 21" xfId="200" xr:uid="{00000000-0005-0000-0000-0000DB000000}"/>
    <cellStyle name="Percent 22" xfId="198" xr:uid="{00000000-0005-0000-0000-0000DC000000}"/>
    <cellStyle name="Percent 23" xfId="236" xr:uid="{00000000-0005-0000-0000-0000DD000000}"/>
    <cellStyle name="Percent 24" xfId="199" xr:uid="{00000000-0005-0000-0000-0000DE000000}"/>
    <cellStyle name="Percent 25" xfId="214" xr:uid="{00000000-0005-0000-0000-0000DF000000}"/>
    <cellStyle name="Percent 26" xfId="186" xr:uid="{00000000-0005-0000-0000-0000E0000000}"/>
    <cellStyle name="Percent 27" xfId="218" xr:uid="{00000000-0005-0000-0000-0000E1000000}"/>
    <cellStyle name="Percent 28" xfId="243" xr:uid="{00000000-0005-0000-0000-0000E2000000}"/>
    <cellStyle name="Percent 29" xfId="212" xr:uid="{00000000-0005-0000-0000-0000E3000000}"/>
    <cellStyle name="Percent 3" xfId="151" xr:uid="{00000000-0005-0000-0000-0000E4000000}"/>
    <cellStyle name="Percent 3 2" xfId="152" xr:uid="{00000000-0005-0000-0000-0000E5000000}"/>
    <cellStyle name="Percent 30" xfId="192" xr:uid="{00000000-0005-0000-0000-0000E6000000}"/>
    <cellStyle name="Percent 31" xfId="213" xr:uid="{00000000-0005-0000-0000-0000E7000000}"/>
    <cellStyle name="Percent 32" xfId="242" xr:uid="{00000000-0005-0000-0000-0000E8000000}"/>
    <cellStyle name="Percent 33" xfId="211" xr:uid="{00000000-0005-0000-0000-0000E9000000}"/>
    <cellStyle name="Percent 34" xfId="246" xr:uid="{00000000-0005-0000-0000-0000EA000000}"/>
    <cellStyle name="Percent 35" xfId="248" xr:uid="{00000000-0005-0000-0000-0000EB000000}"/>
    <cellStyle name="Percent 36" xfId="249" xr:uid="{00000000-0005-0000-0000-0000EC000000}"/>
    <cellStyle name="Percent 37" xfId="251" xr:uid="{00000000-0005-0000-0000-0000ED000000}"/>
    <cellStyle name="Percent 38" xfId="253" xr:uid="{00000000-0005-0000-0000-0000EE000000}"/>
    <cellStyle name="Percent 39" xfId="254" xr:uid="{00000000-0005-0000-0000-0000EF000000}"/>
    <cellStyle name="Percent 4" xfId="153" xr:uid="{00000000-0005-0000-0000-0000F0000000}"/>
    <cellStyle name="Percent 4 2" xfId="154" xr:uid="{00000000-0005-0000-0000-0000F1000000}"/>
    <cellStyle name="Percent 5" xfId="155" xr:uid="{00000000-0005-0000-0000-0000F2000000}"/>
    <cellStyle name="Percent 6" xfId="156" xr:uid="{00000000-0005-0000-0000-0000F3000000}"/>
    <cellStyle name="Percent 7" xfId="157" xr:uid="{00000000-0005-0000-0000-0000F4000000}"/>
    <cellStyle name="Percent 8" xfId="158" xr:uid="{00000000-0005-0000-0000-0000F5000000}"/>
    <cellStyle name="Percent 9" xfId="159" xr:uid="{00000000-0005-0000-0000-0000F6000000}"/>
    <cellStyle name="PSChar" xfId="69" xr:uid="{00000000-0005-0000-0000-0000F7000000}"/>
    <cellStyle name="PSHeading" xfId="70" xr:uid="{00000000-0005-0000-0000-0000F8000000}"/>
    <cellStyle name="Title" xfId="19" builtinId="15" customBuiltin="1"/>
    <cellStyle name="Title 2" xfId="160" xr:uid="{00000000-0005-0000-0000-0000FA000000}"/>
    <cellStyle name="Total" xfId="34" builtinId="25" customBuiltin="1"/>
    <cellStyle name="Total 2" xfId="161" xr:uid="{00000000-0005-0000-0000-0000FC000000}"/>
    <cellStyle name="Total 3" xfId="162" xr:uid="{00000000-0005-0000-0000-0000FD000000}"/>
    <cellStyle name="Warning Text" xfId="32" builtinId="11" customBuiltin="1"/>
    <cellStyle name="Warning Text 2" xfId="163" xr:uid="{00000000-0005-0000-0000-0000FF000000}"/>
  </cellStyles>
  <dxfs count="836"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</dxfs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/>
  </sheetViews>
  <sheetFormatPr defaultColWidth="9.1796875" defaultRowHeight="12.5" x14ac:dyDescent="0.25"/>
  <cols>
    <col min="1" max="1" width="3.7265625" style="9" customWidth="1"/>
    <col min="2" max="3" width="26" style="10" customWidth="1"/>
    <col min="4" max="4" width="100" style="11" customWidth="1"/>
    <col min="5" max="16384" width="9.1796875" style="8"/>
  </cols>
  <sheetData>
    <row r="1" spans="1:4" ht="13" x14ac:dyDescent="0.25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5">
      <c r="A2" s="6"/>
      <c r="B2" s="4"/>
      <c r="C2" s="4"/>
      <c r="D2" s="5"/>
    </row>
    <row r="3" spans="1:4" x14ac:dyDescent="0.25">
      <c r="A3" s="6"/>
      <c r="B3" s="17"/>
      <c r="C3" s="4"/>
      <c r="D3" s="5"/>
    </row>
    <row r="4" spans="1:4" x14ac:dyDescent="0.25">
      <c r="A4" s="6"/>
      <c r="B4" s="17"/>
      <c r="C4" s="4"/>
      <c r="D4" s="5"/>
    </row>
    <row r="5" spans="1:4" x14ac:dyDescent="0.25">
      <c r="A5" s="6"/>
      <c r="B5" s="17"/>
      <c r="C5" s="7"/>
      <c r="D5" s="5"/>
    </row>
    <row r="6" spans="1:4" x14ac:dyDescent="0.25">
      <c r="A6" s="6"/>
      <c r="B6" s="17"/>
      <c r="C6" s="7"/>
      <c r="D6" s="5"/>
    </row>
    <row r="7" spans="1:4" x14ac:dyDescent="0.25">
      <c r="A7" s="6"/>
      <c r="B7" s="7"/>
      <c r="C7" s="7"/>
      <c r="D7" s="5"/>
    </row>
    <row r="8" spans="1:4" x14ac:dyDescent="0.25">
      <c r="A8" s="6"/>
      <c r="B8" s="7"/>
      <c r="C8" s="7"/>
      <c r="D8" s="5"/>
    </row>
    <row r="9" spans="1:4" x14ac:dyDescent="0.25">
      <c r="A9" s="6"/>
      <c r="B9" s="7"/>
      <c r="C9" s="7"/>
      <c r="D9" s="5"/>
    </row>
    <row r="10" spans="1:4" x14ac:dyDescent="0.25">
      <c r="A10" s="6"/>
      <c r="B10" s="7"/>
      <c r="C10" s="7"/>
      <c r="D10" s="5"/>
    </row>
    <row r="11" spans="1:4" x14ac:dyDescent="0.25">
      <c r="A11" s="6"/>
      <c r="B11" s="7"/>
      <c r="C11" s="7"/>
      <c r="D11" s="5"/>
    </row>
    <row r="12" spans="1:4" x14ac:dyDescent="0.25">
      <c r="A12" s="6"/>
      <c r="B12" s="7"/>
      <c r="C12" s="7"/>
      <c r="D12" s="5"/>
    </row>
    <row r="13" spans="1:4" x14ac:dyDescent="0.25">
      <c r="A13" s="6"/>
      <c r="B13" s="7"/>
      <c r="C13" s="7"/>
      <c r="D13" s="5"/>
    </row>
    <row r="14" spans="1:4" x14ac:dyDescent="0.25">
      <c r="A14" s="6"/>
      <c r="B14" s="7"/>
      <c r="C14" s="7"/>
      <c r="D14" s="5"/>
    </row>
    <row r="15" spans="1:4" x14ac:dyDescent="0.25">
      <c r="A15" s="6"/>
      <c r="B15" s="7"/>
      <c r="C15" s="7"/>
      <c r="D15" s="5"/>
    </row>
    <row r="16" spans="1:4" x14ac:dyDescent="0.25">
      <c r="A16" s="6"/>
      <c r="B16" s="7"/>
      <c r="C16" s="7"/>
      <c r="D16" s="5"/>
    </row>
    <row r="17" spans="1:4" x14ac:dyDescent="0.25">
      <c r="A17" s="6"/>
      <c r="B17" s="7"/>
      <c r="C17" s="7"/>
      <c r="D17" s="5"/>
    </row>
    <row r="18" spans="1:4" x14ac:dyDescent="0.25">
      <c r="A18" s="6"/>
      <c r="B18" s="7"/>
      <c r="C18" s="7"/>
      <c r="D18" s="5"/>
    </row>
    <row r="19" spans="1:4" x14ac:dyDescent="0.25">
      <c r="A19" s="6"/>
      <c r="B19" s="7"/>
      <c r="C19" s="7"/>
      <c r="D19" s="5"/>
    </row>
    <row r="20" spans="1:4" x14ac:dyDescent="0.25">
      <c r="A20" s="6"/>
      <c r="B20" s="7"/>
      <c r="C20" s="7"/>
      <c r="D20" s="5"/>
    </row>
    <row r="21" spans="1:4" x14ac:dyDescent="0.25">
      <c r="A21" s="6"/>
      <c r="B21" s="7"/>
      <c r="C21" s="7"/>
      <c r="D21" s="5"/>
    </row>
    <row r="22" spans="1:4" x14ac:dyDescent="0.25">
      <c r="A22" s="6"/>
      <c r="B22" s="7"/>
      <c r="C22" s="7"/>
      <c r="D22" s="5"/>
    </row>
    <row r="23" spans="1:4" x14ac:dyDescent="0.25">
      <c r="A23" s="6"/>
      <c r="B23" s="7"/>
      <c r="C23" s="7"/>
      <c r="D23" s="5"/>
    </row>
    <row r="24" spans="1:4" x14ac:dyDescent="0.25">
      <c r="A24" s="6"/>
      <c r="B24" s="7"/>
      <c r="C24" s="7"/>
      <c r="D24" s="5"/>
    </row>
    <row r="25" spans="1:4" x14ac:dyDescent="0.25">
      <c r="A25" s="6"/>
      <c r="B25" s="7"/>
      <c r="C25" s="7"/>
      <c r="D25" s="5"/>
    </row>
    <row r="26" spans="1:4" x14ac:dyDescent="0.25">
      <c r="A26" s="6"/>
      <c r="B26" s="7"/>
      <c r="C26" s="7"/>
      <c r="D26" s="5"/>
    </row>
    <row r="27" spans="1:4" x14ac:dyDescent="0.25">
      <c r="A27" s="6"/>
      <c r="B27" s="7"/>
      <c r="C27" s="7"/>
      <c r="D27" s="5"/>
    </row>
    <row r="28" spans="1:4" x14ac:dyDescent="0.25">
      <c r="A28" s="6"/>
      <c r="B28" s="7"/>
      <c r="C28" s="7"/>
      <c r="D28" s="5"/>
    </row>
    <row r="29" spans="1:4" x14ac:dyDescent="0.25">
      <c r="A29" s="6"/>
      <c r="B29" s="7"/>
      <c r="C29" s="7"/>
      <c r="D29" s="5"/>
    </row>
    <row r="30" spans="1:4" x14ac:dyDescent="0.25">
      <c r="A30" s="6"/>
      <c r="B30" s="7"/>
      <c r="C30" s="7"/>
      <c r="D30" s="5"/>
    </row>
    <row r="31" spans="1:4" x14ac:dyDescent="0.25">
      <c r="A31" s="6"/>
      <c r="B31" s="7"/>
      <c r="C31" s="7"/>
      <c r="D31" s="5"/>
    </row>
    <row r="32" spans="1:4" x14ac:dyDescent="0.25">
      <c r="A32" s="6"/>
      <c r="B32" s="7"/>
      <c r="C32" s="7"/>
      <c r="D32" s="5"/>
    </row>
    <row r="33" spans="1:4" x14ac:dyDescent="0.25">
      <c r="A33" s="6"/>
      <c r="B33" s="7"/>
      <c r="C33" s="7"/>
      <c r="D33" s="5"/>
    </row>
    <row r="34" spans="1:4" x14ac:dyDescent="0.25">
      <c r="A34" s="6"/>
      <c r="B34" s="7"/>
      <c r="C34" s="7"/>
      <c r="D34" s="5"/>
    </row>
    <row r="35" spans="1:4" x14ac:dyDescent="0.25">
      <c r="A35" s="6"/>
      <c r="B35" s="7"/>
      <c r="C35" s="7"/>
      <c r="D35" s="5"/>
    </row>
    <row r="36" spans="1:4" x14ac:dyDescent="0.25">
      <c r="A36" s="6"/>
      <c r="B36" s="7"/>
      <c r="C36" s="7"/>
      <c r="D36" s="5"/>
    </row>
    <row r="37" spans="1:4" x14ac:dyDescent="0.25">
      <c r="A37" s="6"/>
      <c r="B37" s="7"/>
      <c r="C37" s="7"/>
      <c r="D37" s="5"/>
    </row>
    <row r="38" spans="1:4" x14ac:dyDescent="0.25">
      <c r="A38" s="6"/>
      <c r="B38" s="7"/>
      <c r="C38" s="7"/>
      <c r="D38" s="5"/>
    </row>
    <row r="39" spans="1:4" x14ac:dyDescent="0.25">
      <c r="A39" s="6"/>
      <c r="B39" s="7"/>
      <c r="C39" s="7"/>
      <c r="D39" s="5"/>
    </row>
    <row r="40" spans="1:4" x14ac:dyDescent="0.25">
      <c r="A40" s="6"/>
      <c r="B40" s="7"/>
      <c r="C40" s="7"/>
      <c r="D40" s="5"/>
    </row>
    <row r="41" spans="1:4" x14ac:dyDescent="0.25">
      <c r="A41" s="6"/>
      <c r="B41" s="7"/>
      <c r="C41" s="7"/>
      <c r="D41" s="5"/>
    </row>
    <row r="42" spans="1:4" x14ac:dyDescent="0.25">
      <c r="A42" s="6"/>
      <c r="B42" s="7"/>
      <c r="C42" s="7"/>
      <c r="D42" s="5"/>
    </row>
    <row r="43" spans="1:4" x14ac:dyDescent="0.25">
      <c r="A43" s="6"/>
      <c r="B43" s="7"/>
      <c r="C43" s="7"/>
      <c r="D43" s="5"/>
    </row>
    <row r="44" spans="1:4" x14ac:dyDescent="0.25">
      <c r="A44" s="6"/>
      <c r="B44" s="7"/>
      <c r="C44" s="7"/>
      <c r="D44" s="5"/>
    </row>
    <row r="45" spans="1:4" x14ac:dyDescent="0.25">
      <c r="A45" s="6"/>
      <c r="B45" s="7"/>
      <c r="C45" s="7"/>
      <c r="D45" s="5"/>
    </row>
    <row r="46" spans="1:4" x14ac:dyDescent="0.25">
      <c r="A46" s="6"/>
      <c r="B46" s="7"/>
      <c r="C46" s="7"/>
      <c r="D46" s="5"/>
    </row>
    <row r="47" spans="1:4" x14ac:dyDescent="0.25">
      <c r="A47" s="6"/>
      <c r="B47" s="7"/>
      <c r="C47" s="7"/>
      <c r="D47" s="5"/>
    </row>
    <row r="48" spans="1:4" x14ac:dyDescent="0.25">
      <c r="A48" s="6"/>
      <c r="B48" s="7"/>
      <c r="C48" s="7"/>
      <c r="D48" s="5"/>
    </row>
    <row r="49" spans="1:4" x14ac:dyDescent="0.25">
      <c r="A49" s="6"/>
      <c r="B49" s="7"/>
      <c r="C49" s="7"/>
      <c r="D49" s="5"/>
    </row>
    <row r="50" spans="1:4" x14ac:dyDescent="0.25">
      <c r="A50" s="6"/>
      <c r="B50" s="7"/>
      <c r="C50" s="7"/>
      <c r="D50" s="5"/>
    </row>
    <row r="51" spans="1:4" x14ac:dyDescent="0.25">
      <c r="A51" s="6"/>
      <c r="B51" s="7"/>
      <c r="C51" s="7"/>
      <c r="D51" s="5"/>
    </row>
    <row r="52" spans="1:4" x14ac:dyDescent="0.25">
      <c r="A52" s="6"/>
      <c r="B52" s="7"/>
      <c r="C52" s="7"/>
      <c r="D52" s="5"/>
    </row>
    <row r="53" spans="1:4" x14ac:dyDescent="0.25">
      <c r="A53" s="6"/>
      <c r="B53" s="7"/>
      <c r="C53" s="7"/>
      <c r="D53" s="5"/>
    </row>
    <row r="54" spans="1:4" x14ac:dyDescent="0.25">
      <c r="A54" s="6"/>
      <c r="B54" s="7"/>
      <c r="C54" s="7"/>
      <c r="D54" s="5"/>
    </row>
    <row r="55" spans="1:4" x14ac:dyDescent="0.25">
      <c r="A55" s="6"/>
      <c r="B55" s="7"/>
      <c r="C55" s="7"/>
      <c r="D55" s="5"/>
    </row>
    <row r="56" spans="1:4" x14ac:dyDescent="0.25">
      <c r="A56" s="6"/>
      <c r="B56" s="7"/>
      <c r="C56" s="7"/>
      <c r="D56" s="5"/>
    </row>
    <row r="57" spans="1:4" x14ac:dyDescent="0.25">
      <c r="A57" s="6"/>
      <c r="B57" s="7"/>
      <c r="C57" s="7"/>
      <c r="D57" s="5"/>
    </row>
    <row r="58" spans="1:4" x14ac:dyDescent="0.25">
      <c r="A58" s="6"/>
      <c r="B58" s="7"/>
      <c r="C58" s="7"/>
      <c r="D58" s="5"/>
    </row>
    <row r="59" spans="1:4" x14ac:dyDescent="0.25">
      <c r="A59" s="6"/>
      <c r="B59" s="7"/>
      <c r="C59" s="7"/>
      <c r="D59" s="5"/>
    </row>
    <row r="60" spans="1:4" x14ac:dyDescent="0.25">
      <c r="A60" s="6"/>
      <c r="B60" s="7"/>
      <c r="C60" s="7"/>
      <c r="D60" s="5"/>
    </row>
    <row r="61" spans="1:4" x14ac:dyDescent="0.25">
      <c r="A61" s="6"/>
      <c r="B61" s="7"/>
      <c r="C61" s="7"/>
      <c r="D61" s="5"/>
    </row>
    <row r="62" spans="1:4" x14ac:dyDescent="0.25">
      <c r="A62" s="6"/>
      <c r="B62" s="7"/>
      <c r="C62" s="7"/>
      <c r="D62" s="5"/>
    </row>
    <row r="63" spans="1:4" x14ac:dyDescent="0.25">
      <c r="A63" s="6"/>
      <c r="B63" s="7"/>
      <c r="C63" s="7"/>
      <c r="D63" s="5"/>
    </row>
    <row r="64" spans="1:4" x14ac:dyDescent="0.25">
      <c r="A64" s="6"/>
      <c r="B64" s="7"/>
      <c r="C64" s="7"/>
      <c r="D64" s="5"/>
    </row>
    <row r="65" spans="1:4" x14ac:dyDescent="0.25">
      <c r="A65" s="6"/>
      <c r="B65" s="7"/>
      <c r="C65" s="7"/>
      <c r="D65" s="5"/>
    </row>
    <row r="66" spans="1:4" x14ac:dyDescent="0.25">
      <c r="A66" s="6"/>
      <c r="B66" s="7"/>
      <c r="C66" s="7"/>
      <c r="D66" s="5"/>
    </row>
    <row r="67" spans="1:4" x14ac:dyDescent="0.25">
      <c r="A67" s="6"/>
      <c r="B67" s="7"/>
      <c r="C67" s="7"/>
      <c r="D67" s="5"/>
    </row>
    <row r="68" spans="1:4" x14ac:dyDescent="0.25">
      <c r="A68" s="6"/>
      <c r="B68" s="7"/>
      <c r="C68" s="7"/>
      <c r="D68" s="5"/>
    </row>
    <row r="69" spans="1:4" x14ac:dyDescent="0.25">
      <c r="A69" s="6"/>
      <c r="B69" s="7"/>
      <c r="C69" s="7"/>
      <c r="D69" s="5"/>
    </row>
    <row r="70" spans="1:4" x14ac:dyDescent="0.25">
      <c r="A70" s="6"/>
      <c r="B70" s="7"/>
      <c r="C70" s="7"/>
      <c r="D70" s="5"/>
    </row>
    <row r="71" spans="1:4" x14ac:dyDescent="0.25">
      <c r="A71" s="6"/>
      <c r="B71" s="7"/>
      <c r="C71" s="7"/>
      <c r="D71" s="5"/>
    </row>
    <row r="72" spans="1:4" x14ac:dyDescent="0.25">
      <c r="A72" s="6"/>
      <c r="B72" s="7"/>
      <c r="C72" s="7"/>
      <c r="D72" s="5"/>
    </row>
    <row r="73" spans="1:4" x14ac:dyDescent="0.25">
      <c r="A73" s="6"/>
      <c r="B73" s="7"/>
      <c r="C73" s="7"/>
      <c r="D73" s="5"/>
    </row>
    <row r="74" spans="1:4" x14ac:dyDescent="0.25">
      <c r="A74" s="6"/>
      <c r="B74" s="7"/>
      <c r="C74" s="7"/>
      <c r="D74" s="5"/>
    </row>
    <row r="75" spans="1:4" x14ac:dyDescent="0.25">
      <c r="A75" s="6"/>
      <c r="B75" s="7"/>
      <c r="C75" s="7"/>
      <c r="D75" s="5"/>
    </row>
    <row r="76" spans="1:4" x14ac:dyDescent="0.25">
      <c r="A76" s="6"/>
      <c r="B76" s="7"/>
      <c r="C76" s="7"/>
      <c r="D76" s="5"/>
    </row>
    <row r="77" spans="1:4" x14ac:dyDescent="0.25">
      <c r="A77" s="6"/>
      <c r="B77" s="7"/>
      <c r="C77" s="7"/>
      <c r="D77" s="5"/>
    </row>
    <row r="78" spans="1:4" x14ac:dyDescent="0.25">
      <c r="A78" s="6"/>
      <c r="B78" s="7"/>
      <c r="C78" s="7"/>
      <c r="D78" s="5"/>
    </row>
    <row r="79" spans="1:4" x14ac:dyDescent="0.25">
      <c r="A79" s="6"/>
      <c r="B79" s="7"/>
      <c r="C79" s="7"/>
      <c r="D79" s="5"/>
    </row>
    <row r="80" spans="1:4" x14ac:dyDescent="0.25">
      <c r="A80" s="6"/>
      <c r="B80" s="7"/>
      <c r="C80" s="7"/>
      <c r="D80" s="5"/>
    </row>
    <row r="81" spans="1:4" x14ac:dyDescent="0.25">
      <c r="A81" s="6"/>
      <c r="B81" s="7"/>
      <c r="C81" s="7"/>
      <c r="D81" s="5"/>
    </row>
    <row r="82" spans="1:4" x14ac:dyDescent="0.25">
      <c r="A82" s="6"/>
      <c r="B82" s="7"/>
      <c r="C82" s="7"/>
      <c r="D82" s="5"/>
    </row>
    <row r="83" spans="1:4" x14ac:dyDescent="0.25">
      <c r="A83" s="6"/>
      <c r="B83" s="7"/>
      <c r="C83" s="7"/>
      <c r="D83" s="5"/>
    </row>
    <row r="84" spans="1:4" x14ac:dyDescent="0.25">
      <c r="A84" s="6"/>
      <c r="B84" s="7"/>
      <c r="C84" s="7"/>
      <c r="D84" s="5"/>
    </row>
    <row r="85" spans="1:4" x14ac:dyDescent="0.25">
      <c r="A85" s="6"/>
      <c r="B85" s="7"/>
      <c r="C85" s="7"/>
      <c r="D85" s="5"/>
    </row>
    <row r="86" spans="1:4" x14ac:dyDescent="0.25">
      <c r="A86" s="6"/>
      <c r="B86" s="7"/>
      <c r="C86" s="7"/>
      <c r="D86" s="5"/>
    </row>
    <row r="87" spans="1:4" x14ac:dyDescent="0.25">
      <c r="A87" s="6"/>
      <c r="B87" s="7"/>
      <c r="C87" s="7"/>
      <c r="D87" s="5"/>
    </row>
    <row r="88" spans="1:4" x14ac:dyDescent="0.25">
      <c r="A88" s="6"/>
      <c r="B88" s="7"/>
      <c r="C88" s="7"/>
      <c r="D88" s="5"/>
    </row>
    <row r="89" spans="1:4" x14ac:dyDescent="0.25">
      <c r="A89" s="6"/>
      <c r="B89" s="7"/>
      <c r="C89" s="7"/>
      <c r="D89" s="5"/>
    </row>
    <row r="90" spans="1:4" x14ac:dyDescent="0.25">
      <c r="A90" s="6"/>
      <c r="B90" s="7"/>
      <c r="C90" s="7"/>
      <c r="D90" s="5"/>
    </row>
    <row r="91" spans="1:4" x14ac:dyDescent="0.25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showGridLines="0" zoomScaleNormal="100" workbookViewId="0"/>
  </sheetViews>
  <sheetFormatPr defaultColWidth="15.7265625" defaultRowHeight="12.5" x14ac:dyDescent="0.25"/>
  <cols>
    <col min="1" max="1" width="15.7265625" style="8" customWidth="1"/>
    <col min="2" max="2" width="30.7265625" style="8" customWidth="1"/>
  </cols>
  <sheetData>
    <row r="1" spans="1:3" ht="15.75" customHeight="1" x14ac:dyDescent="0.25">
      <c r="B1" s="22" t="s">
        <v>4</v>
      </c>
    </row>
    <row r="2" spans="1:3" ht="12.75" customHeight="1" x14ac:dyDescent="0.5">
      <c r="A2" s="21"/>
      <c r="B2" s="21"/>
      <c r="C2" s="21"/>
    </row>
    <row r="4" spans="1:3" x14ac:dyDescent="0.25">
      <c r="A4" s="19" t="s">
        <v>31</v>
      </c>
    </row>
    <row r="5" spans="1:3" x14ac:dyDescent="0.25">
      <c r="A5"/>
      <c r="B5" s="18" t="s">
        <v>13</v>
      </c>
    </row>
    <row r="6" spans="1:3" x14ac:dyDescent="0.25">
      <c r="A6"/>
    </row>
    <row r="7" spans="1:3" x14ac:dyDescent="0.25">
      <c r="A7" s="19" t="s">
        <v>30</v>
      </c>
    </row>
    <row r="8" spans="1:3" x14ac:dyDescent="0.25">
      <c r="A8"/>
      <c r="B8" s="18" t="s">
        <v>27</v>
      </c>
    </row>
    <row r="9" spans="1:3" x14ac:dyDescent="0.25">
      <c r="A9"/>
      <c r="B9" s="18"/>
    </row>
    <row r="10" spans="1:3" x14ac:dyDescent="0.25">
      <c r="A10" s="19" t="s">
        <v>29</v>
      </c>
    </row>
    <row r="11" spans="1:3" x14ac:dyDescent="0.25">
      <c r="A11"/>
      <c r="B11" s="18" t="s">
        <v>28</v>
      </c>
    </row>
    <row r="12" spans="1:3" x14ac:dyDescent="0.25">
      <c r="A12"/>
      <c r="B12" s="18"/>
    </row>
  </sheetData>
  <hyperlinks>
    <hyperlink ref="B5" location="base_lapse_rate" display="Base Lapse Rate Tables" xr:uid="{00000000-0004-0000-0100-000000000000}"/>
    <hyperlink ref="B8" location="fpw_util_tables" display="Base Product Free Partial Withdrawal Utilization Rate Tables" xr:uid="{00000000-0004-0000-0100-000001000000}"/>
    <hyperlink ref="B11" location="ann_rate_tables" display="Annutization Rate Tables" xr:uid="{00000000-0004-0000-0100-000002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Z36"/>
  <sheetViews>
    <sheetView tabSelected="1" zoomScale="70" zoomScaleNormal="70" workbookViewId="0">
      <pane xSplit="2" ySplit="6" topLeftCell="C19" activePane="bottomRight" state="frozen"/>
      <selection pane="topRight" activeCell="C1" sqref="C1"/>
      <selection pane="bottomLeft" activeCell="A7" sqref="A7"/>
      <selection pane="bottomRight" activeCell="I30" sqref="I30"/>
    </sheetView>
  </sheetViews>
  <sheetFormatPr defaultRowHeight="12.5" outlineLevelCol="1" x14ac:dyDescent="0.25"/>
  <cols>
    <col min="1" max="1" width="9.81640625" bestFit="1" customWidth="1"/>
    <col min="2" max="2" width="9.1796875" style="37"/>
    <col min="3" max="8" width="8.7265625" customWidth="1" outlineLevel="1"/>
    <col min="9" max="9" width="11.7265625" customWidth="1" outlineLevel="1"/>
    <col min="10" max="10" width="8.7265625" customWidth="1" outlineLevel="1"/>
    <col min="11" max="11" width="10.26953125" customWidth="1" outlineLevel="1"/>
    <col min="12" max="12" width="10.453125" customWidth="1" outlineLevel="1"/>
    <col min="13" max="17" width="8.7265625" customWidth="1" outlineLevel="1"/>
    <col min="18" max="18" width="10.453125" customWidth="1" outlineLevel="1"/>
    <col min="19" max="31" width="8.7265625" customWidth="1" outlineLevel="1"/>
    <col min="32" max="34" width="9.81640625" customWidth="1" outlineLevel="1"/>
    <col min="35" max="35" width="10.453125" customWidth="1" outlineLevel="1"/>
    <col min="36" max="36" width="12.54296875" customWidth="1" outlineLevel="1"/>
    <col min="37" max="37" width="10.453125" customWidth="1" outlineLevel="1"/>
    <col min="38" max="38" width="8.7265625" customWidth="1" outlineLevel="1"/>
    <col min="39" max="39" width="11.453125" customWidth="1" outlineLevel="1"/>
    <col min="40" max="46" width="8.7265625" customWidth="1" outlineLevel="1"/>
    <col min="47" max="60" width="10.54296875" style="54" customWidth="1" outlineLevel="1"/>
    <col min="61" max="61" width="12.453125" style="54" customWidth="1" outlineLevel="1"/>
    <col min="62" max="62" width="12.26953125" style="54" customWidth="1" outlineLevel="1"/>
    <col min="63" max="63" width="13.26953125" style="54" customWidth="1" outlineLevel="1"/>
    <col min="64" max="64" width="16.453125" style="54" customWidth="1" outlineLevel="1"/>
    <col min="65" max="65" width="8.7265625" style="72" customWidth="1" outlineLevel="1"/>
    <col min="66" max="66" width="9.81640625" style="72" customWidth="1" outlineLevel="1"/>
    <col min="67" max="67" width="10.1796875" style="72" customWidth="1" outlineLevel="1"/>
    <col min="68" max="85" width="8.7265625" style="72" customWidth="1" outlineLevel="1"/>
    <col min="86" max="86" width="9.1796875"/>
    <col min="88" max="88" width="9.1796875" collapsed="1"/>
  </cols>
  <sheetData>
    <row r="1" spans="1:104" ht="15.5" x14ac:dyDescent="0.25">
      <c r="A1" s="14" t="s">
        <v>6</v>
      </c>
      <c r="B1" s="13" t="s">
        <v>13</v>
      </c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</row>
    <row r="2" spans="1:104" ht="15.5" x14ac:dyDescent="0.25">
      <c r="A2" s="14"/>
      <c r="B2" s="1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CE2" s="72" t="s">
        <v>126</v>
      </c>
      <c r="CH2" s="121"/>
      <c r="CI2" s="121"/>
      <c r="CJ2" s="119"/>
      <c r="CK2" s="108"/>
      <c r="CL2" s="108"/>
      <c r="CM2" s="121"/>
      <c r="CN2" s="121"/>
      <c r="CO2" s="121"/>
      <c r="CP2" s="121"/>
      <c r="CQ2" s="121"/>
      <c r="CR2" s="121"/>
      <c r="CS2" s="121"/>
      <c r="CT2" s="121"/>
      <c r="CU2" s="121"/>
      <c r="CV2" s="121"/>
      <c r="CW2" s="121"/>
      <c r="CX2" s="121"/>
      <c r="CY2" s="121"/>
      <c r="CZ2" s="121"/>
    </row>
    <row r="3" spans="1:104" ht="13" x14ac:dyDescent="0.25">
      <c r="A3" s="15"/>
      <c r="B3" s="16" t="str">
        <f ca="1">GetNameRange(B5)</f>
        <v>base_lapse_rate</v>
      </c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55"/>
      <c r="BF3" s="55"/>
      <c r="BG3" s="55"/>
      <c r="BH3" s="55"/>
      <c r="BI3" s="55"/>
      <c r="BJ3" s="55"/>
      <c r="BK3" s="55"/>
      <c r="BL3" s="77"/>
      <c r="CE3" s="72" t="s">
        <v>125</v>
      </c>
      <c r="CF3" s="72" t="s">
        <v>125</v>
      </c>
      <c r="CG3" s="72" t="s">
        <v>125</v>
      </c>
      <c r="CH3" s="87"/>
      <c r="CI3" s="87"/>
      <c r="CJ3" s="87"/>
      <c r="CK3" s="87"/>
      <c r="CL3" s="87"/>
      <c r="CM3" s="87"/>
      <c r="CN3" s="87"/>
      <c r="CO3" s="87"/>
      <c r="CP3" s="87"/>
      <c r="CQ3" s="87"/>
      <c r="CR3" s="87"/>
      <c r="CS3" s="87"/>
      <c r="CT3" s="87"/>
      <c r="CU3" s="87"/>
      <c r="CV3" s="87"/>
      <c r="CW3" s="87"/>
      <c r="CX3" s="87"/>
      <c r="CY3" s="87"/>
      <c r="CZ3" s="87"/>
    </row>
    <row r="4" spans="1:104" ht="50" x14ac:dyDescent="0.25">
      <c r="A4" s="15" t="s">
        <v>7</v>
      </c>
      <c r="B4" s="34" t="s">
        <v>9</v>
      </c>
      <c r="C4" s="60" t="s">
        <v>66</v>
      </c>
      <c r="D4" s="60" t="s">
        <v>66</v>
      </c>
      <c r="E4" s="60" t="s">
        <v>162</v>
      </c>
      <c r="F4" s="60" t="s">
        <v>162</v>
      </c>
      <c r="G4" s="60" t="s">
        <v>163</v>
      </c>
      <c r="H4" s="60" t="s">
        <v>163</v>
      </c>
      <c r="I4" s="60" t="s">
        <v>178</v>
      </c>
      <c r="J4" s="60" t="s">
        <v>178</v>
      </c>
      <c r="K4" s="60" t="s">
        <v>67</v>
      </c>
      <c r="L4" s="60" t="s">
        <v>67</v>
      </c>
      <c r="M4" s="60" t="s">
        <v>158</v>
      </c>
      <c r="N4" s="60" t="s">
        <v>158</v>
      </c>
      <c r="O4" s="60" t="s">
        <v>159</v>
      </c>
      <c r="P4" s="60" t="s">
        <v>159</v>
      </c>
      <c r="Q4" s="60" t="s">
        <v>111</v>
      </c>
      <c r="R4" s="60" t="s">
        <v>113</v>
      </c>
      <c r="S4" s="60" t="s">
        <v>112</v>
      </c>
      <c r="T4" s="60" t="s">
        <v>70</v>
      </c>
      <c r="U4" s="60" t="s">
        <v>70</v>
      </c>
      <c r="V4" s="60" t="s">
        <v>160</v>
      </c>
      <c r="W4" s="60" t="s">
        <v>160</v>
      </c>
      <c r="X4" s="60" t="s">
        <v>161</v>
      </c>
      <c r="Y4" s="60" t="s">
        <v>161</v>
      </c>
      <c r="Z4" s="60" t="s">
        <v>71</v>
      </c>
      <c r="AA4" s="60" t="s">
        <v>71</v>
      </c>
      <c r="AB4" s="60" t="s">
        <v>154</v>
      </c>
      <c r="AC4" s="60" t="s">
        <v>154</v>
      </c>
      <c r="AD4" s="60" t="s">
        <v>155</v>
      </c>
      <c r="AE4" s="60" t="s">
        <v>155</v>
      </c>
      <c r="AF4" s="60" t="s">
        <v>73</v>
      </c>
      <c r="AG4" s="60" t="s">
        <v>156</v>
      </c>
      <c r="AH4" s="60" t="s">
        <v>157</v>
      </c>
      <c r="AI4" s="60" t="s">
        <v>74</v>
      </c>
      <c r="AJ4" s="60" t="s">
        <v>164</v>
      </c>
      <c r="AK4" s="60" t="s">
        <v>165</v>
      </c>
      <c r="AL4" s="60" t="s">
        <v>114</v>
      </c>
      <c r="AM4" s="60" t="s">
        <v>116</v>
      </c>
      <c r="AN4" s="60" t="s">
        <v>115</v>
      </c>
      <c r="AO4" s="60" t="s">
        <v>75</v>
      </c>
      <c r="AP4" s="60" t="s">
        <v>166</v>
      </c>
      <c r="AQ4" s="60" t="s">
        <v>167</v>
      </c>
      <c r="AR4" s="60" t="s">
        <v>89</v>
      </c>
      <c r="AS4" s="60" t="s">
        <v>140</v>
      </c>
      <c r="AT4" s="60" t="s">
        <v>141</v>
      </c>
      <c r="AU4" s="78" t="s">
        <v>20</v>
      </c>
      <c r="AV4" s="78" t="s">
        <v>20</v>
      </c>
      <c r="AW4" s="78" t="s">
        <v>21</v>
      </c>
      <c r="AX4" s="78" t="s">
        <v>21</v>
      </c>
      <c r="AY4" s="78" t="s">
        <v>54</v>
      </c>
      <c r="AZ4" s="78" t="s">
        <v>54</v>
      </c>
      <c r="BA4" s="78" t="s">
        <v>56</v>
      </c>
      <c r="BB4" s="78" t="s">
        <v>56</v>
      </c>
      <c r="BC4" s="78" t="s">
        <v>22</v>
      </c>
      <c r="BD4" s="78" t="s">
        <v>22</v>
      </c>
      <c r="BE4" s="78" t="s">
        <v>11</v>
      </c>
      <c r="BF4" s="78" t="s">
        <v>11</v>
      </c>
      <c r="BG4" s="78" t="s">
        <v>55</v>
      </c>
      <c r="BH4" s="78" t="s">
        <v>55</v>
      </c>
      <c r="BI4" s="78" t="s">
        <v>23</v>
      </c>
      <c r="BJ4" s="78" t="s">
        <v>24</v>
      </c>
      <c r="BK4" s="78" t="s">
        <v>12</v>
      </c>
      <c r="BL4" s="78" t="s">
        <v>78</v>
      </c>
      <c r="BM4" s="73" t="s">
        <v>90</v>
      </c>
      <c r="BN4" s="73" t="s">
        <v>72</v>
      </c>
      <c r="BO4" s="73" t="s">
        <v>72</v>
      </c>
      <c r="BP4" s="73" t="s">
        <v>68</v>
      </c>
      <c r="BQ4" s="73" t="s">
        <v>68</v>
      </c>
      <c r="BR4" s="73" t="s">
        <v>69</v>
      </c>
      <c r="BS4" s="73" t="s">
        <v>69</v>
      </c>
      <c r="BT4" s="73" t="s">
        <v>91</v>
      </c>
      <c r="BU4" s="73" t="s">
        <v>92</v>
      </c>
      <c r="BV4" s="73" t="s">
        <v>93</v>
      </c>
      <c r="BW4" s="73" t="s">
        <v>96</v>
      </c>
      <c r="BX4" s="73" t="s">
        <v>94</v>
      </c>
      <c r="BY4" s="73" t="s">
        <v>95</v>
      </c>
      <c r="BZ4" s="73" t="s">
        <v>142</v>
      </c>
      <c r="CA4" s="73" t="s">
        <v>143</v>
      </c>
      <c r="CB4" s="73" t="s">
        <v>81</v>
      </c>
      <c r="CC4" s="73" t="s">
        <v>83</v>
      </c>
      <c r="CD4" s="73" t="s">
        <v>82</v>
      </c>
      <c r="CE4" s="73" t="s">
        <v>117</v>
      </c>
      <c r="CF4" s="73" t="s">
        <v>118</v>
      </c>
      <c r="CG4" s="73" t="s">
        <v>119</v>
      </c>
      <c r="CH4" s="88" t="s">
        <v>180</v>
      </c>
      <c r="CI4" s="88" t="s">
        <v>185</v>
      </c>
      <c r="CJ4" s="88" t="s">
        <v>220</v>
      </c>
      <c r="CK4" s="88" t="s">
        <v>217</v>
      </c>
      <c r="CL4" s="88" t="s">
        <v>218</v>
      </c>
      <c r="CM4" s="88" t="s">
        <v>197</v>
      </c>
      <c r="CN4" s="88" t="s">
        <v>198</v>
      </c>
      <c r="CO4" s="88" t="s">
        <v>199</v>
      </c>
      <c r="CP4" s="88" t="s">
        <v>200</v>
      </c>
      <c r="CQ4" s="88" t="s">
        <v>201</v>
      </c>
      <c r="CR4" s="88" t="s">
        <v>202</v>
      </c>
      <c r="CS4" s="88" t="s">
        <v>203</v>
      </c>
      <c r="CT4" s="88" t="s">
        <v>204</v>
      </c>
      <c r="CU4" s="88" t="s">
        <v>205</v>
      </c>
      <c r="CV4" s="88" t="s">
        <v>206</v>
      </c>
      <c r="CW4" s="88" t="s">
        <v>207</v>
      </c>
      <c r="CX4" s="88" t="s">
        <v>208</v>
      </c>
      <c r="CY4" s="88" t="s">
        <v>209</v>
      </c>
      <c r="CZ4" s="88" t="s">
        <v>210</v>
      </c>
    </row>
    <row r="5" spans="1:104" ht="13" x14ac:dyDescent="0.25">
      <c r="A5" s="23"/>
      <c r="B5" s="35" t="s">
        <v>10</v>
      </c>
      <c r="C5" s="60">
        <v>0</v>
      </c>
      <c r="D5" s="60">
        <v>70</v>
      </c>
      <c r="E5" s="60">
        <v>0</v>
      </c>
      <c r="F5" s="60">
        <v>70</v>
      </c>
      <c r="G5" s="60">
        <v>0</v>
      </c>
      <c r="H5" s="60">
        <v>70</v>
      </c>
      <c r="I5" s="60">
        <v>0</v>
      </c>
      <c r="J5" s="60">
        <v>70</v>
      </c>
      <c r="K5" s="60">
        <v>0</v>
      </c>
      <c r="L5" s="60">
        <v>70</v>
      </c>
      <c r="M5" s="60">
        <v>0</v>
      </c>
      <c r="N5" s="60">
        <v>70</v>
      </c>
      <c r="O5" s="60">
        <v>0</v>
      </c>
      <c r="P5" s="60">
        <v>70</v>
      </c>
      <c r="Q5" s="60">
        <v>0</v>
      </c>
      <c r="R5" s="60">
        <v>0</v>
      </c>
      <c r="S5" s="60">
        <v>0</v>
      </c>
      <c r="T5" s="60">
        <v>0</v>
      </c>
      <c r="U5" s="60">
        <v>70</v>
      </c>
      <c r="V5" s="60">
        <v>0</v>
      </c>
      <c r="W5" s="60">
        <v>70</v>
      </c>
      <c r="X5" s="60">
        <v>0</v>
      </c>
      <c r="Y5" s="60">
        <v>70</v>
      </c>
      <c r="Z5" s="60">
        <v>0</v>
      </c>
      <c r="AA5" s="60">
        <v>70</v>
      </c>
      <c r="AB5" s="60">
        <v>0</v>
      </c>
      <c r="AC5" s="60">
        <v>70</v>
      </c>
      <c r="AD5" s="60">
        <v>0</v>
      </c>
      <c r="AE5" s="60">
        <v>70</v>
      </c>
      <c r="AF5" s="60">
        <v>0</v>
      </c>
      <c r="AG5" s="60">
        <v>0</v>
      </c>
      <c r="AH5" s="60">
        <v>0</v>
      </c>
      <c r="AI5" s="60">
        <v>0</v>
      </c>
      <c r="AJ5" s="60">
        <v>0</v>
      </c>
      <c r="AK5" s="60">
        <v>0</v>
      </c>
      <c r="AL5" s="60">
        <v>0</v>
      </c>
      <c r="AM5" s="60">
        <v>0</v>
      </c>
      <c r="AN5" s="60">
        <v>0</v>
      </c>
      <c r="AO5" s="60">
        <v>0</v>
      </c>
      <c r="AP5" s="60">
        <v>0</v>
      </c>
      <c r="AQ5" s="60">
        <v>0</v>
      </c>
      <c r="AR5" s="60">
        <v>0</v>
      </c>
      <c r="AS5" s="60">
        <v>0</v>
      </c>
      <c r="AT5" s="60">
        <v>0</v>
      </c>
      <c r="AU5" s="78">
        <v>0</v>
      </c>
      <c r="AV5" s="78">
        <v>70</v>
      </c>
      <c r="AW5" s="78">
        <v>0</v>
      </c>
      <c r="AX5" s="78">
        <v>70</v>
      </c>
      <c r="AY5" s="78">
        <v>0</v>
      </c>
      <c r="AZ5" s="78">
        <v>70</v>
      </c>
      <c r="BA5" s="78">
        <v>0</v>
      </c>
      <c r="BB5" s="78">
        <v>70</v>
      </c>
      <c r="BC5" s="78">
        <v>0</v>
      </c>
      <c r="BD5" s="78">
        <v>70</v>
      </c>
      <c r="BE5" s="78">
        <v>0</v>
      </c>
      <c r="BF5" s="78">
        <v>70</v>
      </c>
      <c r="BG5" s="78">
        <v>0</v>
      </c>
      <c r="BH5" s="78">
        <v>70</v>
      </c>
      <c r="BI5" s="78">
        <v>0</v>
      </c>
      <c r="BJ5" s="78">
        <v>0</v>
      </c>
      <c r="BK5" s="78">
        <v>0</v>
      </c>
      <c r="BL5" s="78">
        <v>0</v>
      </c>
      <c r="BM5" s="73">
        <v>0</v>
      </c>
      <c r="BN5" s="73">
        <v>0</v>
      </c>
      <c r="BO5" s="73">
        <v>70</v>
      </c>
      <c r="BP5" s="73">
        <v>0</v>
      </c>
      <c r="BQ5" s="73">
        <v>70</v>
      </c>
      <c r="BR5" s="73">
        <v>0</v>
      </c>
      <c r="BS5" s="73">
        <v>70</v>
      </c>
      <c r="BT5" s="73">
        <v>0</v>
      </c>
      <c r="BU5" s="73">
        <v>0</v>
      </c>
      <c r="BV5" s="73">
        <v>0</v>
      </c>
      <c r="BW5" s="73">
        <v>0</v>
      </c>
      <c r="BX5" s="73">
        <v>0</v>
      </c>
      <c r="BY5" s="73">
        <v>0</v>
      </c>
      <c r="BZ5" s="73">
        <v>0</v>
      </c>
      <c r="CA5" s="73">
        <v>0</v>
      </c>
      <c r="CB5" s="73">
        <v>0</v>
      </c>
      <c r="CC5" s="73">
        <v>0</v>
      </c>
      <c r="CD5" s="73">
        <v>0</v>
      </c>
      <c r="CE5" s="73">
        <v>0</v>
      </c>
      <c r="CF5" s="73">
        <v>0</v>
      </c>
      <c r="CG5" s="73">
        <v>0</v>
      </c>
      <c r="CH5" s="88">
        <v>0</v>
      </c>
      <c r="CI5" s="88">
        <v>0</v>
      </c>
      <c r="CJ5" s="88">
        <v>0</v>
      </c>
      <c r="CK5" s="88">
        <v>0</v>
      </c>
      <c r="CL5" s="88">
        <v>0</v>
      </c>
      <c r="CM5" s="88">
        <v>0</v>
      </c>
      <c r="CN5" s="88">
        <v>0</v>
      </c>
      <c r="CO5" s="88">
        <v>0</v>
      </c>
      <c r="CP5" s="88">
        <v>0</v>
      </c>
      <c r="CQ5" s="88">
        <v>0</v>
      </c>
      <c r="CR5" s="88">
        <v>0</v>
      </c>
      <c r="CS5" s="88">
        <v>0</v>
      </c>
      <c r="CT5" s="88">
        <v>0</v>
      </c>
      <c r="CU5" s="88">
        <v>0</v>
      </c>
      <c r="CV5" s="88">
        <v>0</v>
      </c>
      <c r="CW5" s="88">
        <v>0</v>
      </c>
      <c r="CX5" s="88">
        <v>0</v>
      </c>
      <c r="CY5" s="88">
        <v>0</v>
      </c>
      <c r="CZ5" s="88">
        <v>0</v>
      </c>
    </row>
    <row r="6" spans="1:104" ht="13" x14ac:dyDescent="0.3">
      <c r="A6" s="23" t="s">
        <v>5</v>
      </c>
      <c r="B6" s="43" t="s">
        <v>8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</row>
    <row r="7" spans="1:104" x14ac:dyDescent="0.25">
      <c r="A7" s="15"/>
      <c r="B7" s="36">
        <v>1</v>
      </c>
      <c r="C7" s="62">
        <v>5.0000000000000001E-3</v>
      </c>
      <c r="D7" s="62">
        <v>5.0000000000000001E-3</v>
      </c>
      <c r="E7" s="62">
        <f>C7*0.8</f>
        <v>4.0000000000000001E-3</v>
      </c>
      <c r="F7" s="62">
        <f>D7*0.8</f>
        <v>4.0000000000000001E-3</v>
      </c>
      <c r="G7" s="62">
        <f>C7*1.2</f>
        <v>6.0000000000000001E-3</v>
      </c>
      <c r="H7" s="62">
        <f>D7*1.2</f>
        <v>6.0000000000000001E-3</v>
      </c>
      <c r="I7" s="62">
        <v>0</v>
      </c>
      <c r="J7" s="62">
        <v>0</v>
      </c>
      <c r="K7" s="62">
        <v>5.0000000000000001E-3</v>
      </c>
      <c r="L7" s="62">
        <v>5.0000000000000001E-3</v>
      </c>
      <c r="M7" s="62">
        <f>$K7*0.8</f>
        <v>4.0000000000000001E-3</v>
      </c>
      <c r="N7" s="62">
        <f>$L7*0.8</f>
        <v>4.0000000000000001E-3</v>
      </c>
      <c r="O7" s="62">
        <f>$K7*1.2</f>
        <v>6.0000000000000001E-3</v>
      </c>
      <c r="P7" s="62">
        <f>$L7*1.2</f>
        <v>6.0000000000000001E-3</v>
      </c>
      <c r="Q7" s="63">
        <v>1.4E-2</v>
      </c>
      <c r="R7" s="65">
        <f t="shared" ref="R7:R21" si="0">Q7*0.8</f>
        <v>1.1200000000000002E-2</v>
      </c>
      <c r="S7" s="65">
        <f>Q7*1.2</f>
        <v>1.6799999999999999E-2</v>
      </c>
      <c r="T7" s="63">
        <v>5.0000000000000001E-3</v>
      </c>
      <c r="U7" s="63">
        <v>5.0000000000000001E-3</v>
      </c>
      <c r="V7" s="63">
        <f>T7*0.8</f>
        <v>4.0000000000000001E-3</v>
      </c>
      <c r="W7" s="63">
        <f>U7*0.8</f>
        <v>4.0000000000000001E-3</v>
      </c>
      <c r="X7" s="63">
        <f>T7*1.2</f>
        <v>6.0000000000000001E-3</v>
      </c>
      <c r="Y7" s="63">
        <f>U7*1.2</f>
        <v>6.0000000000000001E-3</v>
      </c>
      <c r="Z7" s="63">
        <v>5.0000000000000001E-3</v>
      </c>
      <c r="AA7" s="63">
        <v>5.0000000000000001E-3</v>
      </c>
      <c r="AB7" s="63">
        <f>Z7*0.8</f>
        <v>4.0000000000000001E-3</v>
      </c>
      <c r="AC7" s="63">
        <f>AA7*0.8</f>
        <v>4.0000000000000001E-3</v>
      </c>
      <c r="AD7" s="63">
        <f>Z7*1.2</f>
        <v>6.0000000000000001E-3</v>
      </c>
      <c r="AE7" s="63">
        <f>AA7*1.2</f>
        <v>6.0000000000000001E-3</v>
      </c>
      <c r="AF7" s="63">
        <v>7.4999999999999997E-3</v>
      </c>
      <c r="AG7" s="63">
        <f>AF7*0.8</f>
        <v>6.0000000000000001E-3</v>
      </c>
      <c r="AH7" s="63">
        <f>AF7*1.2</f>
        <v>8.9999999999999993E-3</v>
      </c>
      <c r="AI7" s="63">
        <v>5.0000000000000001E-3</v>
      </c>
      <c r="AJ7" s="63">
        <f>AI7*0.8</f>
        <v>4.0000000000000001E-3</v>
      </c>
      <c r="AK7" s="63">
        <f>AI7*1.2</f>
        <v>6.0000000000000001E-3</v>
      </c>
      <c r="AL7" s="63">
        <v>1.2999999999999999E-2</v>
      </c>
      <c r="AM7" s="63">
        <f t="shared" ref="AM7:AM21" si="1">AL7*0.8</f>
        <v>1.04E-2</v>
      </c>
      <c r="AN7" s="63">
        <f>AL7*1.2</f>
        <v>1.5599999999999999E-2</v>
      </c>
      <c r="AO7" s="63">
        <v>7.4999999999999997E-3</v>
      </c>
      <c r="AP7" s="63">
        <f>AO7*0.8</f>
        <v>6.0000000000000001E-3</v>
      </c>
      <c r="AQ7" s="63">
        <f>AO7*1.2</f>
        <v>8.9999999999999993E-3</v>
      </c>
      <c r="AR7" s="63">
        <v>7.4999999999999997E-3</v>
      </c>
      <c r="AS7" s="63">
        <f>$AR7*0.8</f>
        <v>6.0000000000000001E-3</v>
      </c>
      <c r="AT7" s="63">
        <f>$AR7*1.2</f>
        <v>8.9999999999999993E-3</v>
      </c>
      <c r="AU7" s="80">
        <v>0.03</v>
      </c>
      <c r="AV7" s="80">
        <v>0.03</v>
      </c>
      <c r="AW7" s="80">
        <v>0.03</v>
      </c>
      <c r="AX7" s="80">
        <v>0.03</v>
      </c>
      <c r="AY7" s="80">
        <v>3.17045455E-2</v>
      </c>
      <c r="AZ7" s="80">
        <v>3.17045455E-2</v>
      </c>
      <c r="BA7" s="80">
        <v>3.1E-2</v>
      </c>
      <c r="BB7" s="80">
        <v>3.1E-2</v>
      </c>
      <c r="BC7" s="80">
        <v>0.03</v>
      </c>
      <c r="BD7" s="80">
        <v>0.03</v>
      </c>
      <c r="BE7" s="81">
        <v>0.03</v>
      </c>
      <c r="BF7" s="81">
        <v>0.03</v>
      </c>
      <c r="BG7" s="81">
        <v>3.3333333299999997E-2</v>
      </c>
      <c r="BH7" s="81">
        <v>3.3333333299999997E-2</v>
      </c>
      <c r="BI7" s="81">
        <v>8.0000000000000002E-3</v>
      </c>
      <c r="BJ7" s="81">
        <v>5.0000000000000001E-3</v>
      </c>
      <c r="BK7" s="81">
        <v>0.01</v>
      </c>
      <c r="BL7" s="81">
        <v>0.02</v>
      </c>
      <c r="BM7" s="75">
        <v>5.0000000000000001E-3</v>
      </c>
      <c r="BN7" s="75">
        <v>5.5555555555555558E-3</v>
      </c>
      <c r="BO7" s="75">
        <v>5.5555555555555558E-3</v>
      </c>
      <c r="BP7" s="75">
        <v>5.2840909090909093E-3</v>
      </c>
      <c r="BQ7" s="75">
        <v>5.2840909090909093E-3</v>
      </c>
      <c r="BR7" s="75">
        <v>5.227272727272728E-3</v>
      </c>
      <c r="BS7" s="75">
        <v>5.227272727272728E-3</v>
      </c>
      <c r="BT7" s="75">
        <v>5.0000000000000001E-3</v>
      </c>
      <c r="BU7" s="82">
        <f>BT7+0.2%</f>
        <v>7.0000000000000001E-3</v>
      </c>
      <c r="BV7" s="82">
        <f t="shared" ref="BV7:BV21" si="2">BT7-0.2%</f>
        <v>3.0000000000000001E-3</v>
      </c>
      <c r="BW7" s="75">
        <v>1.4E-2</v>
      </c>
      <c r="BX7" s="75">
        <f t="shared" ref="BX7:BX21" si="3">BW7*0.8</f>
        <v>1.1200000000000002E-2</v>
      </c>
      <c r="BY7" s="75">
        <f>BW7*1.2</f>
        <v>1.6799999999999999E-2</v>
      </c>
      <c r="BZ7" s="75">
        <f t="shared" ref="BZ7:BZ21" si="4">$BM7*0.8</f>
        <v>4.0000000000000001E-3</v>
      </c>
      <c r="CA7" s="75">
        <f t="shared" ref="CA7:CA21" si="5">$BM7*1.2</f>
        <v>6.0000000000000001E-3</v>
      </c>
      <c r="CB7" s="75">
        <v>7.4999999999999997E-3</v>
      </c>
      <c r="CC7" s="75">
        <v>7.4999999999999997E-3</v>
      </c>
      <c r="CD7" s="75">
        <v>7.4999999999999997E-3</v>
      </c>
      <c r="CE7" s="75">
        <v>7.4999999999999997E-3</v>
      </c>
      <c r="CF7" s="75">
        <v>5.0000000000000001E-3</v>
      </c>
      <c r="CG7" s="75">
        <v>7.4999999999999997E-3</v>
      </c>
      <c r="CH7" s="90">
        <v>0.01</v>
      </c>
      <c r="CI7" s="90">
        <v>0.01</v>
      </c>
      <c r="CJ7" s="90">
        <v>0</v>
      </c>
      <c r="CK7" s="90">
        <f>CH7</f>
        <v>0.01</v>
      </c>
      <c r="CL7" s="90">
        <f>CI7</f>
        <v>0.01</v>
      </c>
      <c r="CM7" s="90">
        <f>$CH7*0.8</f>
        <v>8.0000000000000002E-3</v>
      </c>
      <c r="CN7" s="90">
        <f>$CI7*0.8</f>
        <v>8.0000000000000002E-3</v>
      </c>
      <c r="CO7" s="90">
        <f>$CH7*1.2</f>
        <v>1.2E-2</v>
      </c>
      <c r="CP7" s="90">
        <f>$CI7*1.2</f>
        <v>1.2E-2</v>
      </c>
      <c r="CQ7" s="90">
        <v>0</v>
      </c>
      <c r="CR7" s="90">
        <v>0</v>
      </c>
      <c r="CS7" s="90">
        <f>$CH7*2</f>
        <v>0.02</v>
      </c>
      <c r="CT7" s="90">
        <f>$CI7*2</f>
        <v>0.02</v>
      </c>
      <c r="CU7" s="90">
        <f t="shared" ref="CU7:CW12" si="6">$CH7</f>
        <v>0.01</v>
      </c>
      <c r="CV7" s="90">
        <f t="shared" ref="CV7:CX12" si="7">$CI7</f>
        <v>0.01</v>
      </c>
      <c r="CW7" s="90">
        <f t="shared" si="6"/>
        <v>0.01</v>
      </c>
      <c r="CX7" s="90">
        <f t="shared" si="7"/>
        <v>0.01</v>
      </c>
      <c r="CY7" s="90">
        <f t="shared" ref="CY7:CY13" si="8">$CH7</f>
        <v>0.01</v>
      </c>
      <c r="CZ7" s="90">
        <f t="shared" ref="CZ7:CZ13" si="9">$CI7</f>
        <v>0.01</v>
      </c>
    </row>
    <row r="8" spans="1:104" x14ac:dyDescent="0.25">
      <c r="A8" s="15"/>
      <c r="B8" s="36">
        <v>2</v>
      </c>
      <c r="C8" s="62">
        <v>7.4999999999999997E-3</v>
      </c>
      <c r="D8" s="62">
        <v>7.4999999999999997E-3</v>
      </c>
      <c r="E8" s="62">
        <f t="shared" ref="E8:E21" si="10">C8*0.8</f>
        <v>6.0000000000000001E-3</v>
      </c>
      <c r="F8" s="62">
        <f t="shared" ref="F8:F21" si="11">D8*0.8</f>
        <v>6.0000000000000001E-3</v>
      </c>
      <c r="G8" s="62">
        <f t="shared" ref="G8:G21" si="12">C8*1.2</f>
        <v>8.9999999999999993E-3</v>
      </c>
      <c r="H8" s="62">
        <f t="shared" ref="H8:H21" si="13">D8*1.2</f>
        <v>8.9999999999999993E-3</v>
      </c>
      <c r="I8" s="62">
        <v>0</v>
      </c>
      <c r="J8" s="62">
        <v>0</v>
      </c>
      <c r="K8" s="62">
        <v>7.4999999999999997E-3</v>
      </c>
      <c r="L8" s="62">
        <v>7.4999999999999997E-3</v>
      </c>
      <c r="M8" s="62">
        <f t="shared" ref="M8:M21" si="14">$K8*0.8</f>
        <v>6.0000000000000001E-3</v>
      </c>
      <c r="N8" s="62">
        <f t="shared" ref="N8:N21" si="15">$L8*0.8</f>
        <v>6.0000000000000001E-3</v>
      </c>
      <c r="O8" s="62">
        <f t="shared" ref="O8:O21" si="16">$K8*1.2</f>
        <v>8.9999999999999993E-3</v>
      </c>
      <c r="P8" s="62">
        <f t="shared" ref="P8:P21" si="17">$L8*1.2</f>
        <v>8.9999999999999993E-3</v>
      </c>
      <c r="Q8" s="63">
        <v>2.8000000000000001E-2</v>
      </c>
      <c r="R8" s="65">
        <f t="shared" si="0"/>
        <v>2.2400000000000003E-2</v>
      </c>
      <c r="S8" s="65">
        <f t="shared" ref="S8:S21" si="18">Q8*1.2</f>
        <v>3.3599999999999998E-2</v>
      </c>
      <c r="T8" s="63">
        <v>5.0000000000000001E-3</v>
      </c>
      <c r="U8" s="63">
        <v>5.0000000000000001E-3</v>
      </c>
      <c r="V8" s="63">
        <f t="shared" ref="V8:V21" si="19">T8*0.8</f>
        <v>4.0000000000000001E-3</v>
      </c>
      <c r="W8" s="63">
        <f t="shared" ref="W8:W21" si="20">U8*0.8</f>
        <v>4.0000000000000001E-3</v>
      </c>
      <c r="X8" s="63">
        <f t="shared" ref="X8:X21" si="21">T8*1.2</f>
        <v>6.0000000000000001E-3</v>
      </c>
      <c r="Y8" s="63">
        <f t="shared" ref="Y8:Y21" si="22">U8*1.2</f>
        <v>6.0000000000000001E-3</v>
      </c>
      <c r="Z8" s="63">
        <v>7.4999999999999997E-3</v>
      </c>
      <c r="AA8" s="63">
        <v>7.4999999999999997E-3</v>
      </c>
      <c r="AB8" s="63">
        <f t="shared" ref="AB8:AB21" si="23">Z8*0.8</f>
        <v>6.0000000000000001E-3</v>
      </c>
      <c r="AC8" s="63">
        <f t="shared" ref="AC8:AC21" si="24">AA8*0.8</f>
        <v>6.0000000000000001E-3</v>
      </c>
      <c r="AD8" s="63">
        <f t="shared" ref="AD8:AD21" si="25">Z8*1.2</f>
        <v>8.9999999999999993E-3</v>
      </c>
      <c r="AE8" s="63">
        <f t="shared" ref="AE8:AE21" si="26">AA8*1.2</f>
        <v>8.9999999999999993E-3</v>
      </c>
      <c r="AF8" s="63">
        <v>0.01</v>
      </c>
      <c r="AG8" s="63">
        <f t="shared" ref="AG8:AG21" si="27">AF8*0.8</f>
        <v>8.0000000000000002E-3</v>
      </c>
      <c r="AH8" s="63">
        <f t="shared" ref="AH8:AH21" si="28">AF8*1.2</f>
        <v>1.2E-2</v>
      </c>
      <c r="AI8" s="63">
        <v>0.01</v>
      </c>
      <c r="AJ8" s="63">
        <f t="shared" ref="AJ8:AJ21" si="29">AI8*0.8</f>
        <v>8.0000000000000002E-3</v>
      </c>
      <c r="AK8" s="63">
        <f t="shared" ref="AK8:AK21" si="30">AI8*1.2</f>
        <v>1.2E-2</v>
      </c>
      <c r="AL8" s="63">
        <v>2.7E-2</v>
      </c>
      <c r="AM8" s="63">
        <f t="shared" si="1"/>
        <v>2.1600000000000001E-2</v>
      </c>
      <c r="AN8" s="63">
        <f t="shared" ref="AN8:AN21" si="31">AL8*1.2</f>
        <v>3.2399999999999998E-2</v>
      </c>
      <c r="AO8" s="63">
        <v>0.01</v>
      </c>
      <c r="AP8" s="63">
        <f t="shared" ref="AP8:AP21" si="32">AO8*0.8</f>
        <v>8.0000000000000002E-3</v>
      </c>
      <c r="AQ8" s="63">
        <f t="shared" ref="AQ8:AQ21" si="33">AO8*1.2</f>
        <v>1.2E-2</v>
      </c>
      <c r="AR8" s="63">
        <v>0.01</v>
      </c>
      <c r="AS8" s="63">
        <f t="shared" ref="AS8:AS21" si="34">$AR8*0.8</f>
        <v>8.0000000000000002E-3</v>
      </c>
      <c r="AT8" s="63">
        <f t="shared" ref="AT8:AT21" si="35">$AR8*1.2</f>
        <v>1.2E-2</v>
      </c>
      <c r="AU8" s="80">
        <v>0.03</v>
      </c>
      <c r="AV8" s="80">
        <v>0.03</v>
      </c>
      <c r="AW8" s="80">
        <v>0.03</v>
      </c>
      <c r="AX8" s="80">
        <v>0.03</v>
      </c>
      <c r="AY8" s="80">
        <v>2.74193548E-2</v>
      </c>
      <c r="AZ8" s="80">
        <v>2.74193548E-2</v>
      </c>
      <c r="BA8" s="80">
        <v>2.6000000000000002E-2</v>
      </c>
      <c r="BB8" s="80">
        <v>2.6000000000000002E-2</v>
      </c>
      <c r="BC8" s="80">
        <v>0.03</v>
      </c>
      <c r="BD8" s="80">
        <v>0.03</v>
      </c>
      <c r="BE8" s="81">
        <v>0.03</v>
      </c>
      <c r="BF8" s="81">
        <v>0.03</v>
      </c>
      <c r="BG8" s="81">
        <v>3.3333333299999997E-2</v>
      </c>
      <c r="BH8" s="81">
        <v>3.3333333299999997E-2</v>
      </c>
      <c r="BI8" s="81">
        <v>0.01</v>
      </c>
      <c r="BJ8" s="81">
        <v>0.01</v>
      </c>
      <c r="BK8" s="81">
        <v>1.3000000000000001E-2</v>
      </c>
      <c r="BL8" s="81">
        <v>0.03</v>
      </c>
      <c r="BM8" s="75">
        <v>7.4999999999999997E-3</v>
      </c>
      <c r="BN8" s="75">
        <v>8.333333333333335E-3</v>
      </c>
      <c r="BO8" s="75">
        <v>8.333333333333335E-3</v>
      </c>
      <c r="BP8" s="75">
        <v>6.8548387096774186E-3</v>
      </c>
      <c r="BQ8" s="75">
        <v>6.8548387096774186E-3</v>
      </c>
      <c r="BR8" s="75">
        <v>6.4516129032258064E-3</v>
      </c>
      <c r="BS8" s="75">
        <v>6.4516129032258064E-3</v>
      </c>
      <c r="BT8" s="75">
        <v>7.4999999999999997E-3</v>
      </c>
      <c r="BU8" s="82">
        <f t="shared" ref="BU8:BU21" si="36">BT8+0.2%</f>
        <v>9.4999999999999998E-3</v>
      </c>
      <c r="BV8" s="82">
        <f t="shared" si="2"/>
        <v>5.4999999999999997E-3</v>
      </c>
      <c r="BW8" s="75">
        <v>2.8000000000000001E-2</v>
      </c>
      <c r="BX8" s="75">
        <f t="shared" si="3"/>
        <v>2.2400000000000003E-2</v>
      </c>
      <c r="BY8" s="75">
        <f t="shared" ref="BY8:BY21" si="37">BW8*1.2</f>
        <v>3.3599999999999998E-2</v>
      </c>
      <c r="BZ8" s="75">
        <f t="shared" si="4"/>
        <v>6.0000000000000001E-3</v>
      </c>
      <c r="CA8" s="75">
        <f t="shared" si="5"/>
        <v>8.9999999999999993E-3</v>
      </c>
      <c r="CB8" s="75">
        <v>0.01</v>
      </c>
      <c r="CC8" s="75">
        <v>0.01</v>
      </c>
      <c r="CD8" s="75">
        <v>0.01</v>
      </c>
      <c r="CE8" s="75">
        <v>0.01</v>
      </c>
      <c r="CF8" s="75">
        <v>0.01</v>
      </c>
      <c r="CG8" s="75">
        <v>0.01</v>
      </c>
      <c r="CH8" s="90">
        <v>1.2999999999999999E-2</v>
      </c>
      <c r="CI8" s="90">
        <v>1.2999999999999999E-2</v>
      </c>
      <c r="CJ8" s="90">
        <v>0</v>
      </c>
      <c r="CK8" s="90">
        <f t="shared" ref="CK8:CK12" si="38">CH8</f>
        <v>1.2999999999999999E-2</v>
      </c>
      <c r="CL8" s="90">
        <f t="shared" ref="CL8:CL12" si="39">CI8</f>
        <v>1.2999999999999999E-2</v>
      </c>
      <c r="CM8" s="90">
        <f t="shared" ref="CM8:CM21" si="40">$CH8*0.8</f>
        <v>1.04E-2</v>
      </c>
      <c r="CN8" s="90">
        <f t="shared" ref="CN8:CN21" si="41">$CI8*0.8</f>
        <v>1.04E-2</v>
      </c>
      <c r="CO8" s="90">
        <f t="shared" ref="CO8:CO21" si="42">$CH8*1.2</f>
        <v>1.5599999999999999E-2</v>
      </c>
      <c r="CP8" s="90">
        <f t="shared" ref="CP8:CP21" si="43">$CI8*1.2</f>
        <v>1.5599999999999999E-2</v>
      </c>
      <c r="CQ8" s="90">
        <v>0</v>
      </c>
      <c r="CR8" s="90">
        <v>0</v>
      </c>
      <c r="CS8" s="90">
        <f t="shared" ref="CS8:CS12" si="44">$CH8*2</f>
        <v>2.5999999999999999E-2</v>
      </c>
      <c r="CT8" s="90">
        <f t="shared" ref="CT8:CT12" si="45">$CI8*2</f>
        <v>2.5999999999999999E-2</v>
      </c>
      <c r="CU8" s="90">
        <f t="shared" si="6"/>
        <v>1.2999999999999999E-2</v>
      </c>
      <c r="CV8" s="90">
        <f t="shared" si="7"/>
        <v>1.2999999999999999E-2</v>
      </c>
      <c r="CW8" s="90">
        <f t="shared" si="6"/>
        <v>1.2999999999999999E-2</v>
      </c>
      <c r="CX8" s="90">
        <f t="shared" si="7"/>
        <v>1.2999999999999999E-2</v>
      </c>
      <c r="CY8" s="90">
        <f t="shared" si="8"/>
        <v>1.2999999999999999E-2</v>
      </c>
      <c r="CZ8" s="90">
        <f t="shared" si="9"/>
        <v>1.2999999999999999E-2</v>
      </c>
    </row>
    <row r="9" spans="1:104" x14ac:dyDescent="0.25">
      <c r="A9" s="15"/>
      <c r="B9" s="36">
        <v>3</v>
      </c>
      <c r="C9" s="62">
        <v>1.2500000000000001E-2</v>
      </c>
      <c r="D9" s="62">
        <v>1.2500000000000001E-2</v>
      </c>
      <c r="E9" s="62">
        <f t="shared" si="10"/>
        <v>1.0000000000000002E-2</v>
      </c>
      <c r="F9" s="62">
        <f t="shared" si="11"/>
        <v>1.0000000000000002E-2</v>
      </c>
      <c r="G9" s="62">
        <f t="shared" si="12"/>
        <v>1.4999999999999999E-2</v>
      </c>
      <c r="H9" s="62">
        <f t="shared" si="13"/>
        <v>1.4999999999999999E-2</v>
      </c>
      <c r="I9" s="62">
        <v>0</v>
      </c>
      <c r="J9" s="62">
        <v>0</v>
      </c>
      <c r="K9" s="62">
        <v>0.01</v>
      </c>
      <c r="L9" s="62">
        <v>0.01</v>
      </c>
      <c r="M9" s="62">
        <f t="shared" si="14"/>
        <v>8.0000000000000002E-3</v>
      </c>
      <c r="N9" s="62">
        <f t="shared" si="15"/>
        <v>8.0000000000000002E-3</v>
      </c>
      <c r="O9" s="62">
        <f t="shared" si="16"/>
        <v>1.2E-2</v>
      </c>
      <c r="P9" s="62">
        <f t="shared" si="17"/>
        <v>1.2E-2</v>
      </c>
      <c r="Q9" s="63">
        <v>3.7999999999999999E-2</v>
      </c>
      <c r="R9" s="65">
        <f t="shared" si="0"/>
        <v>3.04E-2</v>
      </c>
      <c r="S9" s="65">
        <f t="shared" si="18"/>
        <v>4.5599999999999995E-2</v>
      </c>
      <c r="T9" s="63">
        <v>7.4999999999999997E-3</v>
      </c>
      <c r="U9" s="63">
        <v>7.4999999999999997E-3</v>
      </c>
      <c r="V9" s="63">
        <f t="shared" si="19"/>
        <v>6.0000000000000001E-3</v>
      </c>
      <c r="W9" s="63">
        <f t="shared" si="20"/>
        <v>6.0000000000000001E-3</v>
      </c>
      <c r="X9" s="63">
        <f t="shared" si="21"/>
        <v>8.9999999999999993E-3</v>
      </c>
      <c r="Y9" s="63">
        <f t="shared" si="22"/>
        <v>8.9999999999999993E-3</v>
      </c>
      <c r="Z9" s="63">
        <v>0.01</v>
      </c>
      <c r="AA9" s="63">
        <v>0.01</v>
      </c>
      <c r="AB9" s="63">
        <f t="shared" si="23"/>
        <v>8.0000000000000002E-3</v>
      </c>
      <c r="AC9" s="63">
        <f t="shared" si="24"/>
        <v>8.0000000000000002E-3</v>
      </c>
      <c r="AD9" s="63">
        <f t="shared" si="25"/>
        <v>1.2E-2</v>
      </c>
      <c r="AE9" s="63">
        <f t="shared" si="26"/>
        <v>1.2E-2</v>
      </c>
      <c r="AF9" s="63">
        <v>1.4999999999999999E-2</v>
      </c>
      <c r="AG9" s="63">
        <f t="shared" si="27"/>
        <v>1.2E-2</v>
      </c>
      <c r="AH9" s="63">
        <f t="shared" si="28"/>
        <v>1.7999999999999999E-2</v>
      </c>
      <c r="AI9" s="63">
        <v>1.2500000000000001E-2</v>
      </c>
      <c r="AJ9" s="63">
        <f t="shared" si="29"/>
        <v>1.0000000000000002E-2</v>
      </c>
      <c r="AK9" s="63">
        <f t="shared" si="30"/>
        <v>1.4999999999999999E-2</v>
      </c>
      <c r="AL9" s="63">
        <v>3.5000000000000003E-2</v>
      </c>
      <c r="AM9" s="63">
        <f t="shared" si="1"/>
        <v>2.8000000000000004E-2</v>
      </c>
      <c r="AN9" s="63">
        <f t="shared" si="31"/>
        <v>4.2000000000000003E-2</v>
      </c>
      <c r="AO9" s="63">
        <v>1.2500000000000001E-2</v>
      </c>
      <c r="AP9" s="63">
        <f t="shared" si="32"/>
        <v>1.0000000000000002E-2</v>
      </c>
      <c r="AQ9" s="63">
        <f t="shared" si="33"/>
        <v>1.4999999999999999E-2</v>
      </c>
      <c r="AR9" s="63">
        <v>1.2500000000000001E-2</v>
      </c>
      <c r="AS9" s="63">
        <f t="shared" si="34"/>
        <v>1.0000000000000002E-2</v>
      </c>
      <c r="AT9" s="63">
        <f t="shared" si="35"/>
        <v>1.4999999999999999E-2</v>
      </c>
      <c r="AU9" s="80">
        <v>0.03</v>
      </c>
      <c r="AV9" s="80">
        <v>0.03</v>
      </c>
      <c r="AW9" s="80">
        <v>0.03</v>
      </c>
      <c r="AX9" s="80">
        <v>0.03</v>
      </c>
      <c r="AY9" s="80">
        <v>2.9687499999999999E-2</v>
      </c>
      <c r="AZ9" s="80">
        <v>2.9687499999999999E-2</v>
      </c>
      <c r="BA9" s="80">
        <v>2.7999999999999997E-2</v>
      </c>
      <c r="BB9" s="80">
        <v>2.7999999999999997E-2</v>
      </c>
      <c r="BC9" s="80">
        <v>0.03</v>
      </c>
      <c r="BD9" s="80">
        <v>0.03</v>
      </c>
      <c r="BE9" s="81">
        <v>0.03</v>
      </c>
      <c r="BF9" s="81">
        <v>0.03</v>
      </c>
      <c r="BG9" s="81">
        <v>3.2608695700000002E-2</v>
      </c>
      <c r="BH9" s="81">
        <v>3.2608695700000002E-2</v>
      </c>
      <c r="BI9" s="81">
        <v>1.4999999999999999E-2</v>
      </c>
      <c r="BJ9" s="81">
        <v>1.3000000000000001E-2</v>
      </c>
      <c r="BK9" s="81">
        <v>1.4999999999999999E-2</v>
      </c>
      <c r="BL9" s="81">
        <v>0.03</v>
      </c>
      <c r="BM9" s="75">
        <v>0.01</v>
      </c>
      <c r="BN9" s="75">
        <v>1.0869565217391306E-2</v>
      </c>
      <c r="BO9" s="75">
        <v>1.0869565217391306E-2</v>
      </c>
      <c r="BP9" s="75">
        <v>9.8958333333333329E-3</v>
      </c>
      <c r="BQ9" s="75">
        <v>9.8958333333333329E-3</v>
      </c>
      <c r="BR9" s="75">
        <v>9.479166666666667E-3</v>
      </c>
      <c r="BS9" s="75">
        <v>9.479166666666667E-3</v>
      </c>
      <c r="BT9" s="75">
        <v>0.01</v>
      </c>
      <c r="BU9" s="82">
        <f t="shared" si="36"/>
        <v>1.2E-2</v>
      </c>
      <c r="BV9" s="82">
        <f t="shared" si="2"/>
        <v>8.0000000000000002E-3</v>
      </c>
      <c r="BW9" s="75">
        <v>3.7999999999999999E-2</v>
      </c>
      <c r="BX9" s="75">
        <f t="shared" si="3"/>
        <v>3.04E-2</v>
      </c>
      <c r="BY9" s="75">
        <f t="shared" si="37"/>
        <v>4.5599999999999995E-2</v>
      </c>
      <c r="BZ9" s="75">
        <f t="shared" si="4"/>
        <v>8.0000000000000002E-3</v>
      </c>
      <c r="CA9" s="75">
        <f t="shared" si="5"/>
        <v>1.2E-2</v>
      </c>
      <c r="CB9" s="75">
        <v>1.2500000000000001E-2</v>
      </c>
      <c r="CC9" s="75">
        <v>1.2500000000000001E-2</v>
      </c>
      <c r="CD9" s="75">
        <v>1.2500000000000001E-2</v>
      </c>
      <c r="CE9" s="75">
        <v>1.4999999999999999E-2</v>
      </c>
      <c r="CF9" s="75">
        <v>1.2500000000000001E-2</v>
      </c>
      <c r="CG9" s="75">
        <v>1.2500000000000001E-2</v>
      </c>
      <c r="CH9" s="90">
        <v>1.2999999999999999E-2</v>
      </c>
      <c r="CI9" s="90">
        <v>1.2999999999999999E-2</v>
      </c>
      <c r="CJ9" s="90">
        <v>0</v>
      </c>
      <c r="CK9" s="90">
        <f t="shared" si="38"/>
        <v>1.2999999999999999E-2</v>
      </c>
      <c r="CL9" s="90">
        <f t="shared" si="39"/>
        <v>1.2999999999999999E-2</v>
      </c>
      <c r="CM9" s="90">
        <f t="shared" si="40"/>
        <v>1.04E-2</v>
      </c>
      <c r="CN9" s="90">
        <f t="shared" si="41"/>
        <v>1.04E-2</v>
      </c>
      <c r="CO9" s="90">
        <f t="shared" si="42"/>
        <v>1.5599999999999999E-2</v>
      </c>
      <c r="CP9" s="90">
        <f t="shared" si="43"/>
        <v>1.5599999999999999E-2</v>
      </c>
      <c r="CQ9" s="90">
        <v>0</v>
      </c>
      <c r="CR9" s="90">
        <v>0</v>
      </c>
      <c r="CS9" s="90">
        <f t="shared" si="44"/>
        <v>2.5999999999999999E-2</v>
      </c>
      <c r="CT9" s="90">
        <f t="shared" si="45"/>
        <v>2.5999999999999999E-2</v>
      </c>
      <c r="CU9" s="90">
        <f t="shared" si="6"/>
        <v>1.2999999999999999E-2</v>
      </c>
      <c r="CV9" s="90">
        <f t="shared" si="7"/>
        <v>1.2999999999999999E-2</v>
      </c>
      <c r="CW9" s="90">
        <f t="shared" si="6"/>
        <v>1.2999999999999999E-2</v>
      </c>
      <c r="CX9" s="90">
        <f t="shared" si="7"/>
        <v>1.2999999999999999E-2</v>
      </c>
      <c r="CY9" s="90">
        <f t="shared" si="8"/>
        <v>1.2999999999999999E-2</v>
      </c>
      <c r="CZ9" s="90">
        <f t="shared" si="9"/>
        <v>1.2999999999999999E-2</v>
      </c>
    </row>
    <row r="10" spans="1:104" x14ac:dyDescent="0.25">
      <c r="A10" s="15"/>
      <c r="B10" s="36">
        <v>4</v>
      </c>
      <c r="C10" s="62">
        <v>1.7500000000000002E-2</v>
      </c>
      <c r="D10" s="62">
        <v>1.7500000000000002E-2</v>
      </c>
      <c r="E10" s="62">
        <f t="shared" si="10"/>
        <v>1.4000000000000002E-2</v>
      </c>
      <c r="F10" s="62">
        <f t="shared" si="11"/>
        <v>1.4000000000000002E-2</v>
      </c>
      <c r="G10" s="62">
        <f t="shared" si="12"/>
        <v>2.1000000000000001E-2</v>
      </c>
      <c r="H10" s="62">
        <f t="shared" si="13"/>
        <v>2.1000000000000001E-2</v>
      </c>
      <c r="I10" s="62">
        <v>0</v>
      </c>
      <c r="J10" s="62">
        <v>0</v>
      </c>
      <c r="K10" s="62">
        <v>1.2500000000000001E-2</v>
      </c>
      <c r="L10" s="62">
        <v>1.2500000000000001E-2</v>
      </c>
      <c r="M10" s="62">
        <f t="shared" si="14"/>
        <v>1.0000000000000002E-2</v>
      </c>
      <c r="N10" s="62">
        <f t="shared" si="15"/>
        <v>1.0000000000000002E-2</v>
      </c>
      <c r="O10" s="62">
        <f t="shared" si="16"/>
        <v>1.4999999999999999E-2</v>
      </c>
      <c r="P10" s="62">
        <f t="shared" si="17"/>
        <v>1.4999999999999999E-2</v>
      </c>
      <c r="Q10" s="63">
        <v>4.2999999999999997E-2</v>
      </c>
      <c r="R10" s="65">
        <f t="shared" si="0"/>
        <v>3.44E-2</v>
      </c>
      <c r="S10" s="65">
        <f t="shared" si="18"/>
        <v>5.1599999999999993E-2</v>
      </c>
      <c r="T10" s="63">
        <v>0.01</v>
      </c>
      <c r="U10" s="63">
        <v>0.01</v>
      </c>
      <c r="V10" s="63">
        <f t="shared" si="19"/>
        <v>8.0000000000000002E-3</v>
      </c>
      <c r="W10" s="63">
        <f t="shared" si="20"/>
        <v>8.0000000000000002E-3</v>
      </c>
      <c r="X10" s="63">
        <f t="shared" si="21"/>
        <v>1.2E-2</v>
      </c>
      <c r="Y10" s="63">
        <f t="shared" si="22"/>
        <v>1.2E-2</v>
      </c>
      <c r="Z10" s="63">
        <v>1.4999999999999999E-2</v>
      </c>
      <c r="AA10" s="63">
        <v>1.4999999999999999E-2</v>
      </c>
      <c r="AB10" s="63">
        <f t="shared" si="23"/>
        <v>1.2E-2</v>
      </c>
      <c r="AC10" s="63">
        <f t="shared" si="24"/>
        <v>1.2E-2</v>
      </c>
      <c r="AD10" s="63">
        <f t="shared" si="25"/>
        <v>1.7999999999999999E-2</v>
      </c>
      <c r="AE10" s="63">
        <f t="shared" si="26"/>
        <v>1.7999999999999999E-2</v>
      </c>
      <c r="AF10" s="63">
        <v>0.02</v>
      </c>
      <c r="AG10" s="63">
        <f t="shared" si="27"/>
        <v>1.6E-2</v>
      </c>
      <c r="AH10" s="63">
        <f t="shared" si="28"/>
        <v>2.4E-2</v>
      </c>
      <c r="AI10" s="63">
        <v>1.7500000000000002E-2</v>
      </c>
      <c r="AJ10" s="63">
        <f t="shared" si="29"/>
        <v>1.4000000000000002E-2</v>
      </c>
      <c r="AK10" s="63">
        <f t="shared" si="30"/>
        <v>2.1000000000000001E-2</v>
      </c>
      <c r="AL10" s="63">
        <v>3.6999999999999998E-2</v>
      </c>
      <c r="AM10" s="63">
        <f t="shared" si="1"/>
        <v>2.9600000000000001E-2</v>
      </c>
      <c r="AN10" s="63">
        <f t="shared" si="31"/>
        <v>4.4399999999999995E-2</v>
      </c>
      <c r="AO10" s="63">
        <v>1.4999999999999999E-2</v>
      </c>
      <c r="AP10" s="63">
        <f t="shared" si="32"/>
        <v>1.2E-2</v>
      </c>
      <c r="AQ10" s="63">
        <f t="shared" si="33"/>
        <v>1.7999999999999999E-2</v>
      </c>
      <c r="AR10" s="63">
        <v>1.4999999999999999E-2</v>
      </c>
      <c r="AS10" s="63">
        <f t="shared" si="34"/>
        <v>1.2E-2</v>
      </c>
      <c r="AT10" s="63">
        <f t="shared" si="35"/>
        <v>1.7999999999999999E-2</v>
      </c>
      <c r="AU10" s="80">
        <v>0.03</v>
      </c>
      <c r="AV10" s="80">
        <v>0.03</v>
      </c>
      <c r="AW10" s="80">
        <v>0.03</v>
      </c>
      <c r="AX10" s="80">
        <v>0.03</v>
      </c>
      <c r="AY10" s="80">
        <v>2.8301886799999999E-2</v>
      </c>
      <c r="AZ10" s="80">
        <v>2.8301886799999999E-2</v>
      </c>
      <c r="BA10" s="80">
        <v>2.5000000000000001E-2</v>
      </c>
      <c r="BB10" s="80">
        <v>2.5000000000000001E-2</v>
      </c>
      <c r="BC10" s="80">
        <v>0.03</v>
      </c>
      <c r="BD10" s="80">
        <v>0.03</v>
      </c>
      <c r="BE10" s="81">
        <v>0.03</v>
      </c>
      <c r="BF10" s="81">
        <v>0.03</v>
      </c>
      <c r="BG10" s="81">
        <v>3.17045455E-2</v>
      </c>
      <c r="BH10" s="81">
        <v>3.17045455E-2</v>
      </c>
      <c r="BI10" s="81">
        <v>0.02</v>
      </c>
      <c r="BJ10" s="81">
        <v>1.4999999999999999E-2</v>
      </c>
      <c r="BK10" s="81">
        <v>1.8000000000000002E-2</v>
      </c>
      <c r="BL10" s="81">
        <v>0.03</v>
      </c>
      <c r="BM10" s="75">
        <v>1.4999999999999999E-2</v>
      </c>
      <c r="BN10" s="75">
        <v>1.5852272727272729E-2</v>
      </c>
      <c r="BO10" s="75">
        <v>1.5852272727272729E-2</v>
      </c>
      <c r="BP10" s="75">
        <v>1.1792452830188678E-2</v>
      </c>
      <c r="BQ10" s="75">
        <v>1.1792452830188678E-2</v>
      </c>
      <c r="BR10" s="75">
        <v>1.0613207547169809E-2</v>
      </c>
      <c r="BS10" s="75">
        <v>1.0613207547169809E-2</v>
      </c>
      <c r="BT10" s="75">
        <v>0.02</v>
      </c>
      <c r="BU10" s="82">
        <f t="shared" si="36"/>
        <v>2.1999999999999999E-2</v>
      </c>
      <c r="BV10" s="82">
        <f t="shared" si="2"/>
        <v>1.8000000000000002E-2</v>
      </c>
      <c r="BW10" s="75">
        <v>4.2999999999999997E-2</v>
      </c>
      <c r="BX10" s="75">
        <f t="shared" si="3"/>
        <v>3.44E-2</v>
      </c>
      <c r="BY10" s="75">
        <f t="shared" si="37"/>
        <v>5.1599999999999993E-2</v>
      </c>
      <c r="BZ10" s="75">
        <f t="shared" si="4"/>
        <v>1.2E-2</v>
      </c>
      <c r="CA10" s="75">
        <f t="shared" si="5"/>
        <v>1.7999999999999999E-2</v>
      </c>
      <c r="CB10" s="75">
        <v>1.4999999999999999E-2</v>
      </c>
      <c r="CC10" s="75">
        <v>1.4999999999999999E-2</v>
      </c>
      <c r="CD10" s="75">
        <v>1.4999999999999999E-2</v>
      </c>
      <c r="CE10" s="75">
        <v>0.02</v>
      </c>
      <c r="CF10" s="75">
        <v>1.7500000000000002E-2</v>
      </c>
      <c r="CG10" s="75">
        <v>1.4999999999999999E-2</v>
      </c>
      <c r="CH10" s="90">
        <v>1.4999999999999999E-2</v>
      </c>
      <c r="CI10" s="90">
        <v>1.4999999999999999E-2</v>
      </c>
      <c r="CJ10" s="90">
        <v>0</v>
      </c>
      <c r="CK10" s="90">
        <f t="shared" si="38"/>
        <v>1.4999999999999999E-2</v>
      </c>
      <c r="CL10" s="90">
        <f t="shared" si="39"/>
        <v>1.4999999999999999E-2</v>
      </c>
      <c r="CM10" s="90">
        <f t="shared" si="40"/>
        <v>1.2E-2</v>
      </c>
      <c r="CN10" s="90">
        <f t="shared" si="41"/>
        <v>1.2E-2</v>
      </c>
      <c r="CO10" s="90">
        <f t="shared" si="42"/>
        <v>1.7999999999999999E-2</v>
      </c>
      <c r="CP10" s="90">
        <f t="shared" si="43"/>
        <v>1.7999999999999999E-2</v>
      </c>
      <c r="CQ10" s="90">
        <v>0</v>
      </c>
      <c r="CR10" s="90">
        <v>0</v>
      </c>
      <c r="CS10" s="90">
        <f t="shared" si="44"/>
        <v>0.03</v>
      </c>
      <c r="CT10" s="90">
        <f t="shared" si="45"/>
        <v>0.03</v>
      </c>
      <c r="CU10" s="90">
        <f t="shared" si="6"/>
        <v>1.4999999999999999E-2</v>
      </c>
      <c r="CV10" s="90">
        <f t="shared" si="7"/>
        <v>1.4999999999999999E-2</v>
      </c>
      <c r="CW10" s="90">
        <f t="shared" si="6"/>
        <v>1.4999999999999999E-2</v>
      </c>
      <c r="CX10" s="90">
        <f t="shared" si="7"/>
        <v>1.4999999999999999E-2</v>
      </c>
      <c r="CY10" s="90">
        <f t="shared" si="8"/>
        <v>1.4999999999999999E-2</v>
      </c>
      <c r="CZ10" s="90">
        <f t="shared" si="9"/>
        <v>1.4999999999999999E-2</v>
      </c>
    </row>
    <row r="11" spans="1:104" x14ac:dyDescent="0.25">
      <c r="A11" s="15"/>
      <c r="B11" s="36">
        <v>5</v>
      </c>
      <c r="C11" s="62">
        <v>2.2499999999999999E-2</v>
      </c>
      <c r="D11" s="62">
        <v>2.2499999999999999E-2</v>
      </c>
      <c r="E11" s="62">
        <f t="shared" si="10"/>
        <v>1.7999999999999999E-2</v>
      </c>
      <c r="F11" s="62">
        <f t="shared" si="11"/>
        <v>1.7999999999999999E-2</v>
      </c>
      <c r="G11" s="62">
        <f t="shared" si="12"/>
        <v>2.7E-2</v>
      </c>
      <c r="H11" s="62">
        <f t="shared" si="13"/>
        <v>2.7E-2</v>
      </c>
      <c r="I11" s="62">
        <v>0</v>
      </c>
      <c r="J11" s="62">
        <v>0</v>
      </c>
      <c r="K11" s="62">
        <v>1.4999999999999999E-2</v>
      </c>
      <c r="L11" s="62">
        <v>1.4999999999999999E-2</v>
      </c>
      <c r="M11" s="62">
        <f t="shared" si="14"/>
        <v>1.2E-2</v>
      </c>
      <c r="N11" s="62">
        <f t="shared" si="15"/>
        <v>1.2E-2</v>
      </c>
      <c r="O11" s="62">
        <f t="shared" si="16"/>
        <v>1.7999999999999999E-2</v>
      </c>
      <c r="P11" s="62">
        <f t="shared" si="17"/>
        <v>1.7999999999999999E-2</v>
      </c>
      <c r="Q11" s="63">
        <v>4.8000000000000001E-2</v>
      </c>
      <c r="R11" s="65">
        <f t="shared" si="0"/>
        <v>3.8400000000000004E-2</v>
      </c>
      <c r="S11" s="65">
        <f t="shared" si="18"/>
        <v>5.7599999999999998E-2</v>
      </c>
      <c r="T11" s="63">
        <v>1.2500000000000001E-2</v>
      </c>
      <c r="U11" s="63">
        <v>1.2500000000000001E-2</v>
      </c>
      <c r="V11" s="63">
        <f t="shared" si="19"/>
        <v>1.0000000000000002E-2</v>
      </c>
      <c r="W11" s="63">
        <f t="shared" si="20"/>
        <v>1.0000000000000002E-2</v>
      </c>
      <c r="X11" s="63">
        <f t="shared" si="21"/>
        <v>1.4999999999999999E-2</v>
      </c>
      <c r="Y11" s="63">
        <f t="shared" si="22"/>
        <v>1.4999999999999999E-2</v>
      </c>
      <c r="Z11" s="63">
        <v>0.02</v>
      </c>
      <c r="AA11" s="63">
        <v>0.02</v>
      </c>
      <c r="AB11" s="63">
        <f t="shared" si="23"/>
        <v>1.6E-2</v>
      </c>
      <c r="AC11" s="63">
        <f t="shared" si="24"/>
        <v>1.6E-2</v>
      </c>
      <c r="AD11" s="63">
        <f t="shared" si="25"/>
        <v>2.4E-2</v>
      </c>
      <c r="AE11" s="63">
        <f t="shared" si="26"/>
        <v>2.4E-2</v>
      </c>
      <c r="AF11" s="63">
        <v>2.5000000000000001E-2</v>
      </c>
      <c r="AG11" s="63">
        <f t="shared" si="27"/>
        <v>2.0000000000000004E-2</v>
      </c>
      <c r="AH11" s="63">
        <f t="shared" si="28"/>
        <v>0.03</v>
      </c>
      <c r="AI11" s="63">
        <v>2.2499999999999999E-2</v>
      </c>
      <c r="AJ11" s="63">
        <f t="shared" si="29"/>
        <v>1.7999999999999999E-2</v>
      </c>
      <c r="AK11" s="63">
        <f t="shared" si="30"/>
        <v>2.7E-2</v>
      </c>
      <c r="AL11" s="63">
        <v>4.2999999999999997E-2</v>
      </c>
      <c r="AM11" s="63">
        <f t="shared" si="1"/>
        <v>3.44E-2</v>
      </c>
      <c r="AN11" s="63">
        <f t="shared" si="31"/>
        <v>5.1599999999999993E-2</v>
      </c>
      <c r="AO11" s="63">
        <v>1.7500000000000002E-2</v>
      </c>
      <c r="AP11" s="63">
        <f t="shared" si="32"/>
        <v>1.4000000000000002E-2</v>
      </c>
      <c r="AQ11" s="63">
        <f t="shared" si="33"/>
        <v>2.1000000000000001E-2</v>
      </c>
      <c r="AR11" s="63">
        <v>1.7500000000000002E-2</v>
      </c>
      <c r="AS11" s="63">
        <f t="shared" si="34"/>
        <v>1.4000000000000002E-2</v>
      </c>
      <c r="AT11" s="63">
        <f t="shared" si="35"/>
        <v>2.1000000000000001E-2</v>
      </c>
      <c r="AU11" s="80">
        <v>0.03</v>
      </c>
      <c r="AV11" s="80">
        <v>0.03</v>
      </c>
      <c r="AW11" s="80">
        <v>0.03</v>
      </c>
      <c r="AX11" s="80">
        <v>0.03</v>
      </c>
      <c r="AY11" s="80">
        <v>2.2758620699999999E-2</v>
      </c>
      <c r="AZ11" s="80">
        <v>2.2758620699999999E-2</v>
      </c>
      <c r="BA11" s="80">
        <v>2.1000000000000001E-2</v>
      </c>
      <c r="BB11" s="80">
        <v>0.02</v>
      </c>
      <c r="BC11" s="80">
        <v>0.03</v>
      </c>
      <c r="BD11" s="80">
        <v>0.03</v>
      </c>
      <c r="BE11" s="81">
        <v>0.03</v>
      </c>
      <c r="BF11" s="81">
        <v>0.03</v>
      </c>
      <c r="BG11" s="81">
        <v>2.74193548E-2</v>
      </c>
      <c r="BH11" s="81">
        <v>2.74193548E-2</v>
      </c>
      <c r="BI11" s="81">
        <v>2.7999999999999997E-2</v>
      </c>
      <c r="BJ11" s="81">
        <v>0.02</v>
      </c>
      <c r="BK11" s="81">
        <v>0.02</v>
      </c>
      <c r="BL11" s="81">
        <v>0.03</v>
      </c>
      <c r="BM11" s="75">
        <v>0.02</v>
      </c>
      <c r="BN11" s="75">
        <v>1.8279569892473119E-2</v>
      </c>
      <c r="BO11" s="75">
        <v>1.8279569892473119E-2</v>
      </c>
      <c r="BP11" s="75">
        <v>1.1379310344827587E-2</v>
      </c>
      <c r="BQ11" s="75">
        <v>1.1379310344827587E-2</v>
      </c>
      <c r="BR11" s="75">
        <v>1.0344827586206896E-2</v>
      </c>
      <c r="BS11" s="75">
        <v>1.0344827586206896E-2</v>
      </c>
      <c r="BT11" s="75">
        <v>0.04</v>
      </c>
      <c r="BU11" s="82">
        <f t="shared" si="36"/>
        <v>4.2000000000000003E-2</v>
      </c>
      <c r="BV11" s="82">
        <f t="shared" si="2"/>
        <v>3.7999999999999999E-2</v>
      </c>
      <c r="BW11" s="75">
        <v>4.8000000000000001E-2</v>
      </c>
      <c r="BX11" s="75">
        <f t="shared" si="3"/>
        <v>3.8400000000000004E-2</v>
      </c>
      <c r="BY11" s="75">
        <f t="shared" si="37"/>
        <v>5.7599999999999998E-2</v>
      </c>
      <c r="BZ11" s="75">
        <f t="shared" si="4"/>
        <v>1.6E-2</v>
      </c>
      <c r="CA11" s="75">
        <f t="shared" si="5"/>
        <v>2.4E-2</v>
      </c>
      <c r="CB11" s="75">
        <v>1.7500000000000002E-2</v>
      </c>
      <c r="CC11" s="75">
        <v>1.7500000000000002E-2</v>
      </c>
      <c r="CD11" s="75">
        <v>1.7500000000000002E-2</v>
      </c>
      <c r="CE11" s="75">
        <v>2.5000000000000001E-2</v>
      </c>
      <c r="CF11" s="75">
        <v>2.2499999999999999E-2</v>
      </c>
      <c r="CG11" s="75">
        <v>1.7500000000000002E-2</v>
      </c>
      <c r="CH11" s="90">
        <v>0.02</v>
      </c>
      <c r="CI11" s="90">
        <v>0.02</v>
      </c>
      <c r="CJ11" s="90">
        <v>0</v>
      </c>
      <c r="CK11" s="90">
        <f t="shared" si="38"/>
        <v>0.02</v>
      </c>
      <c r="CL11" s="90">
        <f t="shared" si="39"/>
        <v>0.02</v>
      </c>
      <c r="CM11" s="90">
        <f t="shared" si="40"/>
        <v>1.6E-2</v>
      </c>
      <c r="CN11" s="90">
        <f t="shared" si="41"/>
        <v>1.6E-2</v>
      </c>
      <c r="CO11" s="90">
        <f t="shared" si="42"/>
        <v>2.4E-2</v>
      </c>
      <c r="CP11" s="90">
        <f t="shared" si="43"/>
        <v>2.4E-2</v>
      </c>
      <c r="CQ11" s="90">
        <v>0</v>
      </c>
      <c r="CR11" s="90">
        <v>0</v>
      </c>
      <c r="CS11" s="90">
        <f t="shared" si="44"/>
        <v>0.04</v>
      </c>
      <c r="CT11" s="90">
        <f t="shared" si="45"/>
        <v>0.04</v>
      </c>
      <c r="CU11" s="90">
        <f t="shared" si="6"/>
        <v>0.02</v>
      </c>
      <c r="CV11" s="90">
        <f t="shared" si="7"/>
        <v>0.02</v>
      </c>
      <c r="CW11" s="90">
        <f t="shared" si="6"/>
        <v>0.02</v>
      </c>
      <c r="CX11" s="90">
        <f t="shared" si="7"/>
        <v>0.02</v>
      </c>
      <c r="CY11" s="90">
        <f t="shared" si="8"/>
        <v>0.02</v>
      </c>
      <c r="CZ11" s="90">
        <f t="shared" si="9"/>
        <v>0.02</v>
      </c>
    </row>
    <row r="12" spans="1:104" x14ac:dyDescent="0.25">
      <c r="A12" s="15"/>
      <c r="B12" s="36">
        <v>6</v>
      </c>
      <c r="C12" s="62">
        <v>0.5</v>
      </c>
      <c r="D12" s="62">
        <v>0.4</v>
      </c>
      <c r="E12" s="62">
        <f t="shared" si="10"/>
        <v>0.4</v>
      </c>
      <c r="F12" s="62">
        <f t="shared" si="11"/>
        <v>0.32000000000000006</v>
      </c>
      <c r="G12" s="62">
        <f t="shared" si="12"/>
        <v>0.6</v>
      </c>
      <c r="H12" s="62">
        <f t="shared" si="13"/>
        <v>0.48</v>
      </c>
      <c r="I12" s="62">
        <v>0.5</v>
      </c>
      <c r="J12" s="62">
        <v>0.4</v>
      </c>
      <c r="K12" s="62">
        <v>1.7500000000000002E-2</v>
      </c>
      <c r="L12" s="62">
        <v>1.7500000000000002E-2</v>
      </c>
      <c r="M12" s="62">
        <f t="shared" si="14"/>
        <v>1.4000000000000002E-2</v>
      </c>
      <c r="N12" s="62">
        <f t="shared" si="15"/>
        <v>1.4000000000000002E-2</v>
      </c>
      <c r="O12" s="62">
        <f t="shared" si="16"/>
        <v>2.1000000000000001E-2</v>
      </c>
      <c r="P12" s="62">
        <f t="shared" si="17"/>
        <v>2.1000000000000001E-2</v>
      </c>
      <c r="Q12" s="63">
        <v>0.06</v>
      </c>
      <c r="R12" s="65">
        <f t="shared" si="0"/>
        <v>4.8000000000000001E-2</v>
      </c>
      <c r="S12" s="65">
        <f t="shared" si="18"/>
        <v>7.1999999999999995E-2</v>
      </c>
      <c r="T12" s="63">
        <v>1.4999999999999999E-2</v>
      </c>
      <c r="U12" s="63">
        <v>1.4999999999999999E-2</v>
      </c>
      <c r="V12" s="63">
        <f t="shared" si="19"/>
        <v>1.2E-2</v>
      </c>
      <c r="W12" s="63">
        <f t="shared" si="20"/>
        <v>1.2E-2</v>
      </c>
      <c r="X12" s="63">
        <f t="shared" si="21"/>
        <v>1.7999999999999999E-2</v>
      </c>
      <c r="Y12" s="63">
        <f t="shared" si="22"/>
        <v>1.7999999999999999E-2</v>
      </c>
      <c r="Z12" s="63">
        <v>2.5000000000000001E-2</v>
      </c>
      <c r="AA12" s="63">
        <v>2.5000000000000001E-2</v>
      </c>
      <c r="AB12" s="63">
        <f t="shared" si="23"/>
        <v>2.0000000000000004E-2</v>
      </c>
      <c r="AC12" s="63">
        <f t="shared" si="24"/>
        <v>2.0000000000000004E-2</v>
      </c>
      <c r="AD12" s="63">
        <f t="shared" si="25"/>
        <v>0.03</v>
      </c>
      <c r="AE12" s="63">
        <f t="shared" si="26"/>
        <v>0.03</v>
      </c>
      <c r="AF12" s="63">
        <v>0.125</v>
      </c>
      <c r="AG12" s="63">
        <f t="shared" si="27"/>
        <v>0.1</v>
      </c>
      <c r="AH12" s="63">
        <f t="shared" si="28"/>
        <v>0.15</v>
      </c>
      <c r="AI12" s="63">
        <v>2.5000000000000001E-2</v>
      </c>
      <c r="AJ12" s="63">
        <f t="shared" si="29"/>
        <v>2.0000000000000004E-2</v>
      </c>
      <c r="AK12" s="63">
        <f t="shared" si="30"/>
        <v>0.03</v>
      </c>
      <c r="AL12" s="63">
        <v>4.8000000000000001E-2</v>
      </c>
      <c r="AM12" s="63">
        <f t="shared" si="1"/>
        <v>3.8400000000000004E-2</v>
      </c>
      <c r="AN12" s="63">
        <f t="shared" si="31"/>
        <v>5.7599999999999998E-2</v>
      </c>
      <c r="AO12" s="63">
        <v>0.02</v>
      </c>
      <c r="AP12" s="63">
        <f t="shared" si="32"/>
        <v>1.6E-2</v>
      </c>
      <c r="AQ12" s="63">
        <f t="shared" si="33"/>
        <v>2.4E-2</v>
      </c>
      <c r="AR12" s="63">
        <v>0.02</v>
      </c>
      <c r="AS12" s="63">
        <f t="shared" si="34"/>
        <v>1.6E-2</v>
      </c>
      <c r="AT12" s="63">
        <f t="shared" si="35"/>
        <v>2.4E-2</v>
      </c>
      <c r="AU12" s="80">
        <v>0.4</v>
      </c>
      <c r="AV12" s="80">
        <v>0.35</v>
      </c>
      <c r="AW12" s="80">
        <v>0.03</v>
      </c>
      <c r="AX12" s="80">
        <v>0.03</v>
      </c>
      <c r="AY12" s="80">
        <v>2.4152542399999997E-2</v>
      </c>
      <c r="AZ12" s="80">
        <v>2.4152542399999997E-2</v>
      </c>
      <c r="BA12" s="80">
        <v>1.8000000000000002E-2</v>
      </c>
      <c r="BB12" s="80">
        <v>1.8000000000000002E-2</v>
      </c>
      <c r="BC12" s="80">
        <v>0.03</v>
      </c>
      <c r="BD12" s="80">
        <v>0.03</v>
      </c>
      <c r="BE12" s="81">
        <v>0.03</v>
      </c>
      <c r="BF12" s="81">
        <v>0.03</v>
      </c>
      <c r="BG12" s="81">
        <v>2.9687499999999999E-2</v>
      </c>
      <c r="BH12" s="81">
        <v>2.9687499999999999E-2</v>
      </c>
      <c r="BI12" s="81">
        <v>0.12</v>
      </c>
      <c r="BJ12" s="81">
        <v>0.03</v>
      </c>
      <c r="BK12" s="81">
        <v>2.5000000000000001E-2</v>
      </c>
      <c r="BL12" s="81">
        <v>0.03</v>
      </c>
      <c r="BM12" s="75">
        <v>2.5000000000000001E-2</v>
      </c>
      <c r="BN12" s="75">
        <v>2.4739583333333336E-2</v>
      </c>
      <c r="BO12" s="75">
        <v>2.4739583333333336E-2</v>
      </c>
      <c r="BP12" s="75">
        <v>1.4088983050847459E-2</v>
      </c>
      <c r="BQ12" s="75">
        <v>1.4088983050847459E-2</v>
      </c>
      <c r="BR12" s="75">
        <v>1.0381355932203391E-2</v>
      </c>
      <c r="BS12" s="75">
        <v>1.0381355932203391E-2</v>
      </c>
      <c r="BT12" s="75">
        <v>0.06</v>
      </c>
      <c r="BU12" s="82">
        <f t="shared" si="36"/>
        <v>6.2E-2</v>
      </c>
      <c r="BV12" s="82">
        <f t="shared" si="2"/>
        <v>5.7999999999999996E-2</v>
      </c>
      <c r="BW12" s="75">
        <v>0.06</v>
      </c>
      <c r="BX12" s="75">
        <f t="shared" si="3"/>
        <v>4.8000000000000001E-2</v>
      </c>
      <c r="BY12" s="75">
        <f t="shared" si="37"/>
        <v>7.1999999999999995E-2</v>
      </c>
      <c r="BZ12" s="75">
        <f t="shared" si="4"/>
        <v>2.0000000000000004E-2</v>
      </c>
      <c r="CA12" s="75">
        <f t="shared" si="5"/>
        <v>0.03</v>
      </c>
      <c r="CB12" s="75">
        <v>0.02</v>
      </c>
      <c r="CC12" s="75">
        <v>0.02</v>
      </c>
      <c r="CD12" s="75">
        <v>0.02</v>
      </c>
      <c r="CE12" s="75">
        <v>0.12</v>
      </c>
      <c r="CF12" s="75">
        <v>2.5000000000000001E-2</v>
      </c>
      <c r="CG12" s="75">
        <v>0.02</v>
      </c>
      <c r="CH12" s="90">
        <v>2.5000000000000001E-2</v>
      </c>
      <c r="CI12" s="90">
        <v>2.5000000000000001E-2</v>
      </c>
      <c r="CJ12" s="90">
        <v>0</v>
      </c>
      <c r="CK12" s="90">
        <f t="shared" si="38"/>
        <v>2.5000000000000001E-2</v>
      </c>
      <c r="CL12" s="90">
        <f t="shared" si="39"/>
        <v>2.5000000000000001E-2</v>
      </c>
      <c r="CM12" s="90">
        <f t="shared" si="40"/>
        <v>2.0000000000000004E-2</v>
      </c>
      <c r="CN12" s="90">
        <f t="shared" si="41"/>
        <v>2.0000000000000004E-2</v>
      </c>
      <c r="CO12" s="90">
        <f t="shared" si="42"/>
        <v>0.03</v>
      </c>
      <c r="CP12" s="90">
        <f t="shared" si="43"/>
        <v>0.03</v>
      </c>
      <c r="CQ12" s="90">
        <v>0</v>
      </c>
      <c r="CR12" s="90">
        <v>0</v>
      </c>
      <c r="CS12" s="90">
        <f t="shared" si="44"/>
        <v>0.05</v>
      </c>
      <c r="CT12" s="90">
        <f t="shared" si="45"/>
        <v>0.05</v>
      </c>
      <c r="CU12" s="90">
        <f t="shared" si="6"/>
        <v>2.5000000000000001E-2</v>
      </c>
      <c r="CV12" s="90">
        <f t="shared" si="7"/>
        <v>2.5000000000000001E-2</v>
      </c>
      <c r="CW12" s="90">
        <f t="shared" si="6"/>
        <v>2.5000000000000001E-2</v>
      </c>
      <c r="CX12" s="90">
        <f t="shared" si="7"/>
        <v>2.5000000000000001E-2</v>
      </c>
      <c r="CY12" s="90">
        <f t="shared" si="8"/>
        <v>2.5000000000000001E-2</v>
      </c>
      <c r="CZ12" s="90">
        <f t="shared" si="9"/>
        <v>2.5000000000000001E-2</v>
      </c>
    </row>
    <row r="13" spans="1:104" x14ac:dyDescent="0.25">
      <c r="B13" s="36">
        <v>7</v>
      </c>
      <c r="C13" s="62">
        <v>0.15</v>
      </c>
      <c r="D13" s="62">
        <v>0.12</v>
      </c>
      <c r="E13" s="62">
        <f t="shared" si="10"/>
        <v>0.12</v>
      </c>
      <c r="F13" s="62">
        <f t="shared" si="11"/>
        <v>9.6000000000000002E-2</v>
      </c>
      <c r="G13" s="62">
        <f t="shared" si="12"/>
        <v>0.18</v>
      </c>
      <c r="H13" s="62">
        <f t="shared" si="13"/>
        <v>0.14399999999999999</v>
      </c>
      <c r="I13" s="62">
        <v>0.15</v>
      </c>
      <c r="J13" s="62">
        <v>0.12</v>
      </c>
      <c r="K13" s="62">
        <v>2.2499999999999999E-2</v>
      </c>
      <c r="L13" s="62">
        <v>2.2499999999999999E-2</v>
      </c>
      <c r="M13" s="62">
        <f t="shared" si="14"/>
        <v>1.7999999999999999E-2</v>
      </c>
      <c r="N13" s="62">
        <f t="shared" si="15"/>
        <v>1.7999999999999999E-2</v>
      </c>
      <c r="O13" s="62">
        <f t="shared" si="16"/>
        <v>2.7E-2</v>
      </c>
      <c r="P13" s="62">
        <f t="shared" si="17"/>
        <v>2.7E-2</v>
      </c>
      <c r="Q13" s="63">
        <v>0.08</v>
      </c>
      <c r="R13" s="65">
        <f t="shared" si="0"/>
        <v>6.4000000000000001E-2</v>
      </c>
      <c r="S13" s="65">
        <f t="shared" si="18"/>
        <v>9.6000000000000002E-2</v>
      </c>
      <c r="T13" s="63">
        <v>1.7500000000000002E-2</v>
      </c>
      <c r="U13" s="63">
        <v>1.7500000000000002E-2</v>
      </c>
      <c r="V13" s="63">
        <f t="shared" si="19"/>
        <v>1.4000000000000002E-2</v>
      </c>
      <c r="W13" s="63">
        <f t="shared" si="20"/>
        <v>1.4000000000000002E-2</v>
      </c>
      <c r="X13" s="63">
        <f t="shared" si="21"/>
        <v>2.1000000000000001E-2</v>
      </c>
      <c r="Y13" s="63">
        <f t="shared" si="22"/>
        <v>2.1000000000000001E-2</v>
      </c>
      <c r="Z13" s="63">
        <v>0.03</v>
      </c>
      <c r="AA13" s="63">
        <v>0.03</v>
      </c>
      <c r="AB13" s="63">
        <f t="shared" si="23"/>
        <v>2.4E-2</v>
      </c>
      <c r="AC13" s="63">
        <f t="shared" si="24"/>
        <v>2.4E-2</v>
      </c>
      <c r="AD13" s="63">
        <f t="shared" si="25"/>
        <v>3.5999999999999997E-2</v>
      </c>
      <c r="AE13" s="63">
        <f t="shared" si="26"/>
        <v>3.5999999999999997E-2</v>
      </c>
      <c r="AF13" s="63">
        <v>7.0000000000000007E-2</v>
      </c>
      <c r="AG13" s="63">
        <f t="shared" si="27"/>
        <v>5.6000000000000008E-2</v>
      </c>
      <c r="AH13" s="63">
        <f t="shared" si="28"/>
        <v>8.4000000000000005E-2</v>
      </c>
      <c r="AI13" s="63">
        <v>4.2500000000000003E-2</v>
      </c>
      <c r="AJ13" s="63">
        <f t="shared" si="29"/>
        <v>3.4000000000000002E-2</v>
      </c>
      <c r="AK13" s="63">
        <f t="shared" si="30"/>
        <v>5.1000000000000004E-2</v>
      </c>
      <c r="AL13" s="63">
        <v>5.2999999999999999E-2</v>
      </c>
      <c r="AM13" s="63">
        <f t="shared" si="1"/>
        <v>4.24E-2</v>
      </c>
      <c r="AN13" s="63">
        <f t="shared" si="31"/>
        <v>6.359999999999999E-2</v>
      </c>
      <c r="AO13" s="63">
        <v>2.5000000000000001E-2</v>
      </c>
      <c r="AP13" s="63">
        <f t="shared" si="32"/>
        <v>2.0000000000000004E-2</v>
      </c>
      <c r="AQ13" s="63">
        <f t="shared" si="33"/>
        <v>0.03</v>
      </c>
      <c r="AR13" s="63">
        <v>2.5000000000000001E-2</v>
      </c>
      <c r="AS13" s="63">
        <f t="shared" si="34"/>
        <v>2.0000000000000004E-2</v>
      </c>
      <c r="AT13" s="63">
        <f t="shared" si="35"/>
        <v>0.03</v>
      </c>
      <c r="AU13" s="80">
        <v>0.15</v>
      </c>
      <c r="AV13" s="80">
        <v>0.12</v>
      </c>
      <c r="AW13" s="80">
        <v>0.03</v>
      </c>
      <c r="AX13" s="80">
        <v>0.03</v>
      </c>
      <c r="AY13" s="80">
        <v>2.23140496E-2</v>
      </c>
      <c r="AZ13" s="80">
        <v>2.23140496E-2</v>
      </c>
      <c r="BA13" s="80">
        <v>1.7000000000000001E-2</v>
      </c>
      <c r="BB13" s="80">
        <v>1.7000000000000001E-2</v>
      </c>
      <c r="BC13" s="80">
        <v>0.03</v>
      </c>
      <c r="BD13" s="80">
        <v>0.03</v>
      </c>
      <c r="BE13" s="81">
        <v>0.03</v>
      </c>
      <c r="BF13" s="81">
        <v>0.03</v>
      </c>
      <c r="BG13" s="81">
        <v>2.8301886799999999E-2</v>
      </c>
      <c r="BH13" s="81">
        <v>2.8301886799999999E-2</v>
      </c>
      <c r="BI13" s="81">
        <v>6.5000000000000002E-2</v>
      </c>
      <c r="BJ13" s="81">
        <v>0.04</v>
      </c>
      <c r="BK13" s="81">
        <v>2.7999999999999997E-2</v>
      </c>
      <c r="BL13" s="81">
        <v>0.03</v>
      </c>
      <c r="BM13" s="75">
        <v>0.03</v>
      </c>
      <c r="BN13" s="75">
        <v>2.8301886792452827E-2</v>
      </c>
      <c r="BO13" s="75">
        <v>2.8301886792452827E-2</v>
      </c>
      <c r="BP13" s="75">
        <v>1.6735537190082646E-2</v>
      </c>
      <c r="BQ13" s="75">
        <v>1.6735537190082646E-2</v>
      </c>
      <c r="BR13" s="75">
        <v>1.3016528925619835E-2</v>
      </c>
      <c r="BS13" s="75">
        <v>1.3016528925619835E-2</v>
      </c>
      <c r="BT13" s="75">
        <v>0.08</v>
      </c>
      <c r="BU13" s="82">
        <f t="shared" si="36"/>
        <v>8.2000000000000003E-2</v>
      </c>
      <c r="BV13" s="82">
        <f t="shared" si="2"/>
        <v>7.8E-2</v>
      </c>
      <c r="BW13" s="75">
        <v>0.08</v>
      </c>
      <c r="BX13" s="75">
        <f t="shared" si="3"/>
        <v>6.4000000000000001E-2</v>
      </c>
      <c r="BY13" s="75">
        <f t="shared" si="37"/>
        <v>9.6000000000000002E-2</v>
      </c>
      <c r="BZ13" s="75">
        <f t="shared" si="4"/>
        <v>2.4E-2</v>
      </c>
      <c r="CA13" s="75">
        <f t="shared" si="5"/>
        <v>3.5999999999999997E-2</v>
      </c>
      <c r="CB13" s="75">
        <v>2.5000000000000001E-2</v>
      </c>
      <c r="CC13" s="75">
        <v>2.5000000000000001E-2</v>
      </c>
      <c r="CD13" s="75">
        <v>2.5000000000000001E-2</v>
      </c>
      <c r="CE13" s="75">
        <v>6.5000000000000002E-2</v>
      </c>
      <c r="CF13" s="75">
        <v>4.2500000000000003E-2</v>
      </c>
      <c r="CG13" s="75">
        <v>2.5000000000000001E-2</v>
      </c>
      <c r="CH13" s="90">
        <v>0.5</v>
      </c>
      <c r="CI13" s="90">
        <v>0.4</v>
      </c>
      <c r="CJ13" s="90">
        <v>0</v>
      </c>
      <c r="CK13" s="90">
        <v>1</v>
      </c>
      <c r="CL13" s="90">
        <v>1</v>
      </c>
      <c r="CM13" s="90">
        <f t="shared" si="40"/>
        <v>0.4</v>
      </c>
      <c r="CN13" s="90">
        <f t="shared" si="41"/>
        <v>0.32000000000000006</v>
      </c>
      <c r="CO13" s="90">
        <f t="shared" si="42"/>
        <v>0.6</v>
      </c>
      <c r="CP13" s="90">
        <f t="shared" si="43"/>
        <v>0.48</v>
      </c>
      <c r="CQ13" s="90">
        <f>$CH13</f>
        <v>0.5</v>
      </c>
      <c r="CR13" s="90">
        <f>$CI13</f>
        <v>0.4</v>
      </c>
      <c r="CS13" s="90">
        <f>$CH13</f>
        <v>0.5</v>
      </c>
      <c r="CT13" s="90">
        <f>$CI13</f>
        <v>0.4</v>
      </c>
      <c r="CU13" s="90">
        <f>$CH13+15%</f>
        <v>0.65</v>
      </c>
      <c r="CV13" s="90">
        <f>$CI13+15%</f>
        <v>0.55000000000000004</v>
      </c>
      <c r="CW13" s="90">
        <f>$CH13-15%</f>
        <v>0.35</v>
      </c>
      <c r="CX13" s="90">
        <f>$CI13-15%</f>
        <v>0.25</v>
      </c>
      <c r="CY13" s="90">
        <f t="shared" si="8"/>
        <v>0.5</v>
      </c>
      <c r="CZ13" s="90">
        <f t="shared" si="9"/>
        <v>0.4</v>
      </c>
    </row>
    <row r="14" spans="1:104" x14ac:dyDescent="0.25">
      <c r="B14" s="36">
        <v>8</v>
      </c>
      <c r="C14" s="62">
        <v>0.12</v>
      </c>
      <c r="D14" s="62">
        <v>0.1</v>
      </c>
      <c r="E14" s="62">
        <f t="shared" si="10"/>
        <v>9.6000000000000002E-2</v>
      </c>
      <c r="F14" s="62">
        <f t="shared" si="11"/>
        <v>8.0000000000000016E-2</v>
      </c>
      <c r="G14" s="62">
        <f t="shared" si="12"/>
        <v>0.14399999999999999</v>
      </c>
      <c r="H14" s="62">
        <f t="shared" si="13"/>
        <v>0.12</v>
      </c>
      <c r="I14" s="62">
        <v>0.12</v>
      </c>
      <c r="J14" s="62">
        <v>0.1</v>
      </c>
      <c r="K14" s="62">
        <v>0.5</v>
      </c>
      <c r="L14" s="62">
        <v>0.4</v>
      </c>
      <c r="M14" s="62">
        <f t="shared" si="14"/>
        <v>0.4</v>
      </c>
      <c r="N14" s="62">
        <f t="shared" si="15"/>
        <v>0.32000000000000006</v>
      </c>
      <c r="O14" s="62">
        <f t="shared" si="16"/>
        <v>0.6</v>
      </c>
      <c r="P14" s="62">
        <f t="shared" si="17"/>
        <v>0.48</v>
      </c>
      <c r="Q14" s="63">
        <v>0.1</v>
      </c>
      <c r="R14" s="65">
        <f t="shared" si="0"/>
        <v>8.0000000000000016E-2</v>
      </c>
      <c r="S14" s="65">
        <f t="shared" si="18"/>
        <v>0.12</v>
      </c>
      <c r="T14" s="63">
        <v>2.2499999999999999E-2</v>
      </c>
      <c r="U14" s="63">
        <v>2.2499999999999999E-2</v>
      </c>
      <c r="V14" s="63">
        <f t="shared" si="19"/>
        <v>1.7999999999999999E-2</v>
      </c>
      <c r="W14" s="63">
        <f t="shared" si="20"/>
        <v>1.7999999999999999E-2</v>
      </c>
      <c r="X14" s="63">
        <f t="shared" si="21"/>
        <v>2.7E-2</v>
      </c>
      <c r="Y14" s="63">
        <f t="shared" si="22"/>
        <v>2.7E-2</v>
      </c>
      <c r="Z14" s="63">
        <v>3.5000000000000003E-2</v>
      </c>
      <c r="AA14" s="63">
        <v>3.5000000000000003E-2</v>
      </c>
      <c r="AB14" s="63">
        <f t="shared" si="23"/>
        <v>2.8000000000000004E-2</v>
      </c>
      <c r="AC14" s="63">
        <f t="shared" si="24"/>
        <v>2.8000000000000004E-2</v>
      </c>
      <c r="AD14" s="63">
        <f t="shared" si="25"/>
        <v>4.2000000000000003E-2</v>
      </c>
      <c r="AE14" s="63">
        <f t="shared" si="26"/>
        <v>4.2000000000000003E-2</v>
      </c>
      <c r="AF14" s="63">
        <v>6.5000000000000002E-2</v>
      </c>
      <c r="AG14" s="63">
        <f t="shared" si="27"/>
        <v>5.2000000000000005E-2</v>
      </c>
      <c r="AH14" s="63">
        <f t="shared" si="28"/>
        <v>7.8E-2</v>
      </c>
      <c r="AI14" s="63">
        <v>0.1575</v>
      </c>
      <c r="AJ14" s="63">
        <f t="shared" si="29"/>
        <v>0.126</v>
      </c>
      <c r="AK14" s="63">
        <f t="shared" si="30"/>
        <v>0.189</v>
      </c>
      <c r="AL14" s="63">
        <v>6.5000000000000002E-2</v>
      </c>
      <c r="AM14" s="63">
        <f t="shared" si="1"/>
        <v>5.2000000000000005E-2</v>
      </c>
      <c r="AN14" s="63">
        <f t="shared" si="31"/>
        <v>7.8E-2</v>
      </c>
      <c r="AO14" s="63">
        <v>2.75E-2</v>
      </c>
      <c r="AP14" s="63">
        <f t="shared" si="32"/>
        <v>2.2000000000000002E-2</v>
      </c>
      <c r="AQ14" s="63">
        <f t="shared" si="33"/>
        <v>3.3000000000000002E-2</v>
      </c>
      <c r="AR14" s="63">
        <v>2.75E-2</v>
      </c>
      <c r="AS14" s="63">
        <f t="shared" si="34"/>
        <v>2.2000000000000002E-2</v>
      </c>
      <c r="AT14" s="63">
        <f t="shared" si="35"/>
        <v>3.3000000000000002E-2</v>
      </c>
      <c r="AU14" s="80">
        <v>0.12</v>
      </c>
      <c r="AV14" s="80">
        <v>0.1</v>
      </c>
      <c r="AW14" s="80">
        <v>0.4</v>
      </c>
      <c r="AX14" s="80">
        <v>0.35</v>
      </c>
      <c r="AY14" s="80">
        <v>0.29491525419999998</v>
      </c>
      <c r="AZ14" s="80">
        <v>0.25805084750000001</v>
      </c>
      <c r="BA14" s="80">
        <v>0.27100000000000002</v>
      </c>
      <c r="BB14" s="80">
        <v>0.23699999999999999</v>
      </c>
      <c r="BC14" s="80">
        <v>0.03</v>
      </c>
      <c r="BD14" s="80">
        <v>0.03</v>
      </c>
      <c r="BE14" s="81">
        <v>0.03</v>
      </c>
      <c r="BF14" s="81">
        <v>0.03</v>
      </c>
      <c r="BG14" s="81">
        <v>2.2758620699999999E-2</v>
      </c>
      <c r="BH14" s="81">
        <v>2.2758620699999999E-2</v>
      </c>
      <c r="BI14" s="81">
        <v>0.06</v>
      </c>
      <c r="BJ14" s="81">
        <v>0.14000000000000001</v>
      </c>
      <c r="BK14" s="81">
        <v>3.5000000000000003E-2</v>
      </c>
      <c r="BL14" s="81">
        <v>0.03</v>
      </c>
      <c r="BM14" s="75">
        <v>3.5000000000000003E-2</v>
      </c>
      <c r="BN14" s="75">
        <v>2.655172413793104E-2</v>
      </c>
      <c r="BO14" s="75">
        <v>2.655172413793104E-2</v>
      </c>
      <c r="BP14" s="75">
        <v>0.36864406779661019</v>
      </c>
      <c r="BQ14" s="75">
        <v>0.29491525423728815</v>
      </c>
      <c r="BR14" s="75">
        <v>0.33898305084745767</v>
      </c>
      <c r="BS14" s="75">
        <v>0.2711864406779661</v>
      </c>
      <c r="BT14" s="75">
        <v>0.1</v>
      </c>
      <c r="BU14" s="82">
        <f t="shared" si="36"/>
        <v>0.10200000000000001</v>
      </c>
      <c r="BV14" s="82">
        <f t="shared" si="2"/>
        <v>9.8000000000000004E-2</v>
      </c>
      <c r="BW14" s="75">
        <v>0.1</v>
      </c>
      <c r="BX14" s="75">
        <f t="shared" si="3"/>
        <v>8.0000000000000016E-2</v>
      </c>
      <c r="BY14" s="75">
        <f t="shared" si="37"/>
        <v>0.12</v>
      </c>
      <c r="BZ14" s="75">
        <f t="shared" si="4"/>
        <v>2.8000000000000004E-2</v>
      </c>
      <c r="CA14" s="75">
        <f t="shared" si="5"/>
        <v>4.2000000000000003E-2</v>
      </c>
      <c r="CB14" s="75">
        <v>2.75E-2</v>
      </c>
      <c r="CC14" s="75">
        <v>2.75E-2</v>
      </c>
      <c r="CD14" s="75">
        <v>2.75E-2</v>
      </c>
      <c r="CE14" s="75">
        <v>6.0000000000000005E-2</v>
      </c>
      <c r="CF14" s="75">
        <v>0.1525</v>
      </c>
      <c r="CG14" s="75">
        <v>2.75E-2</v>
      </c>
      <c r="CH14" s="90">
        <v>0.2</v>
      </c>
      <c r="CI14" s="90">
        <v>0.15</v>
      </c>
      <c r="CJ14" s="90">
        <v>0</v>
      </c>
      <c r="CK14" s="90">
        <v>0</v>
      </c>
      <c r="CL14" s="90">
        <v>0</v>
      </c>
      <c r="CM14" s="90">
        <f t="shared" si="40"/>
        <v>0.16000000000000003</v>
      </c>
      <c r="CN14" s="90">
        <f t="shared" si="41"/>
        <v>0.12</v>
      </c>
      <c r="CO14" s="90">
        <f t="shared" si="42"/>
        <v>0.24</v>
      </c>
      <c r="CP14" s="90">
        <f t="shared" si="43"/>
        <v>0.18</v>
      </c>
      <c r="CQ14" s="90">
        <f t="shared" ref="CQ14:CY21" si="46">$CH14</f>
        <v>0.2</v>
      </c>
      <c r="CR14" s="90">
        <f t="shared" ref="CR14:CZ21" si="47">$CI14</f>
        <v>0.15</v>
      </c>
      <c r="CS14" s="90">
        <f t="shared" si="46"/>
        <v>0.2</v>
      </c>
      <c r="CT14" s="90">
        <f t="shared" si="47"/>
        <v>0.15</v>
      </c>
      <c r="CU14" s="90">
        <f t="shared" si="46"/>
        <v>0.2</v>
      </c>
      <c r="CV14" s="90">
        <f t="shared" si="47"/>
        <v>0.15</v>
      </c>
      <c r="CW14" s="90">
        <f t="shared" si="46"/>
        <v>0.2</v>
      </c>
      <c r="CX14" s="90">
        <f t="shared" si="47"/>
        <v>0.15</v>
      </c>
      <c r="CY14" s="90">
        <f t="shared" si="46"/>
        <v>0.2</v>
      </c>
      <c r="CZ14" s="90">
        <f t="shared" si="47"/>
        <v>0.15</v>
      </c>
    </row>
    <row r="15" spans="1:104" x14ac:dyDescent="0.25">
      <c r="B15" s="36">
        <v>9</v>
      </c>
      <c r="C15" s="62">
        <v>0.1</v>
      </c>
      <c r="D15" s="62">
        <v>0.08</v>
      </c>
      <c r="E15" s="62">
        <f t="shared" si="10"/>
        <v>8.0000000000000016E-2</v>
      </c>
      <c r="F15" s="62">
        <f t="shared" si="11"/>
        <v>6.4000000000000001E-2</v>
      </c>
      <c r="G15" s="62">
        <f t="shared" si="12"/>
        <v>0.12</v>
      </c>
      <c r="H15" s="62">
        <f t="shared" si="13"/>
        <v>9.6000000000000002E-2</v>
      </c>
      <c r="I15" s="62">
        <v>0.1</v>
      </c>
      <c r="J15" s="62">
        <v>0.08</v>
      </c>
      <c r="K15" s="62">
        <v>0.15</v>
      </c>
      <c r="L15" s="62">
        <v>0.12</v>
      </c>
      <c r="M15" s="62">
        <f t="shared" si="14"/>
        <v>0.12</v>
      </c>
      <c r="N15" s="62">
        <f t="shared" si="15"/>
        <v>9.6000000000000002E-2</v>
      </c>
      <c r="O15" s="62">
        <f t="shared" si="16"/>
        <v>0.18</v>
      </c>
      <c r="P15" s="62">
        <f t="shared" si="17"/>
        <v>0.14399999999999999</v>
      </c>
      <c r="Q15" s="63">
        <v>0.1</v>
      </c>
      <c r="R15" s="65">
        <f t="shared" si="0"/>
        <v>8.0000000000000016E-2</v>
      </c>
      <c r="S15" s="65">
        <f t="shared" si="18"/>
        <v>0.12</v>
      </c>
      <c r="T15" s="63">
        <v>0.5</v>
      </c>
      <c r="U15" s="63">
        <v>0.4</v>
      </c>
      <c r="V15" s="63">
        <f t="shared" si="19"/>
        <v>0.4</v>
      </c>
      <c r="W15" s="63">
        <f t="shared" si="20"/>
        <v>0.32000000000000006</v>
      </c>
      <c r="X15" s="63">
        <f t="shared" si="21"/>
        <v>0.6</v>
      </c>
      <c r="Y15" s="63">
        <f t="shared" si="22"/>
        <v>0.48</v>
      </c>
      <c r="Z15" s="63">
        <v>0.04</v>
      </c>
      <c r="AA15" s="63">
        <v>0.04</v>
      </c>
      <c r="AB15" s="63">
        <f t="shared" si="23"/>
        <v>3.2000000000000001E-2</v>
      </c>
      <c r="AC15" s="63">
        <f t="shared" si="24"/>
        <v>3.2000000000000001E-2</v>
      </c>
      <c r="AD15" s="63">
        <f t="shared" si="25"/>
        <v>4.8000000000000001E-2</v>
      </c>
      <c r="AE15" s="63">
        <f t="shared" si="26"/>
        <v>4.8000000000000001E-2</v>
      </c>
      <c r="AF15" s="63">
        <v>0.06</v>
      </c>
      <c r="AG15" s="63">
        <f t="shared" si="27"/>
        <v>4.8000000000000001E-2</v>
      </c>
      <c r="AH15" s="63">
        <f t="shared" si="28"/>
        <v>7.1999999999999995E-2</v>
      </c>
      <c r="AI15" s="63">
        <v>0.08</v>
      </c>
      <c r="AJ15" s="63">
        <f t="shared" si="29"/>
        <v>6.4000000000000001E-2</v>
      </c>
      <c r="AK15" s="63">
        <f t="shared" si="30"/>
        <v>9.6000000000000002E-2</v>
      </c>
      <c r="AL15" s="63">
        <v>6.5000000000000002E-2</v>
      </c>
      <c r="AM15" s="63">
        <f t="shared" si="1"/>
        <v>5.2000000000000005E-2</v>
      </c>
      <c r="AN15" s="63">
        <f t="shared" si="31"/>
        <v>7.8E-2</v>
      </c>
      <c r="AO15" s="63">
        <v>3.5000000000000003E-2</v>
      </c>
      <c r="AP15" s="63">
        <f t="shared" si="32"/>
        <v>2.8000000000000004E-2</v>
      </c>
      <c r="AQ15" s="63">
        <f t="shared" si="33"/>
        <v>4.2000000000000003E-2</v>
      </c>
      <c r="AR15" s="63">
        <v>3.5000000000000003E-2</v>
      </c>
      <c r="AS15" s="63">
        <f t="shared" si="34"/>
        <v>2.8000000000000004E-2</v>
      </c>
      <c r="AT15" s="63">
        <f t="shared" si="35"/>
        <v>4.2000000000000003E-2</v>
      </c>
      <c r="AU15" s="80">
        <v>0.1</v>
      </c>
      <c r="AV15" s="80">
        <v>0.08</v>
      </c>
      <c r="AW15" s="80">
        <v>0.15</v>
      </c>
      <c r="AX15" s="80">
        <v>0.12</v>
      </c>
      <c r="AY15" s="80">
        <v>0.12743362830000002</v>
      </c>
      <c r="AZ15" s="80">
        <v>0.10194690270000001</v>
      </c>
      <c r="BA15" s="80">
        <v>0.11199999999999999</v>
      </c>
      <c r="BB15" s="80">
        <v>8.900000000000001E-2</v>
      </c>
      <c r="BC15" s="80">
        <v>0.4</v>
      </c>
      <c r="BD15" s="80">
        <v>0.35</v>
      </c>
      <c r="BE15" s="81">
        <v>0.03</v>
      </c>
      <c r="BF15" s="81">
        <v>0.03</v>
      </c>
      <c r="BG15" s="81">
        <v>2.4152542399999997E-2</v>
      </c>
      <c r="BH15" s="81">
        <v>2.4152542399999997E-2</v>
      </c>
      <c r="BI15" s="81">
        <v>5.5E-2</v>
      </c>
      <c r="BJ15" s="81">
        <v>0.08</v>
      </c>
      <c r="BK15" s="81">
        <v>4.4999999999999998E-2</v>
      </c>
      <c r="BL15" s="81">
        <v>0.03</v>
      </c>
      <c r="BM15" s="75">
        <v>0.04</v>
      </c>
      <c r="BN15" s="75">
        <v>3.220338983050848E-2</v>
      </c>
      <c r="BO15" s="75">
        <v>3.220338983050848E-2</v>
      </c>
      <c r="BP15" s="75">
        <v>0.1274336283185841</v>
      </c>
      <c r="BQ15" s="75">
        <v>0.10194690265486725</v>
      </c>
      <c r="BR15" s="75">
        <v>0.11150442477876106</v>
      </c>
      <c r="BS15" s="75">
        <v>8.920353982300884E-2</v>
      </c>
      <c r="BT15" s="75">
        <v>0.1</v>
      </c>
      <c r="BU15" s="82">
        <f t="shared" si="36"/>
        <v>0.10200000000000001</v>
      </c>
      <c r="BV15" s="82">
        <f t="shared" si="2"/>
        <v>9.8000000000000004E-2</v>
      </c>
      <c r="BW15" s="75">
        <v>0.1</v>
      </c>
      <c r="BX15" s="75">
        <f t="shared" si="3"/>
        <v>8.0000000000000016E-2</v>
      </c>
      <c r="BY15" s="75">
        <f t="shared" si="37"/>
        <v>0.12</v>
      </c>
      <c r="BZ15" s="75">
        <f t="shared" si="4"/>
        <v>3.2000000000000001E-2</v>
      </c>
      <c r="CA15" s="75">
        <f t="shared" si="5"/>
        <v>4.8000000000000001E-2</v>
      </c>
      <c r="CB15" s="75">
        <v>3.5000000000000003E-2</v>
      </c>
      <c r="CC15" s="75">
        <v>3.5000000000000003E-2</v>
      </c>
      <c r="CD15" s="75">
        <v>3.5000000000000003E-2</v>
      </c>
      <c r="CE15" s="75">
        <v>5.5E-2</v>
      </c>
      <c r="CF15" s="75">
        <v>7.4999999999999997E-2</v>
      </c>
      <c r="CG15" s="75">
        <v>3.5000000000000003E-2</v>
      </c>
      <c r="CH15" s="90">
        <v>0.1</v>
      </c>
      <c r="CI15" s="90">
        <v>0.1</v>
      </c>
      <c r="CJ15" s="90">
        <v>0</v>
      </c>
      <c r="CK15" s="90">
        <v>0</v>
      </c>
      <c r="CL15" s="90">
        <v>0</v>
      </c>
      <c r="CM15" s="90">
        <f t="shared" si="40"/>
        <v>8.0000000000000016E-2</v>
      </c>
      <c r="CN15" s="90">
        <f t="shared" si="41"/>
        <v>8.0000000000000016E-2</v>
      </c>
      <c r="CO15" s="90">
        <f t="shared" si="42"/>
        <v>0.12</v>
      </c>
      <c r="CP15" s="90">
        <f t="shared" si="43"/>
        <v>0.12</v>
      </c>
      <c r="CQ15" s="90">
        <f t="shared" si="46"/>
        <v>0.1</v>
      </c>
      <c r="CR15" s="90">
        <f t="shared" si="47"/>
        <v>0.1</v>
      </c>
      <c r="CS15" s="90">
        <f t="shared" si="46"/>
        <v>0.1</v>
      </c>
      <c r="CT15" s="90">
        <f t="shared" si="47"/>
        <v>0.1</v>
      </c>
      <c r="CU15" s="90">
        <f t="shared" si="46"/>
        <v>0.1</v>
      </c>
      <c r="CV15" s="90">
        <f t="shared" si="47"/>
        <v>0.1</v>
      </c>
      <c r="CW15" s="90">
        <f t="shared" si="46"/>
        <v>0.1</v>
      </c>
      <c r="CX15" s="90">
        <f t="shared" si="47"/>
        <v>0.1</v>
      </c>
      <c r="CY15" s="90">
        <f t="shared" si="46"/>
        <v>0.1</v>
      </c>
      <c r="CZ15" s="90">
        <f t="shared" si="47"/>
        <v>0.1</v>
      </c>
    </row>
    <row r="16" spans="1:104" x14ac:dyDescent="0.25">
      <c r="B16" s="36">
        <v>10</v>
      </c>
      <c r="C16" s="62">
        <v>0.1</v>
      </c>
      <c r="D16" s="62">
        <v>0.08</v>
      </c>
      <c r="E16" s="62">
        <f t="shared" si="10"/>
        <v>8.0000000000000016E-2</v>
      </c>
      <c r="F16" s="62">
        <f t="shared" si="11"/>
        <v>6.4000000000000001E-2</v>
      </c>
      <c r="G16" s="62">
        <f t="shared" si="12"/>
        <v>0.12</v>
      </c>
      <c r="H16" s="62">
        <f t="shared" si="13"/>
        <v>9.6000000000000002E-2</v>
      </c>
      <c r="I16" s="62">
        <v>0.1</v>
      </c>
      <c r="J16" s="62">
        <v>0.08</v>
      </c>
      <c r="K16" s="62">
        <v>0.12</v>
      </c>
      <c r="L16" s="62">
        <v>0.1</v>
      </c>
      <c r="M16" s="62">
        <f t="shared" si="14"/>
        <v>9.6000000000000002E-2</v>
      </c>
      <c r="N16" s="62">
        <f t="shared" si="15"/>
        <v>8.0000000000000016E-2</v>
      </c>
      <c r="O16" s="62">
        <f t="shared" si="16"/>
        <v>0.14399999999999999</v>
      </c>
      <c r="P16" s="62">
        <f t="shared" si="17"/>
        <v>0.12</v>
      </c>
      <c r="Q16" s="63">
        <v>0.1</v>
      </c>
      <c r="R16" s="65">
        <f t="shared" si="0"/>
        <v>8.0000000000000016E-2</v>
      </c>
      <c r="S16" s="65">
        <f t="shared" si="18"/>
        <v>0.12</v>
      </c>
      <c r="T16" s="63">
        <v>0.15</v>
      </c>
      <c r="U16" s="63">
        <v>0.12</v>
      </c>
      <c r="V16" s="63">
        <f t="shared" si="19"/>
        <v>0.12</v>
      </c>
      <c r="W16" s="63">
        <f t="shared" si="20"/>
        <v>9.6000000000000002E-2</v>
      </c>
      <c r="X16" s="63">
        <f t="shared" si="21"/>
        <v>0.18</v>
      </c>
      <c r="Y16" s="63">
        <f t="shared" si="22"/>
        <v>0.14399999999999999</v>
      </c>
      <c r="Z16" s="63">
        <v>4.4999999999999998E-2</v>
      </c>
      <c r="AA16" s="63">
        <v>4.4999999999999998E-2</v>
      </c>
      <c r="AB16" s="63">
        <f t="shared" si="23"/>
        <v>3.5999999999999997E-2</v>
      </c>
      <c r="AC16" s="63">
        <f t="shared" si="24"/>
        <v>3.5999999999999997E-2</v>
      </c>
      <c r="AD16" s="63">
        <f t="shared" si="25"/>
        <v>5.3999999999999999E-2</v>
      </c>
      <c r="AE16" s="63">
        <f t="shared" si="26"/>
        <v>5.3999999999999999E-2</v>
      </c>
      <c r="AF16" s="63">
        <v>5.5E-2</v>
      </c>
      <c r="AG16" s="63">
        <f t="shared" si="27"/>
        <v>4.4000000000000004E-2</v>
      </c>
      <c r="AH16" s="63">
        <f t="shared" si="28"/>
        <v>6.6000000000000003E-2</v>
      </c>
      <c r="AI16" s="63">
        <v>7.4999999999999997E-2</v>
      </c>
      <c r="AJ16" s="63">
        <f t="shared" si="29"/>
        <v>0.06</v>
      </c>
      <c r="AK16" s="63">
        <f t="shared" si="30"/>
        <v>0.09</v>
      </c>
      <c r="AL16" s="63">
        <v>6.5000000000000002E-2</v>
      </c>
      <c r="AM16" s="63">
        <f t="shared" si="1"/>
        <v>5.2000000000000005E-2</v>
      </c>
      <c r="AN16" s="63">
        <f t="shared" si="31"/>
        <v>7.8E-2</v>
      </c>
      <c r="AO16" s="63">
        <v>0.05</v>
      </c>
      <c r="AP16" s="63">
        <f t="shared" si="32"/>
        <v>4.0000000000000008E-2</v>
      </c>
      <c r="AQ16" s="63">
        <f t="shared" si="33"/>
        <v>0.06</v>
      </c>
      <c r="AR16" s="63">
        <v>0.05</v>
      </c>
      <c r="AS16" s="63">
        <f t="shared" si="34"/>
        <v>4.0000000000000008E-2</v>
      </c>
      <c r="AT16" s="63">
        <f t="shared" si="35"/>
        <v>0.06</v>
      </c>
      <c r="AU16" s="80">
        <v>0.1</v>
      </c>
      <c r="AV16" s="80">
        <v>0.08</v>
      </c>
      <c r="AW16" s="80">
        <v>0.12</v>
      </c>
      <c r="AX16" s="80">
        <v>0.1</v>
      </c>
      <c r="AY16" s="80">
        <v>0.11547169809999999</v>
      </c>
      <c r="AZ16" s="80">
        <v>9.622641509999999E-2</v>
      </c>
      <c r="BA16" s="80">
        <v>8.6999999999999994E-2</v>
      </c>
      <c r="BB16" s="80">
        <v>7.2999999999999995E-2</v>
      </c>
      <c r="BC16" s="80">
        <v>0.15</v>
      </c>
      <c r="BD16" s="80">
        <v>0.12</v>
      </c>
      <c r="BE16" s="81">
        <v>0.03</v>
      </c>
      <c r="BF16" s="81">
        <v>0.03</v>
      </c>
      <c r="BG16" s="81">
        <v>2.23140496E-2</v>
      </c>
      <c r="BH16" s="81">
        <v>2.23140496E-2</v>
      </c>
      <c r="BI16" s="81">
        <v>0.05</v>
      </c>
      <c r="BJ16" s="81">
        <v>7.0000000000000007E-2</v>
      </c>
      <c r="BK16" s="81">
        <v>4.4999999999999998E-2</v>
      </c>
      <c r="BL16" s="81">
        <v>0.03</v>
      </c>
      <c r="BM16" s="75">
        <v>4.4999999999999998E-2</v>
      </c>
      <c r="BN16" s="75">
        <v>3.3471074380165292E-2</v>
      </c>
      <c r="BO16" s="75">
        <v>3.3471074380165292E-2</v>
      </c>
      <c r="BP16" s="75">
        <v>0.11547169811320755</v>
      </c>
      <c r="BQ16" s="75">
        <v>9.6226415094339615E-2</v>
      </c>
      <c r="BR16" s="75">
        <v>8.7169811320754714E-2</v>
      </c>
      <c r="BS16" s="75">
        <v>7.2641509433962262E-2</v>
      </c>
      <c r="BT16" s="75">
        <v>0.1</v>
      </c>
      <c r="BU16" s="82">
        <f t="shared" si="36"/>
        <v>0.10200000000000001</v>
      </c>
      <c r="BV16" s="82">
        <f t="shared" si="2"/>
        <v>9.8000000000000004E-2</v>
      </c>
      <c r="BW16" s="75">
        <v>0.1</v>
      </c>
      <c r="BX16" s="75">
        <f t="shared" si="3"/>
        <v>8.0000000000000016E-2</v>
      </c>
      <c r="BY16" s="75">
        <f t="shared" si="37"/>
        <v>0.12</v>
      </c>
      <c r="BZ16" s="75">
        <f t="shared" si="4"/>
        <v>3.5999999999999997E-2</v>
      </c>
      <c r="CA16" s="75">
        <f t="shared" si="5"/>
        <v>5.3999999999999999E-2</v>
      </c>
      <c r="CB16" s="75">
        <v>0.05</v>
      </c>
      <c r="CC16" s="75">
        <v>0.05</v>
      </c>
      <c r="CD16" s="75">
        <v>0.05</v>
      </c>
      <c r="CE16" s="75">
        <v>5.5E-2</v>
      </c>
      <c r="CF16" s="75">
        <v>6.9999999999999993E-2</v>
      </c>
      <c r="CG16" s="75">
        <v>0.05</v>
      </c>
      <c r="CH16" s="90">
        <v>0.1</v>
      </c>
      <c r="CI16" s="90">
        <v>0.1</v>
      </c>
      <c r="CJ16" s="90">
        <v>0</v>
      </c>
      <c r="CK16" s="90">
        <v>0</v>
      </c>
      <c r="CL16" s="90">
        <v>0</v>
      </c>
      <c r="CM16" s="90">
        <f t="shared" si="40"/>
        <v>8.0000000000000016E-2</v>
      </c>
      <c r="CN16" s="90">
        <f t="shared" si="41"/>
        <v>8.0000000000000016E-2</v>
      </c>
      <c r="CO16" s="90">
        <f t="shared" si="42"/>
        <v>0.12</v>
      </c>
      <c r="CP16" s="90">
        <f t="shared" si="43"/>
        <v>0.12</v>
      </c>
      <c r="CQ16" s="90">
        <f t="shared" si="46"/>
        <v>0.1</v>
      </c>
      <c r="CR16" s="90">
        <f t="shared" si="47"/>
        <v>0.1</v>
      </c>
      <c r="CS16" s="90">
        <f t="shared" si="46"/>
        <v>0.1</v>
      </c>
      <c r="CT16" s="90">
        <f t="shared" si="47"/>
        <v>0.1</v>
      </c>
      <c r="CU16" s="90">
        <f t="shared" si="46"/>
        <v>0.1</v>
      </c>
      <c r="CV16" s="90">
        <f t="shared" si="47"/>
        <v>0.1</v>
      </c>
      <c r="CW16" s="90">
        <f t="shared" si="46"/>
        <v>0.1</v>
      </c>
      <c r="CX16" s="90">
        <f t="shared" si="47"/>
        <v>0.1</v>
      </c>
      <c r="CY16" s="90">
        <f t="shared" si="46"/>
        <v>0.1</v>
      </c>
      <c r="CZ16" s="90">
        <f t="shared" si="47"/>
        <v>0.1</v>
      </c>
    </row>
    <row r="17" spans="2:104" x14ac:dyDescent="0.25">
      <c r="B17" s="36">
        <v>11</v>
      </c>
      <c r="C17" s="62">
        <v>0.1</v>
      </c>
      <c r="D17" s="62">
        <v>0.08</v>
      </c>
      <c r="E17" s="62">
        <f t="shared" si="10"/>
        <v>8.0000000000000016E-2</v>
      </c>
      <c r="F17" s="62">
        <f t="shared" si="11"/>
        <v>6.4000000000000001E-2</v>
      </c>
      <c r="G17" s="62">
        <f t="shared" si="12"/>
        <v>0.12</v>
      </c>
      <c r="H17" s="62">
        <f t="shared" si="13"/>
        <v>9.6000000000000002E-2</v>
      </c>
      <c r="I17" s="62">
        <v>0.1</v>
      </c>
      <c r="J17" s="62">
        <v>0.08</v>
      </c>
      <c r="K17" s="62">
        <v>0.1</v>
      </c>
      <c r="L17" s="62">
        <v>0.08</v>
      </c>
      <c r="M17" s="62">
        <f t="shared" si="14"/>
        <v>8.0000000000000016E-2</v>
      </c>
      <c r="N17" s="62">
        <f t="shared" si="15"/>
        <v>6.4000000000000001E-2</v>
      </c>
      <c r="O17" s="62">
        <f t="shared" si="16"/>
        <v>0.12</v>
      </c>
      <c r="P17" s="62">
        <f t="shared" si="17"/>
        <v>9.6000000000000002E-2</v>
      </c>
      <c r="Q17" s="63">
        <v>0.1</v>
      </c>
      <c r="R17" s="65">
        <f t="shared" si="0"/>
        <v>8.0000000000000016E-2</v>
      </c>
      <c r="S17" s="65">
        <f t="shared" si="18"/>
        <v>0.12</v>
      </c>
      <c r="T17" s="63">
        <v>0.12</v>
      </c>
      <c r="U17" s="63">
        <v>0.1</v>
      </c>
      <c r="V17" s="63">
        <f t="shared" si="19"/>
        <v>9.6000000000000002E-2</v>
      </c>
      <c r="W17" s="63">
        <f t="shared" si="20"/>
        <v>8.0000000000000016E-2</v>
      </c>
      <c r="X17" s="63">
        <f t="shared" si="21"/>
        <v>0.14399999999999999</v>
      </c>
      <c r="Y17" s="63">
        <f t="shared" si="22"/>
        <v>0.12</v>
      </c>
      <c r="Z17" s="63">
        <v>0.5</v>
      </c>
      <c r="AA17" s="63">
        <v>0.4</v>
      </c>
      <c r="AB17" s="63">
        <f t="shared" si="23"/>
        <v>0.4</v>
      </c>
      <c r="AC17" s="63">
        <f t="shared" si="24"/>
        <v>0.32000000000000006</v>
      </c>
      <c r="AD17" s="63">
        <f t="shared" si="25"/>
        <v>0.6</v>
      </c>
      <c r="AE17" s="63">
        <f t="shared" si="26"/>
        <v>0.48</v>
      </c>
      <c r="AF17" s="63">
        <v>5.5E-2</v>
      </c>
      <c r="AG17" s="63">
        <f t="shared" si="27"/>
        <v>4.4000000000000004E-2</v>
      </c>
      <c r="AH17" s="63">
        <f t="shared" si="28"/>
        <v>6.6000000000000003E-2</v>
      </c>
      <c r="AI17" s="63">
        <v>7.0000000000000007E-2</v>
      </c>
      <c r="AJ17" s="63">
        <f t="shared" si="29"/>
        <v>5.6000000000000008E-2</v>
      </c>
      <c r="AK17" s="63">
        <f t="shared" si="30"/>
        <v>8.4000000000000005E-2</v>
      </c>
      <c r="AL17" s="63">
        <v>6.5000000000000002E-2</v>
      </c>
      <c r="AM17" s="63">
        <f t="shared" si="1"/>
        <v>5.2000000000000005E-2</v>
      </c>
      <c r="AN17" s="63">
        <f t="shared" si="31"/>
        <v>7.8E-2</v>
      </c>
      <c r="AO17" s="63">
        <v>0.1575</v>
      </c>
      <c r="AP17" s="63">
        <f t="shared" si="32"/>
        <v>0.126</v>
      </c>
      <c r="AQ17" s="63">
        <f t="shared" si="33"/>
        <v>0.189</v>
      </c>
      <c r="AR17" s="63">
        <v>0.25</v>
      </c>
      <c r="AS17" s="63">
        <f t="shared" si="34"/>
        <v>0.2</v>
      </c>
      <c r="AT17" s="63">
        <f t="shared" si="35"/>
        <v>0.3</v>
      </c>
      <c r="AU17" s="80">
        <v>0.1</v>
      </c>
      <c r="AV17" s="80">
        <v>0.08</v>
      </c>
      <c r="AW17" s="80">
        <v>0.1</v>
      </c>
      <c r="AX17" s="80">
        <v>0.08</v>
      </c>
      <c r="AY17" s="80">
        <v>9.3333333300000001E-2</v>
      </c>
      <c r="AZ17" s="80">
        <v>7.4666666700000009E-2</v>
      </c>
      <c r="BA17" s="80">
        <v>8.5999999999999993E-2</v>
      </c>
      <c r="BB17" s="80">
        <v>6.9000000000000006E-2</v>
      </c>
      <c r="BC17" s="80">
        <v>0.12</v>
      </c>
      <c r="BD17" s="80">
        <v>0.1</v>
      </c>
      <c r="BE17" s="81">
        <v>0.4</v>
      </c>
      <c r="BF17" s="81">
        <v>0.35</v>
      </c>
      <c r="BG17" s="81">
        <v>0.29491525419999998</v>
      </c>
      <c r="BH17" s="81">
        <v>0.25805084750000001</v>
      </c>
      <c r="BI17" s="81">
        <v>0.05</v>
      </c>
      <c r="BJ17" s="81">
        <v>6.5000000000000002E-2</v>
      </c>
      <c r="BK17" s="81">
        <v>0.2</v>
      </c>
      <c r="BL17" s="81">
        <v>0.05</v>
      </c>
      <c r="BM17" s="75">
        <v>0.4</v>
      </c>
      <c r="BN17" s="75">
        <v>0.36864406779661019</v>
      </c>
      <c r="BO17" s="75">
        <v>0.29491525423728815</v>
      </c>
      <c r="BP17" s="75">
        <v>9.3333333333333338E-2</v>
      </c>
      <c r="BQ17" s="75">
        <v>7.4666666666666659E-2</v>
      </c>
      <c r="BR17" s="75">
        <v>8.5714285714285715E-2</v>
      </c>
      <c r="BS17" s="75">
        <v>6.8571428571428561E-2</v>
      </c>
      <c r="BT17" s="75">
        <v>0.1</v>
      </c>
      <c r="BU17" s="82">
        <f t="shared" si="36"/>
        <v>0.10200000000000001</v>
      </c>
      <c r="BV17" s="82">
        <f t="shared" si="2"/>
        <v>9.8000000000000004E-2</v>
      </c>
      <c r="BW17" s="75">
        <v>0.1</v>
      </c>
      <c r="BX17" s="75">
        <f t="shared" si="3"/>
        <v>8.0000000000000016E-2</v>
      </c>
      <c r="BY17" s="75">
        <f t="shared" si="37"/>
        <v>0.12</v>
      </c>
      <c r="BZ17" s="75">
        <f t="shared" si="4"/>
        <v>0.32000000000000006</v>
      </c>
      <c r="CA17" s="75">
        <f t="shared" si="5"/>
        <v>0.48</v>
      </c>
      <c r="CB17" s="75">
        <v>0.1</v>
      </c>
      <c r="CC17" s="75">
        <v>0.2</v>
      </c>
      <c r="CD17" s="75">
        <v>0.3</v>
      </c>
      <c r="CE17" s="75">
        <v>5.5E-2</v>
      </c>
      <c r="CF17" s="75">
        <v>6.5000000000000002E-2</v>
      </c>
      <c r="CG17" s="75">
        <v>0.1525</v>
      </c>
      <c r="CH17" s="90">
        <v>0.1</v>
      </c>
      <c r="CI17" s="90">
        <v>0.1</v>
      </c>
      <c r="CJ17" s="90">
        <v>0</v>
      </c>
      <c r="CK17" s="90">
        <v>0</v>
      </c>
      <c r="CL17" s="90">
        <v>0</v>
      </c>
      <c r="CM17" s="90">
        <f t="shared" si="40"/>
        <v>8.0000000000000016E-2</v>
      </c>
      <c r="CN17" s="90">
        <f t="shared" si="41"/>
        <v>8.0000000000000016E-2</v>
      </c>
      <c r="CO17" s="90">
        <f t="shared" si="42"/>
        <v>0.12</v>
      </c>
      <c r="CP17" s="90">
        <f t="shared" si="43"/>
        <v>0.12</v>
      </c>
      <c r="CQ17" s="90">
        <f t="shared" si="46"/>
        <v>0.1</v>
      </c>
      <c r="CR17" s="90">
        <f t="shared" si="47"/>
        <v>0.1</v>
      </c>
      <c r="CS17" s="90">
        <f t="shared" si="46"/>
        <v>0.1</v>
      </c>
      <c r="CT17" s="90">
        <f t="shared" si="47"/>
        <v>0.1</v>
      </c>
      <c r="CU17" s="90">
        <f t="shared" si="46"/>
        <v>0.1</v>
      </c>
      <c r="CV17" s="90">
        <f t="shared" si="47"/>
        <v>0.1</v>
      </c>
      <c r="CW17" s="90">
        <f t="shared" si="46"/>
        <v>0.1</v>
      </c>
      <c r="CX17" s="90">
        <f t="shared" si="47"/>
        <v>0.1</v>
      </c>
      <c r="CY17" s="90">
        <f t="shared" si="46"/>
        <v>0.1</v>
      </c>
      <c r="CZ17" s="90">
        <f t="shared" si="47"/>
        <v>0.1</v>
      </c>
    </row>
    <row r="18" spans="2:104" x14ac:dyDescent="0.25">
      <c r="B18" s="36">
        <v>12</v>
      </c>
      <c r="C18" s="62">
        <v>0.1</v>
      </c>
      <c r="D18" s="62">
        <v>0.08</v>
      </c>
      <c r="E18" s="62">
        <f t="shared" si="10"/>
        <v>8.0000000000000016E-2</v>
      </c>
      <c r="F18" s="62">
        <f t="shared" si="11"/>
        <v>6.4000000000000001E-2</v>
      </c>
      <c r="G18" s="62">
        <f t="shared" si="12"/>
        <v>0.12</v>
      </c>
      <c r="H18" s="62">
        <f t="shared" si="13"/>
        <v>9.6000000000000002E-2</v>
      </c>
      <c r="I18" s="62">
        <v>0.1</v>
      </c>
      <c r="J18" s="62">
        <v>0.08</v>
      </c>
      <c r="K18" s="62">
        <v>0.1</v>
      </c>
      <c r="L18" s="62">
        <v>0.08</v>
      </c>
      <c r="M18" s="62">
        <f t="shared" si="14"/>
        <v>8.0000000000000016E-2</v>
      </c>
      <c r="N18" s="62">
        <f t="shared" si="15"/>
        <v>6.4000000000000001E-2</v>
      </c>
      <c r="O18" s="62">
        <f t="shared" si="16"/>
        <v>0.12</v>
      </c>
      <c r="P18" s="62">
        <f t="shared" si="17"/>
        <v>9.6000000000000002E-2</v>
      </c>
      <c r="Q18" s="63">
        <v>0.1</v>
      </c>
      <c r="R18" s="65">
        <f t="shared" si="0"/>
        <v>8.0000000000000016E-2</v>
      </c>
      <c r="S18" s="65">
        <f t="shared" si="18"/>
        <v>0.12</v>
      </c>
      <c r="T18" s="63">
        <v>0.1</v>
      </c>
      <c r="U18" s="63">
        <v>0.08</v>
      </c>
      <c r="V18" s="63">
        <f t="shared" si="19"/>
        <v>8.0000000000000016E-2</v>
      </c>
      <c r="W18" s="63">
        <f t="shared" si="20"/>
        <v>6.4000000000000001E-2</v>
      </c>
      <c r="X18" s="63">
        <f t="shared" si="21"/>
        <v>0.12</v>
      </c>
      <c r="Y18" s="63">
        <f t="shared" si="22"/>
        <v>9.6000000000000002E-2</v>
      </c>
      <c r="Z18" s="63">
        <v>0.15</v>
      </c>
      <c r="AA18" s="63">
        <v>0.12</v>
      </c>
      <c r="AB18" s="63">
        <f t="shared" si="23"/>
        <v>0.12</v>
      </c>
      <c r="AC18" s="63">
        <f t="shared" si="24"/>
        <v>9.6000000000000002E-2</v>
      </c>
      <c r="AD18" s="63">
        <f t="shared" si="25"/>
        <v>0.18</v>
      </c>
      <c r="AE18" s="63">
        <f t="shared" si="26"/>
        <v>0.14399999999999999</v>
      </c>
      <c r="AF18" s="63">
        <v>5.5E-2</v>
      </c>
      <c r="AG18" s="63">
        <f t="shared" si="27"/>
        <v>4.4000000000000004E-2</v>
      </c>
      <c r="AH18" s="63">
        <f t="shared" si="28"/>
        <v>6.6000000000000003E-2</v>
      </c>
      <c r="AI18" s="63">
        <v>6.5000000000000002E-2</v>
      </c>
      <c r="AJ18" s="63">
        <f t="shared" si="29"/>
        <v>5.2000000000000005E-2</v>
      </c>
      <c r="AK18" s="63">
        <f t="shared" si="30"/>
        <v>7.8E-2</v>
      </c>
      <c r="AL18" s="63">
        <v>6.5000000000000002E-2</v>
      </c>
      <c r="AM18" s="63">
        <f t="shared" si="1"/>
        <v>5.2000000000000005E-2</v>
      </c>
      <c r="AN18" s="63">
        <f t="shared" si="31"/>
        <v>7.8E-2</v>
      </c>
      <c r="AO18" s="63">
        <v>0.08</v>
      </c>
      <c r="AP18" s="63">
        <f t="shared" si="32"/>
        <v>6.4000000000000001E-2</v>
      </c>
      <c r="AQ18" s="63">
        <f t="shared" si="33"/>
        <v>9.6000000000000002E-2</v>
      </c>
      <c r="AR18" s="63">
        <v>0.08</v>
      </c>
      <c r="AS18" s="63">
        <f t="shared" si="34"/>
        <v>6.4000000000000001E-2</v>
      </c>
      <c r="AT18" s="63">
        <f t="shared" si="35"/>
        <v>9.6000000000000002E-2</v>
      </c>
      <c r="AU18" s="80">
        <v>0.1</v>
      </c>
      <c r="AV18" s="80">
        <v>0.08</v>
      </c>
      <c r="AW18" s="80">
        <v>0.1</v>
      </c>
      <c r="AX18" s="80">
        <v>0.08</v>
      </c>
      <c r="AY18" s="80">
        <v>8.6999999999999994E-2</v>
      </c>
      <c r="AZ18" s="80">
        <v>6.9599999999999995E-2</v>
      </c>
      <c r="BA18" s="80">
        <v>7.4999999999999997E-2</v>
      </c>
      <c r="BB18" s="80">
        <v>0.06</v>
      </c>
      <c r="BC18" s="80">
        <v>0.1</v>
      </c>
      <c r="BD18" s="80">
        <v>0.08</v>
      </c>
      <c r="BE18" s="81">
        <v>0.15</v>
      </c>
      <c r="BF18" s="81">
        <v>0.12</v>
      </c>
      <c r="BG18" s="81">
        <v>0.12743362830000002</v>
      </c>
      <c r="BH18" s="81">
        <v>0.10194690270000001</v>
      </c>
      <c r="BI18" s="81">
        <v>0.05</v>
      </c>
      <c r="BJ18" s="81">
        <v>0.06</v>
      </c>
      <c r="BK18" s="81">
        <v>0.08</v>
      </c>
      <c r="BL18" s="81">
        <v>0.05</v>
      </c>
      <c r="BM18" s="75">
        <v>0.15</v>
      </c>
      <c r="BN18" s="75">
        <v>0.1274336283185841</v>
      </c>
      <c r="BO18" s="75">
        <v>0.10194690265486725</v>
      </c>
      <c r="BP18" s="75">
        <v>8.6999999999999994E-2</v>
      </c>
      <c r="BQ18" s="75">
        <v>6.9599999999999995E-2</v>
      </c>
      <c r="BR18" s="75">
        <v>7.4999999999999997E-2</v>
      </c>
      <c r="BS18" s="75">
        <v>0.06</v>
      </c>
      <c r="BT18" s="75">
        <v>0.1</v>
      </c>
      <c r="BU18" s="82">
        <f t="shared" si="36"/>
        <v>0.10200000000000001</v>
      </c>
      <c r="BV18" s="82">
        <f t="shared" si="2"/>
        <v>9.8000000000000004E-2</v>
      </c>
      <c r="BW18" s="75">
        <v>0.1</v>
      </c>
      <c r="BX18" s="75">
        <f t="shared" si="3"/>
        <v>8.0000000000000016E-2</v>
      </c>
      <c r="BY18" s="75">
        <f t="shared" si="37"/>
        <v>0.12</v>
      </c>
      <c r="BZ18" s="75">
        <f t="shared" si="4"/>
        <v>0.12</v>
      </c>
      <c r="CA18" s="75">
        <f t="shared" si="5"/>
        <v>0.18</v>
      </c>
      <c r="CB18" s="75">
        <v>0.08</v>
      </c>
      <c r="CC18" s="75">
        <v>0.08</v>
      </c>
      <c r="CD18" s="75">
        <v>0.08</v>
      </c>
      <c r="CE18" s="75">
        <v>5.5E-2</v>
      </c>
      <c r="CF18" s="75">
        <v>6.5000000000000002E-2</v>
      </c>
      <c r="CG18" s="75">
        <v>7.4999999999999997E-2</v>
      </c>
      <c r="CH18" s="90">
        <v>0.1</v>
      </c>
      <c r="CI18" s="90">
        <v>0.1</v>
      </c>
      <c r="CJ18" s="90">
        <v>0</v>
      </c>
      <c r="CK18" s="90">
        <v>0</v>
      </c>
      <c r="CL18" s="90">
        <v>0</v>
      </c>
      <c r="CM18" s="90">
        <f t="shared" si="40"/>
        <v>8.0000000000000016E-2</v>
      </c>
      <c r="CN18" s="90">
        <f t="shared" si="41"/>
        <v>8.0000000000000016E-2</v>
      </c>
      <c r="CO18" s="90">
        <f t="shared" si="42"/>
        <v>0.12</v>
      </c>
      <c r="CP18" s="90">
        <f t="shared" si="43"/>
        <v>0.12</v>
      </c>
      <c r="CQ18" s="90">
        <f t="shared" si="46"/>
        <v>0.1</v>
      </c>
      <c r="CR18" s="90">
        <f t="shared" si="47"/>
        <v>0.1</v>
      </c>
      <c r="CS18" s="90">
        <f t="shared" si="46"/>
        <v>0.1</v>
      </c>
      <c r="CT18" s="90">
        <f t="shared" si="47"/>
        <v>0.1</v>
      </c>
      <c r="CU18" s="90">
        <f t="shared" si="46"/>
        <v>0.1</v>
      </c>
      <c r="CV18" s="90">
        <f t="shared" si="47"/>
        <v>0.1</v>
      </c>
      <c r="CW18" s="90">
        <f t="shared" si="46"/>
        <v>0.1</v>
      </c>
      <c r="CX18" s="90">
        <f t="shared" si="47"/>
        <v>0.1</v>
      </c>
      <c r="CY18" s="90">
        <f t="shared" si="46"/>
        <v>0.1</v>
      </c>
      <c r="CZ18" s="90">
        <f t="shared" si="47"/>
        <v>0.1</v>
      </c>
    </row>
    <row r="19" spans="2:104" x14ac:dyDescent="0.25">
      <c r="B19" s="36">
        <v>13</v>
      </c>
      <c r="C19" s="62">
        <v>0.1</v>
      </c>
      <c r="D19" s="62">
        <v>0.08</v>
      </c>
      <c r="E19" s="62">
        <f t="shared" si="10"/>
        <v>8.0000000000000016E-2</v>
      </c>
      <c r="F19" s="62">
        <f t="shared" si="11"/>
        <v>6.4000000000000001E-2</v>
      </c>
      <c r="G19" s="62">
        <f t="shared" si="12"/>
        <v>0.12</v>
      </c>
      <c r="H19" s="62">
        <f t="shared" si="13"/>
        <v>9.6000000000000002E-2</v>
      </c>
      <c r="I19" s="62">
        <v>0.1</v>
      </c>
      <c r="J19" s="62">
        <v>0.08</v>
      </c>
      <c r="K19" s="62">
        <v>0.1</v>
      </c>
      <c r="L19" s="62">
        <v>0.08</v>
      </c>
      <c r="M19" s="62">
        <f t="shared" si="14"/>
        <v>8.0000000000000016E-2</v>
      </c>
      <c r="N19" s="62">
        <f t="shared" si="15"/>
        <v>6.4000000000000001E-2</v>
      </c>
      <c r="O19" s="62">
        <f t="shared" si="16"/>
        <v>0.12</v>
      </c>
      <c r="P19" s="62">
        <f t="shared" si="17"/>
        <v>9.6000000000000002E-2</v>
      </c>
      <c r="Q19" s="63">
        <v>0.1</v>
      </c>
      <c r="R19" s="65">
        <f t="shared" si="0"/>
        <v>8.0000000000000016E-2</v>
      </c>
      <c r="S19" s="65">
        <f t="shared" si="18"/>
        <v>0.12</v>
      </c>
      <c r="T19" s="63">
        <v>0.1</v>
      </c>
      <c r="U19" s="63">
        <v>0.08</v>
      </c>
      <c r="V19" s="63">
        <f t="shared" si="19"/>
        <v>8.0000000000000016E-2</v>
      </c>
      <c r="W19" s="63">
        <f t="shared" si="20"/>
        <v>6.4000000000000001E-2</v>
      </c>
      <c r="X19" s="63">
        <f t="shared" si="21"/>
        <v>0.12</v>
      </c>
      <c r="Y19" s="63">
        <f t="shared" si="22"/>
        <v>9.6000000000000002E-2</v>
      </c>
      <c r="Z19" s="63">
        <v>0.12</v>
      </c>
      <c r="AA19" s="63">
        <v>0.1</v>
      </c>
      <c r="AB19" s="63">
        <f t="shared" si="23"/>
        <v>9.6000000000000002E-2</v>
      </c>
      <c r="AC19" s="63">
        <f t="shared" si="24"/>
        <v>8.0000000000000016E-2</v>
      </c>
      <c r="AD19" s="63">
        <f t="shared" si="25"/>
        <v>0.14399999999999999</v>
      </c>
      <c r="AE19" s="63">
        <f t="shared" si="26"/>
        <v>0.12</v>
      </c>
      <c r="AF19" s="63">
        <v>5.5E-2</v>
      </c>
      <c r="AG19" s="63">
        <f t="shared" si="27"/>
        <v>4.4000000000000004E-2</v>
      </c>
      <c r="AH19" s="63">
        <f t="shared" si="28"/>
        <v>6.6000000000000003E-2</v>
      </c>
      <c r="AI19" s="63">
        <v>6.5000000000000002E-2</v>
      </c>
      <c r="AJ19" s="63">
        <f t="shared" si="29"/>
        <v>5.2000000000000005E-2</v>
      </c>
      <c r="AK19" s="63">
        <f t="shared" si="30"/>
        <v>7.8E-2</v>
      </c>
      <c r="AL19" s="63">
        <v>6.5000000000000002E-2</v>
      </c>
      <c r="AM19" s="63">
        <f t="shared" si="1"/>
        <v>5.2000000000000005E-2</v>
      </c>
      <c r="AN19" s="63">
        <f t="shared" si="31"/>
        <v>7.8E-2</v>
      </c>
      <c r="AO19" s="63">
        <v>7.4999999999999997E-2</v>
      </c>
      <c r="AP19" s="63">
        <f t="shared" si="32"/>
        <v>0.06</v>
      </c>
      <c r="AQ19" s="63">
        <f t="shared" si="33"/>
        <v>0.09</v>
      </c>
      <c r="AR19" s="63">
        <v>7.4999999999999997E-2</v>
      </c>
      <c r="AS19" s="63">
        <f t="shared" si="34"/>
        <v>0.06</v>
      </c>
      <c r="AT19" s="63">
        <f t="shared" si="35"/>
        <v>0.09</v>
      </c>
      <c r="AU19" s="80">
        <v>0.1</v>
      </c>
      <c r="AV19" s="80">
        <v>0.08</v>
      </c>
      <c r="AW19" s="80">
        <v>0.1</v>
      </c>
      <c r="AX19" s="80">
        <v>0.08</v>
      </c>
      <c r="AY19" s="80">
        <v>8.6999999999999994E-2</v>
      </c>
      <c r="AZ19" s="80">
        <v>6.9599999999999995E-2</v>
      </c>
      <c r="BA19" s="80">
        <v>7.4999999999999997E-2</v>
      </c>
      <c r="BB19" s="80">
        <v>0.06</v>
      </c>
      <c r="BC19" s="80">
        <v>0.1</v>
      </c>
      <c r="BD19" s="80">
        <v>0.08</v>
      </c>
      <c r="BE19" s="81">
        <v>0.12</v>
      </c>
      <c r="BF19" s="81">
        <v>0.1</v>
      </c>
      <c r="BG19" s="81">
        <v>0.11547169809999999</v>
      </c>
      <c r="BH19" s="81">
        <v>9.622641509999999E-2</v>
      </c>
      <c r="BI19" s="81">
        <v>0.05</v>
      </c>
      <c r="BJ19" s="81">
        <v>0.06</v>
      </c>
      <c r="BK19" s="81">
        <v>7.0000000000000007E-2</v>
      </c>
      <c r="BL19" s="81">
        <v>0.05</v>
      </c>
      <c r="BM19" s="75">
        <v>0.12</v>
      </c>
      <c r="BN19" s="75">
        <v>0.11547169811320755</v>
      </c>
      <c r="BO19" s="75">
        <v>9.6226415094339615E-2</v>
      </c>
      <c r="BP19" s="75">
        <v>8.6999999999999994E-2</v>
      </c>
      <c r="BQ19" s="75">
        <v>6.9599999999999995E-2</v>
      </c>
      <c r="BR19" s="75">
        <v>7.4999999999999997E-2</v>
      </c>
      <c r="BS19" s="75">
        <v>0.06</v>
      </c>
      <c r="BT19" s="75">
        <v>0.1</v>
      </c>
      <c r="BU19" s="82">
        <f t="shared" si="36"/>
        <v>0.10200000000000001</v>
      </c>
      <c r="BV19" s="82">
        <f t="shared" si="2"/>
        <v>9.8000000000000004E-2</v>
      </c>
      <c r="BW19" s="75">
        <v>0.1</v>
      </c>
      <c r="BX19" s="75">
        <f t="shared" si="3"/>
        <v>8.0000000000000016E-2</v>
      </c>
      <c r="BY19" s="75">
        <f t="shared" si="37"/>
        <v>0.12</v>
      </c>
      <c r="BZ19" s="75">
        <f t="shared" si="4"/>
        <v>9.6000000000000002E-2</v>
      </c>
      <c r="CA19" s="75">
        <f t="shared" si="5"/>
        <v>0.14399999999999999</v>
      </c>
      <c r="CB19" s="75">
        <v>7.4999999999999997E-2</v>
      </c>
      <c r="CC19" s="75">
        <v>7.4999999999999997E-2</v>
      </c>
      <c r="CD19" s="75">
        <v>7.4999999999999997E-2</v>
      </c>
      <c r="CE19" s="75">
        <v>5.5E-2</v>
      </c>
      <c r="CF19" s="75">
        <v>6.5000000000000002E-2</v>
      </c>
      <c r="CG19" s="75">
        <v>6.9999999999999993E-2</v>
      </c>
      <c r="CH19" s="90">
        <v>0.1</v>
      </c>
      <c r="CI19" s="90">
        <v>0.1</v>
      </c>
      <c r="CJ19" s="90">
        <v>0</v>
      </c>
      <c r="CK19" s="90">
        <v>0</v>
      </c>
      <c r="CL19" s="90">
        <v>0</v>
      </c>
      <c r="CM19" s="90">
        <f t="shared" si="40"/>
        <v>8.0000000000000016E-2</v>
      </c>
      <c r="CN19" s="90">
        <f t="shared" si="41"/>
        <v>8.0000000000000016E-2</v>
      </c>
      <c r="CO19" s="90">
        <f t="shared" si="42"/>
        <v>0.12</v>
      </c>
      <c r="CP19" s="90">
        <f t="shared" si="43"/>
        <v>0.12</v>
      </c>
      <c r="CQ19" s="90">
        <f t="shared" si="46"/>
        <v>0.1</v>
      </c>
      <c r="CR19" s="90">
        <f t="shared" si="47"/>
        <v>0.1</v>
      </c>
      <c r="CS19" s="90">
        <f t="shared" si="46"/>
        <v>0.1</v>
      </c>
      <c r="CT19" s="90">
        <f t="shared" si="47"/>
        <v>0.1</v>
      </c>
      <c r="CU19" s="90">
        <f t="shared" si="46"/>
        <v>0.1</v>
      </c>
      <c r="CV19" s="90">
        <f t="shared" si="47"/>
        <v>0.1</v>
      </c>
      <c r="CW19" s="90">
        <f t="shared" si="46"/>
        <v>0.1</v>
      </c>
      <c r="CX19" s="90">
        <f t="shared" si="47"/>
        <v>0.1</v>
      </c>
      <c r="CY19" s="90">
        <f t="shared" si="46"/>
        <v>0.1</v>
      </c>
      <c r="CZ19" s="90">
        <f t="shared" si="47"/>
        <v>0.1</v>
      </c>
    </row>
    <row r="20" spans="2:104" x14ac:dyDescent="0.25">
      <c r="B20" s="36">
        <v>14</v>
      </c>
      <c r="C20" s="62">
        <v>0.1</v>
      </c>
      <c r="D20" s="62">
        <v>0.08</v>
      </c>
      <c r="E20" s="62">
        <f t="shared" si="10"/>
        <v>8.0000000000000016E-2</v>
      </c>
      <c r="F20" s="62">
        <f t="shared" si="11"/>
        <v>6.4000000000000001E-2</v>
      </c>
      <c r="G20" s="62">
        <f t="shared" si="12"/>
        <v>0.12</v>
      </c>
      <c r="H20" s="62">
        <f t="shared" si="13"/>
        <v>9.6000000000000002E-2</v>
      </c>
      <c r="I20" s="62">
        <v>0.1</v>
      </c>
      <c r="J20" s="62">
        <v>0.08</v>
      </c>
      <c r="K20" s="62">
        <v>0.1</v>
      </c>
      <c r="L20" s="62">
        <v>0.08</v>
      </c>
      <c r="M20" s="62">
        <f t="shared" si="14"/>
        <v>8.0000000000000016E-2</v>
      </c>
      <c r="N20" s="62">
        <f t="shared" si="15"/>
        <v>6.4000000000000001E-2</v>
      </c>
      <c r="O20" s="62">
        <f t="shared" si="16"/>
        <v>0.12</v>
      </c>
      <c r="P20" s="62">
        <f t="shared" si="17"/>
        <v>9.6000000000000002E-2</v>
      </c>
      <c r="Q20" s="63">
        <v>0.1</v>
      </c>
      <c r="R20" s="65">
        <f t="shared" si="0"/>
        <v>8.0000000000000016E-2</v>
      </c>
      <c r="S20" s="65">
        <f t="shared" si="18"/>
        <v>0.12</v>
      </c>
      <c r="T20" s="63">
        <v>0.1</v>
      </c>
      <c r="U20" s="63">
        <v>0.08</v>
      </c>
      <c r="V20" s="63">
        <f t="shared" si="19"/>
        <v>8.0000000000000016E-2</v>
      </c>
      <c r="W20" s="63">
        <f t="shared" si="20"/>
        <v>6.4000000000000001E-2</v>
      </c>
      <c r="X20" s="63">
        <f t="shared" si="21"/>
        <v>0.12</v>
      </c>
      <c r="Y20" s="63">
        <f t="shared" si="22"/>
        <v>9.6000000000000002E-2</v>
      </c>
      <c r="Z20" s="63">
        <v>0.1</v>
      </c>
      <c r="AA20" s="63">
        <v>0.08</v>
      </c>
      <c r="AB20" s="63">
        <f t="shared" si="23"/>
        <v>8.0000000000000016E-2</v>
      </c>
      <c r="AC20" s="63">
        <f t="shared" si="24"/>
        <v>6.4000000000000001E-2</v>
      </c>
      <c r="AD20" s="63">
        <f t="shared" si="25"/>
        <v>0.12</v>
      </c>
      <c r="AE20" s="63">
        <f t="shared" si="26"/>
        <v>9.6000000000000002E-2</v>
      </c>
      <c r="AF20" s="63">
        <v>5.5E-2</v>
      </c>
      <c r="AG20" s="63">
        <f t="shared" si="27"/>
        <v>4.4000000000000004E-2</v>
      </c>
      <c r="AH20" s="63">
        <f t="shared" si="28"/>
        <v>6.6000000000000003E-2</v>
      </c>
      <c r="AI20" s="63">
        <v>6.5000000000000002E-2</v>
      </c>
      <c r="AJ20" s="63">
        <f t="shared" si="29"/>
        <v>5.2000000000000005E-2</v>
      </c>
      <c r="AK20" s="63">
        <f t="shared" si="30"/>
        <v>7.8E-2</v>
      </c>
      <c r="AL20" s="63">
        <v>6.5000000000000002E-2</v>
      </c>
      <c r="AM20" s="63">
        <f t="shared" si="1"/>
        <v>5.2000000000000005E-2</v>
      </c>
      <c r="AN20" s="63">
        <f t="shared" si="31"/>
        <v>7.8E-2</v>
      </c>
      <c r="AO20" s="63">
        <v>7.0000000000000007E-2</v>
      </c>
      <c r="AP20" s="63">
        <f t="shared" si="32"/>
        <v>5.6000000000000008E-2</v>
      </c>
      <c r="AQ20" s="63">
        <f t="shared" si="33"/>
        <v>8.4000000000000005E-2</v>
      </c>
      <c r="AR20" s="63">
        <v>7.0000000000000007E-2</v>
      </c>
      <c r="AS20" s="63">
        <f t="shared" si="34"/>
        <v>5.6000000000000008E-2</v>
      </c>
      <c r="AT20" s="63">
        <f t="shared" si="35"/>
        <v>8.4000000000000005E-2</v>
      </c>
      <c r="AU20" s="80">
        <v>0.1</v>
      </c>
      <c r="AV20" s="80">
        <v>0.08</v>
      </c>
      <c r="AW20" s="80">
        <v>0.1</v>
      </c>
      <c r="AX20" s="80">
        <v>0.08</v>
      </c>
      <c r="AY20" s="80">
        <v>8.6999999999999994E-2</v>
      </c>
      <c r="AZ20" s="80">
        <v>6.9599999999999995E-2</v>
      </c>
      <c r="BA20" s="80">
        <v>7.4999999999999997E-2</v>
      </c>
      <c r="BB20" s="80">
        <v>0.06</v>
      </c>
      <c r="BC20" s="80">
        <v>0.1</v>
      </c>
      <c r="BD20" s="80">
        <v>0.08</v>
      </c>
      <c r="BE20" s="81">
        <v>0.1</v>
      </c>
      <c r="BF20" s="81">
        <v>0.08</v>
      </c>
      <c r="BG20" s="81">
        <v>9.3333333300000001E-2</v>
      </c>
      <c r="BH20" s="81">
        <v>7.4666666700000009E-2</v>
      </c>
      <c r="BI20" s="81">
        <v>0.05</v>
      </c>
      <c r="BJ20" s="81">
        <v>0.06</v>
      </c>
      <c r="BK20" s="81">
        <v>6.5000000000000002E-2</v>
      </c>
      <c r="BL20" s="81">
        <v>0.05</v>
      </c>
      <c r="BM20" s="75">
        <v>0.1</v>
      </c>
      <c r="BN20" s="75">
        <v>9.3333333333333338E-2</v>
      </c>
      <c r="BO20" s="75">
        <v>7.4666666666666659E-2</v>
      </c>
      <c r="BP20" s="75">
        <v>8.6999999999999994E-2</v>
      </c>
      <c r="BQ20" s="75">
        <v>6.9599999999999995E-2</v>
      </c>
      <c r="BR20" s="75">
        <v>7.4999999999999997E-2</v>
      </c>
      <c r="BS20" s="75">
        <v>0.06</v>
      </c>
      <c r="BT20" s="75">
        <v>0.1</v>
      </c>
      <c r="BU20" s="82">
        <f t="shared" si="36"/>
        <v>0.10200000000000001</v>
      </c>
      <c r="BV20" s="82">
        <f t="shared" si="2"/>
        <v>9.8000000000000004E-2</v>
      </c>
      <c r="BW20" s="75">
        <v>0.1</v>
      </c>
      <c r="BX20" s="75">
        <f t="shared" si="3"/>
        <v>8.0000000000000016E-2</v>
      </c>
      <c r="BY20" s="75">
        <f t="shared" si="37"/>
        <v>0.12</v>
      </c>
      <c r="BZ20" s="75">
        <f t="shared" si="4"/>
        <v>8.0000000000000016E-2</v>
      </c>
      <c r="CA20" s="75">
        <f t="shared" si="5"/>
        <v>0.12</v>
      </c>
      <c r="CB20" s="75">
        <v>7.0000000000000007E-2</v>
      </c>
      <c r="CC20" s="75">
        <v>7.0000000000000007E-2</v>
      </c>
      <c r="CD20" s="75">
        <v>7.0000000000000007E-2</v>
      </c>
      <c r="CE20" s="75">
        <v>5.5E-2</v>
      </c>
      <c r="CF20" s="75">
        <v>6.5000000000000002E-2</v>
      </c>
      <c r="CG20" s="75">
        <v>6.5000000000000002E-2</v>
      </c>
      <c r="CH20" s="90">
        <v>0.1</v>
      </c>
      <c r="CI20" s="90">
        <v>0.1</v>
      </c>
      <c r="CJ20" s="90">
        <v>0</v>
      </c>
      <c r="CK20" s="90">
        <v>0</v>
      </c>
      <c r="CL20" s="90">
        <v>0</v>
      </c>
      <c r="CM20" s="90">
        <f t="shared" si="40"/>
        <v>8.0000000000000016E-2</v>
      </c>
      <c r="CN20" s="90">
        <f t="shared" si="41"/>
        <v>8.0000000000000016E-2</v>
      </c>
      <c r="CO20" s="90">
        <f t="shared" si="42"/>
        <v>0.12</v>
      </c>
      <c r="CP20" s="90">
        <f t="shared" si="43"/>
        <v>0.12</v>
      </c>
      <c r="CQ20" s="90">
        <f t="shared" si="46"/>
        <v>0.1</v>
      </c>
      <c r="CR20" s="90">
        <f t="shared" si="47"/>
        <v>0.1</v>
      </c>
      <c r="CS20" s="90">
        <f t="shared" si="46"/>
        <v>0.1</v>
      </c>
      <c r="CT20" s="90">
        <f t="shared" si="47"/>
        <v>0.1</v>
      </c>
      <c r="CU20" s="90">
        <f t="shared" si="46"/>
        <v>0.1</v>
      </c>
      <c r="CV20" s="90">
        <f t="shared" si="47"/>
        <v>0.1</v>
      </c>
      <c r="CW20" s="90">
        <f t="shared" si="46"/>
        <v>0.1</v>
      </c>
      <c r="CX20" s="90">
        <f t="shared" si="47"/>
        <v>0.1</v>
      </c>
      <c r="CY20" s="90">
        <f t="shared" si="46"/>
        <v>0.1</v>
      </c>
      <c r="CZ20" s="90">
        <f t="shared" si="47"/>
        <v>0.1</v>
      </c>
    </row>
    <row r="21" spans="2:104" x14ac:dyDescent="0.25">
      <c r="B21" s="36">
        <v>15</v>
      </c>
      <c r="C21" s="62">
        <v>0.1</v>
      </c>
      <c r="D21" s="62">
        <v>0.08</v>
      </c>
      <c r="E21" s="62">
        <f t="shared" si="10"/>
        <v>8.0000000000000016E-2</v>
      </c>
      <c r="F21" s="62">
        <f t="shared" si="11"/>
        <v>6.4000000000000001E-2</v>
      </c>
      <c r="G21" s="62">
        <f t="shared" si="12"/>
        <v>0.12</v>
      </c>
      <c r="H21" s="62">
        <f t="shared" si="13"/>
        <v>9.6000000000000002E-2</v>
      </c>
      <c r="I21" s="62">
        <v>0.1</v>
      </c>
      <c r="J21" s="62">
        <v>0.08</v>
      </c>
      <c r="K21" s="62">
        <v>0.1</v>
      </c>
      <c r="L21" s="62">
        <v>0.08</v>
      </c>
      <c r="M21" s="62">
        <f t="shared" si="14"/>
        <v>8.0000000000000016E-2</v>
      </c>
      <c r="N21" s="62">
        <f t="shared" si="15"/>
        <v>6.4000000000000001E-2</v>
      </c>
      <c r="O21" s="62">
        <f t="shared" si="16"/>
        <v>0.12</v>
      </c>
      <c r="P21" s="62">
        <f t="shared" si="17"/>
        <v>9.6000000000000002E-2</v>
      </c>
      <c r="Q21" s="63">
        <v>0.1</v>
      </c>
      <c r="R21" s="65">
        <f t="shared" si="0"/>
        <v>8.0000000000000016E-2</v>
      </c>
      <c r="S21" s="65">
        <f t="shared" si="18"/>
        <v>0.12</v>
      </c>
      <c r="T21" s="63">
        <v>0.1</v>
      </c>
      <c r="U21" s="63">
        <v>0.08</v>
      </c>
      <c r="V21" s="63">
        <f t="shared" si="19"/>
        <v>8.0000000000000016E-2</v>
      </c>
      <c r="W21" s="63">
        <f t="shared" si="20"/>
        <v>6.4000000000000001E-2</v>
      </c>
      <c r="X21" s="63">
        <f t="shared" si="21"/>
        <v>0.12</v>
      </c>
      <c r="Y21" s="63">
        <f t="shared" si="22"/>
        <v>9.6000000000000002E-2</v>
      </c>
      <c r="Z21" s="63">
        <v>0.1</v>
      </c>
      <c r="AA21" s="63">
        <v>0.08</v>
      </c>
      <c r="AB21" s="63">
        <f t="shared" si="23"/>
        <v>8.0000000000000016E-2</v>
      </c>
      <c r="AC21" s="63">
        <f t="shared" si="24"/>
        <v>6.4000000000000001E-2</v>
      </c>
      <c r="AD21" s="63">
        <f t="shared" si="25"/>
        <v>0.12</v>
      </c>
      <c r="AE21" s="63">
        <f t="shared" si="26"/>
        <v>9.6000000000000002E-2</v>
      </c>
      <c r="AF21" s="63">
        <v>5.5E-2</v>
      </c>
      <c r="AG21" s="63">
        <f t="shared" si="27"/>
        <v>4.4000000000000004E-2</v>
      </c>
      <c r="AH21" s="63">
        <f t="shared" si="28"/>
        <v>6.6000000000000003E-2</v>
      </c>
      <c r="AI21" s="63">
        <v>6.5000000000000002E-2</v>
      </c>
      <c r="AJ21" s="63">
        <f t="shared" si="29"/>
        <v>5.2000000000000005E-2</v>
      </c>
      <c r="AK21" s="63">
        <f t="shared" si="30"/>
        <v>7.8E-2</v>
      </c>
      <c r="AL21" s="63">
        <v>6.5000000000000002E-2</v>
      </c>
      <c r="AM21" s="63">
        <f t="shared" si="1"/>
        <v>5.2000000000000005E-2</v>
      </c>
      <c r="AN21" s="63">
        <f t="shared" si="31"/>
        <v>7.8E-2</v>
      </c>
      <c r="AO21" s="63">
        <v>6.5000000000000002E-2</v>
      </c>
      <c r="AP21" s="63">
        <f t="shared" si="32"/>
        <v>5.2000000000000005E-2</v>
      </c>
      <c r="AQ21" s="63">
        <f t="shared" si="33"/>
        <v>7.8E-2</v>
      </c>
      <c r="AR21" s="63">
        <v>6.5000000000000002E-2</v>
      </c>
      <c r="AS21" s="63">
        <f t="shared" si="34"/>
        <v>5.2000000000000005E-2</v>
      </c>
      <c r="AT21" s="63">
        <f t="shared" si="35"/>
        <v>7.8E-2</v>
      </c>
      <c r="AU21" s="80">
        <v>0.1</v>
      </c>
      <c r="AV21" s="80">
        <v>0.08</v>
      </c>
      <c r="AW21" s="80">
        <v>0.1</v>
      </c>
      <c r="AX21" s="80">
        <v>0.08</v>
      </c>
      <c r="AY21" s="80">
        <v>8.6999999999999994E-2</v>
      </c>
      <c r="AZ21" s="80">
        <v>6.9599999999999995E-2</v>
      </c>
      <c r="BA21" s="80">
        <v>7.4999999999999997E-2</v>
      </c>
      <c r="BB21" s="80">
        <v>0.06</v>
      </c>
      <c r="BC21" s="80">
        <v>0.1</v>
      </c>
      <c r="BD21" s="80">
        <v>0.08</v>
      </c>
      <c r="BE21" s="81">
        <v>0.1</v>
      </c>
      <c r="BF21" s="81">
        <v>0.08</v>
      </c>
      <c r="BG21" s="81">
        <v>8.6999999999999994E-2</v>
      </c>
      <c r="BH21" s="81">
        <v>6.9599999999999995E-2</v>
      </c>
      <c r="BI21" s="81">
        <v>0.05</v>
      </c>
      <c r="BJ21" s="81">
        <v>0.06</v>
      </c>
      <c r="BK21" s="81">
        <v>0.06</v>
      </c>
      <c r="BL21" s="81">
        <v>0.05</v>
      </c>
      <c r="BM21" s="75">
        <v>0.1</v>
      </c>
      <c r="BN21" s="75">
        <v>8.6999999999999994E-2</v>
      </c>
      <c r="BO21" s="75">
        <v>6.9599999999999995E-2</v>
      </c>
      <c r="BP21" s="75">
        <v>8.6999999999999994E-2</v>
      </c>
      <c r="BQ21" s="75">
        <v>6.9599999999999995E-2</v>
      </c>
      <c r="BR21" s="75">
        <v>7.4999999999999997E-2</v>
      </c>
      <c r="BS21" s="75">
        <v>0.06</v>
      </c>
      <c r="BT21" s="75">
        <v>0.1</v>
      </c>
      <c r="BU21" s="82">
        <f t="shared" si="36"/>
        <v>0.10200000000000001</v>
      </c>
      <c r="BV21" s="82">
        <f t="shared" si="2"/>
        <v>9.8000000000000004E-2</v>
      </c>
      <c r="BW21" s="75">
        <v>0.1</v>
      </c>
      <c r="BX21" s="75">
        <f t="shared" si="3"/>
        <v>8.0000000000000016E-2</v>
      </c>
      <c r="BY21" s="75">
        <f t="shared" si="37"/>
        <v>0.12</v>
      </c>
      <c r="BZ21" s="75">
        <f t="shared" si="4"/>
        <v>8.0000000000000016E-2</v>
      </c>
      <c r="CA21" s="75">
        <f t="shared" si="5"/>
        <v>0.12</v>
      </c>
      <c r="CB21" s="75">
        <v>6.5000000000000002E-2</v>
      </c>
      <c r="CC21" s="75">
        <v>6.5000000000000002E-2</v>
      </c>
      <c r="CD21" s="75">
        <v>6.5000000000000002E-2</v>
      </c>
      <c r="CE21" s="75">
        <v>5.5E-2</v>
      </c>
      <c r="CF21" s="75">
        <v>6.5000000000000002E-2</v>
      </c>
      <c r="CG21" s="75">
        <v>6.5000000000000002E-2</v>
      </c>
      <c r="CH21" s="90">
        <v>0.1</v>
      </c>
      <c r="CI21" s="90">
        <v>0.1</v>
      </c>
      <c r="CJ21" s="90">
        <v>0</v>
      </c>
      <c r="CK21" s="90">
        <v>0</v>
      </c>
      <c r="CL21" s="90">
        <v>0</v>
      </c>
      <c r="CM21" s="90">
        <f t="shared" si="40"/>
        <v>8.0000000000000016E-2</v>
      </c>
      <c r="CN21" s="90">
        <f t="shared" si="41"/>
        <v>8.0000000000000016E-2</v>
      </c>
      <c r="CO21" s="90">
        <f t="shared" si="42"/>
        <v>0.12</v>
      </c>
      <c r="CP21" s="90">
        <f t="shared" si="43"/>
        <v>0.12</v>
      </c>
      <c r="CQ21" s="90">
        <f t="shared" si="46"/>
        <v>0.1</v>
      </c>
      <c r="CR21" s="90">
        <f t="shared" si="47"/>
        <v>0.1</v>
      </c>
      <c r="CS21" s="90">
        <f t="shared" si="46"/>
        <v>0.1</v>
      </c>
      <c r="CT21" s="90">
        <f t="shared" si="47"/>
        <v>0.1</v>
      </c>
      <c r="CU21" s="90">
        <f t="shared" si="46"/>
        <v>0.1</v>
      </c>
      <c r="CV21" s="90">
        <f t="shared" si="47"/>
        <v>0.1</v>
      </c>
      <c r="CW21" s="90">
        <f t="shared" si="46"/>
        <v>0.1</v>
      </c>
      <c r="CX21" s="90">
        <f t="shared" si="47"/>
        <v>0.1</v>
      </c>
      <c r="CY21" s="90">
        <f>$CH21*2</f>
        <v>0.2</v>
      </c>
      <c r="CZ21" s="90">
        <f>$CI21*2</f>
        <v>0.2</v>
      </c>
    </row>
    <row r="22" spans="2:104" x14ac:dyDescent="0.25">
      <c r="T22" s="63"/>
      <c r="U22" s="63"/>
      <c r="V22" s="63"/>
      <c r="W22" s="63"/>
      <c r="X22" s="63"/>
      <c r="Y22" s="63"/>
    </row>
    <row r="23" spans="2:104" ht="13" x14ac:dyDescent="0.25">
      <c r="B23" s="122" t="str">
        <f ca="1">GetNameRange(B24)</f>
        <v>lapse_skew_2025</v>
      </c>
    </row>
    <row r="24" spans="2:104" ht="13" x14ac:dyDescent="0.25">
      <c r="B24" s="34" t="s">
        <v>230</v>
      </c>
      <c r="C24" t="s">
        <v>231</v>
      </c>
    </row>
    <row r="25" spans="2:104" x14ac:dyDescent="0.25">
      <c r="B25" s="36">
        <v>1</v>
      </c>
      <c r="C25">
        <v>0.25</v>
      </c>
    </row>
    <row r="26" spans="2:104" x14ac:dyDescent="0.25">
      <c r="B26" s="36">
        <v>2</v>
      </c>
      <c r="C26">
        <v>0.3</v>
      </c>
    </row>
    <row r="27" spans="2:104" x14ac:dyDescent="0.25">
      <c r="B27" s="36">
        <v>3</v>
      </c>
      <c r="C27">
        <v>0.15</v>
      </c>
    </row>
    <row r="28" spans="2:104" x14ac:dyDescent="0.25">
      <c r="B28" s="36">
        <v>4</v>
      </c>
      <c r="C28">
        <v>0.08</v>
      </c>
    </row>
    <row r="29" spans="2:104" x14ac:dyDescent="0.25">
      <c r="B29" s="36">
        <v>5</v>
      </c>
      <c r="C29">
        <v>0.04</v>
      </c>
    </row>
    <row r="30" spans="2:104" x14ac:dyDescent="0.25">
      <c r="B30" s="36">
        <v>6</v>
      </c>
      <c r="C30">
        <v>0.03</v>
      </c>
    </row>
    <row r="31" spans="2:104" x14ac:dyDescent="0.25">
      <c r="B31" s="36">
        <v>7</v>
      </c>
      <c r="C31">
        <v>0.03</v>
      </c>
    </row>
    <row r="32" spans="2:104" x14ac:dyDescent="0.25">
      <c r="B32" s="36">
        <v>8</v>
      </c>
      <c r="C32">
        <v>0.03</v>
      </c>
    </row>
    <row r="33" spans="2:3" x14ac:dyDescent="0.25">
      <c r="B33" s="36">
        <v>9</v>
      </c>
      <c r="C33">
        <v>0.03</v>
      </c>
    </row>
    <row r="34" spans="2:3" x14ac:dyDescent="0.25">
      <c r="B34" s="36">
        <v>10</v>
      </c>
      <c r="C34">
        <v>0.02</v>
      </c>
    </row>
    <row r="35" spans="2:3" x14ac:dyDescent="0.25">
      <c r="B35" s="36">
        <v>11</v>
      </c>
      <c r="C35">
        <v>0.02</v>
      </c>
    </row>
    <row r="36" spans="2:3" x14ac:dyDescent="0.25">
      <c r="B36" s="36">
        <v>12</v>
      </c>
      <c r="C36">
        <v>0.02</v>
      </c>
    </row>
  </sheetData>
  <mergeCells count="8">
    <mergeCell ref="CW2:CX2"/>
    <mergeCell ref="CY2:CZ2"/>
    <mergeCell ref="CU2:CV2"/>
    <mergeCell ref="CH2:CI2"/>
    <mergeCell ref="CM2:CN2"/>
    <mergeCell ref="CO2:CP2"/>
    <mergeCell ref="CQ2:CR2"/>
    <mergeCell ref="CS2:CT2"/>
  </mergeCells>
  <hyperlinks>
    <hyperlink ref="A1" location="'Table of Contents'!A1" display="Go to TOC" xr:uid="{00000000-0004-0000-02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N59"/>
  <sheetViews>
    <sheetView zoomScale="70" zoomScaleNormal="70" workbookViewId="0">
      <pane xSplit="2" ySplit="5" topLeftCell="C39" activePane="bottomRight" state="frozen"/>
      <selection pane="topRight" activeCell="C1" sqref="C1"/>
      <selection pane="bottomLeft" activeCell="A7" sqref="A7"/>
      <selection pane="bottomRight" activeCell="C53" sqref="C53"/>
    </sheetView>
  </sheetViews>
  <sheetFormatPr defaultRowHeight="12.5" x14ac:dyDescent="0.25"/>
  <cols>
    <col min="1" max="1" width="9.81640625" bestFit="1" customWidth="1"/>
    <col min="2" max="2" width="42.1796875" style="37" customWidth="1"/>
    <col min="3" max="12" width="22.81640625" style="32" customWidth="1"/>
    <col min="13" max="15" width="22.26953125" style="32" customWidth="1"/>
    <col min="16" max="26" width="23.453125" style="32" customWidth="1"/>
    <col min="27" max="28" width="22.81640625" style="32" customWidth="1"/>
    <col min="29" max="35" width="23.453125" style="32" customWidth="1"/>
    <col min="36" max="36" width="21.1796875" customWidth="1"/>
    <col min="37" max="37" width="22" customWidth="1"/>
    <col min="38" max="38" width="18.36328125" customWidth="1"/>
    <col min="39" max="39" width="18.26953125" customWidth="1"/>
    <col min="40" max="40" width="17.81640625" customWidth="1"/>
  </cols>
  <sheetData>
    <row r="1" spans="1:40" ht="15.5" x14ac:dyDescent="0.25">
      <c r="A1" s="14" t="s">
        <v>6</v>
      </c>
      <c r="B1" s="13" t="s">
        <v>13</v>
      </c>
      <c r="C1" s="28"/>
      <c r="D1" s="28"/>
      <c r="E1" s="28"/>
      <c r="F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</row>
    <row r="2" spans="1:40" ht="15.5" x14ac:dyDescent="0.25">
      <c r="A2" s="14"/>
      <c r="B2" s="13"/>
      <c r="C2" s="28"/>
      <c r="D2" s="28"/>
      <c r="E2" s="28"/>
      <c r="F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</row>
    <row r="3" spans="1:40" ht="13" x14ac:dyDescent="0.25">
      <c r="A3" s="15"/>
      <c r="B3" s="16" t="str">
        <f ca="1">GetNameRange(B5)</f>
        <v>dyn_lapse_table_aig</v>
      </c>
      <c r="C3" s="29"/>
      <c r="D3" s="29"/>
      <c r="E3" s="29"/>
      <c r="F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 t="s">
        <v>149</v>
      </c>
      <c r="AD3" s="29" t="s">
        <v>153</v>
      </c>
      <c r="AE3" s="29" t="s">
        <v>169</v>
      </c>
      <c r="AF3" s="29" t="s">
        <v>169</v>
      </c>
      <c r="AG3" s="29" t="s">
        <v>153</v>
      </c>
      <c r="AH3" s="29" t="s">
        <v>153</v>
      </c>
      <c r="AI3" s="70" t="s">
        <v>172</v>
      </c>
      <c r="AJ3" s="70" t="s">
        <v>172</v>
      </c>
      <c r="AK3" s="29"/>
    </row>
    <row r="4" spans="1:40" ht="25" x14ac:dyDescent="0.25">
      <c r="A4" s="15" t="s">
        <v>7</v>
      </c>
      <c r="B4" s="34" t="s">
        <v>9</v>
      </c>
      <c r="C4" s="30" t="s">
        <v>38</v>
      </c>
      <c r="D4" s="30" t="s">
        <v>219</v>
      </c>
      <c r="E4" s="30" t="s">
        <v>186</v>
      </c>
      <c r="F4" s="30" t="s">
        <v>58</v>
      </c>
      <c r="G4" s="30" t="s">
        <v>221</v>
      </c>
      <c r="H4" s="30" t="s">
        <v>222</v>
      </c>
      <c r="I4" s="109" t="s">
        <v>211</v>
      </c>
      <c r="J4" s="109" t="s">
        <v>212</v>
      </c>
      <c r="K4" s="109" t="s">
        <v>213</v>
      </c>
      <c r="L4" s="109" t="s">
        <v>214</v>
      </c>
      <c r="M4" s="109" t="s">
        <v>215</v>
      </c>
      <c r="N4" s="109" t="s">
        <v>216</v>
      </c>
      <c r="O4" s="30" t="s">
        <v>179</v>
      </c>
      <c r="P4" s="30" t="s">
        <v>173</v>
      </c>
      <c r="Q4" s="30" t="s">
        <v>57</v>
      </c>
      <c r="R4" s="30" t="s">
        <v>47</v>
      </c>
      <c r="S4" s="30" t="s">
        <v>48</v>
      </c>
      <c r="T4" s="30" t="s">
        <v>51</v>
      </c>
      <c r="U4" s="30" t="s">
        <v>49</v>
      </c>
      <c r="V4" s="30" t="s">
        <v>50</v>
      </c>
      <c r="W4" s="30" t="s">
        <v>52</v>
      </c>
      <c r="X4" s="30" t="s">
        <v>80</v>
      </c>
      <c r="Y4" s="30" t="s">
        <v>174</v>
      </c>
      <c r="Z4" s="30" t="s">
        <v>109</v>
      </c>
      <c r="AA4" s="30" t="s">
        <v>175</v>
      </c>
      <c r="AB4" s="30" t="s">
        <v>84</v>
      </c>
      <c r="AC4" s="30" t="s">
        <v>176</v>
      </c>
      <c r="AD4" s="30" t="s">
        <v>85</v>
      </c>
      <c r="AE4" s="30" t="s">
        <v>177</v>
      </c>
      <c r="AF4" s="30" t="s">
        <v>148</v>
      </c>
      <c r="AG4" s="30" t="s">
        <v>168</v>
      </c>
      <c r="AH4" s="30" t="s">
        <v>144</v>
      </c>
      <c r="AI4" s="30" t="s">
        <v>145</v>
      </c>
      <c r="AJ4" s="30" t="s">
        <v>170</v>
      </c>
      <c r="AK4" s="30" t="s">
        <v>171</v>
      </c>
      <c r="AL4" s="30" t="s">
        <v>146</v>
      </c>
      <c r="AM4" s="30" t="s">
        <v>147</v>
      </c>
      <c r="AN4" s="30" t="s">
        <v>77</v>
      </c>
    </row>
    <row r="5" spans="1:40" ht="13" x14ac:dyDescent="0.3">
      <c r="A5" s="23" t="s">
        <v>5</v>
      </c>
      <c r="B5" s="43" t="s">
        <v>32</v>
      </c>
      <c r="C5" s="31"/>
      <c r="D5" s="31"/>
      <c r="E5" s="93"/>
      <c r="F5" s="31"/>
      <c r="G5" s="93"/>
      <c r="H5" s="31"/>
      <c r="I5" s="93"/>
      <c r="J5" s="31"/>
      <c r="K5" s="93"/>
      <c r="L5" s="31"/>
      <c r="M5" s="93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</row>
    <row r="6" spans="1:40" ht="13" x14ac:dyDescent="0.3">
      <c r="A6" s="15" t="s">
        <v>39</v>
      </c>
      <c r="B6" s="49" t="s">
        <v>33</v>
      </c>
      <c r="C6" s="50" t="s">
        <v>45</v>
      </c>
      <c r="D6" s="50" t="s">
        <v>45</v>
      </c>
      <c r="E6" s="56" t="s">
        <v>39</v>
      </c>
      <c r="F6" s="56" t="s">
        <v>39</v>
      </c>
      <c r="G6" s="56" t="s">
        <v>39</v>
      </c>
      <c r="H6" s="56" t="s">
        <v>39</v>
      </c>
      <c r="I6" s="56" t="s">
        <v>39</v>
      </c>
      <c r="J6" s="56" t="s">
        <v>39</v>
      </c>
      <c r="K6" s="56" t="s">
        <v>39</v>
      </c>
      <c r="L6" s="56" t="s">
        <v>39</v>
      </c>
      <c r="M6" s="56" t="s">
        <v>39</v>
      </c>
      <c r="N6" s="56" t="s">
        <v>39</v>
      </c>
      <c r="O6" s="56" t="s">
        <v>39</v>
      </c>
      <c r="P6" s="56" t="s">
        <v>39</v>
      </c>
      <c r="Q6" s="56" t="s">
        <v>39</v>
      </c>
      <c r="R6" s="56" t="s">
        <v>39</v>
      </c>
      <c r="S6" s="56" t="s">
        <v>39</v>
      </c>
      <c r="T6" s="56" t="s">
        <v>39</v>
      </c>
      <c r="U6" s="56" t="s">
        <v>39</v>
      </c>
      <c r="V6" s="56" t="s">
        <v>39</v>
      </c>
      <c r="W6" s="56" t="s">
        <v>39</v>
      </c>
      <c r="X6" s="56" t="s">
        <v>39</v>
      </c>
      <c r="Y6" s="56" t="s">
        <v>39</v>
      </c>
      <c r="Z6" s="56" t="s">
        <v>39</v>
      </c>
      <c r="AA6" s="56" t="s">
        <v>39</v>
      </c>
      <c r="AB6" s="56" t="s">
        <v>39</v>
      </c>
      <c r="AC6" s="56" t="s">
        <v>39</v>
      </c>
      <c r="AD6" s="56" t="s">
        <v>39</v>
      </c>
      <c r="AE6" s="56" t="s">
        <v>39</v>
      </c>
      <c r="AF6" s="56" t="s">
        <v>39</v>
      </c>
      <c r="AG6" s="56" t="s">
        <v>39</v>
      </c>
      <c r="AH6" s="56" t="s">
        <v>39</v>
      </c>
      <c r="AI6" s="56" t="s">
        <v>39</v>
      </c>
      <c r="AJ6" s="56" t="s">
        <v>39</v>
      </c>
      <c r="AK6" s="56" t="s">
        <v>39</v>
      </c>
      <c r="AL6" s="56" t="s">
        <v>39</v>
      </c>
      <c r="AM6" s="56" t="s">
        <v>39</v>
      </c>
      <c r="AN6" s="56" t="s">
        <v>39</v>
      </c>
    </row>
    <row r="7" spans="1:40" ht="13" x14ac:dyDescent="0.3">
      <c r="A7" s="51" t="s">
        <v>45</v>
      </c>
      <c r="B7" s="49" t="s">
        <v>59</v>
      </c>
      <c r="C7" s="50" t="s">
        <v>193</v>
      </c>
      <c r="D7" s="50" t="s">
        <v>193</v>
      </c>
      <c r="E7" s="107" t="s">
        <v>196</v>
      </c>
      <c r="F7" s="50" t="s">
        <v>196</v>
      </c>
      <c r="G7" s="50" t="s">
        <v>223</v>
      </c>
      <c r="H7" s="50" t="s">
        <v>223</v>
      </c>
      <c r="I7" s="107" t="s">
        <v>196</v>
      </c>
      <c r="J7" s="50" t="s">
        <v>196</v>
      </c>
      <c r="K7" s="107" t="s">
        <v>196</v>
      </c>
      <c r="L7" s="50" t="s">
        <v>196</v>
      </c>
      <c r="M7" s="107" t="s">
        <v>196</v>
      </c>
      <c r="N7" s="50" t="s">
        <v>196</v>
      </c>
      <c r="O7" s="51" t="s">
        <v>194</v>
      </c>
      <c r="P7" s="51" t="s">
        <v>194</v>
      </c>
      <c r="Q7" s="51" t="s">
        <v>194</v>
      </c>
      <c r="R7" s="51" t="s">
        <v>193</v>
      </c>
      <c r="S7" s="51" t="s">
        <v>193</v>
      </c>
      <c r="T7" s="51" t="s">
        <v>193</v>
      </c>
      <c r="U7" s="51" t="s">
        <v>193</v>
      </c>
      <c r="V7" s="51" t="s">
        <v>193</v>
      </c>
      <c r="W7" s="51" t="s">
        <v>193</v>
      </c>
      <c r="X7" s="51" t="s">
        <v>193</v>
      </c>
      <c r="Y7" s="51" t="s">
        <v>193</v>
      </c>
      <c r="Z7" s="51" t="s">
        <v>193</v>
      </c>
      <c r="AA7" s="51" t="s">
        <v>193</v>
      </c>
      <c r="AB7" s="51" t="s">
        <v>193</v>
      </c>
      <c r="AC7" s="51" t="s">
        <v>193</v>
      </c>
      <c r="AD7" s="51" t="s">
        <v>193</v>
      </c>
      <c r="AE7" s="51" t="s">
        <v>193</v>
      </c>
      <c r="AF7" s="51" t="s">
        <v>194</v>
      </c>
      <c r="AG7" s="51" t="s">
        <v>194</v>
      </c>
      <c r="AH7" s="51" t="s">
        <v>193</v>
      </c>
      <c r="AI7" s="51" t="s">
        <v>193</v>
      </c>
      <c r="AJ7" s="51" t="s">
        <v>193</v>
      </c>
      <c r="AK7" s="51" t="s">
        <v>193</v>
      </c>
      <c r="AL7" s="51" t="s">
        <v>193</v>
      </c>
      <c r="AM7" s="51" t="s">
        <v>193</v>
      </c>
      <c r="AN7" s="51" t="s">
        <v>193</v>
      </c>
    </row>
    <row r="8" spans="1:40" x14ac:dyDescent="0.25">
      <c r="A8" s="51" t="s">
        <v>45</v>
      </c>
      <c r="B8" s="49" t="s">
        <v>88</v>
      </c>
      <c r="C8" s="51" t="s">
        <v>45</v>
      </c>
      <c r="D8" s="51" t="s">
        <v>45</v>
      </c>
      <c r="E8" s="51" t="s">
        <v>45</v>
      </c>
      <c r="F8" s="51" t="s">
        <v>45</v>
      </c>
      <c r="G8" s="51" t="s">
        <v>45</v>
      </c>
      <c r="H8" s="51" t="s">
        <v>45</v>
      </c>
      <c r="I8" s="51" t="s">
        <v>45</v>
      </c>
      <c r="J8" s="51" t="s">
        <v>45</v>
      </c>
      <c r="K8" s="51" t="s">
        <v>45</v>
      </c>
      <c r="L8" s="51" t="s">
        <v>45</v>
      </c>
      <c r="M8" s="51" t="s">
        <v>45</v>
      </c>
      <c r="N8" s="51" t="s">
        <v>45</v>
      </c>
      <c r="O8" s="51" t="s">
        <v>45</v>
      </c>
      <c r="P8" s="51" t="s">
        <v>45</v>
      </c>
      <c r="Q8" s="51" t="s">
        <v>45</v>
      </c>
      <c r="R8" s="51" t="s">
        <v>45</v>
      </c>
      <c r="S8" s="51" t="s">
        <v>45</v>
      </c>
      <c r="T8" s="51" t="s">
        <v>45</v>
      </c>
      <c r="U8" s="51" t="s">
        <v>45</v>
      </c>
      <c r="V8" s="51" t="s">
        <v>45</v>
      </c>
      <c r="W8" s="51" t="s">
        <v>45</v>
      </c>
      <c r="X8" s="51" t="s">
        <v>45</v>
      </c>
      <c r="Y8" s="51" t="s">
        <v>45</v>
      </c>
      <c r="Z8" s="51" t="s">
        <v>45</v>
      </c>
      <c r="AA8" s="51" t="s">
        <v>45</v>
      </c>
      <c r="AB8" s="51" t="s">
        <v>45</v>
      </c>
      <c r="AC8" s="51" t="s">
        <v>45</v>
      </c>
      <c r="AD8" s="64" t="s">
        <v>45</v>
      </c>
      <c r="AE8" s="64" t="s">
        <v>45</v>
      </c>
      <c r="AF8" s="51" t="s">
        <v>45</v>
      </c>
      <c r="AG8" s="51" t="s">
        <v>45</v>
      </c>
      <c r="AH8" s="51" t="s">
        <v>45</v>
      </c>
      <c r="AI8" s="51" t="s">
        <v>45</v>
      </c>
      <c r="AJ8" s="51" t="s">
        <v>45</v>
      </c>
      <c r="AK8" s="51" t="s">
        <v>45</v>
      </c>
      <c r="AL8" s="51" t="s">
        <v>45</v>
      </c>
      <c r="AM8" s="64" t="s">
        <v>45</v>
      </c>
      <c r="AN8" s="51" t="s">
        <v>45</v>
      </c>
    </row>
    <row r="9" spans="1:40" s="59" customFormat="1" ht="13" x14ac:dyDescent="0.3">
      <c r="A9" s="51" t="s">
        <v>45</v>
      </c>
      <c r="B9" s="49" t="s">
        <v>128</v>
      </c>
      <c r="C9" s="51" t="s">
        <v>45</v>
      </c>
      <c r="D9" s="51" t="s">
        <v>45</v>
      </c>
      <c r="E9" s="51" t="s">
        <v>45</v>
      </c>
      <c r="F9" s="56" t="s">
        <v>45</v>
      </c>
      <c r="G9" s="51" t="s">
        <v>45</v>
      </c>
      <c r="H9" s="56" t="s">
        <v>45</v>
      </c>
      <c r="I9" s="51" t="s">
        <v>45</v>
      </c>
      <c r="J9" s="56" t="s">
        <v>45</v>
      </c>
      <c r="K9" s="51" t="s">
        <v>45</v>
      </c>
      <c r="L9" s="56" t="s">
        <v>45</v>
      </c>
      <c r="M9" s="51" t="s">
        <v>45</v>
      </c>
      <c r="N9" s="56" t="s">
        <v>45</v>
      </c>
      <c r="O9" s="56" t="s">
        <v>45</v>
      </c>
      <c r="P9" s="56" t="s">
        <v>39</v>
      </c>
      <c r="Q9" s="56" t="s">
        <v>39</v>
      </c>
      <c r="R9" s="51" t="s">
        <v>45</v>
      </c>
      <c r="S9" s="51" t="s">
        <v>45</v>
      </c>
      <c r="T9" s="51" t="s">
        <v>45</v>
      </c>
      <c r="U9" s="51" t="s">
        <v>45</v>
      </c>
      <c r="V9" s="51" t="s">
        <v>45</v>
      </c>
      <c r="W9" s="51" t="s">
        <v>45</v>
      </c>
      <c r="X9" s="51" t="s">
        <v>45</v>
      </c>
      <c r="Y9" s="51" t="s">
        <v>39</v>
      </c>
      <c r="Z9" s="51" t="s">
        <v>45</v>
      </c>
      <c r="AA9" s="51" t="s">
        <v>39</v>
      </c>
      <c r="AB9" s="51" t="s">
        <v>45</v>
      </c>
      <c r="AC9" s="51" t="s">
        <v>39</v>
      </c>
      <c r="AD9" s="51" t="s">
        <v>45</v>
      </c>
      <c r="AE9" s="51" t="s">
        <v>39</v>
      </c>
      <c r="AF9" s="56" t="s">
        <v>45</v>
      </c>
      <c r="AG9" s="56" t="s">
        <v>45</v>
      </c>
      <c r="AH9" s="51" t="s">
        <v>45</v>
      </c>
      <c r="AI9" s="51" t="s">
        <v>45</v>
      </c>
      <c r="AJ9" s="51" t="s">
        <v>45</v>
      </c>
      <c r="AK9" s="51" t="s">
        <v>45</v>
      </c>
      <c r="AL9" s="51" t="s">
        <v>45</v>
      </c>
      <c r="AM9" s="51" t="s">
        <v>45</v>
      </c>
      <c r="AN9" s="51" t="s">
        <v>45</v>
      </c>
    </row>
    <row r="10" spans="1:40" s="59" customFormat="1" x14ac:dyDescent="0.25">
      <c r="A10" s="58">
        <v>0</v>
      </c>
      <c r="B10" s="49" t="s">
        <v>63</v>
      </c>
      <c r="C10" s="57">
        <v>0</v>
      </c>
      <c r="D10" s="57">
        <v>0</v>
      </c>
      <c r="E10" s="66">
        <v>4.0000000000000001E-3</v>
      </c>
      <c r="F10" s="106">
        <v>4.0000000000000001E-3</v>
      </c>
      <c r="G10" s="66">
        <v>4.0000000000000001E-3</v>
      </c>
      <c r="H10" s="106">
        <v>4.0000000000000001E-3</v>
      </c>
      <c r="I10" s="66">
        <v>4.0000000000000001E-3</v>
      </c>
      <c r="J10" s="106">
        <v>4.0000000000000001E-3</v>
      </c>
      <c r="K10" s="66">
        <v>4.0000000000000001E-3</v>
      </c>
      <c r="L10" s="106">
        <v>4.0000000000000001E-3</v>
      </c>
      <c r="M10" s="66">
        <v>4.0000000000000001E-3</v>
      </c>
      <c r="N10" s="106">
        <v>4.0000000000000001E-3</v>
      </c>
      <c r="O10" s="57">
        <v>4.0000000000000001E-3</v>
      </c>
      <c r="P10" s="57">
        <v>4.0000000000000001E-3</v>
      </c>
      <c r="Q10" s="57">
        <v>0</v>
      </c>
      <c r="R10" s="57">
        <v>0</v>
      </c>
      <c r="S10" s="57">
        <v>0</v>
      </c>
      <c r="T10" s="57">
        <v>0</v>
      </c>
      <c r="U10" s="57">
        <v>0</v>
      </c>
      <c r="V10" s="57">
        <v>0</v>
      </c>
      <c r="W10" s="57">
        <v>0</v>
      </c>
      <c r="X10" s="57">
        <v>0</v>
      </c>
      <c r="Y10" s="57">
        <v>0</v>
      </c>
      <c r="Z10" s="57">
        <v>0</v>
      </c>
      <c r="AA10" s="57">
        <v>0</v>
      </c>
      <c r="AB10" s="57">
        <v>0</v>
      </c>
      <c r="AC10" s="57">
        <v>0</v>
      </c>
      <c r="AD10" s="57">
        <v>0</v>
      </c>
      <c r="AE10" s="57">
        <v>0</v>
      </c>
      <c r="AF10" s="57">
        <v>4.0000000000000001E-3</v>
      </c>
      <c r="AG10" s="57">
        <v>4.0000000000000001E-3</v>
      </c>
      <c r="AH10" s="57">
        <v>0</v>
      </c>
      <c r="AI10" s="57">
        <v>0</v>
      </c>
      <c r="AJ10" s="57">
        <v>0</v>
      </c>
      <c r="AK10" s="57">
        <v>0</v>
      </c>
      <c r="AL10" s="57">
        <v>0</v>
      </c>
      <c r="AM10" s="57">
        <v>0</v>
      </c>
      <c r="AN10" s="57">
        <v>0</v>
      </c>
    </row>
    <row r="11" spans="1:40" x14ac:dyDescent="0.25">
      <c r="A11" s="15" t="s">
        <v>39</v>
      </c>
      <c r="B11" s="49" t="s">
        <v>226</v>
      </c>
      <c r="C11" s="120" t="s">
        <v>224</v>
      </c>
      <c r="D11" s="120" t="s">
        <v>224</v>
      </c>
      <c r="E11" s="120" t="s">
        <v>224</v>
      </c>
      <c r="F11" s="120" t="s">
        <v>225</v>
      </c>
      <c r="G11" s="120" t="s">
        <v>224</v>
      </c>
      <c r="H11" s="120" t="s">
        <v>224</v>
      </c>
      <c r="I11" s="120" t="s">
        <v>224</v>
      </c>
      <c r="J11" s="120" t="s">
        <v>224</v>
      </c>
      <c r="K11" s="120" t="s">
        <v>224</v>
      </c>
      <c r="L11" s="120" t="s">
        <v>224</v>
      </c>
      <c r="M11" s="120" t="s">
        <v>224</v>
      </c>
      <c r="N11" s="120" t="s">
        <v>224</v>
      </c>
      <c r="O11" s="120" t="s">
        <v>224</v>
      </c>
      <c r="P11" s="120" t="s">
        <v>224</v>
      </c>
      <c r="Q11" s="120" t="s">
        <v>224</v>
      </c>
      <c r="R11" s="120" t="s">
        <v>224</v>
      </c>
      <c r="S11" s="120" t="s">
        <v>224</v>
      </c>
      <c r="T11" s="120" t="s">
        <v>224</v>
      </c>
      <c r="U11" s="120" t="s">
        <v>224</v>
      </c>
      <c r="V11" s="120" t="s">
        <v>224</v>
      </c>
      <c r="W11" s="120" t="s">
        <v>224</v>
      </c>
      <c r="X11" s="120" t="s">
        <v>224</v>
      </c>
      <c r="Y11" s="120" t="s">
        <v>224</v>
      </c>
      <c r="Z11" s="120" t="s">
        <v>224</v>
      </c>
      <c r="AA11" s="120" t="s">
        <v>224</v>
      </c>
      <c r="AB11" s="120" t="s">
        <v>224</v>
      </c>
      <c r="AC11" s="120" t="s">
        <v>224</v>
      </c>
      <c r="AD11" s="120" t="s">
        <v>224</v>
      </c>
      <c r="AE11" s="120" t="s">
        <v>224</v>
      </c>
      <c r="AF11" s="120" t="s">
        <v>224</v>
      </c>
      <c r="AG11" s="120" t="s">
        <v>224</v>
      </c>
      <c r="AH11" s="120" t="s">
        <v>224</v>
      </c>
      <c r="AI11" s="120" t="s">
        <v>224</v>
      </c>
      <c r="AJ11" s="120" t="s">
        <v>224</v>
      </c>
      <c r="AK11" s="120" t="s">
        <v>224</v>
      </c>
      <c r="AL11" s="120" t="s">
        <v>224</v>
      </c>
      <c r="AM11" s="120" t="s">
        <v>224</v>
      </c>
      <c r="AN11" s="120" t="s">
        <v>224</v>
      </c>
    </row>
    <row r="12" spans="1:40" x14ac:dyDescent="0.25">
      <c r="A12" s="57">
        <v>0.8</v>
      </c>
      <c r="B12" s="49" t="s">
        <v>60</v>
      </c>
      <c r="C12" s="57">
        <v>0.8</v>
      </c>
      <c r="D12" s="57">
        <v>1</v>
      </c>
      <c r="E12" s="57">
        <v>0.8</v>
      </c>
      <c r="F12" s="57">
        <v>0.8</v>
      </c>
      <c r="G12" s="57">
        <v>0.8</v>
      </c>
      <c r="H12" s="57">
        <v>0.8</v>
      </c>
      <c r="I12" s="66">
        <v>1</v>
      </c>
      <c r="J12" s="66">
        <v>1</v>
      </c>
      <c r="K12" s="57">
        <v>0.8</v>
      </c>
      <c r="L12" s="57">
        <v>0.8</v>
      </c>
      <c r="M12" s="57">
        <v>0.8</v>
      </c>
      <c r="N12" s="57">
        <v>0.8</v>
      </c>
      <c r="O12" s="57">
        <v>0.8</v>
      </c>
      <c r="P12" s="57">
        <v>0.8</v>
      </c>
      <c r="Q12" s="57">
        <v>0.8</v>
      </c>
      <c r="R12" s="57">
        <v>0.8</v>
      </c>
      <c r="S12" s="57">
        <v>0.8</v>
      </c>
      <c r="T12" s="57">
        <v>0.8</v>
      </c>
      <c r="U12" s="57">
        <v>0.8</v>
      </c>
      <c r="V12" s="57">
        <v>0.8</v>
      </c>
      <c r="W12" s="57">
        <v>0.8</v>
      </c>
      <c r="X12" s="57">
        <v>0.8</v>
      </c>
      <c r="Y12" s="57">
        <v>0.8</v>
      </c>
      <c r="Z12" s="57">
        <v>0.8</v>
      </c>
      <c r="AA12" s="57">
        <v>0.8</v>
      </c>
      <c r="AB12" s="57">
        <v>0.8</v>
      </c>
      <c r="AC12" s="57">
        <v>0.8</v>
      </c>
      <c r="AD12" s="57">
        <v>0.8</v>
      </c>
      <c r="AE12" s="57">
        <v>0.8</v>
      </c>
      <c r="AF12" s="57">
        <v>0.8</v>
      </c>
      <c r="AG12" s="57">
        <v>0.8</v>
      </c>
      <c r="AH12" s="57">
        <v>0.8</v>
      </c>
      <c r="AI12" s="57">
        <v>0.8</v>
      </c>
      <c r="AJ12" s="57">
        <v>0.8</v>
      </c>
      <c r="AK12" s="57">
        <v>0.8</v>
      </c>
      <c r="AL12" s="57">
        <v>0.8</v>
      </c>
      <c r="AM12" s="57">
        <v>0.8</v>
      </c>
      <c r="AN12" s="57">
        <v>0.8</v>
      </c>
    </row>
    <row r="13" spans="1:40" x14ac:dyDescent="0.25">
      <c r="A13" s="57">
        <v>0.01</v>
      </c>
      <c r="B13" s="49" t="s">
        <v>61</v>
      </c>
      <c r="C13" s="57">
        <v>0.01</v>
      </c>
      <c r="D13" s="57">
        <v>0</v>
      </c>
      <c r="E13" s="57">
        <v>0.01</v>
      </c>
      <c r="F13" s="57">
        <v>0.01</v>
      </c>
      <c r="G13" s="57">
        <v>0.01</v>
      </c>
      <c r="H13" s="57">
        <v>0.01</v>
      </c>
      <c r="I13" s="66">
        <v>0</v>
      </c>
      <c r="J13" s="66">
        <v>0</v>
      </c>
      <c r="K13" s="57">
        <v>0.01</v>
      </c>
      <c r="L13" s="57">
        <v>0.01</v>
      </c>
      <c r="M13" s="57">
        <v>0.01</v>
      </c>
      <c r="N13" s="57">
        <v>0.01</v>
      </c>
      <c r="O13" s="57">
        <v>0</v>
      </c>
      <c r="P13" s="57">
        <v>0.01</v>
      </c>
      <c r="Q13" s="57">
        <v>0.01</v>
      </c>
      <c r="R13" s="57">
        <v>0.01</v>
      </c>
      <c r="S13" s="57">
        <v>0.01</v>
      </c>
      <c r="T13" s="57">
        <v>0.01</v>
      </c>
      <c r="U13" s="57">
        <v>0.01</v>
      </c>
      <c r="V13" s="57">
        <v>0.01</v>
      </c>
      <c r="W13" s="57">
        <v>0.01</v>
      </c>
      <c r="X13" s="57">
        <v>0.01</v>
      </c>
      <c r="Y13" s="57">
        <v>0.01</v>
      </c>
      <c r="Z13" s="57">
        <v>0.01</v>
      </c>
      <c r="AA13" s="57">
        <v>0.01</v>
      </c>
      <c r="AB13" s="57">
        <v>0.01</v>
      </c>
      <c r="AC13" s="57">
        <v>0.01</v>
      </c>
      <c r="AD13" s="57">
        <v>0.01</v>
      </c>
      <c r="AE13" s="57">
        <v>0.01</v>
      </c>
      <c r="AF13" s="57">
        <v>0.01</v>
      </c>
      <c r="AG13" s="57">
        <v>0.01</v>
      </c>
      <c r="AH13" s="57">
        <v>0.01</v>
      </c>
      <c r="AI13" s="57">
        <v>0.01</v>
      </c>
      <c r="AJ13" s="57">
        <v>0.01</v>
      </c>
      <c r="AK13" s="57">
        <v>0.01</v>
      </c>
      <c r="AL13" s="57">
        <v>0.01</v>
      </c>
      <c r="AM13" s="57">
        <v>0.01</v>
      </c>
      <c r="AN13" s="57">
        <v>0.01</v>
      </c>
    </row>
    <row r="14" spans="1:40" x14ac:dyDescent="0.25">
      <c r="A14" s="57">
        <v>1</v>
      </c>
      <c r="B14" s="49" t="s">
        <v>120</v>
      </c>
      <c r="C14" s="57">
        <v>1</v>
      </c>
      <c r="D14" s="57">
        <v>1</v>
      </c>
      <c r="E14" s="57">
        <v>1</v>
      </c>
      <c r="F14" s="57">
        <v>1</v>
      </c>
      <c r="G14" s="57">
        <v>1</v>
      </c>
      <c r="H14" s="57">
        <v>1</v>
      </c>
      <c r="I14" s="57">
        <v>1</v>
      </c>
      <c r="J14" s="57">
        <v>1</v>
      </c>
      <c r="K14" s="57">
        <v>1</v>
      </c>
      <c r="L14" s="57">
        <v>1</v>
      </c>
      <c r="M14" s="57">
        <v>1</v>
      </c>
      <c r="N14" s="57">
        <v>1</v>
      </c>
      <c r="O14" s="57">
        <v>1</v>
      </c>
      <c r="P14" s="57">
        <v>1</v>
      </c>
      <c r="Q14" s="57">
        <v>1</v>
      </c>
      <c r="R14" s="57">
        <v>1</v>
      </c>
      <c r="S14" s="57">
        <v>1</v>
      </c>
      <c r="T14" s="57">
        <v>1</v>
      </c>
      <c r="U14" s="57">
        <v>1</v>
      </c>
      <c r="V14" s="57">
        <v>1</v>
      </c>
      <c r="W14" s="57">
        <v>1</v>
      </c>
      <c r="X14" s="57">
        <v>1</v>
      </c>
      <c r="Y14" s="57">
        <v>1</v>
      </c>
      <c r="Z14" s="66">
        <v>0.8</v>
      </c>
      <c r="AA14" s="66">
        <v>0.8</v>
      </c>
      <c r="AB14" s="57">
        <v>1</v>
      </c>
      <c r="AC14" s="57">
        <v>1</v>
      </c>
      <c r="AD14" s="57">
        <v>1</v>
      </c>
      <c r="AE14" s="57">
        <v>1</v>
      </c>
      <c r="AF14" s="57">
        <v>1</v>
      </c>
      <c r="AG14" s="57">
        <v>1</v>
      </c>
      <c r="AH14" s="57">
        <v>1</v>
      </c>
      <c r="AI14" s="66">
        <v>0.8</v>
      </c>
      <c r="AJ14" s="57">
        <v>1</v>
      </c>
      <c r="AK14" s="57">
        <v>1</v>
      </c>
      <c r="AL14" s="57">
        <v>1</v>
      </c>
      <c r="AM14" s="57">
        <v>1</v>
      </c>
      <c r="AN14" s="57">
        <v>1</v>
      </c>
    </row>
    <row r="15" spans="1:40" x14ac:dyDescent="0.25">
      <c r="A15" s="57">
        <v>0</v>
      </c>
      <c r="B15" s="49" t="s">
        <v>121</v>
      </c>
      <c r="C15" s="57">
        <v>0</v>
      </c>
      <c r="D15" s="57">
        <v>0</v>
      </c>
      <c r="E15" s="57">
        <v>0</v>
      </c>
      <c r="F15" s="57">
        <v>0</v>
      </c>
      <c r="G15" s="57">
        <v>0</v>
      </c>
      <c r="H15" s="57">
        <v>0</v>
      </c>
      <c r="I15" s="57">
        <v>0</v>
      </c>
      <c r="J15" s="57">
        <v>0</v>
      </c>
      <c r="K15" s="57">
        <v>0</v>
      </c>
      <c r="L15" s="57">
        <v>0</v>
      </c>
      <c r="M15" s="57">
        <v>0</v>
      </c>
      <c r="N15" s="57">
        <v>0</v>
      </c>
      <c r="O15" s="57">
        <v>0</v>
      </c>
      <c r="P15" s="57">
        <v>0</v>
      </c>
      <c r="Q15" s="57">
        <v>0</v>
      </c>
      <c r="R15" s="57">
        <v>0</v>
      </c>
      <c r="S15" s="57">
        <v>0</v>
      </c>
      <c r="T15" s="57">
        <v>0</v>
      </c>
      <c r="U15" s="57">
        <v>0</v>
      </c>
      <c r="V15" s="57">
        <v>0</v>
      </c>
      <c r="W15" s="57">
        <v>0</v>
      </c>
      <c r="X15" s="57">
        <v>0</v>
      </c>
      <c r="Y15" s="57">
        <v>0</v>
      </c>
      <c r="Z15" s="57">
        <v>0</v>
      </c>
      <c r="AA15" s="57">
        <v>0</v>
      </c>
      <c r="AB15" s="57">
        <v>0</v>
      </c>
      <c r="AC15" s="57">
        <v>0</v>
      </c>
      <c r="AD15" s="57">
        <v>0</v>
      </c>
      <c r="AE15" s="57">
        <v>0</v>
      </c>
      <c r="AF15" s="57">
        <v>0</v>
      </c>
      <c r="AG15" s="57">
        <v>0</v>
      </c>
      <c r="AH15" s="57">
        <v>0</v>
      </c>
      <c r="AI15" s="57">
        <v>0</v>
      </c>
      <c r="AJ15" s="57">
        <v>0</v>
      </c>
      <c r="AK15" s="57">
        <v>0</v>
      </c>
      <c r="AL15" s="57">
        <v>0</v>
      </c>
      <c r="AM15" s="57">
        <v>0</v>
      </c>
      <c r="AN15" s="57">
        <v>0</v>
      </c>
    </row>
    <row r="16" spans="1:40" ht="13" x14ac:dyDescent="0.3">
      <c r="A16" s="51" t="s">
        <v>123</v>
      </c>
      <c r="B16" s="49" t="s">
        <v>122</v>
      </c>
      <c r="C16" s="51" t="s">
        <v>123</v>
      </c>
      <c r="D16" s="51" t="s">
        <v>123</v>
      </c>
      <c r="E16" s="51" t="s">
        <v>123</v>
      </c>
      <c r="F16" s="51" t="s">
        <v>123</v>
      </c>
      <c r="G16" s="51" t="s">
        <v>123</v>
      </c>
      <c r="H16" s="51" t="s">
        <v>123</v>
      </c>
      <c r="I16" s="51" t="s">
        <v>123</v>
      </c>
      <c r="J16" s="51" t="s">
        <v>123</v>
      </c>
      <c r="K16" s="51" t="s">
        <v>123</v>
      </c>
      <c r="L16" s="51" t="s">
        <v>123</v>
      </c>
      <c r="M16" s="51" t="s">
        <v>123</v>
      </c>
      <c r="N16" s="51" t="s">
        <v>123</v>
      </c>
      <c r="O16" s="51" t="s">
        <v>123</v>
      </c>
      <c r="P16" s="51" t="s">
        <v>123</v>
      </c>
      <c r="Q16" s="51" t="s">
        <v>123</v>
      </c>
      <c r="R16" s="51" t="s">
        <v>123</v>
      </c>
      <c r="S16" s="51" t="s">
        <v>123</v>
      </c>
      <c r="T16" s="51" t="s">
        <v>123</v>
      </c>
      <c r="U16" s="51" t="s">
        <v>123</v>
      </c>
      <c r="V16" s="51" t="s">
        <v>123</v>
      </c>
      <c r="W16" s="51" t="s">
        <v>123</v>
      </c>
      <c r="X16" s="51" t="s">
        <v>123</v>
      </c>
      <c r="Y16" s="51" t="s">
        <v>123</v>
      </c>
      <c r="Z16" s="51" t="s">
        <v>123</v>
      </c>
      <c r="AA16" s="51" t="s">
        <v>123</v>
      </c>
      <c r="AB16" s="50" t="s">
        <v>124</v>
      </c>
      <c r="AC16" s="50" t="s">
        <v>124</v>
      </c>
      <c r="AD16" s="50" t="s">
        <v>124</v>
      </c>
      <c r="AE16" s="50" t="s">
        <v>124</v>
      </c>
      <c r="AF16" s="51" t="s">
        <v>123</v>
      </c>
      <c r="AG16" s="51" t="s">
        <v>123</v>
      </c>
      <c r="AH16" s="51" t="s">
        <v>123</v>
      </c>
      <c r="AI16" s="51" t="s">
        <v>123</v>
      </c>
      <c r="AJ16" s="50" t="s">
        <v>124</v>
      </c>
      <c r="AK16" s="50" t="s">
        <v>124</v>
      </c>
      <c r="AL16" s="50" t="s">
        <v>124</v>
      </c>
      <c r="AM16" s="50" t="s">
        <v>124</v>
      </c>
      <c r="AN16" s="50" t="s">
        <v>124</v>
      </c>
    </row>
    <row r="17" spans="1:40" x14ac:dyDescent="0.25">
      <c r="A17" s="57">
        <v>2.5000000000000001E-3</v>
      </c>
      <c r="B17" s="49" t="s">
        <v>62</v>
      </c>
      <c r="C17" s="57">
        <v>2.5000000000000001E-3</v>
      </c>
      <c r="D17" s="57">
        <v>2.5000000000000001E-3</v>
      </c>
      <c r="E17" s="57">
        <v>2.5000000000000001E-3</v>
      </c>
      <c r="F17" s="57">
        <v>2.5000000000000001E-3</v>
      </c>
      <c r="G17" s="57">
        <v>2.5000000000000001E-3</v>
      </c>
      <c r="H17" s="57">
        <v>2.5000000000000001E-3</v>
      </c>
      <c r="I17" s="57">
        <v>2.5000000000000001E-3</v>
      </c>
      <c r="J17" s="57">
        <v>2.5000000000000001E-3</v>
      </c>
      <c r="K17" s="57">
        <v>2.5000000000000001E-3</v>
      </c>
      <c r="L17" s="57">
        <v>2.5000000000000001E-3</v>
      </c>
      <c r="M17" s="57">
        <v>2.5000000000000001E-3</v>
      </c>
      <c r="N17" s="57">
        <v>2.5000000000000001E-3</v>
      </c>
      <c r="O17" s="57">
        <v>2.5000000000000001E-3</v>
      </c>
      <c r="P17" s="57">
        <v>2.5000000000000001E-3</v>
      </c>
      <c r="Q17" s="57">
        <v>2.5000000000000001E-3</v>
      </c>
      <c r="R17" s="57">
        <v>2.5000000000000001E-3</v>
      </c>
      <c r="S17" s="57">
        <v>2.5000000000000001E-3</v>
      </c>
      <c r="T17" s="57">
        <v>2.5000000000000001E-3</v>
      </c>
      <c r="U17" s="57">
        <v>2.5000000000000001E-3</v>
      </c>
      <c r="V17" s="57">
        <v>2.5000000000000001E-3</v>
      </c>
      <c r="W17" s="57">
        <v>2.5000000000000001E-3</v>
      </c>
      <c r="X17" s="57">
        <v>2.5000000000000001E-3</v>
      </c>
      <c r="Y17" s="57">
        <v>2.5000000000000001E-3</v>
      </c>
      <c r="Z17" s="57">
        <v>2.5000000000000001E-3</v>
      </c>
      <c r="AA17" s="57">
        <v>2.5000000000000001E-3</v>
      </c>
      <c r="AB17" s="57">
        <v>2.5000000000000001E-3</v>
      </c>
      <c r="AC17" s="57">
        <v>2.5000000000000001E-3</v>
      </c>
      <c r="AD17" s="57">
        <v>2.5000000000000001E-3</v>
      </c>
      <c r="AE17" s="57">
        <v>2.5000000000000001E-3</v>
      </c>
      <c r="AF17" s="57">
        <v>2.5000000000000001E-3</v>
      </c>
      <c r="AG17" s="57">
        <v>2.5000000000000001E-3</v>
      </c>
      <c r="AH17" s="57">
        <v>2.5000000000000001E-3</v>
      </c>
      <c r="AI17" s="57">
        <v>2.5000000000000001E-3</v>
      </c>
      <c r="AJ17" s="57">
        <v>2.5000000000000001E-3</v>
      </c>
      <c r="AK17" s="57">
        <v>2.5000000000000001E-3</v>
      </c>
      <c r="AL17" s="57">
        <v>2.5000000000000001E-3</v>
      </c>
      <c r="AM17" s="57">
        <v>2.5000000000000001E-3</v>
      </c>
      <c r="AN17" s="57">
        <v>2.5000000000000001E-3</v>
      </c>
    </row>
    <row r="18" spans="1:40" x14ac:dyDescent="0.25">
      <c r="A18" s="57">
        <v>2.5000000000000001E-3</v>
      </c>
      <c r="B18" s="49" t="s">
        <v>195</v>
      </c>
      <c r="C18" s="57">
        <v>2.5000000000000001E-3</v>
      </c>
      <c r="D18" s="57">
        <v>2.5000000000000001E-3</v>
      </c>
      <c r="E18" s="66">
        <v>0</v>
      </c>
      <c r="F18" s="57">
        <v>0</v>
      </c>
      <c r="G18" s="66">
        <v>0</v>
      </c>
      <c r="H18" s="57">
        <v>0</v>
      </c>
      <c r="I18" s="66">
        <v>0</v>
      </c>
      <c r="J18" s="57">
        <v>0</v>
      </c>
      <c r="K18" s="66">
        <v>0</v>
      </c>
      <c r="L18" s="57">
        <v>0</v>
      </c>
      <c r="M18" s="66">
        <v>0</v>
      </c>
      <c r="N18" s="57">
        <v>0</v>
      </c>
      <c r="O18" s="57">
        <v>2.5000000000000001E-3</v>
      </c>
      <c r="P18" s="57">
        <v>2.5000000000000001E-3</v>
      </c>
      <c r="Q18" s="57">
        <v>2.5000000000000001E-3</v>
      </c>
      <c r="R18" s="57">
        <v>2.5000000000000001E-3</v>
      </c>
      <c r="S18" s="57">
        <v>2.5000000000000001E-3</v>
      </c>
      <c r="T18" s="57">
        <v>2.5000000000000001E-3</v>
      </c>
      <c r="U18" s="57">
        <v>2.5000000000000001E-3</v>
      </c>
      <c r="V18" s="57">
        <v>2.5000000000000001E-3</v>
      </c>
      <c r="W18" s="57">
        <v>2.5000000000000001E-3</v>
      </c>
      <c r="X18" s="57">
        <v>2.5000000000000001E-3</v>
      </c>
      <c r="Y18" s="57">
        <v>2.5000000000000001E-3</v>
      </c>
      <c r="Z18" s="57">
        <v>2.5000000000000001E-3</v>
      </c>
      <c r="AA18" s="57">
        <v>2.5000000000000001E-3</v>
      </c>
      <c r="AB18" s="57">
        <v>2.5000000000000001E-3</v>
      </c>
      <c r="AC18" s="57">
        <v>2.5000000000000001E-3</v>
      </c>
      <c r="AD18" s="57">
        <v>2.5000000000000001E-3</v>
      </c>
      <c r="AE18" s="57">
        <v>2.5000000000000001E-3</v>
      </c>
      <c r="AF18" s="57">
        <v>2.5000000000000001E-3</v>
      </c>
      <c r="AG18" s="57">
        <v>2.5000000000000001E-3</v>
      </c>
      <c r="AH18" s="57">
        <v>2.5000000000000001E-3</v>
      </c>
      <c r="AI18" s="57">
        <v>2.5000000000000001E-3</v>
      </c>
      <c r="AJ18" s="57">
        <v>2.5000000000000001E-3</v>
      </c>
      <c r="AK18" s="57">
        <v>2.5000000000000001E-3</v>
      </c>
      <c r="AL18" s="57">
        <v>2.5000000000000001E-3</v>
      </c>
      <c r="AM18" s="57">
        <v>2.5000000000000001E-3</v>
      </c>
      <c r="AN18" s="57">
        <v>2.5000000000000001E-3</v>
      </c>
    </row>
    <row r="19" spans="1:40" x14ac:dyDescent="0.25">
      <c r="A19" s="51" t="s">
        <v>40</v>
      </c>
      <c r="B19" s="49" t="s">
        <v>34</v>
      </c>
      <c r="C19" s="51" t="s">
        <v>40</v>
      </c>
      <c r="D19" s="51" t="s">
        <v>40</v>
      </c>
      <c r="E19" s="51" t="s">
        <v>40</v>
      </c>
      <c r="F19" s="51" t="s">
        <v>40</v>
      </c>
      <c r="G19" s="51" t="s">
        <v>40</v>
      </c>
      <c r="H19" s="51" t="s">
        <v>40</v>
      </c>
      <c r="I19" s="51" t="s">
        <v>40</v>
      </c>
      <c r="J19" s="51" t="s">
        <v>40</v>
      </c>
      <c r="K19" s="51" t="s">
        <v>40</v>
      </c>
      <c r="L19" s="51" t="s">
        <v>40</v>
      </c>
      <c r="M19" s="51" t="s">
        <v>40</v>
      </c>
      <c r="N19" s="51" t="s">
        <v>40</v>
      </c>
      <c r="O19" s="51" t="s">
        <v>40</v>
      </c>
      <c r="P19" s="51" t="s">
        <v>40</v>
      </c>
      <c r="Q19" s="51" t="s">
        <v>40</v>
      </c>
      <c r="R19" s="51" t="s">
        <v>40</v>
      </c>
      <c r="S19" s="51" t="s">
        <v>40</v>
      </c>
      <c r="T19" s="51" t="s">
        <v>40</v>
      </c>
      <c r="U19" s="51" t="s">
        <v>41</v>
      </c>
      <c r="V19" s="51" t="s">
        <v>41</v>
      </c>
      <c r="W19" s="51" t="s">
        <v>41</v>
      </c>
      <c r="X19" s="51" t="s">
        <v>65</v>
      </c>
      <c r="Y19" s="51" t="s">
        <v>65</v>
      </c>
      <c r="Z19" s="51" t="s">
        <v>65</v>
      </c>
      <c r="AA19" s="51" t="s">
        <v>65</v>
      </c>
      <c r="AB19" s="51" t="s">
        <v>65</v>
      </c>
      <c r="AC19" s="51" t="s">
        <v>65</v>
      </c>
      <c r="AD19" s="51" t="s">
        <v>65</v>
      </c>
      <c r="AE19" s="51" t="s">
        <v>65</v>
      </c>
      <c r="AF19" s="51" t="s">
        <v>40</v>
      </c>
      <c r="AG19" s="51" t="s">
        <v>40</v>
      </c>
      <c r="AH19" s="51" t="s">
        <v>65</v>
      </c>
      <c r="AI19" s="51" t="s">
        <v>65</v>
      </c>
      <c r="AJ19" s="51" t="s">
        <v>65</v>
      </c>
      <c r="AK19" s="51" t="s">
        <v>65</v>
      </c>
      <c r="AL19" s="51" t="s">
        <v>65</v>
      </c>
      <c r="AM19" s="51" t="s">
        <v>65</v>
      </c>
      <c r="AN19" s="51" t="s">
        <v>76</v>
      </c>
    </row>
    <row r="20" spans="1:40" x14ac:dyDescent="0.25">
      <c r="A20" s="52" t="s">
        <v>53</v>
      </c>
      <c r="B20" s="49" t="s">
        <v>35</v>
      </c>
      <c r="C20" s="52" t="s">
        <v>53</v>
      </c>
      <c r="D20" s="52" t="s">
        <v>53</v>
      </c>
      <c r="E20" s="52" t="s">
        <v>53</v>
      </c>
      <c r="F20" s="52" t="s">
        <v>53</v>
      </c>
      <c r="G20" s="52" t="s">
        <v>53</v>
      </c>
      <c r="H20" s="52" t="s">
        <v>53</v>
      </c>
      <c r="I20" s="52" t="s">
        <v>53</v>
      </c>
      <c r="J20" s="52" t="s">
        <v>53</v>
      </c>
      <c r="K20" s="52" t="s">
        <v>53</v>
      </c>
      <c r="L20" s="52" t="s">
        <v>53</v>
      </c>
      <c r="M20" s="52" t="s">
        <v>53</v>
      </c>
      <c r="N20" s="52" t="s">
        <v>53</v>
      </c>
      <c r="O20" s="52" t="s">
        <v>53</v>
      </c>
      <c r="P20" s="52" t="s">
        <v>53</v>
      </c>
      <c r="Q20" s="52" t="s">
        <v>53</v>
      </c>
      <c r="R20" s="52" t="s">
        <v>42</v>
      </c>
      <c r="S20" s="52" t="s">
        <v>46</v>
      </c>
      <c r="T20" s="52" t="s">
        <v>76</v>
      </c>
      <c r="U20" s="52" t="s">
        <v>42</v>
      </c>
      <c r="V20" s="52" t="s">
        <v>46</v>
      </c>
      <c r="W20" s="52" t="s">
        <v>76</v>
      </c>
      <c r="X20" s="52" t="s">
        <v>42</v>
      </c>
      <c r="Y20" s="52" t="s">
        <v>42</v>
      </c>
      <c r="Z20" s="52" t="s">
        <v>42</v>
      </c>
      <c r="AA20" s="52" t="s">
        <v>42</v>
      </c>
      <c r="AB20" s="52" t="s">
        <v>42</v>
      </c>
      <c r="AC20" s="52" t="s">
        <v>42</v>
      </c>
      <c r="AD20" s="52" t="s">
        <v>42</v>
      </c>
      <c r="AE20" s="52" t="s">
        <v>42</v>
      </c>
      <c r="AF20" s="52" t="s">
        <v>53</v>
      </c>
      <c r="AG20" s="52" t="s">
        <v>53</v>
      </c>
      <c r="AH20" s="52" t="s">
        <v>42</v>
      </c>
      <c r="AI20" s="52" t="s">
        <v>42</v>
      </c>
      <c r="AJ20" s="52" t="s">
        <v>42</v>
      </c>
      <c r="AK20" s="52" t="s">
        <v>42</v>
      </c>
      <c r="AL20" s="52" t="s">
        <v>42</v>
      </c>
      <c r="AM20" s="52" t="s">
        <v>42</v>
      </c>
      <c r="AN20" s="52" t="s">
        <v>76</v>
      </c>
    </row>
    <row r="21" spans="1:40" x14ac:dyDescent="0.25">
      <c r="A21" s="52" t="s">
        <v>53</v>
      </c>
      <c r="B21" s="49" t="s">
        <v>36</v>
      </c>
      <c r="C21" s="52" t="s">
        <v>53</v>
      </c>
      <c r="D21" s="52" t="s">
        <v>53</v>
      </c>
      <c r="E21" s="52" t="s">
        <v>53</v>
      </c>
      <c r="F21" s="52" t="s">
        <v>53</v>
      </c>
      <c r="G21" s="52" t="s">
        <v>53</v>
      </c>
      <c r="H21" s="52" t="s">
        <v>53</v>
      </c>
      <c r="I21" s="52" t="s">
        <v>53</v>
      </c>
      <c r="J21" s="52" t="s">
        <v>53</v>
      </c>
      <c r="K21" s="52" t="s">
        <v>53</v>
      </c>
      <c r="L21" s="52" t="s">
        <v>53</v>
      </c>
      <c r="M21" s="52" t="s">
        <v>53</v>
      </c>
      <c r="N21" s="52" t="s">
        <v>53</v>
      </c>
      <c r="O21" s="52" t="s">
        <v>53</v>
      </c>
      <c r="P21" s="52" t="s">
        <v>53</v>
      </c>
      <c r="Q21" s="52" t="s">
        <v>53</v>
      </c>
      <c r="R21" s="52" t="s">
        <v>42</v>
      </c>
      <c r="S21" s="52" t="s">
        <v>46</v>
      </c>
      <c r="T21" s="52" t="s">
        <v>76</v>
      </c>
      <c r="U21" s="52" t="s">
        <v>42</v>
      </c>
      <c r="V21" s="52" t="s">
        <v>46</v>
      </c>
      <c r="W21" s="52" t="s">
        <v>79</v>
      </c>
      <c r="X21" s="52" t="s">
        <v>42</v>
      </c>
      <c r="Y21" s="52" t="s">
        <v>42</v>
      </c>
      <c r="Z21" s="52" t="s">
        <v>42</v>
      </c>
      <c r="AA21" s="52" t="s">
        <v>42</v>
      </c>
      <c r="AB21" s="52" t="s">
        <v>86</v>
      </c>
      <c r="AC21" s="52" t="s">
        <v>86</v>
      </c>
      <c r="AD21" s="52" t="s">
        <v>87</v>
      </c>
      <c r="AE21" s="52" t="s">
        <v>87</v>
      </c>
      <c r="AF21" s="52" t="s">
        <v>53</v>
      </c>
      <c r="AG21" s="52" t="s">
        <v>53</v>
      </c>
      <c r="AH21" s="52" t="s">
        <v>42</v>
      </c>
      <c r="AI21" s="52" t="s">
        <v>42</v>
      </c>
      <c r="AJ21" s="83" t="s">
        <v>86</v>
      </c>
      <c r="AK21" s="83" t="s">
        <v>87</v>
      </c>
      <c r="AL21" s="52" t="s">
        <v>86</v>
      </c>
      <c r="AM21" s="52" t="s">
        <v>87</v>
      </c>
      <c r="AN21" s="52" t="s">
        <v>76</v>
      </c>
    </row>
    <row r="22" spans="1:40" ht="13" x14ac:dyDescent="0.3">
      <c r="A22" s="51" t="s">
        <v>43</v>
      </c>
      <c r="B22" s="49" t="s">
        <v>37</v>
      </c>
      <c r="C22" s="51" t="s">
        <v>43</v>
      </c>
      <c r="D22" s="51" t="s">
        <v>43</v>
      </c>
      <c r="E22" s="51" t="s">
        <v>43</v>
      </c>
      <c r="F22" s="51" t="s">
        <v>43</v>
      </c>
      <c r="G22" s="51" t="s">
        <v>43</v>
      </c>
      <c r="H22" s="51" t="s">
        <v>43</v>
      </c>
      <c r="I22" s="51" t="s">
        <v>43</v>
      </c>
      <c r="J22" s="51" t="s">
        <v>43</v>
      </c>
      <c r="K22" s="51" t="s">
        <v>43</v>
      </c>
      <c r="L22" s="51" t="s">
        <v>43</v>
      </c>
      <c r="M22" s="51" t="s">
        <v>43</v>
      </c>
      <c r="N22" s="51" t="s">
        <v>43</v>
      </c>
      <c r="O22" s="51" t="s">
        <v>43</v>
      </c>
      <c r="P22" s="51" t="s">
        <v>43</v>
      </c>
      <c r="Q22" s="51" t="s">
        <v>43</v>
      </c>
      <c r="R22" s="51" t="s">
        <v>43</v>
      </c>
      <c r="S22" s="51" t="s">
        <v>43</v>
      </c>
      <c r="T22" s="51" t="s">
        <v>43</v>
      </c>
      <c r="U22" s="50" t="s">
        <v>44</v>
      </c>
      <c r="V22" s="50" t="s">
        <v>44</v>
      </c>
      <c r="W22" s="50" t="s">
        <v>44</v>
      </c>
      <c r="X22" s="50" t="s">
        <v>44</v>
      </c>
      <c r="Y22" s="50" t="s">
        <v>44</v>
      </c>
      <c r="Z22" s="50" t="s">
        <v>44</v>
      </c>
      <c r="AA22" s="50" t="s">
        <v>44</v>
      </c>
      <c r="AB22" s="50" t="s">
        <v>44</v>
      </c>
      <c r="AC22" s="50" t="s">
        <v>44</v>
      </c>
      <c r="AD22" s="50" t="s">
        <v>44</v>
      </c>
      <c r="AE22" s="50" t="s">
        <v>44</v>
      </c>
      <c r="AF22" s="51" t="s">
        <v>43</v>
      </c>
      <c r="AG22" s="51" t="s">
        <v>43</v>
      </c>
      <c r="AH22" s="50" t="s">
        <v>44</v>
      </c>
      <c r="AI22" s="50" t="s">
        <v>44</v>
      </c>
      <c r="AJ22" s="50" t="s">
        <v>44</v>
      </c>
      <c r="AK22" s="50" t="s">
        <v>44</v>
      </c>
      <c r="AL22" s="50" t="s">
        <v>44</v>
      </c>
      <c r="AM22" s="50" t="s">
        <v>44</v>
      </c>
      <c r="AN22" s="50" t="s">
        <v>44</v>
      </c>
    </row>
    <row r="23" spans="1:40" x14ac:dyDescent="0.25">
      <c r="A23" s="51" t="s">
        <v>45</v>
      </c>
      <c r="B23" s="49" t="s">
        <v>127</v>
      </c>
      <c r="C23" s="51" t="s">
        <v>45</v>
      </c>
      <c r="D23" s="51" t="s">
        <v>45</v>
      </c>
      <c r="E23" s="51" t="s">
        <v>45</v>
      </c>
      <c r="F23" s="51" t="s">
        <v>45</v>
      </c>
      <c r="G23" s="51" t="s">
        <v>45</v>
      </c>
      <c r="H23" s="51" t="s">
        <v>45</v>
      </c>
      <c r="I23" s="51" t="s">
        <v>45</v>
      </c>
      <c r="J23" s="51" t="s">
        <v>45</v>
      </c>
      <c r="K23" s="51" t="s">
        <v>45</v>
      </c>
      <c r="L23" s="51" t="s">
        <v>45</v>
      </c>
      <c r="M23" s="51" t="s">
        <v>45</v>
      </c>
      <c r="N23" s="51" t="s">
        <v>45</v>
      </c>
      <c r="O23" s="51" t="s">
        <v>45</v>
      </c>
      <c r="P23" s="51" t="s">
        <v>45</v>
      </c>
      <c r="Q23" s="51" t="s">
        <v>45</v>
      </c>
      <c r="R23" s="51" t="s">
        <v>45</v>
      </c>
      <c r="S23" s="51" t="s">
        <v>45</v>
      </c>
      <c r="T23" s="51" t="s">
        <v>45</v>
      </c>
      <c r="U23" s="51" t="s">
        <v>45</v>
      </c>
      <c r="V23" s="51" t="s">
        <v>45</v>
      </c>
      <c r="W23" s="51" t="s">
        <v>45</v>
      </c>
      <c r="X23" s="51" t="s">
        <v>45</v>
      </c>
      <c r="Y23" s="51" t="s">
        <v>45</v>
      </c>
      <c r="Z23" s="51" t="s">
        <v>45</v>
      </c>
      <c r="AA23" s="51" t="s">
        <v>45</v>
      </c>
      <c r="AB23" s="51" t="s">
        <v>45</v>
      </c>
      <c r="AC23" s="51" t="s">
        <v>45</v>
      </c>
      <c r="AD23" s="64" t="s">
        <v>39</v>
      </c>
      <c r="AE23" s="64" t="s">
        <v>39</v>
      </c>
      <c r="AF23" s="51" t="s">
        <v>45</v>
      </c>
      <c r="AG23" s="51" t="s">
        <v>45</v>
      </c>
      <c r="AH23" s="51" t="s">
        <v>45</v>
      </c>
      <c r="AI23" s="51" t="s">
        <v>45</v>
      </c>
      <c r="AJ23" s="51" t="s">
        <v>45</v>
      </c>
      <c r="AK23" s="64" t="s">
        <v>39</v>
      </c>
      <c r="AL23" s="51" t="s">
        <v>45</v>
      </c>
      <c r="AM23" s="64" t="s">
        <v>39</v>
      </c>
      <c r="AN23" s="51" t="s">
        <v>45</v>
      </c>
    </row>
    <row r="24" spans="1:40" x14ac:dyDescent="0.25">
      <c r="A24" s="57"/>
      <c r="B24" s="49" t="s">
        <v>97</v>
      </c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</row>
    <row r="25" spans="1:40" x14ac:dyDescent="0.25">
      <c r="A25" s="57" t="s">
        <v>53</v>
      </c>
      <c r="B25" s="49" t="s">
        <v>98</v>
      </c>
      <c r="C25" s="57" t="s">
        <v>53</v>
      </c>
      <c r="D25" s="57" t="s">
        <v>53</v>
      </c>
      <c r="E25" s="57" t="s">
        <v>53</v>
      </c>
      <c r="F25" s="57" t="s">
        <v>53</v>
      </c>
      <c r="G25" s="57" t="s">
        <v>53</v>
      </c>
      <c r="H25" s="57" t="s">
        <v>53</v>
      </c>
      <c r="I25" s="57" t="s">
        <v>53</v>
      </c>
      <c r="J25" s="57" t="s">
        <v>53</v>
      </c>
      <c r="K25" s="57" t="s">
        <v>53</v>
      </c>
      <c r="L25" s="57" t="s">
        <v>53</v>
      </c>
      <c r="M25" s="57" t="s">
        <v>53</v>
      </c>
      <c r="N25" s="57" t="s">
        <v>53</v>
      </c>
      <c r="O25" s="57" t="s">
        <v>53</v>
      </c>
      <c r="P25" s="57" t="s">
        <v>53</v>
      </c>
      <c r="Q25" s="57" t="s">
        <v>53</v>
      </c>
      <c r="R25" s="57" t="s">
        <v>53</v>
      </c>
      <c r="S25" s="57" t="s">
        <v>53</v>
      </c>
      <c r="T25" s="57" t="s">
        <v>53</v>
      </c>
      <c r="U25" s="57" t="s">
        <v>53</v>
      </c>
      <c r="V25" s="57" t="s">
        <v>53</v>
      </c>
      <c r="W25" s="57" t="s">
        <v>53</v>
      </c>
      <c r="X25" s="57" t="s">
        <v>53</v>
      </c>
      <c r="Y25" s="57" t="s">
        <v>53</v>
      </c>
      <c r="Z25" s="57" t="s">
        <v>110</v>
      </c>
      <c r="AA25" s="57" t="s">
        <v>110</v>
      </c>
      <c r="AB25" s="57" t="s">
        <v>53</v>
      </c>
      <c r="AC25" s="57" t="s">
        <v>53</v>
      </c>
      <c r="AD25" s="57" t="s">
        <v>53</v>
      </c>
      <c r="AE25" s="57" t="s">
        <v>53</v>
      </c>
      <c r="AF25" s="57" t="s">
        <v>53</v>
      </c>
      <c r="AG25" s="57" t="s">
        <v>53</v>
      </c>
      <c r="AH25" s="57" t="s">
        <v>53</v>
      </c>
      <c r="AI25" s="57" t="s">
        <v>110</v>
      </c>
      <c r="AJ25" s="57" t="s">
        <v>53</v>
      </c>
      <c r="AK25" s="57" t="s">
        <v>53</v>
      </c>
      <c r="AL25" s="57" t="s">
        <v>53</v>
      </c>
      <c r="AM25" s="57" t="s">
        <v>53</v>
      </c>
      <c r="AN25" s="57" t="s">
        <v>53</v>
      </c>
    </row>
    <row r="26" spans="1:40" x14ac:dyDescent="0.25">
      <c r="A26" s="57"/>
      <c r="B26" s="49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</row>
    <row r="27" spans="1:40" x14ac:dyDescent="0.25">
      <c r="A27" s="57"/>
      <c r="B27" s="49" t="s">
        <v>99</v>
      </c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</row>
    <row r="28" spans="1:40" x14ac:dyDescent="0.25">
      <c r="A28" s="57" t="s">
        <v>100</v>
      </c>
      <c r="B28" s="49" t="s">
        <v>101</v>
      </c>
      <c r="C28" s="57" t="s">
        <v>100</v>
      </c>
      <c r="D28" s="57" t="s">
        <v>100</v>
      </c>
      <c r="E28" s="57" t="s">
        <v>100</v>
      </c>
      <c r="F28" s="57" t="s">
        <v>100</v>
      </c>
      <c r="G28" s="57" t="s">
        <v>100</v>
      </c>
      <c r="H28" s="57" t="s">
        <v>100</v>
      </c>
      <c r="I28" s="57" t="s">
        <v>100</v>
      </c>
      <c r="J28" s="57" t="s">
        <v>100</v>
      </c>
      <c r="K28" s="57" t="s">
        <v>100</v>
      </c>
      <c r="L28" s="57" t="s">
        <v>100</v>
      </c>
      <c r="M28" s="57" t="s">
        <v>100</v>
      </c>
      <c r="N28" s="57" t="s">
        <v>100</v>
      </c>
      <c r="O28" s="57" t="s">
        <v>100</v>
      </c>
      <c r="P28" s="57" t="s">
        <v>100</v>
      </c>
      <c r="Q28" s="57" t="s">
        <v>100</v>
      </c>
      <c r="R28" s="57" t="s">
        <v>100</v>
      </c>
      <c r="S28" s="57" t="s">
        <v>100</v>
      </c>
      <c r="T28" s="57" t="s">
        <v>100</v>
      </c>
      <c r="U28" s="57" t="s">
        <v>100</v>
      </c>
      <c r="V28" s="57" t="s">
        <v>100</v>
      </c>
      <c r="W28" s="57" t="s">
        <v>100</v>
      </c>
      <c r="X28" s="57" t="s">
        <v>100</v>
      </c>
      <c r="Y28" s="57" t="s">
        <v>100</v>
      </c>
      <c r="Z28" s="57" t="s">
        <v>100</v>
      </c>
      <c r="AA28" s="57" t="s">
        <v>100</v>
      </c>
      <c r="AB28" s="57" t="s">
        <v>100</v>
      </c>
      <c r="AC28" s="57" t="s">
        <v>100</v>
      </c>
      <c r="AD28" s="57" t="s">
        <v>100</v>
      </c>
      <c r="AE28" s="57" t="s">
        <v>100</v>
      </c>
      <c r="AF28" s="57" t="s">
        <v>100</v>
      </c>
      <c r="AG28" s="57" t="s">
        <v>100</v>
      </c>
      <c r="AH28" s="57" t="s">
        <v>100</v>
      </c>
      <c r="AI28" s="57" t="s">
        <v>100</v>
      </c>
      <c r="AJ28" s="57" t="s">
        <v>100</v>
      </c>
      <c r="AK28" s="57" t="s">
        <v>100</v>
      </c>
      <c r="AL28" s="57" t="s">
        <v>100</v>
      </c>
      <c r="AM28" s="57" t="s">
        <v>100</v>
      </c>
      <c r="AN28" s="57" t="s">
        <v>100</v>
      </c>
    </row>
    <row r="29" spans="1:40" x14ac:dyDescent="0.25">
      <c r="A29" s="57" t="s">
        <v>102</v>
      </c>
      <c r="B29" s="49" t="s">
        <v>103</v>
      </c>
      <c r="C29" s="57" t="s">
        <v>102</v>
      </c>
      <c r="D29" s="57" t="s">
        <v>102</v>
      </c>
      <c r="E29" s="57" t="s">
        <v>102</v>
      </c>
      <c r="F29" s="57" t="s">
        <v>102</v>
      </c>
      <c r="G29" s="57" t="s">
        <v>102</v>
      </c>
      <c r="H29" s="57" t="s">
        <v>102</v>
      </c>
      <c r="I29" s="57" t="s">
        <v>102</v>
      </c>
      <c r="J29" s="57" t="s">
        <v>102</v>
      </c>
      <c r="K29" s="57" t="s">
        <v>102</v>
      </c>
      <c r="L29" s="57" t="s">
        <v>102</v>
      </c>
      <c r="M29" s="57" t="s">
        <v>102</v>
      </c>
      <c r="N29" s="57" t="s">
        <v>102</v>
      </c>
      <c r="O29" s="57" t="s">
        <v>102</v>
      </c>
      <c r="P29" s="57" t="s">
        <v>102</v>
      </c>
      <c r="Q29" s="57" t="s">
        <v>102</v>
      </c>
      <c r="R29" s="57" t="s">
        <v>102</v>
      </c>
      <c r="S29" s="57" t="s">
        <v>102</v>
      </c>
      <c r="T29" s="57" t="s">
        <v>102</v>
      </c>
      <c r="U29" s="57" t="s">
        <v>102</v>
      </c>
      <c r="V29" s="57" t="s">
        <v>102</v>
      </c>
      <c r="W29" s="57" t="s">
        <v>102</v>
      </c>
      <c r="X29" s="57" t="s">
        <v>102</v>
      </c>
      <c r="Y29" s="57" t="s">
        <v>102</v>
      </c>
      <c r="Z29" s="57" t="s">
        <v>102</v>
      </c>
      <c r="AA29" s="57" t="s">
        <v>102</v>
      </c>
      <c r="AB29" s="57" t="s">
        <v>102</v>
      </c>
      <c r="AC29" s="57" t="s">
        <v>102</v>
      </c>
      <c r="AD29" s="57" t="s">
        <v>102</v>
      </c>
      <c r="AE29" s="57" t="s">
        <v>102</v>
      </c>
      <c r="AF29" s="57" t="s">
        <v>102</v>
      </c>
      <c r="AG29" s="57" t="s">
        <v>102</v>
      </c>
      <c r="AH29" s="57" t="s">
        <v>102</v>
      </c>
      <c r="AI29" s="57" t="s">
        <v>102</v>
      </c>
      <c r="AJ29" s="57" t="s">
        <v>102</v>
      </c>
      <c r="AK29" s="57" t="s">
        <v>102</v>
      </c>
      <c r="AL29" s="57" t="s">
        <v>102</v>
      </c>
      <c r="AM29" s="57" t="s">
        <v>102</v>
      </c>
      <c r="AN29" s="57" t="s">
        <v>102</v>
      </c>
    </row>
    <row r="30" spans="1:40" x14ac:dyDescent="0.25">
      <c r="A30" s="57">
        <v>0.75</v>
      </c>
      <c r="B30" s="49" t="s">
        <v>104</v>
      </c>
      <c r="C30" s="57">
        <v>0.75</v>
      </c>
      <c r="D30" s="57">
        <v>0.75</v>
      </c>
      <c r="E30" s="57">
        <v>0.75</v>
      </c>
      <c r="F30" s="57">
        <v>0.75</v>
      </c>
      <c r="G30" s="57">
        <v>0.75</v>
      </c>
      <c r="H30" s="57">
        <v>0.75</v>
      </c>
      <c r="I30" s="57">
        <v>0.75</v>
      </c>
      <c r="J30" s="57">
        <v>0.75</v>
      </c>
      <c r="K30" s="57">
        <v>0.75</v>
      </c>
      <c r="L30" s="57">
        <v>0.75</v>
      </c>
      <c r="M30" s="57">
        <v>0.75</v>
      </c>
      <c r="N30" s="57">
        <v>0.75</v>
      </c>
      <c r="O30" s="57">
        <v>0.75</v>
      </c>
      <c r="P30" s="57">
        <v>0.75</v>
      </c>
      <c r="Q30" s="57">
        <v>0.75</v>
      </c>
      <c r="R30" s="57">
        <v>0.75</v>
      </c>
      <c r="S30" s="57">
        <v>0.75</v>
      </c>
      <c r="T30" s="57">
        <v>0.75</v>
      </c>
      <c r="U30" s="57">
        <v>0.75</v>
      </c>
      <c r="V30" s="57">
        <v>0.75</v>
      </c>
      <c r="W30" s="57">
        <v>0.75</v>
      </c>
      <c r="X30" s="57">
        <v>0.75</v>
      </c>
      <c r="Y30" s="57">
        <v>0.75</v>
      </c>
      <c r="Z30" s="57">
        <v>0.75</v>
      </c>
      <c r="AA30" s="57">
        <v>0.75</v>
      </c>
      <c r="AB30" s="57">
        <v>0.75</v>
      </c>
      <c r="AC30" s="57">
        <v>0.75</v>
      </c>
      <c r="AD30" s="57">
        <v>0.75</v>
      </c>
      <c r="AE30" s="57">
        <v>0.75</v>
      </c>
      <c r="AF30" s="57">
        <v>0.75</v>
      </c>
      <c r="AG30" s="57">
        <v>0.75</v>
      </c>
      <c r="AH30" s="57">
        <v>0.75</v>
      </c>
      <c r="AI30" s="57">
        <v>0.75</v>
      </c>
      <c r="AJ30" s="57">
        <v>0.75</v>
      </c>
      <c r="AK30" s="57">
        <v>0.75</v>
      </c>
      <c r="AL30" s="57">
        <v>0.75</v>
      </c>
      <c r="AM30" s="57">
        <v>0.75</v>
      </c>
      <c r="AN30" s="57">
        <v>0.75</v>
      </c>
    </row>
    <row r="31" spans="1:40" x14ac:dyDescent="0.25">
      <c r="A31" s="57">
        <v>0.08</v>
      </c>
      <c r="B31" s="49" t="s">
        <v>105</v>
      </c>
      <c r="C31" s="57">
        <v>0.08</v>
      </c>
      <c r="D31" s="57">
        <v>0.08</v>
      </c>
      <c r="E31" s="57">
        <v>0.08</v>
      </c>
      <c r="F31" s="57">
        <v>0.08</v>
      </c>
      <c r="G31" s="57">
        <v>0.08</v>
      </c>
      <c r="H31" s="57">
        <v>0.08</v>
      </c>
      <c r="I31" s="57">
        <v>0.08</v>
      </c>
      <c r="J31" s="57">
        <v>0.08</v>
      </c>
      <c r="K31" s="57">
        <v>0.08</v>
      </c>
      <c r="L31" s="57">
        <v>0.08</v>
      </c>
      <c r="M31" s="57">
        <v>0.08</v>
      </c>
      <c r="N31" s="57">
        <v>0.08</v>
      </c>
      <c r="O31" s="57">
        <v>0.08</v>
      </c>
      <c r="P31" s="57">
        <v>0.08</v>
      </c>
      <c r="Q31" s="57">
        <v>0.08</v>
      </c>
      <c r="R31" s="57">
        <v>0.08</v>
      </c>
      <c r="S31" s="57">
        <v>0.08</v>
      </c>
      <c r="T31" s="57">
        <v>0.08</v>
      </c>
      <c r="U31" s="57">
        <v>0.08</v>
      </c>
      <c r="V31" s="57">
        <v>0.08</v>
      </c>
      <c r="W31" s="57">
        <v>0.08</v>
      </c>
      <c r="X31" s="57">
        <v>0.08</v>
      </c>
      <c r="Y31" s="57">
        <v>0.08</v>
      </c>
      <c r="Z31" s="57">
        <v>0.08</v>
      </c>
      <c r="AA31" s="57">
        <v>0.08</v>
      </c>
      <c r="AB31" s="57">
        <v>0.08</v>
      </c>
      <c r="AC31" s="57">
        <v>0.08</v>
      </c>
      <c r="AD31" s="57">
        <v>0.08</v>
      </c>
      <c r="AE31" s="57">
        <v>0.08</v>
      </c>
      <c r="AF31" s="57">
        <v>0.08</v>
      </c>
      <c r="AG31" s="57">
        <v>0.08</v>
      </c>
      <c r="AH31" s="57">
        <v>0.08</v>
      </c>
      <c r="AI31" s="57">
        <v>0.08</v>
      </c>
      <c r="AJ31" s="57">
        <v>0.08</v>
      </c>
      <c r="AK31" s="57">
        <v>0.08</v>
      </c>
      <c r="AL31" s="57">
        <v>0.08</v>
      </c>
      <c r="AM31" s="57">
        <v>0.08</v>
      </c>
      <c r="AN31" s="57">
        <v>0.08</v>
      </c>
    </row>
    <row r="32" spans="1:40" x14ac:dyDescent="0.25">
      <c r="A32" s="57">
        <v>0.8</v>
      </c>
      <c r="B32" s="49" t="s">
        <v>106</v>
      </c>
      <c r="C32" s="57">
        <v>0.8</v>
      </c>
      <c r="D32" s="57">
        <v>0.8</v>
      </c>
      <c r="E32" s="57">
        <v>0.8</v>
      </c>
      <c r="F32" s="57">
        <v>0.8</v>
      </c>
      <c r="G32" s="57">
        <v>0.8</v>
      </c>
      <c r="H32" s="57">
        <v>0.8</v>
      </c>
      <c r="I32" s="57">
        <v>0.8</v>
      </c>
      <c r="J32" s="57">
        <v>0.8</v>
      </c>
      <c r="K32" s="57">
        <v>0.8</v>
      </c>
      <c r="L32" s="57">
        <v>0.8</v>
      </c>
      <c r="M32" s="57">
        <v>0.8</v>
      </c>
      <c r="N32" s="57">
        <v>0.8</v>
      </c>
      <c r="O32" s="57">
        <v>0.8</v>
      </c>
      <c r="P32" s="57">
        <v>0.8</v>
      </c>
      <c r="Q32" s="57">
        <v>0.8</v>
      </c>
      <c r="R32" s="57">
        <v>0.8</v>
      </c>
      <c r="S32" s="57">
        <v>0.8</v>
      </c>
      <c r="T32" s="57">
        <v>0.8</v>
      </c>
      <c r="U32" s="57">
        <v>0.8</v>
      </c>
      <c r="V32" s="57">
        <v>0.8</v>
      </c>
      <c r="W32" s="57">
        <v>0.8</v>
      </c>
      <c r="X32" s="57">
        <v>0.8</v>
      </c>
      <c r="Y32" s="57">
        <v>0.8</v>
      </c>
      <c r="Z32" s="57">
        <v>0.8</v>
      </c>
      <c r="AA32" s="57">
        <v>0.8</v>
      </c>
      <c r="AB32" s="57">
        <v>0.8</v>
      </c>
      <c r="AC32" s="57">
        <v>0.8</v>
      </c>
      <c r="AD32" s="57">
        <v>0.8</v>
      </c>
      <c r="AE32" s="57">
        <v>0.8</v>
      </c>
      <c r="AF32" s="57">
        <v>0.8</v>
      </c>
      <c r="AG32" s="57">
        <v>0.8</v>
      </c>
      <c r="AH32" s="57">
        <v>0.8</v>
      </c>
      <c r="AI32" s="57">
        <v>0.8</v>
      </c>
      <c r="AJ32" s="57">
        <v>0.8</v>
      </c>
      <c r="AK32" s="57">
        <v>0.8</v>
      </c>
      <c r="AL32" s="57">
        <v>0.8</v>
      </c>
      <c r="AM32" s="57">
        <v>0.8</v>
      </c>
      <c r="AN32" s="57">
        <v>0.8</v>
      </c>
    </row>
    <row r="33" spans="1:40" x14ac:dyDescent="0.25">
      <c r="A33" s="57">
        <v>2</v>
      </c>
      <c r="B33" s="49" t="s">
        <v>107</v>
      </c>
      <c r="C33" s="57">
        <v>2</v>
      </c>
      <c r="D33" s="57">
        <v>2</v>
      </c>
      <c r="E33" s="57">
        <v>2</v>
      </c>
      <c r="F33" s="57">
        <v>2</v>
      </c>
      <c r="G33" s="57">
        <v>2</v>
      </c>
      <c r="H33" s="57">
        <v>2</v>
      </c>
      <c r="I33" s="57">
        <v>2</v>
      </c>
      <c r="J33" s="57">
        <v>2</v>
      </c>
      <c r="K33" s="57">
        <v>2</v>
      </c>
      <c r="L33" s="57">
        <v>2</v>
      </c>
      <c r="M33" s="57">
        <v>2</v>
      </c>
      <c r="N33" s="57">
        <v>2</v>
      </c>
      <c r="O33" s="57">
        <v>2</v>
      </c>
      <c r="P33" s="57">
        <v>2</v>
      </c>
      <c r="Q33" s="57">
        <v>2</v>
      </c>
      <c r="R33" s="57">
        <v>2</v>
      </c>
      <c r="S33" s="57">
        <v>2</v>
      </c>
      <c r="T33" s="57">
        <v>2</v>
      </c>
      <c r="U33" s="57">
        <v>2</v>
      </c>
      <c r="V33" s="57">
        <v>2</v>
      </c>
      <c r="W33" s="57">
        <v>2</v>
      </c>
      <c r="X33" s="57">
        <v>2</v>
      </c>
      <c r="Y33" s="57">
        <v>2</v>
      </c>
      <c r="Z33" s="57">
        <v>2</v>
      </c>
      <c r="AA33" s="57">
        <v>2</v>
      </c>
      <c r="AB33" s="57">
        <v>2</v>
      </c>
      <c r="AC33" s="57">
        <v>2</v>
      </c>
      <c r="AD33" s="57">
        <v>2</v>
      </c>
      <c r="AE33" s="57">
        <v>2</v>
      </c>
      <c r="AF33" s="57">
        <v>2</v>
      </c>
      <c r="AG33" s="57">
        <v>2</v>
      </c>
      <c r="AH33" s="57">
        <v>2</v>
      </c>
      <c r="AI33" s="57">
        <v>2</v>
      </c>
      <c r="AJ33" s="57">
        <v>2</v>
      </c>
      <c r="AK33" s="57">
        <v>2</v>
      </c>
      <c r="AL33" s="57">
        <v>2</v>
      </c>
      <c r="AM33" s="57">
        <v>2</v>
      </c>
      <c r="AN33" s="57">
        <v>2</v>
      </c>
    </row>
    <row r="34" spans="1:40" x14ac:dyDescent="0.25">
      <c r="A34" s="57">
        <v>0.03</v>
      </c>
      <c r="B34" s="49" t="s">
        <v>108</v>
      </c>
      <c r="C34" s="57">
        <v>1</v>
      </c>
      <c r="D34" s="57">
        <v>1</v>
      </c>
      <c r="E34" s="57">
        <v>1</v>
      </c>
      <c r="F34" s="57">
        <v>1</v>
      </c>
      <c r="G34" s="57">
        <v>1</v>
      </c>
      <c r="H34" s="57">
        <v>1</v>
      </c>
      <c r="I34" s="57">
        <v>1</v>
      </c>
      <c r="J34" s="57">
        <v>1</v>
      </c>
      <c r="K34" s="57">
        <v>1</v>
      </c>
      <c r="L34" s="57">
        <v>1</v>
      </c>
      <c r="M34" s="57">
        <v>1</v>
      </c>
      <c r="N34" s="57">
        <v>1</v>
      </c>
      <c r="O34" s="57">
        <v>1</v>
      </c>
      <c r="P34" s="57">
        <v>1</v>
      </c>
      <c r="Q34" s="57">
        <v>1</v>
      </c>
      <c r="R34" s="57">
        <v>1</v>
      </c>
      <c r="S34" s="57">
        <v>1</v>
      </c>
      <c r="T34" s="57">
        <v>1</v>
      </c>
      <c r="U34" s="57">
        <v>1</v>
      </c>
      <c r="V34" s="57">
        <v>1</v>
      </c>
      <c r="W34" s="57">
        <v>1</v>
      </c>
      <c r="X34" s="57">
        <v>1</v>
      </c>
      <c r="Y34" s="57">
        <v>1</v>
      </c>
      <c r="Z34" s="57">
        <v>1</v>
      </c>
      <c r="AA34" s="57">
        <v>1</v>
      </c>
      <c r="AB34" s="57">
        <v>1</v>
      </c>
      <c r="AC34" s="57">
        <v>1</v>
      </c>
      <c r="AD34" s="57">
        <v>1</v>
      </c>
      <c r="AE34" s="57">
        <v>1</v>
      </c>
      <c r="AF34" s="57">
        <v>1</v>
      </c>
      <c r="AG34" s="57">
        <v>1</v>
      </c>
      <c r="AH34" s="57">
        <v>1</v>
      </c>
      <c r="AI34" s="57">
        <v>1</v>
      </c>
      <c r="AJ34" s="57">
        <v>1</v>
      </c>
      <c r="AK34" s="57">
        <v>1</v>
      </c>
      <c r="AL34" s="57">
        <v>1</v>
      </c>
      <c r="AM34" s="57">
        <v>1</v>
      </c>
      <c r="AN34" s="57">
        <v>1</v>
      </c>
    </row>
    <row r="35" spans="1:40" x14ac:dyDescent="0.25">
      <c r="A35" s="67">
        <v>-0.3</v>
      </c>
      <c r="B35" s="68" t="s">
        <v>129</v>
      </c>
      <c r="C35" s="67">
        <v>-0.3</v>
      </c>
      <c r="D35" s="67">
        <v>-0.3</v>
      </c>
      <c r="E35" s="67">
        <v>-0.3</v>
      </c>
      <c r="F35" s="67">
        <v>-0.3</v>
      </c>
      <c r="G35" s="67">
        <v>-0.3</v>
      </c>
      <c r="H35" s="67">
        <v>-0.3</v>
      </c>
      <c r="I35" s="67">
        <v>-0.3</v>
      </c>
      <c r="J35" s="67">
        <v>-0.3</v>
      </c>
      <c r="K35" s="67">
        <v>-0.3</v>
      </c>
      <c r="L35" s="67">
        <v>-0.3</v>
      </c>
      <c r="M35" s="67">
        <v>-0.3</v>
      </c>
      <c r="N35" s="67">
        <v>-0.3</v>
      </c>
      <c r="O35" s="67">
        <v>-0.3</v>
      </c>
      <c r="P35" s="67">
        <v>-0.3</v>
      </c>
      <c r="Q35" s="67">
        <v>-0.3</v>
      </c>
      <c r="R35" s="67">
        <v>-0.3</v>
      </c>
      <c r="S35" s="67">
        <v>-0.3</v>
      </c>
      <c r="T35" s="67">
        <v>-0.3</v>
      </c>
      <c r="U35" s="67">
        <v>-0.3</v>
      </c>
      <c r="V35" s="67">
        <v>-0.3</v>
      </c>
      <c r="W35" s="67">
        <v>-0.3</v>
      </c>
      <c r="X35" s="67">
        <v>-0.3</v>
      </c>
      <c r="Y35" s="67">
        <v>-0.3</v>
      </c>
      <c r="Z35" s="67">
        <v>-0.3</v>
      </c>
      <c r="AA35" s="67">
        <v>-0.3</v>
      </c>
      <c r="AB35" s="67">
        <v>-0.3</v>
      </c>
      <c r="AC35" s="67">
        <v>-0.3</v>
      </c>
      <c r="AD35" s="67">
        <v>-0.3</v>
      </c>
      <c r="AE35" s="67">
        <v>-0.3</v>
      </c>
      <c r="AF35" s="67">
        <v>-0.3</v>
      </c>
      <c r="AG35" s="67">
        <v>-0.3</v>
      </c>
      <c r="AH35" s="67">
        <v>-0.3</v>
      </c>
      <c r="AI35" s="67">
        <v>-0.3</v>
      </c>
      <c r="AJ35" s="67">
        <v>-0.3</v>
      </c>
      <c r="AK35" s="67">
        <v>-0.3</v>
      </c>
      <c r="AL35" s="67">
        <v>-0.5</v>
      </c>
      <c r="AM35" s="67">
        <v>-0.5</v>
      </c>
      <c r="AN35" s="67">
        <v>-0.3</v>
      </c>
    </row>
    <row r="36" spans="1:40" x14ac:dyDescent="0.25">
      <c r="A36" s="67">
        <v>-0.15</v>
      </c>
      <c r="B36" s="68" t="s">
        <v>130</v>
      </c>
      <c r="C36" s="67">
        <v>-0.15</v>
      </c>
      <c r="D36" s="67">
        <v>-0.15</v>
      </c>
      <c r="E36" s="67">
        <v>-0.15</v>
      </c>
      <c r="F36" s="67">
        <v>-0.15</v>
      </c>
      <c r="G36" s="67">
        <v>-0.15</v>
      </c>
      <c r="H36" s="67">
        <v>-0.15</v>
      </c>
      <c r="I36" s="67">
        <v>-0.15</v>
      </c>
      <c r="J36" s="67">
        <v>-0.15</v>
      </c>
      <c r="K36" s="67">
        <v>-0.15</v>
      </c>
      <c r="L36" s="67">
        <v>-0.15</v>
      </c>
      <c r="M36" s="67">
        <v>-0.15</v>
      </c>
      <c r="N36" s="67">
        <v>-0.15</v>
      </c>
      <c r="O36" s="67">
        <v>-0.15</v>
      </c>
      <c r="P36" s="67">
        <v>-0.15</v>
      </c>
      <c r="Q36" s="67">
        <v>-0.15</v>
      </c>
      <c r="R36" s="67">
        <v>-0.15</v>
      </c>
      <c r="S36" s="67">
        <v>-0.15</v>
      </c>
      <c r="T36" s="67">
        <v>-0.15</v>
      </c>
      <c r="U36" s="67">
        <v>-0.15</v>
      </c>
      <c r="V36" s="67">
        <v>-0.15</v>
      </c>
      <c r="W36" s="67">
        <v>-0.15</v>
      </c>
      <c r="X36" s="67">
        <v>-0.15</v>
      </c>
      <c r="Y36" s="67">
        <v>-0.15</v>
      </c>
      <c r="Z36" s="67">
        <v>-0.15</v>
      </c>
      <c r="AA36" s="67">
        <v>-0.15</v>
      </c>
      <c r="AB36" s="67">
        <v>-0.15</v>
      </c>
      <c r="AC36" s="67">
        <v>-0.15</v>
      </c>
      <c r="AD36" s="67">
        <v>-0.15</v>
      </c>
      <c r="AE36" s="67">
        <v>-0.15</v>
      </c>
      <c r="AF36" s="67">
        <v>-0.15</v>
      </c>
      <c r="AG36" s="67">
        <v>-0.15</v>
      </c>
      <c r="AH36" s="67">
        <v>-0.15</v>
      </c>
      <c r="AI36" s="67">
        <v>-0.15</v>
      </c>
      <c r="AJ36" s="67">
        <v>-0.15</v>
      </c>
      <c r="AK36" s="67">
        <v>-0.15</v>
      </c>
      <c r="AL36" s="67">
        <v>-0.2</v>
      </c>
      <c r="AM36" s="67">
        <v>-0.2</v>
      </c>
      <c r="AN36" s="67">
        <v>-0.15</v>
      </c>
    </row>
    <row r="37" spans="1:40" x14ac:dyDescent="0.25">
      <c r="A37" s="67">
        <v>0.15</v>
      </c>
      <c r="B37" s="68" t="s">
        <v>131</v>
      </c>
      <c r="C37" s="67">
        <v>0.15</v>
      </c>
      <c r="D37" s="67">
        <v>0.15</v>
      </c>
      <c r="E37" s="67">
        <v>0.15</v>
      </c>
      <c r="F37" s="67">
        <v>0.15</v>
      </c>
      <c r="G37" s="67">
        <v>0.15</v>
      </c>
      <c r="H37" s="67">
        <v>0.15</v>
      </c>
      <c r="I37" s="67">
        <v>0.15</v>
      </c>
      <c r="J37" s="67">
        <v>0.15</v>
      </c>
      <c r="K37" s="67">
        <v>0.15</v>
      </c>
      <c r="L37" s="67">
        <v>0.15</v>
      </c>
      <c r="M37" s="67">
        <v>0.15</v>
      </c>
      <c r="N37" s="67">
        <v>0.15</v>
      </c>
      <c r="O37" s="67">
        <v>0.15</v>
      </c>
      <c r="P37" s="67">
        <v>0.15</v>
      </c>
      <c r="Q37" s="67">
        <v>0.15</v>
      </c>
      <c r="R37" s="67">
        <v>0.15</v>
      </c>
      <c r="S37" s="67">
        <v>0.15</v>
      </c>
      <c r="T37" s="67">
        <v>0.15</v>
      </c>
      <c r="U37" s="67">
        <v>0.15</v>
      </c>
      <c r="V37" s="67">
        <v>0.15</v>
      </c>
      <c r="W37" s="67">
        <v>0.15</v>
      </c>
      <c r="X37" s="67">
        <v>0.15</v>
      </c>
      <c r="Y37" s="67">
        <v>0.15</v>
      </c>
      <c r="Z37" s="67">
        <v>0.15</v>
      </c>
      <c r="AA37" s="67">
        <v>0.15</v>
      </c>
      <c r="AB37" s="67">
        <v>0.15</v>
      </c>
      <c r="AC37" s="67">
        <v>0.15</v>
      </c>
      <c r="AD37" s="67">
        <v>0.15</v>
      </c>
      <c r="AE37" s="67">
        <v>0.15</v>
      </c>
      <c r="AF37" s="67">
        <v>0.15</v>
      </c>
      <c r="AG37" s="67">
        <v>0.15</v>
      </c>
      <c r="AH37" s="67">
        <v>0.15</v>
      </c>
      <c r="AI37" s="67">
        <v>0.15</v>
      </c>
      <c r="AJ37" s="67">
        <v>0.15</v>
      </c>
      <c r="AK37" s="67">
        <v>0.15</v>
      </c>
      <c r="AL37" s="67">
        <v>0.2</v>
      </c>
      <c r="AM37" s="67">
        <v>0.2</v>
      </c>
      <c r="AN37" s="67">
        <v>0.15</v>
      </c>
    </row>
    <row r="38" spans="1:40" x14ac:dyDescent="0.25">
      <c r="A38" s="67">
        <v>0.3</v>
      </c>
      <c r="B38" s="68" t="s">
        <v>132</v>
      </c>
      <c r="C38" s="67">
        <v>0.3</v>
      </c>
      <c r="D38" s="67">
        <v>0.3</v>
      </c>
      <c r="E38" s="67">
        <v>0.3</v>
      </c>
      <c r="F38" s="67">
        <v>0.3</v>
      </c>
      <c r="G38" s="67">
        <v>0.3</v>
      </c>
      <c r="H38" s="67">
        <v>0.3</v>
      </c>
      <c r="I38" s="67">
        <v>0.3</v>
      </c>
      <c r="J38" s="67">
        <v>0.3</v>
      </c>
      <c r="K38" s="67">
        <v>0.3</v>
      </c>
      <c r="L38" s="67">
        <v>0.3</v>
      </c>
      <c r="M38" s="67">
        <v>0.3</v>
      </c>
      <c r="N38" s="67">
        <v>0.3</v>
      </c>
      <c r="O38" s="67">
        <v>0.3</v>
      </c>
      <c r="P38" s="67">
        <v>0.3</v>
      </c>
      <c r="Q38" s="67">
        <v>0.3</v>
      </c>
      <c r="R38" s="67">
        <v>0.3</v>
      </c>
      <c r="S38" s="67">
        <v>0.3</v>
      </c>
      <c r="T38" s="67">
        <v>0.3</v>
      </c>
      <c r="U38" s="67">
        <v>0.3</v>
      </c>
      <c r="V38" s="67">
        <v>0.3</v>
      </c>
      <c r="W38" s="67">
        <v>0.3</v>
      </c>
      <c r="X38" s="67">
        <v>0.3</v>
      </c>
      <c r="Y38" s="67">
        <v>0.3</v>
      </c>
      <c r="Z38" s="67">
        <v>0.3</v>
      </c>
      <c r="AA38" s="67">
        <v>0.3</v>
      </c>
      <c r="AB38" s="67">
        <v>0.3</v>
      </c>
      <c r="AC38" s="67">
        <v>0.3</v>
      </c>
      <c r="AD38" s="67">
        <v>0.3</v>
      </c>
      <c r="AE38" s="67">
        <v>0.3</v>
      </c>
      <c r="AF38" s="67">
        <v>0.3</v>
      </c>
      <c r="AG38" s="67">
        <v>0.3</v>
      </c>
      <c r="AH38" s="67">
        <v>0.3</v>
      </c>
      <c r="AI38" s="67">
        <v>0.3</v>
      </c>
      <c r="AJ38" s="67">
        <v>0.3</v>
      </c>
      <c r="AK38" s="67">
        <v>0.3</v>
      </c>
      <c r="AL38" s="67">
        <v>0.5</v>
      </c>
      <c r="AM38" s="67">
        <v>0.5</v>
      </c>
      <c r="AN38" s="67">
        <v>0.3</v>
      </c>
    </row>
    <row r="39" spans="1:40" x14ac:dyDescent="0.25">
      <c r="A39" s="67">
        <v>1</v>
      </c>
      <c r="B39" s="68" t="s">
        <v>133</v>
      </c>
      <c r="C39" s="67">
        <v>1</v>
      </c>
      <c r="D39" s="67">
        <v>1</v>
      </c>
      <c r="E39" s="67">
        <v>1</v>
      </c>
      <c r="F39" s="67">
        <v>1</v>
      </c>
      <c r="G39" s="67">
        <v>1</v>
      </c>
      <c r="H39" s="67">
        <v>1</v>
      </c>
      <c r="I39" s="67">
        <v>1</v>
      </c>
      <c r="J39" s="67">
        <v>1</v>
      </c>
      <c r="K39" s="67">
        <v>1</v>
      </c>
      <c r="L39" s="67">
        <v>1</v>
      </c>
      <c r="M39" s="67">
        <v>1</v>
      </c>
      <c r="N39" s="67">
        <v>1</v>
      </c>
      <c r="O39" s="67">
        <v>1</v>
      </c>
      <c r="P39" s="67">
        <v>1</v>
      </c>
      <c r="Q39" s="67">
        <v>1</v>
      </c>
      <c r="R39" s="67">
        <v>1</v>
      </c>
      <c r="S39" s="67">
        <v>1</v>
      </c>
      <c r="T39" s="67">
        <v>1</v>
      </c>
      <c r="U39" s="67">
        <v>1</v>
      </c>
      <c r="V39" s="67">
        <v>1</v>
      </c>
      <c r="W39" s="67">
        <v>1</v>
      </c>
      <c r="X39" s="67">
        <v>1</v>
      </c>
      <c r="Y39" s="67">
        <v>1</v>
      </c>
      <c r="Z39" s="67">
        <v>1</v>
      </c>
      <c r="AA39" s="67">
        <v>1</v>
      </c>
      <c r="AB39" s="67">
        <v>1</v>
      </c>
      <c r="AC39" s="67">
        <v>1</v>
      </c>
      <c r="AD39" s="67">
        <v>1</v>
      </c>
      <c r="AE39" s="67">
        <v>1</v>
      </c>
      <c r="AF39" s="67">
        <v>1</v>
      </c>
      <c r="AG39" s="67">
        <v>1</v>
      </c>
      <c r="AH39" s="67">
        <v>1.2</v>
      </c>
      <c r="AI39" s="67">
        <v>1.2</v>
      </c>
      <c r="AJ39" s="67">
        <v>1.2</v>
      </c>
      <c r="AK39" s="67">
        <v>1.2</v>
      </c>
      <c r="AL39" s="67">
        <v>1.63</v>
      </c>
      <c r="AM39" s="67">
        <v>1.63</v>
      </c>
      <c r="AN39" s="67">
        <v>1</v>
      </c>
    </row>
    <row r="40" spans="1:40" x14ac:dyDescent="0.25">
      <c r="A40" s="69">
        <v>0</v>
      </c>
      <c r="B40" s="68" t="s">
        <v>134</v>
      </c>
      <c r="C40" s="69">
        <v>0</v>
      </c>
      <c r="D40" s="69">
        <v>0</v>
      </c>
      <c r="E40" s="69">
        <v>0</v>
      </c>
      <c r="F40" s="69">
        <v>0</v>
      </c>
      <c r="G40" s="69">
        <v>0</v>
      </c>
      <c r="H40" s="69">
        <v>0</v>
      </c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-1.333</v>
      </c>
      <c r="AI40" s="69">
        <v>-1.333</v>
      </c>
      <c r="AJ40" s="69">
        <v>-1.333</v>
      </c>
      <c r="AK40" s="69">
        <v>-1.333</v>
      </c>
      <c r="AL40" s="69">
        <v>-2.1</v>
      </c>
      <c r="AM40" s="69">
        <v>-2.1</v>
      </c>
      <c r="AN40" s="69">
        <v>0</v>
      </c>
    </row>
    <row r="41" spans="1:40" x14ac:dyDescent="0.25">
      <c r="A41" s="69">
        <v>0</v>
      </c>
      <c r="B41" s="68" t="s">
        <v>135</v>
      </c>
      <c r="C41" s="69">
        <v>0</v>
      </c>
      <c r="D41" s="69">
        <v>0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-4</v>
      </c>
      <c r="AI41" s="69">
        <v>-4</v>
      </c>
      <c r="AJ41" s="69">
        <v>-4</v>
      </c>
      <c r="AK41" s="69">
        <v>-4</v>
      </c>
      <c r="AL41" s="69">
        <v>-2.1333329999999999</v>
      </c>
      <c r="AM41" s="69">
        <v>-2.1333329999999999</v>
      </c>
      <c r="AN41" s="69">
        <v>0</v>
      </c>
    </row>
    <row r="42" spans="1:40" x14ac:dyDescent="0.25">
      <c r="A42" s="67">
        <v>1</v>
      </c>
      <c r="B42" s="68" t="s">
        <v>136</v>
      </c>
      <c r="C42" s="67">
        <v>1</v>
      </c>
      <c r="D42" s="67">
        <v>1</v>
      </c>
      <c r="E42" s="67">
        <v>1</v>
      </c>
      <c r="F42" s="67">
        <v>1</v>
      </c>
      <c r="G42" s="67">
        <v>1</v>
      </c>
      <c r="H42" s="67">
        <v>1</v>
      </c>
      <c r="I42" s="67">
        <v>1</v>
      </c>
      <c r="J42" s="67">
        <v>1</v>
      </c>
      <c r="K42" s="67">
        <v>1</v>
      </c>
      <c r="L42" s="67">
        <v>1</v>
      </c>
      <c r="M42" s="67">
        <v>1</v>
      </c>
      <c r="N42" s="67">
        <v>1</v>
      </c>
      <c r="O42" s="67">
        <v>1</v>
      </c>
      <c r="P42" s="67">
        <v>1</v>
      </c>
      <c r="Q42" s="67">
        <v>1</v>
      </c>
      <c r="R42" s="67">
        <v>1</v>
      </c>
      <c r="S42" s="67">
        <v>1</v>
      </c>
      <c r="T42" s="67">
        <v>1</v>
      </c>
      <c r="U42" s="67">
        <v>1</v>
      </c>
      <c r="V42" s="67">
        <v>1</v>
      </c>
      <c r="W42" s="67">
        <v>1</v>
      </c>
      <c r="X42" s="67">
        <v>1</v>
      </c>
      <c r="Y42" s="67">
        <v>1</v>
      </c>
      <c r="Z42" s="67">
        <v>1</v>
      </c>
      <c r="AA42" s="67">
        <v>1</v>
      </c>
      <c r="AB42" s="67">
        <v>1</v>
      </c>
      <c r="AC42" s="67">
        <v>1</v>
      </c>
      <c r="AD42" s="67">
        <v>1</v>
      </c>
      <c r="AE42" s="67">
        <v>1</v>
      </c>
      <c r="AF42" s="67">
        <v>1</v>
      </c>
      <c r="AG42" s="67">
        <v>1</v>
      </c>
      <c r="AH42" s="67">
        <v>0.4</v>
      </c>
      <c r="AI42" s="67">
        <v>0.4</v>
      </c>
      <c r="AJ42" s="67">
        <v>0.4</v>
      </c>
      <c r="AK42" s="67">
        <v>0.4</v>
      </c>
      <c r="AL42" s="67">
        <v>0.36</v>
      </c>
      <c r="AM42" s="67">
        <v>0.36</v>
      </c>
      <c r="AN42" s="67">
        <v>1</v>
      </c>
    </row>
    <row r="43" spans="1:40" x14ac:dyDescent="0.25">
      <c r="A43" s="57">
        <v>1</v>
      </c>
      <c r="B43" s="68" t="s">
        <v>137</v>
      </c>
      <c r="C43" s="57">
        <v>1</v>
      </c>
      <c r="D43" s="57">
        <v>1</v>
      </c>
      <c r="E43" s="57">
        <v>1</v>
      </c>
      <c r="F43" s="57">
        <v>1</v>
      </c>
      <c r="G43" s="57">
        <v>1</v>
      </c>
      <c r="H43" s="57">
        <v>1</v>
      </c>
      <c r="I43" s="57">
        <v>1</v>
      </c>
      <c r="J43" s="57">
        <v>1</v>
      </c>
      <c r="K43" s="57">
        <v>1</v>
      </c>
      <c r="L43" s="57">
        <v>1</v>
      </c>
      <c r="M43" s="57">
        <v>1</v>
      </c>
      <c r="N43" s="57">
        <v>1</v>
      </c>
      <c r="O43" s="57">
        <v>1</v>
      </c>
      <c r="P43" s="57">
        <v>1</v>
      </c>
      <c r="Q43" s="57">
        <v>1</v>
      </c>
      <c r="R43" s="57">
        <v>1</v>
      </c>
      <c r="S43" s="57">
        <v>1</v>
      </c>
      <c r="T43" s="57">
        <v>1</v>
      </c>
      <c r="U43" s="57">
        <v>1</v>
      </c>
      <c r="V43" s="57">
        <v>1</v>
      </c>
      <c r="W43" s="57">
        <v>1</v>
      </c>
      <c r="X43" s="57">
        <v>1</v>
      </c>
      <c r="Y43" s="57">
        <v>1</v>
      </c>
      <c r="Z43" s="57">
        <v>1</v>
      </c>
      <c r="AA43" s="57">
        <v>1</v>
      </c>
      <c r="AB43" s="57">
        <v>1</v>
      </c>
      <c r="AC43" s="57">
        <v>1</v>
      </c>
      <c r="AD43" s="57">
        <v>1</v>
      </c>
      <c r="AE43" s="57">
        <v>1</v>
      </c>
      <c r="AF43" s="57">
        <v>1</v>
      </c>
      <c r="AG43" s="57">
        <v>1</v>
      </c>
      <c r="AH43" s="57">
        <v>0.8</v>
      </c>
      <c r="AI43" s="57">
        <v>0.8</v>
      </c>
      <c r="AJ43" s="57">
        <v>0.8</v>
      </c>
      <c r="AK43" s="57">
        <v>0.8</v>
      </c>
      <c r="AL43" s="57">
        <v>0.57999999999999996</v>
      </c>
      <c r="AM43" s="57">
        <v>0.57999999999999996</v>
      </c>
      <c r="AN43" s="57">
        <v>1</v>
      </c>
    </row>
    <row r="44" spans="1:40" x14ac:dyDescent="0.25">
      <c r="A44" s="57">
        <v>1</v>
      </c>
      <c r="B44" s="68" t="s">
        <v>138</v>
      </c>
      <c r="C44" s="57">
        <v>1</v>
      </c>
      <c r="D44" s="57">
        <v>1</v>
      </c>
      <c r="E44" s="57">
        <v>1</v>
      </c>
      <c r="F44" s="57">
        <v>1</v>
      </c>
      <c r="G44" s="57">
        <v>1</v>
      </c>
      <c r="H44" s="57">
        <v>1</v>
      </c>
      <c r="I44" s="57">
        <v>1</v>
      </c>
      <c r="J44" s="57">
        <v>1</v>
      </c>
      <c r="K44" s="57">
        <v>1</v>
      </c>
      <c r="L44" s="57">
        <v>1</v>
      </c>
      <c r="M44" s="57">
        <v>1</v>
      </c>
      <c r="N44" s="57">
        <v>1</v>
      </c>
      <c r="O44" s="57">
        <v>1</v>
      </c>
      <c r="P44" s="57">
        <v>1</v>
      </c>
      <c r="Q44" s="57">
        <v>1</v>
      </c>
      <c r="R44" s="57">
        <v>1</v>
      </c>
      <c r="S44" s="57">
        <v>1</v>
      </c>
      <c r="T44" s="57">
        <v>1</v>
      </c>
      <c r="U44" s="57">
        <v>1</v>
      </c>
      <c r="V44" s="57">
        <v>1</v>
      </c>
      <c r="W44" s="57">
        <v>1</v>
      </c>
      <c r="X44" s="57">
        <v>1</v>
      </c>
      <c r="Y44" s="57">
        <v>1</v>
      </c>
      <c r="Z44" s="57">
        <v>1</v>
      </c>
      <c r="AA44" s="57">
        <v>1</v>
      </c>
      <c r="AB44" s="57">
        <v>1</v>
      </c>
      <c r="AC44" s="57">
        <v>1</v>
      </c>
      <c r="AD44" s="57">
        <v>1</v>
      </c>
      <c r="AE44" s="57">
        <v>1</v>
      </c>
      <c r="AF44" s="57">
        <v>1</v>
      </c>
      <c r="AG44" s="57">
        <v>1</v>
      </c>
      <c r="AH44" s="57">
        <v>1.6</v>
      </c>
      <c r="AI44" s="57">
        <v>1.6</v>
      </c>
      <c r="AJ44" s="57">
        <v>1.6</v>
      </c>
      <c r="AK44" s="57">
        <v>1.6</v>
      </c>
      <c r="AL44" s="57">
        <v>1.4266665000000001</v>
      </c>
      <c r="AM44" s="57">
        <v>1.4266665000000001</v>
      </c>
      <c r="AN44" s="57">
        <v>1</v>
      </c>
    </row>
    <row r="45" spans="1:40" x14ac:dyDescent="0.25">
      <c r="A45" s="67">
        <v>1</v>
      </c>
      <c r="B45" s="68" t="s">
        <v>139</v>
      </c>
      <c r="C45" s="67">
        <v>1</v>
      </c>
      <c r="D45" s="67">
        <v>1</v>
      </c>
      <c r="E45" s="67">
        <v>1</v>
      </c>
      <c r="F45" s="67">
        <v>1</v>
      </c>
      <c r="G45" s="67">
        <v>1</v>
      </c>
      <c r="H45" s="67">
        <v>1</v>
      </c>
      <c r="I45" s="67">
        <v>1</v>
      </c>
      <c r="J45" s="67">
        <v>1</v>
      </c>
      <c r="K45" s="67">
        <v>1</v>
      </c>
      <c r="L45" s="67">
        <v>1</v>
      </c>
      <c r="M45" s="67">
        <v>1</v>
      </c>
      <c r="N45" s="67">
        <v>1</v>
      </c>
      <c r="O45" s="67">
        <v>1</v>
      </c>
      <c r="P45" s="67">
        <v>1</v>
      </c>
      <c r="Q45" s="67">
        <v>1</v>
      </c>
      <c r="R45" s="67">
        <v>1</v>
      </c>
      <c r="S45" s="67">
        <v>1</v>
      </c>
      <c r="T45" s="67">
        <v>1</v>
      </c>
      <c r="U45" s="67">
        <v>1</v>
      </c>
      <c r="V45" s="67">
        <v>1</v>
      </c>
      <c r="W45" s="67">
        <v>1</v>
      </c>
      <c r="X45" s="67">
        <v>1</v>
      </c>
      <c r="Y45" s="67">
        <v>1</v>
      </c>
      <c r="Z45" s="67">
        <v>1</v>
      </c>
      <c r="AA45" s="67">
        <v>1</v>
      </c>
      <c r="AB45" s="67">
        <v>1</v>
      </c>
      <c r="AC45" s="67">
        <v>1</v>
      </c>
      <c r="AD45" s="67">
        <v>1</v>
      </c>
      <c r="AE45" s="67">
        <v>1</v>
      </c>
      <c r="AF45" s="67">
        <v>2.5</v>
      </c>
      <c r="AG45" s="67">
        <v>1.75</v>
      </c>
      <c r="AH45" s="67">
        <v>1</v>
      </c>
      <c r="AI45" s="67">
        <v>1</v>
      </c>
      <c r="AJ45" s="67">
        <v>1</v>
      </c>
      <c r="AK45" s="67">
        <v>1</v>
      </c>
      <c r="AL45" s="67">
        <v>1</v>
      </c>
      <c r="AM45" s="67">
        <v>1</v>
      </c>
      <c r="AN45" s="67">
        <v>1</v>
      </c>
    </row>
    <row r="46" spans="1:40" x14ac:dyDescent="0.25">
      <c r="A46" s="67"/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  <c r="AM46" s="67"/>
      <c r="AN46" s="67"/>
    </row>
    <row r="48" spans="1:40" ht="13" x14ac:dyDescent="0.25">
      <c r="B48" s="16" t="str">
        <f ca="1">GetNameRange(B49)</f>
        <v>rila_dyn_lapse_addn_aig</v>
      </c>
    </row>
    <row r="49" spans="2:16" ht="25" x14ac:dyDescent="0.25">
      <c r="B49" s="34" t="s">
        <v>9</v>
      </c>
      <c r="C49" s="100"/>
      <c r="D49" s="100"/>
      <c r="E49" s="110" t="s">
        <v>38</v>
      </c>
      <c r="F49" s="111" t="s">
        <v>219</v>
      </c>
      <c r="G49" s="111" t="s">
        <v>186</v>
      </c>
      <c r="H49" s="111" t="s">
        <v>58</v>
      </c>
      <c r="I49" s="111" t="s">
        <v>221</v>
      </c>
      <c r="J49" s="111" t="s">
        <v>222</v>
      </c>
      <c r="K49" s="112" t="s">
        <v>211</v>
      </c>
      <c r="L49" s="112" t="s">
        <v>212</v>
      </c>
      <c r="M49" s="112" t="s">
        <v>213</v>
      </c>
      <c r="N49" s="112" t="s">
        <v>214</v>
      </c>
      <c r="O49" s="112" t="s">
        <v>215</v>
      </c>
      <c r="P49" s="113" t="s">
        <v>216</v>
      </c>
    </row>
    <row r="50" spans="2:16" x14ac:dyDescent="0.25">
      <c r="B50" s="101"/>
      <c r="C50" s="102"/>
      <c r="D50" s="102"/>
      <c r="E50" s="114"/>
      <c r="F50" s="103"/>
      <c r="G50" s="103"/>
      <c r="H50" s="94"/>
      <c r="I50" s="103"/>
      <c r="J50" s="94"/>
      <c r="K50" s="94"/>
      <c r="L50" s="94"/>
      <c r="M50" s="94"/>
      <c r="N50" s="94"/>
      <c r="O50" s="94"/>
      <c r="P50" s="115"/>
    </row>
    <row r="51" spans="2:16" ht="13" x14ac:dyDescent="0.25">
      <c r="B51" s="104" t="s">
        <v>187</v>
      </c>
      <c r="C51" s="105" t="s">
        <v>227</v>
      </c>
      <c r="D51" s="105" t="s">
        <v>192</v>
      </c>
      <c r="E51" s="116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115"/>
    </row>
    <row r="52" spans="2:16" x14ac:dyDescent="0.25">
      <c r="B52" s="95" t="s">
        <v>188</v>
      </c>
      <c r="C52" s="96" t="s">
        <v>228</v>
      </c>
      <c r="D52" s="96" t="s">
        <v>190</v>
      </c>
      <c r="E52" s="116">
        <v>0.04</v>
      </c>
      <c r="F52" s="94">
        <v>0.04</v>
      </c>
      <c r="G52" s="94">
        <v>0.04</v>
      </c>
      <c r="H52" s="94">
        <v>0.04</v>
      </c>
      <c r="I52" s="94">
        <v>0.04</v>
      </c>
      <c r="J52" s="94">
        <v>0.04</v>
      </c>
      <c r="K52" s="94">
        <f t="shared" ref="K52:L59" si="0">G52*2.5</f>
        <v>0.1</v>
      </c>
      <c r="L52" s="94">
        <f t="shared" si="0"/>
        <v>0.1</v>
      </c>
      <c r="M52" s="94">
        <f t="shared" ref="M52:N59" si="1">G52*1.75</f>
        <v>7.0000000000000007E-2</v>
      </c>
      <c r="N52" s="94">
        <f t="shared" si="1"/>
        <v>7.0000000000000007E-2</v>
      </c>
      <c r="O52" s="94">
        <v>0.08</v>
      </c>
      <c r="P52" s="115">
        <v>0.08</v>
      </c>
    </row>
    <row r="53" spans="2:16" x14ac:dyDescent="0.25">
      <c r="B53" s="95" t="s">
        <v>188</v>
      </c>
      <c r="C53" s="96" t="s">
        <v>228</v>
      </c>
      <c r="D53" s="96" t="s">
        <v>191</v>
      </c>
      <c r="E53" s="116">
        <v>0.04</v>
      </c>
      <c r="F53" s="94">
        <v>0.04</v>
      </c>
      <c r="G53" s="94">
        <v>0.04</v>
      </c>
      <c r="H53" s="94">
        <v>0.04</v>
      </c>
      <c r="I53" s="94">
        <v>0.04</v>
      </c>
      <c r="J53" s="94">
        <v>0.04</v>
      </c>
      <c r="K53" s="94">
        <f t="shared" si="0"/>
        <v>0.1</v>
      </c>
      <c r="L53" s="94">
        <f t="shared" si="0"/>
        <v>0.1</v>
      </c>
      <c r="M53" s="94">
        <f t="shared" si="1"/>
        <v>7.0000000000000007E-2</v>
      </c>
      <c r="N53" s="94">
        <f t="shared" si="1"/>
        <v>7.0000000000000007E-2</v>
      </c>
      <c r="O53" s="94">
        <v>0</v>
      </c>
      <c r="P53" s="115">
        <v>0</v>
      </c>
    </row>
    <row r="54" spans="2:16" x14ac:dyDescent="0.25">
      <c r="B54" s="95" t="s">
        <v>188</v>
      </c>
      <c r="C54" s="96" t="s">
        <v>229</v>
      </c>
      <c r="D54" s="96" t="s">
        <v>190</v>
      </c>
      <c r="E54" s="116">
        <v>0.01</v>
      </c>
      <c r="F54" s="94">
        <v>0.01</v>
      </c>
      <c r="G54" s="94">
        <v>0.01</v>
      </c>
      <c r="H54" s="94">
        <v>0.01</v>
      </c>
      <c r="I54" s="94">
        <v>0.01</v>
      </c>
      <c r="J54" s="94">
        <v>0.01</v>
      </c>
      <c r="K54" s="94">
        <f t="shared" si="0"/>
        <v>2.5000000000000001E-2</v>
      </c>
      <c r="L54" s="94">
        <f t="shared" si="0"/>
        <v>2.5000000000000001E-2</v>
      </c>
      <c r="M54" s="94">
        <f t="shared" si="1"/>
        <v>1.7500000000000002E-2</v>
      </c>
      <c r="N54" s="94">
        <f t="shared" si="1"/>
        <v>1.7500000000000002E-2</v>
      </c>
      <c r="O54" s="94">
        <v>0</v>
      </c>
      <c r="P54" s="115">
        <v>0</v>
      </c>
    </row>
    <row r="55" spans="2:16" x14ac:dyDescent="0.25">
      <c r="B55" s="95" t="s">
        <v>188</v>
      </c>
      <c r="C55" s="96" t="s">
        <v>229</v>
      </c>
      <c r="D55" s="96" t="s">
        <v>191</v>
      </c>
      <c r="E55" s="116">
        <v>0.01</v>
      </c>
      <c r="F55" s="94">
        <v>0.01</v>
      </c>
      <c r="G55" s="94">
        <v>0.01</v>
      </c>
      <c r="H55" s="94">
        <v>0.01</v>
      </c>
      <c r="I55" s="94">
        <v>0.01</v>
      </c>
      <c r="J55" s="94">
        <v>0.01</v>
      </c>
      <c r="K55" s="94">
        <f t="shared" si="0"/>
        <v>2.5000000000000001E-2</v>
      </c>
      <c r="L55" s="94">
        <f t="shared" si="0"/>
        <v>2.5000000000000001E-2</v>
      </c>
      <c r="M55" s="94">
        <f t="shared" si="1"/>
        <v>1.7500000000000002E-2</v>
      </c>
      <c r="N55" s="94">
        <f t="shared" si="1"/>
        <v>1.7500000000000002E-2</v>
      </c>
      <c r="O55" s="94">
        <v>0.02</v>
      </c>
      <c r="P55" s="115">
        <v>0.02</v>
      </c>
    </row>
    <row r="56" spans="2:16" x14ac:dyDescent="0.25">
      <c r="B56" s="95" t="s">
        <v>189</v>
      </c>
      <c r="C56" s="96" t="s">
        <v>228</v>
      </c>
      <c r="D56" s="96" t="s">
        <v>190</v>
      </c>
      <c r="E56" s="116">
        <v>0.06</v>
      </c>
      <c r="F56" s="94">
        <v>0.06</v>
      </c>
      <c r="G56" s="94">
        <v>0.06</v>
      </c>
      <c r="H56" s="94">
        <v>0.06</v>
      </c>
      <c r="I56" s="94">
        <v>0.06</v>
      </c>
      <c r="J56" s="94">
        <v>0.06</v>
      </c>
      <c r="K56" s="94">
        <f t="shared" si="0"/>
        <v>0.15</v>
      </c>
      <c r="L56" s="94">
        <f t="shared" si="0"/>
        <v>0.15</v>
      </c>
      <c r="M56" s="94">
        <f t="shared" si="1"/>
        <v>0.105</v>
      </c>
      <c r="N56" s="94">
        <f t="shared" si="1"/>
        <v>0.105</v>
      </c>
      <c r="O56" s="94">
        <v>0.12</v>
      </c>
      <c r="P56" s="115">
        <v>0.12</v>
      </c>
    </row>
    <row r="57" spans="2:16" x14ac:dyDescent="0.25">
      <c r="B57" s="95" t="s">
        <v>189</v>
      </c>
      <c r="C57" s="96" t="s">
        <v>228</v>
      </c>
      <c r="D57" s="96" t="s">
        <v>191</v>
      </c>
      <c r="E57" s="116">
        <v>0.06</v>
      </c>
      <c r="F57" s="94">
        <v>0.06</v>
      </c>
      <c r="G57" s="94">
        <v>0.06</v>
      </c>
      <c r="H57" s="94">
        <v>0.06</v>
      </c>
      <c r="I57" s="94">
        <v>0.06</v>
      </c>
      <c r="J57" s="94">
        <v>0.06</v>
      </c>
      <c r="K57" s="94">
        <f t="shared" si="0"/>
        <v>0.15</v>
      </c>
      <c r="L57" s="94">
        <f t="shared" si="0"/>
        <v>0.15</v>
      </c>
      <c r="M57" s="94">
        <f t="shared" si="1"/>
        <v>0.105</v>
      </c>
      <c r="N57" s="94">
        <f t="shared" si="1"/>
        <v>0.105</v>
      </c>
      <c r="O57" s="94">
        <v>0</v>
      </c>
      <c r="P57" s="115">
        <v>0</v>
      </c>
    </row>
    <row r="58" spans="2:16" x14ac:dyDescent="0.25">
      <c r="B58" s="95" t="s">
        <v>189</v>
      </c>
      <c r="C58" s="96" t="s">
        <v>229</v>
      </c>
      <c r="D58" s="96" t="s">
        <v>190</v>
      </c>
      <c r="E58" s="116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4">
        <f t="shared" si="0"/>
        <v>0</v>
      </c>
      <c r="L58" s="94">
        <f t="shared" si="0"/>
        <v>0</v>
      </c>
      <c r="M58" s="94">
        <f t="shared" si="1"/>
        <v>0</v>
      </c>
      <c r="N58" s="94">
        <f t="shared" si="1"/>
        <v>0</v>
      </c>
      <c r="O58" s="94">
        <v>0</v>
      </c>
      <c r="P58" s="115">
        <v>0</v>
      </c>
    </row>
    <row r="59" spans="2:16" x14ac:dyDescent="0.25">
      <c r="B59" s="97" t="s">
        <v>189</v>
      </c>
      <c r="C59" s="96" t="s">
        <v>229</v>
      </c>
      <c r="D59" s="98" t="s">
        <v>191</v>
      </c>
      <c r="E59" s="117">
        <v>0</v>
      </c>
      <c r="F59" s="99">
        <v>0</v>
      </c>
      <c r="G59" s="99">
        <v>0</v>
      </c>
      <c r="H59" s="99">
        <v>0</v>
      </c>
      <c r="I59" s="99">
        <v>0</v>
      </c>
      <c r="J59" s="99">
        <v>0</v>
      </c>
      <c r="K59" s="99">
        <f t="shared" si="0"/>
        <v>0</v>
      </c>
      <c r="L59" s="99">
        <f t="shared" si="0"/>
        <v>0</v>
      </c>
      <c r="M59" s="99">
        <f t="shared" si="1"/>
        <v>0</v>
      </c>
      <c r="N59" s="99">
        <f t="shared" si="1"/>
        <v>0</v>
      </c>
      <c r="O59" s="99">
        <v>0</v>
      </c>
      <c r="P59" s="118">
        <v>0</v>
      </c>
    </row>
  </sheetData>
  <conditionalFormatting sqref="R19:T19 Q22:W22 W8:W10 A24:A34 AN22:AN34 AN6 Q14:X15 Q6:X6 Q23:X34 Z34 Z6 Z14:Z15 AB14:AB15 AB6 AB23:AB34 AD23:AD34 AD6 AD14:AD15 V19:W19 AN17:AN18 R17:W18 R12:W13 AN8:AN15 Q11:X11 Z11 AB11 AD11 F6:F7 O7:Q7 C6:C9 E6:E9 C12:C46 E11:E46 I19:N21 F11:F21 I16:N16 F23:F46 I23:N23 H6:H7 G11:G46 H11:H21 H23:H46 E10:N10 G6:G9">
    <cfRule type="cellIs" dxfId="835" priority="1138" operator="notEqual">
      <formula>$A6</formula>
    </cfRule>
  </conditionalFormatting>
  <conditionalFormatting sqref="R19:T19 W8:W10 A24:A34 AN23:AN34 AN6 Q14:X15 Q6:X6 Q23:X34 Z34 Z6 Z14:Z15 AB14:AB15 AB6 AB23:AB34 AD23:AD34 AD6 AD14:AD15 V19:W19 AN17:AN18 R17:W18 R12:W13 AN8:AN15 Q11:X11 Z11 AB11 AD11 F6:F7 O7:Q7 C6:C9 E6:E9 C12:C46 E11:E46 I19:N21 F11:F21 I14:N16 F23:F46 I23:N23 H6:H7 G11:G46 H11:H21 H23:H46 E10:N10 G6:G9">
    <cfRule type="cellIs" dxfId="834" priority="1140" operator="equal">
      <formula>""</formula>
    </cfRule>
  </conditionalFormatting>
  <conditionalFormatting sqref="R22 AN22">
    <cfRule type="cellIs" dxfId="833" priority="1139" operator="equal">
      <formula>""</formula>
    </cfRule>
  </conditionalFormatting>
  <conditionalFormatting sqref="Q19:T19 I6 K6 M6">
    <cfRule type="cellIs" dxfId="832" priority="1131" operator="notEqual">
      <formula>$A6</formula>
    </cfRule>
  </conditionalFormatting>
  <conditionalFormatting sqref="Q19:T19 I6 K6 M6">
    <cfRule type="cellIs" dxfId="831" priority="1133" operator="equal">
      <formula>""</formula>
    </cfRule>
  </conditionalFormatting>
  <conditionalFormatting sqref="Q22">
    <cfRule type="cellIs" dxfId="830" priority="1132" operator="equal">
      <formula>""</formula>
    </cfRule>
  </conditionalFormatting>
  <conditionalFormatting sqref="S22:T22">
    <cfRule type="cellIs" dxfId="829" priority="1125" operator="equal">
      <formula>""</formula>
    </cfRule>
  </conditionalFormatting>
  <conditionalFormatting sqref="V22">
    <cfRule type="cellIs" dxfId="828" priority="1118" operator="equal">
      <formula>""</formula>
    </cfRule>
  </conditionalFormatting>
  <conditionalFormatting sqref="U22">
    <cfRule type="cellIs" dxfId="827" priority="1111" operator="equal">
      <formula>""</formula>
    </cfRule>
  </conditionalFormatting>
  <conditionalFormatting sqref="W22">
    <cfRule type="cellIs" dxfId="826" priority="1100" operator="equal">
      <formula>""</formula>
    </cfRule>
  </conditionalFormatting>
  <conditionalFormatting sqref="Q9">
    <cfRule type="cellIs" dxfId="825" priority="1089" operator="notEqual">
      <formula>$A9</formula>
    </cfRule>
  </conditionalFormatting>
  <conditionalFormatting sqref="Q9">
    <cfRule type="cellIs" dxfId="824" priority="1090" operator="equal">
      <formula>""</formula>
    </cfRule>
  </conditionalFormatting>
  <conditionalFormatting sqref="Q21">
    <cfRule type="cellIs" dxfId="823" priority="1085" operator="equal">
      <formula>""</formula>
    </cfRule>
  </conditionalFormatting>
  <conditionalFormatting sqref="Q21">
    <cfRule type="cellIs" dxfId="822" priority="1086" operator="notEqual">
      <formula>$A21</formula>
    </cfRule>
  </conditionalFormatting>
  <conditionalFormatting sqref="Q21">
    <cfRule type="cellIs" dxfId="821" priority="1083" operator="equal">
      <formula>""</formula>
    </cfRule>
  </conditionalFormatting>
  <conditionalFormatting sqref="Q21">
    <cfRule type="cellIs" dxfId="820" priority="1084" operator="notEqual">
      <formula>$A21</formula>
    </cfRule>
  </conditionalFormatting>
  <conditionalFormatting sqref="F22">
    <cfRule type="cellIs" dxfId="819" priority="1082" operator="notEqual">
      <formula>$A22</formula>
    </cfRule>
  </conditionalFormatting>
  <conditionalFormatting sqref="F19">
    <cfRule type="cellIs" dxfId="818" priority="1079" operator="notEqual">
      <formula>$A19</formula>
    </cfRule>
  </conditionalFormatting>
  <conditionalFormatting sqref="F19">
    <cfRule type="cellIs" dxfId="817" priority="1081" operator="equal">
      <formula>""</formula>
    </cfRule>
  </conditionalFormatting>
  <conditionalFormatting sqref="F22">
    <cfRule type="cellIs" dxfId="816" priority="1080" operator="equal">
      <formula>""</formula>
    </cfRule>
  </conditionalFormatting>
  <conditionalFormatting sqref="F21">
    <cfRule type="cellIs" dxfId="815" priority="1073" operator="equal">
      <formula>""</formula>
    </cfRule>
  </conditionalFormatting>
  <conditionalFormatting sqref="F21">
    <cfRule type="cellIs" dxfId="814" priority="1074" operator="notEqual">
      <formula>$A21</formula>
    </cfRule>
  </conditionalFormatting>
  <conditionalFormatting sqref="F21">
    <cfRule type="cellIs" dxfId="813" priority="1071" operator="equal">
      <formula>""</formula>
    </cfRule>
  </conditionalFormatting>
  <conditionalFormatting sqref="F21">
    <cfRule type="cellIs" dxfId="812" priority="1072" operator="notEqual">
      <formula>$A21</formula>
    </cfRule>
  </conditionalFormatting>
  <conditionalFormatting sqref="Q8">
    <cfRule type="cellIs" dxfId="811" priority="1069" operator="equal">
      <formula>""</formula>
    </cfRule>
  </conditionalFormatting>
  <conditionalFormatting sqref="Q8">
    <cfRule type="cellIs" dxfId="810" priority="1070" operator="notEqual">
      <formula>$A8</formula>
    </cfRule>
  </conditionalFormatting>
  <conditionalFormatting sqref="F8">
    <cfRule type="cellIs" dxfId="809" priority="1066" operator="equal">
      <formula>""</formula>
    </cfRule>
  </conditionalFormatting>
  <conditionalFormatting sqref="F8">
    <cfRule type="cellIs" dxfId="808" priority="1067" operator="notEqual">
      <formula>$A8</formula>
    </cfRule>
  </conditionalFormatting>
  <conditionalFormatting sqref="R8:V8">
    <cfRule type="cellIs" dxfId="807" priority="1064" operator="equal">
      <formula>""</formula>
    </cfRule>
  </conditionalFormatting>
  <conditionalFormatting sqref="R8:V8">
    <cfRule type="cellIs" dxfId="806" priority="1065" operator="notEqual">
      <formula>$A8</formula>
    </cfRule>
  </conditionalFormatting>
  <conditionalFormatting sqref="Q12:V13 Q17:V18">
    <cfRule type="cellIs" dxfId="805" priority="1058" operator="equal">
      <formula>""</formula>
    </cfRule>
  </conditionalFormatting>
  <conditionalFormatting sqref="Q12:V13 Q17:V18">
    <cfRule type="cellIs" dxfId="804" priority="1059" operator="notEqual">
      <formula>$A12</formula>
    </cfRule>
  </conditionalFormatting>
  <conditionalFormatting sqref="F12:F13 F17:F18">
    <cfRule type="cellIs" dxfId="803" priority="1057" operator="notEqual">
      <formula>$A12</formula>
    </cfRule>
  </conditionalFormatting>
  <conditionalFormatting sqref="F9">
    <cfRule type="cellIs" dxfId="802" priority="1055" operator="notEqual">
      <formula>$A9</formula>
    </cfRule>
  </conditionalFormatting>
  <conditionalFormatting sqref="F9">
    <cfRule type="cellIs" dxfId="801" priority="1056" operator="equal">
      <formula>""</formula>
    </cfRule>
  </conditionalFormatting>
  <conditionalFormatting sqref="R9:V10">
    <cfRule type="cellIs" dxfId="800" priority="1053" operator="notEqual">
      <formula>$A9</formula>
    </cfRule>
  </conditionalFormatting>
  <conditionalFormatting sqref="R9:V10">
    <cfRule type="cellIs" dxfId="799" priority="1054" operator="equal">
      <formula>""</formula>
    </cfRule>
  </conditionalFormatting>
  <conditionalFormatting sqref="Q10:V10">
    <cfRule type="cellIs" dxfId="798" priority="1048" operator="equal">
      <formula>""</formula>
    </cfRule>
  </conditionalFormatting>
  <conditionalFormatting sqref="Q10:V10">
    <cfRule type="cellIs" dxfId="797" priority="1049" operator="notEqual">
      <formula>$A10</formula>
    </cfRule>
  </conditionalFormatting>
  <conditionalFormatting sqref="C10">
    <cfRule type="cellIs" dxfId="796" priority="1046" operator="equal">
      <formula>""</formula>
    </cfRule>
  </conditionalFormatting>
  <conditionalFormatting sqref="C10">
    <cfRule type="cellIs" dxfId="795" priority="1047" operator="notEqual">
      <formula>$A10</formula>
    </cfRule>
  </conditionalFormatting>
  <conditionalFormatting sqref="A22">
    <cfRule type="cellIs" dxfId="794" priority="1043" operator="notEqual">
      <formula>$A22</formula>
    </cfRule>
  </conditionalFormatting>
  <conditionalFormatting sqref="A22">
    <cfRule type="cellIs" dxfId="793" priority="1042" operator="equal">
      <formula>""</formula>
    </cfRule>
  </conditionalFormatting>
  <conditionalFormatting sqref="A19">
    <cfRule type="cellIs" dxfId="792" priority="1040" operator="notEqual">
      <formula>$A19</formula>
    </cfRule>
  </conditionalFormatting>
  <conditionalFormatting sqref="A19">
    <cfRule type="cellIs" dxfId="791" priority="1041" operator="equal">
      <formula>""</formula>
    </cfRule>
  </conditionalFormatting>
  <conditionalFormatting sqref="A20">
    <cfRule type="cellIs" dxfId="790" priority="1038" operator="equal">
      <formula>""</formula>
    </cfRule>
  </conditionalFormatting>
  <conditionalFormatting sqref="A20">
    <cfRule type="cellIs" dxfId="789" priority="1039" operator="notEqual">
      <formula>$A20</formula>
    </cfRule>
  </conditionalFormatting>
  <conditionalFormatting sqref="A21">
    <cfRule type="cellIs" dxfId="788" priority="1036" operator="equal">
      <formula>""</formula>
    </cfRule>
  </conditionalFormatting>
  <conditionalFormatting sqref="A21">
    <cfRule type="cellIs" dxfId="787" priority="1037" operator="notEqual">
      <formula>$A21</formula>
    </cfRule>
  </conditionalFormatting>
  <conditionalFormatting sqref="A21">
    <cfRule type="cellIs" dxfId="786" priority="1034" operator="equal">
      <formula>""</formula>
    </cfRule>
  </conditionalFormatting>
  <conditionalFormatting sqref="A21">
    <cfRule type="cellIs" dxfId="785" priority="1035" operator="notEqual">
      <formula>$A21</formula>
    </cfRule>
  </conditionalFormatting>
  <conditionalFormatting sqref="A17:A18">
    <cfRule type="cellIs" dxfId="784" priority="1032" operator="equal">
      <formula>""</formula>
    </cfRule>
  </conditionalFormatting>
  <conditionalFormatting sqref="A17:A18">
    <cfRule type="cellIs" dxfId="783" priority="1033" operator="notEqual">
      <formula>$A17</formula>
    </cfRule>
  </conditionalFormatting>
  <conditionalFormatting sqref="A12:A13">
    <cfRule type="cellIs" dxfId="782" priority="1030" operator="equal">
      <formula>""</formula>
    </cfRule>
  </conditionalFormatting>
  <conditionalFormatting sqref="A12:A13">
    <cfRule type="cellIs" dxfId="781" priority="1031" operator="notEqual">
      <formula>$A12</formula>
    </cfRule>
  </conditionalFormatting>
  <conditionalFormatting sqref="A7:A8">
    <cfRule type="cellIs" dxfId="780" priority="1028" operator="equal">
      <formula>""</formula>
    </cfRule>
  </conditionalFormatting>
  <conditionalFormatting sqref="A7:A8">
    <cfRule type="cellIs" dxfId="779" priority="1029" operator="notEqual">
      <formula>$A7</formula>
    </cfRule>
  </conditionalFormatting>
  <conditionalFormatting sqref="A9">
    <cfRule type="cellIs" dxfId="778" priority="1026" operator="notEqual">
      <formula>$A9</formula>
    </cfRule>
  </conditionalFormatting>
  <conditionalFormatting sqref="A9">
    <cfRule type="cellIs" dxfId="777" priority="1027" operator="equal">
      <formula>""</formula>
    </cfRule>
  </conditionalFormatting>
  <conditionalFormatting sqref="X22 X12:X13 X17:X18">
    <cfRule type="cellIs" dxfId="776" priority="1024" operator="notEqual">
      <formula>$A12</formula>
    </cfRule>
  </conditionalFormatting>
  <conditionalFormatting sqref="X12:X13 X17:X18">
    <cfRule type="cellIs" dxfId="775" priority="1025" operator="equal">
      <formula>""</formula>
    </cfRule>
  </conditionalFormatting>
  <conditionalFormatting sqref="X22">
    <cfRule type="cellIs" dxfId="774" priority="1019" operator="equal">
      <formula>""</formula>
    </cfRule>
  </conditionalFormatting>
  <conditionalFormatting sqref="X8">
    <cfRule type="cellIs" dxfId="773" priority="1008" operator="equal">
      <formula>""</formula>
    </cfRule>
  </conditionalFormatting>
  <conditionalFormatting sqref="X8">
    <cfRule type="cellIs" dxfId="772" priority="1009" operator="notEqual">
      <formula>$A8</formula>
    </cfRule>
  </conditionalFormatting>
  <conditionalFormatting sqref="X12:X13 X17:X18">
    <cfRule type="cellIs" dxfId="771" priority="1006" operator="equal">
      <formula>""</formula>
    </cfRule>
  </conditionalFormatting>
  <conditionalFormatting sqref="X12:X13 X17:X18">
    <cfRule type="cellIs" dxfId="770" priority="1007" operator="notEqual">
      <formula>$A12</formula>
    </cfRule>
  </conditionalFormatting>
  <conditionalFormatting sqref="X9:X10">
    <cfRule type="cellIs" dxfId="769" priority="1004" operator="notEqual">
      <formula>$A9</formula>
    </cfRule>
  </conditionalFormatting>
  <conditionalFormatting sqref="X9:X10">
    <cfRule type="cellIs" dxfId="768" priority="1005" operator="equal">
      <formula>""</formula>
    </cfRule>
  </conditionalFormatting>
  <conditionalFormatting sqref="X10">
    <cfRule type="cellIs" dxfId="767" priority="1002" operator="equal">
      <formula>""</formula>
    </cfRule>
  </conditionalFormatting>
  <conditionalFormatting sqref="X10">
    <cfRule type="cellIs" dxfId="766" priority="1003" operator="notEqual">
      <formula>$A10</formula>
    </cfRule>
  </conditionalFormatting>
  <conditionalFormatting sqref="V19">
    <cfRule type="cellIs" dxfId="765" priority="1000" operator="notEqual">
      <formula>$A19</formula>
    </cfRule>
  </conditionalFormatting>
  <conditionalFormatting sqref="V19">
    <cfRule type="cellIs" dxfId="764" priority="1001" operator="equal">
      <formula>""</formula>
    </cfRule>
  </conditionalFormatting>
  <conditionalFormatting sqref="W19">
    <cfRule type="cellIs" dxfId="763" priority="996" operator="notEqual">
      <formula>$A19</formula>
    </cfRule>
  </conditionalFormatting>
  <conditionalFormatting sqref="W19">
    <cfRule type="cellIs" dxfId="762" priority="997" operator="equal">
      <formula>""</formula>
    </cfRule>
  </conditionalFormatting>
  <conditionalFormatting sqref="Q21">
    <cfRule type="cellIs" dxfId="761" priority="974" operator="equal">
      <formula>""</formula>
    </cfRule>
  </conditionalFormatting>
  <conditionalFormatting sqref="Q21">
    <cfRule type="cellIs" dxfId="760" priority="975" operator="notEqual">
      <formula>$A21</formula>
    </cfRule>
  </conditionalFormatting>
  <conditionalFormatting sqref="R21">
    <cfRule type="cellIs" dxfId="759" priority="954" operator="equal">
      <formula>""</formula>
    </cfRule>
  </conditionalFormatting>
  <conditionalFormatting sqref="R21">
    <cfRule type="cellIs" dxfId="758" priority="955" operator="notEqual">
      <formula>$A21</formula>
    </cfRule>
  </conditionalFormatting>
  <conditionalFormatting sqref="S21">
    <cfRule type="cellIs" dxfId="757" priority="952" operator="equal">
      <formula>""</formula>
    </cfRule>
  </conditionalFormatting>
  <conditionalFormatting sqref="S21">
    <cfRule type="cellIs" dxfId="756" priority="953" operator="notEqual">
      <formula>$A21</formula>
    </cfRule>
  </conditionalFormatting>
  <conditionalFormatting sqref="T21">
    <cfRule type="cellIs" dxfId="755" priority="950" operator="equal">
      <formula>""</formula>
    </cfRule>
  </conditionalFormatting>
  <conditionalFormatting sqref="T21">
    <cfRule type="cellIs" dxfId="754" priority="951" operator="notEqual">
      <formula>$A21</formula>
    </cfRule>
  </conditionalFormatting>
  <conditionalFormatting sqref="U21">
    <cfRule type="cellIs" dxfId="753" priority="948" operator="equal">
      <formula>""</formula>
    </cfRule>
  </conditionalFormatting>
  <conditionalFormatting sqref="U21">
    <cfRule type="cellIs" dxfId="752" priority="949" operator="notEqual">
      <formula>$A21</formula>
    </cfRule>
  </conditionalFormatting>
  <conditionalFormatting sqref="V21">
    <cfRule type="cellIs" dxfId="751" priority="946" operator="equal">
      <formula>""</formula>
    </cfRule>
  </conditionalFormatting>
  <conditionalFormatting sqref="V21">
    <cfRule type="cellIs" dxfId="750" priority="947" operator="notEqual">
      <formula>$A21</formula>
    </cfRule>
  </conditionalFormatting>
  <conditionalFormatting sqref="X21">
    <cfRule type="cellIs" dxfId="749" priority="944" operator="equal">
      <formula>""</formula>
    </cfRule>
  </conditionalFormatting>
  <conditionalFormatting sqref="X21">
    <cfRule type="cellIs" dxfId="748" priority="945" operator="notEqual">
      <formula>$A21</formula>
    </cfRule>
  </conditionalFormatting>
  <conditionalFormatting sqref="W21">
    <cfRule type="cellIs" dxfId="747" priority="940" operator="equal">
      <formula>""</formula>
    </cfRule>
  </conditionalFormatting>
  <conditionalFormatting sqref="W21">
    <cfRule type="cellIs" dxfId="746" priority="941" operator="notEqual">
      <formula>$A21</formula>
    </cfRule>
  </conditionalFormatting>
  <conditionalFormatting sqref="AN21">
    <cfRule type="cellIs" dxfId="745" priority="938" operator="equal">
      <formula>""</formula>
    </cfRule>
  </conditionalFormatting>
  <conditionalFormatting sqref="AN21">
    <cfRule type="cellIs" dxfId="744" priority="939" operator="notEqual">
      <formula>$A21</formula>
    </cfRule>
  </conditionalFormatting>
  <conditionalFormatting sqref="Q20">
    <cfRule type="cellIs" dxfId="743" priority="936" operator="equal">
      <formula>""</formula>
    </cfRule>
  </conditionalFormatting>
  <conditionalFormatting sqref="Q20">
    <cfRule type="cellIs" dxfId="742" priority="937" operator="notEqual">
      <formula>$A20</formula>
    </cfRule>
  </conditionalFormatting>
  <conditionalFormatting sqref="Q20">
    <cfRule type="cellIs" dxfId="741" priority="934" operator="equal">
      <formula>""</formula>
    </cfRule>
  </conditionalFormatting>
  <conditionalFormatting sqref="Q20">
    <cfRule type="cellIs" dxfId="740" priority="935" operator="notEqual">
      <formula>$A20</formula>
    </cfRule>
  </conditionalFormatting>
  <conditionalFormatting sqref="F20">
    <cfRule type="cellIs" dxfId="739" priority="932" operator="equal">
      <formula>""</formula>
    </cfRule>
  </conditionalFormatting>
  <conditionalFormatting sqref="F20">
    <cfRule type="cellIs" dxfId="738" priority="933" operator="notEqual">
      <formula>$A20</formula>
    </cfRule>
  </conditionalFormatting>
  <conditionalFormatting sqref="F20">
    <cfRule type="cellIs" dxfId="737" priority="930" operator="equal">
      <formula>""</formula>
    </cfRule>
  </conditionalFormatting>
  <conditionalFormatting sqref="F20">
    <cfRule type="cellIs" dxfId="736" priority="931" operator="notEqual">
      <formula>$A20</formula>
    </cfRule>
  </conditionalFormatting>
  <conditionalFormatting sqref="Q20">
    <cfRule type="cellIs" dxfId="735" priority="928" operator="equal">
      <formula>""</formula>
    </cfRule>
  </conditionalFormatting>
  <conditionalFormatting sqref="Q20">
    <cfRule type="cellIs" dxfId="734" priority="929" operator="notEqual">
      <formula>$A20</formula>
    </cfRule>
  </conditionalFormatting>
  <conditionalFormatting sqref="R20">
    <cfRule type="cellIs" dxfId="733" priority="926" operator="equal">
      <formula>""</formula>
    </cfRule>
  </conditionalFormatting>
  <conditionalFormatting sqref="R20">
    <cfRule type="cellIs" dxfId="732" priority="927" operator="notEqual">
      <formula>$A20</formula>
    </cfRule>
  </conditionalFormatting>
  <conditionalFormatting sqref="S20">
    <cfRule type="cellIs" dxfId="731" priority="924" operator="equal">
      <formula>""</formula>
    </cfRule>
  </conditionalFormatting>
  <conditionalFormatting sqref="S20">
    <cfRule type="cellIs" dxfId="730" priority="925" operator="notEqual">
      <formula>$A20</formula>
    </cfRule>
  </conditionalFormatting>
  <conditionalFormatting sqref="T20">
    <cfRule type="cellIs" dxfId="729" priority="922" operator="equal">
      <formula>""</formula>
    </cfRule>
  </conditionalFormatting>
  <conditionalFormatting sqref="T20">
    <cfRule type="cellIs" dxfId="728" priority="923" operator="notEqual">
      <formula>$A20</formula>
    </cfRule>
  </conditionalFormatting>
  <conditionalFormatting sqref="U20">
    <cfRule type="cellIs" dxfId="727" priority="920" operator="equal">
      <formula>""</formula>
    </cfRule>
  </conditionalFormatting>
  <conditionalFormatting sqref="U20">
    <cfRule type="cellIs" dxfId="726" priority="921" operator="notEqual">
      <formula>$A20</formula>
    </cfRule>
  </conditionalFormatting>
  <conditionalFormatting sqref="V20">
    <cfRule type="cellIs" dxfId="725" priority="918" operator="equal">
      <formula>""</formula>
    </cfRule>
  </conditionalFormatting>
  <conditionalFormatting sqref="V20">
    <cfRule type="cellIs" dxfId="724" priority="919" operator="notEqual">
      <formula>$A20</formula>
    </cfRule>
  </conditionalFormatting>
  <conditionalFormatting sqref="X20">
    <cfRule type="cellIs" dxfId="723" priority="916" operator="equal">
      <formula>""</formula>
    </cfRule>
  </conditionalFormatting>
  <conditionalFormatting sqref="X20">
    <cfRule type="cellIs" dxfId="722" priority="917" operator="notEqual">
      <formula>$A20</formula>
    </cfRule>
  </conditionalFormatting>
  <conditionalFormatting sqref="W20">
    <cfRule type="cellIs" dxfId="721" priority="912" operator="equal">
      <formula>""</formula>
    </cfRule>
  </conditionalFormatting>
  <conditionalFormatting sqref="W20">
    <cfRule type="cellIs" dxfId="720" priority="913" operator="notEqual">
      <formula>$A20</formula>
    </cfRule>
  </conditionalFormatting>
  <conditionalFormatting sqref="AN20">
    <cfRule type="cellIs" dxfId="719" priority="910" operator="equal">
      <formula>""</formula>
    </cfRule>
  </conditionalFormatting>
  <conditionalFormatting sqref="AN20">
    <cfRule type="cellIs" dxfId="718" priority="911" operator="notEqual">
      <formula>$A20</formula>
    </cfRule>
  </conditionalFormatting>
  <conditionalFormatting sqref="U19:V19">
    <cfRule type="cellIs" dxfId="717" priority="908" operator="notEqual">
      <formula>$A19</formula>
    </cfRule>
  </conditionalFormatting>
  <conditionalFormatting sqref="U19:V19">
    <cfRule type="cellIs" dxfId="716" priority="909" operator="equal">
      <formula>""</formula>
    </cfRule>
  </conditionalFormatting>
  <conditionalFormatting sqref="U19:V19">
    <cfRule type="cellIs" dxfId="715" priority="906" operator="notEqual">
      <formula>$A19</formula>
    </cfRule>
  </conditionalFormatting>
  <conditionalFormatting sqref="U19:V19">
    <cfRule type="cellIs" dxfId="714" priority="907" operator="equal">
      <formula>""</formula>
    </cfRule>
  </conditionalFormatting>
  <conditionalFormatting sqref="X19">
    <cfRule type="cellIs" dxfId="713" priority="904" operator="notEqual">
      <formula>$A19</formula>
    </cfRule>
  </conditionalFormatting>
  <conditionalFormatting sqref="X19">
    <cfRule type="cellIs" dxfId="712" priority="905" operator="equal">
      <formula>""</formula>
    </cfRule>
  </conditionalFormatting>
  <conditionalFormatting sqref="X19">
    <cfRule type="cellIs" dxfId="711" priority="902" operator="notEqual">
      <formula>$A19</formula>
    </cfRule>
  </conditionalFormatting>
  <conditionalFormatting sqref="X19">
    <cfRule type="cellIs" dxfId="710" priority="903" operator="equal">
      <formula>""</formula>
    </cfRule>
  </conditionalFormatting>
  <conditionalFormatting sqref="X19">
    <cfRule type="cellIs" dxfId="709" priority="900" operator="notEqual">
      <formula>$A19</formula>
    </cfRule>
  </conditionalFormatting>
  <conditionalFormatting sqref="X19">
    <cfRule type="cellIs" dxfId="708" priority="901" operator="equal">
      <formula>""</formula>
    </cfRule>
  </conditionalFormatting>
  <conditionalFormatting sqref="X19">
    <cfRule type="cellIs" dxfId="707" priority="898" operator="notEqual">
      <formula>$A19</formula>
    </cfRule>
  </conditionalFormatting>
  <conditionalFormatting sqref="X19">
    <cfRule type="cellIs" dxfId="706" priority="899" operator="equal">
      <formula>""</formula>
    </cfRule>
  </conditionalFormatting>
  <conditionalFormatting sqref="W19">
    <cfRule type="cellIs" dxfId="705" priority="888" operator="notEqual">
      <formula>$A19</formula>
    </cfRule>
  </conditionalFormatting>
  <conditionalFormatting sqref="W19">
    <cfRule type="cellIs" dxfId="704" priority="889" operator="equal">
      <formula>""</formula>
    </cfRule>
  </conditionalFormatting>
  <conditionalFormatting sqref="W19">
    <cfRule type="cellIs" dxfId="703" priority="886" operator="notEqual">
      <formula>$A19</formula>
    </cfRule>
  </conditionalFormatting>
  <conditionalFormatting sqref="W19">
    <cfRule type="cellIs" dxfId="702" priority="887" operator="equal">
      <formula>""</formula>
    </cfRule>
  </conditionalFormatting>
  <conditionalFormatting sqref="W19">
    <cfRule type="cellIs" dxfId="701" priority="884" operator="notEqual">
      <formula>$A19</formula>
    </cfRule>
  </conditionalFormatting>
  <conditionalFormatting sqref="W19">
    <cfRule type="cellIs" dxfId="700" priority="885" operator="equal">
      <formula>""</formula>
    </cfRule>
  </conditionalFormatting>
  <conditionalFormatting sqref="AN19">
    <cfRule type="cellIs" dxfId="699" priority="882" operator="notEqual">
      <formula>$A19</formula>
    </cfRule>
  </conditionalFormatting>
  <conditionalFormatting sqref="AN19">
    <cfRule type="cellIs" dxfId="698" priority="883" operator="equal">
      <formula>""</formula>
    </cfRule>
  </conditionalFormatting>
  <conditionalFormatting sqref="AN19">
    <cfRule type="cellIs" dxfId="697" priority="880" operator="notEqual">
      <formula>$A19</formula>
    </cfRule>
  </conditionalFormatting>
  <conditionalFormatting sqref="AN19">
    <cfRule type="cellIs" dxfId="696" priority="881" operator="equal">
      <formula>""</formula>
    </cfRule>
  </conditionalFormatting>
  <conditionalFormatting sqref="AN19">
    <cfRule type="cellIs" dxfId="695" priority="878" operator="notEqual">
      <formula>$A19</formula>
    </cfRule>
  </conditionalFormatting>
  <conditionalFormatting sqref="AN19">
    <cfRule type="cellIs" dxfId="694" priority="879" operator="equal">
      <formula>""</formula>
    </cfRule>
  </conditionalFormatting>
  <conditionalFormatting sqref="AN19">
    <cfRule type="cellIs" dxfId="693" priority="876" operator="notEqual">
      <formula>$A19</formula>
    </cfRule>
  </conditionalFormatting>
  <conditionalFormatting sqref="AN19">
    <cfRule type="cellIs" dxfId="692" priority="877" operator="equal">
      <formula>""</formula>
    </cfRule>
  </conditionalFormatting>
  <conditionalFormatting sqref="AB22 AB12:AB13 AB17:AB18">
    <cfRule type="cellIs" dxfId="691" priority="854" operator="notEqual">
      <formula>$A12</formula>
    </cfRule>
  </conditionalFormatting>
  <conditionalFormatting sqref="AB12:AB13 AB17:AB18">
    <cfRule type="cellIs" dxfId="690" priority="855" operator="equal">
      <formula>""</formula>
    </cfRule>
  </conditionalFormatting>
  <conditionalFormatting sqref="AB22">
    <cfRule type="cellIs" dxfId="689" priority="852" operator="equal">
      <formula>""</formula>
    </cfRule>
  </conditionalFormatting>
  <conditionalFormatting sqref="AB8">
    <cfRule type="cellIs" dxfId="688" priority="849" operator="equal">
      <formula>""</formula>
    </cfRule>
  </conditionalFormatting>
  <conditionalFormatting sqref="AB8">
    <cfRule type="cellIs" dxfId="687" priority="850" operator="notEqual">
      <formula>$A8</formula>
    </cfRule>
  </conditionalFormatting>
  <conditionalFormatting sqref="AB12:AB13 AB17:AB18">
    <cfRule type="cellIs" dxfId="686" priority="847" operator="equal">
      <formula>""</formula>
    </cfRule>
  </conditionalFormatting>
  <conditionalFormatting sqref="AB12:AB13 AB17:AB18">
    <cfRule type="cellIs" dxfId="685" priority="848" operator="notEqual">
      <formula>$A12</formula>
    </cfRule>
  </conditionalFormatting>
  <conditionalFormatting sqref="AB9:AB10">
    <cfRule type="cellIs" dxfId="684" priority="845" operator="notEqual">
      <formula>$A9</formula>
    </cfRule>
  </conditionalFormatting>
  <conditionalFormatting sqref="AB9:AB10">
    <cfRule type="cellIs" dxfId="683" priority="846" operator="equal">
      <formula>""</formula>
    </cfRule>
  </conditionalFormatting>
  <conditionalFormatting sqref="AB10">
    <cfRule type="cellIs" dxfId="682" priority="843" operator="equal">
      <formula>""</formula>
    </cfRule>
  </conditionalFormatting>
  <conditionalFormatting sqref="AB10">
    <cfRule type="cellIs" dxfId="681" priority="844" operator="notEqual">
      <formula>$A10</formula>
    </cfRule>
  </conditionalFormatting>
  <conditionalFormatting sqref="AB21">
    <cfRule type="cellIs" dxfId="680" priority="841" operator="equal">
      <formula>""</formula>
    </cfRule>
  </conditionalFormatting>
  <conditionalFormatting sqref="AB21">
    <cfRule type="cellIs" dxfId="679" priority="842" operator="notEqual">
      <formula>$A21</formula>
    </cfRule>
  </conditionalFormatting>
  <conditionalFormatting sqref="AB20">
    <cfRule type="cellIs" dxfId="678" priority="839" operator="equal">
      <formula>""</formula>
    </cfRule>
  </conditionalFormatting>
  <conditionalFormatting sqref="AB20">
    <cfRule type="cellIs" dxfId="677" priority="840" operator="notEqual">
      <formula>$A20</formula>
    </cfRule>
  </conditionalFormatting>
  <conditionalFormatting sqref="AB19">
    <cfRule type="cellIs" dxfId="676" priority="837" operator="notEqual">
      <formula>$A19</formula>
    </cfRule>
  </conditionalFormatting>
  <conditionalFormatting sqref="AB19">
    <cfRule type="cellIs" dxfId="675" priority="838" operator="equal">
      <formula>""</formula>
    </cfRule>
  </conditionalFormatting>
  <conditionalFormatting sqref="AB19">
    <cfRule type="cellIs" dxfId="674" priority="835" operator="notEqual">
      <formula>$A19</formula>
    </cfRule>
  </conditionalFormatting>
  <conditionalFormatting sqref="AB19">
    <cfRule type="cellIs" dxfId="673" priority="836" operator="equal">
      <formula>""</formula>
    </cfRule>
  </conditionalFormatting>
  <conditionalFormatting sqref="AB19">
    <cfRule type="cellIs" dxfId="672" priority="833" operator="notEqual">
      <formula>$A19</formula>
    </cfRule>
  </conditionalFormatting>
  <conditionalFormatting sqref="AB19">
    <cfRule type="cellIs" dxfId="671" priority="834" operator="equal">
      <formula>""</formula>
    </cfRule>
  </conditionalFormatting>
  <conditionalFormatting sqref="AB19">
    <cfRule type="cellIs" dxfId="670" priority="831" operator="notEqual">
      <formula>$A19</formula>
    </cfRule>
  </conditionalFormatting>
  <conditionalFormatting sqref="AB19">
    <cfRule type="cellIs" dxfId="669" priority="832" operator="equal">
      <formula>""</formula>
    </cfRule>
  </conditionalFormatting>
  <conditionalFormatting sqref="AD22 AD12:AD13 AD17:AD18">
    <cfRule type="cellIs" dxfId="668" priority="829" operator="notEqual">
      <formula>$A12</formula>
    </cfRule>
  </conditionalFormatting>
  <conditionalFormatting sqref="AD12:AD13 AD17:AD18">
    <cfRule type="cellIs" dxfId="667" priority="830" operator="equal">
      <formula>""</formula>
    </cfRule>
  </conditionalFormatting>
  <conditionalFormatting sqref="AD22">
    <cfRule type="cellIs" dxfId="666" priority="827" operator="equal">
      <formula>""</formula>
    </cfRule>
  </conditionalFormatting>
  <conditionalFormatting sqref="AD8">
    <cfRule type="cellIs" dxfId="665" priority="824" operator="equal">
      <formula>""</formula>
    </cfRule>
  </conditionalFormatting>
  <conditionalFormatting sqref="AD8">
    <cfRule type="cellIs" dxfId="664" priority="825" operator="notEqual">
      <formula>$A8</formula>
    </cfRule>
  </conditionalFormatting>
  <conditionalFormatting sqref="AD12:AD13 AD17:AD18">
    <cfRule type="cellIs" dxfId="663" priority="822" operator="equal">
      <formula>""</formula>
    </cfRule>
  </conditionalFormatting>
  <conditionalFormatting sqref="AD12:AD13 AD17:AD18">
    <cfRule type="cellIs" dxfId="662" priority="823" operator="notEqual">
      <formula>$A12</formula>
    </cfRule>
  </conditionalFormatting>
  <conditionalFormatting sqref="AD9:AD10">
    <cfRule type="cellIs" dxfId="661" priority="820" operator="notEqual">
      <formula>$A9</formula>
    </cfRule>
  </conditionalFormatting>
  <conditionalFormatting sqref="AD9:AD10">
    <cfRule type="cellIs" dxfId="660" priority="821" operator="equal">
      <formula>""</formula>
    </cfRule>
  </conditionalFormatting>
  <conditionalFormatting sqref="AD10">
    <cfRule type="cellIs" dxfId="659" priority="818" operator="equal">
      <formula>""</formula>
    </cfRule>
  </conditionalFormatting>
  <conditionalFormatting sqref="AD10">
    <cfRule type="cellIs" dxfId="658" priority="819" operator="notEqual">
      <formula>$A10</formula>
    </cfRule>
  </conditionalFormatting>
  <conditionalFormatting sqref="AD20">
    <cfRule type="cellIs" dxfId="657" priority="814" operator="equal">
      <formula>""</formula>
    </cfRule>
  </conditionalFormatting>
  <conditionalFormatting sqref="AD20">
    <cfRule type="cellIs" dxfId="656" priority="815" operator="notEqual">
      <formula>$A20</formula>
    </cfRule>
  </conditionalFormatting>
  <conditionalFormatting sqref="AD19">
    <cfRule type="cellIs" dxfId="655" priority="812" operator="notEqual">
      <formula>$A19</formula>
    </cfRule>
  </conditionalFormatting>
  <conditionalFormatting sqref="AD19">
    <cfRule type="cellIs" dxfId="654" priority="813" operator="equal">
      <formula>""</formula>
    </cfRule>
  </conditionalFormatting>
  <conditionalFormatting sqref="AD19">
    <cfRule type="cellIs" dxfId="653" priority="810" operator="notEqual">
      <formula>$A19</formula>
    </cfRule>
  </conditionalFormatting>
  <conditionalFormatting sqref="AD19">
    <cfRule type="cellIs" dxfId="652" priority="811" operator="equal">
      <formula>""</formula>
    </cfRule>
  </conditionalFormatting>
  <conditionalFormatting sqref="AD19">
    <cfRule type="cellIs" dxfId="651" priority="808" operator="notEqual">
      <formula>$A19</formula>
    </cfRule>
  </conditionalFormatting>
  <conditionalFormatting sqref="AD19">
    <cfRule type="cellIs" dxfId="650" priority="809" operator="equal">
      <formula>""</formula>
    </cfRule>
  </conditionalFormatting>
  <conditionalFormatting sqref="AD19">
    <cfRule type="cellIs" dxfId="649" priority="806" operator="notEqual">
      <formula>$A19</formula>
    </cfRule>
  </conditionalFormatting>
  <conditionalFormatting sqref="AD19">
    <cfRule type="cellIs" dxfId="648" priority="807" operator="equal">
      <formula>""</formula>
    </cfRule>
  </conditionalFormatting>
  <conditionalFormatting sqref="AD21">
    <cfRule type="cellIs" dxfId="647" priority="804" operator="equal">
      <formula>""</formula>
    </cfRule>
  </conditionalFormatting>
  <conditionalFormatting sqref="AD21">
    <cfRule type="cellIs" dxfId="646" priority="805" operator="notEqual">
      <formula>$A21</formula>
    </cfRule>
  </conditionalFormatting>
  <conditionalFormatting sqref="Z24:Z34">
    <cfRule type="cellIs" dxfId="645" priority="772" operator="notEqual">
      <formula>$A24</formula>
    </cfRule>
  </conditionalFormatting>
  <conditionalFormatting sqref="Z24:Z34">
    <cfRule type="cellIs" dxfId="644" priority="773" operator="equal">
      <formula>""</formula>
    </cfRule>
  </conditionalFormatting>
  <conditionalFormatting sqref="Z22 Z12:Z13 Z17:Z18">
    <cfRule type="cellIs" dxfId="643" priority="770" operator="notEqual">
      <formula>$A12</formula>
    </cfRule>
  </conditionalFormatting>
  <conditionalFormatting sqref="Z12:Z13 Z17:Z18">
    <cfRule type="cellIs" dxfId="642" priority="771" operator="equal">
      <formula>""</formula>
    </cfRule>
  </conditionalFormatting>
  <conditionalFormatting sqref="Z22">
    <cfRule type="cellIs" dxfId="641" priority="768" operator="equal">
      <formula>""</formula>
    </cfRule>
  </conditionalFormatting>
  <conditionalFormatting sqref="Z8">
    <cfRule type="cellIs" dxfId="640" priority="765" operator="equal">
      <formula>""</formula>
    </cfRule>
  </conditionalFormatting>
  <conditionalFormatting sqref="Z8">
    <cfRule type="cellIs" dxfId="639" priority="766" operator="notEqual">
      <formula>$A8</formula>
    </cfRule>
  </conditionalFormatting>
  <conditionalFormatting sqref="Z12:Z13 Z17:Z18">
    <cfRule type="cellIs" dxfId="638" priority="763" operator="equal">
      <formula>""</formula>
    </cfRule>
  </conditionalFormatting>
  <conditionalFormatting sqref="Z12:Z13 Z17:Z18">
    <cfRule type="cellIs" dxfId="637" priority="764" operator="notEqual">
      <formula>$A12</formula>
    </cfRule>
  </conditionalFormatting>
  <conditionalFormatting sqref="Z9:Z10">
    <cfRule type="cellIs" dxfId="636" priority="761" operator="notEqual">
      <formula>$A9</formula>
    </cfRule>
  </conditionalFormatting>
  <conditionalFormatting sqref="Z9:Z10">
    <cfRule type="cellIs" dxfId="635" priority="762" operator="equal">
      <formula>""</formula>
    </cfRule>
  </conditionalFormatting>
  <conditionalFormatting sqref="Z10">
    <cfRule type="cellIs" dxfId="634" priority="759" operator="equal">
      <formula>""</formula>
    </cfRule>
  </conditionalFormatting>
  <conditionalFormatting sqref="Z10">
    <cfRule type="cellIs" dxfId="633" priority="760" operator="notEqual">
      <formula>$A10</formula>
    </cfRule>
  </conditionalFormatting>
  <conditionalFormatting sqref="Z21">
    <cfRule type="cellIs" dxfId="632" priority="757" operator="equal">
      <formula>""</formula>
    </cfRule>
  </conditionalFormatting>
  <conditionalFormatting sqref="Z21">
    <cfRule type="cellIs" dxfId="631" priority="758" operator="notEqual">
      <formula>$A21</formula>
    </cfRule>
  </conditionalFormatting>
  <conditionalFormatting sqref="Z20">
    <cfRule type="cellIs" dxfId="630" priority="755" operator="equal">
      <formula>""</formula>
    </cfRule>
  </conditionalFormatting>
  <conditionalFormatting sqref="Z20">
    <cfRule type="cellIs" dxfId="629" priority="756" operator="notEqual">
      <formula>$A20</formula>
    </cfRule>
  </conditionalFormatting>
  <conditionalFormatting sqref="Z19">
    <cfRule type="cellIs" dxfId="628" priority="753" operator="notEqual">
      <formula>$A19</formula>
    </cfRule>
  </conditionalFormatting>
  <conditionalFormatting sqref="Z19">
    <cfRule type="cellIs" dxfId="627" priority="754" operator="equal">
      <formula>""</formula>
    </cfRule>
  </conditionalFormatting>
  <conditionalFormatting sqref="Z19">
    <cfRule type="cellIs" dxfId="626" priority="751" operator="notEqual">
      <formula>$A19</formula>
    </cfRule>
  </conditionalFormatting>
  <conditionalFormatting sqref="Z19">
    <cfRule type="cellIs" dxfId="625" priority="752" operator="equal">
      <formula>""</formula>
    </cfRule>
  </conditionalFormatting>
  <conditionalFormatting sqref="Z19">
    <cfRule type="cellIs" dxfId="624" priority="749" operator="notEqual">
      <formula>$A19</formula>
    </cfRule>
  </conditionalFormatting>
  <conditionalFormatting sqref="Z19">
    <cfRule type="cellIs" dxfId="623" priority="750" operator="equal">
      <formula>""</formula>
    </cfRule>
  </conditionalFormatting>
  <conditionalFormatting sqref="Z19">
    <cfRule type="cellIs" dxfId="622" priority="747" operator="notEqual">
      <formula>$A19</formula>
    </cfRule>
  </conditionalFormatting>
  <conditionalFormatting sqref="Z19">
    <cfRule type="cellIs" dxfId="621" priority="748" operator="equal">
      <formula>""</formula>
    </cfRule>
  </conditionalFormatting>
  <conditionalFormatting sqref="AN14 Q14:X14 Z14 AB14 AD14">
    <cfRule type="cellIs" dxfId="620" priority="745" operator="equal">
      <formula>""</formula>
    </cfRule>
  </conditionalFormatting>
  <conditionalFormatting sqref="AN15 Q15:X15 Z15 AB15 AD15">
    <cfRule type="cellIs" dxfId="619" priority="743" operator="equal">
      <formula>""</formula>
    </cfRule>
  </conditionalFormatting>
  <conditionalFormatting sqref="A14">
    <cfRule type="cellIs" dxfId="618" priority="741" operator="equal">
      <formula>""</formula>
    </cfRule>
  </conditionalFormatting>
  <conditionalFormatting sqref="A14">
    <cfRule type="cellIs" dxfId="617" priority="742" operator="notEqual">
      <formula>$A14</formula>
    </cfRule>
  </conditionalFormatting>
  <conditionalFormatting sqref="A15">
    <cfRule type="cellIs" dxfId="616" priority="739" operator="equal">
      <formula>""</formula>
    </cfRule>
  </conditionalFormatting>
  <conditionalFormatting sqref="A15">
    <cfRule type="cellIs" dxfId="615" priority="740" operator="notEqual">
      <formula>$A15</formula>
    </cfRule>
  </conditionalFormatting>
  <conditionalFormatting sqref="A16">
    <cfRule type="cellIs" dxfId="614" priority="737" operator="equal">
      <formula>""</formula>
    </cfRule>
  </conditionalFormatting>
  <conditionalFormatting sqref="A16">
    <cfRule type="cellIs" dxfId="613" priority="738" operator="notEqual">
      <formula>$A16</formula>
    </cfRule>
  </conditionalFormatting>
  <conditionalFormatting sqref="Q16:X16 Z16">
    <cfRule type="cellIs" dxfId="612" priority="733" operator="equal">
      <formula>""</formula>
    </cfRule>
  </conditionalFormatting>
  <conditionalFormatting sqref="Q16:X16 Z16">
    <cfRule type="cellIs" dxfId="611" priority="734" operator="notEqual">
      <formula>$A16</formula>
    </cfRule>
  </conditionalFormatting>
  <conditionalFormatting sqref="AD16">
    <cfRule type="cellIs" dxfId="610" priority="731" operator="equal">
      <formula>""</formula>
    </cfRule>
  </conditionalFormatting>
  <conditionalFormatting sqref="AD16">
    <cfRule type="cellIs" dxfId="609" priority="732" operator="notEqual">
      <formula>$A16</formula>
    </cfRule>
  </conditionalFormatting>
  <conditionalFormatting sqref="AB16">
    <cfRule type="cellIs" dxfId="608" priority="729" operator="equal">
      <formula>""</formula>
    </cfRule>
  </conditionalFormatting>
  <conditionalFormatting sqref="AB16">
    <cfRule type="cellIs" dxfId="607" priority="730" operator="notEqual">
      <formula>$A16</formula>
    </cfRule>
  </conditionalFormatting>
  <conditionalFormatting sqref="AN16">
    <cfRule type="cellIs" dxfId="606" priority="727" operator="equal">
      <formula>""</formula>
    </cfRule>
  </conditionalFormatting>
  <conditionalFormatting sqref="AN16">
    <cfRule type="cellIs" dxfId="605" priority="728" operator="notEqual">
      <formula>$A16</formula>
    </cfRule>
  </conditionalFormatting>
  <conditionalFormatting sqref="Q23:S23">
    <cfRule type="cellIs" dxfId="604" priority="725" operator="notEqual">
      <formula>$A23</formula>
    </cfRule>
  </conditionalFormatting>
  <conditionalFormatting sqref="Q23:S23">
    <cfRule type="cellIs" dxfId="603" priority="726" operator="equal">
      <formula>""</formula>
    </cfRule>
  </conditionalFormatting>
  <conditionalFormatting sqref="T23">
    <cfRule type="cellIs" dxfId="602" priority="723" operator="notEqual">
      <formula>$A23</formula>
    </cfRule>
  </conditionalFormatting>
  <conditionalFormatting sqref="T23">
    <cfRule type="cellIs" dxfId="601" priority="724" operator="equal">
      <formula>""</formula>
    </cfRule>
  </conditionalFormatting>
  <conditionalFormatting sqref="W23">
    <cfRule type="cellIs" dxfId="600" priority="721" operator="notEqual">
      <formula>$A23</formula>
    </cfRule>
  </conditionalFormatting>
  <conditionalFormatting sqref="W23">
    <cfRule type="cellIs" dxfId="599" priority="722" operator="equal">
      <formula>""</formula>
    </cfRule>
  </conditionalFormatting>
  <conditionalFormatting sqref="AB23">
    <cfRule type="cellIs" dxfId="598" priority="719" operator="notEqual">
      <formula>$A23</formula>
    </cfRule>
  </conditionalFormatting>
  <conditionalFormatting sqref="AB23">
    <cfRule type="cellIs" dxfId="597" priority="720" operator="equal">
      <formula>""</formula>
    </cfRule>
  </conditionalFormatting>
  <conditionalFormatting sqref="AD23">
    <cfRule type="cellIs" dxfId="596" priority="717" operator="notEqual">
      <formula>$A23</formula>
    </cfRule>
  </conditionalFormatting>
  <conditionalFormatting sqref="AD23">
    <cfRule type="cellIs" dxfId="595" priority="718" operator="equal">
      <formula>""</formula>
    </cfRule>
  </conditionalFormatting>
  <conditionalFormatting sqref="AN23">
    <cfRule type="cellIs" dxfId="594" priority="715" operator="notEqual">
      <formula>$A23</formula>
    </cfRule>
  </conditionalFormatting>
  <conditionalFormatting sqref="AN23">
    <cfRule type="cellIs" dxfId="593" priority="716" operator="equal">
      <formula>""</formula>
    </cfRule>
  </conditionalFormatting>
  <conditionalFormatting sqref="V23">
    <cfRule type="cellIs" dxfId="592" priority="713" operator="notEqual">
      <formula>$A23</formula>
    </cfRule>
  </conditionalFormatting>
  <conditionalFormatting sqref="V23">
    <cfRule type="cellIs" dxfId="591" priority="714" operator="equal">
      <formula>""</formula>
    </cfRule>
  </conditionalFormatting>
  <conditionalFormatting sqref="U23">
    <cfRule type="cellIs" dxfId="590" priority="711" operator="notEqual">
      <formula>$A23</formula>
    </cfRule>
  </conditionalFormatting>
  <conditionalFormatting sqref="U23">
    <cfRule type="cellIs" dxfId="589" priority="712" operator="equal">
      <formula>""</formula>
    </cfRule>
  </conditionalFormatting>
  <conditionalFormatting sqref="X23">
    <cfRule type="cellIs" dxfId="588" priority="709" operator="notEqual">
      <formula>$A23</formula>
    </cfRule>
  </conditionalFormatting>
  <conditionalFormatting sqref="X23">
    <cfRule type="cellIs" dxfId="587" priority="710" operator="equal">
      <formula>""</formula>
    </cfRule>
  </conditionalFormatting>
  <conditionalFormatting sqref="Z23">
    <cfRule type="cellIs" dxfId="586" priority="707" operator="notEqual">
      <formula>$A23</formula>
    </cfRule>
  </conditionalFormatting>
  <conditionalFormatting sqref="Z23">
    <cfRule type="cellIs" dxfId="585" priority="708" operator="equal">
      <formula>""</formula>
    </cfRule>
  </conditionalFormatting>
  <conditionalFormatting sqref="Z23">
    <cfRule type="cellIs" dxfId="584" priority="705" operator="notEqual">
      <formula>$A23</formula>
    </cfRule>
  </conditionalFormatting>
  <conditionalFormatting sqref="Z23">
    <cfRule type="cellIs" dxfId="583" priority="706" operator="equal">
      <formula>""</formula>
    </cfRule>
  </conditionalFormatting>
  <conditionalFormatting sqref="AN23">
    <cfRule type="cellIs" dxfId="582" priority="703" operator="notEqual">
      <formula>$A23</formula>
    </cfRule>
  </conditionalFormatting>
  <conditionalFormatting sqref="AN23">
    <cfRule type="cellIs" dxfId="581" priority="704" operator="equal">
      <formula>""</formula>
    </cfRule>
  </conditionalFormatting>
  <conditionalFormatting sqref="W23">
    <cfRule type="cellIs" dxfId="580" priority="701" operator="notEqual">
      <formula>$A23</formula>
    </cfRule>
  </conditionalFormatting>
  <conditionalFormatting sqref="W23">
    <cfRule type="cellIs" dxfId="579" priority="702" operator="equal">
      <formula>""</formula>
    </cfRule>
  </conditionalFormatting>
  <conditionalFormatting sqref="T23">
    <cfRule type="cellIs" dxfId="578" priority="699" operator="notEqual">
      <formula>$A23</formula>
    </cfRule>
  </conditionalFormatting>
  <conditionalFormatting sqref="T23">
    <cfRule type="cellIs" dxfId="577" priority="700" operator="equal">
      <formula>""</formula>
    </cfRule>
  </conditionalFormatting>
  <conditionalFormatting sqref="W23">
    <cfRule type="cellIs" dxfId="576" priority="697" operator="notEqual">
      <formula>$A23</formula>
    </cfRule>
  </conditionalFormatting>
  <conditionalFormatting sqref="W23">
    <cfRule type="cellIs" dxfId="575" priority="698" operator="equal">
      <formula>""</formula>
    </cfRule>
  </conditionalFormatting>
  <conditionalFormatting sqref="A23">
    <cfRule type="cellIs" dxfId="574" priority="695" operator="notEqual">
      <formula>$A23</formula>
    </cfRule>
  </conditionalFormatting>
  <conditionalFormatting sqref="A23">
    <cfRule type="cellIs" dxfId="573" priority="696" operator="equal">
      <formula>""</formula>
    </cfRule>
  </conditionalFormatting>
  <conditionalFormatting sqref="A23">
    <cfRule type="cellIs" dxfId="572" priority="693" operator="notEqual">
      <formula>$A23</formula>
    </cfRule>
  </conditionalFormatting>
  <conditionalFormatting sqref="A23">
    <cfRule type="cellIs" dxfId="571" priority="694" operator="equal">
      <formula>""</formula>
    </cfRule>
  </conditionalFormatting>
  <conditionalFormatting sqref="A35:A46 AN35:AN46 Q35:X46 Z35:Z46 AB35:AB46 AD35:AD46">
    <cfRule type="cellIs" dxfId="570" priority="691" operator="notEqual">
      <formula>$A35</formula>
    </cfRule>
  </conditionalFormatting>
  <conditionalFormatting sqref="A35:A46 AN35:AN46 Q35:X46 Z35:Z46 AB35:AB46 AD35:AD46">
    <cfRule type="cellIs" dxfId="569" priority="692" operator="equal">
      <formula>""</formula>
    </cfRule>
  </conditionalFormatting>
  <conditionalFormatting sqref="Z35:Z46">
    <cfRule type="cellIs" dxfId="568" priority="690" operator="equal">
      <formula>""</formula>
    </cfRule>
  </conditionalFormatting>
  <conditionalFormatting sqref="AI34 AH23:AH34 AH14:AI15 AH6:AI6 AL23:AM34 AL6:AM6 AL14:AM15">
    <cfRule type="cellIs" dxfId="567" priority="688" operator="notEqual">
      <formula>$A6</formula>
    </cfRule>
  </conditionalFormatting>
  <conditionalFormatting sqref="AI34 AH23:AH34 AH14:AI15 AH6:AI6 AL23:AM34 AL6:AM6 AL14:AM15">
    <cfRule type="cellIs" dxfId="566" priority="689" operator="equal">
      <formula>""</formula>
    </cfRule>
  </conditionalFormatting>
  <conditionalFormatting sqref="AH22 AH12:AH13 AH17:AH18">
    <cfRule type="cellIs" dxfId="565" priority="686" operator="notEqual">
      <formula>$A12</formula>
    </cfRule>
  </conditionalFormatting>
  <conditionalFormatting sqref="AH12:AH13 AH17:AH18">
    <cfRule type="cellIs" dxfId="564" priority="687" operator="equal">
      <formula>""</formula>
    </cfRule>
  </conditionalFormatting>
  <conditionalFormatting sqref="AH22">
    <cfRule type="cellIs" dxfId="563" priority="685" operator="equal">
      <formula>""</formula>
    </cfRule>
  </conditionalFormatting>
  <conditionalFormatting sqref="AH8">
    <cfRule type="cellIs" dxfId="562" priority="683" operator="equal">
      <formula>""</formula>
    </cfRule>
  </conditionalFormatting>
  <conditionalFormatting sqref="AH8">
    <cfRule type="cellIs" dxfId="561" priority="684" operator="notEqual">
      <formula>$A8</formula>
    </cfRule>
  </conditionalFormatting>
  <conditionalFormatting sqref="AH12:AH13 AH17:AH18">
    <cfRule type="cellIs" dxfId="560" priority="681" operator="equal">
      <formula>""</formula>
    </cfRule>
  </conditionalFormatting>
  <conditionalFormatting sqref="AH12:AH13 AH17:AH18">
    <cfRule type="cellIs" dxfId="559" priority="682" operator="notEqual">
      <formula>$A12</formula>
    </cfRule>
  </conditionalFormatting>
  <conditionalFormatting sqref="AH9:AH10">
    <cfRule type="cellIs" dxfId="558" priority="679" operator="notEqual">
      <formula>$A9</formula>
    </cfRule>
  </conditionalFormatting>
  <conditionalFormatting sqref="AH9:AH10">
    <cfRule type="cellIs" dxfId="557" priority="680" operator="equal">
      <formula>""</formula>
    </cfRule>
  </conditionalFormatting>
  <conditionalFormatting sqref="AH10">
    <cfRule type="cellIs" dxfId="556" priority="677" operator="equal">
      <formula>""</formula>
    </cfRule>
  </conditionalFormatting>
  <conditionalFormatting sqref="AH10">
    <cfRule type="cellIs" dxfId="555" priority="678" operator="notEqual">
      <formula>$A10</formula>
    </cfRule>
  </conditionalFormatting>
  <conditionalFormatting sqref="AH21">
    <cfRule type="cellIs" dxfId="554" priority="675" operator="equal">
      <formula>""</formula>
    </cfRule>
  </conditionalFormatting>
  <conditionalFormatting sqref="AH21">
    <cfRule type="cellIs" dxfId="553" priority="676" operator="notEqual">
      <formula>$A21</formula>
    </cfRule>
  </conditionalFormatting>
  <conditionalFormatting sqref="AH20">
    <cfRule type="cellIs" dxfId="552" priority="673" operator="equal">
      <formula>""</formula>
    </cfRule>
  </conditionalFormatting>
  <conditionalFormatting sqref="AH20">
    <cfRule type="cellIs" dxfId="551" priority="674" operator="notEqual">
      <formula>$A20</formula>
    </cfRule>
  </conditionalFormatting>
  <conditionalFormatting sqref="AH19">
    <cfRule type="cellIs" dxfId="550" priority="671" operator="notEqual">
      <formula>$A19</formula>
    </cfRule>
  </conditionalFormatting>
  <conditionalFormatting sqref="AH19">
    <cfRule type="cellIs" dxfId="549" priority="672" operator="equal">
      <formula>""</formula>
    </cfRule>
  </conditionalFormatting>
  <conditionalFormatting sqref="AH19">
    <cfRule type="cellIs" dxfId="548" priority="669" operator="notEqual">
      <formula>$A19</formula>
    </cfRule>
  </conditionalFormatting>
  <conditionalFormatting sqref="AH19">
    <cfRule type="cellIs" dxfId="547" priority="670" operator="equal">
      <formula>""</formula>
    </cfRule>
  </conditionalFormatting>
  <conditionalFormatting sqref="AH19">
    <cfRule type="cellIs" dxfId="546" priority="667" operator="notEqual">
      <formula>$A19</formula>
    </cfRule>
  </conditionalFormatting>
  <conditionalFormatting sqref="AH19">
    <cfRule type="cellIs" dxfId="545" priority="668" operator="equal">
      <formula>""</formula>
    </cfRule>
  </conditionalFormatting>
  <conditionalFormatting sqref="AH19">
    <cfRule type="cellIs" dxfId="544" priority="665" operator="notEqual">
      <formula>$A19</formula>
    </cfRule>
  </conditionalFormatting>
  <conditionalFormatting sqref="AH19">
    <cfRule type="cellIs" dxfId="543" priority="666" operator="equal">
      <formula>""</formula>
    </cfRule>
  </conditionalFormatting>
  <conditionalFormatting sqref="AL22 AL12:AL13 AL17:AL18">
    <cfRule type="cellIs" dxfId="542" priority="663" operator="notEqual">
      <formula>$A12</formula>
    </cfRule>
  </conditionalFormatting>
  <conditionalFormatting sqref="AL12:AL13 AL17:AL18">
    <cfRule type="cellIs" dxfId="541" priority="664" operator="equal">
      <formula>""</formula>
    </cfRule>
  </conditionalFormatting>
  <conditionalFormatting sqref="AL22">
    <cfRule type="cellIs" dxfId="540" priority="662" operator="equal">
      <formula>""</formula>
    </cfRule>
  </conditionalFormatting>
  <conditionalFormatting sqref="AL8">
    <cfRule type="cellIs" dxfId="539" priority="660" operator="equal">
      <formula>""</formula>
    </cfRule>
  </conditionalFormatting>
  <conditionalFormatting sqref="AL8">
    <cfRule type="cellIs" dxfId="538" priority="661" operator="notEqual">
      <formula>$A8</formula>
    </cfRule>
  </conditionalFormatting>
  <conditionalFormatting sqref="AL12:AL13 AL17:AL18">
    <cfRule type="cellIs" dxfId="537" priority="658" operator="equal">
      <formula>""</formula>
    </cfRule>
  </conditionalFormatting>
  <conditionalFormatting sqref="AL12:AL13 AL17:AL18">
    <cfRule type="cellIs" dxfId="536" priority="659" operator="notEqual">
      <formula>$A12</formula>
    </cfRule>
  </conditionalFormatting>
  <conditionalFormatting sqref="AL9:AL10">
    <cfRule type="cellIs" dxfId="535" priority="656" operator="notEqual">
      <formula>$A9</formula>
    </cfRule>
  </conditionalFormatting>
  <conditionalFormatting sqref="AL9:AL10">
    <cfRule type="cellIs" dxfId="534" priority="657" operator="equal">
      <formula>""</formula>
    </cfRule>
  </conditionalFormatting>
  <conditionalFormatting sqref="AL10">
    <cfRule type="cellIs" dxfId="533" priority="654" operator="equal">
      <formula>""</formula>
    </cfRule>
  </conditionalFormatting>
  <conditionalFormatting sqref="AL10">
    <cfRule type="cellIs" dxfId="532" priority="655" operator="notEqual">
      <formula>$A10</formula>
    </cfRule>
  </conditionalFormatting>
  <conditionalFormatting sqref="AL21">
    <cfRule type="cellIs" dxfId="531" priority="652" operator="equal">
      <formula>""</formula>
    </cfRule>
  </conditionalFormatting>
  <conditionalFormatting sqref="AL21">
    <cfRule type="cellIs" dxfId="530" priority="653" operator="notEqual">
      <formula>$A21</formula>
    </cfRule>
  </conditionalFormatting>
  <conditionalFormatting sqref="AL20">
    <cfRule type="cellIs" dxfId="529" priority="650" operator="equal">
      <formula>""</formula>
    </cfRule>
  </conditionalFormatting>
  <conditionalFormatting sqref="AL20">
    <cfRule type="cellIs" dxfId="528" priority="651" operator="notEqual">
      <formula>$A20</formula>
    </cfRule>
  </conditionalFormatting>
  <conditionalFormatting sqref="AL19">
    <cfRule type="cellIs" dxfId="527" priority="648" operator="notEqual">
      <formula>$A19</formula>
    </cfRule>
  </conditionalFormatting>
  <conditionalFormatting sqref="AL19">
    <cfRule type="cellIs" dxfId="526" priority="649" operator="equal">
      <formula>""</formula>
    </cfRule>
  </conditionalFormatting>
  <conditionalFormatting sqref="AL19">
    <cfRule type="cellIs" dxfId="525" priority="646" operator="notEqual">
      <formula>$A19</formula>
    </cfRule>
  </conditionalFormatting>
  <conditionalFormatting sqref="AL19">
    <cfRule type="cellIs" dxfId="524" priority="647" operator="equal">
      <formula>""</formula>
    </cfRule>
  </conditionalFormatting>
  <conditionalFormatting sqref="AL19">
    <cfRule type="cellIs" dxfId="523" priority="644" operator="notEqual">
      <formula>$A19</formula>
    </cfRule>
  </conditionalFormatting>
  <conditionalFormatting sqref="AL19">
    <cfRule type="cellIs" dxfId="522" priority="645" operator="equal">
      <formula>""</formula>
    </cfRule>
  </conditionalFormatting>
  <conditionalFormatting sqref="AL19">
    <cfRule type="cellIs" dxfId="521" priority="642" operator="notEqual">
      <formula>$A19</formula>
    </cfRule>
  </conditionalFormatting>
  <conditionalFormatting sqref="AL19">
    <cfRule type="cellIs" dxfId="520" priority="643" operator="equal">
      <formula>""</formula>
    </cfRule>
  </conditionalFormatting>
  <conditionalFormatting sqref="AM22 AM12:AM13 AM17:AM18">
    <cfRule type="cellIs" dxfId="519" priority="640" operator="notEqual">
      <formula>$A12</formula>
    </cfRule>
  </conditionalFormatting>
  <conditionalFormatting sqref="AM12:AM13 AM17:AM18">
    <cfRule type="cellIs" dxfId="518" priority="641" operator="equal">
      <formula>""</formula>
    </cfRule>
  </conditionalFormatting>
  <conditionalFormatting sqref="AM22">
    <cfRule type="cellIs" dxfId="517" priority="639" operator="equal">
      <formula>""</formula>
    </cfRule>
  </conditionalFormatting>
  <conditionalFormatting sqref="AM8">
    <cfRule type="cellIs" dxfId="516" priority="637" operator="equal">
      <formula>""</formula>
    </cfRule>
  </conditionalFormatting>
  <conditionalFormatting sqref="AM8">
    <cfRule type="cellIs" dxfId="515" priority="638" operator="notEqual">
      <formula>$A8</formula>
    </cfRule>
  </conditionalFormatting>
  <conditionalFormatting sqref="AM12:AM13 AM17:AM18">
    <cfRule type="cellIs" dxfId="514" priority="635" operator="equal">
      <formula>""</formula>
    </cfRule>
  </conditionalFormatting>
  <conditionalFormatting sqref="AM12:AM13 AM17:AM18">
    <cfRule type="cellIs" dxfId="513" priority="636" operator="notEqual">
      <formula>$A12</formula>
    </cfRule>
  </conditionalFormatting>
  <conditionalFormatting sqref="AM9:AM10">
    <cfRule type="cellIs" dxfId="512" priority="633" operator="notEqual">
      <formula>$A9</formula>
    </cfRule>
  </conditionalFormatting>
  <conditionalFormatting sqref="AM9:AM10">
    <cfRule type="cellIs" dxfId="511" priority="634" operator="equal">
      <formula>""</formula>
    </cfRule>
  </conditionalFormatting>
  <conditionalFormatting sqref="AM10">
    <cfRule type="cellIs" dxfId="510" priority="631" operator="equal">
      <formula>""</formula>
    </cfRule>
  </conditionalFormatting>
  <conditionalFormatting sqref="AM10">
    <cfRule type="cellIs" dxfId="509" priority="632" operator="notEqual">
      <formula>$A10</formula>
    </cfRule>
  </conditionalFormatting>
  <conditionalFormatting sqref="AM20">
    <cfRule type="cellIs" dxfId="508" priority="629" operator="equal">
      <formula>""</formula>
    </cfRule>
  </conditionalFormatting>
  <conditionalFormatting sqref="AM20">
    <cfRule type="cellIs" dxfId="507" priority="630" operator="notEqual">
      <formula>$A20</formula>
    </cfRule>
  </conditionalFormatting>
  <conditionalFormatting sqref="AM19">
    <cfRule type="cellIs" dxfId="506" priority="627" operator="notEqual">
      <formula>$A19</formula>
    </cfRule>
  </conditionalFormatting>
  <conditionalFormatting sqref="AM19">
    <cfRule type="cellIs" dxfId="505" priority="628" operator="equal">
      <formula>""</formula>
    </cfRule>
  </conditionalFormatting>
  <conditionalFormatting sqref="AM19">
    <cfRule type="cellIs" dxfId="504" priority="625" operator="notEqual">
      <formula>$A19</formula>
    </cfRule>
  </conditionalFormatting>
  <conditionalFormatting sqref="AM19">
    <cfRule type="cellIs" dxfId="503" priority="626" operator="equal">
      <formula>""</formula>
    </cfRule>
  </conditionalFormatting>
  <conditionalFormatting sqref="AM19">
    <cfRule type="cellIs" dxfId="502" priority="623" operator="notEqual">
      <formula>$A19</formula>
    </cfRule>
  </conditionalFormatting>
  <conditionalFormatting sqref="AM19">
    <cfRule type="cellIs" dxfId="501" priority="624" operator="equal">
      <formula>""</formula>
    </cfRule>
  </conditionalFormatting>
  <conditionalFormatting sqref="AM19">
    <cfRule type="cellIs" dxfId="500" priority="621" operator="notEqual">
      <formula>$A19</formula>
    </cfRule>
  </conditionalFormatting>
  <conditionalFormatting sqref="AM19">
    <cfRule type="cellIs" dxfId="499" priority="622" operator="equal">
      <formula>""</formula>
    </cfRule>
  </conditionalFormatting>
  <conditionalFormatting sqref="AM21">
    <cfRule type="cellIs" dxfId="498" priority="619" operator="equal">
      <formula>""</formula>
    </cfRule>
  </conditionalFormatting>
  <conditionalFormatting sqref="AM21">
    <cfRule type="cellIs" dxfId="497" priority="620" operator="notEqual">
      <formula>$A21</formula>
    </cfRule>
  </conditionalFormatting>
  <conditionalFormatting sqref="AI24:AI34">
    <cfRule type="cellIs" dxfId="496" priority="617" operator="notEqual">
      <formula>$A24</formula>
    </cfRule>
  </conditionalFormatting>
  <conditionalFormatting sqref="AI24:AI34">
    <cfRule type="cellIs" dxfId="495" priority="618" operator="equal">
      <formula>""</formula>
    </cfRule>
  </conditionalFormatting>
  <conditionalFormatting sqref="AI22 AI12:AI13 AI17:AI18">
    <cfRule type="cellIs" dxfId="494" priority="615" operator="notEqual">
      <formula>$A12</formula>
    </cfRule>
  </conditionalFormatting>
  <conditionalFormatting sqref="AI12:AI13 AI17:AI18">
    <cfRule type="cellIs" dxfId="493" priority="616" operator="equal">
      <formula>""</formula>
    </cfRule>
  </conditionalFormatting>
  <conditionalFormatting sqref="AI22">
    <cfRule type="cellIs" dxfId="492" priority="614" operator="equal">
      <formula>""</formula>
    </cfRule>
  </conditionalFormatting>
  <conditionalFormatting sqref="AI8">
    <cfRule type="cellIs" dxfId="491" priority="612" operator="equal">
      <formula>""</formula>
    </cfRule>
  </conditionalFormatting>
  <conditionalFormatting sqref="AI8">
    <cfRule type="cellIs" dxfId="490" priority="613" operator="notEqual">
      <formula>$A8</formula>
    </cfRule>
  </conditionalFormatting>
  <conditionalFormatting sqref="AI12:AI13 AI17:AI18">
    <cfRule type="cellIs" dxfId="489" priority="610" operator="equal">
      <formula>""</formula>
    </cfRule>
  </conditionalFormatting>
  <conditionalFormatting sqref="AI12:AI13 AI17:AI18">
    <cfRule type="cellIs" dxfId="488" priority="611" operator="notEqual">
      <formula>$A12</formula>
    </cfRule>
  </conditionalFormatting>
  <conditionalFormatting sqref="AI9:AI10">
    <cfRule type="cellIs" dxfId="487" priority="608" operator="notEqual">
      <formula>$A9</formula>
    </cfRule>
  </conditionalFormatting>
  <conditionalFormatting sqref="AI9:AI10">
    <cfRule type="cellIs" dxfId="486" priority="609" operator="equal">
      <formula>""</formula>
    </cfRule>
  </conditionalFormatting>
  <conditionalFormatting sqref="AI10">
    <cfRule type="cellIs" dxfId="485" priority="606" operator="equal">
      <formula>""</formula>
    </cfRule>
  </conditionalFormatting>
  <conditionalFormatting sqref="AI10">
    <cfRule type="cellIs" dxfId="484" priority="607" operator="notEqual">
      <formula>$A10</formula>
    </cfRule>
  </conditionalFormatting>
  <conditionalFormatting sqref="AI21">
    <cfRule type="cellIs" dxfId="483" priority="604" operator="equal">
      <formula>""</formula>
    </cfRule>
  </conditionalFormatting>
  <conditionalFormatting sqref="AI21">
    <cfRule type="cellIs" dxfId="482" priority="605" operator="notEqual">
      <formula>$A21</formula>
    </cfRule>
  </conditionalFormatting>
  <conditionalFormatting sqref="AI20">
    <cfRule type="cellIs" dxfId="481" priority="602" operator="equal">
      <formula>""</formula>
    </cfRule>
  </conditionalFormatting>
  <conditionalFormatting sqref="AI20">
    <cfRule type="cellIs" dxfId="480" priority="603" operator="notEqual">
      <formula>$A20</formula>
    </cfRule>
  </conditionalFormatting>
  <conditionalFormatting sqref="AI19">
    <cfRule type="cellIs" dxfId="479" priority="600" operator="notEqual">
      <formula>$A19</formula>
    </cfRule>
  </conditionalFormatting>
  <conditionalFormatting sqref="AI19">
    <cfRule type="cellIs" dxfId="478" priority="601" operator="equal">
      <formula>""</formula>
    </cfRule>
  </conditionalFormatting>
  <conditionalFormatting sqref="AI19">
    <cfRule type="cellIs" dxfId="477" priority="598" operator="notEqual">
      <formula>$A19</formula>
    </cfRule>
  </conditionalFormatting>
  <conditionalFormatting sqref="AI19">
    <cfRule type="cellIs" dxfId="476" priority="599" operator="equal">
      <formula>""</formula>
    </cfRule>
  </conditionalFormatting>
  <conditionalFormatting sqref="AI19">
    <cfRule type="cellIs" dxfId="475" priority="596" operator="notEqual">
      <formula>$A19</formula>
    </cfRule>
  </conditionalFormatting>
  <conditionalFormatting sqref="AI19">
    <cfRule type="cellIs" dxfId="474" priority="597" operator="equal">
      <formula>""</formula>
    </cfRule>
  </conditionalFormatting>
  <conditionalFormatting sqref="AI19">
    <cfRule type="cellIs" dxfId="473" priority="594" operator="notEqual">
      <formula>$A19</formula>
    </cfRule>
  </conditionalFormatting>
  <conditionalFormatting sqref="AI19">
    <cfRule type="cellIs" dxfId="472" priority="595" operator="equal">
      <formula>""</formula>
    </cfRule>
  </conditionalFormatting>
  <conditionalFormatting sqref="AH14:AI14 AL14:AM14">
    <cfRule type="cellIs" dxfId="471" priority="593" operator="equal">
      <formula>""</formula>
    </cfRule>
  </conditionalFormatting>
  <conditionalFormatting sqref="AH15:AI15 AL15:AM15">
    <cfRule type="cellIs" dxfId="470" priority="592" operator="equal">
      <formula>""</formula>
    </cfRule>
  </conditionalFormatting>
  <conditionalFormatting sqref="AH16:AI16">
    <cfRule type="cellIs" dxfId="469" priority="590" operator="equal">
      <formula>""</formula>
    </cfRule>
  </conditionalFormatting>
  <conditionalFormatting sqref="AH16:AI16">
    <cfRule type="cellIs" dxfId="468" priority="591" operator="notEqual">
      <formula>$A16</formula>
    </cfRule>
  </conditionalFormatting>
  <conditionalFormatting sqref="AM16">
    <cfRule type="cellIs" dxfId="467" priority="588" operator="equal">
      <formula>""</formula>
    </cfRule>
  </conditionalFormatting>
  <conditionalFormatting sqref="AM16">
    <cfRule type="cellIs" dxfId="466" priority="589" operator="notEqual">
      <formula>$A16</formula>
    </cfRule>
  </conditionalFormatting>
  <conditionalFormatting sqref="AL16">
    <cfRule type="cellIs" dxfId="465" priority="586" operator="equal">
      <formula>""</formula>
    </cfRule>
  </conditionalFormatting>
  <conditionalFormatting sqref="AL16">
    <cfRule type="cellIs" dxfId="464" priority="587" operator="notEqual">
      <formula>$A16</formula>
    </cfRule>
  </conditionalFormatting>
  <conditionalFormatting sqref="AL23">
    <cfRule type="cellIs" dxfId="463" priority="584" operator="notEqual">
      <formula>$A23</formula>
    </cfRule>
  </conditionalFormatting>
  <conditionalFormatting sqref="AL23">
    <cfRule type="cellIs" dxfId="462" priority="585" operator="equal">
      <formula>""</formula>
    </cfRule>
  </conditionalFormatting>
  <conditionalFormatting sqref="AM23">
    <cfRule type="cellIs" dxfId="461" priority="582" operator="notEqual">
      <formula>$A23</formula>
    </cfRule>
  </conditionalFormatting>
  <conditionalFormatting sqref="AM23">
    <cfRule type="cellIs" dxfId="460" priority="583" operator="equal">
      <formula>""</formula>
    </cfRule>
  </conditionalFormatting>
  <conditionalFormatting sqref="AH23">
    <cfRule type="cellIs" dxfId="459" priority="580" operator="notEqual">
      <formula>$A23</formula>
    </cfRule>
  </conditionalFormatting>
  <conditionalFormatting sqref="AH23">
    <cfRule type="cellIs" dxfId="458" priority="581" operator="equal">
      <formula>""</formula>
    </cfRule>
  </conditionalFormatting>
  <conditionalFormatting sqref="AI23">
    <cfRule type="cellIs" dxfId="457" priority="578" operator="notEqual">
      <formula>$A23</formula>
    </cfRule>
  </conditionalFormatting>
  <conditionalFormatting sqref="AI23">
    <cfRule type="cellIs" dxfId="456" priority="579" operator="equal">
      <formula>""</formula>
    </cfRule>
  </conditionalFormatting>
  <conditionalFormatting sqref="AI23">
    <cfRule type="cellIs" dxfId="455" priority="576" operator="notEqual">
      <formula>$A23</formula>
    </cfRule>
  </conditionalFormatting>
  <conditionalFormatting sqref="AI23">
    <cfRule type="cellIs" dxfId="454" priority="577" operator="equal">
      <formula>""</formula>
    </cfRule>
  </conditionalFormatting>
  <conditionalFormatting sqref="AH35:AI46 AL35:AM46">
    <cfRule type="cellIs" dxfId="453" priority="574" operator="notEqual">
      <formula>$A35</formula>
    </cfRule>
  </conditionalFormatting>
  <conditionalFormatting sqref="AH35:AI46 AL35:AM46">
    <cfRule type="cellIs" dxfId="452" priority="575" operator="equal">
      <formula>""</formula>
    </cfRule>
  </conditionalFormatting>
  <conditionalFormatting sqref="AI35:AI46">
    <cfRule type="cellIs" dxfId="451" priority="573" operator="equal">
      <formula>""</formula>
    </cfRule>
  </conditionalFormatting>
  <conditionalFormatting sqref="AF6 AF14:AF15 AF23:AF34">
    <cfRule type="cellIs" dxfId="450" priority="571" operator="notEqual">
      <formula>$A6</formula>
    </cfRule>
  </conditionalFormatting>
  <conditionalFormatting sqref="AF6 AF14:AF15 AF23:AF34">
    <cfRule type="cellIs" dxfId="449" priority="572" operator="equal">
      <formula>""</formula>
    </cfRule>
  </conditionalFormatting>
  <conditionalFormatting sqref="AF19">
    <cfRule type="cellIs" dxfId="448" priority="569" operator="notEqual">
      <formula>$A19</formula>
    </cfRule>
  </conditionalFormatting>
  <conditionalFormatting sqref="AF19">
    <cfRule type="cellIs" dxfId="447" priority="570" operator="equal">
      <formula>""</formula>
    </cfRule>
  </conditionalFormatting>
  <conditionalFormatting sqref="AF22">
    <cfRule type="cellIs" dxfId="446" priority="568" operator="notEqual">
      <formula>$A22</formula>
    </cfRule>
  </conditionalFormatting>
  <conditionalFormatting sqref="AF19">
    <cfRule type="cellIs" dxfId="445" priority="565" operator="notEqual">
      <formula>$A19</formula>
    </cfRule>
  </conditionalFormatting>
  <conditionalFormatting sqref="AF19">
    <cfRule type="cellIs" dxfId="444" priority="567" operator="equal">
      <formula>""</formula>
    </cfRule>
  </conditionalFormatting>
  <conditionalFormatting sqref="AF22">
    <cfRule type="cellIs" dxfId="443" priority="566" operator="equal">
      <formula>""</formula>
    </cfRule>
  </conditionalFormatting>
  <conditionalFormatting sqref="AF21">
    <cfRule type="cellIs" dxfId="442" priority="563" operator="equal">
      <formula>""</formula>
    </cfRule>
  </conditionalFormatting>
  <conditionalFormatting sqref="AF21">
    <cfRule type="cellIs" dxfId="441" priority="564" operator="notEqual">
      <formula>$A21</formula>
    </cfRule>
  </conditionalFormatting>
  <conditionalFormatting sqref="AF21">
    <cfRule type="cellIs" dxfId="440" priority="561" operator="equal">
      <formula>""</formula>
    </cfRule>
  </conditionalFormatting>
  <conditionalFormatting sqref="AF21">
    <cfRule type="cellIs" dxfId="439" priority="562" operator="notEqual">
      <formula>$A21</formula>
    </cfRule>
  </conditionalFormatting>
  <conditionalFormatting sqref="AF8">
    <cfRule type="cellIs" dxfId="438" priority="559" operator="equal">
      <formula>""</formula>
    </cfRule>
  </conditionalFormatting>
  <conditionalFormatting sqref="AF8">
    <cfRule type="cellIs" dxfId="437" priority="560" operator="notEqual">
      <formula>$A8</formula>
    </cfRule>
  </conditionalFormatting>
  <conditionalFormatting sqref="AF12:AF13 AF17:AF18">
    <cfRule type="cellIs" dxfId="436" priority="557" operator="equal">
      <formula>""</formula>
    </cfRule>
  </conditionalFormatting>
  <conditionalFormatting sqref="AF12:AF13 AF17:AF18">
    <cfRule type="cellIs" dxfId="435" priority="558" operator="notEqual">
      <formula>$A12</formula>
    </cfRule>
  </conditionalFormatting>
  <conditionalFormatting sqref="AF12:AF13 AF17:AF18">
    <cfRule type="cellIs" dxfId="434" priority="556" operator="notEqual">
      <formula>$A12</formula>
    </cfRule>
  </conditionalFormatting>
  <conditionalFormatting sqref="AF9">
    <cfRule type="cellIs" dxfId="433" priority="554" operator="notEqual">
      <formula>$A9</formula>
    </cfRule>
  </conditionalFormatting>
  <conditionalFormatting sqref="AF9">
    <cfRule type="cellIs" dxfId="432" priority="555" operator="equal">
      <formula>""</formula>
    </cfRule>
  </conditionalFormatting>
  <conditionalFormatting sqref="AF10">
    <cfRule type="cellIs" dxfId="431" priority="552" operator="equal">
      <formula>""</formula>
    </cfRule>
  </conditionalFormatting>
  <conditionalFormatting sqref="AF10">
    <cfRule type="cellIs" dxfId="430" priority="553" operator="notEqual">
      <formula>$A10</formula>
    </cfRule>
  </conditionalFormatting>
  <conditionalFormatting sqref="AF21">
    <cfRule type="cellIs" dxfId="429" priority="550" operator="equal">
      <formula>""</formula>
    </cfRule>
  </conditionalFormatting>
  <conditionalFormatting sqref="AF21">
    <cfRule type="cellIs" dxfId="428" priority="551" operator="notEqual">
      <formula>$A21</formula>
    </cfRule>
  </conditionalFormatting>
  <conditionalFormatting sqref="AF20">
    <cfRule type="cellIs" dxfId="427" priority="548" operator="equal">
      <formula>""</formula>
    </cfRule>
  </conditionalFormatting>
  <conditionalFormatting sqref="AF20">
    <cfRule type="cellIs" dxfId="426" priority="549" operator="notEqual">
      <formula>$A20</formula>
    </cfRule>
  </conditionalFormatting>
  <conditionalFormatting sqref="AF20">
    <cfRule type="cellIs" dxfId="425" priority="546" operator="equal">
      <formula>""</formula>
    </cfRule>
  </conditionalFormatting>
  <conditionalFormatting sqref="AF20">
    <cfRule type="cellIs" dxfId="424" priority="547" operator="notEqual">
      <formula>$A20</formula>
    </cfRule>
  </conditionalFormatting>
  <conditionalFormatting sqref="AF20">
    <cfRule type="cellIs" dxfId="423" priority="544" operator="equal">
      <formula>""</formula>
    </cfRule>
  </conditionalFormatting>
  <conditionalFormatting sqref="AF20">
    <cfRule type="cellIs" dxfId="422" priority="545" operator="notEqual">
      <formula>$A20</formula>
    </cfRule>
  </conditionalFormatting>
  <conditionalFormatting sqref="AF14">
    <cfRule type="cellIs" dxfId="421" priority="543" operator="equal">
      <formula>""</formula>
    </cfRule>
  </conditionalFormatting>
  <conditionalFormatting sqref="AF15">
    <cfRule type="cellIs" dxfId="420" priority="542" operator="equal">
      <formula>""</formula>
    </cfRule>
  </conditionalFormatting>
  <conditionalFormatting sqref="AF16">
    <cfRule type="cellIs" dxfId="419" priority="540" operator="equal">
      <formula>""</formula>
    </cfRule>
  </conditionalFormatting>
  <conditionalFormatting sqref="AF16">
    <cfRule type="cellIs" dxfId="418" priority="541" operator="notEqual">
      <formula>$A16</formula>
    </cfRule>
  </conditionalFormatting>
  <conditionalFormatting sqref="AF23">
    <cfRule type="cellIs" dxfId="417" priority="538" operator="notEqual">
      <formula>$A23</formula>
    </cfRule>
  </conditionalFormatting>
  <conditionalFormatting sqref="AF23">
    <cfRule type="cellIs" dxfId="416" priority="539" operator="equal">
      <formula>""</formula>
    </cfRule>
  </conditionalFormatting>
  <conditionalFormatting sqref="AF35:AF46">
    <cfRule type="cellIs" dxfId="415" priority="536" operator="notEqual">
      <formula>$A35</formula>
    </cfRule>
  </conditionalFormatting>
  <conditionalFormatting sqref="AF35:AF46">
    <cfRule type="cellIs" dxfId="414" priority="537" operator="equal">
      <formula>""</formula>
    </cfRule>
  </conditionalFormatting>
  <conditionalFormatting sqref="AG6 AG14:AG15 AG23:AG34">
    <cfRule type="cellIs" dxfId="413" priority="534" operator="notEqual">
      <formula>$A6</formula>
    </cfRule>
  </conditionalFormatting>
  <conditionalFormatting sqref="AG6 AG14:AG15 AG23:AG34">
    <cfRule type="cellIs" dxfId="412" priority="535" operator="equal">
      <formula>""</formula>
    </cfRule>
  </conditionalFormatting>
  <conditionalFormatting sqref="AG19">
    <cfRule type="cellIs" dxfId="411" priority="532" operator="notEqual">
      <formula>$A19</formula>
    </cfRule>
  </conditionalFormatting>
  <conditionalFormatting sqref="AG19">
    <cfRule type="cellIs" dxfId="410" priority="533" operator="equal">
      <formula>""</formula>
    </cfRule>
  </conditionalFormatting>
  <conditionalFormatting sqref="AG22">
    <cfRule type="cellIs" dxfId="409" priority="531" operator="notEqual">
      <formula>$A22</formula>
    </cfRule>
  </conditionalFormatting>
  <conditionalFormatting sqref="AG19">
    <cfRule type="cellIs" dxfId="408" priority="528" operator="notEqual">
      <formula>$A19</formula>
    </cfRule>
  </conditionalFormatting>
  <conditionalFormatting sqref="AG19">
    <cfRule type="cellIs" dxfId="407" priority="530" operator="equal">
      <formula>""</formula>
    </cfRule>
  </conditionalFormatting>
  <conditionalFormatting sqref="AG22">
    <cfRule type="cellIs" dxfId="406" priority="529" operator="equal">
      <formula>""</formula>
    </cfRule>
  </conditionalFormatting>
  <conditionalFormatting sqref="AG21">
    <cfRule type="cellIs" dxfId="405" priority="526" operator="equal">
      <formula>""</formula>
    </cfRule>
  </conditionalFormatting>
  <conditionalFormatting sqref="AG21">
    <cfRule type="cellIs" dxfId="404" priority="527" operator="notEqual">
      <formula>$A21</formula>
    </cfRule>
  </conditionalFormatting>
  <conditionalFormatting sqref="AG21">
    <cfRule type="cellIs" dxfId="403" priority="524" operator="equal">
      <formula>""</formula>
    </cfRule>
  </conditionalFormatting>
  <conditionalFormatting sqref="AG21">
    <cfRule type="cellIs" dxfId="402" priority="525" operator="notEqual">
      <formula>$A21</formula>
    </cfRule>
  </conditionalFormatting>
  <conditionalFormatting sqref="AG8">
    <cfRule type="cellIs" dxfId="401" priority="522" operator="equal">
      <formula>""</formula>
    </cfRule>
  </conditionalFormatting>
  <conditionalFormatting sqref="AG8">
    <cfRule type="cellIs" dxfId="400" priority="523" operator="notEqual">
      <formula>$A8</formula>
    </cfRule>
  </conditionalFormatting>
  <conditionalFormatting sqref="AG12:AG13 AG17:AG18">
    <cfRule type="cellIs" dxfId="399" priority="520" operator="equal">
      <formula>""</formula>
    </cfRule>
  </conditionalFormatting>
  <conditionalFormatting sqref="AG12:AG13 AG17:AG18">
    <cfRule type="cellIs" dxfId="398" priority="521" operator="notEqual">
      <formula>$A12</formula>
    </cfRule>
  </conditionalFormatting>
  <conditionalFormatting sqref="AG12:AG13 AG17:AG18">
    <cfRule type="cellIs" dxfId="397" priority="519" operator="notEqual">
      <formula>$A12</formula>
    </cfRule>
  </conditionalFormatting>
  <conditionalFormatting sqref="AG9">
    <cfRule type="cellIs" dxfId="396" priority="517" operator="notEqual">
      <formula>$A9</formula>
    </cfRule>
  </conditionalFormatting>
  <conditionalFormatting sqref="AG9">
    <cfRule type="cellIs" dxfId="395" priority="518" operator="equal">
      <formula>""</formula>
    </cfRule>
  </conditionalFormatting>
  <conditionalFormatting sqref="AG10">
    <cfRule type="cellIs" dxfId="394" priority="515" operator="equal">
      <formula>""</formula>
    </cfRule>
  </conditionalFormatting>
  <conditionalFormatting sqref="AG10">
    <cfRule type="cellIs" dxfId="393" priority="516" operator="notEqual">
      <formula>$A10</formula>
    </cfRule>
  </conditionalFormatting>
  <conditionalFormatting sqref="AG21">
    <cfRule type="cellIs" dxfId="392" priority="513" operator="equal">
      <formula>""</formula>
    </cfRule>
  </conditionalFormatting>
  <conditionalFormatting sqref="AG21">
    <cfRule type="cellIs" dxfId="391" priority="514" operator="notEqual">
      <formula>$A21</formula>
    </cfRule>
  </conditionalFormatting>
  <conditionalFormatting sqref="AG20">
    <cfRule type="cellIs" dxfId="390" priority="511" operator="equal">
      <formula>""</formula>
    </cfRule>
  </conditionalFormatting>
  <conditionalFormatting sqref="AG20">
    <cfRule type="cellIs" dxfId="389" priority="512" operator="notEqual">
      <formula>$A20</formula>
    </cfRule>
  </conditionalFormatting>
  <conditionalFormatting sqref="AG20">
    <cfRule type="cellIs" dxfId="388" priority="509" operator="equal">
      <formula>""</formula>
    </cfRule>
  </conditionalFormatting>
  <conditionalFormatting sqref="AG20">
    <cfRule type="cellIs" dxfId="387" priority="510" operator="notEqual">
      <formula>$A20</formula>
    </cfRule>
  </conditionalFormatting>
  <conditionalFormatting sqref="AG20">
    <cfRule type="cellIs" dxfId="386" priority="507" operator="equal">
      <formula>""</formula>
    </cfRule>
  </conditionalFormatting>
  <conditionalFormatting sqref="AG20">
    <cfRule type="cellIs" dxfId="385" priority="508" operator="notEqual">
      <formula>$A20</formula>
    </cfRule>
  </conditionalFormatting>
  <conditionalFormatting sqref="AG14">
    <cfRule type="cellIs" dxfId="384" priority="506" operator="equal">
      <formula>""</formula>
    </cfRule>
  </conditionalFormatting>
  <conditionalFormatting sqref="AG15">
    <cfRule type="cellIs" dxfId="383" priority="505" operator="equal">
      <formula>""</formula>
    </cfRule>
  </conditionalFormatting>
  <conditionalFormatting sqref="AG16">
    <cfRule type="cellIs" dxfId="382" priority="503" operator="equal">
      <formula>""</formula>
    </cfRule>
  </conditionalFormatting>
  <conditionalFormatting sqref="AG16">
    <cfRule type="cellIs" dxfId="381" priority="504" operator="notEqual">
      <formula>$A16</formula>
    </cfRule>
  </conditionalFormatting>
  <conditionalFormatting sqref="AG23">
    <cfRule type="cellIs" dxfId="380" priority="501" operator="notEqual">
      <formula>$A23</formula>
    </cfRule>
  </conditionalFormatting>
  <conditionalFormatting sqref="AG23">
    <cfRule type="cellIs" dxfId="379" priority="502" operator="equal">
      <formula>""</formula>
    </cfRule>
  </conditionalFormatting>
  <conditionalFormatting sqref="AG35:AG46">
    <cfRule type="cellIs" dxfId="378" priority="499" operator="notEqual">
      <formula>$A35</formula>
    </cfRule>
  </conditionalFormatting>
  <conditionalFormatting sqref="AG35:AG46">
    <cfRule type="cellIs" dxfId="377" priority="500" operator="equal">
      <formula>""</formula>
    </cfRule>
  </conditionalFormatting>
  <conditionalFormatting sqref="AK12:AK13 AK17:AK18">
    <cfRule type="cellIs" dxfId="376" priority="414" operator="equal">
      <formula>""</formula>
    </cfRule>
  </conditionalFormatting>
  <conditionalFormatting sqref="AK9:AK10">
    <cfRule type="cellIs" dxfId="375" priority="412" operator="notEqual">
      <formula>$A9</formula>
    </cfRule>
  </conditionalFormatting>
  <conditionalFormatting sqref="AK20">
    <cfRule type="cellIs" dxfId="374" priority="406" operator="equal">
      <formula>""</formula>
    </cfRule>
  </conditionalFormatting>
  <conditionalFormatting sqref="AK14">
    <cfRule type="cellIs" dxfId="373" priority="397" operator="equal">
      <formula>""</formula>
    </cfRule>
  </conditionalFormatting>
  <conditionalFormatting sqref="AK16">
    <cfRule type="cellIs" dxfId="372" priority="389" operator="notEqual">
      <formula>$A16</formula>
    </cfRule>
  </conditionalFormatting>
  <conditionalFormatting sqref="AK16">
    <cfRule type="cellIs" dxfId="371" priority="388" operator="equal">
      <formula>""</formula>
    </cfRule>
  </conditionalFormatting>
  <conditionalFormatting sqref="AK24:AK34 AK14:AK15 AK6">
    <cfRule type="cellIs" dxfId="370" priority="421" operator="notEqual">
      <formula>$A6</formula>
    </cfRule>
  </conditionalFormatting>
  <conditionalFormatting sqref="AK24:AK34 AK14:AK15 AK6">
    <cfRule type="cellIs" dxfId="369" priority="422" operator="equal">
      <formula>""</formula>
    </cfRule>
  </conditionalFormatting>
  <conditionalFormatting sqref="AK22 AK12:AK13 AK17:AK18">
    <cfRule type="cellIs" dxfId="368" priority="419" operator="notEqual">
      <formula>$A12</formula>
    </cfRule>
  </conditionalFormatting>
  <conditionalFormatting sqref="AK12:AK13 AK17:AK18">
    <cfRule type="cellIs" dxfId="367" priority="420" operator="equal">
      <formula>""</formula>
    </cfRule>
  </conditionalFormatting>
  <conditionalFormatting sqref="AK22">
    <cfRule type="cellIs" dxfId="366" priority="418" operator="equal">
      <formula>""</formula>
    </cfRule>
  </conditionalFormatting>
  <conditionalFormatting sqref="AK8">
    <cfRule type="cellIs" dxfId="365" priority="416" operator="equal">
      <formula>""</formula>
    </cfRule>
  </conditionalFormatting>
  <conditionalFormatting sqref="AK8">
    <cfRule type="cellIs" dxfId="364" priority="417" operator="notEqual">
      <formula>$A8</formula>
    </cfRule>
  </conditionalFormatting>
  <conditionalFormatting sqref="AK12:AK13 AK17:AK18">
    <cfRule type="cellIs" dxfId="363" priority="415" operator="notEqual">
      <formula>$A12</formula>
    </cfRule>
  </conditionalFormatting>
  <conditionalFormatting sqref="AK9:AK10">
    <cfRule type="cellIs" dxfId="362" priority="413" operator="equal">
      <formula>""</formula>
    </cfRule>
  </conditionalFormatting>
  <conditionalFormatting sqref="AK10">
    <cfRule type="cellIs" dxfId="361" priority="410" operator="equal">
      <formula>""</formula>
    </cfRule>
  </conditionalFormatting>
  <conditionalFormatting sqref="AK10">
    <cfRule type="cellIs" dxfId="360" priority="411" operator="notEqual">
      <formula>$A10</formula>
    </cfRule>
  </conditionalFormatting>
  <conditionalFormatting sqref="AK20">
    <cfRule type="cellIs" dxfId="359" priority="407" operator="notEqual">
      <formula>$A20</formula>
    </cfRule>
  </conditionalFormatting>
  <conditionalFormatting sqref="AK19">
    <cfRule type="cellIs" dxfId="358" priority="404" operator="notEqual">
      <formula>$A19</formula>
    </cfRule>
  </conditionalFormatting>
  <conditionalFormatting sqref="AK19">
    <cfRule type="cellIs" dxfId="357" priority="405" operator="equal">
      <formula>""</formula>
    </cfRule>
  </conditionalFormatting>
  <conditionalFormatting sqref="AK19">
    <cfRule type="cellIs" dxfId="356" priority="402" operator="notEqual">
      <formula>$A19</formula>
    </cfRule>
  </conditionalFormatting>
  <conditionalFormatting sqref="AK19">
    <cfRule type="cellIs" dxfId="355" priority="403" operator="equal">
      <formula>""</formula>
    </cfRule>
  </conditionalFormatting>
  <conditionalFormatting sqref="AK19">
    <cfRule type="cellIs" dxfId="354" priority="400" operator="notEqual">
      <formula>$A19</formula>
    </cfRule>
  </conditionalFormatting>
  <conditionalFormatting sqref="AK19">
    <cfRule type="cellIs" dxfId="353" priority="401" operator="equal">
      <formula>""</formula>
    </cfRule>
  </conditionalFormatting>
  <conditionalFormatting sqref="AK19">
    <cfRule type="cellIs" dxfId="352" priority="398" operator="notEqual">
      <formula>$A19</formula>
    </cfRule>
  </conditionalFormatting>
  <conditionalFormatting sqref="AK19">
    <cfRule type="cellIs" dxfId="351" priority="399" operator="equal">
      <formula>""</formula>
    </cfRule>
  </conditionalFormatting>
  <conditionalFormatting sqref="AK15">
    <cfRule type="cellIs" dxfId="350" priority="396" operator="equal">
      <formula>""</formula>
    </cfRule>
  </conditionalFormatting>
  <conditionalFormatting sqref="AK35:AK46">
    <cfRule type="cellIs" dxfId="349" priority="390" operator="notEqual">
      <formula>$A35</formula>
    </cfRule>
  </conditionalFormatting>
  <conditionalFormatting sqref="AK35:AK46">
    <cfRule type="cellIs" dxfId="348" priority="391" operator="equal">
      <formula>""</formula>
    </cfRule>
  </conditionalFormatting>
  <conditionalFormatting sqref="AJ12:AJ13 AJ17:AJ18">
    <cfRule type="cellIs" dxfId="347" priority="379" operator="equal">
      <formula>""</formula>
    </cfRule>
  </conditionalFormatting>
  <conditionalFormatting sqref="AJ9:AJ10">
    <cfRule type="cellIs" dxfId="346" priority="377" operator="notEqual">
      <formula>$A9</formula>
    </cfRule>
  </conditionalFormatting>
  <conditionalFormatting sqref="AJ20">
    <cfRule type="cellIs" dxfId="345" priority="371" operator="equal">
      <formula>""</formula>
    </cfRule>
  </conditionalFormatting>
  <conditionalFormatting sqref="AJ14">
    <cfRule type="cellIs" dxfId="344" priority="362" operator="equal">
      <formula>""</formula>
    </cfRule>
  </conditionalFormatting>
  <conditionalFormatting sqref="AJ16">
    <cfRule type="cellIs" dxfId="343" priority="356" operator="notEqual">
      <formula>$A16</formula>
    </cfRule>
  </conditionalFormatting>
  <conditionalFormatting sqref="AJ16">
    <cfRule type="cellIs" dxfId="342" priority="355" operator="equal">
      <formula>""</formula>
    </cfRule>
  </conditionalFormatting>
  <conditionalFormatting sqref="AJ23:AJ34 AJ14:AJ15 AJ6">
    <cfRule type="cellIs" dxfId="341" priority="386" operator="notEqual">
      <formula>$A6</formula>
    </cfRule>
  </conditionalFormatting>
  <conditionalFormatting sqref="AJ23:AJ34 AJ14:AJ15 AJ6">
    <cfRule type="cellIs" dxfId="340" priority="387" operator="equal">
      <formula>""</formula>
    </cfRule>
  </conditionalFormatting>
  <conditionalFormatting sqref="AJ22 AJ12:AJ13 AJ17:AJ18">
    <cfRule type="cellIs" dxfId="339" priority="384" operator="notEqual">
      <formula>$A12</formula>
    </cfRule>
  </conditionalFormatting>
  <conditionalFormatting sqref="AJ12:AJ13 AJ17:AJ18">
    <cfRule type="cellIs" dxfId="338" priority="385" operator="equal">
      <formula>""</formula>
    </cfRule>
  </conditionalFormatting>
  <conditionalFormatting sqref="AJ22">
    <cfRule type="cellIs" dxfId="337" priority="383" operator="equal">
      <formula>""</formula>
    </cfRule>
  </conditionalFormatting>
  <conditionalFormatting sqref="AJ8">
    <cfRule type="cellIs" dxfId="336" priority="381" operator="equal">
      <formula>""</formula>
    </cfRule>
  </conditionalFormatting>
  <conditionalFormatting sqref="AJ8">
    <cfRule type="cellIs" dxfId="335" priority="382" operator="notEqual">
      <formula>$A8</formula>
    </cfRule>
  </conditionalFormatting>
  <conditionalFormatting sqref="AJ12:AJ13 AJ17:AJ18">
    <cfRule type="cellIs" dxfId="334" priority="380" operator="notEqual">
      <formula>$A12</formula>
    </cfRule>
  </conditionalFormatting>
  <conditionalFormatting sqref="AJ9:AJ10">
    <cfRule type="cellIs" dxfId="333" priority="378" operator="equal">
      <formula>""</formula>
    </cfRule>
  </conditionalFormatting>
  <conditionalFormatting sqref="AJ10">
    <cfRule type="cellIs" dxfId="332" priority="375" operator="equal">
      <formula>""</formula>
    </cfRule>
  </conditionalFormatting>
  <conditionalFormatting sqref="AJ10">
    <cfRule type="cellIs" dxfId="331" priority="376" operator="notEqual">
      <formula>$A10</formula>
    </cfRule>
  </conditionalFormatting>
  <conditionalFormatting sqref="AJ20">
    <cfRule type="cellIs" dxfId="330" priority="372" operator="notEqual">
      <formula>$A20</formula>
    </cfRule>
  </conditionalFormatting>
  <conditionalFormatting sqref="AJ19">
    <cfRule type="cellIs" dxfId="329" priority="369" operator="notEqual">
      <formula>$A19</formula>
    </cfRule>
  </conditionalFormatting>
  <conditionalFormatting sqref="AJ19">
    <cfRule type="cellIs" dxfId="328" priority="370" operator="equal">
      <formula>""</formula>
    </cfRule>
  </conditionalFormatting>
  <conditionalFormatting sqref="AJ19">
    <cfRule type="cellIs" dxfId="327" priority="367" operator="notEqual">
      <formula>$A19</formula>
    </cfRule>
  </conditionalFormatting>
  <conditionalFormatting sqref="AJ19">
    <cfRule type="cellIs" dxfId="326" priority="368" operator="equal">
      <formula>""</formula>
    </cfRule>
  </conditionalFormatting>
  <conditionalFormatting sqref="AJ19">
    <cfRule type="cellIs" dxfId="325" priority="365" operator="notEqual">
      <formula>$A19</formula>
    </cfRule>
  </conditionalFormatting>
  <conditionalFormatting sqref="AJ19">
    <cfRule type="cellIs" dxfId="324" priority="366" operator="equal">
      <formula>""</formula>
    </cfRule>
  </conditionalFormatting>
  <conditionalFormatting sqref="AJ19">
    <cfRule type="cellIs" dxfId="323" priority="363" operator="notEqual">
      <formula>$A19</formula>
    </cfRule>
  </conditionalFormatting>
  <conditionalFormatting sqref="AJ19">
    <cfRule type="cellIs" dxfId="322" priority="364" operator="equal">
      <formula>""</formula>
    </cfRule>
  </conditionalFormatting>
  <conditionalFormatting sqref="AJ15">
    <cfRule type="cellIs" dxfId="321" priority="361" operator="equal">
      <formula>""</formula>
    </cfRule>
  </conditionalFormatting>
  <conditionalFormatting sqref="AJ23">
    <cfRule type="cellIs" dxfId="320" priority="359" operator="notEqual">
      <formula>$A23</formula>
    </cfRule>
  </conditionalFormatting>
  <conditionalFormatting sqref="AJ23">
    <cfRule type="cellIs" dxfId="319" priority="360" operator="equal">
      <formula>""</formula>
    </cfRule>
  </conditionalFormatting>
  <conditionalFormatting sqref="AJ35:AJ46">
    <cfRule type="cellIs" dxfId="318" priority="357" operator="notEqual">
      <formula>$A35</formula>
    </cfRule>
  </conditionalFormatting>
  <conditionalFormatting sqref="AJ35:AJ46">
    <cfRule type="cellIs" dxfId="317" priority="358" operator="equal">
      <formula>""</formula>
    </cfRule>
  </conditionalFormatting>
  <conditionalFormatting sqref="AJ21">
    <cfRule type="cellIs" dxfId="316" priority="353" operator="equal">
      <formula>""</formula>
    </cfRule>
  </conditionalFormatting>
  <conditionalFormatting sqref="AJ21">
    <cfRule type="cellIs" dxfId="315" priority="354" operator="notEqual">
      <formula>$A21</formula>
    </cfRule>
  </conditionalFormatting>
  <conditionalFormatting sqref="AK21">
    <cfRule type="cellIs" dxfId="314" priority="351" operator="equal">
      <formula>""</formula>
    </cfRule>
  </conditionalFormatting>
  <conditionalFormatting sqref="AK21">
    <cfRule type="cellIs" dxfId="313" priority="352" operator="notEqual">
      <formula>$A21</formula>
    </cfRule>
  </conditionalFormatting>
  <conditionalFormatting sqref="AK23">
    <cfRule type="cellIs" dxfId="312" priority="349" operator="notEqual">
      <formula>$A23</formula>
    </cfRule>
  </conditionalFormatting>
  <conditionalFormatting sqref="AK23">
    <cfRule type="cellIs" dxfId="311" priority="350" operator="equal">
      <formula>""</formula>
    </cfRule>
  </conditionalFormatting>
  <conditionalFormatting sqref="AK23">
    <cfRule type="cellIs" dxfId="310" priority="347" operator="notEqual">
      <formula>$A23</formula>
    </cfRule>
  </conditionalFormatting>
  <conditionalFormatting sqref="AK23">
    <cfRule type="cellIs" dxfId="309" priority="348" operator="equal">
      <formula>""</formula>
    </cfRule>
  </conditionalFormatting>
  <conditionalFormatting sqref="P6 P14:P15 P23:P34">
    <cfRule type="cellIs" dxfId="308" priority="345" operator="notEqual">
      <formula>$A6</formula>
    </cfRule>
  </conditionalFormatting>
  <conditionalFormatting sqref="P6 P14:P15 P23:P34">
    <cfRule type="cellIs" dxfId="307" priority="346" operator="equal">
      <formula>""</formula>
    </cfRule>
  </conditionalFormatting>
  <conditionalFormatting sqref="P19">
    <cfRule type="cellIs" dxfId="306" priority="343" operator="notEqual">
      <formula>$A19</formula>
    </cfRule>
  </conditionalFormatting>
  <conditionalFormatting sqref="P19">
    <cfRule type="cellIs" dxfId="305" priority="344" operator="equal">
      <formula>""</formula>
    </cfRule>
  </conditionalFormatting>
  <conditionalFormatting sqref="P22">
    <cfRule type="cellIs" dxfId="304" priority="342" operator="notEqual">
      <formula>$A22</formula>
    </cfRule>
  </conditionalFormatting>
  <conditionalFormatting sqref="P19">
    <cfRule type="cellIs" dxfId="303" priority="339" operator="notEqual">
      <formula>$A19</formula>
    </cfRule>
  </conditionalFormatting>
  <conditionalFormatting sqref="P19">
    <cfRule type="cellIs" dxfId="302" priority="341" operator="equal">
      <formula>""</formula>
    </cfRule>
  </conditionalFormatting>
  <conditionalFormatting sqref="P22">
    <cfRule type="cellIs" dxfId="301" priority="340" operator="equal">
      <formula>""</formula>
    </cfRule>
  </conditionalFormatting>
  <conditionalFormatting sqref="P21">
    <cfRule type="cellIs" dxfId="300" priority="337" operator="equal">
      <formula>""</formula>
    </cfRule>
  </conditionalFormatting>
  <conditionalFormatting sqref="P21">
    <cfRule type="cellIs" dxfId="299" priority="338" operator="notEqual">
      <formula>$A21</formula>
    </cfRule>
  </conditionalFormatting>
  <conditionalFormatting sqref="P21">
    <cfRule type="cellIs" dxfId="298" priority="335" operator="equal">
      <formula>""</formula>
    </cfRule>
  </conditionalFormatting>
  <conditionalFormatting sqref="P21">
    <cfRule type="cellIs" dxfId="297" priority="336" operator="notEqual">
      <formula>$A21</formula>
    </cfRule>
  </conditionalFormatting>
  <conditionalFormatting sqref="P8">
    <cfRule type="cellIs" dxfId="296" priority="333" operator="equal">
      <formula>""</formula>
    </cfRule>
  </conditionalFormatting>
  <conditionalFormatting sqref="P8">
    <cfRule type="cellIs" dxfId="295" priority="334" operator="notEqual">
      <formula>$A8</formula>
    </cfRule>
  </conditionalFormatting>
  <conditionalFormatting sqref="P12:P13 P17:P18">
    <cfRule type="cellIs" dxfId="294" priority="331" operator="equal">
      <formula>""</formula>
    </cfRule>
  </conditionalFormatting>
  <conditionalFormatting sqref="P12:P13 P17:P18">
    <cfRule type="cellIs" dxfId="293" priority="332" operator="notEqual">
      <formula>$A12</formula>
    </cfRule>
  </conditionalFormatting>
  <conditionalFormatting sqref="P12:P13 P17:P18">
    <cfRule type="cellIs" dxfId="292" priority="330" operator="notEqual">
      <formula>$A12</formula>
    </cfRule>
  </conditionalFormatting>
  <conditionalFormatting sqref="P9">
    <cfRule type="cellIs" dxfId="291" priority="328" operator="notEqual">
      <formula>$A9</formula>
    </cfRule>
  </conditionalFormatting>
  <conditionalFormatting sqref="P9">
    <cfRule type="cellIs" dxfId="290" priority="329" operator="equal">
      <formula>""</formula>
    </cfRule>
  </conditionalFormatting>
  <conditionalFormatting sqref="P10">
    <cfRule type="cellIs" dxfId="289" priority="326" operator="equal">
      <formula>""</formula>
    </cfRule>
  </conditionalFormatting>
  <conditionalFormatting sqref="P10">
    <cfRule type="cellIs" dxfId="288" priority="327" operator="notEqual">
      <formula>$A10</formula>
    </cfRule>
  </conditionalFormatting>
  <conditionalFormatting sqref="P21">
    <cfRule type="cellIs" dxfId="287" priority="324" operator="equal">
      <formula>""</formula>
    </cfRule>
  </conditionalFormatting>
  <conditionalFormatting sqref="P21">
    <cfRule type="cellIs" dxfId="286" priority="325" operator="notEqual">
      <formula>$A21</formula>
    </cfRule>
  </conditionalFormatting>
  <conditionalFormatting sqref="P20">
    <cfRule type="cellIs" dxfId="285" priority="322" operator="equal">
      <formula>""</formula>
    </cfRule>
  </conditionalFormatting>
  <conditionalFormatting sqref="P20">
    <cfRule type="cellIs" dxfId="284" priority="323" operator="notEqual">
      <formula>$A20</formula>
    </cfRule>
  </conditionalFormatting>
  <conditionalFormatting sqref="P20">
    <cfRule type="cellIs" dxfId="283" priority="320" operator="equal">
      <formula>""</formula>
    </cfRule>
  </conditionalFormatting>
  <conditionalFormatting sqref="P20">
    <cfRule type="cellIs" dxfId="282" priority="321" operator="notEqual">
      <formula>$A20</formula>
    </cfRule>
  </conditionalFormatting>
  <conditionalFormatting sqref="P20">
    <cfRule type="cellIs" dxfId="281" priority="318" operator="equal">
      <formula>""</formula>
    </cfRule>
  </conditionalFormatting>
  <conditionalFormatting sqref="P20">
    <cfRule type="cellIs" dxfId="280" priority="319" operator="notEqual">
      <formula>$A20</formula>
    </cfRule>
  </conditionalFormatting>
  <conditionalFormatting sqref="P14">
    <cfRule type="cellIs" dxfId="279" priority="317" operator="equal">
      <formula>""</formula>
    </cfRule>
  </conditionalFormatting>
  <conditionalFormatting sqref="P15">
    <cfRule type="cellIs" dxfId="278" priority="316" operator="equal">
      <formula>""</formula>
    </cfRule>
  </conditionalFormatting>
  <conditionalFormatting sqref="P16">
    <cfRule type="cellIs" dxfId="277" priority="314" operator="equal">
      <formula>""</formula>
    </cfRule>
  </conditionalFormatting>
  <conditionalFormatting sqref="P16">
    <cfRule type="cellIs" dxfId="276" priority="315" operator="notEqual">
      <formula>$A16</formula>
    </cfRule>
  </conditionalFormatting>
  <conditionalFormatting sqref="P23">
    <cfRule type="cellIs" dxfId="275" priority="312" operator="notEqual">
      <formula>$A23</formula>
    </cfRule>
  </conditionalFormatting>
  <conditionalFormatting sqref="P23">
    <cfRule type="cellIs" dxfId="274" priority="313" operator="equal">
      <formula>""</formula>
    </cfRule>
  </conditionalFormatting>
  <conditionalFormatting sqref="P35:P46">
    <cfRule type="cellIs" dxfId="273" priority="310" operator="notEqual">
      <formula>$A35</formula>
    </cfRule>
  </conditionalFormatting>
  <conditionalFormatting sqref="P35:P46">
    <cfRule type="cellIs" dxfId="272" priority="311" operator="equal">
      <formula>""</formula>
    </cfRule>
  </conditionalFormatting>
  <conditionalFormatting sqref="Y14:Y15 Y6 Y23:Y34">
    <cfRule type="cellIs" dxfId="271" priority="308" operator="notEqual">
      <formula>$A6</formula>
    </cfRule>
  </conditionalFormatting>
  <conditionalFormatting sqref="Y14:Y15 Y6 Y23:Y34">
    <cfRule type="cellIs" dxfId="270" priority="309" operator="equal">
      <formula>""</formula>
    </cfRule>
  </conditionalFormatting>
  <conditionalFormatting sqref="Y22 Y12:Y13 Y17:Y18">
    <cfRule type="cellIs" dxfId="269" priority="306" operator="notEqual">
      <formula>$A12</formula>
    </cfRule>
  </conditionalFormatting>
  <conditionalFormatting sqref="Y12:Y13 Y17:Y18">
    <cfRule type="cellIs" dxfId="268" priority="307" operator="equal">
      <formula>""</formula>
    </cfRule>
  </conditionalFormatting>
  <conditionalFormatting sqref="Y22">
    <cfRule type="cellIs" dxfId="267" priority="305" operator="equal">
      <formula>""</formula>
    </cfRule>
  </conditionalFormatting>
  <conditionalFormatting sqref="Y8">
    <cfRule type="cellIs" dxfId="266" priority="303" operator="equal">
      <formula>""</formula>
    </cfRule>
  </conditionalFormatting>
  <conditionalFormatting sqref="Y8">
    <cfRule type="cellIs" dxfId="265" priority="304" operator="notEqual">
      <formula>$A8</formula>
    </cfRule>
  </conditionalFormatting>
  <conditionalFormatting sqref="Y12:Y13 Y17:Y18">
    <cfRule type="cellIs" dxfId="264" priority="301" operator="equal">
      <formula>""</formula>
    </cfRule>
  </conditionalFormatting>
  <conditionalFormatting sqref="Y12:Y13 Y17:Y18">
    <cfRule type="cellIs" dxfId="263" priority="302" operator="notEqual">
      <formula>$A12</formula>
    </cfRule>
  </conditionalFormatting>
  <conditionalFormatting sqref="Y9:Y10">
    <cfRule type="cellIs" dxfId="262" priority="299" operator="notEqual">
      <formula>$A9</formula>
    </cfRule>
  </conditionalFormatting>
  <conditionalFormatting sqref="Y9:Y10">
    <cfRule type="cellIs" dxfId="261" priority="300" operator="equal">
      <formula>""</formula>
    </cfRule>
  </conditionalFormatting>
  <conditionalFormatting sqref="Y10">
    <cfRule type="cellIs" dxfId="260" priority="297" operator="equal">
      <formula>""</formula>
    </cfRule>
  </conditionalFormatting>
  <conditionalFormatting sqref="Y10">
    <cfRule type="cellIs" dxfId="259" priority="298" operator="notEqual">
      <formula>$A10</formula>
    </cfRule>
  </conditionalFormatting>
  <conditionalFormatting sqref="Y21">
    <cfRule type="cellIs" dxfId="258" priority="295" operator="equal">
      <formula>""</formula>
    </cfRule>
  </conditionalFormatting>
  <conditionalFormatting sqref="Y21">
    <cfRule type="cellIs" dxfId="257" priority="296" operator="notEqual">
      <formula>$A21</formula>
    </cfRule>
  </conditionalFormatting>
  <conditionalFormatting sqref="Y20">
    <cfRule type="cellIs" dxfId="256" priority="293" operator="equal">
      <formula>""</formula>
    </cfRule>
  </conditionalFormatting>
  <conditionalFormatting sqref="Y20">
    <cfRule type="cellIs" dxfId="255" priority="294" operator="notEqual">
      <formula>$A20</formula>
    </cfRule>
  </conditionalFormatting>
  <conditionalFormatting sqref="Y19">
    <cfRule type="cellIs" dxfId="254" priority="291" operator="notEqual">
      <formula>$A19</formula>
    </cfRule>
  </conditionalFormatting>
  <conditionalFormatting sqref="Y19">
    <cfRule type="cellIs" dxfId="253" priority="292" operator="equal">
      <formula>""</formula>
    </cfRule>
  </conditionalFormatting>
  <conditionalFormatting sqref="Y19">
    <cfRule type="cellIs" dxfId="252" priority="289" operator="notEqual">
      <formula>$A19</formula>
    </cfRule>
  </conditionalFormatting>
  <conditionalFormatting sqref="Y19">
    <cfRule type="cellIs" dxfId="251" priority="290" operator="equal">
      <formula>""</formula>
    </cfRule>
  </conditionalFormatting>
  <conditionalFormatting sqref="Y19">
    <cfRule type="cellIs" dxfId="250" priority="287" operator="notEqual">
      <formula>$A19</formula>
    </cfRule>
  </conditionalFormatting>
  <conditionalFormatting sqref="Y19">
    <cfRule type="cellIs" dxfId="249" priority="288" operator="equal">
      <formula>""</formula>
    </cfRule>
  </conditionalFormatting>
  <conditionalFormatting sqref="Y19">
    <cfRule type="cellIs" dxfId="248" priority="285" operator="notEqual">
      <formula>$A19</formula>
    </cfRule>
  </conditionalFormatting>
  <conditionalFormatting sqref="Y19">
    <cfRule type="cellIs" dxfId="247" priority="286" operator="equal">
      <formula>""</formula>
    </cfRule>
  </conditionalFormatting>
  <conditionalFormatting sqref="Y14">
    <cfRule type="cellIs" dxfId="246" priority="284" operator="equal">
      <formula>""</formula>
    </cfRule>
  </conditionalFormatting>
  <conditionalFormatting sqref="Y15">
    <cfRule type="cellIs" dxfId="245" priority="283" operator="equal">
      <formula>""</formula>
    </cfRule>
  </conditionalFormatting>
  <conditionalFormatting sqref="Y16">
    <cfRule type="cellIs" dxfId="244" priority="281" operator="equal">
      <formula>""</formula>
    </cfRule>
  </conditionalFormatting>
  <conditionalFormatting sqref="Y16">
    <cfRule type="cellIs" dxfId="243" priority="282" operator="notEqual">
      <formula>$A16</formula>
    </cfRule>
  </conditionalFormatting>
  <conditionalFormatting sqref="Y23">
    <cfRule type="cellIs" dxfId="242" priority="279" operator="notEqual">
      <formula>$A23</formula>
    </cfRule>
  </conditionalFormatting>
  <conditionalFormatting sqref="Y23">
    <cfRule type="cellIs" dxfId="241" priority="280" operator="equal">
      <formula>""</formula>
    </cfRule>
  </conditionalFormatting>
  <conditionalFormatting sqref="Y35:Y46">
    <cfRule type="cellIs" dxfId="240" priority="277" operator="notEqual">
      <formula>$A35</formula>
    </cfRule>
  </conditionalFormatting>
  <conditionalFormatting sqref="Y35:Y46">
    <cfRule type="cellIs" dxfId="239" priority="278" operator="equal">
      <formula>""</formula>
    </cfRule>
  </conditionalFormatting>
  <conditionalFormatting sqref="AA34 AA6 AA14:AA15">
    <cfRule type="cellIs" dxfId="238" priority="275" operator="notEqual">
      <formula>$A6</formula>
    </cfRule>
  </conditionalFormatting>
  <conditionalFormatting sqref="AA34 AA6 AA14:AA15">
    <cfRule type="cellIs" dxfId="237" priority="276" operator="equal">
      <formula>""</formula>
    </cfRule>
  </conditionalFormatting>
  <conditionalFormatting sqref="AA24:AA34">
    <cfRule type="cellIs" dxfId="236" priority="273" operator="notEqual">
      <formula>$A24</formula>
    </cfRule>
  </conditionalFormatting>
  <conditionalFormatting sqref="AA24:AA34">
    <cfRule type="cellIs" dxfId="235" priority="274" operator="equal">
      <formula>""</formula>
    </cfRule>
  </conditionalFormatting>
  <conditionalFormatting sqref="AA22 AA12:AA13 AA17:AA18">
    <cfRule type="cellIs" dxfId="234" priority="271" operator="notEqual">
      <formula>$A12</formula>
    </cfRule>
  </conditionalFormatting>
  <conditionalFormatting sqref="AA12:AA13 AA17:AA18">
    <cfRule type="cellIs" dxfId="233" priority="272" operator="equal">
      <formula>""</formula>
    </cfRule>
  </conditionalFormatting>
  <conditionalFormatting sqref="AA22">
    <cfRule type="cellIs" dxfId="232" priority="270" operator="equal">
      <formula>""</formula>
    </cfRule>
  </conditionalFormatting>
  <conditionalFormatting sqref="AA8">
    <cfRule type="cellIs" dxfId="231" priority="268" operator="equal">
      <formula>""</formula>
    </cfRule>
  </conditionalFormatting>
  <conditionalFormatting sqref="AA8">
    <cfRule type="cellIs" dxfId="230" priority="269" operator="notEqual">
      <formula>$A8</formula>
    </cfRule>
  </conditionalFormatting>
  <conditionalFormatting sqref="AA12:AA13 AA17:AA18">
    <cfRule type="cellIs" dxfId="229" priority="266" operator="equal">
      <formula>""</formula>
    </cfRule>
  </conditionalFormatting>
  <conditionalFormatting sqref="AA12:AA13 AA17:AA18">
    <cfRule type="cellIs" dxfId="228" priority="267" operator="notEqual">
      <formula>$A12</formula>
    </cfRule>
  </conditionalFormatting>
  <conditionalFormatting sqref="AA9:AA10">
    <cfRule type="cellIs" dxfId="227" priority="264" operator="notEqual">
      <formula>$A9</formula>
    </cfRule>
  </conditionalFormatting>
  <conditionalFormatting sqref="AA9:AA10">
    <cfRule type="cellIs" dxfId="226" priority="265" operator="equal">
      <formula>""</formula>
    </cfRule>
  </conditionalFormatting>
  <conditionalFormatting sqref="AA10">
    <cfRule type="cellIs" dxfId="225" priority="262" operator="equal">
      <formula>""</formula>
    </cfRule>
  </conditionalFormatting>
  <conditionalFormatting sqref="AA10">
    <cfRule type="cellIs" dxfId="224" priority="263" operator="notEqual">
      <formula>$A10</formula>
    </cfRule>
  </conditionalFormatting>
  <conditionalFormatting sqref="AA21">
    <cfRule type="cellIs" dxfId="223" priority="260" operator="equal">
      <formula>""</formula>
    </cfRule>
  </conditionalFormatting>
  <conditionalFormatting sqref="AA21">
    <cfRule type="cellIs" dxfId="222" priority="261" operator="notEqual">
      <formula>$A21</formula>
    </cfRule>
  </conditionalFormatting>
  <conditionalFormatting sqref="AA20">
    <cfRule type="cellIs" dxfId="221" priority="258" operator="equal">
      <formula>""</formula>
    </cfRule>
  </conditionalFormatting>
  <conditionalFormatting sqref="AA20">
    <cfRule type="cellIs" dxfId="220" priority="259" operator="notEqual">
      <formula>$A20</formula>
    </cfRule>
  </conditionalFormatting>
  <conditionalFormatting sqref="AA19">
    <cfRule type="cellIs" dxfId="219" priority="256" operator="notEqual">
      <formula>$A19</formula>
    </cfRule>
  </conditionalFormatting>
  <conditionalFormatting sqref="AA19">
    <cfRule type="cellIs" dxfId="218" priority="257" operator="equal">
      <formula>""</formula>
    </cfRule>
  </conditionalFormatting>
  <conditionalFormatting sqref="AA19">
    <cfRule type="cellIs" dxfId="217" priority="254" operator="notEqual">
      <formula>$A19</formula>
    </cfRule>
  </conditionalFormatting>
  <conditionalFormatting sqref="AA19">
    <cfRule type="cellIs" dxfId="216" priority="255" operator="equal">
      <formula>""</formula>
    </cfRule>
  </conditionalFormatting>
  <conditionalFormatting sqref="AA19">
    <cfRule type="cellIs" dxfId="215" priority="252" operator="notEqual">
      <formula>$A19</formula>
    </cfRule>
  </conditionalFormatting>
  <conditionalFormatting sqref="AA19">
    <cfRule type="cellIs" dxfId="214" priority="253" operator="equal">
      <formula>""</formula>
    </cfRule>
  </conditionalFormatting>
  <conditionalFormatting sqref="AA19">
    <cfRule type="cellIs" dxfId="213" priority="250" operator="notEqual">
      <formula>$A19</formula>
    </cfRule>
  </conditionalFormatting>
  <conditionalFormatting sqref="AA19">
    <cfRule type="cellIs" dxfId="212" priority="251" operator="equal">
      <formula>""</formula>
    </cfRule>
  </conditionalFormatting>
  <conditionalFormatting sqref="AA14">
    <cfRule type="cellIs" dxfId="211" priority="249" operator="equal">
      <formula>""</formula>
    </cfRule>
  </conditionalFormatting>
  <conditionalFormatting sqref="AA15">
    <cfRule type="cellIs" dxfId="210" priority="248" operator="equal">
      <formula>""</formula>
    </cfRule>
  </conditionalFormatting>
  <conditionalFormatting sqref="AA16">
    <cfRule type="cellIs" dxfId="209" priority="246" operator="equal">
      <formula>""</formula>
    </cfRule>
  </conditionalFormatting>
  <conditionalFormatting sqref="AA16">
    <cfRule type="cellIs" dxfId="208" priority="247" operator="notEqual">
      <formula>$A16</formula>
    </cfRule>
  </conditionalFormatting>
  <conditionalFormatting sqref="AA23">
    <cfRule type="cellIs" dxfId="207" priority="244" operator="notEqual">
      <formula>$A23</formula>
    </cfRule>
  </conditionalFormatting>
  <conditionalFormatting sqref="AA23">
    <cfRule type="cellIs" dxfId="206" priority="245" operator="equal">
      <formula>""</formula>
    </cfRule>
  </conditionalFormatting>
  <conditionalFormatting sqref="AA23">
    <cfRule type="cellIs" dxfId="205" priority="242" operator="notEqual">
      <formula>$A23</formula>
    </cfRule>
  </conditionalFormatting>
  <conditionalFormatting sqref="AA23">
    <cfRule type="cellIs" dxfId="204" priority="243" operator="equal">
      <formula>""</formula>
    </cfRule>
  </conditionalFormatting>
  <conditionalFormatting sqref="AA35:AA46">
    <cfRule type="cellIs" dxfId="203" priority="240" operator="notEqual">
      <formula>$A35</formula>
    </cfRule>
  </conditionalFormatting>
  <conditionalFormatting sqref="AA35:AA46">
    <cfRule type="cellIs" dxfId="202" priority="241" operator="equal">
      <formula>""</formula>
    </cfRule>
  </conditionalFormatting>
  <conditionalFormatting sqref="AA35:AA46">
    <cfRule type="cellIs" dxfId="201" priority="239" operator="equal">
      <formula>""</formula>
    </cfRule>
  </conditionalFormatting>
  <conditionalFormatting sqref="AC14:AC15 AC6 AC23:AC34">
    <cfRule type="cellIs" dxfId="200" priority="237" operator="notEqual">
      <formula>$A6</formula>
    </cfRule>
  </conditionalFormatting>
  <conditionalFormatting sqref="AC14:AC15 AC6 AC23:AC34">
    <cfRule type="cellIs" dxfId="199" priority="238" operator="equal">
      <formula>""</formula>
    </cfRule>
  </conditionalFormatting>
  <conditionalFormatting sqref="AC22 AC12:AC13 AC17:AC18">
    <cfRule type="cellIs" dxfId="198" priority="235" operator="notEqual">
      <formula>$A12</formula>
    </cfRule>
  </conditionalFormatting>
  <conditionalFormatting sqref="AC12:AC13 AC17:AC18">
    <cfRule type="cellIs" dxfId="197" priority="236" operator="equal">
      <formula>""</formula>
    </cfRule>
  </conditionalFormatting>
  <conditionalFormatting sqref="AC22">
    <cfRule type="cellIs" dxfId="196" priority="234" operator="equal">
      <formula>""</formula>
    </cfRule>
  </conditionalFormatting>
  <conditionalFormatting sqref="AC8">
    <cfRule type="cellIs" dxfId="195" priority="232" operator="equal">
      <formula>""</formula>
    </cfRule>
  </conditionalFormatting>
  <conditionalFormatting sqref="AC8">
    <cfRule type="cellIs" dxfId="194" priority="233" operator="notEqual">
      <formula>$A8</formula>
    </cfRule>
  </conditionalFormatting>
  <conditionalFormatting sqref="AC12:AC13 AC17:AC18">
    <cfRule type="cellIs" dxfId="193" priority="230" operator="equal">
      <formula>""</formula>
    </cfRule>
  </conditionalFormatting>
  <conditionalFormatting sqref="AC12:AC13 AC17:AC18">
    <cfRule type="cellIs" dxfId="192" priority="231" operator="notEqual">
      <formula>$A12</formula>
    </cfRule>
  </conditionalFormatting>
  <conditionalFormatting sqref="AC9:AC10">
    <cfRule type="cellIs" dxfId="191" priority="228" operator="notEqual">
      <formula>$A9</formula>
    </cfRule>
  </conditionalFormatting>
  <conditionalFormatting sqref="AC9:AC10">
    <cfRule type="cellIs" dxfId="190" priority="229" operator="equal">
      <formula>""</formula>
    </cfRule>
  </conditionalFormatting>
  <conditionalFormatting sqref="AC10">
    <cfRule type="cellIs" dxfId="189" priority="226" operator="equal">
      <formula>""</formula>
    </cfRule>
  </conditionalFormatting>
  <conditionalFormatting sqref="AC10">
    <cfRule type="cellIs" dxfId="188" priority="227" operator="notEqual">
      <formula>$A10</formula>
    </cfRule>
  </conditionalFormatting>
  <conditionalFormatting sqref="AC21">
    <cfRule type="cellIs" dxfId="187" priority="224" operator="equal">
      <formula>""</formula>
    </cfRule>
  </conditionalFormatting>
  <conditionalFormatting sqref="AC21">
    <cfRule type="cellIs" dxfId="186" priority="225" operator="notEqual">
      <formula>$A21</formula>
    </cfRule>
  </conditionalFormatting>
  <conditionalFormatting sqref="AC20">
    <cfRule type="cellIs" dxfId="185" priority="222" operator="equal">
      <formula>""</formula>
    </cfRule>
  </conditionalFormatting>
  <conditionalFormatting sqref="AC20">
    <cfRule type="cellIs" dxfId="184" priority="223" operator="notEqual">
      <formula>$A20</formula>
    </cfRule>
  </conditionalFormatting>
  <conditionalFormatting sqref="AC19">
    <cfRule type="cellIs" dxfId="183" priority="220" operator="notEqual">
      <formula>$A19</formula>
    </cfRule>
  </conditionalFormatting>
  <conditionalFormatting sqref="AC19">
    <cfRule type="cellIs" dxfId="182" priority="221" operator="equal">
      <formula>""</formula>
    </cfRule>
  </conditionalFormatting>
  <conditionalFormatting sqref="AC19">
    <cfRule type="cellIs" dxfId="181" priority="218" operator="notEqual">
      <formula>$A19</formula>
    </cfRule>
  </conditionalFormatting>
  <conditionalFormatting sqref="AC19">
    <cfRule type="cellIs" dxfId="180" priority="219" operator="equal">
      <formula>""</formula>
    </cfRule>
  </conditionalFormatting>
  <conditionalFormatting sqref="AC19">
    <cfRule type="cellIs" dxfId="179" priority="216" operator="notEqual">
      <formula>$A19</formula>
    </cfRule>
  </conditionalFormatting>
  <conditionalFormatting sqref="AC19">
    <cfRule type="cellIs" dxfId="178" priority="217" operator="equal">
      <formula>""</formula>
    </cfRule>
  </conditionalFormatting>
  <conditionalFormatting sqref="AC19">
    <cfRule type="cellIs" dxfId="177" priority="214" operator="notEqual">
      <formula>$A19</formula>
    </cfRule>
  </conditionalFormatting>
  <conditionalFormatting sqref="AC19">
    <cfRule type="cellIs" dxfId="176" priority="215" operator="equal">
      <formula>""</formula>
    </cfRule>
  </conditionalFormatting>
  <conditionalFormatting sqref="AC14">
    <cfRule type="cellIs" dxfId="175" priority="213" operator="equal">
      <formula>""</formula>
    </cfRule>
  </conditionalFormatting>
  <conditionalFormatting sqref="AC15">
    <cfRule type="cellIs" dxfId="174" priority="212" operator="equal">
      <formula>""</formula>
    </cfRule>
  </conditionalFormatting>
  <conditionalFormatting sqref="AC16">
    <cfRule type="cellIs" dxfId="173" priority="210" operator="equal">
      <formula>""</formula>
    </cfRule>
  </conditionalFormatting>
  <conditionalFormatting sqref="AC16">
    <cfRule type="cellIs" dxfId="172" priority="211" operator="notEqual">
      <formula>$A16</formula>
    </cfRule>
  </conditionalFormatting>
  <conditionalFormatting sqref="AC23">
    <cfRule type="cellIs" dxfId="171" priority="208" operator="notEqual">
      <formula>$A23</formula>
    </cfRule>
  </conditionalFormatting>
  <conditionalFormatting sqref="AC23">
    <cfRule type="cellIs" dxfId="170" priority="209" operator="equal">
      <formula>""</formula>
    </cfRule>
  </conditionalFormatting>
  <conditionalFormatting sqref="AC35:AC46">
    <cfRule type="cellIs" dxfId="169" priority="206" operator="notEqual">
      <formula>$A35</formula>
    </cfRule>
  </conditionalFormatting>
  <conditionalFormatting sqref="AC35:AC46">
    <cfRule type="cellIs" dxfId="168" priority="207" operator="equal">
      <formula>""</formula>
    </cfRule>
  </conditionalFormatting>
  <conditionalFormatting sqref="AE23:AE34 AE6 AE14:AE15">
    <cfRule type="cellIs" dxfId="167" priority="204" operator="notEqual">
      <formula>$A6</formula>
    </cfRule>
  </conditionalFormatting>
  <conditionalFormatting sqref="AE23:AE34 AE6 AE14:AE15">
    <cfRule type="cellIs" dxfId="166" priority="205" operator="equal">
      <formula>""</formula>
    </cfRule>
  </conditionalFormatting>
  <conditionalFormatting sqref="AE22 AE12:AE13 AE17:AE18">
    <cfRule type="cellIs" dxfId="165" priority="202" operator="notEqual">
      <formula>$A12</formula>
    </cfRule>
  </conditionalFormatting>
  <conditionalFormatting sqref="AE12:AE13 AE17:AE18">
    <cfRule type="cellIs" dxfId="164" priority="203" operator="equal">
      <formula>""</formula>
    </cfRule>
  </conditionalFormatting>
  <conditionalFormatting sqref="AE22">
    <cfRule type="cellIs" dxfId="163" priority="201" operator="equal">
      <formula>""</formula>
    </cfRule>
  </conditionalFormatting>
  <conditionalFormatting sqref="AE8">
    <cfRule type="cellIs" dxfId="162" priority="199" operator="equal">
      <formula>""</formula>
    </cfRule>
  </conditionalFormatting>
  <conditionalFormatting sqref="AE8">
    <cfRule type="cellIs" dxfId="161" priority="200" operator="notEqual">
      <formula>$A8</formula>
    </cfRule>
  </conditionalFormatting>
  <conditionalFormatting sqref="AE12:AE13 AE17:AE18">
    <cfRule type="cellIs" dxfId="160" priority="197" operator="equal">
      <formula>""</formula>
    </cfRule>
  </conditionalFormatting>
  <conditionalFormatting sqref="AE12:AE13 AE17:AE18">
    <cfRule type="cellIs" dxfId="159" priority="198" operator="notEqual">
      <formula>$A12</formula>
    </cfRule>
  </conditionalFormatting>
  <conditionalFormatting sqref="AE9:AE10">
    <cfRule type="cellIs" dxfId="158" priority="195" operator="notEqual">
      <formula>$A9</formula>
    </cfRule>
  </conditionalFormatting>
  <conditionalFormatting sqref="AE9:AE10">
    <cfRule type="cellIs" dxfId="157" priority="196" operator="equal">
      <formula>""</formula>
    </cfRule>
  </conditionalFormatting>
  <conditionalFormatting sqref="AE10">
    <cfRule type="cellIs" dxfId="156" priority="193" operator="equal">
      <formula>""</formula>
    </cfRule>
  </conditionalFormatting>
  <conditionalFormatting sqref="AE10">
    <cfRule type="cellIs" dxfId="155" priority="194" operator="notEqual">
      <formula>$A10</formula>
    </cfRule>
  </conditionalFormatting>
  <conditionalFormatting sqref="AE20">
    <cfRule type="cellIs" dxfId="154" priority="191" operator="equal">
      <formula>""</formula>
    </cfRule>
  </conditionalFormatting>
  <conditionalFormatting sqref="AE20">
    <cfRule type="cellIs" dxfId="153" priority="192" operator="notEqual">
      <formula>$A20</formula>
    </cfRule>
  </conditionalFormatting>
  <conditionalFormatting sqref="AE19">
    <cfRule type="cellIs" dxfId="152" priority="189" operator="notEqual">
      <formula>$A19</formula>
    </cfRule>
  </conditionalFormatting>
  <conditionalFormatting sqref="AE19">
    <cfRule type="cellIs" dxfId="151" priority="190" operator="equal">
      <formula>""</formula>
    </cfRule>
  </conditionalFormatting>
  <conditionalFormatting sqref="AE19">
    <cfRule type="cellIs" dxfId="150" priority="187" operator="notEqual">
      <formula>$A19</formula>
    </cfRule>
  </conditionalFormatting>
  <conditionalFormatting sqref="AE19">
    <cfRule type="cellIs" dxfId="149" priority="188" operator="equal">
      <formula>""</formula>
    </cfRule>
  </conditionalFormatting>
  <conditionalFormatting sqref="AE19">
    <cfRule type="cellIs" dxfId="148" priority="185" operator="notEqual">
      <formula>$A19</formula>
    </cfRule>
  </conditionalFormatting>
  <conditionalFormatting sqref="AE19">
    <cfRule type="cellIs" dxfId="147" priority="186" operator="equal">
      <formula>""</formula>
    </cfRule>
  </conditionalFormatting>
  <conditionalFormatting sqref="AE19">
    <cfRule type="cellIs" dxfId="146" priority="183" operator="notEqual">
      <formula>$A19</formula>
    </cfRule>
  </conditionalFormatting>
  <conditionalFormatting sqref="AE19">
    <cfRule type="cellIs" dxfId="145" priority="184" operator="equal">
      <formula>""</formula>
    </cfRule>
  </conditionalFormatting>
  <conditionalFormatting sqref="AE21">
    <cfRule type="cellIs" dxfId="144" priority="181" operator="equal">
      <formula>""</formula>
    </cfRule>
  </conditionalFormatting>
  <conditionalFormatting sqref="AE21">
    <cfRule type="cellIs" dxfId="143" priority="182" operator="notEqual">
      <formula>$A21</formula>
    </cfRule>
  </conditionalFormatting>
  <conditionalFormatting sqref="AE14">
    <cfRule type="cellIs" dxfId="142" priority="180" operator="equal">
      <formula>""</formula>
    </cfRule>
  </conditionalFormatting>
  <conditionalFormatting sqref="AE15">
    <cfRule type="cellIs" dxfId="141" priority="179" operator="equal">
      <formula>""</formula>
    </cfRule>
  </conditionalFormatting>
  <conditionalFormatting sqref="AE16">
    <cfRule type="cellIs" dxfId="140" priority="177" operator="equal">
      <formula>""</formula>
    </cfRule>
  </conditionalFormatting>
  <conditionalFormatting sqref="AE16">
    <cfRule type="cellIs" dxfId="139" priority="178" operator="notEqual">
      <formula>$A16</formula>
    </cfRule>
  </conditionalFormatting>
  <conditionalFormatting sqref="AE23">
    <cfRule type="cellIs" dxfId="138" priority="175" operator="notEqual">
      <formula>$A23</formula>
    </cfRule>
  </conditionalFormatting>
  <conditionalFormatting sqref="AE23">
    <cfRule type="cellIs" dxfId="137" priority="176" operator="equal">
      <formula>""</formula>
    </cfRule>
  </conditionalFormatting>
  <conditionalFormatting sqref="AE35:AE46">
    <cfRule type="cellIs" dxfId="136" priority="173" operator="notEqual">
      <formula>$A35</formula>
    </cfRule>
  </conditionalFormatting>
  <conditionalFormatting sqref="AE35:AE46">
    <cfRule type="cellIs" dxfId="135" priority="174" operator="equal">
      <formula>""</formula>
    </cfRule>
  </conditionalFormatting>
  <conditionalFormatting sqref="O6 O14:O15 O23:O34">
    <cfRule type="cellIs" dxfId="134" priority="138" operator="notEqual">
      <formula>$A6</formula>
    </cfRule>
  </conditionalFormatting>
  <conditionalFormatting sqref="O6 O14:O15 O23:O34">
    <cfRule type="cellIs" dxfId="133" priority="139" operator="equal">
      <formula>""</formula>
    </cfRule>
  </conditionalFormatting>
  <conditionalFormatting sqref="O19">
    <cfRule type="cellIs" dxfId="132" priority="136" operator="notEqual">
      <formula>$A19</formula>
    </cfRule>
  </conditionalFormatting>
  <conditionalFormatting sqref="O19">
    <cfRule type="cellIs" dxfId="131" priority="137" operator="equal">
      <formula>""</formula>
    </cfRule>
  </conditionalFormatting>
  <conditionalFormatting sqref="O22">
    <cfRule type="cellIs" dxfId="130" priority="135" operator="notEqual">
      <formula>$A22</formula>
    </cfRule>
  </conditionalFormatting>
  <conditionalFormatting sqref="O19">
    <cfRule type="cellIs" dxfId="129" priority="132" operator="notEqual">
      <formula>$A19</formula>
    </cfRule>
  </conditionalFormatting>
  <conditionalFormatting sqref="O19">
    <cfRule type="cellIs" dxfId="128" priority="134" operator="equal">
      <formula>""</formula>
    </cfRule>
  </conditionalFormatting>
  <conditionalFormatting sqref="O22">
    <cfRule type="cellIs" dxfId="127" priority="133" operator="equal">
      <formula>""</formula>
    </cfRule>
  </conditionalFormatting>
  <conditionalFormatting sqref="O21">
    <cfRule type="cellIs" dxfId="126" priority="130" operator="equal">
      <formula>""</formula>
    </cfRule>
  </conditionalFormatting>
  <conditionalFormatting sqref="O21">
    <cfRule type="cellIs" dxfId="125" priority="131" operator="notEqual">
      <formula>$A21</formula>
    </cfRule>
  </conditionalFormatting>
  <conditionalFormatting sqref="O21">
    <cfRule type="cellIs" dxfId="124" priority="128" operator="equal">
      <formula>""</formula>
    </cfRule>
  </conditionalFormatting>
  <conditionalFormatting sqref="O21">
    <cfRule type="cellIs" dxfId="123" priority="129" operator="notEqual">
      <formula>$A21</formula>
    </cfRule>
  </conditionalFormatting>
  <conditionalFormatting sqref="O8">
    <cfRule type="cellIs" dxfId="122" priority="126" operator="equal">
      <formula>""</formula>
    </cfRule>
  </conditionalFormatting>
  <conditionalFormatting sqref="O8">
    <cfRule type="cellIs" dxfId="121" priority="127" operator="notEqual">
      <formula>$A8</formula>
    </cfRule>
  </conditionalFormatting>
  <conditionalFormatting sqref="O12:O13 O17:O18">
    <cfRule type="cellIs" dxfId="120" priority="124" operator="equal">
      <formula>""</formula>
    </cfRule>
  </conditionalFormatting>
  <conditionalFormatting sqref="O12:O13 O17:O18">
    <cfRule type="cellIs" dxfId="119" priority="125" operator="notEqual">
      <formula>$A12</formula>
    </cfRule>
  </conditionalFormatting>
  <conditionalFormatting sqref="O12:O13 O17:O18">
    <cfRule type="cellIs" dxfId="118" priority="123" operator="notEqual">
      <formula>$A12</formula>
    </cfRule>
  </conditionalFormatting>
  <conditionalFormatting sqref="O9">
    <cfRule type="cellIs" dxfId="117" priority="121" operator="notEqual">
      <formula>$A9</formula>
    </cfRule>
  </conditionalFormatting>
  <conditionalFormatting sqref="O9">
    <cfRule type="cellIs" dxfId="116" priority="122" operator="equal">
      <formula>""</formula>
    </cfRule>
  </conditionalFormatting>
  <conditionalFormatting sqref="O10">
    <cfRule type="cellIs" dxfId="115" priority="119" operator="equal">
      <formula>""</formula>
    </cfRule>
  </conditionalFormatting>
  <conditionalFormatting sqref="O10">
    <cfRule type="cellIs" dxfId="114" priority="120" operator="notEqual">
      <formula>$A10</formula>
    </cfRule>
  </conditionalFormatting>
  <conditionalFormatting sqref="O21">
    <cfRule type="cellIs" dxfId="113" priority="117" operator="equal">
      <formula>""</formula>
    </cfRule>
  </conditionalFormatting>
  <conditionalFormatting sqref="O21">
    <cfRule type="cellIs" dxfId="112" priority="118" operator="notEqual">
      <formula>$A21</formula>
    </cfRule>
  </conditionalFormatting>
  <conditionalFormatting sqref="O20">
    <cfRule type="cellIs" dxfId="111" priority="115" operator="equal">
      <formula>""</formula>
    </cfRule>
  </conditionalFormatting>
  <conditionalFormatting sqref="O20">
    <cfRule type="cellIs" dxfId="110" priority="116" operator="notEqual">
      <formula>$A20</formula>
    </cfRule>
  </conditionalFormatting>
  <conditionalFormatting sqref="O20">
    <cfRule type="cellIs" dxfId="109" priority="113" operator="equal">
      <formula>""</formula>
    </cfRule>
  </conditionalFormatting>
  <conditionalFormatting sqref="O20">
    <cfRule type="cellIs" dxfId="108" priority="114" operator="notEqual">
      <formula>$A20</formula>
    </cfRule>
  </conditionalFormatting>
  <conditionalFormatting sqref="O20">
    <cfRule type="cellIs" dxfId="107" priority="111" operator="equal">
      <formula>""</formula>
    </cfRule>
  </conditionalFormatting>
  <conditionalFormatting sqref="O20">
    <cfRule type="cellIs" dxfId="106" priority="112" operator="notEqual">
      <formula>$A20</formula>
    </cfRule>
  </conditionalFormatting>
  <conditionalFormatting sqref="O14">
    <cfRule type="cellIs" dxfId="105" priority="110" operator="equal">
      <formula>""</formula>
    </cfRule>
  </conditionalFormatting>
  <conditionalFormatting sqref="O15">
    <cfRule type="cellIs" dxfId="104" priority="109" operator="equal">
      <formula>""</formula>
    </cfRule>
  </conditionalFormatting>
  <conditionalFormatting sqref="O16">
    <cfRule type="cellIs" dxfId="103" priority="107" operator="equal">
      <formula>""</formula>
    </cfRule>
  </conditionalFormatting>
  <conditionalFormatting sqref="O16">
    <cfRule type="cellIs" dxfId="102" priority="108" operator="notEqual">
      <formula>$A16</formula>
    </cfRule>
  </conditionalFormatting>
  <conditionalFormatting sqref="O23">
    <cfRule type="cellIs" dxfId="101" priority="105" operator="notEqual">
      <formula>$A23</formula>
    </cfRule>
  </conditionalFormatting>
  <conditionalFormatting sqref="O23">
    <cfRule type="cellIs" dxfId="100" priority="106" operator="equal">
      <formula>""</formula>
    </cfRule>
  </conditionalFormatting>
  <conditionalFormatting sqref="O35:O46">
    <cfRule type="cellIs" dxfId="99" priority="103" operator="notEqual">
      <formula>$A35</formula>
    </cfRule>
  </conditionalFormatting>
  <conditionalFormatting sqref="O35:O46">
    <cfRule type="cellIs" dxfId="98" priority="104" operator="equal">
      <formula>""</formula>
    </cfRule>
  </conditionalFormatting>
  <conditionalFormatting sqref="R7:AN7">
    <cfRule type="cellIs" dxfId="97" priority="99" operator="equal">
      <formula>""</formula>
    </cfRule>
  </conditionalFormatting>
  <conditionalFormatting sqref="R7:AN7">
    <cfRule type="cellIs" dxfId="96" priority="100" operator="notEqual">
      <formula>$A7</formula>
    </cfRule>
  </conditionalFormatting>
  <conditionalFormatting sqref="AH11:AI11 AL11:AM11">
    <cfRule type="cellIs" dxfId="95" priority="95" operator="notEqual">
      <formula>$A11</formula>
    </cfRule>
  </conditionalFormatting>
  <conditionalFormatting sqref="AH11:AI11 AL11:AM11">
    <cfRule type="cellIs" dxfId="94" priority="96" operator="equal">
      <formula>""</formula>
    </cfRule>
  </conditionalFormatting>
  <conditionalFormatting sqref="AF11">
    <cfRule type="cellIs" dxfId="93" priority="93" operator="notEqual">
      <formula>$A11</formula>
    </cfRule>
  </conditionalFormatting>
  <conditionalFormatting sqref="AF11">
    <cfRule type="cellIs" dxfId="92" priority="94" operator="equal">
      <formula>""</formula>
    </cfRule>
  </conditionalFormatting>
  <conditionalFormatting sqref="AG11">
    <cfRule type="cellIs" dxfId="91" priority="91" operator="notEqual">
      <formula>$A11</formula>
    </cfRule>
  </conditionalFormatting>
  <conditionalFormatting sqref="AG11">
    <cfRule type="cellIs" dxfId="90" priority="92" operator="equal">
      <formula>""</formula>
    </cfRule>
  </conditionalFormatting>
  <conditionalFormatting sqref="AK11">
    <cfRule type="cellIs" dxfId="89" priority="89" operator="notEqual">
      <formula>$A11</formula>
    </cfRule>
  </conditionalFormatting>
  <conditionalFormatting sqref="AK11">
    <cfRule type="cellIs" dxfId="88" priority="90" operator="equal">
      <formula>""</formula>
    </cfRule>
  </conditionalFormatting>
  <conditionalFormatting sqref="AJ11">
    <cfRule type="cellIs" dxfId="87" priority="87" operator="notEqual">
      <formula>$A11</formula>
    </cfRule>
  </conditionalFormatting>
  <conditionalFormatting sqref="AJ11">
    <cfRule type="cellIs" dxfId="86" priority="88" operator="equal">
      <formula>""</formula>
    </cfRule>
  </conditionalFormatting>
  <conditionalFormatting sqref="P11">
    <cfRule type="cellIs" dxfId="85" priority="85" operator="notEqual">
      <formula>$A11</formula>
    </cfRule>
  </conditionalFormatting>
  <conditionalFormatting sqref="P11">
    <cfRule type="cellIs" dxfId="84" priority="86" operator="equal">
      <formula>""</formula>
    </cfRule>
  </conditionalFormatting>
  <conditionalFormatting sqref="Y11">
    <cfRule type="cellIs" dxfId="83" priority="83" operator="notEqual">
      <formula>$A11</formula>
    </cfRule>
  </conditionalFormatting>
  <conditionalFormatting sqref="Y11">
    <cfRule type="cellIs" dxfId="82" priority="84" operator="equal">
      <formula>""</formula>
    </cfRule>
  </conditionalFormatting>
  <conditionalFormatting sqref="AA11">
    <cfRule type="cellIs" dxfId="81" priority="81" operator="notEqual">
      <formula>$A11</formula>
    </cfRule>
  </conditionalFormatting>
  <conditionalFormatting sqref="AA11">
    <cfRule type="cellIs" dxfId="80" priority="82" operator="equal">
      <formula>""</formula>
    </cfRule>
  </conditionalFormatting>
  <conditionalFormatting sqref="AC11">
    <cfRule type="cellIs" dxfId="79" priority="79" operator="notEqual">
      <formula>$A11</formula>
    </cfRule>
  </conditionalFormatting>
  <conditionalFormatting sqref="AC11">
    <cfRule type="cellIs" dxfId="78" priority="80" operator="equal">
      <formula>""</formula>
    </cfRule>
  </conditionalFormatting>
  <conditionalFormatting sqref="AE11">
    <cfRule type="cellIs" dxfId="77" priority="77" operator="notEqual">
      <formula>$A11</formula>
    </cfRule>
  </conditionalFormatting>
  <conditionalFormatting sqref="AE11">
    <cfRule type="cellIs" dxfId="76" priority="78" operator="equal">
      <formula>""</formula>
    </cfRule>
  </conditionalFormatting>
  <conditionalFormatting sqref="O11">
    <cfRule type="cellIs" dxfId="75" priority="75" operator="notEqual">
      <formula>$A11</formula>
    </cfRule>
  </conditionalFormatting>
  <conditionalFormatting sqref="O11">
    <cfRule type="cellIs" dxfId="74" priority="76" operator="equal">
      <formula>""</formula>
    </cfRule>
  </conditionalFormatting>
  <conditionalFormatting sqref="E18">
    <cfRule type="cellIs" dxfId="73" priority="74" operator="notEqual">
      <formula>$A18</formula>
    </cfRule>
  </conditionalFormatting>
  <conditionalFormatting sqref="I22 J23 J11 J6:J7 K22 L23 L11 L6:L7 M22 I14:N15 N23 I24:N34 N11 N6:N7">
    <cfRule type="cellIs" dxfId="72" priority="72" operator="notEqual">
      <formula>$A6</formula>
    </cfRule>
  </conditionalFormatting>
  <conditionalFormatting sqref="J14:J15 J23 J11 J6:J7 L14:L15 L23 L11 L6:L7 N14:N15 N23 I24:N34 N11 N6:N7">
    <cfRule type="cellIs" dxfId="71" priority="73" operator="equal">
      <formula>""</formula>
    </cfRule>
  </conditionalFormatting>
  <conditionalFormatting sqref="I22">
    <cfRule type="cellIs" dxfId="70" priority="71" operator="equal">
      <formula>""</formula>
    </cfRule>
  </conditionalFormatting>
  <conditionalFormatting sqref="J22 L22 N22">
    <cfRule type="cellIs" dxfId="69" priority="70" operator="notEqual">
      <formula>$A22</formula>
    </cfRule>
  </conditionalFormatting>
  <conditionalFormatting sqref="J19 L19 N19">
    <cfRule type="cellIs" dxfId="68" priority="67" operator="notEqual">
      <formula>$A19</formula>
    </cfRule>
  </conditionalFormatting>
  <conditionalFormatting sqref="J19 L19 N19">
    <cfRule type="cellIs" dxfId="67" priority="69" operator="equal">
      <formula>""</formula>
    </cfRule>
  </conditionalFormatting>
  <conditionalFormatting sqref="J22 L22 N22">
    <cfRule type="cellIs" dxfId="66" priority="68" operator="equal">
      <formula>""</formula>
    </cfRule>
  </conditionalFormatting>
  <conditionalFormatting sqref="J21 L21 N21">
    <cfRule type="cellIs" dxfId="65" priority="65" operator="equal">
      <formula>""</formula>
    </cfRule>
  </conditionalFormatting>
  <conditionalFormatting sqref="J21 L21 N21">
    <cfRule type="cellIs" dxfId="64" priority="66" operator="notEqual">
      <formula>$A21</formula>
    </cfRule>
  </conditionalFormatting>
  <conditionalFormatting sqref="J21 L21 N21">
    <cfRule type="cellIs" dxfId="63" priority="63" operator="equal">
      <formula>""</formula>
    </cfRule>
  </conditionalFormatting>
  <conditionalFormatting sqref="J21 L21 N21">
    <cfRule type="cellIs" dxfId="62" priority="64" operator="notEqual">
      <formula>$A21</formula>
    </cfRule>
  </conditionalFormatting>
  <conditionalFormatting sqref="I7:I8">
    <cfRule type="cellIs" dxfId="61" priority="61" operator="equal">
      <formula>""</formula>
    </cfRule>
  </conditionalFormatting>
  <conditionalFormatting sqref="I7:I8">
    <cfRule type="cellIs" dxfId="60" priority="62" operator="notEqual">
      <formula>$A7</formula>
    </cfRule>
  </conditionalFormatting>
  <conditionalFormatting sqref="J8 L8 N8">
    <cfRule type="cellIs" dxfId="59" priority="59" operator="equal">
      <formula>""</formula>
    </cfRule>
  </conditionalFormatting>
  <conditionalFormatting sqref="J8 L8 N8">
    <cfRule type="cellIs" dxfId="58" priority="60" operator="notEqual">
      <formula>$A8</formula>
    </cfRule>
  </conditionalFormatting>
  <conditionalFormatting sqref="I9">
    <cfRule type="cellIs" dxfId="57" priority="57" operator="notEqual">
      <formula>$A9</formula>
    </cfRule>
  </conditionalFormatting>
  <conditionalFormatting sqref="I9">
    <cfRule type="cellIs" dxfId="56" priority="58" operator="equal">
      <formula>""</formula>
    </cfRule>
  </conditionalFormatting>
  <conditionalFormatting sqref="I17:N18 I12:N13">
    <cfRule type="cellIs" dxfId="55" priority="55" operator="equal">
      <formula>""</formula>
    </cfRule>
  </conditionalFormatting>
  <conditionalFormatting sqref="I17:N18 I12:N13">
    <cfRule type="cellIs" dxfId="54" priority="56" operator="notEqual">
      <formula>$A12</formula>
    </cfRule>
  </conditionalFormatting>
  <conditionalFormatting sqref="J12:J13 J17:J18 L12:L13 L17:L18 N12:N13 N17:N18">
    <cfRule type="cellIs" dxfId="53" priority="54" operator="notEqual">
      <formula>$A12</formula>
    </cfRule>
  </conditionalFormatting>
  <conditionalFormatting sqref="J9 L9 N9">
    <cfRule type="cellIs" dxfId="52" priority="52" operator="notEqual">
      <formula>$A9</formula>
    </cfRule>
  </conditionalFormatting>
  <conditionalFormatting sqref="J9 L9 N9">
    <cfRule type="cellIs" dxfId="51" priority="53" operator="equal">
      <formula>""</formula>
    </cfRule>
  </conditionalFormatting>
  <conditionalFormatting sqref="J20 L20 N20">
    <cfRule type="cellIs" dxfId="50" priority="50" operator="equal">
      <formula>""</formula>
    </cfRule>
  </conditionalFormatting>
  <conditionalFormatting sqref="J20 L20 N20">
    <cfRule type="cellIs" dxfId="49" priority="51" operator="notEqual">
      <formula>$A20</formula>
    </cfRule>
  </conditionalFormatting>
  <conditionalFormatting sqref="J20 L20 N20">
    <cfRule type="cellIs" dxfId="48" priority="48" operator="equal">
      <formula>""</formula>
    </cfRule>
  </conditionalFormatting>
  <conditionalFormatting sqref="J20 L20 N20">
    <cfRule type="cellIs" dxfId="47" priority="49" operator="notEqual">
      <formula>$A20</formula>
    </cfRule>
  </conditionalFormatting>
  <conditionalFormatting sqref="I35:N46">
    <cfRule type="cellIs" dxfId="46" priority="46" operator="notEqual">
      <formula>$A35</formula>
    </cfRule>
  </conditionalFormatting>
  <conditionalFormatting sqref="I35:N46">
    <cfRule type="cellIs" dxfId="45" priority="47" operator="equal">
      <formula>""</formula>
    </cfRule>
  </conditionalFormatting>
  <conditionalFormatting sqref="I11">
    <cfRule type="cellIs" dxfId="44" priority="44" operator="notEqual">
      <formula>$A11</formula>
    </cfRule>
  </conditionalFormatting>
  <conditionalFormatting sqref="I11">
    <cfRule type="cellIs" dxfId="43" priority="45" operator="equal">
      <formula>""</formula>
    </cfRule>
  </conditionalFormatting>
  <conditionalFormatting sqref="I18">
    <cfRule type="cellIs" dxfId="42" priority="43" operator="notEqual">
      <formula>$A18</formula>
    </cfRule>
  </conditionalFormatting>
  <conditionalFormatting sqref="K22">
    <cfRule type="cellIs" dxfId="41" priority="42" operator="equal">
      <formula>""</formula>
    </cfRule>
  </conditionalFormatting>
  <conditionalFormatting sqref="K7:K8">
    <cfRule type="cellIs" dxfId="40" priority="40" operator="equal">
      <formula>""</formula>
    </cfRule>
  </conditionalFormatting>
  <conditionalFormatting sqref="K7:K8">
    <cfRule type="cellIs" dxfId="39" priority="41" operator="notEqual">
      <formula>$A7</formula>
    </cfRule>
  </conditionalFormatting>
  <conditionalFormatting sqref="K9">
    <cfRule type="cellIs" dxfId="38" priority="38" operator="notEqual">
      <formula>$A9</formula>
    </cfRule>
  </conditionalFormatting>
  <conditionalFormatting sqref="K9">
    <cfRule type="cellIs" dxfId="37" priority="39" operator="equal">
      <formula>""</formula>
    </cfRule>
  </conditionalFormatting>
  <conditionalFormatting sqref="K11">
    <cfRule type="cellIs" dxfId="36" priority="36" operator="notEqual">
      <formula>$A11</formula>
    </cfRule>
  </conditionalFormatting>
  <conditionalFormatting sqref="K11">
    <cfRule type="cellIs" dxfId="35" priority="37" operator="equal">
      <formula>""</formula>
    </cfRule>
  </conditionalFormatting>
  <conditionalFormatting sqref="K18">
    <cfRule type="cellIs" dxfId="34" priority="35" operator="notEqual">
      <formula>$A18</formula>
    </cfRule>
  </conditionalFormatting>
  <conditionalFormatting sqref="B46">
    <cfRule type="cellIs" dxfId="33" priority="33" operator="notEqual">
      <formula>$A46</formula>
    </cfRule>
  </conditionalFormatting>
  <conditionalFormatting sqref="B46">
    <cfRule type="cellIs" dxfId="32" priority="34" operator="equal">
      <formula>""</formula>
    </cfRule>
  </conditionalFormatting>
  <conditionalFormatting sqref="M22">
    <cfRule type="cellIs" dxfId="31" priority="32" operator="equal">
      <formula>""</formula>
    </cfRule>
  </conditionalFormatting>
  <conditionalFormatting sqref="M7:M8">
    <cfRule type="cellIs" dxfId="30" priority="30" operator="equal">
      <formula>""</formula>
    </cfRule>
  </conditionalFormatting>
  <conditionalFormatting sqref="M7:M8">
    <cfRule type="cellIs" dxfId="29" priority="31" operator="notEqual">
      <formula>$A7</formula>
    </cfRule>
  </conditionalFormatting>
  <conditionalFormatting sqref="M9">
    <cfRule type="cellIs" dxfId="28" priority="28" operator="notEqual">
      <formula>$A9</formula>
    </cfRule>
  </conditionalFormatting>
  <conditionalFormatting sqref="M9">
    <cfRule type="cellIs" dxfId="27" priority="29" operator="equal">
      <formula>""</formula>
    </cfRule>
  </conditionalFormatting>
  <conditionalFormatting sqref="M11">
    <cfRule type="cellIs" dxfId="26" priority="26" operator="notEqual">
      <formula>$A11</formula>
    </cfRule>
  </conditionalFormatting>
  <conditionalFormatting sqref="M11">
    <cfRule type="cellIs" dxfId="25" priority="27" operator="equal">
      <formula>""</formula>
    </cfRule>
  </conditionalFormatting>
  <conditionalFormatting sqref="M18">
    <cfRule type="cellIs" dxfId="24" priority="25" operator="notEqual">
      <formula>$A18</formula>
    </cfRule>
  </conditionalFormatting>
  <conditionalFormatting sqref="D6:D9 D11:D46">
    <cfRule type="cellIs" dxfId="23" priority="23" operator="notEqual">
      <formula>$A6</formula>
    </cfRule>
  </conditionalFormatting>
  <conditionalFormatting sqref="D6:D9 D11:D46">
    <cfRule type="cellIs" dxfId="22" priority="24" operator="equal">
      <formula>""</formula>
    </cfRule>
  </conditionalFormatting>
  <conditionalFormatting sqref="D10">
    <cfRule type="cellIs" dxfId="21" priority="21" operator="equal">
      <formula>""</formula>
    </cfRule>
  </conditionalFormatting>
  <conditionalFormatting sqref="D10">
    <cfRule type="cellIs" dxfId="20" priority="22" operator="notEqual">
      <formula>$A10</formula>
    </cfRule>
  </conditionalFormatting>
  <conditionalFormatting sqref="H22">
    <cfRule type="cellIs" dxfId="19" priority="20" operator="notEqual">
      <formula>$A22</formula>
    </cfRule>
  </conditionalFormatting>
  <conditionalFormatting sqref="H19">
    <cfRule type="cellIs" dxfId="18" priority="17" operator="notEqual">
      <formula>$A19</formula>
    </cfRule>
  </conditionalFormatting>
  <conditionalFormatting sqref="H19">
    <cfRule type="cellIs" dxfId="17" priority="19" operator="equal">
      <formula>""</formula>
    </cfRule>
  </conditionalFormatting>
  <conditionalFormatting sqref="H22">
    <cfRule type="cellIs" dxfId="16" priority="18" operator="equal">
      <formula>""</formula>
    </cfRule>
  </conditionalFormatting>
  <conditionalFormatting sqref="H21">
    <cfRule type="cellIs" dxfId="15" priority="15" operator="equal">
      <formula>""</formula>
    </cfRule>
  </conditionalFormatting>
  <conditionalFormatting sqref="H21">
    <cfRule type="cellIs" dxfId="14" priority="16" operator="notEqual">
      <formula>$A21</formula>
    </cfRule>
  </conditionalFormatting>
  <conditionalFormatting sqref="H21">
    <cfRule type="cellIs" dxfId="13" priority="13" operator="equal">
      <formula>""</formula>
    </cfRule>
  </conditionalFormatting>
  <conditionalFormatting sqref="H21">
    <cfRule type="cellIs" dxfId="12" priority="14" operator="notEqual">
      <formula>$A21</formula>
    </cfRule>
  </conditionalFormatting>
  <conditionalFormatting sqref="H8">
    <cfRule type="cellIs" dxfId="11" priority="11" operator="equal">
      <formula>""</formula>
    </cfRule>
  </conditionalFormatting>
  <conditionalFormatting sqref="H8">
    <cfRule type="cellIs" dxfId="10" priority="12" operator="notEqual">
      <formula>$A8</formula>
    </cfRule>
  </conditionalFormatting>
  <conditionalFormatting sqref="H12:H13 H17:H18">
    <cfRule type="cellIs" dxfId="9" priority="10" operator="notEqual">
      <formula>$A12</formula>
    </cfRule>
  </conditionalFormatting>
  <conditionalFormatting sqref="H9">
    <cfRule type="cellIs" dxfId="8" priority="8" operator="notEqual">
      <formula>$A9</formula>
    </cfRule>
  </conditionalFormatting>
  <conditionalFormatting sqref="H9">
    <cfRule type="cellIs" dxfId="7" priority="9" operator="equal">
      <formula>""</formula>
    </cfRule>
  </conditionalFormatting>
  <conditionalFormatting sqref="H20">
    <cfRule type="cellIs" dxfId="6" priority="6" operator="equal">
      <formula>""</formula>
    </cfRule>
  </conditionalFormatting>
  <conditionalFormatting sqref="H20">
    <cfRule type="cellIs" dxfId="5" priority="7" operator="notEqual">
      <formula>$A20</formula>
    </cfRule>
  </conditionalFormatting>
  <conditionalFormatting sqref="H20">
    <cfRule type="cellIs" dxfId="4" priority="4" operator="equal">
      <formula>""</formula>
    </cfRule>
  </conditionalFormatting>
  <conditionalFormatting sqref="H20">
    <cfRule type="cellIs" dxfId="3" priority="5" operator="notEqual">
      <formula>$A20</formula>
    </cfRule>
  </conditionalFormatting>
  <conditionalFormatting sqref="G18">
    <cfRule type="cellIs" dxfId="2" priority="3" operator="notEqual">
      <formula>$A18</formula>
    </cfRule>
  </conditionalFormatting>
  <conditionalFormatting sqref="C11:AN11">
    <cfRule type="cellIs" dxfId="1" priority="1" operator="equal">
      <formula>""</formula>
    </cfRule>
  </conditionalFormatting>
  <conditionalFormatting sqref="C11:AN11">
    <cfRule type="cellIs" dxfId="0" priority="2" operator="notEqual">
      <formula>$A11</formula>
    </cfRule>
  </conditionalFormatting>
  <dataValidations count="14">
    <dataValidation type="list" allowBlank="1" showInputMessage="1" showErrorMessage="1" sqref="A20:A21" xr:uid="{00000000-0002-0000-0300-000000000000}">
      <formula1>"Advisory, Non Advisory, Genesis, None"</formula1>
    </dataValidation>
    <dataValidation type="list" allowBlank="1" showInputMessage="1" showErrorMessage="1" sqref="A7:A9 A23 C23:AN23 C8:AN9 C6:AN6" xr:uid="{00000000-0002-0000-0300-000001000000}">
      <formula1>"Yes, No"</formula1>
    </dataValidation>
    <dataValidation type="list" allowBlank="1" showInputMessage="1" showErrorMessage="1" sqref="A24 A26:A27 A22 C22:AN22" xr:uid="{00000000-0002-0000-0300-000002000000}">
      <formula1>"Bootstrap Current Period Forward Rates, Use Future Forward Rates, Use Current Spot Rates"</formula1>
    </dataValidation>
    <dataValidation type="list" allowBlank="1" showInputMessage="1" showErrorMessage="1" sqref="A19" xr:uid="{00000000-0002-0000-0300-000003000000}">
      <formula1>"ArcTan, Genesis, Beta"</formula1>
    </dataValidation>
    <dataValidation type="list" allowBlank="1" showInputMessage="1" showErrorMessage="1" sqref="W20 AJ20:AM20 X20:AA21 AN20:AN21 AB20:AE20 AF20:AI21 C20:V21" xr:uid="{00000000-0002-0000-0300-000004000000}">
      <formula1>"Advisory, Non Advisory, None, Alt Model"</formula1>
    </dataValidation>
    <dataValidation type="list" allowBlank="1" showInputMessage="1" showErrorMessage="1" sqref="W21" xr:uid="{00000000-0002-0000-0300-000005000000}">
      <formula1>"Advisory, Non Advisory, None, Alt Model, Non Advisory_AnnGen"</formula1>
    </dataValidation>
    <dataValidation type="list" allowBlank="1" showInputMessage="1" showErrorMessage="1" sqref="AJ21:AM21 AB21:AE21" xr:uid="{00000000-0002-0000-0300-000006000000}">
      <formula1>"Advisory, Non Advisory, None, Alt Model, X5_Util, X5_NonUtil"</formula1>
    </dataValidation>
    <dataValidation type="list" allowBlank="1" showInputMessage="1" showErrorMessage="1" sqref="A25 C25:AN25" xr:uid="{00000000-0002-0000-0300-000007000000}">
      <formula1>"None,ISL 2019"</formula1>
    </dataValidation>
    <dataValidation type="list" allowBlank="1" showInputMessage="1" showErrorMessage="1" sqref="A28:A29 C24:AN24 C26:AN29" xr:uid="{00000000-0002-0000-0300-000008000000}">
      <formula1>"Bootstrap Current Period Forward Rates,Use Current Spot Rates,Use Future Forward Rates,Use Ten Year Swap Rate,Use Ten Year Swap Rate At Issue"</formula1>
    </dataValidation>
    <dataValidation type="list" allowBlank="1" showInputMessage="1" showErrorMessage="1" sqref="A16 C16:AN16" xr:uid="{00000000-0002-0000-0300-000009000000}">
      <formula1>"Fund Value, Annuity Benefit, Alt Model,Alt Model with Death Benefits"</formula1>
    </dataValidation>
    <dataValidation type="list" allowBlank="1" showInputMessage="1" showErrorMessage="1" sqref="O7:AN7 I7 K7 M7 C7:E7" xr:uid="{00000000-0002-0000-0300-00000A000000}">
      <formula1>"NA,IA,RILA"</formula1>
    </dataValidation>
    <dataValidation type="list" allowBlank="1" showInputMessage="1" showErrorMessage="1" sqref="J7 L7 N7 F7:H7" xr:uid="{00000000-0002-0000-0300-00000B000000}">
      <formula1>"NA,IA,RILA,Hybrid"</formula1>
    </dataValidation>
    <dataValidation type="list" allowBlank="1" showInputMessage="1" showErrorMessage="1" sqref="C19:AN19" xr:uid="{00000000-0002-0000-0300-00000C000000}">
      <formula1>"ArcTan, Beta, ArcTan 2019, Alt Model"</formula1>
    </dataValidation>
    <dataValidation type="list" allowBlank="1" showInputMessage="1" showErrorMessage="1" sqref="C11:AN11" xr:uid="{13ED457B-87BF-4500-B3AD-41C6DE0F805D}">
      <formula1>"Lapse_7YT,Govt_7Yr,Swap_plus_sprd"</formula1>
    </dataValidation>
  </dataValidations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7"/>
  <sheetViews>
    <sheetView zoomScale="70" zoomScaleNormal="70" workbookViewId="0">
      <pane xSplit="2" ySplit="5" topLeftCell="C53" activePane="bottomRight" state="frozen"/>
      <selection pane="topRight" activeCell="C1" sqref="C1"/>
      <selection pane="bottomLeft" activeCell="A6" sqref="A6"/>
      <selection pane="bottomRight" activeCell="R76" sqref="R76"/>
    </sheetView>
  </sheetViews>
  <sheetFormatPr defaultRowHeight="12.5" x14ac:dyDescent="0.25"/>
  <cols>
    <col min="1" max="1" width="9.81640625" bestFit="1" customWidth="1"/>
    <col min="3" max="3" width="14.1796875" bestFit="1" customWidth="1"/>
    <col min="4" max="12" width="21.54296875" customWidth="1"/>
  </cols>
  <sheetData>
    <row r="1" spans="1:12" ht="15.5" x14ac:dyDescent="0.25">
      <c r="A1" s="14" t="s">
        <v>6</v>
      </c>
      <c r="B1" s="13" t="s">
        <v>27</v>
      </c>
      <c r="C1" s="13"/>
      <c r="D1" s="12"/>
      <c r="E1" s="12"/>
      <c r="F1" s="12"/>
      <c r="G1" s="12"/>
      <c r="H1" s="12"/>
      <c r="I1" s="12"/>
      <c r="J1" s="12"/>
      <c r="K1" s="12"/>
      <c r="L1" s="12"/>
    </row>
    <row r="2" spans="1:12" ht="15.5" x14ac:dyDescent="0.25">
      <c r="A2" s="14"/>
      <c r="B2" s="13"/>
      <c r="C2" s="13"/>
      <c r="D2" s="12"/>
      <c r="E2" s="12"/>
      <c r="F2" s="12"/>
      <c r="G2" s="12"/>
      <c r="H2" s="12"/>
      <c r="I2" s="12"/>
      <c r="J2" s="12"/>
      <c r="K2" s="12"/>
      <c r="L2" s="12"/>
    </row>
    <row r="3" spans="1:12" ht="13" x14ac:dyDescent="0.25">
      <c r="A3" s="15"/>
      <c r="B3" s="16" t="str">
        <f ca="1">GetNameRange(B5)</f>
        <v>fpw_util_tables</v>
      </c>
      <c r="C3" s="16"/>
      <c r="D3" s="20"/>
      <c r="E3" s="20"/>
      <c r="F3" s="20"/>
      <c r="G3" s="20"/>
      <c r="H3" s="20"/>
      <c r="I3" s="20"/>
      <c r="J3" s="20"/>
      <c r="K3" s="20"/>
      <c r="L3" s="20"/>
    </row>
    <row r="4" spans="1:12" ht="13" x14ac:dyDescent="0.25">
      <c r="A4" s="15" t="s">
        <v>7</v>
      </c>
      <c r="B4" s="27" t="s">
        <v>9</v>
      </c>
      <c r="C4" s="84"/>
      <c r="D4" s="41" t="s">
        <v>17</v>
      </c>
      <c r="E4" s="41" t="s">
        <v>184</v>
      </c>
      <c r="F4" s="41" t="s">
        <v>64</v>
      </c>
      <c r="G4" s="41" t="s">
        <v>15</v>
      </c>
      <c r="H4" s="41" t="s">
        <v>150</v>
      </c>
      <c r="I4" s="41" t="s">
        <v>151</v>
      </c>
      <c r="J4" s="41" t="s">
        <v>152</v>
      </c>
      <c r="K4" s="41" t="s">
        <v>26</v>
      </c>
      <c r="L4" s="41" t="s">
        <v>14</v>
      </c>
    </row>
    <row r="5" spans="1:12" ht="13" x14ac:dyDescent="0.3">
      <c r="A5" s="23" t="s">
        <v>5</v>
      </c>
      <c r="B5" s="44" t="s">
        <v>25</v>
      </c>
      <c r="C5" s="44" t="s">
        <v>181</v>
      </c>
      <c r="D5" s="42"/>
      <c r="E5" s="71"/>
      <c r="F5" s="42"/>
      <c r="G5" s="42"/>
      <c r="H5" s="71"/>
      <c r="I5" s="71"/>
      <c r="J5" s="71"/>
      <c r="K5" s="42"/>
      <c r="L5" s="42"/>
    </row>
    <row r="6" spans="1:12" x14ac:dyDescent="0.25">
      <c r="A6" s="15"/>
      <c r="B6" s="36">
        <v>40</v>
      </c>
      <c r="C6" s="36" t="s">
        <v>182</v>
      </c>
      <c r="D6" s="39">
        <v>0</v>
      </c>
      <c r="E6" s="91">
        <v>0.17</v>
      </c>
      <c r="F6" s="38">
        <f>G6/2</f>
        <v>8.5000000000000006E-2</v>
      </c>
      <c r="G6" s="39">
        <v>0.17</v>
      </c>
      <c r="H6" s="39">
        <v>8.5000000000000006E-2</v>
      </c>
      <c r="I6" s="39">
        <v>7.4999999999999997E-2</v>
      </c>
      <c r="J6" s="39">
        <f>0.77*H6+0.23*I6</f>
        <v>8.270000000000001E-2</v>
      </c>
      <c r="K6" s="39">
        <v>0.2</v>
      </c>
      <c r="L6" s="39">
        <v>1</v>
      </c>
    </row>
    <row r="7" spans="1:12" x14ac:dyDescent="0.25">
      <c r="A7" s="15"/>
      <c r="B7" s="36">
        <v>41</v>
      </c>
      <c r="C7" s="36" t="s">
        <v>182</v>
      </c>
      <c r="D7" s="39">
        <v>0</v>
      </c>
      <c r="E7" s="91">
        <v>0.17</v>
      </c>
      <c r="F7" s="38">
        <f t="shared" ref="F7:F56" si="0">G7/2</f>
        <v>8.5000000000000006E-2</v>
      </c>
      <c r="G7" s="39">
        <v>0.17</v>
      </c>
      <c r="H7" s="39">
        <v>8.5000000000000006E-2</v>
      </c>
      <c r="I7" s="39">
        <v>7.4999999999999997E-2</v>
      </c>
      <c r="J7" s="39">
        <f t="shared" ref="J7:J56" si="1">0.77*H7+0.23*I7</f>
        <v>8.270000000000001E-2</v>
      </c>
      <c r="K7" s="39">
        <v>0.2</v>
      </c>
      <c r="L7" s="39">
        <v>1</v>
      </c>
    </row>
    <row r="8" spans="1:12" x14ac:dyDescent="0.25">
      <c r="A8" s="15"/>
      <c r="B8" s="36">
        <v>42</v>
      </c>
      <c r="C8" s="36" t="s">
        <v>182</v>
      </c>
      <c r="D8" s="39">
        <v>0</v>
      </c>
      <c r="E8" s="91">
        <v>0.17</v>
      </c>
      <c r="F8" s="38">
        <f t="shared" si="0"/>
        <v>8.5000000000000006E-2</v>
      </c>
      <c r="G8" s="39">
        <v>0.17</v>
      </c>
      <c r="H8" s="39">
        <v>8.5000000000000006E-2</v>
      </c>
      <c r="I8" s="39">
        <v>7.4999999999999997E-2</v>
      </c>
      <c r="J8" s="39">
        <f t="shared" si="1"/>
        <v>8.270000000000001E-2</v>
      </c>
      <c r="K8" s="39">
        <v>0.2</v>
      </c>
      <c r="L8" s="39">
        <v>1</v>
      </c>
    </row>
    <row r="9" spans="1:12" x14ac:dyDescent="0.25">
      <c r="A9" s="15"/>
      <c r="B9" s="36">
        <v>43</v>
      </c>
      <c r="C9" s="36" t="s">
        <v>182</v>
      </c>
      <c r="D9" s="39">
        <v>0</v>
      </c>
      <c r="E9" s="91">
        <v>0.17</v>
      </c>
      <c r="F9" s="38">
        <f t="shared" si="0"/>
        <v>8.5000000000000006E-2</v>
      </c>
      <c r="G9" s="39">
        <v>0.17</v>
      </c>
      <c r="H9" s="39">
        <v>8.5000000000000006E-2</v>
      </c>
      <c r="I9" s="39">
        <v>7.4999999999999997E-2</v>
      </c>
      <c r="J9" s="39">
        <f t="shared" si="1"/>
        <v>8.270000000000001E-2</v>
      </c>
      <c r="K9" s="39">
        <v>0.2</v>
      </c>
      <c r="L9" s="39">
        <v>1</v>
      </c>
    </row>
    <row r="10" spans="1:12" x14ac:dyDescent="0.25">
      <c r="A10" s="15"/>
      <c r="B10" s="36">
        <v>44</v>
      </c>
      <c r="C10" s="36" t="s">
        <v>182</v>
      </c>
      <c r="D10" s="39">
        <v>0</v>
      </c>
      <c r="E10" s="91">
        <v>0.17</v>
      </c>
      <c r="F10" s="38">
        <f t="shared" si="0"/>
        <v>8.5000000000000006E-2</v>
      </c>
      <c r="G10" s="39">
        <v>0.17</v>
      </c>
      <c r="H10" s="39">
        <v>8.5000000000000006E-2</v>
      </c>
      <c r="I10" s="39">
        <v>7.4999999999999997E-2</v>
      </c>
      <c r="J10" s="39">
        <f t="shared" si="1"/>
        <v>8.270000000000001E-2</v>
      </c>
      <c r="K10" s="39">
        <v>0.2</v>
      </c>
      <c r="L10" s="39">
        <v>1</v>
      </c>
    </row>
    <row r="11" spans="1:12" x14ac:dyDescent="0.25">
      <c r="A11" s="15"/>
      <c r="B11" s="36">
        <v>45</v>
      </c>
      <c r="C11" s="36" t="s">
        <v>182</v>
      </c>
      <c r="D11" s="39">
        <v>0</v>
      </c>
      <c r="E11" s="91">
        <v>0.17</v>
      </c>
      <c r="F11" s="38">
        <f t="shared" si="0"/>
        <v>8.5000000000000006E-2</v>
      </c>
      <c r="G11" s="39">
        <v>0.17</v>
      </c>
      <c r="H11" s="39">
        <v>8.5000000000000006E-2</v>
      </c>
      <c r="I11" s="39">
        <v>7.4999999999999997E-2</v>
      </c>
      <c r="J11" s="39">
        <f t="shared" si="1"/>
        <v>8.270000000000001E-2</v>
      </c>
      <c r="K11" s="39">
        <v>0.2</v>
      </c>
      <c r="L11" s="39">
        <v>1</v>
      </c>
    </row>
    <row r="12" spans="1:12" x14ac:dyDescent="0.25">
      <c r="B12" s="36">
        <v>46</v>
      </c>
      <c r="C12" s="36" t="s">
        <v>182</v>
      </c>
      <c r="D12" s="39">
        <v>0</v>
      </c>
      <c r="E12" s="91">
        <v>0.17</v>
      </c>
      <c r="F12" s="38">
        <f t="shared" si="0"/>
        <v>8.5000000000000006E-2</v>
      </c>
      <c r="G12" s="39">
        <v>0.17</v>
      </c>
      <c r="H12" s="39">
        <v>8.5000000000000006E-2</v>
      </c>
      <c r="I12" s="39">
        <v>7.4999999999999997E-2</v>
      </c>
      <c r="J12" s="39">
        <f t="shared" si="1"/>
        <v>8.270000000000001E-2</v>
      </c>
      <c r="K12" s="39">
        <v>0.2</v>
      </c>
      <c r="L12" s="39">
        <v>1</v>
      </c>
    </row>
    <row r="13" spans="1:12" x14ac:dyDescent="0.25">
      <c r="B13" s="36">
        <v>47</v>
      </c>
      <c r="C13" s="36" t="s">
        <v>182</v>
      </c>
      <c r="D13" s="39">
        <v>0</v>
      </c>
      <c r="E13" s="91">
        <v>0.17</v>
      </c>
      <c r="F13" s="38">
        <f t="shared" si="0"/>
        <v>8.5000000000000006E-2</v>
      </c>
      <c r="G13" s="39">
        <v>0.17</v>
      </c>
      <c r="H13" s="39">
        <v>8.5000000000000006E-2</v>
      </c>
      <c r="I13" s="39">
        <v>7.4999999999999997E-2</v>
      </c>
      <c r="J13" s="39">
        <f t="shared" si="1"/>
        <v>8.270000000000001E-2</v>
      </c>
      <c r="K13" s="39">
        <v>0.2</v>
      </c>
      <c r="L13" s="39">
        <v>1</v>
      </c>
    </row>
    <row r="14" spans="1:12" x14ac:dyDescent="0.25">
      <c r="B14" s="36">
        <v>48</v>
      </c>
      <c r="C14" s="36" t="s">
        <v>182</v>
      </c>
      <c r="D14" s="39">
        <v>0</v>
      </c>
      <c r="E14" s="91">
        <v>0.17</v>
      </c>
      <c r="F14" s="38">
        <f t="shared" si="0"/>
        <v>8.5000000000000006E-2</v>
      </c>
      <c r="G14" s="39">
        <v>0.17</v>
      </c>
      <c r="H14" s="39">
        <v>8.5000000000000006E-2</v>
      </c>
      <c r="I14" s="39">
        <v>7.4999999999999997E-2</v>
      </c>
      <c r="J14" s="39">
        <f t="shared" si="1"/>
        <v>8.270000000000001E-2</v>
      </c>
      <c r="K14" s="39">
        <v>0.2</v>
      </c>
      <c r="L14" s="39">
        <v>1</v>
      </c>
    </row>
    <row r="15" spans="1:12" x14ac:dyDescent="0.25">
      <c r="B15" s="36">
        <v>49</v>
      </c>
      <c r="C15" s="36" t="s">
        <v>182</v>
      </c>
      <c r="D15" s="39">
        <v>0</v>
      </c>
      <c r="E15" s="91">
        <v>0.17</v>
      </c>
      <c r="F15" s="38">
        <f t="shared" si="0"/>
        <v>8.5000000000000006E-2</v>
      </c>
      <c r="G15" s="39">
        <v>0.17</v>
      </c>
      <c r="H15" s="39">
        <v>8.5000000000000006E-2</v>
      </c>
      <c r="I15" s="39">
        <v>7.4999999999999997E-2</v>
      </c>
      <c r="J15" s="39">
        <f t="shared" si="1"/>
        <v>8.270000000000001E-2</v>
      </c>
      <c r="K15" s="39">
        <v>0.2</v>
      </c>
      <c r="L15" s="39">
        <v>1</v>
      </c>
    </row>
    <row r="16" spans="1:12" x14ac:dyDescent="0.25">
      <c r="B16" s="36">
        <v>50</v>
      </c>
      <c r="C16" s="36" t="s">
        <v>182</v>
      </c>
      <c r="D16" s="39">
        <v>0</v>
      </c>
      <c r="E16" s="91">
        <v>0.17</v>
      </c>
      <c r="F16" s="38">
        <f t="shared" si="0"/>
        <v>8.5000000000000006E-2</v>
      </c>
      <c r="G16" s="39">
        <v>0.17</v>
      </c>
      <c r="H16" s="39">
        <v>8.5000000000000006E-2</v>
      </c>
      <c r="I16" s="39">
        <v>7.4999999999999997E-2</v>
      </c>
      <c r="J16" s="39">
        <f t="shared" si="1"/>
        <v>8.270000000000001E-2</v>
      </c>
      <c r="K16" s="39">
        <v>0.2</v>
      </c>
      <c r="L16" s="39">
        <v>1</v>
      </c>
    </row>
    <row r="17" spans="2:12" x14ac:dyDescent="0.25">
      <c r="B17" s="36">
        <v>51</v>
      </c>
      <c r="C17" s="36" t="s">
        <v>182</v>
      </c>
      <c r="D17" s="39">
        <v>0</v>
      </c>
      <c r="E17" s="91">
        <v>0.17</v>
      </c>
      <c r="F17" s="38">
        <f t="shared" si="0"/>
        <v>8.5000000000000006E-2</v>
      </c>
      <c r="G17" s="39">
        <v>0.17</v>
      </c>
      <c r="H17" s="39">
        <v>8.5000000000000006E-2</v>
      </c>
      <c r="I17" s="39">
        <v>7.4999999999999997E-2</v>
      </c>
      <c r="J17" s="39">
        <f t="shared" si="1"/>
        <v>8.270000000000001E-2</v>
      </c>
      <c r="K17" s="39">
        <v>0.2</v>
      </c>
      <c r="L17" s="39">
        <v>1</v>
      </c>
    </row>
    <row r="18" spans="2:12" x14ac:dyDescent="0.25">
      <c r="B18" s="36">
        <v>52</v>
      </c>
      <c r="C18" s="36" t="s">
        <v>182</v>
      </c>
      <c r="D18" s="39">
        <v>0</v>
      </c>
      <c r="E18" s="91">
        <v>0.17</v>
      </c>
      <c r="F18" s="38">
        <f t="shared" si="0"/>
        <v>8.5000000000000006E-2</v>
      </c>
      <c r="G18" s="39">
        <v>0.17</v>
      </c>
      <c r="H18" s="39">
        <v>8.5000000000000006E-2</v>
      </c>
      <c r="I18" s="39">
        <v>7.4999999999999997E-2</v>
      </c>
      <c r="J18" s="39">
        <f t="shared" si="1"/>
        <v>8.270000000000001E-2</v>
      </c>
      <c r="K18" s="39">
        <v>0.2</v>
      </c>
      <c r="L18" s="39">
        <v>1</v>
      </c>
    </row>
    <row r="19" spans="2:12" x14ac:dyDescent="0.25">
      <c r="B19" s="36">
        <v>53</v>
      </c>
      <c r="C19" s="36" t="s">
        <v>182</v>
      </c>
      <c r="D19" s="39">
        <v>0</v>
      </c>
      <c r="E19" s="91">
        <v>0.17</v>
      </c>
      <c r="F19" s="38">
        <f t="shared" si="0"/>
        <v>8.5000000000000006E-2</v>
      </c>
      <c r="G19" s="39">
        <v>0.17</v>
      </c>
      <c r="H19" s="39">
        <v>8.5000000000000006E-2</v>
      </c>
      <c r="I19" s="39">
        <v>7.4999999999999997E-2</v>
      </c>
      <c r="J19" s="39">
        <f t="shared" si="1"/>
        <v>8.270000000000001E-2</v>
      </c>
      <c r="K19" s="39">
        <v>0.2</v>
      </c>
      <c r="L19" s="39">
        <v>1</v>
      </c>
    </row>
    <row r="20" spans="2:12" x14ac:dyDescent="0.25">
      <c r="B20" s="36">
        <v>54</v>
      </c>
      <c r="C20" s="36" t="s">
        <v>182</v>
      </c>
      <c r="D20" s="39">
        <v>0</v>
      </c>
      <c r="E20" s="91">
        <v>0.17</v>
      </c>
      <c r="F20" s="38">
        <f t="shared" si="0"/>
        <v>8.5000000000000006E-2</v>
      </c>
      <c r="G20" s="39">
        <v>0.17</v>
      </c>
      <c r="H20" s="39">
        <v>8.5000000000000006E-2</v>
      </c>
      <c r="I20" s="39">
        <v>7.4999999999999997E-2</v>
      </c>
      <c r="J20" s="39">
        <f t="shared" si="1"/>
        <v>8.270000000000001E-2</v>
      </c>
      <c r="K20" s="39">
        <v>0.2</v>
      </c>
      <c r="L20" s="39">
        <v>1</v>
      </c>
    </row>
    <row r="21" spans="2:12" x14ac:dyDescent="0.25">
      <c r="B21" s="36">
        <v>55</v>
      </c>
      <c r="C21" s="36" t="s">
        <v>182</v>
      </c>
      <c r="D21" s="39">
        <v>0</v>
      </c>
      <c r="E21" s="91">
        <v>0.17</v>
      </c>
      <c r="F21" s="38">
        <f t="shared" si="0"/>
        <v>8.5000000000000006E-2</v>
      </c>
      <c r="G21" s="40">
        <v>0.17</v>
      </c>
      <c r="H21" s="39">
        <v>8.5000000000000006E-2</v>
      </c>
      <c r="I21" s="39">
        <v>7.4999999999999997E-2</v>
      </c>
      <c r="J21" s="39">
        <f t="shared" si="1"/>
        <v>8.270000000000001E-2</v>
      </c>
      <c r="K21" s="39">
        <v>0.2</v>
      </c>
      <c r="L21" s="39">
        <v>1</v>
      </c>
    </row>
    <row r="22" spans="2:12" x14ac:dyDescent="0.25">
      <c r="B22" s="36">
        <v>56</v>
      </c>
      <c r="C22" s="36" t="s">
        <v>182</v>
      </c>
      <c r="D22" s="39">
        <v>0</v>
      </c>
      <c r="E22" s="91">
        <v>0.17</v>
      </c>
      <c r="F22" s="38">
        <f t="shared" si="0"/>
        <v>8.5000000000000006E-2</v>
      </c>
      <c r="G22" s="40">
        <v>0.17</v>
      </c>
      <c r="H22" s="39">
        <v>8.5000000000000006E-2</v>
      </c>
      <c r="I22" s="39">
        <v>7.4999999999999997E-2</v>
      </c>
      <c r="J22" s="39">
        <f t="shared" si="1"/>
        <v>8.270000000000001E-2</v>
      </c>
      <c r="K22" s="39">
        <v>0.2</v>
      </c>
      <c r="L22" s="39">
        <v>1</v>
      </c>
    </row>
    <row r="23" spans="2:12" x14ac:dyDescent="0.25">
      <c r="B23" s="36">
        <v>57</v>
      </c>
      <c r="C23" s="36" t="s">
        <v>182</v>
      </c>
      <c r="D23" s="39">
        <v>0</v>
      </c>
      <c r="E23" s="91">
        <v>0.17</v>
      </c>
      <c r="F23" s="38">
        <f t="shared" si="0"/>
        <v>8.5000000000000006E-2</v>
      </c>
      <c r="G23" s="40">
        <v>0.17</v>
      </c>
      <c r="H23" s="39">
        <v>8.5000000000000006E-2</v>
      </c>
      <c r="I23" s="39">
        <v>7.4999999999999997E-2</v>
      </c>
      <c r="J23" s="39">
        <f t="shared" si="1"/>
        <v>8.270000000000001E-2</v>
      </c>
      <c r="K23" s="39">
        <v>0.2</v>
      </c>
      <c r="L23" s="39">
        <v>1</v>
      </c>
    </row>
    <row r="24" spans="2:12" x14ac:dyDescent="0.25">
      <c r="B24" s="36">
        <v>58</v>
      </c>
      <c r="C24" s="36" t="s">
        <v>182</v>
      </c>
      <c r="D24" s="39">
        <v>0</v>
      </c>
      <c r="E24" s="91">
        <v>0.17</v>
      </c>
      <c r="F24" s="38">
        <f t="shared" si="0"/>
        <v>8.5000000000000006E-2</v>
      </c>
      <c r="G24" s="40">
        <v>0.17</v>
      </c>
      <c r="H24" s="39">
        <v>8.5000000000000006E-2</v>
      </c>
      <c r="I24" s="39">
        <v>7.4999999999999997E-2</v>
      </c>
      <c r="J24" s="39">
        <f t="shared" si="1"/>
        <v>8.270000000000001E-2</v>
      </c>
      <c r="K24" s="39">
        <v>0.2</v>
      </c>
      <c r="L24" s="39">
        <v>1</v>
      </c>
    </row>
    <row r="25" spans="2:12" x14ac:dyDescent="0.25">
      <c r="B25" s="36">
        <v>59</v>
      </c>
      <c r="C25" s="36" t="s">
        <v>182</v>
      </c>
      <c r="D25" s="39">
        <v>0</v>
      </c>
      <c r="E25" s="91">
        <v>0.17</v>
      </c>
      <c r="F25" s="38">
        <f t="shared" si="0"/>
        <v>8.5000000000000006E-2</v>
      </c>
      <c r="G25" s="40">
        <v>0.17</v>
      </c>
      <c r="H25" s="39">
        <v>8.5000000000000006E-2</v>
      </c>
      <c r="I25" s="39">
        <v>7.4999999999999997E-2</v>
      </c>
      <c r="J25" s="39">
        <f t="shared" si="1"/>
        <v>8.270000000000001E-2</v>
      </c>
      <c r="K25" s="39">
        <v>0.2</v>
      </c>
      <c r="L25" s="39">
        <v>1</v>
      </c>
    </row>
    <row r="26" spans="2:12" x14ac:dyDescent="0.25">
      <c r="B26" s="36">
        <v>60</v>
      </c>
      <c r="C26" s="36" t="s">
        <v>182</v>
      </c>
      <c r="D26" s="39">
        <v>0</v>
      </c>
      <c r="E26" s="91">
        <v>0.2</v>
      </c>
      <c r="F26" s="38">
        <f t="shared" si="0"/>
        <v>0.1</v>
      </c>
      <c r="G26" s="40">
        <v>0.2</v>
      </c>
      <c r="H26" s="39">
        <v>8.5000000000000006E-2</v>
      </c>
      <c r="I26" s="39">
        <v>7.4999999999999997E-2</v>
      </c>
      <c r="J26" s="39">
        <f t="shared" si="1"/>
        <v>8.270000000000001E-2</v>
      </c>
      <c r="K26" s="39">
        <v>0.2</v>
      </c>
      <c r="L26" s="39">
        <v>1</v>
      </c>
    </row>
    <row r="27" spans="2:12" x14ac:dyDescent="0.25">
      <c r="B27" s="36">
        <v>61</v>
      </c>
      <c r="C27" s="36" t="s">
        <v>182</v>
      </c>
      <c r="D27" s="39">
        <v>0</v>
      </c>
      <c r="E27" s="91">
        <v>0.2</v>
      </c>
      <c r="F27" s="38">
        <f t="shared" si="0"/>
        <v>0.1</v>
      </c>
      <c r="G27" s="40">
        <v>0.2</v>
      </c>
      <c r="H27" s="39">
        <v>8.5000000000000006E-2</v>
      </c>
      <c r="I27" s="39">
        <v>7.4999999999999997E-2</v>
      </c>
      <c r="J27" s="39">
        <f t="shared" si="1"/>
        <v>8.270000000000001E-2</v>
      </c>
      <c r="K27" s="39">
        <v>0.2</v>
      </c>
      <c r="L27" s="39">
        <v>1</v>
      </c>
    </row>
    <row r="28" spans="2:12" x14ac:dyDescent="0.25">
      <c r="B28" s="36">
        <v>62</v>
      </c>
      <c r="C28" s="36" t="s">
        <v>182</v>
      </c>
      <c r="D28" s="39">
        <v>0</v>
      </c>
      <c r="E28" s="91">
        <v>0.2</v>
      </c>
      <c r="F28" s="38">
        <f t="shared" si="0"/>
        <v>0.1</v>
      </c>
      <c r="G28" s="40">
        <v>0.2</v>
      </c>
      <c r="H28" s="39">
        <v>8.5000000000000006E-2</v>
      </c>
      <c r="I28" s="39">
        <v>7.4999999999999997E-2</v>
      </c>
      <c r="J28" s="39">
        <f t="shared" si="1"/>
        <v>8.270000000000001E-2</v>
      </c>
      <c r="K28" s="39">
        <v>0.2</v>
      </c>
      <c r="L28" s="39">
        <v>1</v>
      </c>
    </row>
    <row r="29" spans="2:12" x14ac:dyDescent="0.25">
      <c r="B29" s="36">
        <v>63</v>
      </c>
      <c r="C29" s="36" t="s">
        <v>182</v>
      </c>
      <c r="D29" s="39">
        <v>0</v>
      </c>
      <c r="E29" s="91">
        <v>0.2</v>
      </c>
      <c r="F29" s="38">
        <f t="shared" si="0"/>
        <v>0.1</v>
      </c>
      <c r="G29" s="40">
        <v>0.2</v>
      </c>
      <c r="H29" s="39">
        <v>8.5000000000000006E-2</v>
      </c>
      <c r="I29" s="39">
        <v>7.4999999999999997E-2</v>
      </c>
      <c r="J29" s="39">
        <f t="shared" si="1"/>
        <v>8.270000000000001E-2</v>
      </c>
      <c r="K29" s="39">
        <v>0.2</v>
      </c>
      <c r="L29" s="39">
        <v>1</v>
      </c>
    </row>
    <row r="30" spans="2:12" x14ac:dyDescent="0.25">
      <c r="B30" s="36">
        <v>64</v>
      </c>
      <c r="C30" s="36" t="s">
        <v>182</v>
      </c>
      <c r="D30" s="39">
        <v>0</v>
      </c>
      <c r="E30" s="91">
        <v>0.2</v>
      </c>
      <c r="F30" s="38">
        <f t="shared" si="0"/>
        <v>0.1</v>
      </c>
      <c r="G30" s="40">
        <v>0.2</v>
      </c>
      <c r="H30" s="39">
        <v>8.5000000000000006E-2</v>
      </c>
      <c r="I30" s="39">
        <v>7.4999999999999997E-2</v>
      </c>
      <c r="J30" s="39">
        <f t="shared" si="1"/>
        <v>8.270000000000001E-2</v>
      </c>
      <c r="K30" s="39">
        <v>0.2</v>
      </c>
      <c r="L30" s="39">
        <v>1</v>
      </c>
    </row>
    <row r="31" spans="2:12" x14ac:dyDescent="0.25">
      <c r="B31" s="36">
        <v>65</v>
      </c>
      <c r="C31" s="36" t="s">
        <v>182</v>
      </c>
      <c r="D31" s="39">
        <v>0</v>
      </c>
      <c r="E31" s="91">
        <v>0.2</v>
      </c>
      <c r="F31" s="38">
        <f t="shared" si="0"/>
        <v>0.1</v>
      </c>
      <c r="G31" s="40">
        <v>0.2</v>
      </c>
      <c r="H31" s="39">
        <v>8.5000000000000006E-2</v>
      </c>
      <c r="I31" s="39">
        <v>7.4999999999999997E-2</v>
      </c>
      <c r="J31" s="39">
        <f t="shared" si="1"/>
        <v>8.270000000000001E-2</v>
      </c>
      <c r="K31" s="39">
        <v>0.2</v>
      </c>
      <c r="L31" s="39">
        <v>1</v>
      </c>
    </row>
    <row r="32" spans="2:12" x14ac:dyDescent="0.25">
      <c r="B32" s="36">
        <v>66</v>
      </c>
      <c r="C32" s="36" t="s">
        <v>182</v>
      </c>
      <c r="D32" s="39">
        <v>0</v>
      </c>
      <c r="E32" s="91">
        <v>0.2</v>
      </c>
      <c r="F32" s="38">
        <f t="shared" si="0"/>
        <v>0.1</v>
      </c>
      <c r="G32" s="40">
        <v>0.2</v>
      </c>
      <c r="H32" s="39">
        <v>8.5000000000000006E-2</v>
      </c>
      <c r="I32" s="39">
        <v>7.4999999999999997E-2</v>
      </c>
      <c r="J32" s="39">
        <f t="shared" si="1"/>
        <v>8.270000000000001E-2</v>
      </c>
      <c r="K32" s="39">
        <v>0.2</v>
      </c>
      <c r="L32" s="39">
        <v>1</v>
      </c>
    </row>
    <row r="33" spans="2:12" x14ac:dyDescent="0.25">
      <c r="B33" s="36">
        <v>67</v>
      </c>
      <c r="C33" s="36" t="s">
        <v>182</v>
      </c>
      <c r="D33" s="39">
        <v>0</v>
      </c>
      <c r="E33" s="91">
        <v>0.2</v>
      </c>
      <c r="F33" s="38">
        <f t="shared" si="0"/>
        <v>0.1</v>
      </c>
      <c r="G33" s="40">
        <v>0.2</v>
      </c>
      <c r="H33" s="39">
        <v>8.5000000000000006E-2</v>
      </c>
      <c r="I33" s="39">
        <v>7.4999999999999997E-2</v>
      </c>
      <c r="J33" s="39">
        <f t="shared" si="1"/>
        <v>8.270000000000001E-2</v>
      </c>
      <c r="K33" s="39">
        <v>0.2</v>
      </c>
      <c r="L33" s="39">
        <v>1</v>
      </c>
    </row>
    <row r="34" spans="2:12" x14ac:dyDescent="0.25">
      <c r="B34" s="36">
        <v>68</v>
      </c>
      <c r="C34" s="36" t="s">
        <v>182</v>
      </c>
      <c r="D34" s="39">
        <v>0</v>
      </c>
      <c r="E34" s="91">
        <v>0.2</v>
      </c>
      <c r="F34" s="38">
        <f t="shared" si="0"/>
        <v>0.1</v>
      </c>
      <c r="G34" s="40">
        <v>0.2</v>
      </c>
      <c r="H34" s="39">
        <v>8.5000000000000006E-2</v>
      </c>
      <c r="I34" s="39">
        <v>7.4999999999999997E-2</v>
      </c>
      <c r="J34" s="39">
        <f t="shared" si="1"/>
        <v>8.270000000000001E-2</v>
      </c>
      <c r="K34" s="39">
        <v>0.2</v>
      </c>
      <c r="L34" s="39">
        <v>1</v>
      </c>
    </row>
    <row r="35" spans="2:12" x14ac:dyDescent="0.25">
      <c r="B35" s="36">
        <v>69</v>
      </c>
      <c r="C35" s="36" t="s">
        <v>182</v>
      </c>
      <c r="D35" s="39">
        <v>0</v>
      </c>
      <c r="E35" s="91">
        <v>0.2</v>
      </c>
      <c r="F35" s="38">
        <f t="shared" si="0"/>
        <v>0.1</v>
      </c>
      <c r="G35" s="40">
        <v>0.2</v>
      </c>
      <c r="H35" s="39">
        <v>8.5000000000000006E-2</v>
      </c>
      <c r="I35" s="39">
        <v>7.4999999999999997E-2</v>
      </c>
      <c r="J35" s="39">
        <f t="shared" si="1"/>
        <v>8.270000000000001E-2</v>
      </c>
      <c r="K35" s="39">
        <v>0.2</v>
      </c>
      <c r="L35" s="39">
        <v>1</v>
      </c>
    </row>
    <row r="36" spans="2:12" x14ac:dyDescent="0.25">
      <c r="B36" s="36">
        <v>70</v>
      </c>
      <c r="C36" s="36" t="s">
        <v>182</v>
      </c>
      <c r="D36" s="39">
        <v>0</v>
      </c>
      <c r="E36" s="91">
        <v>0.2</v>
      </c>
      <c r="F36" s="38">
        <f t="shared" si="0"/>
        <v>0.1</v>
      </c>
      <c r="G36" s="40">
        <v>0.2</v>
      </c>
      <c r="H36" s="39">
        <v>8.5000000000000006E-2</v>
      </c>
      <c r="I36" s="39">
        <v>7.4999999999999997E-2</v>
      </c>
      <c r="J36" s="39">
        <f t="shared" si="1"/>
        <v>8.270000000000001E-2</v>
      </c>
      <c r="K36" s="39">
        <v>0.2</v>
      </c>
      <c r="L36" s="39">
        <v>1</v>
      </c>
    </row>
    <row r="37" spans="2:12" x14ac:dyDescent="0.25">
      <c r="B37" s="36">
        <v>71</v>
      </c>
      <c r="C37" s="36" t="s">
        <v>182</v>
      </c>
      <c r="D37" s="39">
        <v>0</v>
      </c>
      <c r="E37" s="91">
        <v>0.2</v>
      </c>
      <c r="F37" s="38">
        <f t="shared" si="0"/>
        <v>0.1</v>
      </c>
      <c r="G37" s="40">
        <v>0.2</v>
      </c>
      <c r="H37" s="39">
        <v>8.5000000000000006E-2</v>
      </c>
      <c r="I37" s="39">
        <v>7.4999999999999997E-2</v>
      </c>
      <c r="J37" s="39">
        <f t="shared" si="1"/>
        <v>8.270000000000001E-2</v>
      </c>
      <c r="K37" s="39">
        <v>0.2</v>
      </c>
      <c r="L37" s="39">
        <v>1</v>
      </c>
    </row>
    <row r="38" spans="2:12" x14ac:dyDescent="0.25">
      <c r="B38" s="36">
        <v>72</v>
      </c>
      <c r="C38" s="36" t="s">
        <v>182</v>
      </c>
      <c r="D38" s="39">
        <v>0</v>
      </c>
      <c r="E38" s="91">
        <v>0.2</v>
      </c>
      <c r="F38" s="38">
        <f t="shared" si="0"/>
        <v>0.1</v>
      </c>
      <c r="G38" s="40">
        <v>0.2</v>
      </c>
      <c r="H38" s="40">
        <v>0.12</v>
      </c>
      <c r="I38" s="40">
        <v>0.08</v>
      </c>
      <c r="J38" s="39">
        <f t="shared" si="1"/>
        <v>0.1108</v>
      </c>
      <c r="K38" s="39">
        <v>0.2</v>
      </c>
      <c r="L38" s="39">
        <v>1</v>
      </c>
    </row>
    <row r="39" spans="2:12" x14ac:dyDescent="0.25">
      <c r="B39" s="36">
        <v>73</v>
      </c>
      <c r="C39" s="36" t="s">
        <v>182</v>
      </c>
      <c r="D39" s="39">
        <v>0</v>
      </c>
      <c r="E39" s="91">
        <v>0.2</v>
      </c>
      <c r="F39" s="38">
        <f t="shared" si="0"/>
        <v>0.1</v>
      </c>
      <c r="G39" s="40">
        <v>0.2</v>
      </c>
      <c r="H39" s="40">
        <v>0.125</v>
      </c>
      <c r="I39" s="40">
        <v>8.5000000000000006E-2</v>
      </c>
      <c r="J39" s="39">
        <f t="shared" si="1"/>
        <v>0.1158</v>
      </c>
      <c r="K39" s="39">
        <v>0.2</v>
      </c>
      <c r="L39" s="39">
        <v>1</v>
      </c>
    </row>
    <row r="40" spans="2:12" x14ac:dyDescent="0.25">
      <c r="B40" s="36">
        <v>74</v>
      </c>
      <c r="C40" s="36" t="s">
        <v>182</v>
      </c>
      <c r="D40" s="39">
        <v>0</v>
      </c>
      <c r="E40" s="91">
        <v>0.2</v>
      </c>
      <c r="F40" s="38">
        <f t="shared" si="0"/>
        <v>0.1</v>
      </c>
      <c r="G40" s="40">
        <v>0.2</v>
      </c>
      <c r="H40" s="40">
        <v>0.13</v>
      </c>
      <c r="I40" s="40">
        <v>0.09</v>
      </c>
      <c r="J40" s="39">
        <f t="shared" si="1"/>
        <v>0.1208</v>
      </c>
      <c r="K40" s="39">
        <v>0.2</v>
      </c>
      <c r="L40" s="39">
        <v>1</v>
      </c>
    </row>
    <row r="41" spans="2:12" x14ac:dyDescent="0.25">
      <c r="B41" s="36">
        <v>75</v>
      </c>
      <c r="C41" s="36" t="s">
        <v>182</v>
      </c>
      <c r="D41" s="39">
        <v>0</v>
      </c>
      <c r="E41" s="91">
        <v>0.2</v>
      </c>
      <c r="F41" s="38">
        <f t="shared" si="0"/>
        <v>0.1</v>
      </c>
      <c r="G41" s="40">
        <v>0.2</v>
      </c>
      <c r="H41" s="40">
        <v>0.13500000000000001</v>
      </c>
      <c r="I41" s="40">
        <v>9.5000000000000001E-2</v>
      </c>
      <c r="J41" s="39">
        <f t="shared" si="1"/>
        <v>0.12580000000000002</v>
      </c>
      <c r="K41" s="39">
        <v>0.2</v>
      </c>
      <c r="L41" s="39">
        <v>1</v>
      </c>
    </row>
    <row r="42" spans="2:12" x14ac:dyDescent="0.25">
      <c r="B42" s="36">
        <v>76</v>
      </c>
      <c r="C42" s="36" t="s">
        <v>182</v>
      </c>
      <c r="D42" s="39">
        <v>0</v>
      </c>
      <c r="E42" s="91">
        <v>0.2</v>
      </c>
      <c r="F42" s="38">
        <f t="shared" si="0"/>
        <v>0.1</v>
      </c>
      <c r="G42" s="40">
        <v>0.2</v>
      </c>
      <c r="H42" s="40">
        <v>0.14000000000000001</v>
      </c>
      <c r="I42" s="40">
        <v>0.1</v>
      </c>
      <c r="J42" s="39">
        <f t="shared" si="1"/>
        <v>0.1308</v>
      </c>
      <c r="K42" s="39">
        <v>0.2</v>
      </c>
      <c r="L42" s="39">
        <v>1</v>
      </c>
    </row>
    <row r="43" spans="2:12" x14ac:dyDescent="0.25">
      <c r="B43" s="36">
        <v>77</v>
      </c>
      <c r="C43" s="36" t="s">
        <v>182</v>
      </c>
      <c r="D43" s="39">
        <v>0</v>
      </c>
      <c r="E43" s="91">
        <v>0.2</v>
      </c>
      <c r="F43" s="38">
        <f t="shared" si="0"/>
        <v>0.1</v>
      </c>
      <c r="G43" s="40">
        <v>0.2</v>
      </c>
      <c r="H43" s="40">
        <v>0.14499999999999999</v>
      </c>
      <c r="I43" s="40">
        <v>0.105</v>
      </c>
      <c r="J43" s="39">
        <f t="shared" si="1"/>
        <v>0.1358</v>
      </c>
      <c r="K43" s="39">
        <v>0.2</v>
      </c>
      <c r="L43" s="39">
        <v>1</v>
      </c>
    </row>
    <row r="44" spans="2:12" x14ac:dyDescent="0.25">
      <c r="B44" s="36">
        <v>78</v>
      </c>
      <c r="C44" s="36" t="s">
        <v>182</v>
      </c>
      <c r="D44" s="39">
        <v>0</v>
      </c>
      <c r="E44" s="91">
        <v>0.2</v>
      </c>
      <c r="F44" s="38">
        <f t="shared" si="0"/>
        <v>0.1</v>
      </c>
      <c r="G44" s="40">
        <v>0.2</v>
      </c>
      <c r="H44" s="40">
        <v>0.15</v>
      </c>
      <c r="I44" s="40">
        <v>0.11</v>
      </c>
      <c r="J44" s="39">
        <f t="shared" si="1"/>
        <v>0.14079999999999998</v>
      </c>
      <c r="K44" s="39">
        <v>0.2</v>
      </c>
      <c r="L44" s="39">
        <v>1</v>
      </c>
    </row>
    <row r="45" spans="2:12" x14ac:dyDescent="0.25">
      <c r="B45" s="36">
        <v>79</v>
      </c>
      <c r="C45" s="36" t="s">
        <v>182</v>
      </c>
      <c r="D45" s="39">
        <v>0</v>
      </c>
      <c r="E45" s="91">
        <v>0.2</v>
      </c>
      <c r="F45" s="38">
        <f t="shared" si="0"/>
        <v>0.1</v>
      </c>
      <c r="G45" s="40">
        <v>0.2</v>
      </c>
      <c r="H45" s="40">
        <v>0.155</v>
      </c>
      <c r="I45" s="40">
        <v>0.115</v>
      </c>
      <c r="J45" s="39">
        <f t="shared" si="1"/>
        <v>0.14579999999999999</v>
      </c>
      <c r="K45" s="39">
        <v>0.2</v>
      </c>
      <c r="L45" s="39">
        <v>1</v>
      </c>
    </row>
    <row r="46" spans="2:12" x14ac:dyDescent="0.25">
      <c r="B46" s="36">
        <v>80</v>
      </c>
      <c r="C46" s="36" t="s">
        <v>182</v>
      </c>
      <c r="D46" s="39">
        <v>0</v>
      </c>
      <c r="E46" s="91">
        <v>0.2</v>
      </c>
      <c r="F46" s="38">
        <f t="shared" si="0"/>
        <v>0.1</v>
      </c>
      <c r="G46" s="40">
        <v>0.2</v>
      </c>
      <c r="H46" s="40">
        <v>0.16</v>
      </c>
      <c r="I46" s="40">
        <v>0.12</v>
      </c>
      <c r="J46" s="39">
        <f t="shared" si="1"/>
        <v>0.15079999999999999</v>
      </c>
      <c r="K46" s="39">
        <v>0.2</v>
      </c>
      <c r="L46" s="39">
        <v>1</v>
      </c>
    </row>
    <row r="47" spans="2:12" x14ac:dyDescent="0.25">
      <c r="B47" s="36">
        <v>81</v>
      </c>
      <c r="C47" s="36" t="s">
        <v>182</v>
      </c>
      <c r="D47" s="39">
        <v>0</v>
      </c>
      <c r="E47" s="91">
        <v>0.2</v>
      </c>
      <c r="F47" s="38">
        <f t="shared" si="0"/>
        <v>0.1</v>
      </c>
      <c r="G47" s="40">
        <v>0.2</v>
      </c>
      <c r="H47" s="40">
        <v>0.16500000000000001</v>
      </c>
      <c r="I47" s="40">
        <v>0.125</v>
      </c>
      <c r="J47" s="39">
        <f t="shared" si="1"/>
        <v>0.15579999999999999</v>
      </c>
      <c r="K47" s="39">
        <v>0.2</v>
      </c>
      <c r="L47" s="39">
        <v>1</v>
      </c>
    </row>
    <row r="48" spans="2:12" x14ac:dyDescent="0.25">
      <c r="B48" s="36">
        <v>82</v>
      </c>
      <c r="C48" s="36" t="s">
        <v>182</v>
      </c>
      <c r="D48" s="39">
        <v>0</v>
      </c>
      <c r="E48" s="91">
        <v>0.2</v>
      </c>
      <c r="F48" s="38">
        <f t="shared" si="0"/>
        <v>0.1</v>
      </c>
      <c r="G48" s="40">
        <v>0.2</v>
      </c>
      <c r="H48" s="40">
        <v>0.17</v>
      </c>
      <c r="I48" s="40">
        <v>0.13</v>
      </c>
      <c r="J48" s="39">
        <f t="shared" si="1"/>
        <v>0.16080000000000003</v>
      </c>
      <c r="K48" s="39">
        <v>0.2</v>
      </c>
      <c r="L48" s="39">
        <v>1</v>
      </c>
    </row>
    <row r="49" spans="2:12" x14ac:dyDescent="0.25">
      <c r="B49" s="36">
        <v>83</v>
      </c>
      <c r="C49" s="36" t="s">
        <v>182</v>
      </c>
      <c r="D49" s="39">
        <v>0</v>
      </c>
      <c r="E49" s="91">
        <v>0.2</v>
      </c>
      <c r="F49" s="38">
        <f t="shared" si="0"/>
        <v>0.1</v>
      </c>
      <c r="G49" s="40">
        <v>0.2</v>
      </c>
      <c r="H49" s="40">
        <v>0.17499999999999999</v>
      </c>
      <c r="I49" s="40">
        <v>0.13500000000000001</v>
      </c>
      <c r="J49" s="39">
        <f t="shared" si="1"/>
        <v>0.16579999999999998</v>
      </c>
      <c r="K49" s="39">
        <v>0.2</v>
      </c>
      <c r="L49" s="39">
        <v>1</v>
      </c>
    </row>
    <row r="50" spans="2:12" x14ac:dyDescent="0.25">
      <c r="B50" s="36">
        <v>84</v>
      </c>
      <c r="C50" s="36" t="s">
        <v>182</v>
      </c>
      <c r="D50" s="39">
        <v>0</v>
      </c>
      <c r="E50" s="91">
        <v>0.2</v>
      </c>
      <c r="F50" s="38">
        <f t="shared" si="0"/>
        <v>0.1</v>
      </c>
      <c r="G50" s="40">
        <v>0.2</v>
      </c>
      <c r="H50" s="40">
        <v>0.18</v>
      </c>
      <c r="I50" s="40">
        <v>0.14000000000000001</v>
      </c>
      <c r="J50" s="39">
        <f t="shared" si="1"/>
        <v>0.17080000000000001</v>
      </c>
      <c r="K50" s="39">
        <v>0.2</v>
      </c>
      <c r="L50" s="39">
        <v>1</v>
      </c>
    </row>
    <row r="51" spans="2:12" x14ac:dyDescent="0.25">
      <c r="B51" s="36">
        <v>85</v>
      </c>
      <c r="C51" s="36" t="s">
        <v>182</v>
      </c>
      <c r="D51" s="39">
        <v>0</v>
      </c>
      <c r="E51" s="91">
        <v>0.2</v>
      </c>
      <c r="F51" s="38">
        <f t="shared" si="0"/>
        <v>0.1</v>
      </c>
      <c r="G51" s="40">
        <v>0.2</v>
      </c>
      <c r="H51" s="40">
        <v>0.185</v>
      </c>
      <c r="I51" s="40">
        <v>0.14499999999999999</v>
      </c>
      <c r="J51" s="39">
        <f t="shared" si="1"/>
        <v>0.17579999999999998</v>
      </c>
      <c r="K51" s="39">
        <v>0.2</v>
      </c>
      <c r="L51" s="39">
        <v>1</v>
      </c>
    </row>
    <row r="52" spans="2:12" x14ac:dyDescent="0.25">
      <c r="B52" s="36">
        <v>86</v>
      </c>
      <c r="C52" s="36" t="s">
        <v>182</v>
      </c>
      <c r="D52" s="39">
        <v>0</v>
      </c>
      <c r="E52" s="91">
        <v>0.2</v>
      </c>
      <c r="F52" s="38">
        <f t="shared" si="0"/>
        <v>0.1</v>
      </c>
      <c r="G52" s="40">
        <v>0.2</v>
      </c>
      <c r="H52" s="40">
        <v>0.185</v>
      </c>
      <c r="I52" s="40">
        <v>0.14499999999999999</v>
      </c>
      <c r="J52" s="39">
        <f t="shared" si="1"/>
        <v>0.17579999999999998</v>
      </c>
      <c r="K52" s="39">
        <v>0.2</v>
      </c>
      <c r="L52" s="39">
        <v>1</v>
      </c>
    </row>
    <row r="53" spans="2:12" x14ac:dyDescent="0.25">
      <c r="B53" s="36">
        <v>87</v>
      </c>
      <c r="C53" s="36" t="s">
        <v>182</v>
      </c>
      <c r="D53" s="39">
        <v>0</v>
      </c>
      <c r="E53" s="91">
        <v>0.2</v>
      </c>
      <c r="F53" s="38">
        <f t="shared" si="0"/>
        <v>0.1</v>
      </c>
      <c r="G53" s="40">
        <v>0.2</v>
      </c>
      <c r="H53" s="40">
        <v>0.185</v>
      </c>
      <c r="I53" s="40">
        <v>0.14499999999999999</v>
      </c>
      <c r="J53" s="39">
        <f t="shared" si="1"/>
        <v>0.17579999999999998</v>
      </c>
      <c r="K53" s="39">
        <v>0.2</v>
      </c>
      <c r="L53" s="39">
        <v>1</v>
      </c>
    </row>
    <row r="54" spans="2:12" x14ac:dyDescent="0.25">
      <c r="B54" s="36">
        <v>88</v>
      </c>
      <c r="C54" s="36" t="s">
        <v>182</v>
      </c>
      <c r="D54" s="39">
        <v>0</v>
      </c>
      <c r="E54" s="91">
        <v>0.2</v>
      </c>
      <c r="F54" s="38">
        <f t="shared" si="0"/>
        <v>0.1</v>
      </c>
      <c r="G54" s="40">
        <v>0.2</v>
      </c>
      <c r="H54" s="40">
        <v>0.185</v>
      </c>
      <c r="I54" s="40">
        <v>0.14499999999999999</v>
      </c>
      <c r="J54" s="39">
        <f t="shared" si="1"/>
        <v>0.17579999999999998</v>
      </c>
      <c r="K54" s="39">
        <v>0.2</v>
      </c>
      <c r="L54" s="39">
        <v>1</v>
      </c>
    </row>
    <row r="55" spans="2:12" x14ac:dyDescent="0.25">
      <c r="B55" s="36">
        <v>89</v>
      </c>
      <c r="C55" s="36" t="s">
        <v>182</v>
      </c>
      <c r="D55" s="39">
        <v>0</v>
      </c>
      <c r="E55" s="91">
        <v>0.2</v>
      </c>
      <c r="F55" s="38">
        <f t="shared" si="0"/>
        <v>0.1</v>
      </c>
      <c r="G55" s="40">
        <v>0.2</v>
      </c>
      <c r="H55" s="40">
        <v>0.185</v>
      </c>
      <c r="I55" s="40">
        <v>0.14499999999999999</v>
      </c>
      <c r="J55" s="39">
        <f t="shared" si="1"/>
        <v>0.17579999999999998</v>
      </c>
      <c r="K55" s="39">
        <v>0.2</v>
      </c>
      <c r="L55" s="39">
        <v>1</v>
      </c>
    </row>
    <row r="56" spans="2:12" x14ac:dyDescent="0.25">
      <c r="B56" s="36">
        <v>90</v>
      </c>
      <c r="C56" s="36" t="s">
        <v>182</v>
      </c>
      <c r="D56" s="39">
        <v>0</v>
      </c>
      <c r="E56" s="91">
        <v>0.2</v>
      </c>
      <c r="F56" s="38">
        <f t="shared" si="0"/>
        <v>0.1</v>
      </c>
      <c r="G56" s="40">
        <v>0.2</v>
      </c>
      <c r="H56" s="40">
        <v>0.185</v>
      </c>
      <c r="I56" s="40">
        <v>0.14499999999999999</v>
      </c>
      <c r="J56" s="39">
        <f t="shared" si="1"/>
        <v>0.17579999999999998</v>
      </c>
      <c r="K56" s="39">
        <v>0.2</v>
      </c>
      <c r="L56" s="39">
        <v>1</v>
      </c>
    </row>
    <row r="57" spans="2:12" x14ac:dyDescent="0.25">
      <c r="B57" s="36">
        <v>40</v>
      </c>
      <c r="C57" s="36" t="s">
        <v>183</v>
      </c>
      <c r="D57" s="85">
        <v>0</v>
      </c>
      <c r="E57" s="92">
        <v>0.2</v>
      </c>
      <c r="F57" s="86">
        <f>G57/2</f>
        <v>8.5000000000000006E-2</v>
      </c>
      <c r="G57" s="85">
        <v>0.17</v>
      </c>
      <c r="H57" s="85">
        <v>8.5000000000000006E-2</v>
      </c>
      <c r="I57" s="85">
        <v>7.4999999999999997E-2</v>
      </c>
      <c r="J57" s="85">
        <f>0.77*H57+0.23*I57</f>
        <v>8.270000000000001E-2</v>
      </c>
      <c r="K57" s="85">
        <v>0.2</v>
      </c>
      <c r="L57" s="85">
        <v>1</v>
      </c>
    </row>
    <row r="58" spans="2:12" x14ac:dyDescent="0.25">
      <c r="B58" s="36">
        <v>41</v>
      </c>
      <c r="C58" s="36" t="s">
        <v>183</v>
      </c>
      <c r="D58" s="85">
        <v>0</v>
      </c>
      <c r="E58" s="92">
        <v>0.2</v>
      </c>
      <c r="F58" s="86">
        <f t="shared" ref="F58:F107" si="2">G58/2</f>
        <v>8.5000000000000006E-2</v>
      </c>
      <c r="G58" s="85">
        <v>0.17</v>
      </c>
      <c r="H58" s="85">
        <v>8.5000000000000006E-2</v>
      </c>
      <c r="I58" s="85">
        <v>7.4999999999999997E-2</v>
      </c>
      <c r="J58" s="85">
        <f t="shared" ref="J58:J107" si="3">0.77*H58+0.23*I58</f>
        <v>8.270000000000001E-2</v>
      </c>
      <c r="K58" s="85">
        <v>0.2</v>
      </c>
      <c r="L58" s="85">
        <v>1</v>
      </c>
    </row>
    <row r="59" spans="2:12" x14ac:dyDescent="0.25">
      <c r="B59" s="36">
        <v>42</v>
      </c>
      <c r="C59" s="36" t="s">
        <v>183</v>
      </c>
      <c r="D59" s="85">
        <v>0</v>
      </c>
      <c r="E59" s="92">
        <v>0.2</v>
      </c>
      <c r="F59" s="86">
        <f t="shared" si="2"/>
        <v>8.5000000000000006E-2</v>
      </c>
      <c r="G59" s="85">
        <v>0.17</v>
      </c>
      <c r="H59" s="85">
        <v>8.5000000000000006E-2</v>
      </c>
      <c r="I59" s="85">
        <v>7.4999999999999997E-2</v>
      </c>
      <c r="J59" s="85">
        <f t="shared" si="3"/>
        <v>8.270000000000001E-2</v>
      </c>
      <c r="K59" s="85">
        <v>0.2</v>
      </c>
      <c r="L59" s="85">
        <v>1</v>
      </c>
    </row>
    <row r="60" spans="2:12" x14ac:dyDescent="0.25">
      <c r="B60" s="36">
        <v>43</v>
      </c>
      <c r="C60" s="36" t="s">
        <v>183</v>
      </c>
      <c r="D60" s="85">
        <v>0</v>
      </c>
      <c r="E60" s="92">
        <v>0.2</v>
      </c>
      <c r="F60" s="86">
        <f t="shared" si="2"/>
        <v>8.5000000000000006E-2</v>
      </c>
      <c r="G60" s="85">
        <v>0.17</v>
      </c>
      <c r="H60" s="85">
        <v>8.5000000000000006E-2</v>
      </c>
      <c r="I60" s="85">
        <v>7.4999999999999997E-2</v>
      </c>
      <c r="J60" s="85">
        <f t="shared" si="3"/>
        <v>8.270000000000001E-2</v>
      </c>
      <c r="K60" s="85">
        <v>0.2</v>
      </c>
      <c r="L60" s="85">
        <v>1</v>
      </c>
    </row>
    <row r="61" spans="2:12" x14ac:dyDescent="0.25">
      <c r="B61" s="36">
        <v>44</v>
      </c>
      <c r="C61" s="36" t="s">
        <v>183</v>
      </c>
      <c r="D61" s="85">
        <v>0</v>
      </c>
      <c r="E61" s="92">
        <v>0.2</v>
      </c>
      <c r="F61" s="86">
        <f t="shared" si="2"/>
        <v>8.5000000000000006E-2</v>
      </c>
      <c r="G61" s="85">
        <v>0.17</v>
      </c>
      <c r="H61" s="85">
        <v>8.5000000000000006E-2</v>
      </c>
      <c r="I61" s="85">
        <v>7.4999999999999997E-2</v>
      </c>
      <c r="J61" s="85">
        <f t="shared" si="3"/>
        <v>8.270000000000001E-2</v>
      </c>
      <c r="K61" s="85">
        <v>0.2</v>
      </c>
      <c r="L61" s="85">
        <v>1</v>
      </c>
    </row>
    <row r="62" spans="2:12" x14ac:dyDescent="0.25">
      <c r="B62" s="36">
        <v>45</v>
      </c>
      <c r="C62" s="36" t="s">
        <v>183</v>
      </c>
      <c r="D62" s="85">
        <v>0</v>
      </c>
      <c r="E62" s="92">
        <v>0.2</v>
      </c>
      <c r="F62" s="86">
        <f t="shared" si="2"/>
        <v>8.5000000000000006E-2</v>
      </c>
      <c r="G62" s="85">
        <v>0.17</v>
      </c>
      <c r="H62" s="85">
        <v>8.5000000000000006E-2</v>
      </c>
      <c r="I62" s="85">
        <v>7.4999999999999997E-2</v>
      </c>
      <c r="J62" s="85">
        <f t="shared" si="3"/>
        <v>8.270000000000001E-2</v>
      </c>
      <c r="K62" s="85">
        <v>0.2</v>
      </c>
      <c r="L62" s="85">
        <v>1</v>
      </c>
    </row>
    <row r="63" spans="2:12" x14ac:dyDescent="0.25">
      <c r="B63" s="36">
        <v>46</v>
      </c>
      <c r="C63" s="36" t="s">
        <v>183</v>
      </c>
      <c r="D63" s="85">
        <v>0</v>
      </c>
      <c r="E63" s="92">
        <v>0.2</v>
      </c>
      <c r="F63" s="86">
        <f t="shared" si="2"/>
        <v>8.5000000000000006E-2</v>
      </c>
      <c r="G63" s="85">
        <v>0.17</v>
      </c>
      <c r="H63" s="85">
        <v>8.5000000000000006E-2</v>
      </c>
      <c r="I63" s="85">
        <v>7.4999999999999997E-2</v>
      </c>
      <c r="J63" s="85">
        <f t="shared" si="3"/>
        <v>8.270000000000001E-2</v>
      </c>
      <c r="K63" s="85">
        <v>0.2</v>
      </c>
      <c r="L63" s="85">
        <v>1</v>
      </c>
    </row>
    <row r="64" spans="2:12" x14ac:dyDescent="0.25">
      <c r="B64" s="36">
        <v>47</v>
      </c>
      <c r="C64" s="36" t="s">
        <v>183</v>
      </c>
      <c r="D64" s="85">
        <v>0</v>
      </c>
      <c r="E64" s="92">
        <v>0.2</v>
      </c>
      <c r="F64" s="86">
        <f t="shared" si="2"/>
        <v>8.5000000000000006E-2</v>
      </c>
      <c r="G64" s="85">
        <v>0.17</v>
      </c>
      <c r="H64" s="85">
        <v>8.5000000000000006E-2</v>
      </c>
      <c r="I64" s="85">
        <v>7.4999999999999997E-2</v>
      </c>
      <c r="J64" s="85">
        <f t="shared" si="3"/>
        <v>8.270000000000001E-2</v>
      </c>
      <c r="K64" s="85">
        <v>0.2</v>
      </c>
      <c r="L64" s="85">
        <v>1</v>
      </c>
    </row>
    <row r="65" spans="2:12" x14ac:dyDescent="0.25">
      <c r="B65" s="36">
        <v>48</v>
      </c>
      <c r="C65" s="36" t="s">
        <v>183</v>
      </c>
      <c r="D65" s="85">
        <v>0</v>
      </c>
      <c r="E65" s="92">
        <v>0.2</v>
      </c>
      <c r="F65" s="86">
        <f t="shared" si="2"/>
        <v>8.5000000000000006E-2</v>
      </c>
      <c r="G65" s="85">
        <v>0.17</v>
      </c>
      <c r="H65" s="85">
        <v>8.5000000000000006E-2</v>
      </c>
      <c r="I65" s="85">
        <v>7.4999999999999997E-2</v>
      </c>
      <c r="J65" s="85">
        <f t="shared" si="3"/>
        <v>8.270000000000001E-2</v>
      </c>
      <c r="K65" s="85">
        <v>0.2</v>
      </c>
      <c r="L65" s="85">
        <v>1</v>
      </c>
    </row>
    <row r="66" spans="2:12" x14ac:dyDescent="0.25">
      <c r="B66" s="36">
        <v>49</v>
      </c>
      <c r="C66" s="36" t="s">
        <v>183</v>
      </c>
      <c r="D66" s="85">
        <v>0</v>
      </c>
      <c r="E66" s="92">
        <v>0.2</v>
      </c>
      <c r="F66" s="86">
        <f t="shared" si="2"/>
        <v>8.5000000000000006E-2</v>
      </c>
      <c r="G66" s="85">
        <v>0.17</v>
      </c>
      <c r="H66" s="85">
        <v>8.5000000000000006E-2</v>
      </c>
      <c r="I66" s="85">
        <v>7.4999999999999997E-2</v>
      </c>
      <c r="J66" s="85">
        <f t="shared" si="3"/>
        <v>8.270000000000001E-2</v>
      </c>
      <c r="K66" s="85">
        <v>0.2</v>
      </c>
      <c r="L66" s="85">
        <v>1</v>
      </c>
    </row>
    <row r="67" spans="2:12" x14ac:dyDescent="0.25">
      <c r="B67" s="36">
        <v>50</v>
      </c>
      <c r="C67" s="36" t="s">
        <v>183</v>
      </c>
      <c r="D67" s="85">
        <v>0</v>
      </c>
      <c r="E67" s="92">
        <v>0.2</v>
      </c>
      <c r="F67" s="86">
        <f t="shared" si="2"/>
        <v>8.5000000000000006E-2</v>
      </c>
      <c r="G67" s="85">
        <v>0.17</v>
      </c>
      <c r="H67" s="85">
        <v>8.5000000000000006E-2</v>
      </c>
      <c r="I67" s="85">
        <v>7.4999999999999997E-2</v>
      </c>
      <c r="J67" s="85">
        <f t="shared" si="3"/>
        <v>8.270000000000001E-2</v>
      </c>
      <c r="K67" s="85">
        <v>0.2</v>
      </c>
      <c r="L67" s="85">
        <v>1</v>
      </c>
    </row>
    <row r="68" spans="2:12" x14ac:dyDescent="0.25">
      <c r="B68" s="36">
        <v>51</v>
      </c>
      <c r="C68" s="36" t="s">
        <v>183</v>
      </c>
      <c r="D68" s="85">
        <v>0</v>
      </c>
      <c r="E68" s="92">
        <v>0.2</v>
      </c>
      <c r="F68" s="86">
        <f t="shared" si="2"/>
        <v>8.5000000000000006E-2</v>
      </c>
      <c r="G68" s="85">
        <v>0.17</v>
      </c>
      <c r="H68" s="85">
        <v>8.5000000000000006E-2</v>
      </c>
      <c r="I68" s="85">
        <v>7.4999999999999997E-2</v>
      </c>
      <c r="J68" s="85">
        <f t="shared" si="3"/>
        <v>8.270000000000001E-2</v>
      </c>
      <c r="K68" s="85">
        <v>0.2</v>
      </c>
      <c r="L68" s="85">
        <v>1</v>
      </c>
    </row>
    <row r="69" spans="2:12" x14ac:dyDescent="0.25">
      <c r="B69" s="36">
        <v>52</v>
      </c>
      <c r="C69" s="36" t="s">
        <v>183</v>
      </c>
      <c r="D69" s="85">
        <v>0</v>
      </c>
      <c r="E69" s="92">
        <v>0.2</v>
      </c>
      <c r="F69" s="86">
        <f t="shared" si="2"/>
        <v>8.5000000000000006E-2</v>
      </c>
      <c r="G69" s="85">
        <v>0.17</v>
      </c>
      <c r="H69" s="85">
        <v>8.5000000000000006E-2</v>
      </c>
      <c r="I69" s="85">
        <v>7.4999999999999997E-2</v>
      </c>
      <c r="J69" s="85">
        <f t="shared" si="3"/>
        <v>8.270000000000001E-2</v>
      </c>
      <c r="K69" s="85">
        <v>0.2</v>
      </c>
      <c r="L69" s="85">
        <v>1</v>
      </c>
    </row>
    <row r="70" spans="2:12" x14ac:dyDescent="0.25">
      <c r="B70" s="36">
        <v>53</v>
      </c>
      <c r="C70" s="36" t="s">
        <v>183</v>
      </c>
      <c r="D70" s="85">
        <v>0</v>
      </c>
      <c r="E70" s="92">
        <v>0.2</v>
      </c>
      <c r="F70" s="86">
        <f t="shared" si="2"/>
        <v>8.5000000000000006E-2</v>
      </c>
      <c r="G70" s="85">
        <v>0.17</v>
      </c>
      <c r="H70" s="85">
        <v>8.5000000000000006E-2</v>
      </c>
      <c r="I70" s="85">
        <v>7.4999999999999997E-2</v>
      </c>
      <c r="J70" s="85">
        <f t="shared" si="3"/>
        <v>8.270000000000001E-2</v>
      </c>
      <c r="K70" s="85">
        <v>0.2</v>
      </c>
      <c r="L70" s="85">
        <v>1</v>
      </c>
    </row>
    <row r="71" spans="2:12" x14ac:dyDescent="0.25">
      <c r="B71" s="36">
        <v>54</v>
      </c>
      <c r="C71" s="36" t="s">
        <v>183</v>
      </c>
      <c r="D71" s="85">
        <v>0</v>
      </c>
      <c r="E71" s="92">
        <v>0.2</v>
      </c>
      <c r="F71" s="86">
        <f t="shared" si="2"/>
        <v>8.5000000000000006E-2</v>
      </c>
      <c r="G71" s="85">
        <v>0.17</v>
      </c>
      <c r="H71" s="85">
        <v>8.5000000000000006E-2</v>
      </c>
      <c r="I71" s="85">
        <v>7.4999999999999997E-2</v>
      </c>
      <c r="J71" s="85">
        <f t="shared" si="3"/>
        <v>8.270000000000001E-2</v>
      </c>
      <c r="K71" s="85">
        <v>0.2</v>
      </c>
      <c r="L71" s="85">
        <v>1</v>
      </c>
    </row>
    <row r="72" spans="2:12" x14ac:dyDescent="0.25">
      <c r="B72" s="36">
        <v>55</v>
      </c>
      <c r="C72" s="36" t="s">
        <v>183</v>
      </c>
      <c r="D72" s="85">
        <v>0</v>
      </c>
      <c r="E72" s="92">
        <v>0.2</v>
      </c>
      <c r="F72" s="86">
        <f t="shared" si="2"/>
        <v>8.5000000000000006E-2</v>
      </c>
      <c r="G72" s="85">
        <v>0.17</v>
      </c>
      <c r="H72" s="85">
        <v>8.5000000000000006E-2</v>
      </c>
      <c r="I72" s="85">
        <v>7.4999999999999997E-2</v>
      </c>
      <c r="J72" s="85">
        <f t="shared" si="3"/>
        <v>8.270000000000001E-2</v>
      </c>
      <c r="K72" s="85">
        <v>0.2</v>
      </c>
      <c r="L72" s="85">
        <v>1</v>
      </c>
    </row>
    <row r="73" spans="2:12" x14ac:dyDescent="0.25">
      <c r="B73" s="36">
        <v>56</v>
      </c>
      <c r="C73" s="36" t="s">
        <v>183</v>
      </c>
      <c r="D73" s="85">
        <v>0</v>
      </c>
      <c r="E73" s="92">
        <v>0.2</v>
      </c>
      <c r="F73" s="86">
        <f t="shared" si="2"/>
        <v>8.5000000000000006E-2</v>
      </c>
      <c r="G73" s="85">
        <v>0.17</v>
      </c>
      <c r="H73" s="85">
        <v>8.5000000000000006E-2</v>
      </c>
      <c r="I73" s="85">
        <v>7.4999999999999997E-2</v>
      </c>
      <c r="J73" s="85">
        <f t="shared" si="3"/>
        <v>8.270000000000001E-2</v>
      </c>
      <c r="K73" s="85">
        <v>0.2</v>
      </c>
      <c r="L73" s="85">
        <v>1</v>
      </c>
    </row>
    <row r="74" spans="2:12" x14ac:dyDescent="0.25">
      <c r="B74" s="36">
        <v>57</v>
      </c>
      <c r="C74" s="36" t="s">
        <v>183</v>
      </c>
      <c r="D74" s="85">
        <v>0</v>
      </c>
      <c r="E74" s="92">
        <v>0.2</v>
      </c>
      <c r="F74" s="86">
        <f t="shared" si="2"/>
        <v>8.5000000000000006E-2</v>
      </c>
      <c r="G74" s="85">
        <v>0.17</v>
      </c>
      <c r="H74" s="85">
        <v>8.5000000000000006E-2</v>
      </c>
      <c r="I74" s="85">
        <v>7.4999999999999997E-2</v>
      </c>
      <c r="J74" s="85">
        <f t="shared" si="3"/>
        <v>8.270000000000001E-2</v>
      </c>
      <c r="K74" s="85">
        <v>0.2</v>
      </c>
      <c r="L74" s="85">
        <v>1</v>
      </c>
    </row>
    <row r="75" spans="2:12" x14ac:dyDescent="0.25">
      <c r="B75" s="36">
        <v>58</v>
      </c>
      <c r="C75" s="36" t="s">
        <v>183</v>
      </c>
      <c r="D75" s="85">
        <v>0</v>
      </c>
      <c r="E75" s="92">
        <v>0.2</v>
      </c>
      <c r="F75" s="86">
        <f t="shared" si="2"/>
        <v>8.5000000000000006E-2</v>
      </c>
      <c r="G75" s="85">
        <v>0.17</v>
      </c>
      <c r="H75" s="85">
        <v>8.5000000000000006E-2</v>
      </c>
      <c r="I75" s="85">
        <v>7.4999999999999997E-2</v>
      </c>
      <c r="J75" s="85">
        <f t="shared" si="3"/>
        <v>8.270000000000001E-2</v>
      </c>
      <c r="K75" s="85">
        <v>0.2</v>
      </c>
      <c r="L75" s="85">
        <v>1</v>
      </c>
    </row>
    <row r="76" spans="2:12" x14ac:dyDescent="0.25">
      <c r="B76" s="36">
        <v>59</v>
      </c>
      <c r="C76" s="36" t="s">
        <v>183</v>
      </c>
      <c r="D76" s="85">
        <v>0</v>
      </c>
      <c r="E76" s="92">
        <v>0.2</v>
      </c>
      <c r="F76" s="86">
        <f t="shared" si="2"/>
        <v>8.5000000000000006E-2</v>
      </c>
      <c r="G76" s="85">
        <v>0.17</v>
      </c>
      <c r="H76" s="85">
        <v>8.5000000000000006E-2</v>
      </c>
      <c r="I76" s="85">
        <v>7.4999999999999997E-2</v>
      </c>
      <c r="J76" s="85">
        <f t="shared" si="3"/>
        <v>8.270000000000001E-2</v>
      </c>
      <c r="K76" s="85">
        <v>0.2</v>
      </c>
      <c r="L76" s="85">
        <v>1</v>
      </c>
    </row>
    <row r="77" spans="2:12" x14ac:dyDescent="0.25">
      <c r="B77" s="36">
        <v>60</v>
      </c>
      <c r="C77" s="36" t="s">
        <v>183</v>
      </c>
      <c r="D77" s="85">
        <v>0</v>
      </c>
      <c r="E77" s="92">
        <v>0.3</v>
      </c>
      <c r="F77" s="86">
        <f t="shared" si="2"/>
        <v>0.1</v>
      </c>
      <c r="G77" s="85">
        <v>0.2</v>
      </c>
      <c r="H77" s="85">
        <v>8.5000000000000006E-2</v>
      </c>
      <c r="I77" s="85">
        <v>7.4999999999999997E-2</v>
      </c>
      <c r="J77" s="85">
        <f t="shared" si="3"/>
        <v>8.270000000000001E-2</v>
      </c>
      <c r="K77" s="85">
        <v>0.2</v>
      </c>
      <c r="L77" s="85">
        <v>1</v>
      </c>
    </row>
    <row r="78" spans="2:12" x14ac:dyDescent="0.25">
      <c r="B78" s="36">
        <v>61</v>
      </c>
      <c r="C78" s="36" t="s">
        <v>183</v>
      </c>
      <c r="D78" s="85">
        <v>0</v>
      </c>
      <c r="E78" s="92">
        <v>0.3</v>
      </c>
      <c r="F78" s="86">
        <f t="shared" si="2"/>
        <v>0.1</v>
      </c>
      <c r="G78" s="85">
        <v>0.2</v>
      </c>
      <c r="H78" s="85">
        <v>8.5000000000000006E-2</v>
      </c>
      <c r="I78" s="85">
        <v>7.4999999999999997E-2</v>
      </c>
      <c r="J78" s="85">
        <f t="shared" si="3"/>
        <v>8.270000000000001E-2</v>
      </c>
      <c r="K78" s="85">
        <v>0.2</v>
      </c>
      <c r="L78" s="85">
        <v>1</v>
      </c>
    </row>
    <row r="79" spans="2:12" x14ac:dyDescent="0.25">
      <c r="B79" s="36">
        <v>62</v>
      </c>
      <c r="C79" s="36" t="s">
        <v>183</v>
      </c>
      <c r="D79" s="85">
        <v>0</v>
      </c>
      <c r="E79" s="92">
        <v>0.3</v>
      </c>
      <c r="F79" s="86">
        <f t="shared" si="2"/>
        <v>0.1</v>
      </c>
      <c r="G79" s="85">
        <v>0.2</v>
      </c>
      <c r="H79" s="85">
        <v>8.5000000000000006E-2</v>
      </c>
      <c r="I79" s="85">
        <v>7.4999999999999997E-2</v>
      </c>
      <c r="J79" s="85">
        <f t="shared" si="3"/>
        <v>8.270000000000001E-2</v>
      </c>
      <c r="K79" s="85">
        <v>0.2</v>
      </c>
      <c r="L79" s="85">
        <v>1</v>
      </c>
    </row>
    <row r="80" spans="2:12" x14ac:dyDescent="0.25">
      <c r="B80" s="36">
        <v>63</v>
      </c>
      <c r="C80" s="36" t="s">
        <v>183</v>
      </c>
      <c r="D80" s="85">
        <v>0</v>
      </c>
      <c r="E80" s="92">
        <v>0.3</v>
      </c>
      <c r="F80" s="86">
        <f t="shared" si="2"/>
        <v>0.1</v>
      </c>
      <c r="G80" s="85">
        <v>0.2</v>
      </c>
      <c r="H80" s="85">
        <v>8.5000000000000006E-2</v>
      </c>
      <c r="I80" s="85">
        <v>7.4999999999999997E-2</v>
      </c>
      <c r="J80" s="85">
        <f t="shared" si="3"/>
        <v>8.270000000000001E-2</v>
      </c>
      <c r="K80" s="85">
        <v>0.2</v>
      </c>
      <c r="L80" s="85">
        <v>1</v>
      </c>
    </row>
    <row r="81" spans="2:12" x14ac:dyDescent="0.25">
      <c r="B81" s="36">
        <v>64</v>
      </c>
      <c r="C81" s="36" t="s">
        <v>183</v>
      </c>
      <c r="D81" s="85">
        <v>0</v>
      </c>
      <c r="E81" s="92">
        <v>0.3</v>
      </c>
      <c r="F81" s="86">
        <f t="shared" si="2"/>
        <v>0.1</v>
      </c>
      <c r="G81" s="85">
        <v>0.2</v>
      </c>
      <c r="H81" s="85">
        <v>8.5000000000000006E-2</v>
      </c>
      <c r="I81" s="85">
        <v>7.4999999999999997E-2</v>
      </c>
      <c r="J81" s="85">
        <f t="shared" si="3"/>
        <v>8.270000000000001E-2</v>
      </c>
      <c r="K81" s="85">
        <v>0.2</v>
      </c>
      <c r="L81" s="85">
        <v>1</v>
      </c>
    </row>
    <row r="82" spans="2:12" x14ac:dyDescent="0.25">
      <c r="B82" s="36">
        <v>65</v>
      </c>
      <c r="C82" s="36" t="s">
        <v>183</v>
      </c>
      <c r="D82" s="85">
        <v>0</v>
      </c>
      <c r="E82" s="92">
        <v>0.3</v>
      </c>
      <c r="F82" s="86">
        <f t="shared" si="2"/>
        <v>0.1</v>
      </c>
      <c r="G82" s="85">
        <v>0.2</v>
      </c>
      <c r="H82" s="85">
        <v>8.5000000000000006E-2</v>
      </c>
      <c r="I82" s="85">
        <v>7.4999999999999997E-2</v>
      </c>
      <c r="J82" s="85">
        <f t="shared" si="3"/>
        <v>8.270000000000001E-2</v>
      </c>
      <c r="K82" s="85">
        <v>0.2</v>
      </c>
      <c r="L82" s="85">
        <v>1</v>
      </c>
    </row>
    <row r="83" spans="2:12" x14ac:dyDescent="0.25">
      <c r="B83" s="36">
        <v>66</v>
      </c>
      <c r="C83" s="36" t="s">
        <v>183</v>
      </c>
      <c r="D83" s="85">
        <v>0</v>
      </c>
      <c r="E83" s="92">
        <v>0.3</v>
      </c>
      <c r="F83" s="86">
        <f t="shared" si="2"/>
        <v>0.1</v>
      </c>
      <c r="G83" s="85">
        <v>0.2</v>
      </c>
      <c r="H83" s="85">
        <v>8.5000000000000006E-2</v>
      </c>
      <c r="I83" s="85">
        <v>7.4999999999999997E-2</v>
      </c>
      <c r="J83" s="85">
        <f t="shared" si="3"/>
        <v>8.270000000000001E-2</v>
      </c>
      <c r="K83" s="85">
        <v>0.2</v>
      </c>
      <c r="L83" s="85">
        <v>1</v>
      </c>
    </row>
    <row r="84" spans="2:12" x14ac:dyDescent="0.25">
      <c r="B84" s="36">
        <v>67</v>
      </c>
      <c r="C84" s="36" t="s">
        <v>183</v>
      </c>
      <c r="D84" s="85">
        <v>0</v>
      </c>
      <c r="E84" s="92">
        <v>0.3</v>
      </c>
      <c r="F84" s="86">
        <f t="shared" si="2"/>
        <v>0.1</v>
      </c>
      <c r="G84" s="85">
        <v>0.2</v>
      </c>
      <c r="H84" s="85">
        <v>8.5000000000000006E-2</v>
      </c>
      <c r="I84" s="85">
        <v>7.4999999999999997E-2</v>
      </c>
      <c r="J84" s="85">
        <f t="shared" si="3"/>
        <v>8.270000000000001E-2</v>
      </c>
      <c r="K84" s="85">
        <v>0.2</v>
      </c>
      <c r="L84" s="85">
        <v>1</v>
      </c>
    </row>
    <row r="85" spans="2:12" x14ac:dyDescent="0.25">
      <c r="B85" s="36">
        <v>68</v>
      </c>
      <c r="C85" s="36" t="s">
        <v>183</v>
      </c>
      <c r="D85" s="85">
        <v>0</v>
      </c>
      <c r="E85" s="92">
        <v>0.3</v>
      </c>
      <c r="F85" s="86">
        <f t="shared" si="2"/>
        <v>0.1</v>
      </c>
      <c r="G85" s="85">
        <v>0.2</v>
      </c>
      <c r="H85" s="85">
        <v>8.5000000000000006E-2</v>
      </c>
      <c r="I85" s="85">
        <v>7.4999999999999997E-2</v>
      </c>
      <c r="J85" s="85">
        <f t="shared" si="3"/>
        <v>8.270000000000001E-2</v>
      </c>
      <c r="K85" s="85">
        <v>0.2</v>
      </c>
      <c r="L85" s="85">
        <v>1</v>
      </c>
    </row>
    <row r="86" spans="2:12" x14ac:dyDescent="0.25">
      <c r="B86" s="36">
        <v>69</v>
      </c>
      <c r="C86" s="36" t="s">
        <v>183</v>
      </c>
      <c r="D86" s="85">
        <v>0</v>
      </c>
      <c r="E86" s="92">
        <v>0.3</v>
      </c>
      <c r="F86" s="86">
        <f t="shared" si="2"/>
        <v>0.1</v>
      </c>
      <c r="G86" s="85">
        <v>0.2</v>
      </c>
      <c r="H86" s="85">
        <v>8.5000000000000006E-2</v>
      </c>
      <c r="I86" s="85">
        <v>7.4999999999999997E-2</v>
      </c>
      <c r="J86" s="85">
        <f t="shared" si="3"/>
        <v>8.270000000000001E-2</v>
      </c>
      <c r="K86" s="85">
        <v>0.2</v>
      </c>
      <c r="L86" s="85">
        <v>1</v>
      </c>
    </row>
    <row r="87" spans="2:12" x14ac:dyDescent="0.25">
      <c r="B87" s="36">
        <v>70</v>
      </c>
      <c r="C87" s="36" t="s">
        <v>183</v>
      </c>
      <c r="D87" s="85">
        <v>0</v>
      </c>
      <c r="E87" s="92">
        <v>0.3</v>
      </c>
      <c r="F87" s="86">
        <f t="shared" si="2"/>
        <v>0.1</v>
      </c>
      <c r="G87" s="85">
        <v>0.2</v>
      </c>
      <c r="H87" s="85">
        <v>8.5000000000000006E-2</v>
      </c>
      <c r="I87" s="85">
        <v>7.4999999999999997E-2</v>
      </c>
      <c r="J87" s="85">
        <f t="shared" si="3"/>
        <v>8.270000000000001E-2</v>
      </c>
      <c r="K87" s="85">
        <v>0.2</v>
      </c>
      <c r="L87" s="85">
        <v>1</v>
      </c>
    </row>
    <row r="88" spans="2:12" x14ac:dyDescent="0.25">
      <c r="B88" s="36">
        <v>71</v>
      </c>
      <c r="C88" s="36" t="s">
        <v>183</v>
      </c>
      <c r="D88" s="85">
        <v>0</v>
      </c>
      <c r="E88" s="92">
        <v>0.3</v>
      </c>
      <c r="F88" s="86">
        <f t="shared" si="2"/>
        <v>0.1</v>
      </c>
      <c r="G88" s="85">
        <v>0.2</v>
      </c>
      <c r="H88" s="85">
        <v>8.5000000000000006E-2</v>
      </c>
      <c r="I88" s="85">
        <v>7.4999999999999997E-2</v>
      </c>
      <c r="J88" s="85">
        <f t="shared" si="3"/>
        <v>8.270000000000001E-2</v>
      </c>
      <c r="K88" s="85">
        <v>0.2</v>
      </c>
      <c r="L88" s="85">
        <v>1</v>
      </c>
    </row>
    <row r="89" spans="2:12" x14ac:dyDescent="0.25">
      <c r="B89" s="36">
        <v>72</v>
      </c>
      <c r="C89" s="36" t="s">
        <v>183</v>
      </c>
      <c r="D89" s="85">
        <v>0</v>
      </c>
      <c r="E89" s="92">
        <v>0.3</v>
      </c>
      <c r="F89" s="86">
        <f t="shared" si="2"/>
        <v>0.1</v>
      </c>
      <c r="G89" s="85">
        <v>0.2</v>
      </c>
      <c r="H89" s="85">
        <v>0.12</v>
      </c>
      <c r="I89" s="85">
        <v>0.08</v>
      </c>
      <c r="J89" s="85">
        <f t="shared" si="3"/>
        <v>0.1108</v>
      </c>
      <c r="K89" s="85">
        <v>0.2</v>
      </c>
      <c r="L89" s="85">
        <v>1</v>
      </c>
    </row>
    <row r="90" spans="2:12" x14ac:dyDescent="0.25">
      <c r="B90" s="36">
        <v>73</v>
      </c>
      <c r="C90" s="36" t="s">
        <v>183</v>
      </c>
      <c r="D90" s="85">
        <v>0</v>
      </c>
      <c r="E90" s="92">
        <v>0.3</v>
      </c>
      <c r="F90" s="86">
        <f t="shared" si="2"/>
        <v>0.1</v>
      </c>
      <c r="G90" s="85">
        <v>0.2</v>
      </c>
      <c r="H90" s="85">
        <v>0.125</v>
      </c>
      <c r="I90" s="85">
        <v>8.5000000000000006E-2</v>
      </c>
      <c r="J90" s="85">
        <f t="shared" si="3"/>
        <v>0.1158</v>
      </c>
      <c r="K90" s="85">
        <v>0.2</v>
      </c>
      <c r="L90" s="85">
        <v>1</v>
      </c>
    </row>
    <row r="91" spans="2:12" x14ac:dyDescent="0.25">
      <c r="B91" s="36">
        <v>74</v>
      </c>
      <c r="C91" s="36" t="s">
        <v>183</v>
      </c>
      <c r="D91" s="85">
        <v>0</v>
      </c>
      <c r="E91" s="92">
        <v>0.3</v>
      </c>
      <c r="F91" s="86">
        <f t="shared" si="2"/>
        <v>0.1</v>
      </c>
      <c r="G91" s="85">
        <v>0.2</v>
      </c>
      <c r="H91" s="85">
        <v>0.13</v>
      </c>
      <c r="I91" s="85">
        <v>0.09</v>
      </c>
      <c r="J91" s="85">
        <f t="shared" si="3"/>
        <v>0.1208</v>
      </c>
      <c r="K91" s="85">
        <v>0.2</v>
      </c>
      <c r="L91" s="85">
        <v>1</v>
      </c>
    </row>
    <row r="92" spans="2:12" x14ac:dyDescent="0.25">
      <c r="B92" s="36">
        <v>75</v>
      </c>
      <c r="C92" s="36" t="s">
        <v>183</v>
      </c>
      <c r="D92" s="85">
        <v>0</v>
      </c>
      <c r="E92" s="92">
        <v>0.3</v>
      </c>
      <c r="F92" s="86">
        <f t="shared" si="2"/>
        <v>0.1</v>
      </c>
      <c r="G92" s="85">
        <v>0.2</v>
      </c>
      <c r="H92" s="85">
        <v>0.13500000000000001</v>
      </c>
      <c r="I92" s="85">
        <v>9.5000000000000001E-2</v>
      </c>
      <c r="J92" s="85">
        <f t="shared" si="3"/>
        <v>0.12580000000000002</v>
      </c>
      <c r="K92" s="85">
        <v>0.2</v>
      </c>
      <c r="L92" s="85">
        <v>1</v>
      </c>
    </row>
    <row r="93" spans="2:12" x14ac:dyDescent="0.25">
      <c r="B93" s="36">
        <v>76</v>
      </c>
      <c r="C93" s="36" t="s">
        <v>183</v>
      </c>
      <c r="D93" s="85">
        <v>0</v>
      </c>
      <c r="E93" s="92">
        <v>0.3</v>
      </c>
      <c r="F93" s="86">
        <f t="shared" si="2"/>
        <v>0.1</v>
      </c>
      <c r="G93" s="85">
        <v>0.2</v>
      </c>
      <c r="H93" s="85">
        <v>0.14000000000000001</v>
      </c>
      <c r="I93" s="85">
        <v>0.1</v>
      </c>
      <c r="J93" s="85">
        <f t="shared" si="3"/>
        <v>0.1308</v>
      </c>
      <c r="K93" s="85">
        <v>0.2</v>
      </c>
      <c r="L93" s="85">
        <v>1</v>
      </c>
    </row>
    <row r="94" spans="2:12" x14ac:dyDescent="0.25">
      <c r="B94" s="36">
        <v>77</v>
      </c>
      <c r="C94" s="36" t="s">
        <v>183</v>
      </c>
      <c r="D94" s="85">
        <v>0</v>
      </c>
      <c r="E94" s="92">
        <v>0.3</v>
      </c>
      <c r="F94" s="86">
        <f t="shared" si="2"/>
        <v>0.1</v>
      </c>
      <c r="G94" s="85">
        <v>0.2</v>
      </c>
      <c r="H94" s="85">
        <v>0.14499999999999999</v>
      </c>
      <c r="I94" s="85">
        <v>0.105</v>
      </c>
      <c r="J94" s="85">
        <f t="shared" si="3"/>
        <v>0.1358</v>
      </c>
      <c r="K94" s="85">
        <v>0.2</v>
      </c>
      <c r="L94" s="85">
        <v>1</v>
      </c>
    </row>
    <row r="95" spans="2:12" x14ac:dyDescent="0.25">
      <c r="B95" s="36">
        <v>78</v>
      </c>
      <c r="C95" s="36" t="s">
        <v>183</v>
      </c>
      <c r="D95" s="85">
        <v>0</v>
      </c>
      <c r="E95" s="92">
        <v>0.3</v>
      </c>
      <c r="F95" s="86">
        <f t="shared" si="2"/>
        <v>0.1</v>
      </c>
      <c r="G95" s="85">
        <v>0.2</v>
      </c>
      <c r="H95" s="85">
        <v>0.15</v>
      </c>
      <c r="I95" s="85">
        <v>0.11</v>
      </c>
      <c r="J95" s="85">
        <f t="shared" si="3"/>
        <v>0.14079999999999998</v>
      </c>
      <c r="K95" s="85">
        <v>0.2</v>
      </c>
      <c r="L95" s="85">
        <v>1</v>
      </c>
    </row>
    <row r="96" spans="2:12" x14ac:dyDescent="0.25">
      <c r="B96" s="36">
        <v>79</v>
      </c>
      <c r="C96" s="36" t="s">
        <v>183</v>
      </c>
      <c r="D96" s="85">
        <v>0</v>
      </c>
      <c r="E96" s="92">
        <v>0.3</v>
      </c>
      <c r="F96" s="86">
        <f t="shared" si="2"/>
        <v>0.1</v>
      </c>
      <c r="G96" s="85">
        <v>0.2</v>
      </c>
      <c r="H96" s="85">
        <v>0.155</v>
      </c>
      <c r="I96" s="85">
        <v>0.115</v>
      </c>
      <c r="J96" s="85">
        <f t="shared" si="3"/>
        <v>0.14579999999999999</v>
      </c>
      <c r="K96" s="85">
        <v>0.2</v>
      </c>
      <c r="L96" s="85">
        <v>1</v>
      </c>
    </row>
    <row r="97" spans="2:12" x14ac:dyDescent="0.25">
      <c r="B97" s="36">
        <v>80</v>
      </c>
      <c r="C97" s="36" t="s">
        <v>183</v>
      </c>
      <c r="D97" s="85">
        <v>0</v>
      </c>
      <c r="E97" s="92">
        <v>0.3</v>
      </c>
      <c r="F97" s="86">
        <f t="shared" si="2"/>
        <v>0.1</v>
      </c>
      <c r="G97" s="85">
        <v>0.2</v>
      </c>
      <c r="H97" s="85">
        <v>0.16</v>
      </c>
      <c r="I97" s="85">
        <v>0.12</v>
      </c>
      <c r="J97" s="85">
        <f t="shared" si="3"/>
        <v>0.15079999999999999</v>
      </c>
      <c r="K97" s="85">
        <v>0.2</v>
      </c>
      <c r="L97" s="85">
        <v>1</v>
      </c>
    </row>
    <row r="98" spans="2:12" x14ac:dyDescent="0.25">
      <c r="B98" s="36">
        <v>81</v>
      </c>
      <c r="C98" s="36" t="s">
        <v>183</v>
      </c>
      <c r="D98" s="85">
        <v>0</v>
      </c>
      <c r="E98" s="92">
        <v>0.3</v>
      </c>
      <c r="F98" s="86">
        <f t="shared" si="2"/>
        <v>0.1</v>
      </c>
      <c r="G98" s="85">
        <v>0.2</v>
      </c>
      <c r="H98" s="85">
        <v>0.16500000000000001</v>
      </c>
      <c r="I98" s="85">
        <v>0.125</v>
      </c>
      <c r="J98" s="85">
        <f t="shared" si="3"/>
        <v>0.15579999999999999</v>
      </c>
      <c r="K98" s="85">
        <v>0.2</v>
      </c>
      <c r="L98" s="85">
        <v>1</v>
      </c>
    </row>
    <row r="99" spans="2:12" x14ac:dyDescent="0.25">
      <c r="B99" s="36">
        <v>82</v>
      </c>
      <c r="C99" s="36" t="s">
        <v>183</v>
      </c>
      <c r="D99" s="85">
        <v>0</v>
      </c>
      <c r="E99" s="92">
        <v>0.3</v>
      </c>
      <c r="F99" s="86">
        <f t="shared" si="2"/>
        <v>0.1</v>
      </c>
      <c r="G99" s="85">
        <v>0.2</v>
      </c>
      <c r="H99" s="85">
        <v>0.17</v>
      </c>
      <c r="I99" s="85">
        <v>0.13</v>
      </c>
      <c r="J99" s="85">
        <f t="shared" si="3"/>
        <v>0.16080000000000003</v>
      </c>
      <c r="K99" s="85">
        <v>0.2</v>
      </c>
      <c r="L99" s="85">
        <v>1</v>
      </c>
    </row>
    <row r="100" spans="2:12" x14ac:dyDescent="0.25">
      <c r="B100" s="36">
        <v>83</v>
      </c>
      <c r="C100" s="36" t="s">
        <v>183</v>
      </c>
      <c r="D100" s="85">
        <v>0</v>
      </c>
      <c r="E100" s="92">
        <v>0.3</v>
      </c>
      <c r="F100" s="86">
        <f t="shared" si="2"/>
        <v>0.1</v>
      </c>
      <c r="G100" s="85">
        <v>0.2</v>
      </c>
      <c r="H100" s="85">
        <v>0.17499999999999999</v>
      </c>
      <c r="I100" s="85">
        <v>0.13500000000000001</v>
      </c>
      <c r="J100" s="85">
        <f t="shared" si="3"/>
        <v>0.16579999999999998</v>
      </c>
      <c r="K100" s="85">
        <v>0.2</v>
      </c>
      <c r="L100" s="85">
        <v>1</v>
      </c>
    </row>
    <row r="101" spans="2:12" x14ac:dyDescent="0.25">
      <c r="B101" s="36">
        <v>84</v>
      </c>
      <c r="C101" s="36" t="s">
        <v>183</v>
      </c>
      <c r="D101" s="85">
        <v>0</v>
      </c>
      <c r="E101" s="92">
        <v>0.3</v>
      </c>
      <c r="F101" s="86">
        <f t="shared" si="2"/>
        <v>0.1</v>
      </c>
      <c r="G101" s="85">
        <v>0.2</v>
      </c>
      <c r="H101" s="85">
        <v>0.18</v>
      </c>
      <c r="I101" s="85">
        <v>0.14000000000000001</v>
      </c>
      <c r="J101" s="85">
        <f t="shared" si="3"/>
        <v>0.17080000000000001</v>
      </c>
      <c r="K101" s="85">
        <v>0.2</v>
      </c>
      <c r="L101" s="85">
        <v>1</v>
      </c>
    </row>
    <row r="102" spans="2:12" x14ac:dyDescent="0.25">
      <c r="B102" s="36">
        <v>85</v>
      </c>
      <c r="C102" s="36" t="s">
        <v>183</v>
      </c>
      <c r="D102" s="85">
        <v>0</v>
      </c>
      <c r="E102" s="92">
        <v>0.3</v>
      </c>
      <c r="F102" s="86">
        <f t="shared" si="2"/>
        <v>0.1</v>
      </c>
      <c r="G102" s="85">
        <v>0.2</v>
      </c>
      <c r="H102" s="85">
        <v>0.185</v>
      </c>
      <c r="I102" s="85">
        <v>0.14499999999999999</v>
      </c>
      <c r="J102" s="85">
        <f t="shared" si="3"/>
        <v>0.17579999999999998</v>
      </c>
      <c r="K102" s="85">
        <v>0.2</v>
      </c>
      <c r="L102" s="85">
        <v>1</v>
      </c>
    </row>
    <row r="103" spans="2:12" x14ac:dyDescent="0.25">
      <c r="B103" s="36">
        <v>86</v>
      </c>
      <c r="C103" s="36" t="s">
        <v>183</v>
      </c>
      <c r="D103" s="85">
        <v>0</v>
      </c>
      <c r="E103" s="92">
        <v>0.3</v>
      </c>
      <c r="F103" s="86">
        <f t="shared" si="2"/>
        <v>0.1</v>
      </c>
      <c r="G103" s="85">
        <v>0.2</v>
      </c>
      <c r="H103" s="85">
        <v>0.185</v>
      </c>
      <c r="I103" s="85">
        <v>0.14499999999999999</v>
      </c>
      <c r="J103" s="85">
        <f t="shared" si="3"/>
        <v>0.17579999999999998</v>
      </c>
      <c r="K103" s="85">
        <v>0.2</v>
      </c>
      <c r="L103" s="85">
        <v>1</v>
      </c>
    </row>
    <row r="104" spans="2:12" x14ac:dyDescent="0.25">
      <c r="B104" s="36">
        <v>87</v>
      </c>
      <c r="C104" s="36" t="s">
        <v>183</v>
      </c>
      <c r="D104" s="85">
        <v>0</v>
      </c>
      <c r="E104" s="92">
        <v>0.3</v>
      </c>
      <c r="F104" s="86">
        <f t="shared" si="2"/>
        <v>0.1</v>
      </c>
      <c r="G104" s="85">
        <v>0.2</v>
      </c>
      <c r="H104" s="85">
        <v>0.185</v>
      </c>
      <c r="I104" s="85">
        <v>0.14499999999999999</v>
      </c>
      <c r="J104" s="85">
        <f t="shared" si="3"/>
        <v>0.17579999999999998</v>
      </c>
      <c r="K104" s="85">
        <v>0.2</v>
      </c>
      <c r="L104" s="85">
        <v>1</v>
      </c>
    </row>
    <row r="105" spans="2:12" x14ac:dyDescent="0.25">
      <c r="B105" s="36">
        <v>88</v>
      </c>
      <c r="C105" s="36" t="s">
        <v>183</v>
      </c>
      <c r="D105" s="85">
        <v>0</v>
      </c>
      <c r="E105" s="92">
        <v>0.3</v>
      </c>
      <c r="F105" s="86">
        <f t="shared" si="2"/>
        <v>0.1</v>
      </c>
      <c r="G105" s="85">
        <v>0.2</v>
      </c>
      <c r="H105" s="85">
        <v>0.185</v>
      </c>
      <c r="I105" s="85">
        <v>0.14499999999999999</v>
      </c>
      <c r="J105" s="85">
        <f t="shared" si="3"/>
        <v>0.17579999999999998</v>
      </c>
      <c r="K105" s="85">
        <v>0.2</v>
      </c>
      <c r="L105" s="85">
        <v>1</v>
      </c>
    </row>
    <row r="106" spans="2:12" x14ac:dyDescent="0.25">
      <c r="B106" s="36">
        <v>89</v>
      </c>
      <c r="C106" s="36" t="s">
        <v>183</v>
      </c>
      <c r="D106" s="85">
        <v>0</v>
      </c>
      <c r="E106" s="92">
        <v>0.3</v>
      </c>
      <c r="F106" s="86">
        <f t="shared" si="2"/>
        <v>0.1</v>
      </c>
      <c r="G106" s="85">
        <v>0.2</v>
      </c>
      <c r="H106" s="85">
        <v>0.185</v>
      </c>
      <c r="I106" s="85">
        <v>0.14499999999999999</v>
      </c>
      <c r="J106" s="85">
        <f t="shared" si="3"/>
        <v>0.17579999999999998</v>
      </c>
      <c r="K106" s="85">
        <v>0.2</v>
      </c>
      <c r="L106" s="85">
        <v>1</v>
      </c>
    </row>
    <row r="107" spans="2:12" x14ac:dyDescent="0.25">
      <c r="B107" s="36">
        <v>90</v>
      </c>
      <c r="C107" s="36" t="s">
        <v>183</v>
      </c>
      <c r="D107" s="85">
        <v>0</v>
      </c>
      <c r="E107" s="92">
        <v>0.3</v>
      </c>
      <c r="F107" s="86">
        <f t="shared" si="2"/>
        <v>0.1</v>
      </c>
      <c r="G107" s="85">
        <v>0.2</v>
      </c>
      <c r="H107" s="85">
        <v>0.185</v>
      </c>
      <c r="I107" s="85">
        <v>0.14499999999999999</v>
      </c>
      <c r="J107" s="85">
        <f t="shared" si="3"/>
        <v>0.17579999999999998</v>
      </c>
      <c r="K107" s="85">
        <v>0.2</v>
      </c>
      <c r="L107" s="85">
        <v>1</v>
      </c>
    </row>
  </sheetData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36"/>
  <sheetViews>
    <sheetView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Y13" sqref="Y13"/>
    </sheetView>
  </sheetViews>
  <sheetFormatPr defaultRowHeight="12.5" x14ac:dyDescent="0.25"/>
  <cols>
    <col min="1" max="1" width="9.81640625" bestFit="1" customWidth="1"/>
    <col min="3" max="3" width="8.81640625" customWidth="1"/>
    <col min="4" max="10" width="8.81640625" style="37" customWidth="1"/>
    <col min="11" max="16" width="8.81640625" customWidth="1"/>
  </cols>
  <sheetData>
    <row r="1" spans="1:16" ht="15.5" x14ac:dyDescent="0.25">
      <c r="A1" s="14" t="s">
        <v>6</v>
      </c>
      <c r="B1" s="13" t="s">
        <v>28</v>
      </c>
      <c r="C1" s="12"/>
      <c r="D1" s="33"/>
      <c r="E1" s="33"/>
      <c r="F1" s="33"/>
      <c r="G1" s="33"/>
      <c r="H1" s="33"/>
      <c r="I1" s="33"/>
      <c r="J1" s="33"/>
      <c r="K1" s="12"/>
    </row>
    <row r="2" spans="1:16" ht="15.5" x14ac:dyDescent="0.25">
      <c r="A2" s="14"/>
      <c r="B2" s="13"/>
      <c r="C2" s="12"/>
      <c r="D2" s="33"/>
      <c r="E2" s="33"/>
      <c r="F2" s="33"/>
      <c r="G2" s="33"/>
      <c r="H2" s="33"/>
      <c r="I2" s="33"/>
      <c r="J2" s="33"/>
      <c r="K2" s="12"/>
    </row>
    <row r="3" spans="1:16" ht="13" x14ac:dyDescent="0.25">
      <c r="A3" s="15"/>
      <c r="B3" s="16" t="str">
        <f ca="1">GetNameRange(B6)</f>
        <v>ann_rate_tables</v>
      </c>
      <c r="C3" s="20"/>
      <c r="D3" s="46"/>
      <c r="E3" s="46"/>
      <c r="F3" s="46"/>
      <c r="G3" s="46"/>
      <c r="H3" s="46"/>
      <c r="I3" s="46"/>
      <c r="J3" s="46"/>
      <c r="K3" s="20"/>
    </row>
    <row r="4" spans="1:16" ht="25" x14ac:dyDescent="0.25">
      <c r="A4" s="15" t="s">
        <v>7</v>
      </c>
      <c r="B4" s="45" t="s">
        <v>9</v>
      </c>
      <c r="C4" s="30" t="s">
        <v>17</v>
      </c>
      <c r="D4" s="41" t="s">
        <v>16</v>
      </c>
      <c r="E4" s="41" t="s">
        <v>18</v>
      </c>
      <c r="F4" s="41" t="s">
        <v>18</v>
      </c>
      <c r="G4" s="41" t="s">
        <v>18</v>
      </c>
      <c r="H4" s="41" t="s">
        <v>18</v>
      </c>
      <c r="I4" s="41" t="s">
        <v>18</v>
      </c>
      <c r="J4" s="41" t="s">
        <v>18</v>
      </c>
      <c r="K4" s="26" t="s">
        <v>19</v>
      </c>
      <c r="L4" s="26" t="s">
        <v>19</v>
      </c>
      <c r="M4" s="26" t="s">
        <v>19</v>
      </c>
      <c r="N4" s="26" t="s">
        <v>19</v>
      </c>
      <c r="O4" s="26" t="s">
        <v>19</v>
      </c>
      <c r="P4" s="26" t="s">
        <v>19</v>
      </c>
    </row>
    <row r="5" spans="1:16" ht="13" x14ac:dyDescent="0.25">
      <c r="A5" s="23" t="s">
        <v>5</v>
      </c>
      <c r="B5" s="35" t="s">
        <v>10</v>
      </c>
      <c r="C5" s="26">
        <v>0</v>
      </c>
      <c r="D5" s="41">
        <v>0</v>
      </c>
      <c r="E5" s="41">
        <v>50</v>
      </c>
      <c r="F5" s="41">
        <v>58</v>
      </c>
      <c r="G5" s="41">
        <v>63</v>
      </c>
      <c r="H5" s="41">
        <v>68</v>
      </c>
      <c r="I5" s="41">
        <v>73</v>
      </c>
      <c r="J5" s="41">
        <v>78</v>
      </c>
      <c r="K5" s="41">
        <v>50</v>
      </c>
      <c r="L5" s="41">
        <v>58</v>
      </c>
      <c r="M5" s="41">
        <v>63</v>
      </c>
      <c r="N5" s="41">
        <v>68</v>
      </c>
      <c r="O5" s="41">
        <v>73</v>
      </c>
      <c r="P5" s="41">
        <v>78</v>
      </c>
    </row>
    <row r="6" spans="1:16" ht="13" x14ac:dyDescent="0.3">
      <c r="A6" s="15"/>
      <c r="B6" s="44" t="s">
        <v>8</v>
      </c>
      <c r="C6" s="24"/>
      <c r="D6" s="42"/>
      <c r="E6" s="42"/>
      <c r="F6" s="42"/>
      <c r="G6" s="42"/>
      <c r="H6" s="42"/>
      <c r="I6" s="42"/>
      <c r="J6" s="42"/>
      <c r="K6" s="24"/>
      <c r="L6" s="24"/>
      <c r="M6" s="24"/>
      <c r="N6" s="24"/>
      <c r="O6" s="24"/>
      <c r="P6" s="24"/>
    </row>
    <row r="7" spans="1:16" ht="14.5" x14ac:dyDescent="0.35">
      <c r="A7" s="15"/>
      <c r="B7" s="25">
        <v>1</v>
      </c>
      <c r="C7" s="38">
        <v>0</v>
      </c>
      <c r="D7" s="47">
        <v>0</v>
      </c>
      <c r="E7" s="47">
        <v>0</v>
      </c>
      <c r="F7" s="47">
        <v>0</v>
      </c>
      <c r="G7" s="47">
        <v>0</v>
      </c>
      <c r="H7" s="47">
        <v>0</v>
      </c>
      <c r="I7" s="47">
        <v>0</v>
      </c>
      <c r="J7" s="47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</row>
    <row r="8" spans="1:16" ht="14.5" x14ac:dyDescent="0.35">
      <c r="A8" s="15"/>
      <c r="B8" s="25">
        <v>2</v>
      </c>
      <c r="C8" s="38">
        <v>0</v>
      </c>
      <c r="D8" s="47">
        <v>0</v>
      </c>
      <c r="E8" s="47">
        <v>0</v>
      </c>
      <c r="F8" s="47">
        <v>0</v>
      </c>
      <c r="G8" s="47">
        <v>0</v>
      </c>
      <c r="H8" s="47">
        <v>0</v>
      </c>
      <c r="I8" s="47">
        <v>0</v>
      </c>
      <c r="J8" s="47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</row>
    <row r="9" spans="1:16" ht="14.5" x14ac:dyDescent="0.35">
      <c r="A9" s="15"/>
      <c r="B9" s="25">
        <v>3</v>
      </c>
      <c r="C9" s="38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47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</row>
    <row r="10" spans="1:16" ht="14.5" x14ac:dyDescent="0.35">
      <c r="A10" s="15"/>
      <c r="B10" s="25">
        <v>4</v>
      </c>
      <c r="C10" s="38">
        <v>0</v>
      </c>
      <c r="D10" s="47">
        <v>0</v>
      </c>
      <c r="E10" s="47">
        <v>0</v>
      </c>
      <c r="F10" s="47">
        <v>0</v>
      </c>
      <c r="G10" s="47">
        <v>0</v>
      </c>
      <c r="H10" s="47">
        <v>0</v>
      </c>
      <c r="I10" s="47">
        <v>0</v>
      </c>
      <c r="J10" s="47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</row>
    <row r="11" spans="1:16" ht="14.5" x14ac:dyDescent="0.35">
      <c r="A11" s="15"/>
      <c r="B11" s="25">
        <v>5</v>
      </c>
      <c r="C11" s="38">
        <v>0</v>
      </c>
      <c r="D11" s="47">
        <v>0</v>
      </c>
      <c r="E11" s="47">
        <v>0</v>
      </c>
      <c r="F11" s="47">
        <v>0</v>
      </c>
      <c r="G11" s="47">
        <v>0</v>
      </c>
      <c r="H11" s="47">
        <v>0</v>
      </c>
      <c r="I11" s="47">
        <v>0</v>
      </c>
      <c r="J11" s="47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</row>
    <row r="12" spans="1:16" ht="14.5" x14ac:dyDescent="0.35">
      <c r="B12" s="25">
        <v>6</v>
      </c>
      <c r="C12" s="38">
        <v>0</v>
      </c>
      <c r="D12" s="38">
        <v>5.0000000000000001E-3</v>
      </c>
      <c r="E12" s="48">
        <v>5.5600000000000007E-3</v>
      </c>
      <c r="F12" s="48">
        <v>6.3800000000000003E-3</v>
      </c>
      <c r="G12" s="48">
        <v>7.92E-3</v>
      </c>
      <c r="H12" s="48">
        <v>1.146E-2</v>
      </c>
      <c r="I12" s="48">
        <v>1.9379999999999998E-2</v>
      </c>
      <c r="J12" s="48">
        <v>3.3159999999999995E-2</v>
      </c>
      <c r="K12" s="48">
        <v>5.5600000000000007E-3</v>
      </c>
      <c r="L12" s="48">
        <v>6.3800000000000003E-3</v>
      </c>
      <c r="M12" s="48">
        <v>7.92E-3</v>
      </c>
      <c r="N12" s="48">
        <v>1.146E-2</v>
      </c>
      <c r="O12" s="48">
        <v>1.9379999999999998E-2</v>
      </c>
      <c r="P12" s="48">
        <v>3.3159999999999995E-2</v>
      </c>
    </row>
    <row r="13" spans="1:16" ht="14.5" x14ac:dyDescent="0.35">
      <c r="B13" s="25">
        <v>7</v>
      </c>
      <c r="C13" s="38">
        <v>0</v>
      </c>
      <c r="D13" s="38">
        <v>5.0000000000000001E-3</v>
      </c>
      <c r="E13" s="48">
        <v>5.6200000000000009E-3</v>
      </c>
      <c r="F13" s="48">
        <v>6.5799999999999999E-3</v>
      </c>
      <c r="G13" s="48">
        <v>8.4200000000000004E-3</v>
      </c>
      <c r="H13" s="48">
        <v>1.2619999999999999E-2</v>
      </c>
      <c r="I13" s="48">
        <v>2.1640000000000003E-2</v>
      </c>
      <c r="J13" s="48">
        <v>3.6760000000000001E-2</v>
      </c>
      <c r="K13" s="48">
        <v>5.6200000000000009E-3</v>
      </c>
      <c r="L13" s="48">
        <v>6.5799999999999999E-3</v>
      </c>
      <c r="M13" s="48">
        <v>8.4200000000000004E-3</v>
      </c>
      <c r="N13" s="48">
        <v>1.2619999999999999E-2</v>
      </c>
      <c r="O13" s="48">
        <v>2.1640000000000003E-2</v>
      </c>
      <c r="P13" s="48">
        <v>3.6760000000000001E-2</v>
      </c>
    </row>
    <row r="14" spans="1:16" ht="14.5" x14ac:dyDescent="0.35">
      <c r="B14" s="25">
        <v>8</v>
      </c>
      <c r="C14" s="38">
        <v>0</v>
      </c>
      <c r="D14" s="38">
        <v>5.0000000000000001E-3</v>
      </c>
      <c r="E14" s="48">
        <v>5.0000000000000001E-3</v>
      </c>
      <c r="F14" s="48">
        <v>5.0000000000000001E-3</v>
      </c>
      <c r="G14" s="48">
        <v>5.0000000000000001E-3</v>
      </c>
      <c r="H14" s="48">
        <v>5.0000000000000001E-3</v>
      </c>
      <c r="I14" s="48">
        <v>5.0000000000000001E-3</v>
      </c>
      <c r="J14" s="48">
        <v>5.0000000000000001E-3</v>
      </c>
      <c r="K14" s="48">
        <v>5.6799999999999993E-3</v>
      </c>
      <c r="L14" s="48">
        <v>6.8200000000000005E-3</v>
      </c>
      <c r="M14" s="48">
        <v>9.0000000000000011E-3</v>
      </c>
      <c r="N14" s="48">
        <v>1.3979999999999999E-2</v>
      </c>
      <c r="O14" s="48">
        <v>2.41E-2</v>
      </c>
      <c r="P14" s="48">
        <v>4.0660000000000002E-2</v>
      </c>
    </row>
    <row r="15" spans="1:16" ht="14.5" x14ac:dyDescent="0.35">
      <c r="B15" s="25">
        <v>9</v>
      </c>
      <c r="C15" s="38">
        <v>0</v>
      </c>
      <c r="D15" s="38">
        <v>5.0000000000000001E-3</v>
      </c>
      <c r="E15" s="48">
        <v>5.0000000000000001E-3</v>
      </c>
      <c r="F15" s="48">
        <v>5.0000000000000001E-3</v>
      </c>
      <c r="G15" s="48">
        <v>5.0000000000000001E-3</v>
      </c>
      <c r="H15" s="48">
        <v>5.0000000000000001E-3</v>
      </c>
      <c r="I15" s="48">
        <v>5.0000000000000001E-3</v>
      </c>
      <c r="J15" s="48">
        <v>5.0000000000000001E-3</v>
      </c>
      <c r="K15" s="48">
        <v>5.7799999999999995E-3</v>
      </c>
      <c r="L15" s="48">
        <v>7.1399999999999996E-3</v>
      </c>
      <c r="M15" s="48">
        <v>9.6799999999999994E-3</v>
      </c>
      <c r="N15" s="48">
        <v>1.5560000000000001E-2</v>
      </c>
      <c r="O15" s="48">
        <v>2.6859999999999998E-2</v>
      </c>
      <c r="P15" s="48">
        <v>5.0000000000000001E-3</v>
      </c>
    </row>
    <row r="16" spans="1:16" ht="14.5" x14ac:dyDescent="0.35">
      <c r="B16" s="25">
        <v>10</v>
      </c>
      <c r="C16" s="38">
        <v>0</v>
      </c>
      <c r="D16" s="38">
        <v>5.0000000000000001E-3</v>
      </c>
      <c r="E16" s="48">
        <v>5.0000000000000001E-3</v>
      </c>
      <c r="F16" s="48">
        <v>5.0000000000000001E-3</v>
      </c>
      <c r="G16" s="48">
        <v>5.0000000000000001E-3</v>
      </c>
      <c r="H16" s="48">
        <v>5.0000000000000001E-3</v>
      </c>
      <c r="I16" s="48">
        <v>5.0000000000000001E-3</v>
      </c>
      <c r="J16" s="48">
        <v>5.0000000000000001E-3</v>
      </c>
      <c r="K16" s="48">
        <v>5.8599999999999998E-3</v>
      </c>
      <c r="L16" s="48">
        <v>7.4999999999999997E-3</v>
      </c>
      <c r="M16" s="48">
        <v>1.0500000000000001E-2</v>
      </c>
      <c r="N16" s="48">
        <v>1.736E-2</v>
      </c>
      <c r="O16" s="48">
        <v>2.9860000000000001E-2</v>
      </c>
      <c r="P16" s="48">
        <v>5.0000000000000001E-3</v>
      </c>
    </row>
    <row r="17" spans="2:16" ht="14.5" x14ac:dyDescent="0.35">
      <c r="B17" s="25">
        <v>11</v>
      </c>
      <c r="C17" s="38">
        <v>0</v>
      </c>
      <c r="D17" s="38">
        <v>5.0000000000000001E-3</v>
      </c>
      <c r="E17" s="48">
        <v>5.0000000000000001E-3</v>
      </c>
      <c r="F17" s="48">
        <v>5.0000000000000001E-3</v>
      </c>
      <c r="G17" s="48">
        <v>5.0000000000000001E-3</v>
      </c>
      <c r="H17" s="48">
        <v>5.0000000000000001E-3</v>
      </c>
      <c r="I17" s="48">
        <v>5.0000000000000001E-3</v>
      </c>
      <c r="J17" s="48">
        <v>5.0000000000000001E-3</v>
      </c>
      <c r="K17" s="48">
        <v>5.0000000000000001E-3</v>
      </c>
      <c r="L17" s="48">
        <v>5.0000000000000001E-3</v>
      </c>
      <c r="M17" s="48">
        <v>5.0000000000000001E-3</v>
      </c>
      <c r="N17" s="48">
        <v>5.0000000000000001E-3</v>
      </c>
      <c r="O17" s="48">
        <v>5.0000000000000001E-3</v>
      </c>
      <c r="P17" s="48">
        <v>5.0000000000000001E-3</v>
      </c>
    </row>
    <row r="18" spans="2:16" ht="14.5" x14ac:dyDescent="0.35">
      <c r="B18" s="25">
        <v>12</v>
      </c>
      <c r="C18" s="38">
        <v>0</v>
      </c>
      <c r="D18" s="38">
        <v>5.0000000000000001E-3</v>
      </c>
      <c r="E18" s="48">
        <v>5.0000000000000001E-3</v>
      </c>
      <c r="F18" s="48">
        <v>5.0000000000000001E-3</v>
      </c>
      <c r="G18" s="48">
        <v>5.0000000000000001E-3</v>
      </c>
      <c r="H18" s="48">
        <v>5.0000000000000001E-3</v>
      </c>
      <c r="I18" s="48">
        <v>5.0000000000000001E-3</v>
      </c>
      <c r="J18" s="48">
        <v>5.0000000000000001E-3</v>
      </c>
      <c r="K18" s="48">
        <v>5.0000000000000001E-3</v>
      </c>
      <c r="L18" s="48">
        <v>5.0000000000000001E-3</v>
      </c>
      <c r="M18" s="48">
        <v>5.0000000000000001E-3</v>
      </c>
      <c r="N18" s="48">
        <v>5.0000000000000001E-3</v>
      </c>
      <c r="O18" s="48">
        <v>5.0000000000000001E-3</v>
      </c>
      <c r="P18" s="48">
        <v>5.0000000000000001E-3</v>
      </c>
    </row>
    <row r="19" spans="2:16" ht="14.5" x14ac:dyDescent="0.35">
      <c r="B19" s="25">
        <v>13</v>
      </c>
      <c r="C19" s="38">
        <v>0</v>
      </c>
      <c r="D19" s="38">
        <v>5.0000000000000001E-3</v>
      </c>
      <c r="E19" s="48">
        <v>5.0000000000000001E-3</v>
      </c>
      <c r="F19" s="48">
        <v>5.0000000000000001E-3</v>
      </c>
      <c r="G19" s="48">
        <v>5.0000000000000001E-3</v>
      </c>
      <c r="H19" s="48">
        <v>5.0000000000000001E-3</v>
      </c>
      <c r="I19" s="48">
        <v>5.0000000000000001E-3</v>
      </c>
      <c r="J19" s="48">
        <v>5.0000000000000001E-3</v>
      </c>
      <c r="K19" s="48">
        <v>5.0000000000000001E-3</v>
      </c>
      <c r="L19" s="48">
        <v>5.0000000000000001E-3</v>
      </c>
      <c r="M19" s="48">
        <v>5.0000000000000001E-3</v>
      </c>
      <c r="N19" s="48">
        <v>5.0000000000000001E-3</v>
      </c>
      <c r="O19" s="48">
        <v>5.0000000000000001E-3</v>
      </c>
      <c r="P19" s="48">
        <v>5.0000000000000001E-3</v>
      </c>
    </row>
    <row r="20" spans="2:16" ht="14.5" x14ac:dyDescent="0.35">
      <c r="B20" s="25">
        <v>14</v>
      </c>
      <c r="C20" s="38">
        <v>0</v>
      </c>
      <c r="D20" s="38">
        <v>5.0000000000000001E-3</v>
      </c>
      <c r="E20" s="48">
        <v>5.0000000000000001E-3</v>
      </c>
      <c r="F20" s="48">
        <v>5.0000000000000001E-3</v>
      </c>
      <c r="G20" s="48">
        <v>5.0000000000000001E-3</v>
      </c>
      <c r="H20" s="48">
        <v>5.0000000000000001E-3</v>
      </c>
      <c r="I20" s="48">
        <v>5.0000000000000001E-3</v>
      </c>
      <c r="J20" s="48">
        <v>5.0000000000000001E-3</v>
      </c>
      <c r="K20" s="48">
        <v>5.0000000000000001E-3</v>
      </c>
      <c r="L20" s="48">
        <v>5.0000000000000001E-3</v>
      </c>
      <c r="M20" s="48">
        <v>5.0000000000000001E-3</v>
      </c>
      <c r="N20" s="48">
        <v>5.0000000000000001E-3</v>
      </c>
      <c r="O20" s="48">
        <v>5.0000000000000001E-3</v>
      </c>
      <c r="P20" s="48">
        <v>5.0000000000000001E-3</v>
      </c>
    </row>
    <row r="21" spans="2:16" ht="14.5" x14ac:dyDescent="0.35">
      <c r="B21" s="25">
        <v>15</v>
      </c>
      <c r="C21" s="38">
        <v>0</v>
      </c>
      <c r="D21" s="38">
        <v>5.0000000000000001E-3</v>
      </c>
      <c r="E21" s="48">
        <v>5.0000000000000001E-3</v>
      </c>
      <c r="F21" s="48">
        <v>5.0000000000000001E-3</v>
      </c>
      <c r="G21" s="48">
        <v>5.0000000000000001E-3</v>
      </c>
      <c r="H21" s="48">
        <v>5.0000000000000001E-3</v>
      </c>
      <c r="I21" s="48">
        <v>5.0000000000000001E-3</v>
      </c>
      <c r="J21" s="48">
        <v>5.0000000000000001E-3</v>
      </c>
      <c r="K21" s="48">
        <v>5.0000000000000001E-3</v>
      </c>
      <c r="L21" s="48">
        <v>5.0000000000000001E-3</v>
      </c>
      <c r="M21" s="48">
        <v>5.0000000000000001E-3</v>
      </c>
      <c r="N21" s="48">
        <v>5.0000000000000001E-3</v>
      </c>
      <c r="O21" s="48">
        <v>5.0000000000000001E-3</v>
      </c>
      <c r="P21" s="48">
        <v>5.0000000000000001E-3</v>
      </c>
    </row>
    <row r="22" spans="2:16" ht="14.5" x14ac:dyDescent="0.35">
      <c r="B22" s="25">
        <v>16</v>
      </c>
      <c r="C22" s="38">
        <v>0</v>
      </c>
      <c r="D22" s="38">
        <v>5.0000000000000001E-3</v>
      </c>
      <c r="E22" s="48">
        <v>5.0000000000000001E-3</v>
      </c>
      <c r="F22" s="48">
        <v>5.0000000000000001E-3</v>
      </c>
      <c r="G22" s="48">
        <v>5.0000000000000001E-3</v>
      </c>
      <c r="H22" s="48">
        <v>5.0000000000000001E-3</v>
      </c>
      <c r="I22" s="48">
        <v>5.0000000000000001E-3</v>
      </c>
      <c r="J22" s="48">
        <v>5.0000000000000001E-3</v>
      </c>
      <c r="K22" s="48">
        <v>5.0000000000000001E-3</v>
      </c>
      <c r="L22" s="48">
        <v>5.0000000000000001E-3</v>
      </c>
      <c r="M22" s="48">
        <v>5.0000000000000001E-3</v>
      </c>
      <c r="N22" s="48">
        <v>5.0000000000000001E-3</v>
      </c>
      <c r="O22" s="48">
        <v>5.0000000000000001E-3</v>
      </c>
      <c r="P22" s="48">
        <v>5.0000000000000001E-3</v>
      </c>
    </row>
    <row r="23" spans="2:16" ht="14.5" x14ac:dyDescent="0.35">
      <c r="B23" s="25">
        <v>17</v>
      </c>
      <c r="C23" s="38">
        <v>0</v>
      </c>
      <c r="D23" s="38">
        <v>5.0000000000000001E-3</v>
      </c>
      <c r="E23" s="48">
        <v>5.0000000000000001E-3</v>
      </c>
      <c r="F23" s="48">
        <v>5.0000000000000001E-3</v>
      </c>
      <c r="G23" s="48">
        <v>5.0000000000000001E-3</v>
      </c>
      <c r="H23" s="48">
        <v>5.0000000000000001E-3</v>
      </c>
      <c r="I23" s="48">
        <v>5.0000000000000001E-3</v>
      </c>
      <c r="J23" s="48">
        <v>5.0000000000000001E-3</v>
      </c>
      <c r="K23" s="48">
        <v>5.0000000000000001E-3</v>
      </c>
      <c r="L23" s="48">
        <v>5.0000000000000001E-3</v>
      </c>
      <c r="M23" s="48">
        <v>5.0000000000000001E-3</v>
      </c>
      <c r="N23" s="48">
        <v>5.0000000000000001E-3</v>
      </c>
      <c r="O23" s="48">
        <v>5.0000000000000001E-3</v>
      </c>
      <c r="P23" s="48">
        <v>5.0000000000000001E-3</v>
      </c>
    </row>
    <row r="24" spans="2:16" ht="14.5" x14ac:dyDescent="0.35">
      <c r="B24" s="25">
        <v>18</v>
      </c>
      <c r="C24" s="38">
        <v>0</v>
      </c>
      <c r="D24" s="38">
        <v>5.0000000000000001E-3</v>
      </c>
      <c r="E24" s="48">
        <v>5.0000000000000001E-3</v>
      </c>
      <c r="F24" s="48">
        <v>5.0000000000000001E-3</v>
      </c>
      <c r="G24" s="48">
        <v>5.0000000000000001E-3</v>
      </c>
      <c r="H24" s="48">
        <v>5.0000000000000001E-3</v>
      </c>
      <c r="I24" s="48">
        <v>5.0000000000000001E-3</v>
      </c>
      <c r="J24" s="48">
        <v>5.0000000000000001E-3</v>
      </c>
      <c r="K24" s="48">
        <v>5.0000000000000001E-3</v>
      </c>
      <c r="L24" s="48">
        <v>5.0000000000000001E-3</v>
      </c>
      <c r="M24" s="48">
        <v>5.0000000000000001E-3</v>
      </c>
      <c r="N24" s="48">
        <v>5.0000000000000001E-3</v>
      </c>
      <c r="O24" s="48">
        <v>5.0000000000000001E-3</v>
      </c>
      <c r="P24" s="48">
        <v>5.0000000000000001E-3</v>
      </c>
    </row>
    <row r="25" spans="2:16" ht="14.5" x14ac:dyDescent="0.35">
      <c r="B25" s="25">
        <v>19</v>
      </c>
      <c r="C25" s="38">
        <v>0</v>
      </c>
      <c r="D25" s="38">
        <v>5.0000000000000001E-3</v>
      </c>
      <c r="E25" s="48">
        <v>5.0000000000000001E-3</v>
      </c>
      <c r="F25" s="48">
        <v>5.0000000000000001E-3</v>
      </c>
      <c r="G25" s="48">
        <v>5.0000000000000001E-3</v>
      </c>
      <c r="H25" s="48">
        <v>5.0000000000000001E-3</v>
      </c>
      <c r="I25" s="48">
        <v>5.0000000000000001E-3</v>
      </c>
      <c r="J25" s="48">
        <v>5.0000000000000001E-3</v>
      </c>
      <c r="K25" s="48">
        <v>5.0000000000000001E-3</v>
      </c>
      <c r="L25" s="48">
        <v>5.0000000000000001E-3</v>
      </c>
      <c r="M25" s="48">
        <v>5.0000000000000001E-3</v>
      </c>
      <c r="N25" s="48">
        <v>5.0000000000000001E-3</v>
      </c>
      <c r="O25" s="48">
        <v>5.0000000000000001E-3</v>
      </c>
      <c r="P25" s="48">
        <v>5.0000000000000001E-3</v>
      </c>
    </row>
    <row r="26" spans="2:16" ht="14.5" x14ac:dyDescent="0.35">
      <c r="B26" s="25">
        <v>20</v>
      </c>
      <c r="C26" s="38">
        <v>0</v>
      </c>
      <c r="D26" s="38">
        <v>5.0000000000000001E-3</v>
      </c>
      <c r="E26" s="48">
        <v>5.0000000000000001E-3</v>
      </c>
      <c r="F26" s="48">
        <v>5.0000000000000001E-3</v>
      </c>
      <c r="G26" s="48">
        <v>5.0000000000000001E-3</v>
      </c>
      <c r="H26" s="48">
        <v>5.0000000000000001E-3</v>
      </c>
      <c r="I26" s="48">
        <v>5.0000000000000001E-3</v>
      </c>
      <c r="J26" s="48">
        <v>5.0000000000000001E-3</v>
      </c>
      <c r="K26" s="48">
        <v>5.0000000000000001E-3</v>
      </c>
      <c r="L26" s="48">
        <v>5.0000000000000001E-3</v>
      </c>
      <c r="M26" s="48">
        <v>5.0000000000000001E-3</v>
      </c>
      <c r="N26" s="48">
        <v>5.0000000000000001E-3</v>
      </c>
      <c r="O26" s="48">
        <v>5.0000000000000001E-3</v>
      </c>
      <c r="P26" s="48">
        <v>5.0000000000000001E-3</v>
      </c>
    </row>
    <row r="27" spans="2:16" ht="14.5" x14ac:dyDescent="0.35">
      <c r="B27" s="25">
        <v>21</v>
      </c>
      <c r="C27" s="38">
        <v>0</v>
      </c>
      <c r="D27" s="38">
        <v>5.0000000000000001E-3</v>
      </c>
      <c r="E27" s="48">
        <v>5.0000000000000001E-3</v>
      </c>
      <c r="F27" s="48">
        <v>5.0000000000000001E-3</v>
      </c>
      <c r="G27" s="48">
        <v>5.0000000000000001E-3</v>
      </c>
      <c r="H27" s="48">
        <v>5.0000000000000001E-3</v>
      </c>
      <c r="I27" s="48">
        <v>5.0000000000000001E-3</v>
      </c>
      <c r="J27" s="48">
        <v>5.0000000000000001E-3</v>
      </c>
      <c r="K27" s="48">
        <v>5.0000000000000001E-3</v>
      </c>
      <c r="L27" s="48">
        <v>5.0000000000000001E-3</v>
      </c>
      <c r="M27" s="48">
        <v>5.0000000000000001E-3</v>
      </c>
      <c r="N27" s="48">
        <v>5.0000000000000001E-3</v>
      </c>
      <c r="O27" s="48">
        <v>5.0000000000000001E-3</v>
      </c>
      <c r="P27" s="48">
        <v>5.0000000000000001E-3</v>
      </c>
    </row>
    <row r="28" spans="2:16" ht="14.5" x14ac:dyDescent="0.35">
      <c r="B28" s="25">
        <v>22</v>
      </c>
      <c r="C28" s="38">
        <v>0</v>
      </c>
      <c r="D28" s="38">
        <v>5.0000000000000001E-3</v>
      </c>
      <c r="E28" s="48">
        <v>5.0000000000000001E-3</v>
      </c>
      <c r="F28" s="48">
        <v>5.0000000000000001E-3</v>
      </c>
      <c r="G28" s="48">
        <v>5.0000000000000001E-3</v>
      </c>
      <c r="H28" s="48">
        <v>5.0000000000000001E-3</v>
      </c>
      <c r="I28" s="48">
        <v>5.0000000000000001E-3</v>
      </c>
      <c r="J28" s="48">
        <v>5.0000000000000001E-3</v>
      </c>
      <c r="K28" s="48">
        <v>5.0000000000000001E-3</v>
      </c>
      <c r="L28" s="48">
        <v>5.0000000000000001E-3</v>
      </c>
      <c r="M28" s="48">
        <v>5.0000000000000001E-3</v>
      </c>
      <c r="N28" s="48">
        <v>5.0000000000000001E-3</v>
      </c>
      <c r="O28" s="48">
        <v>5.0000000000000001E-3</v>
      </c>
      <c r="P28" s="48">
        <v>5.0000000000000001E-3</v>
      </c>
    </row>
    <row r="29" spans="2:16" ht="14.5" x14ac:dyDescent="0.35">
      <c r="B29" s="25">
        <v>23</v>
      </c>
      <c r="C29" s="38">
        <v>0</v>
      </c>
      <c r="D29" s="38">
        <v>5.0000000000000001E-3</v>
      </c>
      <c r="E29" s="48">
        <v>5.0000000000000001E-3</v>
      </c>
      <c r="F29" s="48">
        <v>5.0000000000000001E-3</v>
      </c>
      <c r="G29" s="48">
        <v>5.0000000000000001E-3</v>
      </c>
      <c r="H29" s="48">
        <v>5.0000000000000001E-3</v>
      </c>
      <c r="I29" s="48">
        <v>5.0000000000000001E-3</v>
      </c>
      <c r="J29" s="48">
        <v>5.0000000000000001E-3</v>
      </c>
      <c r="K29" s="48">
        <v>5.0000000000000001E-3</v>
      </c>
      <c r="L29" s="48">
        <v>5.0000000000000001E-3</v>
      </c>
      <c r="M29" s="48">
        <v>5.0000000000000001E-3</v>
      </c>
      <c r="N29" s="48">
        <v>5.0000000000000001E-3</v>
      </c>
      <c r="O29" s="48">
        <v>5.0000000000000001E-3</v>
      </c>
      <c r="P29" s="48">
        <v>5.0000000000000001E-3</v>
      </c>
    </row>
    <row r="30" spans="2:16" ht="14.5" x14ac:dyDescent="0.35">
      <c r="B30" s="25">
        <v>24</v>
      </c>
      <c r="C30" s="38">
        <v>0</v>
      </c>
      <c r="D30" s="38">
        <v>5.0000000000000001E-3</v>
      </c>
      <c r="E30" s="48">
        <v>5.0000000000000001E-3</v>
      </c>
      <c r="F30" s="48">
        <v>5.0000000000000001E-3</v>
      </c>
      <c r="G30" s="48">
        <v>5.0000000000000001E-3</v>
      </c>
      <c r="H30" s="48">
        <v>5.0000000000000001E-3</v>
      </c>
      <c r="I30" s="48">
        <v>5.0000000000000001E-3</v>
      </c>
      <c r="J30" s="48">
        <v>5.0000000000000001E-3</v>
      </c>
      <c r="K30" s="48">
        <v>5.0000000000000001E-3</v>
      </c>
      <c r="L30" s="48">
        <v>5.0000000000000001E-3</v>
      </c>
      <c r="M30" s="48">
        <v>5.0000000000000001E-3</v>
      </c>
      <c r="N30" s="48">
        <v>5.0000000000000001E-3</v>
      </c>
      <c r="O30" s="48">
        <v>5.0000000000000001E-3</v>
      </c>
      <c r="P30" s="48">
        <v>5.0000000000000001E-3</v>
      </c>
    </row>
    <row r="31" spans="2:16" ht="14.5" x14ac:dyDescent="0.35">
      <c r="B31" s="25">
        <v>25</v>
      </c>
      <c r="C31" s="38">
        <v>0</v>
      </c>
      <c r="D31" s="38">
        <v>5.0000000000000001E-3</v>
      </c>
      <c r="E31" s="48">
        <v>5.0000000000000001E-3</v>
      </c>
      <c r="F31" s="48">
        <v>5.0000000000000001E-3</v>
      </c>
      <c r="G31" s="48">
        <v>5.0000000000000001E-3</v>
      </c>
      <c r="H31" s="48">
        <v>5.0000000000000001E-3</v>
      </c>
      <c r="I31" s="48">
        <v>5.0000000000000001E-3</v>
      </c>
      <c r="J31" s="48">
        <v>5.0000000000000001E-3</v>
      </c>
      <c r="K31" s="48">
        <v>5.0000000000000001E-3</v>
      </c>
      <c r="L31" s="48">
        <v>5.0000000000000001E-3</v>
      </c>
      <c r="M31" s="48">
        <v>5.0000000000000001E-3</v>
      </c>
      <c r="N31" s="48">
        <v>5.0000000000000001E-3</v>
      </c>
      <c r="O31" s="48">
        <v>5.0000000000000001E-3</v>
      </c>
      <c r="P31" s="48">
        <v>5.0000000000000001E-3</v>
      </c>
    </row>
    <row r="32" spans="2:16" ht="14.5" x14ac:dyDescent="0.35">
      <c r="B32" s="25">
        <v>26</v>
      </c>
      <c r="C32" s="38">
        <v>0</v>
      </c>
      <c r="D32" s="38">
        <v>5.0000000000000001E-3</v>
      </c>
      <c r="E32" s="48">
        <v>5.0000000000000001E-3</v>
      </c>
      <c r="F32" s="48">
        <v>5.0000000000000001E-3</v>
      </c>
      <c r="G32" s="48">
        <v>5.0000000000000001E-3</v>
      </c>
      <c r="H32" s="48">
        <v>5.0000000000000001E-3</v>
      </c>
      <c r="I32" s="48">
        <v>5.0000000000000001E-3</v>
      </c>
      <c r="J32" s="48">
        <v>5.0000000000000001E-3</v>
      </c>
      <c r="K32" s="48">
        <v>5.0000000000000001E-3</v>
      </c>
      <c r="L32" s="48">
        <v>5.0000000000000001E-3</v>
      </c>
      <c r="M32" s="48">
        <v>5.0000000000000001E-3</v>
      </c>
      <c r="N32" s="48">
        <v>5.0000000000000001E-3</v>
      </c>
      <c r="O32" s="48">
        <v>5.0000000000000001E-3</v>
      </c>
      <c r="P32" s="48">
        <v>5.0000000000000001E-3</v>
      </c>
    </row>
    <row r="33" spans="2:16" ht="14.5" x14ac:dyDescent="0.35">
      <c r="B33" s="25">
        <v>27</v>
      </c>
      <c r="C33" s="38">
        <v>0</v>
      </c>
      <c r="D33" s="38">
        <v>5.0000000000000001E-3</v>
      </c>
      <c r="E33" s="48">
        <v>5.0000000000000001E-3</v>
      </c>
      <c r="F33" s="48">
        <v>5.0000000000000001E-3</v>
      </c>
      <c r="G33" s="48">
        <v>5.0000000000000001E-3</v>
      </c>
      <c r="H33" s="48">
        <v>5.0000000000000001E-3</v>
      </c>
      <c r="I33" s="48">
        <v>5.0000000000000001E-3</v>
      </c>
      <c r="J33" s="48">
        <v>5.0000000000000001E-3</v>
      </c>
      <c r="K33" s="48">
        <v>5.0000000000000001E-3</v>
      </c>
      <c r="L33" s="48">
        <v>5.0000000000000001E-3</v>
      </c>
      <c r="M33" s="48">
        <v>5.0000000000000001E-3</v>
      </c>
      <c r="N33" s="48">
        <v>5.0000000000000001E-3</v>
      </c>
      <c r="O33" s="48">
        <v>5.0000000000000001E-3</v>
      </c>
      <c r="P33" s="48">
        <v>5.0000000000000001E-3</v>
      </c>
    </row>
    <row r="34" spans="2:16" ht="14.5" x14ac:dyDescent="0.35">
      <c r="B34" s="25">
        <v>28</v>
      </c>
      <c r="C34" s="38">
        <v>0</v>
      </c>
      <c r="D34" s="38">
        <v>5.0000000000000001E-3</v>
      </c>
      <c r="E34" s="48">
        <v>5.0000000000000001E-3</v>
      </c>
      <c r="F34" s="48">
        <v>5.0000000000000001E-3</v>
      </c>
      <c r="G34" s="48">
        <v>5.0000000000000001E-3</v>
      </c>
      <c r="H34" s="48">
        <v>5.0000000000000001E-3</v>
      </c>
      <c r="I34" s="48">
        <v>5.0000000000000001E-3</v>
      </c>
      <c r="J34" s="48">
        <v>5.0000000000000001E-3</v>
      </c>
      <c r="K34" s="48">
        <v>5.0000000000000001E-3</v>
      </c>
      <c r="L34" s="48">
        <v>5.0000000000000001E-3</v>
      </c>
      <c r="M34" s="48">
        <v>5.0000000000000001E-3</v>
      </c>
      <c r="N34" s="48">
        <v>5.0000000000000001E-3</v>
      </c>
      <c r="O34" s="48">
        <v>5.0000000000000001E-3</v>
      </c>
      <c r="P34" s="48">
        <v>5.0000000000000001E-3</v>
      </c>
    </row>
    <row r="35" spans="2:16" ht="14.5" x14ac:dyDescent="0.35">
      <c r="B35" s="25">
        <v>29</v>
      </c>
      <c r="C35" s="38">
        <v>0</v>
      </c>
      <c r="D35" s="38">
        <v>5.0000000000000001E-3</v>
      </c>
      <c r="E35" s="48">
        <v>5.0000000000000001E-3</v>
      </c>
      <c r="F35" s="48">
        <v>5.0000000000000001E-3</v>
      </c>
      <c r="G35" s="48">
        <v>5.0000000000000001E-3</v>
      </c>
      <c r="H35" s="48">
        <v>5.0000000000000001E-3</v>
      </c>
      <c r="I35" s="48">
        <v>5.0000000000000001E-3</v>
      </c>
      <c r="J35" s="48">
        <v>5.0000000000000001E-3</v>
      </c>
      <c r="K35" s="48">
        <v>5.0000000000000001E-3</v>
      </c>
      <c r="L35" s="48">
        <v>5.0000000000000001E-3</v>
      </c>
      <c r="M35" s="48">
        <v>5.0000000000000001E-3</v>
      </c>
      <c r="N35" s="48">
        <v>5.0000000000000001E-3</v>
      </c>
      <c r="O35" s="48">
        <v>5.0000000000000001E-3</v>
      </c>
      <c r="P35" s="48">
        <v>5.0000000000000001E-3</v>
      </c>
    </row>
    <row r="36" spans="2:16" ht="14.5" x14ac:dyDescent="0.35">
      <c r="B36" s="25">
        <v>30</v>
      </c>
      <c r="C36" s="38">
        <v>0</v>
      </c>
      <c r="D36" s="38">
        <v>5.0000000000000001E-3</v>
      </c>
      <c r="E36" s="48">
        <v>5.0000000000000001E-3</v>
      </c>
      <c r="F36" s="48">
        <v>5.0000000000000001E-3</v>
      </c>
      <c r="G36" s="48">
        <v>5.0000000000000001E-3</v>
      </c>
      <c r="H36" s="48">
        <v>5.0000000000000001E-3</v>
      </c>
      <c r="I36" s="48">
        <v>5.0000000000000001E-3</v>
      </c>
      <c r="J36" s="48">
        <v>5.0000000000000001E-3</v>
      </c>
      <c r="K36" s="48">
        <v>5.0000000000000001E-3</v>
      </c>
      <c r="L36" s="48">
        <v>5.0000000000000001E-3</v>
      </c>
      <c r="M36" s="48">
        <v>5.0000000000000001E-3</v>
      </c>
      <c r="N36" s="48">
        <v>5.0000000000000001E-3</v>
      </c>
      <c r="O36" s="48">
        <v>5.0000000000000001E-3</v>
      </c>
      <c r="P36" s="48">
        <v>5.0000000000000001E-3</v>
      </c>
    </row>
  </sheetData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4D6E80-2345-45FA-BD69-575C46F8AC22}">
  <ds:schemaRefs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Change Log</vt:lpstr>
      <vt:lpstr>Table of Contents</vt:lpstr>
      <vt:lpstr>BaseLapse</vt:lpstr>
      <vt:lpstr>DynLapse</vt:lpstr>
      <vt:lpstr>FPWUtil</vt:lpstr>
      <vt:lpstr>Annuitization</vt:lpstr>
      <vt:lpstr>ann_rate_tables</vt:lpstr>
      <vt:lpstr>base_lapse_rate</vt:lpstr>
      <vt:lpstr>dyn_lapse_table_aig</vt:lpstr>
      <vt:lpstr>fpw_util_tables</vt:lpstr>
      <vt:lpstr>lapse_skew_2025</vt:lpstr>
      <vt:lpstr>rila_dyn_lapse_addn_aig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Liu, Zihao</cp:lastModifiedBy>
  <cp:lastPrinted>2013-07-12T20:12:54Z</cp:lastPrinted>
  <dcterms:created xsi:type="dcterms:W3CDTF">2013-06-26T20:08:07Z</dcterms:created>
  <dcterms:modified xsi:type="dcterms:W3CDTF">2025-09-15T16:09:08Z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