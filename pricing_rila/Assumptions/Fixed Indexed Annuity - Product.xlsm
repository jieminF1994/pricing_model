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customProperty3.bin" ContentType="application/vnd.openxmlformats-officedocument.spreadsheetml.customProperty"/>
  <Override PartName="/xl/customProperty4.bin" ContentType="application/vnd.openxmlformats-officedocument.spreadsheetml.customProperty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customProperty7.bin" ContentType="application/vnd.openxmlformats-officedocument.spreadsheetml.customProperty"/>
  <Override PartName="/xl/customProperty8.bin" ContentType="application/vnd.openxmlformats-officedocument.spreadsheetml.customProperty"/>
  <Override PartName="/xl/comments1.xml" ContentType="application/vnd.openxmlformats-officedocument.spreadsheetml.comments+xml"/>
  <Override PartName="/xl/customProperty9.bin" ContentType="application/vnd.openxmlformats-officedocument.spreadsheetml.customProperty"/>
  <Override PartName="/xl/customProperty10.bin" ContentType="application/vnd.openxmlformats-officedocument.spreadsheetml.customProperty"/>
  <Override PartName="/xl/customProperty11.bin" ContentType="application/vnd.openxmlformats-officedocument.spreadsheetml.customProperty"/>
  <Override PartName="/xl/customProperty12.bin" ContentType="application/vnd.openxmlformats-officedocument.spreadsheetml.customProperty"/>
  <Override PartName="/xl/customProperty13.bin" ContentType="application/vnd.openxmlformats-officedocument.spreadsheetml.customProperty"/>
  <Override PartName="/xl/customProperty14.bin" ContentType="application/vnd.openxmlformats-officedocument.spreadsheetml.customProperty"/>
  <Override PartName="/xl/customProperty15.bin" ContentType="application/vnd.openxmlformats-officedocument.spreadsheetml.customProperty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7" Type="http://schemas.openxmlformats.org/officeDocument/2006/relationships/custom-properties" Target="docProps/custom.xml"/><Relationship Id="rId1" Type="http://schemas.openxmlformats.org/officeDocument/2006/relationships/officeDocument" Target="xl/workbook.xml"/><Relationship Id="rId6" Type="http://schemas.openxmlformats.org/officeDocument/2006/relationships/extended-properties" Target="docProps/app.xml"/><Relationship Id="rId5" Type="http://schemas.openxmlformats.org/package/2006/relationships/metadata/core-properties" Target="docProps/core.xml"/><Relationship Id="rId4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zihliu_local\Projects\RILA Prod v1.2\rila_prod_v1.2_alpha_v1.0\Projects\Fixed Indexed Annuity\ProjectData\2013YearEnd\Assumptions\"/>
    </mc:Choice>
  </mc:AlternateContent>
  <xr:revisionPtr revIDLastSave="0" documentId="13_ncr:1_{21C2B6C8-5507-4B1A-A403-303ACAB0EE2F}" xr6:coauthVersionLast="47" xr6:coauthVersionMax="47" xr10:uidLastSave="{00000000-0000-0000-0000-000000000000}"/>
  <bookViews>
    <workbookView xWindow="-110" yWindow="-110" windowWidth="19420" windowHeight="10420" tabRatio="702" activeTab="6" xr2:uid="{00000000-000D-0000-FFFF-FFFF00000000}"/>
  </bookViews>
  <sheets>
    <sheet name="Change Log" sheetId="6" r:id="rId1"/>
    <sheet name="Design Details" sheetId="8" state="hidden" r:id="rId2"/>
    <sheet name="Table of Contents" sheetId="7" r:id="rId3"/>
    <sheet name="Product" sheetId="16" r:id="rId4"/>
    <sheet name="Fund" sheetId="18" r:id="rId5"/>
    <sheet name="DynSwitch" sheetId="38" r:id="rId6"/>
    <sheet name="Policyholder" sheetId="9" r:id="rId7"/>
    <sheet name="Expenses" sheetId="21" r:id="rId8"/>
    <sheet name="Decrement" sheetId="34" r:id="rId9"/>
    <sheet name="Mortality" sheetId="12" r:id="rId10"/>
    <sheet name="GMWB" sheetId="29" r:id="rId11"/>
    <sheet name="GMWB Utilization" sheetId="36" r:id="rId12"/>
    <sheet name="TblIndex" sheetId="22" r:id="rId13"/>
    <sheet name="MinCap" sheetId="33" r:id="rId14"/>
  </sheets>
  <functionGroups builtInGroupCount="19"/>
  <definedNames>
    <definedName name="addl_sc_shock_pfwd_use_aig">Policyholder!$B$213:$G$230</definedName>
    <definedName name="allowable_threshold_deviation_aig">Product!$B$376:$G$381</definedName>
    <definedName name="carvm_table_aig">Product!$B$218:$G$219</definedName>
    <definedName name="comm_chargeback_pct_aig">Expenses!$B$195:$G$220</definedName>
    <definedName name="commission_set_aig">Expenses!$B$4:$G$10</definedName>
    <definedName name="crediting_dyn_lever">Fund!$B$45:$AK$50</definedName>
    <definedName name="crediting_rate_min_table_aig">Fund!$A$130:$AK$141</definedName>
    <definedName name="decrement_set_aig">Decrement!$A$4:$G$566</definedName>
    <definedName name="dyn_switching_aig">DynSwitch!$B$2:$S$3</definedName>
    <definedName name="eprs_add_part_rate_min_aig">Fund!$A$144:$AK$149</definedName>
    <definedName name="eprs_cost_aig">Product!$B$402:$G$409</definedName>
    <definedName name="eprs_hedge_min_par_aig">Fund!$B$151:$AK$152</definedName>
    <definedName name="eprs_index_term_part_rate_max_aig">Fund!$B$165:$AK$166</definedName>
    <definedName name="expense_set_aig">Expenses!$B$14:$G$136</definedName>
    <definedName name="FIACred">Product!$B$186:$G$210</definedName>
    <definedName name="FIAExp">Expenses!$B$163:$G$183</definedName>
    <definedName name="FIAFundCred">Fund!$B$4:$AK$43</definedName>
    <definedName name="FIAGmwb_aig">GMWB!$B$4:$L$72</definedName>
    <definedName name="FIAMort">Mortality!$B$4:$H$15</definedName>
    <definedName name="FIAPol">Policyholder!$B$4:$H$59</definedName>
    <definedName name="FIAPol_by_gmwb_aig">Policyholder!$B$63:$H$67</definedName>
    <definedName name="FIAProd">Product!$B$39:$G$126</definedName>
    <definedName name="glb_flex_cost_aig">Expenses!$A$140:$G$159</definedName>
    <definedName name="gmwb_credit_mult_aig">GMWB!$B$336:$L$341</definedName>
    <definedName name="gmwb_dth_ben_floor_prem_pct_aig">GMWB!$B$404:$L$420</definedName>
    <definedName name="gmwb_generation_set_aig">Product!$B$4:$G$11</definedName>
    <definedName name="gmwb_income_base_cap_prem_base_reduction_method_aig">GMWB!$B$423:$L$428</definedName>
    <definedName name="gmwb_income_base_cap_prem_pct_aig">GMWB!$B$431:$L$433</definedName>
    <definedName name="gmwb_income_base_floor_prem_pct_aig">GMWB!$B$385:$L$401</definedName>
    <definedName name="gmwb_income_fund_val_base_reduction_method_aig">GMWB!$B$369:$L$374</definedName>
    <definedName name="gmwb_income_prem_base_reduction_method_aig">GMWB!$B$361:$L$366</definedName>
    <definedName name="gmwb_income_rollup_cap_base_reduction_method_aig">GMWB!$B$377:$L$382</definedName>
    <definedName name="gmwb_max_annual_wdl_addn_pct_aig">GMWB!$B$300:$L$333</definedName>
    <definedName name="gmwb_max_annual_wdl_pct">GMWB!$B$102:$L$165</definedName>
    <definedName name="gmwb_net_credit_aig">GMWB!$B$344:$L$349</definedName>
    <definedName name="gmwb_pipp_pct_aig">GMWB!$B$168:$L$231</definedName>
    <definedName name="gmwb_pipp_stepup_pct_aig">GMWB!$B$234:$L$297</definedName>
    <definedName name="gmwb_rollup_rate_type_aig">GMWB!$B$352:$L$357</definedName>
    <definedName name="gmwb_wdl_default_utilization_rate_aig">'GMWB Utilization'!$B$42:$H$44</definedName>
    <definedName name="gmwb_wdl_utilization_init_population_aig">'GMWB Utilization'!$B$34:$G$38</definedName>
    <definedName name="gmwb_wdl_utilization_primary_transition_prob_aig">'GMWB Utilization'!$B$3:$G$15</definedName>
    <definedName name="gmwb_wdl_utilization_secondary_transition_prob_aig">'GMWB Utilization'!$B$18:$G$30</definedName>
    <definedName name="gmwb_withdrl_rate_indexing_assessment_ind_aig">GMWB!$B$75:$L$83</definedName>
    <definedName name="gmwb_withdrl_rate_indexing_part_rate_aig">GMWB!$B$86:$L$99</definedName>
    <definedName name="GmwbCohortId">Policyholder!$B$109:$C$151</definedName>
    <definedName name="GmwbCohortUtilzRate">Policyholder!$B$155:$I$181</definedName>
    <definedName name="gwl_exp_allow_levels_aig">Expenses!$B$186:$G$192</definedName>
    <definedName name="hedge_option_val_alpha_aig">Fund!$A$61:$AK$66</definedName>
    <definedName name="index_term_buffer_aig">Fund!$A$120:$AK$126</definedName>
    <definedName name="index_term_cap_rate_max_aig">Fund!$A$204:$AK$207</definedName>
    <definedName name="index_term_cap_rate_min_aig">MinCap!$B$4:$L$15</definedName>
    <definedName name="index_term_cap_rate_min_table_aig">Fund!$A$195:$AK$200</definedName>
    <definedName name="index_term_duration_aig">Fund!$A$90:$AK$97</definedName>
    <definedName name="index_term_floor_aig">Fund!$A$111:$AK$117</definedName>
    <definedName name="index_term_part_rate_max_aig">Fund!$A$169:$AK$175</definedName>
    <definedName name="index_term_part_rate_min_aig">Fund!$A$155:$AK$162</definedName>
    <definedName name="index_term_sprd_rate_max_aig">Fund!$A$187:$AK$192</definedName>
    <definedName name="index_term_sprd_rate_min_aig">Fund!$B$179:$AK$183</definedName>
    <definedName name="index_term_trigger_rate_max_aig">Fund!$A$211:$AK$214</definedName>
    <definedName name="index_term_trigger_rate_min_aig">Fund!$A$218:$AK$221</definedName>
    <definedName name="LapseAdjMult">Policyholder!$B$91:$C$93</definedName>
    <definedName name="LapseAdjMult110Pct">Policyholder!$B$97:$C$99</definedName>
    <definedName name="LapseAdjMult90Pct">Policyholder!$B$103:$C$105</definedName>
    <definedName name="LapseDynArcTan2019ParamsAIG">Policyholder!$B$201:$O$210</definedName>
    <definedName name="LapseDynArcTanParamsAIG">Policyholder!$B$193:$M$198</definedName>
    <definedName name="LapseDynBaseProdParamsAIG">Policyholder!$B$184:$D$190</definedName>
    <definedName name="maint_exp_pct_fund_2_aig">Expenses!$B$223:$G$225</definedName>
    <definedName name="make_whole_settlement_adj_coef_greater_aig">Product!$B$352:$G$357</definedName>
    <definedName name="make_whole_settlement_adj_coef_lower_aig">Product!$B$360:$G$365</definedName>
    <definedName name="max_downward_deviation_aig">Product!$B$368:$G$373</definedName>
    <definedName name="min_accum_val_params_ny_aig">Product!$B$213:$G$215</definedName>
    <definedName name="misc_product_feature_aig">Product!$B$167:$G$181</definedName>
    <definedName name="MortAdjMult">Mortality!$B$20:$C$22</definedName>
    <definedName name="MortAdjMult110Pct">Mortality!$F$20:$G$22</definedName>
    <definedName name="MortAdjMult90Pct">Mortality!$J$20:$K$22</definedName>
    <definedName name="opt_budget_tgt_alpha_aig">Product!$B$272:$G$290</definedName>
    <definedName name="opt_budget_tgt_reduction_aig">Product!$B$312:$G$325</definedName>
    <definedName name="part_rate_solve_type_aig">Fund!$A$53:$AK$58</definedName>
    <definedName name="PerfLockAIG">Policyholder!$B$80:$C$87</definedName>
    <definedName name="pfwd_amt_avail_defn_aig">Policyholder!$B$73:$H$76</definedName>
    <definedName name="PfwdPct">Product!$B$160:$G$163</definedName>
    <definedName name="prem_bonus_recapture_pct_aig">Product!$B$222:$G$234</definedName>
    <definedName name="prem_credit_pct_aig">Product!$B$154:$G$157</definedName>
    <definedName name="PurchRateCurrSprd">Product!$B$129:$G$132</definedName>
    <definedName name="quota_share_reinsured_aig">Product!$B$344:$G$349</definedName>
    <definedName name="rbc_c3_ann_risk_defn">Product!$B$384:$G$394</definedName>
    <definedName name="Renewal_2020">Product!$B$244:$G$257</definedName>
    <definedName name="Renewal_add_param_index1_aig">Product!$B$260:$G$269</definedName>
    <definedName name="renewal_alpha_index1_aig">Product!$B$293:$G$309</definedName>
    <definedName name="renewal_budget_reduction_index1_aig">Product!$B$328:$G$341</definedName>
    <definedName name="Renewal_param_index1_aig">Product!$B$237:$G$240</definedName>
    <definedName name="renewal_set_aig">Product!$B$26:$G$35</definedName>
    <definedName name="RILA_Licensing_Fee">Expenses!#REF!</definedName>
    <definedName name="SNFL_Prospective_aig">Product!$B$396:$G$399</definedName>
    <definedName name="snfl_set_aig">Product!$B$15:$G$22</definedName>
    <definedName name="strategy_term_duration_aig">Fund!$A$69:$AK$76</definedName>
    <definedName name="strategy_term_duration_mths_aig">Fund!$A$79:$AK$86</definedName>
    <definedName name="strategy_term_floor_aig">Fund!$A$101:$AK$107</definedName>
    <definedName name="surr_chg">Product!$B$135:$G$151</definedName>
    <definedName name="TblIndexByPlanCode">TblIndex!$B$4:$H$9</definedName>
    <definedName name="xol_deal_switch_aig">Product!$B$412:$G$418</definedName>
    <definedName name="xol_nb_eco_res_ratio_aig">Product!$B$421:$G$522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218" i="18" l="1"/>
  <c r="W211" i="18"/>
  <c r="W204" i="18"/>
  <c r="W195" i="18"/>
  <c r="W187" i="18"/>
  <c r="W179" i="18"/>
  <c r="W169" i="18"/>
  <c r="W165" i="18"/>
  <c r="W155" i="18"/>
  <c r="W151" i="18"/>
  <c r="W144" i="18"/>
  <c r="W130" i="18"/>
  <c r="W120" i="18"/>
  <c r="W111" i="18"/>
  <c r="W101" i="18"/>
  <c r="W90" i="18"/>
  <c r="W79" i="18"/>
  <c r="W69" i="18"/>
  <c r="W61" i="18"/>
  <c r="W53" i="18"/>
  <c r="W45" i="18"/>
  <c r="W13" i="18"/>
  <c r="V218" i="18"/>
  <c r="V211" i="18"/>
  <c r="V204" i="18"/>
  <c r="V195" i="18"/>
  <c r="V187" i="18"/>
  <c r="V179" i="18"/>
  <c r="V169" i="18"/>
  <c r="V165" i="18"/>
  <c r="V155" i="18"/>
  <c r="V151" i="18"/>
  <c r="V144" i="18"/>
  <c r="V130" i="18"/>
  <c r="V120" i="18"/>
  <c r="V111" i="18"/>
  <c r="V101" i="18"/>
  <c r="V90" i="18"/>
  <c r="V79" i="18"/>
  <c r="V69" i="18"/>
  <c r="V61" i="18"/>
  <c r="V53" i="18"/>
  <c r="V45" i="18"/>
  <c r="V13" i="18"/>
  <c r="AA218" i="18"/>
  <c r="AA211" i="18"/>
  <c r="AA204" i="18"/>
  <c r="AA195" i="18"/>
  <c r="AA187" i="18"/>
  <c r="AA179" i="18"/>
  <c r="AA169" i="18"/>
  <c r="AA165" i="18"/>
  <c r="AA155" i="18"/>
  <c r="AA151" i="18"/>
  <c r="AA144" i="18"/>
  <c r="AA130" i="18"/>
  <c r="AA120" i="18"/>
  <c r="AA111" i="18"/>
  <c r="AA101" i="18"/>
  <c r="AA90" i="18"/>
  <c r="AA79" i="18"/>
  <c r="AA69" i="18"/>
  <c r="AA61" i="18"/>
  <c r="AA53" i="18"/>
  <c r="AA45" i="18"/>
  <c r="AA13" i="18"/>
  <c r="K218" i="18"/>
  <c r="K211" i="18"/>
  <c r="K204" i="18"/>
  <c r="K195" i="18"/>
  <c r="K187" i="18"/>
  <c r="K179" i="18"/>
  <c r="K169" i="18"/>
  <c r="K165" i="18"/>
  <c r="K155" i="18"/>
  <c r="K151" i="18"/>
  <c r="K144" i="18"/>
  <c r="K130" i="18"/>
  <c r="K120" i="18"/>
  <c r="K111" i="18"/>
  <c r="K101" i="18"/>
  <c r="K90" i="18"/>
  <c r="K79" i="18"/>
  <c r="K69" i="18"/>
  <c r="K61" i="18"/>
  <c r="K53" i="18"/>
  <c r="K45" i="18"/>
  <c r="K13" i="18"/>
  <c r="U218" i="18"/>
  <c r="U211" i="18"/>
  <c r="U204" i="18"/>
  <c r="U195" i="18"/>
  <c r="U187" i="18"/>
  <c r="U179" i="18"/>
  <c r="U169" i="18"/>
  <c r="U165" i="18"/>
  <c r="U155" i="18"/>
  <c r="U151" i="18"/>
  <c r="U144" i="18"/>
  <c r="U130" i="18"/>
  <c r="U120" i="18"/>
  <c r="U111" i="18"/>
  <c r="U101" i="18"/>
  <c r="U90" i="18"/>
  <c r="U79" i="18"/>
  <c r="U69" i="18"/>
  <c r="U61" i="18"/>
  <c r="U53" i="18"/>
  <c r="U45" i="18"/>
  <c r="U13" i="18"/>
  <c r="B565" i="34"/>
  <c r="A565" i="34"/>
  <c r="B551" i="34"/>
  <c r="A551" i="34"/>
  <c r="B537" i="34"/>
  <c r="A537" i="34"/>
  <c r="B523" i="34"/>
  <c r="A523" i="34"/>
  <c r="B509" i="34"/>
  <c r="A509" i="34"/>
  <c r="B495" i="34"/>
  <c r="A495" i="34"/>
  <c r="B481" i="34"/>
  <c r="A481" i="34"/>
  <c r="B467" i="34"/>
  <c r="A467" i="34"/>
  <c r="B453" i="34"/>
  <c r="A453" i="34"/>
  <c r="B439" i="34"/>
  <c r="A439" i="34"/>
  <c r="B425" i="34"/>
  <c r="A425" i="34"/>
  <c r="B411" i="34"/>
  <c r="A411" i="34"/>
  <c r="B397" i="34"/>
  <c r="A397" i="34"/>
  <c r="B383" i="34"/>
  <c r="A383" i="34"/>
  <c r="B369" i="34"/>
  <c r="A369" i="34"/>
  <c r="B355" i="34"/>
  <c r="A355" i="34"/>
  <c r="B341" i="34"/>
  <c r="A341" i="34"/>
  <c r="B327" i="34"/>
  <c r="A327" i="34"/>
  <c r="B313" i="34"/>
  <c r="A313" i="34"/>
  <c r="B299" i="34"/>
  <c r="A299" i="34"/>
  <c r="B285" i="34"/>
  <c r="A285" i="34"/>
  <c r="B271" i="34"/>
  <c r="A271" i="34"/>
  <c r="A257" i="34"/>
  <c r="B257" i="34"/>
  <c r="B243" i="34"/>
  <c r="B229" i="34"/>
  <c r="B215" i="34"/>
  <c r="B201" i="34"/>
  <c r="B187" i="34"/>
  <c r="B48" i="21"/>
  <c r="B49" i="21" s="1"/>
  <c r="B50" i="21" s="1"/>
  <c r="B51" i="21" s="1"/>
  <c r="B52" i="21" s="1"/>
  <c r="B53" i="21" s="1"/>
  <c r="B54" i="21" s="1"/>
  <c r="B55" i="21" s="1"/>
  <c r="B56" i="21" s="1"/>
  <c r="B18" i="21"/>
  <c r="B19" i="21" s="1"/>
  <c r="B20" i="21" s="1"/>
  <c r="B21" i="21" s="1"/>
  <c r="B22" i="21" s="1"/>
  <c r="B23" i="21" s="1"/>
  <c r="B24" i="21" s="1"/>
  <c r="B25" i="21" s="1"/>
  <c r="B26" i="21" s="1"/>
  <c r="B212" i="9"/>
  <c r="B79" i="9"/>
  <c r="B28" i="21" l="1"/>
  <c r="B27" i="21"/>
  <c r="B29" i="21" s="1"/>
  <c r="B30" i="21"/>
  <c r="B31" i="21" s="1"/>
  <c r="B32" i="21" s="1"/>
  <c r="B33" i="21" s="1"/>
  <c r="B34" i="21" s="1"/>
  <c r="B35" i="21" s="1"/>
  <c r="B36" i="21" s="1"/>
  <c r="B37" i="21" s="1"/>
  <c r="B38" i="21" s="1"/>
  <c r="B39" i="21" s="1"/>
  <c r="B58" i="21"/>
  <c r="B57" i="21"/>
  <c r="B59" i="21" s="1"/>
  <c r="B60" i="21"/>
  <c r="B61" i="21" s="1"/>
  <c r="B62" i="21" s="1"/>
  <c r="B63" i="21" s="1"/>
  <c r="B64" i="21" s="1"/>
  <c r="B65" i="21" s="1"/>
  <c r="B66" i="21" s="1"/>
  <c r="B67" i="21" s="1"/>
  <c r="B68" i="21" s="1"/>
  <c r="B69" i="21" s="1"/>
  <c r="B70" i="21" s="1"/>
  <c r="B71" i="21" s="1"/>
  <c r="B72" i="21" s="1"/>
  <c r="B73" i="21" s="1"/>
  <c r="B344" i="34"/>
  <c r="B345" i="34" s="1"/>
  <c r="B346" i="34" s="1"/>
  <c r="B347" i="34" s="1"/>
  <c r="B348" i="34" s="1"/>
  <c r="B349" i="34" s="1"/>
  <c r="B350" i="34" s="1"/>
  <c r="B351" i="34" s="1"/>
  <c r="B352" i="34" s="1"/>
  <c r="B353" i="34" s="1"/>
  <c r="B354" i="34" s="1"/>
  <c r="B356" i="34" s="1"/>
  <c r="B357" i="34" s="1"/>
  <c r="B358" i="34" s="1"/>
  <c r="B359" i="34" s="1"/>
  <c r="B360" i="34" s="1"/>
  <c r="B361" i="34" s="1"/>
  <c r="B362" i="34" s="1"/>
  <c r="B363" i="34" s="1"/>
  <c r="B364" i="34" s="1"/>
  <c r="B365" i="34" s="1"/>
  <c r="B366" i="34" s="1"/>
  <c r="B367" i="34" s="1"/>
  <c r="B368" i="34" s="1"/>
  <c r="B370" i="34" s="1"/>
  <c r="B316" i="34"/>
  <c r="B317" i="34" s="1"/>
  <c r="B318" i="34" s="1"/>
  <c r="B319" i="34" s="1"/>
  <c r="B320" i="34" s="1"/>
  <c r="B321" i="34" s="1"/>
  <c r="B322" i="34" s="1"/>
  <c r="B323" i="34" s="1"/>
  <c r="B324" i="34" s="1"/>
  <c r="B325" i="34" s="1"/>
  <c r="B326" i="34" s="1"/>
  <c r="B328" i="34" s="1"/>
  <c r="B329" i="34" s="1"/>
  <c r="B330" i="34" s="1"/>
  <c r="B331" i="34" s="1"/>
  <c r="B332" i="34" s="1"/>
  <c r="B333" i="34" s="1"/>
  <c r="B334" i="34" s="1"/>
  <c r="B335" i="34" s="1"/>
  <c r="B336" i="34" s="1"/>
  <c r="B337" i="34" s="1"/>
  <c r="B338" i="34" s="1"/>
  <c r="B339" i="34" s="1"/>
  <c r="B340" i="34" s="1"/>
  <c r="B342" i="34" s="1"/>
  <c r="B288" i="34"/>
  <c r="B289" i="34" s="1"/>
  <c r="B290" i="34" s="1"/>
  <c r="B291" i="34" s="1"/>
  <c r="B292" i="34" s="1"/>
  <c r="B293" i="34" s="1"/>
  <c r="B294" i="34" s="1"/>
  <c r="B295" i="34" s="1"/>
  <c r="B296" i="34" s="1"/>
  <c r="B297" i="34" s="1"/>
  <c r="B298" i="34" s="1"/>
  <c r="B300" i="34" s="1"/>
  <c r="B301" i="34" s="1"/>
  <c r="B302" i="34" s="1"/>
  <c r="B303" i="34" s="1"/>
  <c r="B304" i="34" s="1"/>
  <c r="B305" i="34" s="1"/>
  <c r="B306" i="34" s="1"/>
  <c r="B307" i="34" s="1"/>
  <c r="B308" i="34" s="1"/>
  <c r="B309" i="34" s="1"/>
  <c r="B310" i="34" s="1"/>
  <c r="B311" i="34" s="1"/>
  <c r="B312" i="34" s="1"/>
  <c r="B314" i="34" s="1"/>
  <c r="B260" i="34"/>
  <c r="B261" i="34" s="1"/>
  <c r="B262" i="34" s="1"/>
  <c r="B263" i="34" s="1"/>
  <c r="B264" i="34" s="1"/>
  <c r="B265" i="34" s="1"/>
  <c r="B266" i="34" s="1"/>
  <c r="B267" i="34" s="1"/>
  <c r="B268" i="34" s="1"/>
  <c r="B269" i="34" s="1"/>
  <c r="B270" i="34" s="1"/>
  <c r="B272" i="34" s="1"/>
  <c r="B273" i="34" s="1"/>
  <c r="B274" i="34" s="1"/>
  <c r="B275" i="34" s="1"/>
  <c r="B276" i="34" s="1"/>
  <c r="B277" i="34" s="1"/>
  <c r="B278" i="34" s="1"/>
  <c r="B279" i="34" s="1"/>
  <c r="B280" i="34" s="1"/>
  <c r="B281" i="34" s="1"/>
  <c r="B282" i="34" s="1"/>
  <c r="B283" i="34" s="1"/>
  <c r="B284" i="34" s="1"/>
  <c r="B286" i="34" s="1"/>
  <c r="B232" i="34"/>
  <c r="B233" i="34" s="1"/>
  <c r="B234" i="34" s="1"/>
  <c r="B235" i="34" s="1"/>
  <c r="B236" i="34" s="1"/>
  <c r="B237" i="34" s="1"/>
  <c r="B238" i="34" s="1"/>
  <c r="B239" i="34" s="1"/>
  <c r="B240" i="34" s="1"/>
  <c r="B241" i="34" s="1"/>
  <c r="B242" i="34" s="1"/>
  <c r="B244" i="34" s="1"/>
  <c r="B245" i="34" s="1"/>
  <c r="B246" i="34" s="1"/>
  <c r="B247" i="34" s="1"/>
  <c r="B248" i="34" s="1"/>
  <c r="B249" i="34" s="1"/>
  <c r="B250" i="34" s="1"/>
  <c r="B251" i="34" s="1"/>
  <c r="B252" i="34" s="1"/>
  <c r="B253" i="34" s="1"/>
  <c r="B254" i="34" s="1"/>
  <c r="B255" i="34" s="1"/>
  <c r="B256" i="34" s="1"/>
  <c r="B258" i="34" s="1"/>
  <c r="B204" i="34"/>
  <c r="B205" i="34" s="1"/>
  <c r="B206" i="34" s="1"/>
  <c r="B207" i="34" s="1"/>
  <c r="B208" i="34" s="1"/>
  <c r="B209" i="34" s="1"/>
  <c r="B210" i="34" s="1"/>
  <c r="B211" i="34" s="1"/>
  <c r="B212" i="34" s="1"/>
  <c r="B213" i="34" s="1"/>
  <c r="B214" i="34" s="1"/>
  <c r="B216" i="34" s="1"/>
  <c r="B217" i="34" s="1"/>
  <c r="B218" i="34" s="1"/>
  <c r="B219" i="34" s="1"/>
  <c r="B220" i="34" s="1"/>
  <c r="B221" i="34" s="1"/>
  <c r="B222" i="34" s="1"/>
  <c r="B223" i="34" s="1"/>
  <c r="B224" i="34" s="1"/>
  <c r="B225" i="34" s="1"/>
  <c r="B226" i="34" s="1"/>
  <c r="B227" i="34" s="1"/>
  <c r="B228" i="34" s="1"/>
  <c r="B230" i="34" s="1"/>
  <c r="B176" i="34"/>
  <c r="B177" i="34" s="1"/>
  <c r="B178" i="34" s="1"/>
  <c r="B179" i="34" s="1"/>
  <c r="B180" i="34" s="1"/>
  <c r="B181" i="34" s="1"/>
  <c r="B182" i="34" s="1"/>
  <c r="B183" i="34" s="1"/>
  <c r="B184" i="34" s="1"/>
  <c r="B185" i="34" s="1"/>
  <c r="B186" i="34" s="1"/>
  <c r="B188" i="34" s="1"/>
  <c r="B189" i="34" s="1"/>
  <c r="B190" i="34" s="1"/>
  <c r="B191" i="34" s="1"/>
  <c r="B192" i="34" s="1"/>
  <c r="B193" i="34" s="1"/>
  <c r="B194" i="34" s="1"/>
  <c r="B195" i="34" s="1"/>
  <c r="B196" i="34" s="1"/>
  <c r="B197" i="34" s="1"/>
  <c r="B198" i="34" s="1"/>
  <c r="B199" i="34" s="1"/>
  <c r="B200" i="34" s="1"/>
  <c r="B202" i="34" s="1"/>
  <c r="B40" i="21" l="1"/>
  <c r="B41" i="21" s="1"/>
  <c r="B42" i="21"/>
  <c r="B43" i="21" s="1"/>
  <c r="B44" i="21" s="1"/>
  <c r="B45" i="21" s="1"/>
  <c r="B46" i="21" s="1"/>
  <c r="B74" i="21"/>
  <c r="B76" i="21" s="1"/>
  <c r="B75" i="21"/>
  <c r="Y218" i="18"/>
  <c r="Y211" i="18"/>
  <c r="Y204" i="18"/>
  <c r="Y195" i="18"/>
  <c r="Y187" i="18"/>
  <c r="Y179" i="18"/>
  <c r="Y169" i="18"/>
  <c r="Y165" i="18"/>
  <c r="Y155" i="18"/>
  <c r="Y151" i="18"/>
  <c r="Y144" i="18"/>
  <c r="Y130" i="18"/>
  <c r="Y120" i="18"/>
  <c r="Y111" i="18"/>
  <c r="Y101" i="18"/>
  <c r="Y90" i="18"/>
  <c r="Y79" i="18"/>
  <c r="Y69" i="18"/>
  <c r="Y61" i="18"/>
  <c r="Y53" i="18"/>
  <c r="Y45" i="18"/>
  <c r="Y13" i="18"/>
  <c r="AC90" i="18" l="1"/>
  <c r="AD90" i="18"/>
  <c r="AB90" i="18"/>
  <c r="J218" i="18" l="1"/>
  <c r="J211" i="18"/>
  <c r="J204" i="18"/>
  <c r="J195" i="18"/>
  <c r="J187" i="18"/>
  <c r="J179" i="18"/>
  <c r="J169" i="18"/>
  <c r="J165" i="18"/>
  <c r="J155" i="18"/>
  <c r="J151" i="18"/>
  <c r="J144" i="18"/>
  <c r="J130" i="18"/>
  <c r="J120" i="18"/>
  <c r="J111" i="18"/>
  <c r="J101" i="18"/>
  <c r="J90" i="18"/>
  <c r="J79" i="18"/>
  <c r="J69" i="18"/>
  <c r="J61" i="18"/>
  <c r="J53" i="18"/>
  <c r="J45" i="18"/>
  <c r="J13" i="18"/>
  <c r="J42" i="18" s="1"/>
  <c r="I218" i="18"/>
  <c r="I211" i="18"/>
  <c r="I204" i="18"/>
  <c r="I195" i="18"/>
  <c r="I187" i="18"/>
  <c r="I179" i="18"/>
  <c r="I169" i="18"/>
  <c r="I165" i="18"/>
  <c r="I155" i="18"/>
  <c r="I151" i="18"/>
  <c r="I144" i="18"/>
  <c r="I130" i="18"/>
  <c r="I120" i="18"/>
  <c r="I111" i="18"/>
  <c r="I101" i="18"/>
  <c r="I90" i="18"/>
  <c r="I79" i="18"/>
  <c r="I69" i="18"/>
  <c r="I61" i="18"/>
  <c r="I53" i="18"/>
  <c r="I45" i="18"/>
  <c r="I13" i="18"/>
  <c r="I42" i="18" s="1"/>
  <c r="AG218" i="18"/>
  <c r="AG211" i="18"/>
  <c r="AG204" i="18"/>
  <c r="AG195" i="18"/>
  <c r="AG187" i="18"/>
  <c r="AG179" i="18"/>
  <c r="AG169" i="18"/>
  <c r="AG165" i="18"/>
  <c r="AG155" i="18"/>
  <c r="AG151" i="18"/>
  <c r="AG144" i="18"/>
  <c r="AG130" i="18"/>
  <c r="AG120" i="18"/>
  <c r="AG111" i="18"/>
  <c r="AG101" i="18"/>
  <c r="AG90" i="18"/>
  <c r="AG79" i="18"/>
  <c r="AG69" i="18"/>
  <c r="AG61" i="18"/>
  <c r="AG53" i="18"/>
  <c r="AG45" i="18"/>
  <c r="AG13" i="18"/>
  <c r="AG42" i="18" s="1"/>
  <c r="AF218" i="18"/>
  <c r="AF211" i="18"/>
  <c r="AF204" i="18"/>
  <c r="AF195" i="18"/>
  <c r="AF187" i="18"/>
  <c r="AF179" i="18"/>
  <c r="AF169" i="18"/>
  <c r="AF165" i="18"/>
  <c r="AF155" i="18"/>
  <c r="AF151" i="18"/>
  <c r="AF144" i="18"/>
  <c r="AF130" i="18"/>
  <c r="AF120" i="18"/>
  <c r="AF111" i="18"/>
  <c r="AF101" i="18"/>
  <c r="AF90" i="18"/>
  <c r="AF79" i="18"/>
  <c r="AF69" i="18"/>
  <c r="AF61" i="18"/>
  <c r="AF53" i="18"/>
  <c r="AF45" i="18"/>
  <c r="AF13" i="18"/>
  <c r="AF42" i="18" s="1"/>
  <c r="AD218" i="18" l="1"/>
  <c r="AD211" i="18"/>
  <c r="AD204" i="18"/>
  <c r="AD195" i="18"/>
  <c r="AD187" i="18"/>
  <c r="AD179" i="18"/>
  <c r="AD169" i="18"/>
  <c r="AD165" i="18"/>
  <c r="AD155" i="18"/>
  <c r="AD151" i="18"/>
  <c r="AD144" i="18"/>
  <c r="AD130" i="18"/>
  <c r="AD120" i="18"/>
  <c r="AD111" i="18"/>
  <c r="AD101" i="18"/>
  <c r="AD79" i="18"/>
  <c r="AD69" i="18"/>
  <c r="AD61" i="18"/>
  <c r="AD53" i="18"/>
  <c r="AD45" i="18"/>
  <c r="AD13" i="18"/>
  <c r="AD42" i="18" s="1"/>
  <c r="AC218" i="18"/>
  <c r="AC211" i="18"/>
  <c r="AC204" i="18"/>
  <c r="AC195" i="18"/>
  <c r="AC187" i="18"/>
  <c r="AC179" i="18"/>
  <c r="AC169" i="18"/>
  <c r="AC165" i="18"/>
  <c r="AC155" i="18"/>
  <c r="AC151" i="18"/>
  <c r="AC144" i="18"/>
  <c r="AC130" i="18"/>
  <c r="AC120" i="18"/>
  <c r="AC111" i="18"/>
  <c r="AC101" i="18"/>
  <c r="AC79" i="18"/>
  <c r="AC69" i="18"/>
  <c r="AC61" i="18"/>
  <c r="AC53" i="18"/>
  <c r="AC45" i="18"/>
  <c r="AC13" i="18"/>
  <c r="AC42" i="18" s="1"/>
  <c r="G84" i="18" l="1"/>
  <c r="F84" i="18"/>
  <c r="AB218" i="18"/>
  <c r="AB211" i="18"/>
  <c r="AB204" i="18"/>
  <c r="AB195" i="18"/>
  <c r="AB187" i="18"/>
  <c r="AB179" i="18"/>
  <c r="AB169" i="18"/>
  <c r="AB165" i="18"/>
  <c r="AB155" i="18"/>
  <c r="AB151" i="18"/>
  <c r="AB144" i="18"/>
  <c r="AB130" i="18"/>
  <c r="AB120" i="18"/>
  <c r="AB111" i="18"/>
  <c r="AB101" i="18"/>
  <c r="AB79" i="18"/>
  <c r="AB69" i="18"/>
  <c r="AB61" i="18"/>
  <c r="AB53" i="18"/>
  <c r="AB45" i="18"/>
  <c r="AB13" i="18"/>
  <c r="AB42" i="18" s="1"/>
  <c r="B9" i="21" l="1"/>
  <c r="B10" i="21" s="1"/>
  <c r="AE218" i="18"/>
  <c r="AE211" i="18"/>
  <c r="AE204" i="18"/>
  <c r="AE195" i="18"/>
  <c r="AE187" i="18"/>
  <c r="AE179" i="18"/>
  <c r="AE169" i="18"/>
  <c r="AE165" i="18"/>
  <c r="AE155" i="18"/>
  <c r="AE151" i="18"/>
  <c r="AE144" i="18"/>
  <c r="AE130" i="18"/>
  <c r="AE120" i="18"/>
  <c r="AE111" i="18"/>
  <c r="AE101" i="18"/>
  <c r="AE90" i="18"/>
  <c r="AE79" i="18"/>
  <c r="AE69" i="18"/>
  <c r="AE61" i="18"/>
  <c r="AE53" i="18"/>
  <c r="AE45" i="18"/>
  <c r="AE13" i="18"/>
  <c r="AE42" i="18" s="1"/>
  <c r="Z218" i="18"/>
  <c r="Z211" i="18"/>
  <c r="Z204" i="18"/>
  <c r="Z195" i="18"/>
  <c r="Z187" i="18"/>
  <c r="Z179" i="18"/>
  <c r="Z169" i="18"/>
  <c r="Z165" i="18"/>
  <c r="Z155" i="18"/>
  <c r="Z151" i="18"/>
  <c r="Z144" i="18"/>
  <c r="Z130" i="18"/>
  <c r="Z120" i="18"/>
  <c r="Z111" i="18"/>
  <c r="Z101" i="18"/>
  <c r="Z90" i="18"/>
  <c r="Z79" i="18"/>
  <c r="Z69" i="18"/>
  <c r="Z61" i="18"/>
  <c r="Z53" i="18"/>
  <c r="Z45" i="18"/>
  <c r="Z13" i="18"/>
  <c r="B108" i="21"/>
  <c r="B109" i="21" s="1"/>
  <c r="B110" i="21" s="1"/>
  <c r="B111" i="21" s="1"/>
  <c r="B112" i="21" s="1"/>
  <c r="B113" i="21" s="1"/>
  <c r="B114" i="21" s="1"/>
  <c r="B115" i="21" s="1"/>
  <c r="B116" i="21" s="1"/>
  <c r="H218" i="18"/>
  <c r="H211" i="18"/>
  <c r="H204" i="18"/>
  <c r="H195" i="18"/>
  <c r="H187" i="18"/>
  <c r="H179" i="18"/>
  <c r="H169" i="18"/>
  <c r="H165" i="18"/>
  <c r="H155" i="18"/>
  <c r="H151" i="18"/>
  <c r="H144" i="18"/>
  <c r="H130" i="18"/>
  <c r="H120" i="18"/>
  <c r="H111" i="18"/>
  <c r="H101" i="18"/>
  <c r="H90" i="18"/>
  <c r="H79" i="18"/>
  <c r="H69" i="18"/>
  <c r="H61" i="18"/>
  <c r="H53" i="18"/>
  <c r="H45" i="18"/>
  <c r="H13" i="18"/>
  <c r="D160" i="16"/>
  <c r="T13" i="18"/>
  <c r="X13" i="18"/>
  <c r="M13" i="18"/>
  <c r="N13" i="18"/>
  <c r="T130" i="18"/>
  <c r="X130" i="18"/>
  <c r="T144" i="18"/>
  <c r="X144" i="18"/>
  <c r="T151" i="18"/>
  <c r="X151" i="18"/>
  <c r="T155" i="18"/>
  <c r="X155" i="18"/>
  <c r="T165" i="18"/>
  <c r="X165" i="18"/>
  <c r="T169" i="18"/>
  <c r="X169" i="18"/>
  <c r="T179" i="18"/>
  <c r="X179" i="18"/>
  <c r="T187" i="18"/>
  <c r="X187" i="18"/>
  <c r="T195" i="18"/>
  <c r="X195" i="18"/>
  <c r="T204" i="18"/>
  <c r="X204" i="18"/>
  <c r="T211" i="18"/>
  <c r="X211" i="18"/>
  <c r="T218" i="18"/>
  <c r="X218" i="18"/>
  <c r="M130" i="18"/>
  <c r="N130" i="18"/>
  <c r="M144" i="18"/>
  <c r="N144" i="18"/>
  <c r="M151" i="18"/>
  <c r="N151" i="18"/>
  <c r="M155" i="18"/>
  <c r="N155" i="18"/>
  <c r="M165" i="18"/>
  <c r="N165" i="18"/>
  <c r="M169" i="18"/>
  <c r="N169" i="18"/>
  <c r="M179" i="18"/>
  <c r="N179" i="18"/>
  <c r="M187" i="18"/>
  <c r="N187" i="18"/>
  <c r="M195" i="18"/>
  <c r="N195" i="18"/>
  <c r="M204" i="18"/>
  <c r="N204" i="18"/>
  <c r="M211" i="18"/>
  <c r="N211" i="18"/>
  <c r="M218" i="18"/>
  <c r="N218" i="18"/>
  <c r="T120" i="18"/>
  <c r="X120" i="18"/>
  <c r="AH120" i="18"/>
  <c r="AI120" i="18"/>
  <c r="AJ120" i="18"/>
  <c r="AK120" i="18"/>
  <c r="N120" i="18"/>
  <c r="M120" i="18"/>
  <c r="M111" i="18"/>
  <c r="N111" i="18"/>
  <c r="O111" i="18"/>
  <c r="P111" i="18"/>
  <c r="Q111" i="18"/>
  <c r="R111" i="18"/>
  <c r="S111" i="18"/>
  <c r="T111" i="18"/>
  <c r="X111" i="18"/>
  <c r="AH111" i="18"/>
  <c r="AI111" i="18"/>
  <c r="AJ111" i="18"/>
  <c r="AK111" i="18"/>
  <c r="M101" i="18"/>
  <c r="N101" i="18"/>
  <c r="O101" i="18"/>
  <c r="P101" i="18"/>
  <c r="Q101" i="18"/>
  <c r="R101" i="18"/>
  <c r="S101" i="18"/>
  <c r="T101" i="18"/>
  <c r="X101" i="18"/>
  <c r="M90" i="18"/>
  <c r="N90" i="18"/>
  <c r="O90" i="18"/>
  <c r="P90" i="18"/>
  <c r="Q90" i="18"/>
  <c r="R90" i="18"/>
  <c r="S90" i="18"/>
  <c r="T90" i="18"/>
  <c r="X90" i="18"/>
  <c r="M79" i="18"/>
  <c r="N79" i="18"/>
  <c r="O79" i="18"/>
  <c r="P79" i="18"/>
  <c r="Q79" i="18"/>
  <c r="R79" i="18"/>
  <c r="S79" i="18"/>
  <c r="T79" i="18"/>
  <c r="X79" i="18"/>
  <c r="AH79" i="18"/>
  <c r="AI79" i="18"/>
  <c r="AJ79" i="18"/>
  <c r="AK79" i="18"/>
  <c r="M69" i="18"/>
  <c r="N69" i="18"/>
  <c r="O69" i="18"/>
  <c r="P69" i="18"/>
  <c r="Q69" i="18"/>
  <c r="R69" i="18"/>
  <c r="S69" i="18"/>
  <c r="T69" i="18"/>
  <c r="X69" i="18"/>
  <c r="AH69" i="18"/>
  <c r="AI69" i="18"/>
  <c r="AJ69" i="18"/>
  <c r="AK69" i="18"/>
  <c r="M61" i="18"/>
  <c r="N61" i="18"/>
  <c r="O61" i="18"/>
  <c r="P61" i="18"/>
  <c r="Q61" i="18"/>
  <c r="R61" i="18"/>
  <c r="S61" i="18"/>
  <c r="T61" i="18"/>
  <c r="X61" i="18"/>
  <c r="M53" i="18"/>
  <c r="N53" i="18"/>
  <c r="O53" i="18"/>
  <c r="P53" i="18"/>
  <c r="Q53" i="18"/>
  <c r="R53" i="18"/>
  <c r="S53" i="18"/>
  <c r="T53" i="18"/>
  <c r="X53" i="18"/>
  <c r="M45" i="18"/>
  <c r="N45" i="18"/>
  <c r="O45" i="18"/>
  <c r="P45" i="18"/>
  <c r="Q45" i="18"/>
  <c r="R45" i="18"/>
  <c r="S45" i="18"/>
  <c r="T45" i="18"/>
  <c r="X45" i="18"/>
  <c r="B117" i="21" l="1"/>
  <c r="B119" i="21" s="1"/>
  <c r="B118" i="21"/>
  <c r="B120" i="21"/>
  <c r="B121" i="21" s="1"/>
  <c r="B122" i="21" s="1"/>
  <c r="B123" i="21" s="1"/>
  <c r="B124" i="21" s="1"/>
  <c r="B125" i="21" s="1"/>
  <c r="B126" i="21" s="1"/>
  <c r="B127" i="21" s="1"/>
  <c r="B128" i="21" s="1"/>
  <c r="AK13" i="18"/>
  <c r="AJ13" i="18"/>
  <c r="AI13" i="18"/>
  <c r="AH13" i="18"/>
  <c r="S13" i="18"/>
  <c r="R13" i="18"/>
  <c r="Q13" i="18"/>
  <c r="P13" i="18"/>
  <c r="O13" i="18"/>
  <c r="L13" i="18"/>
  <c r="B129" i="21" l="1"/>
  <c r="B130" i="21" s="1"/>
  <c r="B131" i="21" s="1"/>
  <c r="B132" i="21" s="1"/>
  <c r="B133" i="21" s="1"/>
  <c r="AJ218" i="18"/>
  <c r="AJ211" i="18"/>
  <c r="AJ204" i="18"/>
  <c r="AJ195" i="18"/>
  <c r="AJ187" i="18"/>
  <c r="AJ179" i="18"/>
  <c r="AJ169" i="18"/>
  <c r="AJ165" i="18"/>
  <c r="AJ155" i="18"/>
  <c r="AJ151" i="18"/>
  <c r="AJ144" i="18"/>
  <c r="AJ130" i="18"/>
  <c r="AJ101" i="18"/>
  <c r="AJ90" i="18"/>
  <c r="AJ61" i="18"/>
  <c r="AJ53" i="18"/>
  <c r="AJ45" i="18"/>
  <c r="AH218" i="18"/>
  <c r="AH211" i="18"/>
  <c r="AH204" i="18"/>
  <c r="AH195" i="18"/>
  <c r="AH187" i="18"/>
  <c r="AH179" i="18"/>
  <c r="AH169" i="18"/>
  <c r="AH165" i="18"/>
  <c r="AH155" i="18"/>
  <c r="AH151" i="18"/>
  <c r="AH144" i="18"/>
  <c r="AH130" i="18"/>
  <c r="AH101" i="18"/>
  <c r="AH90" i="18"/>
  <c r="AH61" i="18"/>
  <c r="AH53" i="18"/>
  <c r="AH45" i="18"/>
  <c r="O218" i="18"/>
  <c r="O211" i="18"/>
  <c r="O204" i="18"/>
  <c r="O195" i="18"/>
  <c r="O187" i="18"/>
  <c r="O179" i="18"/>
  <c r="O169" i="18"/>
  <c r="O165" i="18"/>
  <c r="O155" i="18"/>
  <c r="O151" i="18"/>
  <c r="O144" i="18"/>
  <c r="O130" i="18"/>
  <c r="O120" i="18"/>
  <c r="AK218" i="18"/>
  <c r="AI218" i="18"/>
  <c r="S218" i="18"/>
  <c r="R218" i="18"/>
  <c r="Q218" i="18"/>
  <c r="P218" i="18"/>
  <c r="L218" i="18"/>
  <c r="AK211" i="18"/>
  <c r="AI211" i="18"/>
  <c r="S211" i="18"/>
  <c r="R211" i="18"/>
  <c r="Q211" i="18"/>
  <c r="P211" i="18"/>
  <c r="L211" i="18"/>
  <c r="AK204" i="18"/>
  <c r="AI204" i="18"/>
  <c r="S204" i="18"/>
  <c r="R204" i="18"/>
  <c r="Q204" i="18"/>
  <c r="P204" i="18"/>
  <c r="L204" i="18"/>
  <c r="AK195" i="18"/>
  <c r="AI195" i="18"/>
  <c r="S195" i="18"/>
  <c r="R195" i="18"/>
  <c r="Q195" i="18"/>
  <c r="P195" i="18"/>
  <c r="L195" i="18"/>
  <c r="AK187" i="18"/>
  <c r="AI187" i="18"/>
  <c r="S187" i="18"/>
  <c r="R187" i="18"/>
  <c r="Q187" i="18"/>
  <c r="P187" i="18"/>
  <c r="L187" i="18"/>
  <c r="AK179" i="18"/>
  <c r="AI179" i="18"/>
  <c r="S179" i="18"/>
  <c r="R179" i="18"/>
  <c r="Q179" i="18"/>
  <c r="P179" i="18"/>
  <c r="L179" i="18"/>
  <c r="AK169" i="18"/>
  <c r="AI169" i="18"/>
  <c r="S169" i="18"/>
  <c r="R169" i="18"/>
  <c r="Q169" i="18"/>
  <c r="P169" i="18"/>
  <c r="L169" i="18"/>
  <c r="AK165" i="18"/>
  <c r="AI165" i="18"/>
  <c r="S165" i="18"/>
  <c r="R165" i="18"/>
  <c r="Q165" i="18"/>
  <c r="P165" i="18"/>
  <c r="L165" i="18"/>
  <c r="AK155" i="18"/>
  <c r="AI155" i="18"/>
  <c r="S155" i="18"/>
  <c r="R155" i="18"/>
  <c r="Q155" i="18"/>
  <c r="P155" i="18"/>
  <c r="L155" i="18"/>
  <c r="AK151" i="18"/>
  <c r="AI151" i="18"/>
  <c r="S151" i="18"/>
  <c r="R151" i="18"/>
  <c r="Q151" i="18"/>
  <c r="P151" i="18"/>
  <c r="L151" i="18"/>
  <c r="AK144" i="18"/>
  <c r="AI144" i="18"/>
  <c r="S144" i="18"/>
  <c r="R144" i="18"/>
  <c r="Q144" i="18"/>
  <c r="P144" i="18"/>
  <c r="L144" i="18"/>
  <c r="AK130" i="18"/>
  <c r="AI130" i="18"/>
  <c r="S130" i="18"/>
  <c r="R130" i="18"/>
  <c r="Q130" i="18"/>
  <c r="P130" i="18"/>
  <c r="L130" i="18"/>
  <c r="S120" i="18"/>
  <c r="R120" i="18"/>
  <c r="Q120" i="18"/>
  <c r="P120" i="18"/>
  <c r="L120" i="18"/>
  <c r="L111" i="18"/>
  <c r="AK101" i="18"/>
  <c r="AI101" i="18"/>
  <c r="L101" i="18"/>
  <c r="AK90" i="18"/>
  <c r="AI90" i="18"/>
  <c r="L90" i="18"/>
  <c r="L79" i="18"/>
  <c r="L69" i="18"/>
  <c r="AK61" i="18"/>
  <c r="AI61" i="18"/>
  <c r="L61" i="18"/>
  <c r="AK53" i="18"/>
  <c r="AI53" i="18"/>
  <c r="L53" i="18"/>
  <c r="AI45" i="18"/>
  <c r="AK45" i="18"/>
  <c r="L45" i="18"/>
  <c r="B134" i="21" l="1"/>
  <c r="B136" i="21" s="1"/>
  <c r="B135" i="21"/>
  <c r="F4" i="34"/>
  <c r="E4" i="34"/>
  <c r="F13" i="18" l="1"/>
  <c r="F218" i="18"/>
  <c r="F211" i="18"/>
  <c r="F204" i="18"/>
  <c r="F195" i="18"/>
  <c r="F187" i="18"/>
  <c r="F179" i="18"/>
  <c r="F169" i="18"/>
  <c r="F165" i="18"/>
  <c r="F155" i="18"/>
  <c r="F151" i="18"/>
  <c r="F144" i="18"/>
  <c r="F130" i="18"/>
  <c r="F120" i="18"/>
  <c r="F111" i="18"/>
  <c r="F101" i="18"/>
  <c r="F90" i="18"/>
  <c r="F86" i="18"/>
  <c r="F85" i="18"/>
  <c r="F83" i="18"/>
  <c r="F82" i="18"/>
  <c r="F81" i="18"/>
  <c r="F79" i="18"/>
  <c r="F69" i="18"/>
  <c r="F61" i="18"/>
  <c r="F53" i="18"/>
  <c r="F45" i="18"/>
  <c r="F42" i="18"/>
  <c r="G4" i="22" l="1"/>
  <c r="A145" i="21" l="1"/>
  <c r="A146" i="21" s="1"/>
  <c r="A147" i="21" s="1"/>
  <c r="A148" i="21" s="1"/>
  <c r="A149" i="21" s="1"/>
  <c r="A150" i="21" s="1"/>
  <c r="A151" i="21" s="1"/>
  <c r="B163" i="16" l="1"/>
  <c r="B157" i="16"/>
  <c r="B139" i="16"/>
  <c r="B140" i="16" s="1"/>
  <c r="B141" i="16" s="1"/>
  <c r="B142" i="16" s="1"/>
  <c r="B143" i="16" s="1"/>
  <c r="B144" i="16" s="1"/>
  <c r="B145" i="16" s="1"/>
  <c r="B146" i="16" s="1"/>
  <c r="B147" i="16" s="1"/>
  <c r="B148" i="16" s="1"/>
  <c r="B149" i="16" s="1"/>
  <c r="B150" i="16" s="1"/>
  <c r="B151" i="16" s="1"/>
  <c r="B78" i="21"/>
  <c r="B79" i="21" s="1"/>
  <c r="B80" i="21" s="1"/>
  <c r="B81" i="21" s="1"/>
  <c r="B82" i="21" s="1"/>
  <c r="B83" i="21" s="1"/>
  <c r="B84" i="21" s="1"/>
  <c r="B85" i="21" s="1"/>
  <c r="B86" i="21" s="1"/>
  <c r="B87" i="21" s="1"/>
  <c r="B89" i="21" s="1"/>
  <c r="B221" i="16"/>
  <c r="B3" i="16"/>
  <c r="B90" i="21" l="1"/>
  <c r="B91" i="21" s="1"/>
  <c r="B92" i="21" s="1"/>
  <c r="B93" i="21" s="1"/>
  <c r="B94" i="21" s="1"/>
  <c r="B95" i="21" s="1"/>
  <c r="B96" i="21" s="1"/>
  <c r="B97" i="21" s="1"/>
  <c r="B98" i="21" s="1"/>
  <c r="B99" i="21" s="1"/>
  <c r="B88" i="21"/>
  <c r="G4" i="34"/>
  <c r="G73" i="9"/>
  <c r="G4" i="12"/>
  <c r="G4" i="21"/>
  <c r="G223" i="21" s="1"/>
  <c r="B3" i="34" a="1"/>
  <c r="B222" i="21"/>
  <c r="B102" i="21" l="1"/>
  <c r="B103" i="21" s="1"/>
  <c r="B104" i="21" s="1"/>
  <c r="B105" i="21" s="1"/>
  <c r="B106" i="21" s="1"/>
  <c r="B100" i="21"/>
  <c r="B101" i="21" s="1"/>
  <c r="B3" i="34"/>
  <c r="G63" i="9"/>
  <c r="G140" i="21"/>
  <c r="G163" i="21"/>
  <c r="G186" i="21"/>
  <c r="G14" i="21"/>
  <c r="G195" i="21"/>
  <c r="G120" i="18" l="1"/>
  <c r="C120" i="18"/>
  <c r="D412" i="16"/>
  <c r="G218" i="18"/>
  <c r="D218" i="18"/>
  <c r="C218" i="18"/>
  <c r="G211" i="18"/>
  <c r="D211" i="18"/>
  <c r="C211" i="18"/>
  <c r="B420" i="16"/>
  <c r="A119" i="18"/>
  <c r="A210" i="18"/>
  <c r="B411" i="16"/>
  <c r="A217" i="18"/>
  <c r="G144" i="18" l="1"/>
  <c r="D144" i="18"/>
  <c r="C144" i="18"/>
  <c r="G165" i="18"/>
  <c r="D165" i="18"/>
  <c r="C165" i="18"/>
  <c r="G151" i="18"/>
  <c r="D151" i="18"/>
  <c r="C151" i="18"/>
  <c r="D402" i="16"/>
  <c r="B1" i="38" a="1"/>
  <c r="B1" i="38" l="1"/>
  <c r="A139" i="21"/>
  <c r="B3" i="18"/>
  <c r="D396" i="16" l="1"/>
  <c r="B395" i="16"/>
  <c r="D15" i="16" l="1"/>
  <c r="D26" i="16"/>
  <c r="D4" i="12"/>
  <c r="L431" i="29" l="1"/>
  <c r="G431" i="29"/>
  <c r="F431" i="29"/>
  <c r="E431" i="29"/>
  <c r="L423" i="29"/>
  <c r="G423" i="29"/>
  <c r="F423" i="29"/>
  <c r="E423" i="29"/>
  <c r="B359" i="16"/>
  <c r="B367" i="16"/>
  <c r="B375" i="16"/>
  <c r="B430" i="29"/>
  <c r="B351" i="16"/>
  <c r="B159" i="16"/>
  <c r="B259" i="16"/>
  <c r="B343" i="16"/>
  <c r="B236" i="16"/>
  <c r="B422" i="29"/>
  <c r="B327" i="16"/>
  <c r="B292" i="16"/>
  <c r="G404" i="29" l="1"/>
  <c r="F404" i="29"/>
  <c r="E404" i="29"/>
  <c r="G385" i="29"/>
  <c r="F385" i="29"/>
  <c r="E385" i="29"/>
  <c r="G377" i="29"/>
  <c r="F377" i="29"/>
  <c r="E377" i="29"/>
  <c r="G369" i="29"/>
  <c r="F369" i="29"/>
  <c r="E369" i="29"/>
  <c r="G361" i="29"/>
  <c r="F361" i="29"/>
  <c r="E361" i="29"/>
  <c r="G352" i="29"/>
  <c r="F352" i="29"/>
  <c r="E352" i="29"/>
  <c r="G344" i="29"/>
  <c r="F344" i="29"/>
  <c r="E344" i="29"/>
  <c r="G336" i="29"/>
  <c r="F336" i="29"/>
  <c r="E336" i="29"/>
  <c r="G300" i="29"/>
  <c r="F300" i="29"/>
  <c r="E300" i="29"/>
  <c r="G234" i="29"/>
  <c r="F234" i="29"/>
  <c r="E234" i="29"/>
  <c r="E231" i="29"/>
  <c r="E297" i="29" s="1"/>
  <c r="E230" i="29"/>
  <c r="E296" i="29" s="1"/>
  <c r="E229" i="29"/>
  <c r="E295" i="29" s="1"/>
  <c r="E228" i="29"/>
  <c r="E294" i="29" s="1"/>
  <c r="E227" i="29"/>
  <c r="E293" i="29" s="1"/>
  <c r="E226" i="29"/>
  <c r="E292" i="29" s="1"/>
  <c r="E225" i="29"/>
  <c r="E291" i="29" s="1"/>
  <c r="E224" i="29"/>
  <c r="E290" i="29" s="1"/>
  <c r="E223" i="29"/>
  <c r="E289" i="29" s="1"/>
  <c r="E222" i="29"/>
  <c r="E288" i="29" s="1"/>
  <c r="E221" i="29"/>
  <c r="E287" i="29" s="1"/>
  <c r="E220" i="29"/>
  <c r="E286" i="29" s="1"/>
  <c r="E219" i="29"/>
  <c r="E285" i="29" s="1"/>
  <c r="E218" i="29"/>
  <c r="E284" i="29" s="1"/>
  <c r="E217" i="29"/>
  <c r="E283" i="29" s="1"/>
  <c r="E216" i="29"/>
  <c r="E282" i="29" s="1"/>
  <c r="E215" i="29"/>
  <c r="E281" i="29" s="1"/>
  <c r="E214" i="29"/>
  <c r="E280" i="29" s="1"/>
  <c r="E213" i="29"/>
  <c r="E279" i="29" s="1"/>
  <c r="E212" i="29"/>
  <c r="E278" i="29" s="1"/>
  <c r="E211" i="29"/>
  <c r="E277" i="29" s="1"/>
  <c r="E210" i="29"/>
  <c r="E276" i="29" s="1"/>
  <c r="E209" i="29"/>
  <c r="E275" i="29" s="1"/>
  <c r="E208" i="29"/>
  <c r="E274" i="29" s="1"/>
  <c r="E207" i="29"/>
  <c r="E273" i="29" s="1"/>
  <c r="E206" i="29"/>
  <c r="E272" i="29" s="1"/>
  <c r="E205" i="29"/>
  <c r="E271" i="29" s="1"/>
  <c r="E204" i="29"/>
  <c r="E270" i="29" s="1"/>
  <c r="E203" i="29"/>
  <c r="E269" i="29" s="1"/>
  <c r="E202" i="29"/>
  <c r="E268" i="29" s="1"/>
  <c r="E201" i="29"/>
  <c r="E267" i="29" s="1"/>
  <c r="G200" i="29"/>
  <c r="G266" i="29" s="1"/>
  <c r="F200" i="29"/>
  <c r="F266" i="29" s="1"/>
  <c r="E200" i="29"/>
  <c r="E266" i="29" s="1"/>
  <c r="G199" i="29"/>
  <c r="G265" i="29" s="1"/>
  <c r="F199" i="29"/>
  <c r="F265" i="29" s="1"/>
  <c r="E199" i="29"/>
  <c r="E265" i="29" s="1"/>
  <c r="G198" i="29"/>
  <c r="G264" i="29" s="1"/>
  <c r="F198" i="29"/>
  <c r="F264" i="29" s="1"/>
  <c r="E198" i="29"/>
  <c r="E264" i="29" s="1"/>
  <c r="G197" i="29"/>
  <c r="G263" i="29" s="1"/>
  <c r="F197" i="29"/>
  <c r="F263" i="29" s="1"/>
  <c r="E197" i="29"/>
  <c r="E263" i="29" s="1"/>
  <c r="G196" i="29"/>
  <c r="G262" i="29" s="1"/>
  <c r="F196" i="29"/>
  <c r="F262" i="29" s="1"/>
  <c r="E196" i="29"/>
  <c r="E262" i="29" s="1"/>
  <c r="G195" i="29"/>
  <c r="G261" i="29" s="1"/>
  <c r="F195" i="29"/>
  <c r="F261" i="29" s="1"/>
  <c r="E195" i="29"/>
  <c r="E261" i="29" s="1"/>
  <c r="G194" i="29"/>
  <c r="G260" i="29" s="1"/>
  <c r="F194" i="29"/>
  <c r="F260" i="29" s="1"/>
  <c r="E194" i="29"/>
  <c r="E260" i="29" s="1"/>
  <c r="G193" i="29"/>
  <c r="G259" i="29" s="1"/>
  <c r="F193" i="29"/>
  <c r="F259" i="29" s="1"/>
  <c r="E193" i="29"/>
  <c r="E259" i="29" s="1"/>
  <c r="G192" i="29"/>
  <c r="G258" i="29" s="1"/>
  <c r="F192" i="29"/>
  <c r="F258" i="29" s="1"/>
  <c r="E192" i="29"/>
  <c r="E258" i="29" s="1"/>
  <c r="G191" i="29"/>
  <c r="G257" i="29" s="1"/>
  <c r="F191" i="29"/>
  <c r="F257" i="29" s="1"/>
  <c r="E191" i="29"/>
  <c r="E257" i="29" s="1"/>
  <c r="G190" i="29"/>
  <c r="G256" i="29" s="1"/>
  <c r="F190" i="29"/>
  <c r="F256" i="29" s="1"/>
  <c r="E190" i="29"/>
  <c r="E256" i="29" s="1"/>
  <c r="G189" i="29"/>
  <c r="G255" i="29" s="1"/>
  <c r="F189" i="29"/>
  <c r="F255" i="29" s="1"/>
  <c r="E189" i="29"/>
  <c r="E255" i="29" s="1"/>
  <c r="G188" i="29"/>
  <c r="G254" i="29" s="1"/>
  <c r="F188" i="29"/>
  <c r="F254" i="29" s="1"/>
  <c r="E188" i="29"/>
  <c r="E254" i="29" s="1"/>
  <c r="G187" i="29"/>
  <c r="G253" i="29" s="1"/>
  <c r="F187" i="29"/>
  <c r="F253" i="29" s="1"/>
  <c r="E187" i="29"/>
  <c r="E253" i="29" s="1"/>
  <c r="G186" i="29"/>
  <c r="G252" i="29" s="1"/>
  <c r="F186" i="29"/>
  <c r="F252" i="29" s="1"/>
  <c r="E186" i="29"/>
  <c r="E252" i="29" s="1"/>
  <c r="G185" i="29"/>
  <c r="G251" i="29" s="1"/>
  <c r="F185" i="29"/>
  <c r="F251" i="29" s="1"/>
  <c r="E185" i="29"/>
  <c r="E251" i="29" s="1"/>
  <c r="G184" i="29"/>
  <c r="G250" i="29" s="1"/>
  <c r="F184" i="29"/>
  <c r="F250" i="29" s="1"/>
  <c r="E184" i="29"/>
  <c r="E250" i="29" s="1"/>
  <c r="G183" i="29"/>
  <c r="G249" i="29" s="1"/>
  <c r="F183" i="29"/>
  <c r="F249" i="29" s="1"/>
  <c r="E183" i="29"/>
  <c r="E249" i="29" s="1"/>
  <c r="G182" i="29"/>
  <c r="G248" i="29" s="1"/>
  <c r="F182" i="29"/>
  <c r="F248" i="29" s="1"/>
  <c r="E182" i="29"/>
  <c r="E248" i="29" s="1"/>
  <c r="G181" i="29"/>
  <c r="G247" i="29" s="1"/>
  <c r="F181" i="29"/>
  <c r="F247" i="29" s="1"/>
  <c r="E181" i="29"/>
  <c r="E247" i="29" s="1"/>
  <c r="G180" i="29"/>
  <c r="G246" i="29" s="1"/>
  <c r="F180" i="29"/>
  <c r="F246" i="29" s="1"/>
  <c r="E180" i="29"/>
  <c r="E246" i="29" s="1"/>
  <c r="G179" i="29"/>
  <c r="G245" i="29" s="1"/>
  <c r="F179" i="29"/>
  <c r="F245" i="29" s="1"/>
  <c r="E179" i="29"/>
  <c r="E245" i="29" s="1"/>
  <c r="G178" i="29"/>
  <c r="G244" i="29" s="1"/>
  <c r="F178" i="29"/>
  <c r="F244" i="29" s="1"/>
  <c r="E178" i="29"/>
  <c r="E244" i="29" s="1"/>
  <c r="G177" i="29"/>
  <c r="G243" i="29" s="1"/>
  <c r="F177" i="29"/>
  <c r="F243" i="29" s="1"/>
  <c r="E177" i="29"/>
  <c r="E243" i="29" s="1"/>
  <c r="G176" i="29"/>
  <c r="G242" i="29" s="1"/>
  <c r="F176" i="29"/>
  <c r="F242" i="29" s="1"/>
  <c r="E176" i="29"/>
  <c r="E242" i="29" s="1"/>
  <c r="G175" i="29"/>
  <c r="G241" i="29" s="1"/>
  <c r="F175" i="29"/>
  <c r="F241" i="29" s="1"/>
  <c r="E175" i="29"/>
  <c r="E241" i="29" s="1"/>
  <c r="G174" i="29"/>
  <c r="G240" i="29" s="1"/>
  <c r="F174" i="29"/>
  <c r="F240" i="29" s="1"/>
  <c r="E174" i="29"/>
  <c r="E240" i="29" s="1"/>
  <c r="G173" i="29"/>
  <c r="G239" i="29" s="1"/>
  <c r="F173" i="29"/>
  <c r="F239" i="29" s="1"/>
  <c r="E173" i="29"/>
  <c r="E239" i="29" s="1"/>
  <c r="G172" i="29"/>
  <c r="G238" i="29" s="1"/>
  <c r="F172" i="29"/>
  <c r="F238" i="29" s="1"/>
  <c r="E172" i="29"/>
  <c r="E238" i="29" s="1"/>
  <c r="G171" i="29"/>
  <c r="G237" i="29" s="1"/>
  <c r="F171" i="29"/>
  <c r="F237" i="29" s="1"/>
  <c r="E171" i="29"/>
  <c r="E237" i="29" s="1"/>
  <c r="G170" i="29"/>
  <c r="G236" i="29" s="1"/>
  <c r="F170" i="29"/>
  <c r="F236" i="29" s="1"/>
  <c r="E170" i="29"/>
  <c r="E236" i="29" s="1"/>
  <c r="G168" i="29"/>
  <c r="F168" i="29"/>
  <c r="E168" i="29"/>
  <c r="G165" i="29"/>
  <c r="G231" i="29" s="1"/>
  <c r="G297" i="29" s="1"/>
  <c r="F165" i="29"/>
  <c r="F231" i="29" s="1"/>
  <c r="F297" i="29" s="1"/>
  <c r="G164" i="29"/>
  <c r="G230" i="29" s="1"/>
  <c r="G296" i="29" s="1"/>
  <c r="F164" i="29"/>
  <c r="F230" i="29" s="1"/>
  <c r="F296" i="29" s="1"/>
  <c r="G163" i="29"/>
  <c r="G229" i="29" s="1"/>
  <c r="G295" i="29" s="1"/>
  <c r="F163" i="29"/>
  <c r="F229" i="29" s="1"/>
  <c r="F295" i="29" s="1"/>
  <c r="G162" i="29"/>
  <c r="G228" i="29" s="1"/>
  <c r="G294" i="29" s="1"/>
  <c r="F162" i="29"/>
  <c r="F228" i="29" s="1"/>
  <c r="F294" i="29" s="1"/>
  <c r="G161" i="29"/>
  <c r="G227" i="29" s="1"/>
  <c r="G293" i="29" s="1"/>
  <c r="F161" i="29"/>
  <c r="F227" i="29" s="1"/>
  <c r="F293" i="29" s="1"/>
  <c r="G160" i="29"/>
  <c r="G226" i="29" s="1"/>
  <c r="G292" i="29" s="1"/>
  <c r="F160" i="29"/>
  <c r="F226" i="29" s="1"/>
  <c r="F292" i="29" s="1"/>
  <c r="G159" i="29"/>
  <c r="G225" i="29" s="1"/>
  <c r="G291" i="29" s="1"/>
  <c r="F159" i="29"/>
  <c r="F225" i="29" s="1"/>
  <c r="F291" i="29" s="1"/>
  <c r="G158" i="29"/>
  <c r="G224" i="29" s="1"/>
  <c r="G290" i="29" s="1"/>
  <c r="F158" i="29"/>
  <c r="F224" i="29" s="1"/>
  <c r="F290" i="29" s="1"/>
  <c r="G157" i="29"/>
  <c r="G223" i="29" s="1"/>
  <c r="G289" i="29" s="1"/>
  <c r="F157" i="29"/>
  <c r="F223" i="29" s="1"/>
  <c r="F289" i="29" s="1"/>
  <c r="G156" i="29"/>
  <c r="G222" i="29" s="1"/>
  <c r="G288" i="29" s="1"/>
  <c r="F156" i="29"/>
  <c r="F222" i="29" s="1"/>
  <c r="F288" i="29" s="1"/>
  <c r="G155" i="29"/>
  <c r="G221" i="29" s="1"/>
  <c r="G287" i="29" s="1"/>
  <c r="F155" i="29"/>
  <c r="F221" i="29" s="1"/>
  <c r="F287" i="29" s="1"/>
  <c r="G154" i="29"/>
  <c r="G220" i="29" s="1"/>
  <c r="G286" i="29" s="1"/>
  <c r="F154" i="29"/>
  <c r="F220" i="29" s="1"/>
  <c r="F286" i="29" s="1"/>
  <c r="G153" i="29"/>
  <c r="G219" i="29" s="1"/>
  <c r="G285" i="29" s="1"/>
  <c r="F153" i="29"/>
  <c r="F219" i="29" s="1"/>
  <c r="F285" i="29" s="1"/>
  <c r="G152" i="29"/>
  <c r="G218" i="29" s="1"/>
  <c r="G284" i="29" s="1"/>
  <c r="F152" i="29"/>
  <c r="F218" i="29" s="1"/>
  <c r="F284" i="29" s="1"/>
  <c r="G151" i="29"/>
  <c r="G217" i="29" s="1"/>
  <c r="G283" i="29" s="1"/>
  <c r="F151" i="29"/>
  <c r="F217" i="29" s="1"/>
  <c r="F283" i="29" s="1"/>
  <c r="G150" i="29"/>
  <c r="G216" i="29" s="1"/>
  <c r="G282" i="29" s="1"/>
  <c r="F150" i="29"/>
  <c r="F216" i="29" s="1"/>
  <c r="F282" i="29" s="1"/>
  <c r="G149" i="29"/>
  <c r="G215" i="29" s="1"/>
  <c r="G281" i="29" s="1"/>
  <c r="F149" i="29"/>
  <c r="F215" i="29" s="1"/>
  <c r="F281" i="29" s="1"/>
  <c r="G148" i="29"/>
  <c r="G214" i="29" s="1"/>
  <c r="G280" i="29" s="1"/>
  <c r="F148" i="29"/>
  <c r="F214" i="29" s="1"/>
  <c r="F280" i="29" s="1"/>
  <c r="G147" i="29"/>
  <c r="G213" i="29" s="1"/>
  <c r="G279" i="29" s="1"/>
  <c r="F147" i="29"/>
  <c r="F213" i="29" s="1"/>
  <c r="F279" i="29" s="1"/>
  <c r="G146" i="29"/>
  <c r="G212" i="29" s="1"/>
  <c r="G278" i="29" s="1"/>
  <c r="F146" i="29"/>
  <c r="F212" i="29" s="1"/>
  <c r="F278" i="29" s="1"/>
  <c r="G145" i="29"/>
  <c r="G211" i="29" s="1"/>
  <c r="G277" i="29" s="1"/>
  <c r="F145" i="29"/>
  <c r="F211" i="29" s="1"/>
  <c r="F277" i="29" s="1"/>
  <c r="G144" i="29"/>
  <c r="G210" i="29" s="1"/>
  <c r="G276" i="29" s="1"/>
  <c r="F144" i="29"/>
  <c r="F210" i="29" s="1"/>
  <c r="F276" i="29" s="1"/>
  <c r="G143" i="29"/>
  <c r="G209" i="29" s="1"/>
  <c r="G275" i="29" s="1"/>
  <c r="F143" i="29"/>
  <c r="F209" i="29" s="1"/>
  <c r="F275" i="29" s="1"/>
  <c r="G142" i="29"/>
  <c r="G208" i="29" s="1"/>
  <c r="G274" i="29" s="1"/>
  <c r="F142" i="29"/>
  <c r="F208" i="29" s="1"/>
  <c r="F274" i="29" s="1"/>
  <c r="G141" i="29"/>
  <c r="G207" i="29" s="1"/>
  <c r="G273" i="29" s="1"/>
  <c r="F141" i="29"/>
  <c r="F207" i="29" s="1"/>
  <c r="F273" i="29" s="1"/>
  <c r="G140" i="29"/>
  <c r="G206" i="29" s="1"/>
  <c r="G272" i="29" s="1"/>
  <c r="F140" i="29"/>
  <c r="F206" i="29" s="1"/>
  <c r="F272" i="29" s="1"/>
  <c r="G139" i="29"/>
  <c r="G205" i="29" s="1"/>
  <c r="G271" i="29" s="1"/>
  <c r="F139" i="29"/>
  <c r="F205" i="29" s="1"/>
  <c r="F271" i="29" s="1"/>
  <c r="G138" i="29"/>
  <c r="G204" i="29" s="1"/>
  <c r="G270" i="29" s="1"/>
  <c r="F138" i="29"/>
  <c r="F204" i="29" s="1"/>
  <c r="F270" i="29" s="1"/>
  <c r="G137" i="29"/>
  <c r="G203" i="29" s="1"/>
  <c r="G269" i="29" s="1"/>
  <c r="F137" i="29"/>
  <c r="F203" i="29" s="1"/>
  <c r="F269" i="29" s="1"/>
  <c r="G136" i="29"/>
  <c r="G202" i="29" s="1"/>
  <c r="G268" i="29" s="1"/>
  <c r="F136" i="29"/>
  <c r="F202" i="29" s="1"/>
  <c r="F268" i="29" s="1"/>
  <c r="G135" i="29"/>
  <c r="G201" i="29" s="1"/>
  <c r="G267" i="29" s="1"/>
  <c r="F135" i="29"/>
  <c r="F201" i="29" s="1"/>
  <c r="F267" i="29" s="1"/>
  <c r="G102" i="29"/>
  <c r="F102" i="29"/>
  <c r="E102" i="29"/>
  <c r="G86" i="29"/>
  <c r="F86" i="29"/>
  <c r="E86" i="29"/>
  <c r="G75" i="29"/>
  <c r="F75" i="29"/>
  <c r="E75" i="29"/>
  <c r="H37" i="36" l="1"/>
  <c r="H36" i="36"/>
  <c r="H30" i="36"/>
  <c r="H29" i="36"/>
  <c r="H28" i="36"/>
  <c r="H27" i="36"/>
  <c r="H26" i="36"/>
  <c r="H25" i="36"/>
  <c r="H24" i="36"/>
  <c r="H15" i="36"/>
  <c r="H14" i="36"/>
  <c r="H13" i="36"/>
  <c r="H12" i="36"/>
  <c r="H11" i="36"/>
  <c r="H10" i="36"/>
  <c r="H9" i="36"/>
  <c r="B2" i="36" a="1"/>
  <c r="B33" i="36" a="1"/>
  <c r="B41" i="36" a="1"/>
  <c r="B17" i="36" a="1"/>
  <c r="B41" i="36" l="1"/>
  <c r="B33" i="36"/>
  <c r="B2" i="36"/>
  <c r="B17" i="36"/>
  <c r="D213" i="16" l="1"/>
  <c r="D218" i="16" l="1"/>
  <c r="D167" i="16" l="1"/>
  <c r="B166" i="16"/>
  <c r="D35" i="33" l="1"/>
  <c r="D34" i="33"/>
  <c r="D33" i="33"/>
  <c r="D32" i="33"/>
  <c r="D31" i="33"/>
  <c r="D30" i="33"/>
  <c r="D29" i="33"/>
  <c r="D28" i="33"/>
  <c r="D27" i="33"/>
  <c r="D26" i="33"/>
  <c r="D25" i="33"/>
  <c r="D24" i="33"/>
  <c r="D23" i="33"/>
  <c r="D22" i="33"/>
  <c r="D21" i="33"/>
  <c r="D20" i="33"/>
  <c r="D4" i="22"/>
  <c r="C105" i="9"/>
  <c r="C104" i="9"/>
  <c r="C99" i="9"/>
  <c r="C98" i="9"/>
  <c r="K22" i="12"/>
  <c r="G22" i="12"/>
  <c r="K21" i="12"/>
  <c r="G21" i="12"/>
  <c r="D4" i="34"/>
  <c r="D4" i="21"/>
  <c r="G204" i="18"/>
  <c r="D204" i="18"/>
  <c r="C204" i="18"/>
  <c r="G195" i="18"/>
  <c r="D195" i="18"/>
  <c r="C195" i="18"/>
  <c r="G187" i="18"/>
  <c r="D187" i="18"/>
  <c r="C187" i="18"/>
  <c r="G179" i="18"/>
  <c r="C179" i="18"/>
  <c r="G169" i="18"/>
  <c r="D169" i="18"/>
  <c r="C169" i="18"/>
  <c r="G155" i="18"/>
  <c r="D155" i="18"/>
  <c r="C155" i="18"/>
  <c r="G130" i="18"/>
  <c r="D130" i="18"/>
  <c r="C130" i="18"/>
  <c r="G111" i="18"/>
  <c r="C111" i="18"/>
  <c r="G90" i="18"/>
  <c r="C90" i="18"/>
  <c r="G101" i="18"/>
  <c r="A101" i="18"/>
  <c r="G86" i="18"/>
  <c r="G85" i="18"/>
  <c r="G83" i="18"/>
  <c r="G82" i="18"/>
  <c r="G81" i="18"/>
  <c r="G79" i="18"/>
  <c r="C79" i="18"/>
  <c r="G69" i="18"/>
  <c r="C69" i="18"/>
  <c r="G61" i="18"/>
  <c r="C61" i="18"/>
  <c r="G53" i="18"/>
  <c r="C53" i="18"/>
  <c r="G45" i="18"/>
  <c r="C45" i="18"/>
  <c r="G42" i="18"/>
  <c r="G13" i="18"/>
  <c r="H38" i="36"/>
  <c r="H35" i="36"/>
  <c r="H23" i="36"/>
  <c r="H22" i="36"/>
  <c r="H21" i="36"/>
  <c r="H20" i="36"/>
  <c r="H19" i="36"/>
  <c r="H8" i="36"/>
  <c r="H7" i="36"/>
  <c r="H6" i="36"/>
  <c r="H5" i="36"/>
  <c r="H4" i="36"/>
  <c r="B408" i="29"/>
  <c r="B409" i="29" s="1"/>
  <c r="B410" i="29" s="1"/>
  <c r="B411" i="29" s="1"/>
  <c r="B412" i="29" s="1"/>
  <c r="B413" i="29" s="1"/>
  <c r="B414" i="29" s="1"/>
  <c r="B415" i="29" s="1"/>
  <c r="B416" i="29" s="1"/>
  <c r="B417" i="29" s="1"/>
  <c r="L404" i="29"/>
  <c r="B389" i="29"/>
  <c r="B390" i="29" s="1"/>
  <c r="B391" i="29" s="1"/>
  <c r="B392" i="29" s="1"/>
  <c r="B393" i="29" s="1"/>
  <c r="B394" i="29" s="1"/>
  <c r="B395" i="29" s="1"/>
  <c r="B396" i="29" s="1"/>
  <c r="B397" i="29" s="1"/>
  <c r="B398" i="29" s="1"/>
  <c r="L385" i="29"/>
  <c r="L377" i="29"/>
  <c r="L369" i="29"/>
  <c r="L361" i="29"/>
  <c r="L352" i="29"/>
  <c r="L344" i="29"/>
  <c r="L336" i="29"/>
  <c r="C319" i="29"/>
  <c r="C320" i="29" s="1"/>
  <c r="C321" i="29" s="1"/>
  <c r="C322" i="29" s="1"/>
  <c r="C323" i="29" s="1"/>
  <c r="C324" i="29" s="1"/>
  <c r="C325" i="29" s="1"/>
  <c r="C326" i="29" s="1"/>
  <c r="C327" i="29" s="1"/>
  <c r="C328" i="29" s="1"/>
  <c r="C329" i="29" s="1"/>
  <c r="C330" i="29" s="1"/>
  <c r="C331" i="29" s="1"/>
  <c r="C332" i="29" s="1"/>
  <c r="C303" i="29"/>
  <c r="C304" i="29" s="1"/>
  <c r="C305" i="29" s="1"/>
  <c r="C306" i="29" s="1"/>
  <c r="C307" i="29" s="1"/>
  <c r="C308" i="29" s="1"/>
  <c r="C309" i="29" s="1"/>
  <c r="C310" i="29" s="1"/>
  <c r="C311" i="29" s="1"/>
  <c r="C312" i="29" s="1"/>
  <c r="C313" i="29" s="1"/>
  <c r="C314" i="29" s="1"/>
  <c r="C315" i="29" s="1"/>
  <c r="C316" i="29" s="1"/>
  <c r="L300" i="29"/>
  <c r="D300" i="29"/>
  <c r="C297" i="29"/>
  <c r="C296" i="29"/>
  <c r="C295" i="29"/>
  <c r="C294" i="29"/>
  <c r="C293" i="29"/>
  <c r="C292" i="29"/>
  <c r="C291" i="29"/>
  <c r="C290" i="29"/>
  <c r="C289" i="29"/>
  <c r="C288" i="29"/>
  <c r="C287" i="29"/>
  <c r="C286" i="29"/>
  <c r="C285" i="29"/>
  <c r="C284" i="29"/>
  <c r="C283" i="29"/>
  <c r="C282" i="29"/>
  <c r="C281" i="29"/>
  <c r="C280" i="29"/>
  <c r="C279" i="29"/>
  <c r="C278" i="29"/>
  <c r="C277" i="29"/>
  <c r="C276" i="29"/>
  <c r="C275" i="29"/>
  <c r="C274" i="29"/>
  <c r="C273" i="29"/>
  <c r="C272" i="29"/>
  <c r="C271" i="29"/>
  <c r="C270" i="29"/>
  <c r="C269" i="29"/>
  <c r="C268" i="29"/>
  <c r="C267" i="29"/>
  <c r="L234" i="29"/>
  <c r="D234" i="29"/>
  <c r="L231" i="29"/>
  <c r="L297" i="29" s="1"/>
  <c r="C231" i="29"/>
  <c r="L230" i="29"/>
  <c r="L296" i="29" s="1"/>
  <c r="C230" i="29"/>
  <c r="L229" i="29"/>
  <c r="L295" i="29" s="1"/>
  <c r="C229" i="29"/>
  <c r="L228" i="29"/>
  <c r="L294" i="29" s="1"/>
  <c r="C228" i="29"/>
  <c r="L227" i="29"/>
  <c r="L293" i="29" s="1"/>
  <c r="C227" i="29"/>
  <c r="L226" i="29"/>
  <c r="L292" i="29" s="1"/>
  <c r="C226" i="29"/>
  <c r="L225" i="29"/>
  <c r="L291" i="29" s="1"/>
  <c r="C225" i="29"/>
  <c r="L224" i="29"/>
  <c r="L290" i="29" s="1"/>
  <c r="C224" i="29"/>
  <c r="L223" i="29"/>
  <c r="L289" i="29" s="1"/>
  <c r="C223" i="29"/>
  <c r="L222" i="29"/>
  <c r="L288" i="29" s="1"/>
  <c r="C222" i="29"/>
  <c r="L221" i="29"/>
  <c r="L287" i="29" s="1"/>
  <c r="C221" i="29"/>
  <c r="L220" i="29"/>
  <c r="L286" i="29" s="1"/>
  <c r="C220" i="29"/>
  <c r="L219" i="29"/>
  <c r="L285" i="29" s="1"/>
  <c r="C219" i="29"/>
  <c r="L218" i="29"/>
  <c r="L284" i="29" s="1"/>
  <c r="C218" i="29"/>
  <c r="L217" i="29"/>
  <c r="L283" i="29" s="1"/>
  <c r="C217" i="29"/>
  <c r="L216" i="29"/>
  <c r="L282" i="29" s="1"/>
  <c r="C216" i="29"/>
  <c r="L215" i="29"/>
  <c r="L281" i="29" s="1"/>
  <c r="C215" i="29"/>
  <c r="L214" i="29"/>
  <c r="L280" i="29" s="1"/>
  <c r="C214" i="29"/>
  <c r="L213" i="29"/>
  <c r="L279" i="29" s="1"/>
  <c r="C213" i="29"/>
  <c r="L212" i="29"/>
  <c r="L278" i="29" s="1"/>
  <c r="C212" i="29"/>
  <c r="L211" i="29"/>
  <c r="L277" i="29" s="1"/>
  <c r="C211" i="29"/>
  <c r="L210" i="29"/>
  <c r="L276" i="29" s="1"/>
  <c r="C210" i="29"/>
  <c r="L209" i="29"/>
  <c r="L275" i="29" s="1"/>
  <c r="C209" i="29"/>
  <c r="L208" i="29"/>
  <c r="L274" i="29" s="1"/>
  <c r="C208" i="29"/>
  <c r="L207" i="29"/>
  <c r="L273" i="29" s="1"/>
  <c r="C207" i="29"/>
  <c r="L206" i="29"/>
  <c r="L272" i="29" s="1"/>
  <c r="C206" i="29"/>
  <c r="L205" i="29"/>
  <c r="L271" i="29" s="1"/>
  <c r="C205" i="29"/>
  <c r="L204" i="29"/>
  <c r="L270" i="29" s="1"/>
  <c r="C204" i="29"/>
  <c r="L203" i="29"/>
  <c r="L269" i="29" s="1"/>
  <c r="C203" i="29"/>
  <c r="L202" i="29"/>
  <c r="L268" i="29" s="1"/>
  <c r="C202" i="29"/>
  <c r="L201" i="29"/>
  <c r="L267" i="29" s="1"/>
  <c r="C201" i="29"/>
  <c r="L200" i="29"/>
  <c r="L266" i="29" s="1"/>
  <c r="L199" i="29"/>
  <c r="L265" i="29" s="1"/>
  <c r="L198" i="29"/>
  <c r="L264" i="29" s="1"/>
  <c r="L197" i="29"/>
  <c r="L263" i="29" s="1"/>
  <c r="L196" i="29"/>
  <c r="L262" i="29" s="1"/>
  <c r="L195" i="29"/>
  <c r="L261" i="29" s="1"/>
  <c r="L194" i="29"/>
  <c r="L260" i="29" s="1"/>
  <c r="L193" i="29"/>
  <c r="L259" i="29" s="1"/>
  <c r="L192" i="29"/>
  <c r="L258" i="29" s="1"/>
  <c r="L191" i="29"/>
  <c r="L257" i="29" s="1"/>
  <c r="L190" i="29"/>
  <c r="L256" i="29" s="1"/>
  <c r="L189" i="29"/>
  <c r="L255" i="29" s="1"/>
  <c r="L188" i="29"/>
  <c r="L254" i="29" s="1"/>
  <c r="L187" i="29"/>
  <c r="L253" i="29" s="1"/>
  <c r="L186" i="29"/>
  <c r="L252" i="29" s="1"/>
  <c r="L185" i="29"/>
  <c r="L251" i="29" s="1"/>
  <c r="L184" i="29"/>
  <c r="L250" i="29" s="1"/>
  <c r="L183" i="29"/>
  <c r="L249" i="29" s="1"/>
  <c r="L182" i="29"/>
  <c r="L248" i="29" s="1"/>
  <c r="L181" i="29"/>
  <c r="L247" i="29" s="1"/>
  <c r="L180" i="29"/>
  <c r="L246" i="29" s="1"/>
  <c r="L179" i="29"/>
  <c r="L245" i="29" s="1"/>
  <c r="L178" i="29"/>
  <c r="L244" i="29" s="1"/>
  <c r="L177" i="29"/>
  <c r="L243" i="29" s="1"/>
  <c r="L176" i="29"/>
  <c r="L242" i="29" s="1"/>
  <c r="L175" i="29"/>
  <c r="L241" i="29" s="1"/>
  <c r="L174" i="29"/>
  <c r="L240" i="29" s="1"/>
  <c r="L173" i="29"/>
  <c r="L239" i="29" s="1"/>
  <c r="L172" i="29"/>
  <c r="L238" i="29" s="1"/>
  <c r="L171" i="29"/>
  <c r="L237" i="29" s="1"/>
  <c r="L170" i="29"/>
  <c r="L236" i="29" s="1"/>
  <c r="L168" i="29"/>
  <c r="D168" i="29"/>
  <c r="C165" i="29"/>
  <c r="C164" i="29"/>
  <c r="C163" i="29"/>
  <c r="C162" i="29"/>
  <c r="C161" i="29"/>
  <c r="C160" i="29"/>
  <c r="C159" i="29"/>
  <c r="C158" i="29"/>
  <c r="C157" i="29"/>
  <c r="C156" i="29"/>
  <c r="C155" i="29"/>
  <c r="C154" i="29"/>
  <c r="C153" i="29"/>
  <c r="C152" i="29"/>
  <c r="C151" i="29"/>
  <c r="C150" i="29"/>
  <c r="C149" i="29"/>
  <c r="C148" i="29"/>
  <c r="C147" i="29"/>
  <c r="C146" i="29"/>
  <c r="C145" i="29"/>
  <c r="C144" i="29"/>
  <c r="C143" i="29"/>
  <c r="C142" i="29"/>
  <c r="C141" i="29"/>
  <c r="C140" i="29"/>
  <c r="C139" i="29"/>
  <c r="C138" i="29"/>
  <c r="C137" i="29"/>
  <c r="C136" i="29"/>
  <c r="C135" i="29"/>
  <c r="L102" i="29"/>
  <c r="D102" i="29"/>
  <c r="L86" i="29"/>
  <c r="L75" i="29"/>
  <c r="D4" i="29"/>
  <c r="D384" i="16"/>
  <c r="D272" i="16"/>
  <c r="D244" i="16"/>
  <c r="D154" i="16"/>
  <c r="D222" i="16"/>
  <c r="D186" i="16"/>
  <c r="D135" i="16"/>
  <c r="D129" i="16"/>
  <c r="D39" i="16"/>
  <c r="B3" i="33"/>
  <c r="B383" i="16"/>
  <c r="A100" i="18"/>
  <c r="B185" i="16"/>
  <c r="B351" i="29"/>
  <c r="B212" i="16"/>
  <c r="A186" i="18"/>
  <c r="B72" i="9"/>
  <c r="B89" i="18"/>
  <c r="B162" i="21"/>
  <c r="B178" i="18"/>
  <c r="B101" i="29"/>
  <c r="B233" i="29"/>
  <c r="A194" i="18"/>
  <c r="B62" i="9"/>
  <c r="B68" i="18"/>
  <c r="B183" i="9"/>
  <c r="B3" i="29"/>
  <c r="B200" i="9"/>
  <c r="B3" i="22"/>
  <c r="B134" i="16"/>
  <c r="B52" i="18"/>
  <c r="B194" i="21"/>
  <c r="A168" i="18"/>
  <c r="A154" i="18"/>
  <c r="B335" i="29"/>
  <c r="B376" i="29"/>
  <c r="B25" i="16"/>
  <c r="B271" i="16"/>
  <c r="B128" i="16"/>
  <c r="A129" i="18"/>
  <c r="B90" i="9"/>
  <c r="B78" i="18"/>
  <c r="B384" i="29"/>
  <c r="B243" i="16"/>
  <c r="B102" i="9"/>
  <c r="B3" i="9"/>
  <c r="B360" i="29"/>
  <c r="B38" i="16"/>
  <c r="B153" i="16"/>
  <c r="B108" i="9"/>
  <c r="B299" i="29"/>
  <c r="B96" i="9"/>
  <c r="B14" i="16"/>
  <c r="B403" i="29"/>
  <c r="B3" i="21"/>
  <c r="B85" i="29"/>
  <c r="B368" i="29"/>
  <c r="B3" i="12"/>
  <c r="B167" i="29"/>
  <c r="B192" i="9"/>
  <c r="J19" i="12"/>
  <c r="B19" i="12"/>
  <c r="A203" i="18"/>
  <c r="B311" i="16"/>
  <c r="B217" i="16"/>
  <c r="B154" i="9"/>
  <c r="B44" i="18"/>
  <c r="B74" i="29"/>
  <c r="B343" i="29"/>
  <c r="F19" i="12"/>
  <c r="A110" i="18"/>
  <c r="B60" i="18"/>
  <c r="B13" i="21"/>
  <c r="D186" i="21" l="1"/>
  <c r="D195" i="21"/>
  <c r="D140" i="21"/>
  <c r="D63" i="9"/>
  <c r="D163" i="21"/>
  <c r="D14" i="21"/>
  <c r="D73" i="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Lalimo, Daniel</author>
  </authors>
  <commentList>
    <comment ref="B74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Set this policy year schedule to match the withdrawal charge period!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<sst xmlns="http://schemas.openxmlformats.org/spreadsheetml/2006/main" count="6065" uniqueCount="825">
  <si>
    <t>Benefits : Death</t>
  </si>
  <si>
    <t>dth_ben_defn</t>
  </si>
  <si>
    <t>maturity_age_input</t>
  </si>
  <si>
    <t>Benefits : GMWB</t>
  </si>
  <si>
    <t>gmwb_defn</t>
  </si>
  <si>
    <t>gmwb_max_age</t>
  </si>
  <si>
    <t>gmwb_wait_period</t>
  </si>
  <si>
    <t>gmwb_prem_defn</t>
  </si>
  <si>
    <t>gmwb_rollup_rate</t>
  </si>
  <si>
    <t>gmwb_step_up_rate</t>
  </si>
  <si>
    <t>gmwb_rollup_freq_defn</t>
  </si>
  <si>
    <t>gmwb_rollup_cap</t>
  </si>
  <si>
    <t>gmwb_max_rollup_duration</t>
  </si>
  <si>
    <t>gmwb_mort_base</t>
  </si>
  <si>
    <t>gmwb_max_annual_wdl_pct</t>
  </si>
  <si>
    <t>gmwb_max_wdl_amt_base_defn</t>
  </si>
  <si>
    <t>Premiums</t>
  </si>
  <si>
    <t>capzd_prem_bonus_pct</t>
  </si>
  <si>
    <t>tax_capzd_prem_pct_qualify</t>
  </si>
  <si>
    <t>tax_capzd_prem_pct</t>
  </si>
  <si>
    <t>Charges</t>
  </si>
  <si>
    <t>gmwb_chg_base</t>
  </si>
  <si>
    <t>Surrender Charge</t>
  </si>
  <si>
    <t>surr_chg_defn</t>
  </si>
  <si>
    <t>Reinsurance</t>
  </si>
  <si>
    <t>reins_defn</t>
  </si>
  <si>
    <t>reins_coverage_defn</t>
  </si>
  <si>
    <t>reins_gmwb_chg</t>
  </si>
  <si>
    <t>reins_exp_per_pol</t>
  </si>
  <si>
    <t>VarID</t>
  </si>
  <si>
    <t>#</t>
  </si>
  <si>
    <t>Date</t>
  </si>
  <si>
    <t>Name</t>
  </si>
  <si>
    <t>Comments</t>
  </si>
  <si>
    <t>Yes</t>
  </si>
  <si>
    <t>Fund Value</t>
  </si>
  <si>
    <t>Not Applicable</t>
  </si>
  <si>
    <t>Rollup</t>
  </si>
  <si>
    <t>Anniversary</t>
  </si>
  <si>
    <t>No</t>
  </si>
  <si>
    <t>Finite</t>
  </si>
  <si>
    <t>Life</t>
  </si>
  <si>
    <t>Stepup</t>
  </si>
  <si>
    <t>Premium</t>
  </si>
  <si>
    <t>GMWB Base</t>
  </si>
  <si>
    <t>Base Only</t>
  </si>
  <si>
    <t>Table of Contents</t>
  </si>
  <si>
    <t>plan_code</t>
  </si>
  <si>
    <t>Default</t>
  </si>
  <si>
    <t>Value</t>
  </si>
  <si>
    <t>linked assumption set name combined with variable name</t>
  </si>
  <si>
    <t>New range name on same worksheet as base assumption</t>
  </si>
  <si>
    <t>Linked Assumption Set</t>
  </si>
  <si>
    <t>Overlays</t>
  </si>
  <si>
    <t>Workbook with worksheets and range names</t>
  </si>
  <si>
    <t>Assumption set</t>
  </si>
  <si>
    <t>Product feature set/assumption set</t>
  </si>
  <si>
    <t>Input variable name</t>
  </si>
  <si>
    <t>Single range name with appropriate structure</t>
  </si>
  <si>
    <t>Floating point variables</t>
  </si>
  <si>
    <t>Variants</t>
  </si>
  <si>
    <t>Subheader name as appropriate</t>
  </si>
  <si>
    <t>Combined into single range name using variable name as lookup</t>
  </si>
  <si>
    <t>Character variables</t>
  </si>
  <si>
    <t>Subheader name</t>
  </si>
  <si>
    <t>Range name (for combining items)</t>
  </si>
  <si>
    <t>Subheader</t>
  </si>
  <si>
    <t>Third level category</t>
  </si>
  <si>
    <t>Header name</t>
  </si>
  <si>
    <t>Worksheet</t>
  </si>
  <si>
    <t>Header</t>
  </si>
  <si>
    <t>Second level category</t>
  </si>
  <si>
    <t>&lt;*xxx_input*&gt; wildcard location</t>
  </si>
  <si>
    <t>[Project] - [Page Name] - [Assumption Set Name].xlsx</t>
  </si>
  <si>
    <t>Workbook</t>
  </si>
  <si>
    <t>Input page</t>
  </si>
  <si>
    <t>First level category</t>
  </si>
  <si>
    <t>Storage location</t>
  </si>
  <si>
    <t>Naming convention</t>
  </si>
  <si>
    <t>External Source Structure</t>
  </si>
  <si>
    <t>MoSes Item</t>
  </si>
  <si>
    <t>Risk Agility FM Item</t>
  </si>
  <si>
    <t>gmwb_fund_val_defn</t>
  </si>
  <si>
    <t>gmwb_fund_val_period</t>
  </si>
  <si>
    <t>gmwb_min_age</t>
  </si>
  <si>
    <t>gmwb_rollup_rate_type</t>
  </si>
  <si>
    <t>gmwb_wdl_reduce_ben_base</t>
  </si>
  <si>
    <t>gmwb_claim_disc_rate_defn</t>
  </si>
  <si>
    <t>gmwb_claim_disc_rate</t>
  </si>
  <si>
    <t>gmwb_chg_pct</t>
  </si>
  <si>
    <t>min_cash_val_mths</t>
  </si>
  <si>
    <t>Compound</t>
  </si>
  <si>
    <t>Fixed Input</t>
  </si>
  <si>
    <t>Annual</t>
  </si>
  <si>
    <t>Fund</t>
  </si>
  <si>
    <t>Crediting</t>
  </si>
  <si>
    <t>Loads</t>
  </si>
  <si>
    <t>fund_val_rebal_defn</t>
  </si>
  <si>
    <t>Drift</t>
  </si>
  <si>
    <t>fund_val_rebal_freq_defn</t>
  </si>
  <si>
    <t>fund_val_rebal_prop_defn</t>
  </si>
  <si>
    <t>Initial Account Value Allocation</t>
  </si>
  <si>
    <t>pct_to_hedge</t>
  </si>
  <si>
    <t>contract_val_net_consideration_pct</t>
  </si>
  <si>
    <t>contract_val_sc_defn</t>
  </si>
  <si>
    <t>crediting_rate_gtd</t>
  </si>
  <si>
    <t>crediting_asset_yld_sprd</t>
  </si>
  <si>
    <t>crediting_nb_defn</t>
  </si>
  <si>
    <t>Proxy Yield</t>
  </si>
  <si>
    <t>crediting_nb_yld_rating</t>
  </si>
  <si>
    <t>Govt</t>
  </si>
  <si>
    <t>crediting_nb_yld_maturity</t>
  </si>
  <si>
    <t>admin_fee_per_pol</t>
  </si>
  <si>
    <t>Point to Point</t>
  </si>
  <si>
    <t>Dynamic Cap</t>
  </si>
  <si>
    <t>US</t>
  </si>
  <si>
    <t>Monthly</t>
  </si>
  <si>
    <t>crediting_rate_defn</t>
  </si>
  <si>
    <t>crediting_eqt_index</t>
  </si>
  <si>
    <t>lookback_sampling_interval</t>
  </si>
  <si>
    <t>Commissions</t>
  </si>
  <si>
    <t>Adjustments</t>
  </si>
  <si>
    <t>Acquisition</t>
  </si>
  <si>
    <t>Maintenance</t>
  </si>
  <si>
    <t>Premium Tax</t>
  </si>
  <si>
    <t>comm_pct_prem</t>
  </si>
  <si>
    <t>comm_pct_fund</t>
  </si>
  <si>
    <t>exp_adj_mult</t>
  </si>
  <si>
    <t>acq_exp_pct_prem</t>
  </si>
  <si>
    <t>acq_exp_per_pol</t>
  </si>
  <si>
    <t>capzd_acq_exp_pct_pct_prem</t>
  </si>
  <si>
    <t>capzd_acq_exp_pct_per_pol</t>
  </si>
  <si>
    <t>maint_exp_per_pol</t>
  </si>
  <si>
    <t>prem_tax_pct</t>
  </si>
  <si>
    <t>Fund input page</t>
  </si>
  <si>
    <t>Expenses input page</t>
  </si>
  <si>
    <t>Mortality input page</t>
  </si>
  <si>
    <t>mort_adj_mult</t>
  </si>
  <si>
    <t>mort_base</t>
  </si>
  <si>
    <t>mort_improve_base_yr</t>
  </si>
  <si>
    <t>mort_improve_pct</t>
  </si>
  <si>
    <t>mort_addn</t>
  </si>
  <si>
    <t>mort_mult</t>
  </si>
  <si>
    <t>Policy Holder input page</t>
  </si>
  <si>
    <t>Lapse : Base</t>
  </si>
  <si>
    <t>Lapse : Dynamic</t>
  </si>
  <si>
    <t>Annuitization</t>
  </si>
  <si>
    <t>Withdrawal Use</t>
  </si>
  <si>
    <t>lapse_dyn_exp</t>
  </si>
  <si>
    <t>lapse_dyn_mult</t>
  </si>
  <si>
    <t>lapse_dyn_scmult</t>
  </si>
  <si>
    <t>lapse_dyn_thresh</t>
  </si>
  <si>
    <t>itm_defn</t>
  </si>
  <si>
    <t>glb_itm_disc_rate</t>
  </si>
  <si>
    <t>gmwb_pfwd_dyn_defn</t>
  </si>
  <si>
    <t>annuitzn_base</t>
  </si>
  <si>
    <t>pfwd_amt_avail_defn</t>
  </si>
  <si>
    <t>pfwd_freq</t>
  </si>
  <si>
    <t>pfwd_pct</t>
  </si>
  <si>
    <t>pfwd_use</t>
  </si>
  <si>
    <t>gmwb_pfwd_dyn_mult</t>
  </si>
  <si>
    <t>Go to TOC</t>
  </si>
  <si>
    <t>Back to Main</t>
  </si>
  <si>
    <t>pol_yr</t>
  </si>
  <si>
    <t>[See below]</t>
  </si>
  <si>
    <t>Product</t>
  </si>
  <si>
    <t>FIAFundCred</t>
  </si>
  <si>
    <t>Expenses</t>
  </si>
  <si>
    <t>Mortality</t>
  </si>
  <si>
    <t>Policy Holder</t>
  </si>
  <si>
    <t>date</t>
  </si>
  <si>
    <t>gmwb_cohort_id</t>
  </si>
  <si>
    <t>Rebalance</t>
  </si>
  <si>
    <t>gmwb_cohort_utilz_defn</t>
  </si>
  <si>
    <t>gmwb_cohort_utilz_rate</t>
  </si>
  <si>
    <t>issue age_mp</t>
  </si>
  <si>
    <t>NONE</t>
  </si>
  <si>
    <t>Table Index</t>
  </si>
  <si>
    <t>mort_base_tbl_id</t>
  </si>
  <si>
    <t>mort_base_tbl_style</t>
  </si>
  <si>
    <t>AttainedAge</t>
  </si>
  <si>
    <t>gmwb_mort_base_tbl_id</t>
  </si>
  <si>
    <t>gmwb_mort_base_tbl_style</t>
  </si>
  <si>
    <t>TblIndex</t>
  </si>
  <si>
    <t>[See TblIndex]</t>
  </si>
  <si>
    <t>&lt;*assump*&gt;Fixed Indexed Annuity - Mortality Tables Adjustments.xlsm</t>
  </si>
  <si>
    <t>&lt;*assump*&gt;Fixed Indexed Annuity - Mortality Tables [Type].xlsx</t>
  </si>
  <si>
    <t>display_solver_warnings_defn</t>
  </si>
  <si>
    <t>hedge_defn</t>
  </si>
  <si>
    <t>Annuity Purchase Rate:  Current</t>
  </si>
  <si>
    <t>mort_base_curr_tbl_id</t>
  </si>
  <si>
    <t>Mort198590BasicAlb</t>
  </si>
  <si>
    <t>mort_base_curr_tbl_style</t>
  </si>
  <si>
    <t>Ultimate</t>
  </si>
  <si>
    <t>mort_base_curr</t>
  </si>
  <si>
    <t>&lt;*assump*&gt;Fixed Annuity - Mortality Tables AttainedAge.xlsx</t>
  </si>
  <si>
    <t>mort_mult_curr</t>
  </si>
  <si>
    <t>&lt;*assump*&gt;Fixed Annuity - Mortality Tables Adjustments.xlsm</t>
  </si>
  <si>
    <t>Fixed Rate</t>
  </si>
  <si>
    <t>purch_rate_curr_defn</t>
  </si>
  <si>
    <t>purch_rate_curr_fixed</t>
  </si>
  <si>
    <t>purch_rate_curr_comp_rate_id</t>
  </si>
  <si>
    <t>purch_rate_curr_sprd</t>
  </si>
  <si>
    <t>purch_rate_curr_load</t>
  </si>
  <si>
    <t>purch_rate_curr_pol_fee</t>
  </si>
  <si>
    <t>Annuity Purchase Rate:  Guaranteed</t>
  </si>
  <si>
    <t>mort_base_guar_tbl_id</t>
  </si>
  <si>
    <t>mort_base_guar_tbl_style</t>
  </si>
  <si>
    <t>mort_base_guar</t>
  </si>
  <si>
    <t>mort_mult_guar</t>
  </si>
  <si>
    <t>purch_rate_guar_fixed</t>
  </si>
  <si>
    <t>Benefit_yr</t>
  </si>
  <si>
    <t>gmwb_withdrl_age</t>
  </si>
  <si>
    <t>Annuity Benefit</t>
  </si>
  <si>
    <t>min_wdl_val_prem_pct_aig</t>
  </si>
  <si>
    <t>min_wdl_val_growth_pct_aig</t>
  </si>
  <si>
    <t>AIG Discount Curve</t>
  </si>
  <si>
    <t>gmwb_prem_credit_aig</t>
  </si>
  <si>
    <t>maint_exp_per_pol_payout</t>
  </si>
  <si>
    <t>income_phase_lookup_aig</t>
  </si>
  <si>
    <t>no_income</t>
  </si>
  <si>
    <t>pre_income</t>
  </si>
  <si>
    <t>gmwb_income</t>
  </si>
  <si>
    <t>gmwb_claim</t>
  </si>
  <si>
    <t>FULL</t>
  </si>
  <si>
    <t>SIMPLE</t>
  </si>
  <si>
    <t>COMPOUND</t>
  </si>
  <si>
    <t>NO_REDUCTION</t>
  </si>
  <si>
    <t>FUND_VALUE</t>
  </si>
  <si>
    <t>pfwd_partial_interest_credited_aig</t>
  </si>
  <si>
    <t>Benefits : GMWB Death</t>
  </si>
  <si>
    <t>gmwb_dth_ben_pct_aig</t>
  </si>
  <si>
    <t>CONTRACT_PCT</t>
  </si>
  <si>
    <t>DOLLARS</t>
  </si>
  <si>
    <t>Point to Point Spread</t>
  </si>
  <si>
    <t>spousal_continuation_defn_aig</t>
  </si>
  <si>
    <t>dth_ben_primary_tail_defn_aig</t>
  </si>
  <si>
    <t>Benefits : Maturity</t>
  </si>
  <si>
    <t>maturity_benefits_min_yrs_aig</t>
  </si>
  <si>
    <t>Benefits : Surrender</t>
  </si>
  <si>
    <t>surr_ben_primary_tail_defn_aig</t>
  </si>
  <si>
    <t>gmwb_chg_at_surr_yn_aig</t>
  </si>
  <si>
    <t>covered_person_status_aig</t>
  </si>
  <si>
    <t>Single</t>
  </si>
  <si>
    <t>Joint</t>
  </si>
  <si>
    <t>mort_improve_base_date_aig</t>
  </si>
  <si>
    <t>spousal_continuation_election_rate_aig</t>
  </si>
  <si>
    <t>gmwb_eval_base_during_claim_aig</t>
  </si>
  <si>
    <t>Dynamic Participation</t>
  </si>
  <si>
    <t>Use missing_val_defn</t>
  </si>
  <si>
    <t>scen_eof_strategy_return_defn_aig</t>
  </si>
  <si>
    <t>gmwb_claim_strategy_return_defn_aig</t>
  </si>
  <si>
    <t>gmwb_doubling_year_aig</t>
  </si>
  <si>
    <t>gmwb_prem_rollup_credit_type_aig</t>
  </si>
  <si>
    <t>gmwb_dth_ben_payout_yrs_aig</t>
  </si>
  <si>
    <t>gmwb_dth_ben_payout_int_rate_aig</t>
  </si>
  <si>
    <t>GMWB Base Adjustable</t>
  </si>
  <si>
    <t>cash_surrender_value_defn_aig</t>
  </si>
  <si>
    <t>No Growth</t>
  </si>
  <si>
    <t>Strategy Return</t>
  </si>
  <si>
    <t>maint_exp_pct_strategy_value_aig</t>
  </si>
  <si>
    <t>Constant</t>
  </si>
  <si>
    <t>infl_start_date_defn_aig</t>
  </si>
  <si>
    <t>infl_rate_defn_aig</t>
  </si>
  <si>
    <t>opt_budget_defn_aig</t>
  </si>
  <si>
    <t>Renewal 2018</t>
  </si>
  <si>
    <t>crediting_rt_chg_threshold_aig</t>
  </si>
  <si>
    <t>part_rate_solve_max_iter_aig</t>
  </si>
  <si>
    <t>part_rate_solve_tolerance_aig</t>
  </si>
  <si>
    <t>None</t>
  </si>
  <si>
    <t>lapse_dyn_base_prod_mult_floor_aig</t>
  </si>
  <si>
    <t>shock_phase_lookup_aig</t>
  </si>
  <si>
    <t>comp_lookup_aig</t>
  </si>
  <si>
    <t>itmness_lookup_aig</t>
  </si>
  <si>
    <t>lapse_dyn_arctan_param_01_aig</t>
  </si>
  <si>
    <t>lapse_dyn_arctan_param_02_aig</t>
  </si>
  <si>
    <t>Lapse : Dynamic ArcTan</t>
  </si>
  <si>
    <t>Advisory</t>
  </si>
  <si>
    <t>Non Advisory</t>
  </si>
  <si>
    <t>Lapse : Dynamic Base Product</t>
  </si>
  <si>
    <t>lapse_dyn_arctan_param_defn_aig</t>
  </si>
  <si>
    <t>prem_bonus_recapture_pct_aig</t>
  </si>
  <si>
    <t>prem_credit_pct_aig</t>
  </si>
  <si>
    <t>premium_paid</t>
  </si>
  <si>
    <t>min_wdl_val_method_aig</t>
  </si>
  <si>
    <t>comm_fund_payment_freq_aig</t>
  </si>
  <si>
    <t>comm_chargeback_period_mths_aig</t>
  </si>
  <si>
    <t>comm_chargeback_pct_aig</t>
  </si>
  <si>
    <t>pol_mth</t>
  </si>
  <si>
    <t>lapse_dyn_print_debug_output_defn_aig</t>
  </si>
  <si>
    <t>mva_defn_aig</t>
  </si>
  <si>
    <t>gmwb_claim_print_debug_output_defn_aig</t>
  </si>
  <si>
    <t>REGULAR_MWV</t>
  </si>
  <si>
    <t>SP1Cap</t>
  </si>
  <si>
    <t>ML</t>
  </si>
  <si>
    <t>SP</t>
  </si>
  <si>
    <t>PM</t>
  </si>
  <si>
    <t>LIP</t>
  </si>
  <si>
    <t>LIPM</t>
  </si>
  <si>
    <t>FX1Fix</t>
  </si>
  <si>
    <t>Ratchet</t>
  </si>
  <si>
    <t>MS</t>
  </si>
  <si>
    <t>Input Vector</t>
  </si>
  <si>
    <t>cash_flow_pct_defn_aig</t>
  </si>
  <si>
    <t>crediting_rate_type</t>
  </si>
  <si>
    <t>Dynamic Spread</t>
  </si>
  <si>
    <t>crediting_rate_guar_mths</t>
  </si>
  <si>
    <t>GMWB input page</t>
  </si>
  <si>
    <t>gmwb_generation_set_aig</t>
  </si>
  <si>
    <t>commission_set_aig</t>
  </si>
  <si>
    <t>expense_set_aig</t>
  </si>
  <si>
    <t>decrement_set_aig</t>
  </si>
  <si>
    <t>snfl_set_aig</t>
  </si>
  <si>
    <t>BASE</t>
  </si>
  <si>
    <t>gmwb_generation_aig</t>
  </si>
  <si>
    <t>gmwb_type_aig</t>
  </si>
  <si>
    <t>Simple</t>
  </si>
  <si>
    <t>ZERO</t>
  </si>
  <si>
    <t>NET</t>
  </si>
  <si>
    <t>Product Input page</t>
  </si>
  <si>
    <t>gmwb_ind</t>
  </si>
  <si>
    <t>lapserate</t>
  </si>
  <si>
    <t>pfwd_util</t>
  </si>
  <si>
    <t>zero</t>
  </si>
  <si>
    <t>fpw_util_2017</t>
  </si>
  <si>
    <t>crediting_pri_sprd_tgt_aig</t>
  </si>
  <si>
    <t>opt_budget_grading_surr_chg_yrs_offset_aig</t>
  </si>
  <si>
    <t>opt_budget_tgt_alpha_aig</t>
  </si>
  <si>
    <t>opt_budget_tgt_reduction_aig</t>
  </si>
  <si>
    <t>crediting_fixed_defn_aig</t>
  </si>
  <si>
    <t>2%Constant</t>
  </si>
  <si>
    <t>7%3yr</t>
  </si>
  <si>
    <t>min_rate_set_aig</t>
  </si>
  <si>
    <t>infl_rate_table_aig</t>
  </si>
  <si>
    <t>renewal_set_aig</t>
  </si>
  <si>
    <t>2%_5Yr_1%</t>
  </si>
  <si>
    <t>2%_7Yr_1%</t>
  </si>
  <si>
    <t>1%_AllYr</t>
  </si>
  <si>
    <t>3%_7Yr_1%</t>
  </si>
  <si>
    <t>3%_7Yr_2%</t>
  </si>
  <si>
    <t>3%_AllYr</t>
  </si>
  <si>
    <t>2.5%_5Yr_1.5%</t>
  </si>
  <si>
    <t>3%_7Yr_1.5%</t>
  </si>
  <si>
    <t>2%_AllYr</t>
  </si>
  <si>
    <t>index_term_cap_rate_min_aig</t>
  </si>
  <si>
    <t>tbl_id</t>
  </si>
  <si>
    <t>10%_7Yr_5%</t>
  </si>
  <si>
    <t>CONSTANT_RATE</t>
  </si>
  <si>
    <t>INDEX_GROWTH</t>
  </si>
  <si>
    <t>gmwb_prem_rollup_performance_based_aig</t>
  </si>
  <si>
    <t>0%_AllYr</t>
  </si>
  <si>
    <t>Not_Available</t>
  </si>
  <si>
    <t>9999_AllYr</t>
  </si>
  <si>
    <t>Dev_GMWB_Gen_Set</t>
  </si>
  <si>
    <t>Dev_Renewal_Set</t>
  </si>
  <si>
    <t>dyn_lapse_table_aig</t>
  </si>
  <si>
    <t>Par Yield</t>
  </si>
  <si>
    <t>new_money_rate_defn_aig</t>
  </si>
  <si>
    <t>NoGLB_Plan2019</t>
  </si>
  <si>
    <t>mort_improve_tbl_id_aig</t>
  </si>
  <si>
    <t>FIAProd</t>
  </si>
  <si>
    <t>PurchRateCurrSprd</t>
  </si>
  <si>
    <t>surr_chg</t>
  </si>
  <si>
    <t>FIACred</t>
  </si>
  <si>
    <t>GMWB</t>
  </si>
  <si>
    <t>FIAGmwb_aig</t>
  </si>
  <si>
    <t>gmwb_credit_mult_aig</t>
  </si>
  <si>
    <t>gmwb_net_credit_aig</t>
  </si>
  <si>
    <t>gmwb_rollup_rate_type_aig</t>
  </si>
  <si>
    <t>gmwb_income_prem_base_reduction_method_aig</t>
  </si>
  <si>
    <t>gmwb_income_fund_val_base_reduction_method_aig</t>
  </si>
  <si>
    <t>gmwb_income_rollup_cap_base_reduction_method_aig</t>
  </si>
  <si>
    <t>crediting_rate_min</t>
  </si>
  <si>
    <t>MRMGAYield</t>
  </si>
  <si>
    <t>crediting_nb_rate_id_aig</t>
  </si>
  <si>
    <t>Company Yield Plus Matrix Spread</t>
  </si>
  <si>
    <t>Benefits : GMWB AIG</t>
  </si>
  <si>
    <t>Exclude From Base</t>
  </si>
  <si>
    <t>gmwb_prem_credit_pct_defn_aig</t>
  </si>
  <si>
    <t>Include In Base</t>
  </si>
  <si>
    <t>BASE_DEV</t>
  </si>
  <si>
    <t>LIPM_DEV</t>
  </si>
  <si>
    <t>LIP_DEV</t>
  </si>
  <si>
    <t>ANNGEN_DEV</t>
  </si>
  <si>
    <t>surr_chg_period_aig</t>
  </si>
  <si>
    <t>gmwb_max_annual_wdl_utilization_pct_aig</t>
  </si>
  <si>
    <t>EF</t>
  </si>
  <si>
    <t>RS</t>
  </si>
  <si>
    <t>gmwb_dth_ben_payout_freq_aig</t>
  </si>
  <si>
    <t>Dynamic Switching Off</t>
  </si>
  <si>
    <t>crediting_type_ult_aig</t>
  </si>
  <si>
    <t>STRATEGY_GAINS_TO_DATE</t>
  </si>
  <si>
    <t>2019Unlocking</t>
  </si>
  <si>
    <t>Lapse : Dynamic ArcTan 2019</t>
  </si>
  <si>
    <t>lapse_dyn_arctan_2019_param_01_aig</t>
  </si>
  <si>
    <t>lapse_dyn_arctan_2019_param_02_aig</t>
  </si>
  <si>
    <t>lapse_dyn_arctan_2019_income_phase_mult_aig</t>
  </si>
  <si>
    <t>NO_INCOME</t>
  </si>
  <si>
    <t>PRE_INCOME</t>
  </si>
  <si>
    <t>GMWB_INCOME</t>
  </si>
  <si>
    <t>GMWB_CLAIM</t>
  </si>
  <si>
    <t>SNFL2019Q3_1.00%</t>
  </si>
  <si>
    <t>lapse_dyn_arctan_2019_aft_mib_rollup_shock_mult_aig</t>
  </si>
  <si>
    <t>lapse_dyn_arctan_2019_mib_rollup_shock_mult_aig</t>
  </si>
  <si>
    <t>Linear</t>
  </si>
  <si>
    <t>lapse_dyn_mult_floor_aig</t>
  </si>
  <si>
    <t>Alt Model</t>
  </si>
  <si>
    <t>AIG2012IAM_2019</t>
  </si>
  <si>
    <t>Non Advisory_AnnGen</t>
  </si>
  <si>
    <t>Maximum</t>
  </si>
  <si>
    <t>gmwb_dth_ben_dynamic_utilization_aig</t>
  </si>
  <si>
    <t>Crediting Type Dynamic Switching</t>
  </si>
  <si>
    <t>crediting_type_dyn_defn_aig</t>
  </si>
  <si>
    <t>crediting_type_dyn_pmt_threshold_aig</t>
  </si>
  <si>
    <t>crediting_type_dyn_tgt_aig</t>
  </si>
  <si>
    <t>crediting_type_dyn_aig</t>
  </si>
  <si>
    <t>AB</t>
  </si>
  <si>
    <t>X5_Util</t>
  </si>
  <si>
    <t>X5_NonUtil</t>
  </si>
  <si>
    <t>PG</t>
  </si>
  <si>
    <t>SR</t>
  </si>
  <si>
    <t>LM</t>
  </si>
  <si>
    <t>AQ</t>
  </si>
  <si>
    <t>Renewal_2020</t>
  </si>
  <si>
    <t>Renewal 2020</t>
  </si>
  <si>
    <t>mva_period_aig</t>
  </si>
  <si>
    <t>Option Budget : Renewal 2020</t>
  </si>
  <si>
    <t>renewal_2020_beta_up_aig</t>
  </si>
  <si>
    <t>renewal_2020_beta_down_aig</t>
  </si>
  <si>
    <t>renewal_2020_glb_beta_up_adj_aig</t>
  </si>
  <si>
    <t>renewal_2020_glb_beta_down_adj_aig</t>
  </si>
  <si>
    <t>Enhanced Income Rider Use</t>
  </si>
  <si>
    <t>enhanced_income_benefit_utilization_pct_aig</t>
  </si>
  <si>
    <t>Benefits : Enhanced Income</t>
  </si>
  <si>
    <t>enhanced_income_wait_period_aig</t>
  </si>
  <si>
    <t>enhanced_income_max_cumul_benefit_yrs_aig</t>
  </si>
  <si>
    <t>NYGLB</t>
  </si>
  <si>
    <t>Benefits : GMWB FLEX</t>
  </si>
  <si>
    <t>Initial Account Value</t>
  </si>
  <si>
    <t>fund_val_defn_aig</t>
  </si>
  <si>
    <t>Index Account Value</t>
  </si>
  <si>
    <t>Minimum Accumulation Value (NYIA)</t>
  </si>
  <si>
    <t>min_accum_val_activation_period_yrs_ny_aig</t>
  </si>
  <si>
    <t>min_accum_val_annualized_growth_rate_ny_aig</t>
  </si>
  <si>
    <t>gmwb_income_base_defn</t>
  </si>
  <si>
    <t>Standard</t>
  </si>
  <si>
    <t>gmwb_wdl_pct_tbl_style_aig</t>
  </si>
  <si>
    <t>Age at First Withdrawal</t>
  </si>
  <si>
    <t>force_initial_cover_ownership_gender_same_aig</t>
  </si>
  <si>
    <t>Lapse : FLEX Adjustment</t>
  </si>
  <si>
    <t>gmwb_flex_base_lapse_multiplier_aig</t>
  </si>
  <si>
    <t>Benefits : GLB Interest Rate Indexing</t>
  </si>
  <si>
    <t>gmwb_withdrl_rate_indexing_defn_aig</t>
  </si>
  <si>
    <t>gmwb_withdrl_rate_indexing_assessment_defn_aig</t>
  </si>
  <si>
    <t>gmwb_withdrl_rate_indexing_assessment_chg_addn_aig</t>
  </si>
  <si>
    <t>gmwb_withdrl_rate_indexing_cap_rate_aig</t>
  </si>
  <si>
    <t>2%_8Yr_1.5%</t>
  </si>
  <si>
    <t>2%_11Yr_1.5%</t>
  </si>
  <si>
    <t>Mapping Cap</t>
  </si>
  <si>
    <t>2%_6Yr_1.5%</t>
  </si>
  <si>
    <t>3%_8Yr_1.5%</t>
  </si>
  <si>
    <t>LIPM_PRIM7</t>
  </si>
  <si>
    <t>LIPM_WF7</t>
  </si>
  <si>
    <t>NonLIPM</t>
  </si>
  <si>
    <t>3%_11Yr_2%</t>
  </si>
  <si>
    <t>2%_6Yr_1%</t>
  </si>
  <si>
    <t>10%_8Yr_5%</t>
  </si>
  <si>
    <t>2%_8Yr_1%</t>
  </si>
  <si>
    <t>3%_8Yr_2%</t>
  </si>
  <si>
    <t>10%_5Yr_5%</t>
  </si>
  <si>
    <t>10%_6Yr_5%</t>
  </si>
  <si>
    <t>3%_8Yr_1%</t>
  </si>
  <si>
    <t>CDSC_period</t>
  </si>
  <si>
    <t>3%_5Yr_2%</t>
  </si>
  <si>
    <t>1.5%_AllYr</t>
  </si>
  <si>
    <t>carvm_cont_defn</t>
  </si>
  <si>
    <t>carvm_gmwb_flex_defn_aig</t>
  </si>
  <si>
    <t>product_feature_set_aig</t>
  </si>
  <si>
    <t>strategy_term_duration_aig</t>
  </si>
  <si>
    <t>not used</t>
  </si>
  <si>
    <t>Dynamic Switching On</t>
  </si>
  <si>
    <t>Withdrawal Method</t>
  </si>
  <si>
    <t>gmwb_mawp_pipp_split_aig</t>
  </si>
  <si>
    <t>gmwb_pipp_stepup_age_aig</t>
  </si>
  <si>
    <t>gmwb_option</t>
  </si>
  <si>
    <t>B</t>
  </si>
  <si>
    <t>L</t>
  </si>
  <si>
    <t>S</t>
  </si>
  <si>
    <t>gmwb_wdl_utilization_tgt_level_aig</t>
  </si>
  <si>
    <t>Above MAWA</t>
  </si>
  <si>
    <t>MAWA</t>
  </si>
  <si>
    <t>Below MAWA</t>
  </si>
  <si>
    <t>gmwb_wdl_utilization_level_aig</t>
  </si>
  <si>
    <t>gmwb_wdl_utilization_init_level_aig</t>
  </si>
  <si>
    <t>Benefits: GMWB Random Utilization</t>
  </si>
  <si>
    <t>gmwb_wdl_utilization_transition_matrix_threshold_aig</t>
  </si>
  <si>
    <t>grop_ind_aig</t>
  </si>
  <si>
    <t>Low</t>
  </si>
  <si>
    <t>High</t>
  </si>
  <si>
    <t>gmwb_dth_ben_cap_ind_aig</t>
  </si>
  <si>
    <t>gmwb_dth_ben_calc_method_aig</t>
  </si>
  <si>
    <t>Original</t>
  </si>
  <si>
    <t>gmwb_modified_dth_ben_date_aig</t>
  </si>
  <si>
    <t>X5 Daily Benefit Base</t>
  </si>
  <si>
    <t>gmwb_chg_freq_aig</t>
  </si>
  <si>
    <t>Annually</t>
  </si>
  <si>
    <t>broker_category_aig</t>
  </si>
  <si>
    <t>ANN</t>
  </si>
  <si>
    <t>Other</t>
  </si>
  <si>
    <t>carvm_gmwb_flex_mawp_adj_method_aig</t>
  </si>
  <si>
    <t>Annual Life Annuity Factors</t>
  </si>
  <si>
    <t>X52021_10bps</t>
  </si>
  <si>
    <t>State Variation Method</t>
  </si>
  <si>
    <t>dth_ben_cap_aig</t>
  </si>
  <si>
    <t>No Cap</t>
  </si>
  <si>
    <t>state_var_dth_bene_cap_aig</t>
  </si>
  <si>
    <t>Not Allow Deduct</t>
  </si>
  <si>
    <t>state_var_rider_fee_chg_aig</t>
  </si>
  <si>
    <t>PM2021_new</t>
  </si>
  <si>
    <t>AQ2021_new</t>
  </si>
  <si>
    <t>LM2021_new</t>
  </si>
  <si>
    <t>AB2021_new</t>
  </si>
  <si>
    <t>ML2021_new</t>
  </si>
  <si>
    <t>gmwb_x5_acc_irdb_wait_mth_aig</t>
  </si>
  <si>
    <t>Benefits : Withdrawal</t>
  </si>
  <si>
    <t>OTHER</t>
  </si>
  <si>
    <t>Dev_Set_AIG</t>
  </si>
  <si>
    <t>LIP_MSG_DEV</t>
  </si>
  <si>
    <t>LIPM_MSG_DEV</t>
  </si>
  <si>
    <t>X5_ACCEL_DEV</t>
  </si>
  <si>
    <t>Gen2</t>
  </si>
  <si>
    <t>Pre Shock = 0</t>
  </si>
  <si>
    <t>Uncompetitive = 0</t>
  </si>
  <si>
    <t>Out of the Money = 0</t>
  </si>
  <si>
    <t>Shock = 1</t>
  </si>
  <si>
    <t>Competitive = 1</t>
  </si>
  <si>
    <t>In The Money = 1</t>
  </si>
  <si>
    <t>Post Shock = 2</t>
  </si>
  <si>
    <t>gmwb_income_base_cap_defn_aig</t>
  </si>
  <si>
    <t>dth_ben_partial_interest_credited_defn_aig</t>
  </si>
  <si>
    <t>ann_benefits_partial_interest_credited_defn_aig</t>
  </si>
  <si>
    <t>gmwb_chg_at_surr_timing_defn_aig</t>
  </si>
  <si>
    <t>After Surrender Charge</t>
  </si>
  <si>
    <t>crediting_rate_partial_sprd_defn_aig</t>
  </si>
  <si>
    <t>Discrete Annual</t>
  </si>
  <si>
    <t>AG</t>
  </si>
  <si>
    <t>PB</t>
  </si>
  <si>
    <t>0.15%_AllYr</t>
  </si>
  <si>
    <t>Pre Shock</t>
  </si>
  <si>
    <t>Uncompetitive</t>
  </si>
  <si>
    <t>Competitive</t>
  </si>
  <si>
    <t>Shock</t>
  </si>
  <si>
    <t>Post Shock</t>
  </si>
  <si>
    <t>Out Of The Money</t>
  </si>
  <si>
    <t>In The Money</t>
  </si>
  <si>
    <t>renewal_2020_mig_st_yr_idx1_aig</t>
  </si>
  <si>
    <t>opt_bgt_gr_sc_yrs_offset_idx1_aig</t>
  </si>
  <si>
    <t>renewal_2020_beta_up_idx1_aig</t>
  </si>
  <si>
    <t>renewal_2020_beta_down_idx1_aig</t>
  </si>
  <si>
    <t>renewal_2020_glb_beta_up_adj_idx1_aig</t>
  </si>
  <si>
    <t>renewal_2020_glb_beta_down_adj_idx1_aig</t>
  </si>
  <si>
    <t>crediting_pri_sprd_tgt_idx1_aig</t>
  </si>
  <si>
    <t>crediting_rate_guar_mths_idx1_aig</t>
  </si>
  <si>
    <t>No Reduction</t>
  </si>
  <si>
    <t>Percent Income Base</t>
  </si>
  <si>
    <t>Excess Withdrawal Percent Income Base</t>
  </si>
  <si>
    <t>Benefits : Annuitization</t>
  </si>
  <si>
    <t>ann_benefits_min_wdl_val_defn_aig</t>
  </si>
  <si>
    <t>renewal_2020_mig_st_yr_aig</t>
  </si>
  <si>
    <t>opt_bgt_gr_sc_yrs_offset_aig</t>
  </si>
  <si>
    <t>SNFL_maturity_age_aig</t>
  </si>
  <si>
    <t>SNFL_add_age_aig</t>
  </si>
  <si>
    <t>SNFL_add_interest_rate_aig</t>
  </si>
  <si>
    <t>CA_MVA_CV_Floor_aig</t>
  </si>
  <si>
    <t>infl_deduction_aig</t>
  </si>
  <si>
    <t>infl_treasury_yr_aig</t>
  </si>
  <si>
    <t>infl_mult_aig</t>
  </si>
  <si>
    <t>2.1%_AllYr</t>
  </si>
  <si>
    <t>ZeroCost</t>
  </si>
  <si>
    <t>crediting_type_aig</t>
  </si>
  <si>
    <t>SP5CaP</t>
  </si>
  <si>
    <t>gwl_acq_exp_allow_level_aig</t>
  </si>
  <si>
    <t>gwl_maint_exp_allow_level_aig</t>
  </si>
  <si>
    <t>gwl_exp_allow_levels_aig</t>
  </si>
  <si>
    <t>eprs_cost_level_aig</t>
  </si>
  <si>
    <t>eprs_cost_aig</t>
  </si>
  <si>
    <t>eprs_hedge_min_par_aig</t>
  </si>
  <si>
    <t>eprs_index_term_part_rate_max_aig</t>
  </si>
  <si>
    <t>eprs_add_part_rate_min_aig</t>
  </si>
  <si>
    <t>Reinsurer</t>
  </si>
  <si>
    <t>GSIA_reins_defn_aig</t>
  </si>
  <si>
    <t>Participation Enhancement Tiers</t>
  </si>
  <si>
    <t>part_enhancement_method_aig</t>
  </si>
  <si>
    <t>Not Enhanced</t>
  </si>
  <si>
    <t>eprs_rounding_multiple_aig</t>
  </si>
  <si>
    <t>Income Base MAV</t>
  </si>
  <si>
    <t>gmwb_base_mav_aig</t>
  </si>
  <si>
    <t>eprs_add_par_rate_threshold_aig</t>
  </si>
  <si>
    <t>Lapse: GMAB</t>
  </si>
  <si>
    <t>sfc_atan_alpha_aig</t>
  </si>
  <si>
    <t>sfc_atan_beta_aig</t>
  </si>
  <si>
    <t>sfc_atan_gamma_aig</t>
  </si>
  <si>
    <t>sfc_atan_mult_floor_aig</t>
  </si>
  <si>
    <t>xol_quota_share_aig</t>
  </si>
  <si>
    <t>xol_chg_pct_aig</t>
  </si>
  <si>
    <t>xol_chg_freq_aig</t>
  </si>
  <si>
    <t>Quarterly</t>
  </si>
  <si>
    <t>xol_nb_initial_factor_aig</t>
  </si>
  <si>
    <t>xol_discount_rate_aig</t>
  </si>
  <si>
    <t>xol_deal_end_date_aig</t>
  </si>
  <si>
    <t>cal_yr</t>
  </si>
  <si>
    <t>cal_quater_aig</t>
  </si>
  <si>
    <t>RILA_1</t>
  </si>
  <si>
    <t>RILA_2</t>
  </si>
  <si>
    <t>part_down_amt</t>
  </si>
  <si>
    <t>RILA_toggle</t>
  </si>
  <si>
    <t>Participation Amount (RILA)</t>
  </si>
  <si>
    <t>RILA_pfwd</t>
  </si>
  <si>
    <t>RILA_Base_Lapse</t>
  </si>
  <si>
    <t>RILA_mort</t>
  </si>
  <si>
    <t>Benefits : ROP</t>
  </si>
  <si>
    <t>dth_ben_rop_chg_mult</t>
  </si>
  <si>
    <t>dth_ben_rop_chg_freq</t>
  </si>
  <si>
    <t>2021Plan_newX5SC_RILA</t>
  </si>
  <si>
    <t>R:\VA_Models\Monthly Production Work\TTV\05.08.2023\Projects\Variable Annuity\ProjectData\2013YearEnd\Assumptions</t>
  </si>
  <si>
    <t>RILA Assumption use AOA Base: R:\VA_Models\Monthly Production Work\TTV\05.08.2023\Projects\Variable Annuity\ProjectData\2013YearEnd\Assumptions</t>
  </si>
  <si>
    <t>Floor for GLB Lapse Mult. Should not matter for RILA base but updated</t>
  </si>
  <si>
    <t>SNFL2023Q1_2.80%</t>
  </si>
  <si>
    <t>P:\Pricing\VA\R&amp;D\2022\19 202209 RILA\6_Assumptions\AOA_Assumption_Review_Summary_for WTW_ED.xlsx</t>
  </si>
  <si>
    <t>Updated according to P:\Pricing\IA\R&amp;D\2022\GuardianNY\Guardian Model Use Doc_final.docx'</t>
  </si>
  <si>
    <t>USVol</t>
  </si>
  <si>
    <t>crediting_eqt_vol_misc_rate_aig</t>
  </si>
  <si>
    <t>SP_Vol</t>
  </si>
  <si>
    <t>To Turn off MWV as this is not yet finalized.</t>
  </si>
  <si>
    <t>Added for lower issue age. Used only for GMWB but RILA is base only so no impact</t>
  </si>
  <si>
    <t xml:space="preserve">If RILA is only for CDSC period = 6, should I delete rows for all other SC periods to further clean the files. </t>
  </si>
  <si>
    <t>20230822</t>
  </si>
  <si>
    <t>Plan2023_RN_RILA</t>
  </si>
  <si>
    <t xml:space="preserve">Updated using Eitan's email. </t>
  </si>
  <si>
    <t xml:space="preserve">I don't think this set is needed and is redundant. Can use ZeroCost set instead. </t>
  </si>
  <si>
    <t xml:space="preserve">RILA is base only. Should we delete gmwb_ind = 1 &amp; 2 rows. </t>
  </si>
  <si>
    <t>Plan2023_RILA</t>
  </si>
  <si>
    <t>PI5P</t>
  </si>
  <si>
    <t>P5P</t>
  </si>
  <si>
    <t>Max Fund Value and MWV</t>
  </si>
  <si>
    <t>Monthly Life Annuity Factors</t>
  </si>
  <si>
    <t>Specified Allocation</t>
  </si>
  <si>
    <t>ALB2012IAM</t>
  </si>
  <si>
    <t>2019base_5YrUpfront</t>
  </si>
  <si>
    <t>SP1BCp</t>
  </si>
  <si>
    <t>SP1FCp</t>
  </si>
  <si>
    <t>SP1BPr</t>
  </si>
  <si>
    <t>SP1PPr</t>
  </si>
  <si>
    <t>SP6BCp</t>
  </si>
  <si>
    <t>SP6FCp</t>
  </si>
  <si>
    <t>SP6BPr</t>
  </si>
  <si>
    <t>SP6PPr</t>
  </si>
  <si>
    <t>feature202308_RILA</t>
  </si>
  <si>
    <t>5%_AllYr</t>
  </si>
  <si>
    <t>SNFL2023Q3_2.35%</t>
  </si>
  <si>
    <t>SNFL2023Q4_3.00%</t>
  </si>
  <si>
    <t>Dynamic Rate</t>
  </si>
  <si>
    <t>Option Budget</t>
  </si>
  <si>
    <t xml:space="preserve">In Yellow, may need to be updated. </t>
  </si>
  <si>
    <t>PI5P_202301_2.80_1.31Age81</t>
  </si>
  <si>
    <t>P5P_202301_4.96_2.80Age81</t>
  </si>
  <si>
    <t>PI5P_202301_25_Age81_25yr2</t>
  </si>
  <si>
    <t>P5P_202301_2_age81_15yr2</t>
  </si>
  <si>
    <t>non_gmwb_qualified_pct_aig</t>
  </si>
  <si>
    <t>addl_sc_shock_pfwd_use_aig</t>
  </si>
  <si>
    <t>non_gmwb_qualified_cal_fct1_aig</t>
  </si>
  <si>
    <t>non_gmwb_qualified_cal_fct2_aig</t>
  </si>
  <si>
    <t>RMD_attained_age_aig</t>
  </si>
  <si>
    <t>SP1B10Cp</t>
  </si>
  <si>
    <t>SP1B20Cp</t>
  </si>
  <si>
    <t>10%BufferCap</t>
  </si>
  <si>
    <t>20%BufferCap</t>
  </si>
  <si>
    <t>SP1F10Cp</t>
  </si>
  <si>
    <t>SP1B10Pr</t>
  </si>
  <si>
    <t>10%FloorCap</t>
  </si>
  <si>
    <t>10%BufferParUp</t>
  </si>
  <si>
    <t>SP1P50Pr</t>
  </si>
  <si>
    <t>50%ParDownParUp</t>
  </si>
  <si>
    <t>SP6B10Cp</t>
  </si>
  <si>
    <t>SP6B20Cp</t>
  </si>
  <si>
    <t>SP610FCp</t>
  </si>
  <si>
    <t>20%BufferParUp</t>
  </si>
  <si>
    <t>SP6B10Pr</t>
  </si>
  <si>
    <t>SP6P50Pr</t>
  </si>
  <si>
    <t>SP6B20Pr</t>
  </si>
  <si>
    <t>mva_has_cap_floor_aig</t>
  </si>
  <si>
    <t>crediting_eqt_index_VM21</t>
  </si>
  <si>
    <t>max_sc_rate_decrease_aig</t>
  </si>
  <si>
    <t>Dynamic Trigger</t>
  </si>
  <si>
    <t>Dynamic DualDir Cap</t>
  </si>
  <si>
    <t>SP1B10Tri</t>
  </si>
  <si>
    <t>SP1B10DDCp</t>
  </si>
  <si>
    <t>SP6B10DDCp</t>
  </si>
  <si>
    <t>10%BufferTrigger</t>
  </si>
  <si>
    <t>10%BufferDualDirectionCap</t>
  </si>
  <si>
    <t>10%BufferPar</t>
  </si>
  <si>
    <t>crediting_type_dyn_2nd_strat_aig</t>
  </si>
  <si>
    <t>trigger_strat_min_index_chg_aig</t>
  </si>
  <si>
    <t>ND1B10Cp</t>
  </si>
  <si>
    <t>ND</t>
  </si>
  <si>
    <t>ND_Vol</t>
  </si>
  <si>
    <t>ND1BCp</t>
  </si>
  <si>
    <t>Plan2023_RW_RILA</t>
  </si>
  <si>
    <t>AGGR</t>
  </si>
  <si>
    <t>10%BufferSecureCap</t>
  </si>
  <si>
    <t>Dynamic Secure Cap</t>
  </si>
  <si>
    <t>SP6B10ScCp</t>
  </si>
  <si>
    <t>50%DailyKnockout</t>
  </si>
  <si>
    <t>SP6K50DKO</t>
  </si>
  <si>
    <t>Dynamic Buffer</t>
  </si>
  <si>
    <t>knockout_realloc_yr_aig</t>
  </si>
  <si>
    <t>knockout_threshold_aig</t>
  </si>
  <si>
    <t>pba_infl_slope_aig</t>
  </si>
  <si>
    <t>pba_infl_intercept_aig</t>
  </si>
  <si>
    <t>pba_trail_comm_mult_aig</t>
  </si>
  <si>
    <t>pba_maint_exp_mult_aig</t>
  </si>
  <si>
    <t>pba_pfwd_pct_mult_aig</t>
  </si>
  <si>
    <t xml:space="preserve">Base Lapse: PBA multiple </t>
  </si>
  <si>
    <t>pba_base_lapse_mult_aig</t>
  </si>
  <si>
    <t>pba_mort_mult_no_gmwb_aig</t>
  </si>
  <si>
    <t>NoDyn</t>
  </si>
  <si>
    <t>2024Plan_RILA</t>
  </si>
  <si>
    <t>SP3K30DKO</t>
  </si>
  <si>
    <t>30%DailyKnockout</t>
  </si>
  <si>
    <t>SP3K40DKO</t>
  </si>
  <si>
    <t>SP3K50DKO</t>
  </si>
  <si>
    <t>40%DailyKnockout</t>
  </si>
  <si>
    <t>75%DailyKnockout</t>
  </si>
  <si>
    <t>100%DailyKnockout</t>
  </si>
  <si>
    <t>10%BufferDualDirect</t>
  </si>
  <si>
    <t>ND1B10Tri</t>
  </si>
  <si>
    <t>ND1B10DDCp</t>
  </si>
  <si>
    <t>dth_ben_rop_ind_aig</t>
  </si>
  <si>
    <t>SP6K75DKO</t>
  </si>
  <si>
    <t>SP6K100DKO</t>
  </si>
  <si>
    <t>gmdb_lapse_mult_floor_aig</t>
  </si>
  <si>
    <t>gmdb_lapse_mult_slope_aig</t>
  </si>
  <si>
    <t>RILA_ROP_Lapse</t>
  </si>
  <si>
    <t>20231229_RILA</t>
  </si>
  <si>
    <t>ROP</t>
  </si>
  <si>
    <t>SP6B20DDCp</t>
  </si>
  <si>
    <t>20%BufferDualDirectionCap</t>
  </si>
  <si>
    <t>2024Plan_RILA_NoDynLapse_106%Mort</t>
  </si>
  <si>
    <t>RILA_mort_106%</t>
  </si>
  <si>
    <t>2024Plan_RILA_NoDynLapse_115%Lapse</t>
  </si>
  <si>
    <t>RILA_Lapse_115%</t>
  </si>
  <si>
    <t>2024Plan_RILA_NoDynLapse_ROPOffUnderROPOnAssump</t>
  </si>
  <si>
    <t>2024Plan_RILA_NoDynLapse</t>
  </si>
  <si>
    <t>RILA_4.33_2.45age81</t>
  </si>
  <si>
    <t>RILA_41_age81_32yr2</t>
  </si>
  <si>
    <t>2024Plan_RILA_80%BaseLps</t>
  </si>
  <si>
    <t>RILA_Base_Lapse_80%</t>
  </si>
  <si>
    <t>RILA_ROP_Lapse_80%</t>
  </si>
  <si>
    <t>2024Plan_RILA_Ultx2Lps</t>
  </si>
  <si>
    <t>RILA_Base_Lapse_Ultx2</t>
  </si>
  <si>
    <t>RILA_ROP_Lapse_Ultx2</t>
  </si>
  <si>
    <t>2024Plan_RILA_ShkLps-15%</t>
  </si>
  <si>
    <t>RILA_Base_Lapse_Shock-15%</t>
  </si>
  <si>
    <t>RILA_ROP_Lapse_Shock-15</t>
  </si>
  <si>
    <t>2024Plan_RILA_ShkLps+15%</t>
  </si>
  <si>
    <t>RILA_Base_Lapse_Shock+15%</t>
  </si>
  <si>
    <t>RILA_ROP_Lapse_Shock+15</t>
  </si>
  <si>
    <t>2024Plan_RILA_2xCDSCLps</t>
  </si>
  <si>
    <t>RILA_Base_Lapse_2xCDSC</t>
  </si>
  <si>
    <t>RILA_ROP_Lapse_2xCDSC</t>
  </si>
  <si>
    <t>2024Plan_RILA_NoCDSCLps</t>
  </si>
  <si>
    <t>RILA_Base_Lapse_NoCDSC</t>
  </si>
  <si>
    <t>RILA_ROP_Lapse_NoCDSC</t>
  </si>
  <si>
    <t>2024Plan_RILA_120%BaseLps</t>
  </si>
  <si>
    <t>RILA_Base_Lapse_120%</t>
  </si>
  <si>
    <t>RILA_ROP_Lapse_120%</t>
  </si>
  <si>
    <t>2024Plan_RILA_250%ICLps</t>
  </si>
  <si>
    <t>NoGLB_Plan2019_250%ICLps</t>
  </si>
  <si>
    <t>ROP_250%ICLps</t>
  </si>
  <si>
    <t>2024Plan_RILA_175%ICLps</t>
  </si>
  <si>
    <t>NoGLB_Plan2019_175%ICLps</t>
  </si>
  <si>
    <t>ROP_175%ICLps</t>
  </si>
  <si>
    <t>2024Plan_RILA_RSD3.4DynLps</t>
  </si>
  <si>
    <t>ROP_RSD3.4DynLps</t>
  </si>
  <si>
    <t>NoGLB_Plan2019_RSD3.4DynLps</t>
  </si>
  <si>
    <t>Plan2023_v2_RN_RILA</t>
  </si>
  <si>
    <t>Plan2023_v2_RW_RILA</t>
  </si>
  <si>
    <t>Updated using Casey's email on 7/10</t>
  </si>
  <si>
    <t>2024Plan_RILA_100%ShockLapse</t>
  </si>
  <si>
    <t>NoDyn_100%ShockLapse</t>
  </si>
  <si>
    <t>RILA_Base_Lapse_100%ShockLapse</t>
  </si>
  <si>
    <t>RILA_ROP_Lapse_100%ShockLapse</t>
  </si>
  <si>
    <t>2024Plan_RILA_NoLapse</t>
  </si>
  <si>
    <t>No Lapse</t>
  </si>
  <si>
    <t>2024Plan_RILA_DynLpsDurCDSC</t>
  </si>
  <si>
    <t>NoGLB_Plan2019_DynLpsDurCDSC</t>
  </si>
  <si>
    <t>ROP_DynLpsDurCDSC</t>
  </si>
  <si>
    <t>lapse_dyn_nmr_swap_sprd_aig</t>
  </si>
  <si>
    <t>max_annual_rate_chg_up_aig</t>
  </si>
  <si>
    <t>max_annual_rate_chg_down_aig</t>
  </si>
  <si>
    <t>perf_lock_suff_val_rt_aig</t>
  </si>
  <si>
    <t>perf_lock_max_val_rt_aig</t>
  </si>
  <si>
    <t>perf_lock_gamma_param_alpha_aig</t>
  </si>
  <si>
    <t>perf_lock_gamma_param_beta_aig</t>
  </si>
  <si>
    <t>perf_lock_auto_lock_election_rt_aig</t>
  </si>
  <si>
    <t>perf_lock_non_util_rt_one_yr_aig</t>
  </si>
  <si>
    <t>perf_lock_non_util_rt_multi_yr_aig</t>
  </si>
  <si>
    <t>SP6B10PC</t>
  </si>
  <si>
    <t>10%BufferParCap</t>
  </si>
  <si>
    <t>SP1B10PC</t>
  </si>
  <si>
    <t>post_cdsc_yr</t>
  </si>
  <si>
    <t>Qualified_split</t>
  </si>
  <si>
    <t>Non_Qualified</t>
  </si>
  <si>
    <t>Qualified</t>
  </si>
  <si>
    <t>Dynamic DualDir Tri</t>
  </si>
  <si>
    <t>20%BufferTrigDDCap</t>
  </si>
  <si>
    <t>SP6B20DDTriCap</t>
  </si>
  <si>
    <t>10%EnhParCap</t>
  </si>
  <si>
    <t>SP6B10EPC</t>
  </si>
  <si>
    <t>Dynamic Cap with Par</t>
  </si>
  <si>
    <t>20%EnhParCap</t>
  </si>
  <si>
    <t>SP6B20EPC</t>
  </si>
  <si>
    <t>Dynamic Par with Cap</t>
  </si>
  <si>
    <t>lapse_skew_method_crbg</t>
  </si>
  <si>
    <t>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</si>
</sst>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0">
    <numFmt numFmtId="6" formatCode="&quot;$&quot;#,##0_);[Red]\(&quot;$&quot;#,##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000%"/>
    <numFmt numFmtId="165" formatCode="0.00000"/>
    <numFmt numFmtId="166" formatCode="0.000000"/>
    <numFmt numFmtId="167" formatCode="#,##0.000000"/>
    <numFmt numFmtId="168" formatCode="0.0000"/>
    <numFmt numFmtId="169" formatCode="0.0%"/>
    <numFmt numFmtId="170" formatCode="0.0000000000"/>
    <numFmt numFmtId="171" formatCode="#,##0.0000000000"/>
    <numFmt numFmtId="172" formatCode="_(* #,##0.000_);_(* \(#,##0.000\);_(* &quot;-&quot;??_);_(@_)"/>
    <numFmt numFmtId="173" formatCode="_(* #,##0.00000000_);_(* \(#,##0.00000000\);_(* &quot;-&quot;??_);_(@_)"/>
    <numFmt numFmtId="174" formatCode="#,##0.0000"/>
    <numFmt numFmtId="175" formatCode="0.0"/>
    <numFmt numFmtId="176" formatCode="0.000"/>
    <numFmt numFmtId="177" formatCode="0.000%"/>
    <numFmt numFmtId="178" formatCode="0.0000000%"/>
  </numFmts>
  <fonts count="58"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sz val="8"/>
      <color indexed="64"/>
      <name val="Tahoma"/>
      <family val="2"/>
    </font>
    <font>
      <u/>
      <sz val="10"/>
      <color theme="10"/>
      <name val="Arial"/>
      <family val="2"/>
    </font>
    <font>
      <sz val="10"/>
      <name val="Arial"/>
      <family val="2"/>
    </font>
    <font>
      <b/>
      <sz val="18"/>
      <color theme="1"/>
      <name val="Arial"/>
      <family val="2"/>
    </font>
    <font>
      <b/>
      <sz val="12"/>
      <color theme="1"/>
      <name val="Arial"/>
      <family val="2"/>
    </font>
    <font>
      <b/>
      <sz val="10"/>
      <name val="Arial"/>
      <family val="2"/>
    </font>
    <font>
      <i/>
      <sz val="10"/>
      <color theme="1"/>
      <name val="Arial"/>
      <family val="2"/>
    </font>
    <font>
      <sz val="10"/>
      <color theme="0" tint="-0.14999847407452621"/>
      <name val="Arial"/>
      <family val="2"/>
    </font>
    <font>
      <u/>
      <sz val="10"/>
      <color theme="1"/>
      <name val="Arial"/>
      <family val="2"/>
    </font>
    <font>
      <sz val="10"/>
      <color theme="1"/>
      <name val="Arial"/>
      <family val="2"/>
    </font>
    <font>
      <sz val="10"/>
      <color rgb="FFFF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2"/>
      <color rgb="FFFF0000"/>
      <name val="Arial"/>
      <family val="2"/>
    </font>
    <font>
      <b/>
      <sz val="10"/>
      <color rgb="FFFF0000"/>
      <name val="Arial"/>
      <family val="2"/>
    </font>
    <font>
      <i/>
      <sz val="10"/>
      <color rgb="FFFF0000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Helv"/>
      <charset val="238"/>
    </font>
    <font>
      <sz val="10"/>
      <color indexed="8"/>
      <name val="MS Sans Serif"/>
      <family val="2"/>
    </font>
    <font>
      <sz val="10"/>
      <name val="Helv"/>
      <family val="2"/>
    </font>
    <font>
      <sz val="12"/>
      <name val="Times New Roman"/>
      <family val="1"/>
    </font>
    <font>
      <sz val="10"/>
      <name val="MS Sans Serif"/>
      <family val="2"/>
    </font>
    <font>
      <b/>
      <sz val="10"/>
      <color rgb="FF0000FF"/>
      <name val="Arial"/>
      <family val="2"/>
    </font>
    <font>
      <sz val="10"/>
      <color rgb="FF0000FF"/>
      <name val="Arial"/>
      <family val="2"/>
    </font>
    <font>
      <i/>
      <sz val="10"/>
      <name val="Arial"/>
      <family val="2"/>
    </font>
    <font>
      <i/>
      <sz val="10"/>
      <color rgb="FF0000FF"/>
      <name val="Arial"/>
      <family val="2"/>
    </font>
    <font>
      <sz val="10"/>
      <color theme="3"/>
      <name val="Arial"/>
      <family val="2"/>
    </font>
    <font>
      <sz val="10"/>
      <color rgb="FF002060"/>
      <name val="Arial"/>
      <family val="2"/>
    </font>
    <font>
      <strike/>
      <sz val="10"/>
      <color rgb="FFFF0000"/>
      <name val="Arial"/>
      <family val="2"/>
    </font>
    <font>
      <b/>
      <sz val="11"/>
      <name val="Calibri"/>
      <family val="2"/>
      <scheme val="minor"/>
    </font>
    <font>
      <sz val="10"/>
      <color rgb="FFFFC000"/>
      <name val="Arial"/>
      <family val="2"/>
    </font>
    <font>
      <sz val="11"/>
      <name val="Calibri"/>
      <family val="2"/>
      <scheme val="minor"/>
    </font>
    <font>
      <sz val="10"/>
      <color rgb="FF0070C0"/>
      <name val="Arial"/>
      <family val="2"/>
    </font>
    <font>
      <sz val="10"/>
      <color indexed="8"/>
      <name val="Arial"/>
      <family val="2"/>
    </font>
    <font>
      <sz val="8"/>
      <name val="Arial"/>
      <family val="2"/>
    </font>
    <font>
      <sz val="10"/>
      <color indexed="10"/>
      <name val="Arial"/>
      <family val="2"/>
    </font>
    <font>
      <b/>
      <sz val="10"/>
      <color indexed="8"/>
      <name val="Arial"/>
      <family val="2"/>
    </font>
    <font>
      <sz val="11"/>
      <color indexed="8"/>
      <name val="Calibri"/>
      <family val="2"/>
    </font>
  </fonts>
  <fills count="51">
    <fill>
      <patternFill patternType="none"/>
    </fill>
    <fill>
      <patternFill patternType="gray125"/>
    </fill>
    <fill>
      <patternFill patternType="gray0625">
        <fgColor indexed="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8E4BC"/>
        <bgColor indexed="64"/>
      </patternFill>
    </fill>
    <fill>
      <patternFill patternType="solid">
        <fgColor rgb="FFF16BE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theme="8" tint="0.79998168889431442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A6A6A6"/>
      </left>
      <right/>
      <top style="thin">
        <color rgb="FFA6A6A6"/>
      </top>
      <bottom/>
      <diagonal/>
    </border>
    <border>
      <left/>
      <right/>
      <top style="thin">
        <color rgb="FFA6A6A6"/>
      </top>
      <bottom/>
      <diagonal/>
    </border>
    <border>
      <left/>
      <right style="thin">
        <color rgb="FFA6A6A6"/>
      </right>
      <top style="thin">
        <color rgb="FFA6A6A6"/>
      </top>
      <bottom/>
      <diagonal/>
    </border>
    <border>
      <left style="thin">
        <color rgb="FFA6A6A6"/>
      </left>
      <right/>
      <top/>
      <bottom style="medium">
        <color indexed="64"/>
      </bottom>
      <diagonal/>
    </border>
    <border>
      <left/>
      <right style="thin">
        <color rgb="FFA6A6A6"/>
      </right>
      <top/>
      <bottom/>
      <diagonal/>
    </border>
    <border>
      <left style="thin">
        <color rgb="FFA6A6A6"/>
      </left>
      <right/>
      <top/>
      <bottom/>
      <diagonal/>
    </border>
    <border>
      <left style="thin">
        <color rgb="FFA6A6A6"/>
      </left>
      <right/>
      <top/>
      <bottom style="thin">
        <color rgb="FFA6A6A6"/>
      </bottom>
      <diagonal/>
    </border>
    <border>
      <left/>
      <right/>
      <top/>
      <bottom style="thin">
        <color rgb="FFA6A6A6"/>
      </bottom>
      <diagonal/>
    </border>
    <border>
      <left/>
      <right style="thin">
        <color rgb="FFA6A6A6"/>
      </right>
      <top/>
      <bottom style="thin">
        <color rgb="FFA6A6A6"/>
      </bottom>
      <diagonal/>
    </border>
    <border>
      <left/>
      <right style="thin">
        <color rgb="FFA6A6A6"/>
      </right>
      <top/>
      <bottom style="medium">
        <color indexed="64"/>
      </bottom>
      <diagonal/>
    </border>
    <border>
      <left style="thin">
        <color rgb="FFA6A6A6"/>
      </left>
      <right/>
      <top style="thin">
        <color rgb="FFA6A6A6"/>
      </top>
      <bottom style="thin">
        <color indexed="64"/>
      </bottom>
      <diagonal/>
    </border>
    <border>
      <left/>
      <right style="thin">
        <color rgb="FFA6A6A6"/>
      </right>
      <top style="thin">
        <color rgb="FFA6A6A6"/>
      </top>
      <bottom style="thin">
        <color indexed="64"/>
      </bottom>
      <diagonal/>
    </border>
    <border>
      <left style="thin">
        <color rgb="FFA7A7A7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rgb="FFA6A6A6"/>
      </right>
      <top/>
      <bottom style="thin">
        <color indexed="64"/>
      </bottom>
      <diagonal/>
    </border>
    <border>
      <left style="thin">
        <color rgb="FFA6A6A6"/>
      </left>
      <right style="thin">
        <color rgb="FFA6A6A6"/>
      </right>
      <top/>
      <bottom/>
      <diagonal/>
    </border>
    <border>
      <left/>
      <right style="thin">
        <color rgb="FFA7A7A7"/>
      </right>
      <top/>
      <bottom/>
      <diagonal/>
    </border>
    <border>
      <left style="thin">
        <color rgb="FFA6A6A6"/>
      </left>
      <right/>
      <top style="thin">
        <color indexed="64"/>
      </top>
      <bottom/>
      <diagonal/>
    </border>
    <border>
      <left/>
      <right/>
      <top/>
      <bottom style="thin">
        <color rgb="FFA7A7A7"/>
      </bottom>
      <diagonal/>
    </border>
    <border>
      <left style="thin">
        <color rgb="FFA6A6A6"/>
      </left>
      <right/>
      <top/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rgb="FFA7A7A7"/>
      </left>
      <right/>
      <top style="thin">
        <color rgb="FFA7A7A7"/>
      </top>
      <bottom/>
      <diagonal/>
    </border>
    <border>
      <left/>
      <right/>
      <top style="thin">
        <color rgb="FFA7A7A7"/>
      </top>
      <bottom/>
      <diagonal/>
    </border>
    <border>
      <left style="thin">
        <color rgb="FFA7A7A7"/>
      </left>
      <right/>
      <top/>
      <bottom style="thin">
        <color rgb="FFA7A7A7"/>
      </bottom>
      <diagonal/>
    </border>
    <border>
      <left/>
      <right/>
      <top style="medium">
        <color indexed="64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84">
    <xf numFmtId="0" fontId="0" fillId="0" borderId="0"/>
    <xf numFmtId="0" fontId="6" fillId="0" borderId="0" applyNumberFormat="0" applyFill="0" applyBorder="0" applyAlignment="0" applyProtection="0"/>
    <xf numFmtId="0" fontId="5" fillId="2" borderId="0">
      <alignment horizontal="left" vertical="top" wrapText="1"/>
    </xf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7" fillId="0" borderId="0"/>
    <xf numFmtId="0" fontId="7" fillId="0" borderId="0"/>
    <xf numFmtId="0" fontId="37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9" fillId="0" borderId="0"/>
    <xf numFmtId="0" fontId="38" fillId="0" borderId="0"/>
    <xf numFmtId="0" fontId="39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40" fillId="0" borderId="0"/>
    <xf numFmtId="0" fontId="38" fillId="0" borderId="0"/>
    <xf numFmtId="0" fontId="38" fillId="0" borderId="0"/>
    <xf numFmtId="1" fontId="41" fillId="0" borderId="0"/>
    <xf numFmtId="1" fontId="41" fillId="0" borderId="0"/>
    <xf numFmtId="1" fontId="41" fillId="0" borderId="0"/>
    <xf numFmtId="1" fontId="41" fillId="0" borderId="0"/>
    <xf numFmtId="1" fontId="41" fillId="0" borderId="0"/>
    <xf numFmtId="1" fontId="41" fillId="0" borderId="0"/>
    <xf numFmtId="1" fontId="41" fillId="0" borderId="0"/>
    <xf numFmtId="41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42" fontId="14" fillId="0" borderId="0" applyFon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24" applyNumberFormat="0" applyFill="0" applyAlignment="0" applyProtection="0"/>
    <xf numFmtId="0" fontId="23" fillId="0" borderId="25" applyNumberFormat="0" applyFill="0" applyAlignment="0" applyProtection="0"/>
    <xf numFmtId="0" fontId="24" fillId="0" borderId="26" applyNumberFormat="0" applyFill="0" applyAlignment="0" applyProtection="0"/>
    <xf numFmtId="0" fontId="24" fillId="0" borderId="0" applyNumberFormat="0" applyFill="0" applyBorder="0" applyAlignment="0" applyProtection="0"/>
    <xf numFmtId="0" fontId="25" fillId="6" borderId="0" applyNumberFormat="0" applyBorder="0" applyAlignment="0" applyProtection="0"/>
    <xf numFmtId="0" fontId="26" fillId="7" borderId="0" applyNumberFormat="0" applyBorder="0" applyAlignment="0" applyProtection="0"/>
    <xf numFmtId="0" fontId="27" fillId="8" borderId="0" applyNumberFormat="0" applyBorder="0" applyAlignment="0" applyProtection="0"/>
    <xf numFmtId="0" fontId="28" fillId="9" borderId="27" applyNumberFormat="0" applyAlignment="0" applyProtection="0"/>
    <xf numFmtId="0" fontId="29" fillId="10" borderId="28" applyNumberFormat="0" applyAlignment="0" applyProtection="0"/>
    <xf numFmtId="0" fontId="30" fillId="10" borderId="27" applyNumberFormat="0" applyAlignment="0" applyProtection="0"/>
    <xf numFmtId="0" fontId="31" fillId="0" borderId="29" applyNumberFormat="0" applyFill="0" applyAlignment="0" applyProtection="0"/>
    <xf numFmtId="0" fontId="32" fillId="11" borderId="30" applyNumberFormat="0" applyAlignment="0" applyProtection="0"/>
    <xf numFmtId="0" fontId="33" fillId="0" borderId="0" applyNumberFormat="0" applyFill="0" applyBorder="0" applyAlignment="0" applyProtection="0"/>
    <xf numFmtId="0" fontId="14" fillId="12" borderId="31" applyNumberFormat="0" applyFont="0" applyAlignment="0" applyProtection="0"/>
    <xf numFmtId="0" fontId="34" fillId="0" borderId="0" applyNumberFormat="0" applyFill="0" applyBorder="0" applyAlignment="0" applyProtection="0"/>
    <xf numFmtId="0" fontId="35" fillId="0" borderId="32" applyNumberFormat="0" applyFill="0" applyAlignment="0" applyProtection="0"/>
    <xf numFmtId="0" fontId="36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36" fillId="16" borderId="0" applyNumberFormat="0" applyBorder="0" applyAlignment="0" applyProtection="0"/>
    <xf numFmtId="0" fontId="36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36" fillId="20" borderId="0" applyNumberFormat="0" applyBorder="0" applyAlignment="0" applyProtection="0"/>
    <xf numFmtId="0" fontId="36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3" borderId="0" applyNumberFormat="0" applyBorder="0" applyAlignment="0" applyProtection="0"/>
    <xf numFmtId="0" fontId="36" fillId="24" borderId="0" applyNumberFormat="0" applyBorder="0" applyAlignment="0" applyProtection="0"/>
    <xf numFmtId="0" fontId="36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7" borderId="0" applyNumberFormat="0" applyBorder="0" applyAlignment="0" applyProtection="0"/>
    <xf numFmtId="0" fontId="36" fillId="28" borderId="0" applyNumberFormat="0" applyBorder="0" applyAlignment="0" applyProtection="0"/>
    <xf numFmtId="0" fontId="36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1" borderId="0" applyNumberFormat="0" applyBorder="0" applyAlignment="0" applyProtection="0"/>
    <xf numFmtId="0" fontId="36" fillId="32" borderId="0" applyNumberFormat="0" applyBorder="0" applyAlignment="0" applyProtection="0"/>
    <xf numFmtId="0" fontId="36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35" borderId="0" applyNumberFormat="0" applyBorder="0" applyAlignment="0" applyProtection="0"/>
    <xf numFmtId="0" fontId="36" fillId="36" borderId="0" applyNumberFormat="0" applyBorder="0" applyAlignment="0" applyProtection="0"/>
    <xf numFmtId="0" fontId="2" fillId="0" borderId="0"/>
    <xf numFmtId="9" fontId="2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</cellStyleXfs>
  <cellXfs count="658">
    <xf numFmtId="0" fontId="0" fillId="0" borderId="0" xfId="0"/>
    <xf numFmtId="0" fontId="7" fillId="4" borderId="0" xfId="0" applyFont="1" applyFill="1" applyAlignment="1">
      <alignment horizontal="left" vertical="top"/>
    </xf>
    <xf numFmtId="0" fontId="0" fillId="4" borderId="4" xfId="0" applyFill="1" applyBorder="1" applyAlignment="1">
      <alignment horizontal="left"/>
    </xf>
    <xf numFmtId="4" fontId="7" fillId="4" borderId="0" xfId="0" applyNumberFormat="1" applyFont="1" applyFill="1" applyAlignment="1">
      <alignment horizontal="right"/>
    </xf>
    <xf numFmtId="0" fontId="44" fillId="0" borderId="0" xfId="0" applyFont="1"/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top" wrapText="1"/>
    </xf>
    <xf numFmtId="0" fontId="0" fillId="0" borderId="1" xfId="0" applyBorder="1" applyAlignment="1">
      <alignment horizontal="left" vertical="top" wrapText="1"/>
    </xf>
    <xf numFmtId="0" fontId="0" fillId="0" borderId="1" xfId="0" applyBorder="1" applyAlignment="1">
      <alignment horizontal="center" vertical="top" wrapText="1"/>
    </xf>
    <xf numFmtId="0" fontId="0" fillId="0" borderId="0" xfId="0" applyBorder="1" applyAlignment="1">
      <alignment vertical="top"/>
    </xf>
    <xf numFmtId="0" fontId="8" fillId="0" borderId="0" xfId="0" applyFont="1" applyAlignment="1">
      <alignment horizontal="centerContinuous" vertical="center"/>
    </xf>
    <xf numFmtId="0" fontId="6" fillId="0" borderId="0" xfId="1"/>
    <xf numFmtId="0" fontId="8" fillId="0" borderId="0" xfId="0" applyFont="1" applyAlignment="1">
      <alignment vertical="center"/>
    </xf>
    <xf numFmtId="0" fontId="7" fillId="0" borderId="0" xfId="0" applyFont="1" applyBorder="1" applyAlignment="1">
      <alignment horizontal="right"/>
    </xf>
    <xf numFmtId="0" fontId="9" fillId="0" borderId="0" xfId="0" applyFont="1" applyBorder="1" applyAlignment="1">
      <alignment horizontal="left" vertical="top"/>
    </xf>
    <xf numFmtId="0" fontId="0" fillId="0" borderId="0" xfId="0" applyBorder="1" applyAlignment="1">
      <alignment horizontal="right"/>
    </xf>
    <xf numFmtId="0" fontId="0" fillId="0" borderId="0" xfId="0" applyBorder="1"/>
    <xf numFmtId="0" fontId="9" fillId="0" borderId="0" xfId="0" applyFont="1" applyBorder="1" applyAlignment="1">
      <alignment vertical="top"/>
    </xf>
    <xf numFmtId="0" fontId="11" fillId="0" borderId="0" xfId="0" applyFont="1"/>
    <xf numFmtId="0" fontId="0" fillId="0" borderId="8" xfId="0" applyFill="1" applyBorder="1"/>
    <xf numFmtId="0" fontId="4" fillId="0" borderId="8" xfId="0" applyFont="1" applyFill="1" applyBorder="1"/>
    <xf numFmtId="0" fontId="7" fillId="0" borderId="8" xfId="0" applyFont="1" applyBorder="1"/>
    <xf numFmtId="0" fontId="10" fillId="0" borderId="8" xfId="0" applyFont="1" applyBorder="1"/>
    <xf numFmtId="0" fontId="7" fillId="0" borderId="10" xfId="0" applyFont="1" applyBorder="1" applyAlignment="1">
      <alignment horizontal="right"/>
    </xf>
    <xf numFmtId="0" fontId="12" fillId="0" borderId="0" xfId="0" applyFont="1" applyBorder="1" applyAlignment="1">
      <alignment horizontal="right"/>
    </xf>
    <xf numFmtId="0" fontId="0" fillId="0" borderId="0" xfId="0" applyFill="1" applyBorder="1"/>
    <xf numFmtId="0" fontId="13" fillId="0" borderId="0" xfId="0" applyFont="1" applyBorder="1"/>
    <xf numFmtId="0" fontId="0" fillId="0" borderId="0" xfId="0" applyFill="1"/>
    <xf numFmtId="0" fontId="7" fillId="0" borderId="0" xfId="0" applyFont="1" applyBorder="1"/>
    <xf numFmtId="0" fontId="6" fillId="0" borderId="0" xfId="1" applyFill="1"/>
    <xf numFmtId="0" fontId="0" fillId="0" borderId="7" xfId="0" applyBorder="1"/>
    <xf numFmtId="0" fontId="7" fillId="0" borderId="0" xfId="0" applyFont="1" applyBorder="1" applyAlignment="1">
      <alignment horizontal="left"/>
    </xf>
    <xf numFmtId="0" fontId="0" fillId="0" borderId="0" xfId="0" applyBorder="1" applyAlignment="1">
      <alignment horizontal="left"/>
    </xf>
    <xf numFmtId="0" fontId="11" fillId="0" borderId="0" xfId="0" applyFont="1" applyFill="1"/>
    <xf numFmtId="0" fontId="0" fillId="0" borderId="0" xfId="0" applyAlignment="1">
      <alignment horizontal="right"/>
    </xf>
    <xf numFmtId="0" fontId="7" fillId="3" borderId="0" xfId="0" applyFont="1" applyFill="1" applyBorder="1" applyAlignment="1">
      <alignment horizontal="right"/>
    </xf>
    <xf numFmtId="0" fontId="7" fillId="0" borderId="0" xfId="0" applyFont="1" applyFill="1" applyBorder="1"/>
    <xf numFmtId="0" fontId="7" fillId="0" borderId="0" xfId="0" applyFont="1" applyFill="1" applyBorder="1" applyAlignment="1">
      <alignment horizontal="right"/>
    </xf>
    <xf numFmtId="0" fontId="0" fillId="0" borderId="0" xfId="0" applyFill="1" applyBorder="1" applyAlignment="1">
      <alignment horizontal="right"/>
    </xf>
    <xf numFmtId="0" fontId="0" fillId="0" borderId="0" xfId="0" applyAlignment="1">
      <alignment horizontal="right" vertical="top"/>
    </xf>
    <xf numFmtId="0" fontId="0" fillId="0" borderId="0" xfId="0" applyAlignment="1">
      <alignment vertical="top"/>
    </xf>
    <xf numFmtId="0" fontId="6" fillId="0" borderId="0" xfId="1" applyFont="1"/>
    <xf numFmtId="0" fontId="0" fillId="0" borderId="0" xfId="0" applyAlignment="1">
      <alignment horizontal="left"/>
    </xf>
    <xf numFmtId="0" fontId="6" fillId="0" borderId="0" xfId="1" applyFill="1" applyAlignment="1">
      <alignment horizontal="left"/>
    </xf>
    <xf numFmtId="166" fontId="7" fillId="0" borderId="0" xfId="0" applyNumberFormat="1" applyFont="1" applyBorder="1" applyAlignment="1">
      <alignment horizontal="left"/>
    </xf>
    <xf numFmtId="166" fontId="7" fillId="0" borderId="0" xfId="0" applyNumberFormat="1" applyFont="1" applyFill="1" applyBorder="1" applyAlignment="1">
      <alignment horizontal="right"/>
    </xf>
    <xf numFmtId="166" fontId="7" fillId="0" borderId="7" xfId="0" applyNumberFormat="1" applyFont="1" applyFill="1" applyBorder="1" applyAlignment="1">
      <alignment horizontal="right"/>
    </xf>
    <xf numFmtId="166" fontId="7" fillId="0" borderId="0" xfId="0" applyNumberFormat="1" applyFont="1" applyBorder="1" applyAlignment="1">
      <alignment horizontal="right"/>
    </xf>
    <xf numFmtId="164" fontId="7" fillId="0" borderId="0" xfId="0" applyNumberFormat="1" applyFont="1" applyBorder="1" applyAlignment="1">
      <alignment horizontal="left"/>
    </xf>
    <xf numFmtId="164" fontId="7" fillId="0" borderId="0" xfId="3" applyNumberFormat="1" applyFont="1" applyBorder="1" applyAlignment="1">
      <alignment horizontal="left"/>
    </xf>
    <xf numFmtId="164" fontId="7" fillId="0" borderId="10" xfId="0" applyNumberFormat="1" applyFont="1" applyBorder="1" applyAlignment="1">
      <alignment horizontal="left"/>
    </xf>
    <xf numFmtId="167" fontId="7" fillId="0" borderId="0" xfId="0" applyNumberFormat="1" applyFont="1" applyBorder="1" applyAlignment="1">
      <alignment horizontal="left"/>
    </xf>
    <xf numFmtId="166" fontId="14" fillId="0" borderId="0" xfId="3" applyNumberFormat="1" applyFont="1" applyFill="1" applyAlignment="1">
      <alignment horizontal="left" vertical="top" wrapText="1"/>
    </xf>
    <xf numFmtId="166" fontId="7" fillId="0" borderId="7" xfId="3" applyNumberFormat="1" applyFont="1" applyFill="1" applyBorder="1" applyAlignment="1">
      <alignment horizontal="right" vertical="top" wrapText="1"/>
    </xf>
    <xf numFmtId="166" fontId="7" fillId="0" borderId="11" xfId="3" applyNumberFormat="1" applyFont="1" applyFill="1" applyBorder="1" applyAlignment="1">
      <alignment horizontal="right" vertical="top" wrapText="1"/>
    </xf>
    <xf numFmtId="164" fontId="14" fillId="0" borderId="0" xfId="3" applyNumberFormat="1" applyFont="1" applyFill="1" applyAlignment="1">
      <alignment horizontal="left" vertical="top" wrapText="1"/>
    </xf>
    <xf numFmtId="164" fontId="7" fillId="0" borderId="7" xfId="3" applyNumberFormat="1" applyFont="1" applyFill="1" applyBorder="1" applyAlignment="1">
      <alignment horizontal="right" vertical="top" wrapText="1"/>
    </xf>
    <xf numFmtId="164" fontId="7" fillId="0" borderId="11" xfId="3" applyNumberFormat="1" applyFont="1" applyFill="1" applyBorder="1" applyAlignment="1">
      <alignment horizontal="right" vertical="top" wrapText="1"/>
    </xf>
    <xf numFmtId="166" fontId="0" fillId="0" borderId="10" xfId="0" applyNumberFormat="1" applyBorder="1" applyAlignment="1">
      <alignment horizontal="right"/>
    </xf>
    <xf numFmtId="3" fontId="7" fillId="0" borderId="0" xfId="0" applyNumberFormat="1" applyFont="1" applyBorder="1" applyAlignment="1">
      <alignment horizontal="left"/>
    </xf>
    <xf numFmtId="167" fontId="7" fillId="0" borderId="7" xfId="3" applyNumberFormat="1" applyFont="1" applyFill="1" applyBorder="1" applyAlignment="1">
      <alignment horizontal="right" vertical="top" wrapText="1"/>
    </xf>
    <xf numFmtId="167" fontId="7" fillId="0" borderId="11" xfId="3" applyNumberFormat="1" applyFont="1" applyFill="1" applyBorder="1" applyAlignment="1">
      <alignment horizontal="right" vertical="top" wrapText="1"/>
    </xf>
    <xf numFmtId="3" fontId="7" fillId="0" borderId="7" xfId="0" applyNumberFormat="1" applyFont="1" applyFill="1" applyBorder="1" applyAlignment="1">
      <alignment horizontal="right"/>
    </xf>
    <xf numFmtId="3" fontId="7" fillId="0" borderId="11" xfId="3" applyNumberFormat="1" applyFont="1" applyFill="1" applyBorder="1" applyAlignment="1">
      <alignment horizontal="right" vertical="top" wrapText="1"/>
    </xf>
    <xf numFmtId="0" fontId="6" fillId="0" borderId="0" xfId="1" applyFill="1" applyAlignment="1"/>
    <xf numFmtId="0" fontId="0" fillId="0" borderId="0" xfId="0" applyAlignment="1"/>
    <xf numFmtId="0" fontId="11" fillId="0" borderId="0" xfId="0" applyFont="1" applyAlignment="1"/>
    <xf numFmtId="0" fontId="0" fillId="0" borderId="0" xfId="0" applyFill="1" applyAlignment="1"/>
    <xf numFmtId="0" fontId="0" fillId="0" borderId="0" xfId="0" applyBorder="1" applyAlignment="1"/>
    <xf numFmtId="0" fontId="0" fillId="0" borderId="8" xfId="0" applyFill="1" applyBorder="1" applyAlignment="1"/>
    <xf numFmtId="0" fontId="10" fillId="0" borderId="8" xfId="0" applyFont="1" applyBorder="1" applyAlignment="1"/>
    <xf numFmtId="0" fontId="4" fillId="4" borderId="1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top" wrapText="1"/>
    </xf>
    <xf numFmtId="0" fontId="4" fillId="4" borderId="1" xfId="0" applyFont="1" applyFill="1" applyBorder="1" applyAlignment="1">
      <alignment horizontal="left" vertical="top" wrapText="1"/>
    </xf>
    <xf numFmtId="0" fontId="4" fillId="4" borderId="4" xfId="0" applyFont="1" applyFill="1" applyBorder="1" applyAlignment="1">
      <alignment horizontal="left"/>
    </xf>
    <xf numFmtId="0" fontId="4" fillId="4" borderId="3" xfId="0" applyFont="1" applyFill="1" applyBorder="1" applyAlignment="1">
      <alignment horizontal="right"/>
    </xf>
    <xf numFmtId="0" fontId="0" fillId="4" borderId="4" xfId="0" applyFont="1" applyFill="1" applyBorder="1" applyAlignment="1">
      <alignment horizontal="right"/>
    </xf>
    <xf numFmtId="0" fontId="0" fillId="4" borderId="5" xfId="0" applyFont="1" applyFill="1" applyBorder="1" applyAlignment="1">
      <alignment horizontal="right"/>
    </xf>
    <xf numFmtId="0" fontId="4" fillId="4" borderId="2" xfId="0" applyFont="1" applyFill="1" applyBorder="1" applyAlignment="1">
      <alignment horizontal="right"/>
    </xf>
    <xf numFmtId="0" fontId="4" fillId="4" borderId="6" xfId="0" applyFont="1" applyFill="1" applyBorder="1" applyAlignment="1"/>
    <xf numFmtId="0" fontId="7" fillId="4" borderId="8" xfId="0" applyFont="1" applyFill="1" applyBorder="1" applyAlignment="1">
      <alignment vertical="center"/>
    </xf>
    <xf numFmtId="0" fontId="6" fillId="4" borderId="8" xfId="1" applyFill="1" applyBorder="1" applyAlignment="1">
      <alignment vertical="center"/>
    </xf>
    <xf numFmtId="0" fontId="15" fillId="4" borderId="8" xfId="0" applyFont="1" applyFill="1" applyBorder="1" applyAlignment="1">
      <alignment vertical="center"/>
    </xf>
    <xf numFmtId="0" fontId="7" fillId="4" borderId="9" xfId="0" applyFont="1" applyFill="1" applyBorder="1" applyAlignment="1">
      <alignment vertical="center"/>
    </xf>
    <xf numFmtId="0" fontId="4" fillId="4" borderId="6" xfId="0" applyFont="1" applyFill="1" applyBorder="1"/>
    <xf numFmtId="0" fontId="4" fillId="4" borderId="2" xfId="0" applyFont="1" applyFill="1" applyBorder="1" applyAlignment="1">
      <alignment horizontal="left"/>
    </xf>
    <xf numFmtId="0" fontId="10" fillId="4" borderId="13" xfId="0" applyFont="1" applyFill="1" applyBorder="1"/>
    <xf numFmtId="14" fontId="7" fillId="4" borderId="8" xfId="0" applyNumberFormat="1" applyFont="1" applyFill="1" applyBorder="1" applyAlignment="1">
      <alignment horizontal="left"/>
    </xf>
    <xf numFmtId="14" fontId="7" fillId="4" borderId="9" xfId="0" applyNumberFormat="1" applyFont="1" applyFill="1" applyBorder="1" applyAlignment="1">
      <alignment horizontal="left"/>
    </xf>
    <xf numFmtId="0" fontId="0" fillId="4" borderId="14" xfId="0" applyFont="1" applyFill="1" applyBorder="1" applyAlignment="1">
      <alignment horizontal="right"/>
    </xf>
    <xf numFmtId="0" fontId="4" fillId="4" borderId="0" xfId="0" applyFont="1" applyFill="1" applyBorder="1" applyAlignment="1">
      <alignment horizontal="left"/>
    </xf>
    <xf numFmtId="0" fontId="6" fillId="4" borderId="9" xfId="1" applyFill="1" applyBorder="1" applyAlignment="1">
      <alignment vertical="center"/>
    </xf>
    <xf numFmtId="0" fontId="4" fillId="4" borderId="8" xfId="0" applyFont="1" applyFill="1" applyBorder="1"/>
    <xf numFmtId="0" fontId="0" fillId="4" borderId="8" xfId="0" applyFill="1" applyBorder="1" applyAlignment="1">
      <alignment horizontal="left"/>
    </xf>
    <xf numFmtId="0" fontId="0" fillId="4" borderId="9" xfId="0" applyFill="1" applyBorder="1" applyAlignment="1">
      <alignment horizontal="left"/>
    </xf>
    <xf numFmtId="0" fontId="4" fillId="4" borderId="8" xfId="0" applyFont="1" applyFill="1" applyBorder="1" applyAlignment="1">
      <alignment horizontal="left"/>
    </xf>
    <xf numFmtId="0" fontId="0" fillId="4" borderId="8" xfId="0" applyFont="1" applyFill="1" applyBorder="1" applyAlignment="1">
      <alignment horizontal="left"/>
    </xf>
    <xf numFmtId="0" fontId="7" fillId="4" borderId="9" xfId="0" applyFont="1" applyFill="1" applyBorder="1" applyAlignment="1">
      <alignment vertical="top"/>
    </xf>
    <xf numFmtId="10" fontId="7" fillId="0" borderId="15" xfId="0" applyNumberFormat="1" applyFont="1" applyBorder="1" applyAlignment="1">
      <alignment horizontal="left"/>
    </xf>
    <xf numFmtId="0" fontId="7" fillId="0" borderId="0" xfId="0" applyFont="1" applyFill="1" applyBorder="1" applyAlignment="1">
      <alignment horizontal="right" vertical="top" wrapText="1"/>
    </xf>
    <xf numFmtId="0" fontId="7" fillId="0" borderId="0" xfId="0" applyFont="1" applyBorder="1" applyAlignment="1">
      <alignment horizontal="right" wrapText="1"/>
    </xf>
    <xf numFmtId="0" fontId="7" fillId="0" borderId="10" xfId="0" applyFont="1" applyBorder="1" applyAlignment="1">
      <alignment horizontal="right" wrapText="1"/>
    </xf>
    <xf numFmtId="0" fontId="7" fillId="0" borderId="0" xfId="0" applyFont="1" applyBorder="1" applyAlignment="1">
      <alignment vertical="top"/>
    </xf>
    <xf numFmtId="0" fontId="4" fillId="4" borderId="0" xfId="0" applyFont="1" applyFill="1" applyBorder="1"/>
    <xf numFmtId="2" fontId="7" fillId="0" borderId="0" xfId="0" applyNumberFormat="1" applyFont="1" applyBorder="1" applyAlignment="1">
      <alignment horizontal="left" vertical="top"/>
    </xf>
    <xf numFmtId="0" fontId="0" fillId="4" borderId="0" xfId="0" applyFill="1" applyAlignment="1">
      <alignment horizontal="right"/>
    </xf>
    <xf numFmtId="0" fontId="0" fillId="4" borderId="0" xfId="0" applyFill="1" applyAlignment="1">
      <alignment horizontal="left"/>
    </xf>
    <xf numFmtId="0" fontId="0" fillId="0" borderId="0" xfId="0" applyBorder="1" applyAlignment="1">
      <alignment horizontal="right" vertical="top"/>
    </xf>
    <xf numFmtId="0" fontId="4" fillId="4" borderId="0" xfId="0" applyFont="1" applyFill="1" applyAlignment="1"/>
    <xf numFmtId="0" fontId="0" fillId="4" borderId="0" xfId="0" applyFill="1" applyAlignment="1"/>
    <xf numFmtId="0" fontId="0" fillId="4" borderId="0" xfId="0" applyFill="1" applyBorder="1"/>
    <xf numFmtId="0" fontId="0" fillId="4" borderId="10" xfId="0" applyFill="1" applyBorder="1"/>
    <xf numFmtId="0" fontId="0" fillId="4" borderId="0" xfId="0" applyFill="1" applyBorder="1" applyAlignment="1">
      <alignment horizontal="left"/>
    </xf>
    <xf numFmtId="0" fontId="0" fillId="4" borderId="0" xfId="0" applyFont="1" applyFill="1" applyBorder="1" applyAlignment="1">
      <alignment horizontal="left"/>
    </xf>
    <xf numFmtId="0" fontId="7" fillId="4" borderId="10" xfId="0" applyFont="1" applyFill="1" applyBorder="1" applyAlignment="1">
      <alignment vertical="top"/>
    </xf>
    <xf numFmtId="0" fontId="15" fillId="0" borderId="0" xfId="0" applyFont="1" applyBorder="1" applyAlignment="1">
      <alignment horizontal="right"/>
    </xf>
    <xf numFmtId="0" fontId="4" fillId="4" borderId="0" xfId="0" applyFont="1" applyFill="1" applyAlignment="1">
      <alignment horizontal="right"/>
    </xf>
    <xf numFmtId="0" fontId="4" fillId="4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4" fillId="4" borderId="3" xfId="0" applyFont="1" applyFill="1" applyBorder="1" applyAlignment="1">
      <alignment horizontal="left"/>
    </xf>
    <xf numFmtId="0" fontId="4" fillId="4" borderId="6" xfId="0" applyFont="1" applyFill="1" applyBorder="1" applyAlignment="1">
      <alignment horizontal="right"/>
    </xf>
    <xf numFmtId="0" fontId="0" fillId="0" borderId="8" xfId="0" applyBorder="1" applyAlignment="1">
      <alignment horizontal="left"/>
    </xf>
    <xf numFmtId="0" fontId="7" fillId="0" borderId="8" xfId="0" applyFont="1" applyBorder="1" applyAlignment="1">
      <alignment horizontal="left"/>
    </xf>
    <xf numFmtId="166" fontId="7" fillId="0" borderId="8" xfId="0" applyNumberFormat="1" applyFont="1" applyBorder="1" applyAlignment="1">
      <alignment horizontal="left"/>
    </xf>
    <xf numFmtId="1" fontId="7" fillId="0" borderId="8" xfId="0" applyNumberFormat="1" applyFont="1" applyBorder="1" applyAlignment="1">
      <alignment horizontal="left"/>
    </xf>
    <xf numFmtId="164" fontId="7" fillId="0" borderId="8" xfId="0" applyNumberFormat="1" applyFont="1" applyBorder="1" applyAlignment="1">
      <alignment horizontal="left"/>
    </xf>
    <xf numFmtId="164" fontId="7" fillId="0" borderId="8" xfId="3" applyNumberFormat="1" applyFont="1" applyBorder="1" applyAlignment="1">
      <alignment horizontal="left"/>
    </xf>
    <xf numFmtId="169" fontId="7" fillId="0" borderId="8" xfId="0" applyNumberFormat="1" applyFont="1" applyBorder="1" applyAlignment="1">
      <alignment horizontal="left"/>
    </xf>
    <xf numFmtId="167" fontId="7" fillId="0" borderId="8" xfId="0" applyNumberFormat="1" applyFont="1" applyBorder="1" applyAlignment="1">
      <alignment horizontal="left"/>
    </xf>
    <xf numFmtId="0" fontId="14" fillId="0" borderId="8" xfId="2" applyFont="1" applyFill="1" applyBorder="1" applyAlignment="1">
      <alignment horizontal="left" vertical="top" wrapText="1"/>
    </xf>
    <xf numFmtId="166" fontId="7" fillId="0" borderId="8" xfId="0" applyNumberFormat="1" applyFont="1" applyFill="1" applyBorder="1" applyAlignment="1">
      <alignment horizontal="left" wrapText="1"/>
    </xf>
    <xf numFmtId="2" fontId="7" fillId="0" borderId="8" xfId="0" applyNumberFormat="1" applyFont="1" applyFill="1" applyBorder="1" applyAlignment="1">
      <alignment horizontal="left" wrapText="1"/>
    </xf>
    <xf numFmtId="10" fontId="7" fillId="0" borderId="8" xfId="3" applyNumberFormat="1" applyFont="1" applyFill="1" applyBorder="1" applyAlignment="1">
      <alignment horizontal="left" wrapText="1"/>
    </xf>
    <xf numFmtId="168" fontId="7" fillId="0" borderId="8" xfId="0" applyNumberFormat="1" applyFont="1" applyFill="1" applyBorder="1" applyAlignment="1">
      <alignment horizontal="left" wrapText="1"/>
    </xf>
    <xf numFmtId="10" fontId="7" fillId="0" borderId="9" xfId="3" applyNumberFormat="1" applyFont="1" applyFill="1" applyBorder="1" applyAlignment="1">
      <alignment horizontal="left" wrapText="1"/>
    </xf>
    <xf numFmtId="167" fontId="7" fillId="0" borderId="18" xfId="0" applyNumberFormat="1" applyFont="1" applyBorder="1" applyAlignment="1">
      <alignment horizontal="left"/>
    </xf>
    <xf numFmtId="0" fontId="7" fillId="0" borderId="0" xfId="0" applyFont="1" applyBorder="1" applyAlignment="1">
      <alignment horizontal="right"/>
    </xf>
    <xf numFmtId="170" fontId="7" fillId="0" borderId="0" xfId="0" applyNumberFormat="1" applyFont="1" applyBorder="1" applyAlignment="1">
      <alignment horizontal="left"/>
    </xf>
    <xf numFmtId="1" fontId="7" fillId="0" borderId="0" xfId="0" applyNumberFormat="1" applyFont="1" applyBorder="1" applyAlignment="1">
      <alignment horizontal="left"/>
    </xf>
    <xf numFmtId="0" fontId="0" fillId="4" borderId="21" xfId="0" applyFill="1" applyBorder="1" applyAlignment="1">
      <alignment horizontal="left"/>
    </xf>
    <xf numFmtId="3" fontId="7" fillId="0" borderId="7" xfId="3" applyNumberFormat="1" applyFont="1" applyFill="1" applyBorder="1" applyAlignment="1">
      <alignment horizontal="right" vertical="top" wrapText="1"/>
    </xf>
    <xf numFmtId="0" fontId="4" fillId="4" borderId="0" xfId="0" applyFont="1" applyFill="1" applyBorder="1" applyAlignment="1"/>
    <xf numFmtId="0" fontId="0" fillId="0" borderId="0" xfId="0" applyFill="1" applyBorder="1" applyAlignment="1"/>
    <xf numFmtId="0" fontId="10" fillId="4" borderId="22" xfId="0" applyFont="1" applyFill="1" applyBorder="1"/>
    <xf numFmtId="0" fontId="0" fillId="4" borderId="16" xfId="0" applyFont="1" applyFill="1" applyBorder="1" applyAlignment="1">
      <alignment horizontal="right"/>
    </xf>
    <xf numFmtId="0" fontId="0" fillId="4" borderId="17" xfId="0" applyFont="1" applyFill="1" applyBorder="1" applyAlignment="1">
      <alignment horizontal="right"/>
    </xf>
    <xf numFmtId="0" fontId="10" fillId="4" borderId="3" xfId="0" applyFont="1" applyFill="1" applyBorder="1" applyAlignment="1"/>
    <xf numFmtId="0" fontId="10" fillId="4" borderId="22" xfId="0" applyFont="1" applyFill="1" applyBorder="1" applyAlignment="1"/>
    <xf numFmtId="0" fontId="0" fillId="0" borderId="0" xfId="0" applyAlignment="1"/>
    <xf numFmtId="0" fontId="11" fillId="0" borderId="0" xfId="0" applyFont="1" applyAlignment="1"/>
    <xf numFmtId="0" fontId="0" fillId="0" borderId="0" xfId="0" applyFill="1" applyAlignment="1"/>
    <xf numFmtId="0" fontId="4" fillId="4" borderId="0" xfId="0" applyFont="1" applyFill="1" applyAlignment="1"/>
    <xf numFmtId="0" fontId="0" fillId="4" borderId="0" xfId="0" applyFill="1" applyAlignment="1"/>
    <xf numFmtId="166" fontId="7" fillId="0" borderId="8" xfId="0" applyNumberFormat="1" applyFont="1" applyBorder="1" applyAlignment="1">
      <alignment horizontal="left"/>
    </xf>
    <xf numFmtId="4" fontId="0" fillId="4" borderId="0" xfId="0" applyNumberFormat="1" applyFill="1" applyAlignment="1"/>
    <xf numFmtId="0" fontId="0" fillId="0" borderId="0" xfId="0" applyAlignment="1"/>
    <xf numFmtId="0" fontId="0" fillId="0" borderId="0" xfId="0" applyBorder="1" applyAlignment="1"/>
    <xf numFmtId="0" fontId="7" fillId="0" borderId="8" xfId="0" applyFont="1" applyBorder="1" applyAlignment="1">
      <alignment horizontal="left"/>
    </xf>
    <xf numFmtId="0" fontId="0" fillId="0" borderId="0" xfId="0"/>
    <xf numFmtId="0" fontId="0" fillId="0" borderId="0" xfId="0" applyBorder="1"/>
    <xf numFmtId="0" fontId="7" fillId="0" borderId="0" xfId="0" applyFont="1" applyBorder="1" applyAlignment="1">
      <alignment horizontal="right"/>
    </xf>
    <xf numFmtId="164" fontId="7" fillId="0" borderId="0" xfId="0" applyNumberFormat="1" applyFont="1" applyBorder="1" applyAlignment="1">
      <alignment horizontal="left"/>
    </xf>
    <xf numFmtId="0" fontId="7" fillId="4" borderId="8" xfId="0" applyFont="1" applyFill="1" applyBorder="1" applyAlignment="1">
      <alignment vertical="center"/>
    </xf>
    <xf numFmtId="1" fontId="7" fillId="0" borderId="0" xfId="0" applyNumberFormat="1" applyFont="1" applyBorder="1" applyAlignment="1">
      <alignment horizontal="left"/>
    </xf>
    <xf numFmtId="0" fontId="0" fillId="0" borderId="0" xfId="0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0" fontId="0" fillId="0" borderId="0" xfId="0" applyAlignment="1">
      <alignment horizontal="left"/>
    </xf>
    <xf numFmtId="0" fontId="4" fillId="4" borderId="4" xfId="0" applyFont="1" applyFill="1" applyBorder="1" applyAlignment="1">
      <alignment horizontal="left"/>
    </xf>
    <xf numFmtId="0" fontId="4" fillId="4" borderId="3" xfId="0" applyFont="1" applyFill="1" applyBorder="1" applyAlignment="1">
      <alignment horizontal="right"/>
    </xf>
    <xf numFmtId="0" fontId="0" fillId="4" borderId="4" xfId="0" applyFont="1" applyFill="1" applyBorder="1" applyAlignment="1">
      <alignment horizontal="right"/>
    </xf>
    <xf numFmtId="0" fontId="4" fillId="4" borderId="8" xfId="0" applyFont="1" applyFill="1" applyBorder="1"/>
    <xf numFmtId="0" fontId="0" fillId="4" borderId="8" xfId="0" applyFill="1" applyBorder="1" applyAlignment="1">
      <alignment horizontal="left"/>
    </xf>
    <xf numFmtId="10" fontId="7" fillId="0" borderId="23" xfId="3" applyNumberFormat="1" applyFont="1" applyBorder="1" applyAlignment="1">
      <alignment horizontal="right"/>
    </xf>
    <xf numFmtId="0" fontId="7" fillId="0" borderId="23" xfId="0" applyFont="1" applyBorder="1" applyAlignment="1">
      <alignment horizontal="right"/>
    </xf>
    <xf numFmtId="0" fontId="12" fillId="0" borderId="23" xfId="0" applyFont="1" applyBorder="1" applyAlignment="1">
      <alignment horizontal="right"/>
    </xf>
    <xf numFmtId="10" fontId="7" fillId="0" borderId="0" xfId="0" applyNumberFormat="1" applyFont="1" applyBorder="1" applyAlignment="1">
      <alignment horizontal="left"/>
    </xf>
    <xf numFmtId="172" fontId="0" fillId="0" borderId="0" xfId="4" applyNumberFormat="1" applyFont="1"/>
    <xf numFmtId="172" fontId="7" fillId="0" borderId="0" xfId="4" applyNumberFormat="1" applyFont="1" applyFill="1" applyBorder="1" applyAlignment="1">
      <alignment horizontal="right" vertical="top" wrapText="1"/>
    </xf>
    <xf numFmtId="172" fontId="7" fillId="0" borderId="7" xfId="4" applyNumberFormat="1" applyFont="1" applyFill="1" applyBorder="1" applyAlignment="1">
      <alignment horizontal="right" vertical="top" wrapText="1"/>
    </xf>
    <xf numFmtId="172" fontId="0" fillId="0" borderId="0" xfId="4" applyNumberFormat="1" applyFont="1" applyBorder="1"/>
    <xf numFmtId="172" fontId="0" fillId="0" borderId="21" xfId="4" applyNumberFormat="1" applyFont="1" applyBorder="1"/>
    <xf numFmtId="172" fontId="7" fillId="0" borderId="10" xfId="4" applyNumberFormat="1" applyFont="1" applyFill="1" applyBorder="1" applyAlignment="1">
      <alignment horizontal="right" vertical="top" wrapText="1"/>
    </xf>
    <xf numFmtId="172" fontId="7" fillId="0" borderId="11" xfId="4" applyNumberFormat="1" applyFont="1" applyFill="1" applyBorder="1" applyAlignment="1">
      <alignment horizontal="right" vertical="top" wrapText="1"/>
    </xf>
    <xf numFmtId="0" fontId="20" fillId="0" borderId="0" xfId="0" applyFont="1"/>
    <xf numFmtId="0" fontId="10" fillId="4" borderId="0" xfId="0" applyFont="1" applyFill="1" applyAlignment="1">
      <alignment horizontal="right"/>
    </xf>
    <xf numFmtId="0" fontId="7" fillId="0" borderId="0" xfId="0" applyFont="1"/>
    <xf numFmtId="0" fontId="0" fillId="0" borderId="0" xfId="0" applyAlignment="1">
      <alignment horizontal="left" vertical="center"/>
    </xf>
    <xf numFmtId="173" fontId="0" fillId="4" borderId="0" xfId="4" quotePrefix="1" applyNumberFormat="1" applyFont="1" applyFill="1" applyBorder="1" applyAlignment="1">
      <alignment horizontal="left" vertical="top"/>
    </xf>
    <xf numFmtId="0" fontId="7" fillId="4" borderId="0" xfId="0" applyFont="1" applyFill="1" applyBorder="1" applyAlignment="1">
      <alignment vertical="center"/>
    </xf>
    <xf numFmtId="0" fontId="7" fillId="0" borderId="7" xfId="0" applyFont="1" applyBorder="1" applyAlignment="1">
      <alignment horizontal="left"/>
    </xf>
    <xf numFmtId="0" fontId="4" fillId="4" borderId="3" xfId="0" applyFont="1" applyFill="1" applyBorder="1" applyAlignment="1"/>
    <xf numFmtId="0" fontId="0" fillId="4" borderId="4" xfId="0" applyFont="1" applyFill="1" applyBorder="1" applyAlignment="1"/>
    <xf numFmtId="0" fontId="0" fillId="4" borderId="5" xfId="0" applyFont="1" applyFill="1" applyBorder="1" applyAlignment="1"/>
    <xf numFmtId="0" fontId="4" fillId="4" borderId="6" xfId="0" applyFont="1" applyFill="1" applyBorder="1" applyAlignment="1">
      <alignment horizontal="left"/>
    </xf>
    <xf numFmtId="0" fontId="7" fillId="0" borderId="0" xfId="0" applyFont="1" applyFill="1" applyBorder="1" applyAlignment="1">
      <alignment horizontal="left"/>
    </xf>
    <xf numFmtId="0" fontId="10" fillId="0" borderId="8" xfId="0" applyFont="1" applyBorder="1" applyAlignment="1">
      <alignment horizontal="right"/>
    </xf>
    <xf numFmtId="0" fontId="10" fillId="0" borderId="0" xfId="0" applyFont="1" applyBorder="1" applyAlignment="1"/>
    <xf numFmtId="0" fontId="4" fillId="4" borderId="4" xfId="0" applyFont="1" applyFill="1" applyBorder="1" applyAlignment="1">
      <alignment horizontal="right"/>
    </xf>
    <xf numFmtId="0" fontId="4" fillId="4" borderId="2" xfId="0" applyFont="1" applyFill="1" applyBorder="1" applyAlignment="1"/>
    <xf numFmtId="0" fontId="4" fillId="0" borderId="0" xfId="0" applyFont="1" applyFill="1" applyBorder="1" applyAlignment="1"/>
    <xf numFmtId="0" fontId="15" fillId="4" borderId="0" xfId="0" applyFont="1" applyFill="1" applyBorder="1" applyAlignment="1">
      <alignment vertical="center"/>
    </xf>
    <xf numFmtId="0" fontId="18" fillId="4" borderId="0" xfId="0" applyFont="1" applyFill="1" applyBorder="1" applyAlignment="1">
      <alignment vertical="center"/>
    </xf>
    <xf numFmtId="0" fontId="7" fillId="0" borderId="0" xfId="0" applyFont="1" applyBorder="1" applyAlignment="1"/>
    <xf numFmtId="0" fontId="10" fillId="0" borderId="0" xfId="0" applyFont="1" applyBorder="1" applyAlignment="1">
      <alignment vertical="top"/>
    </xf>
    <xf numFmtId="0" fontId="6" fillId="4" borderId="0" xfId="1" applyFill="1" applyBorder="1" applyAlignment="1">
      <alignment vertical="center"/>
    </xf>
    <xf numFmtId="0" fontId="7" fillId="0" borderId="0" xfId="0" applyFont="1" applyFill="1" applyBorder="1" applyAlignment="1">
      <alignment vertical="top"/>
    </xf>
    <xf numFmtId="0" fontId="7" fillId="4" borderId="10" xfId="0" applyFont="1" applyFill="1" applyBorder="1" applyAlignment="1">
      <alignment vertical="center"/>
    </xf>
    <xf numFmtId="0" fontId="4" fillId="4" borderId="2" xfId="0" applyFont="1" applyFill="1" applyBorder="1"/>
    <xf numFmtId="0" fontId="4" fillId="0" borderId="0" xfId="0" applyFont="1" applyFill="1" applyBorder="1"/>
    <xf numFmtId="0" fontId="0" fillId="4" borderId="0" xfId="0" applyFont="1" applyFill="1" applyBorder="1" applyAlignment="1">
      <alignment horizontal="left" vertical="top"/>
    </xf>
    <xf numFmtId="0" fontId="10" fillId="0" borderId="0" xfId="0" applyFont="1" applyBorder="1"/>
    <xf numFmtId="0" fontId="15" fillId="0" borderId="8" xfId="0" applyFont="1" applyBorder="1" applyAlignment="1">
      <alignment horizontal="left"/>
    </xf>
    <xf numFmtId="0" fontId="15" fillId="0" borderId="0" xfId="0" applyFont="1" applyAlignment="1"/>
    <xf numFmtId="173" fontId="7" fillId="4" borderId="0" xfId="4" quotePrefix="1" applyNumberFormat="1" applyFont="1" applyFill="1" applyBorder="1" applyAlignment="1">
      <alignment horizontal="left" vertical="top"/>
    </xf>
    <xf numFmtId="164" fontId="7" fillId="0" borderId="7" xfId="0" applyNumberFormat="1" applyFont="1" applyBorder="1" applyAlignment="1">
      <alignment horizontal="left"/>
    </xf>
    <xf numFmtId="167" fontId="7" fillId="0" borderId="7" xfId="0" applyNumberFormat="1" applyFont="1" applyBorder="1" applyAlignment="1">
      <alignment horizontal="left"/>
    </xf>
    <xf numFmtId="37" fontId="7" fillId="4" borderId="0" xfId="4" quotePrefix="1" applyNumberFormat="1" applyFont="1" applyFill="1" applyBorder="1" applyAlignment="1">
      <alignment horizontal="left" vertical="top"/>
    </xf>
    <xf numFmtId="0" fontId="0" fillId="0" borderId="0" xfId="0" applyFont="1" applyFill="1" applyBorder="1" applyAlignment="1">
      <alignment horizontal="left" vertical="top"/>
    </xf>
    <xf numFmtId="0" fontId="0" fillId="4" borderId="4" xfId="0" applyFont="1" applyFill="1" applyBorder="1" applyAlignment="1">
      <alignment horizontal="left"/>
    </xf>
    <xf numFmtId="0" fontId="0" fillId="4" borderId="0" xfId="0" applyFont="1" applyFill="1" applyAlignment="1">
      <alignment horizontal="right"/>
    </xf>
    <xf numFmtId="0" fontId="4" fillId="4" borderId="12" xfId="0" applyFont="1" applyFill="1" applyBorder="1" applyAlignment="1">
      <alignment horizontal="left"/>
    </xf>
    <xf numFmtId="0" fontId="0" fillId="0" borderId="7" xfId="0" applyBorder="1" applyAlignment="1">
      <alignment horizontal="left"/>
    </xf>
    <xf numFmtId="166" fontId="7" fillId="5" borderId="7" xfId="0" applyNumberFormat="1" applyFont="1" applyFill="1" applyBorder="1" applyAlignment="1">
      <alignment horizontal="left"/>
    </xf>
    <xf numFmtId="164" fontId="7" fillId="0" borderId="11" xfId="0" applyNumberFormat="1" applyFont="1" applyBorder="1" applyAlignment="1">
      <alignment horizontal="left"/>
    </xf>
    <xf numFmtId="0" fontId="0" fillId="0" borderId="7" xfId="0" applyFill="1" applyBorder="1" applyAlignment="1">
      <alignment horizontal="left"/>
    </xf>
    <xf numFmtId="10" fontId="7" fillId="0" borderId="0" xfId="0" applyNumberFormat="1" applyFont="1" applyFill="1" applyBorder="1" applyAlignment="1">
      <alignment horizontal="left"/>
    </xf>
    <xf numFmtId="0" fontId="11" fillId="0" borderId="0" xfId="0" applyFont="1" applyAlignment="1">
      <alignment horizontal="left"/>
    </xf>
    <xf numFmtId="0" fontId="7" fillId="0" borderId="7" xfId="0" applyFont="1" applyFill="1" applyBorder="1" applyAlignment="1">
      <alignment horizontal="left"/>
    </xf>
    <xf numFmtId="0" fontId="7" fillId="0" borderId="0" xfId="0" applyFont="1" applyFill="1" applyBorder="1" applyAlignment="1">
      <alignment horizontal="left" vertical="top" wrapText="1"/>
    </xf>
    <xf numFmtId="0" fontId="7" fillId="0" borderId="0" xfId="0" applyFont="1" applyBorder="1" applyAlignment="1">
      <alignment horizontal="left" wrapText="1"/>
    </xf>
    <xf numFmtId="2" fontId="7" fillId="0" borderId="0" xfId="0" applyNumberFormat="1" applyFont="1" applyBorder="1" applyAlignment="1">
      <alignment horizontal="left"/>
    </xf>
    <xf numFmtId="10" fontId="7" fillId="0" borderId="0" xfId="3" applyNumberFormat="1" applyFont="1" applyBorder="1" applyAlignment="1">
      <alignment horizontal="left"/>
    </xf>
    <xf numFmtId="10" fontId="7" fillId="0" borderId="0" xfId="3" applyNumberFormat="1" applyFont="1" applyBorder="1" applyAlignment="1">
      <alignment horizontal="left" wrapText="1"/>
    </xf>
    <xf numFmtId="10" fontId="7" fillId="0" borderId="10" xfId="3" applyNumberFormat="1" applyFont="1" applyBorder="1" applyAlignment="1">
      <alignment horizontal="left"/>
    </xf>
    <xf numFmtId="10" fontId="7" fillId="0" borderId="0" xfId="3" applyNumberFormat="1" applyFont="1" applyFill="1" applyBorder="1" applyAlignment="1">
      <alignment horizontal="left"/>
    </xf>
    <xf numFmtId="10" fontId="0" fillId="0" borderId="10" xfId="3" applyNumberFormat="1" applyFont="1" applyBorder="1" applyAlignment="1">
      <alignment horizontal="left"/>
    </xf>
    <xf numFmtId="0" fontId="0" fillId="0" borderId="0" xfId="0" applyFill="1" applyBorder="1" applyAlignment="1">
      <alignment horizontal="left"/>
    </xf>
    <xf numFmtId="0" fontId="7" fillId="0" borderId="0" xfId="0" applyFont="1" applyBorder="1" applyAlignment="1">
      <alignment horizontal="left" vertical="top"/>
    </xf>
    <xf numFmtId="1" fontId="7" fillId="0" borderId="0" xfId="0" applyNumberFormat="1" applyFont="1" applyFill="1" applyBorder="1" applyAlignment="1">
      <alignment horizontal="left"/>
    </xf>
    <xf numFmtId="166" fontId="7" fillId="0" borderId="0" xfId="0" applyNumberFormat="1" applyFont="1" applyFill="1" applyBorder="1" applyAlignment="1">
      <alignment horizontal="left"/>
    </xf>
    <xf numFmtId="3" fontId="7" fillId="0" borderId="0" xfId="3" applyNumberFormat="1" applyFont="1" applyFill="1" applyBorder="1" applyAlignment="1">
      <alignment horizontal="left"/>
    </xf>
    <xf numFmtId="0" fontId="0" fillId="0" borderId="0" xfId="0" applyFill="1" applyAlignment="1">
      <alignment horizontal="left"/>
    </xf>
    <xf numFmtId="166" fontId="7" fillId="0" borderId="7" xfId="0" applyNumberFormat="1" applyFont="1" applyFill="1" applyBorder="1" applyAlignment="1">
      <alignment horizontal="left"/>
    </xf>
    <xf numFmtId="0" fontId="7" fillId="0" borderId="10" xfId="0" applyFont="1" applyBorder="1" applyAlignment="1">
      <alignment horizontal="left"/>
    </xf>
    <xf numFmtId="0" fontId="7" fillId="0" borderId="11" xfId="0" applyFont="1" applyBorder="1" applyAlignment="1">
      <alignment horizontal="left"/>
    </xf>
    <xf numFmtId="0" fontId="7" fillId="0" borderId="10" xfId="0" applyFont="1" applyFill="1" applyBorder="1" applyAlignment="1">
      <alignment horizontal="left"/>
    </xf>
    <xf numFmtId="0" fontId="7" fillId="0" borderId="11" xfId="0" applyFont="1" applyFill="1" applyBorder="1" applyAlignment="1">
      <alignment horizontal="left"/>
    </xf>
    <xf numFmtId="166" fontId="7" fillId="0" borderId="0" xfId="0" applyNumberFormat="1" applyFont="1" applyBorder="1" applyAlignment="1">
      <alignment horizontal="left" vertical="top"/>
    </xf>
    <xf numFmtId="171" fontId="7" fillId="0" borderId="0" xfId="3" applyNumberFormat="1" applyFont="1" applyFill="1" applyBorder="1" applyAlignment="1">
      <alignment horizontal="left"/>
    </xf>
    <xf numFmtId="0" fontId="7" fillId="4" borderId="0" xfId="0" applyFont="1" applyFill="1" applyAlignment="1">
      <alignment horizontal="left"/>
    </xf>
    <xf numFmtId="9" fontId="0" fillId="0" borderId="0" xfId="0" applyNumberFormat="1" applyAlignment="1">
      <alignment horizontal="left"/>
    </xf>
    <xf numFmtId="0" fontId="15" fillId="0" borderId="0" xfId="0" applyFont="1" applyFill="1" applyAlignment="1">
      <alignment horizontal="left"/>
    </xf>
    <xf numFmtId="9" fontId="15" fillId="0" borderId="0" xfId="0" applyNumberFormat="1" applyFont="1" applyAlignment="1">
      <alignment horizontal="left"/>
    </xf>
    <xf numFmtId="0" fontId="4" fillId="4" borderId="7" xfId="0" applyFont="1" applyFill="1" applyBorder="1" applyAlignment="1"/>
    <xf numFmtId="165" fontId="0" fillId="0" borderId="7" xfId="0" applyNumberFormat="1" applyBorder="1" applyAlignment="1"/>
    <xf numFmtId="0" fontId="7" fillId="0" borderId="11" xfId="0" applyFont="1" applyFill="1" applyBorder="1" applyAlignment="1">
      <alignment vertical="top"/>
    </xf>
    <xf numFmtId="164" fontId="7" fillId="0" borderId="7" xfId="3" applyNumberFormat="1" applyFont="1" applyBorder="1" applyAlignment="1">
      <alignment horizontal="left" vertical="top"/>
    </xf>
    <xf numFmtId="9" fontId="7" fillId="0" borderId="0" xfId="0" applyNumberFormat="1" applyFont="1" applyAlignment="1">
      <alignment horizontal="left"/>
    </xf>
    <xf numFmtId="0" fontId="0" fillId="0" borderId="0" xfId="0" applyNumberFormat="1" applyAlignment="1">
      <alignment horizontal="left"/>
    </xf>
    <xf numFmtId="0" fontId="4" fillId="4" borderId="8" xfId="0" applyFont="1" applyFill="1" applyBorder="1" applyAlignment="1">
      <alignment horizontal="center" vertical="top"/>
    </xf>
    <xf numFmtId="0" fontId="0" fillId="4" borderId="0" xfId="0" quotePrefix="1" applyFill="1" applyAlignment="1">
      <alignment horizontal="center"/>
    </xf>
    <xf numFmtId="0" fontId="6" fillId="0" borderId="0" xfId="1" applyFill="1" applyAlignment="1">
      <alignment horizontal="left" vertical="top"/>
    </xf>
    <xf numFmtId="0" fontId="9" fillId="0" borderId="0" xfId="0" applyFont="1" applyBorder="1" applyAlignment="1">
      <alignment horizontal="center" vertical="center" wrapText="1"/>
    </xf>
    <xf numFmtId="0" fontId="0" fillId="0" borderId="0" xfId="0" applyBorder="1" applyAlignment="1">
      <alignment horizontal="left" vertical="top"/>
    </xf>
    <xf numFmtId="0" fontId="11" fillId="0" borderId="0" xfId="0" applyFont="1" applyBorder="1" applyAlignment="1">
      <alignment horizontal="left" vertical="top"/>
    </xf>
    <xf numFmtId="0" fontId="11" fillId="0" borderId="0" xfId="0" applyFont="1" applyBorder="1" applyAlignment="1">
      <alignment horizontal="center" vertical="center" wrapText="1"/>
    </xf>
    <xf numFmtId="0" fontId="4" fillId="4" borderId="3" xfId="0" applyFont="1" applyFill="1" applyBorder="1" applyAlignment="1">
      <alignment horizontal="center" vertical="top"/>
    </xf>
    <xf numFmtId="0" fontId="15" fillId="4" borderId="0" xfId="0" applyFont="1" applyFill="1" applyAlignment="1">
      <alignment horizontal="center" vertical="center" wrapText="1"/>
    </xf>
    <xf numFmtId="0" fontId="4" fillId="4" borderId="0" xfId="0" applyFont="1" applyFill="1" applyBorder="1" applyAlignment="1">
      <alignment horizontal="left" vertical="top"/>
    </xf>
    <xf numFmtId="0" fontId="19" fillId="4" borderId="16" xfId="0" applyFont="1" applyFill="1" applyBorder="1" applyAlignment="1">
      <alignment horizontal="center" vertical="center" wrapText="1"/>
    </xf>
    <xf numFmtId="10" fontId="7" fillId="0" borderId="0" xfId="3" applyNumberFormat="1" applyFont="1" applyFill="1" applyAlignment="1">
      <alignment horizontal="center" vertical="center" wrapText="1"/>
    </xf>
    <xf numFmtId="10" fontId="0" fillId="0" borderId="0" xfId="3" applyNumberFormat="1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7" fillId="4" borderId="0" xfId="0" applyFont="1" applyFill="1" applyAlignment="1">
      <alignment horizontal="center" vertical="center" wrapText="1"/>
    </xf>
    <xf numFmtId="0" fontId="0" fillId="4" borderId="8" xfId="0" applyFill="1" applyBorder="1" applyAlignment="1">
      <alignment horizontal="center"/>
    </xf>
    <xf numFmtId="0" fontId="10" fillId="4" borderId="0" xfId="0" applyFont="1" applyFill="1" applyAlignment="1">
      <alignment horizontal="left"/>
    </xf>
    <xf numFmtId="0" fontId="7" fillId="0" borderId="0" xfId="0" applyFont="1" applyAlignment="1">
      <alignment horizontal="left" vertical="center"/>
    </xf>
    <xf numFmtId="0" fontId="0" fillId="0" borderId="0" xfId="0" applyAlignment="1">
      <alignment horizontal="left" vertical="center" wrapText="1"/>
    </xf>
    <xf numFmtId="0" fontId="6" fillId="0" borderId="0" xfId="1" applyAlignment="1"/>
    <xf numFmtId="0" fontId="0" fillId="0" borderId="8" xfId="0" applyFill="1" applyBorder="1" applyAlignment="1">
      <alignment horizontal="right"/>
    </xf>
    <xf numFmtId="173" fontId="7" fillId="4" borderId="0" xfId="4" quotePrefix="1" applyNumberFormat="1" applyFont="1" applyFill="1" applyBorder="1" applyAlignment="1">
      <alignment horizontal="right" vertical="top"/>
    </xf>
    <xf numFmtId="0" fontId="7" fillId="4" borderId="8" xfId="0" applyFont="1" applyFill="1" applyBorder="1" applyAlignment="1">
      <alignment horizontal="right" vertical="center"/>
    </xf>
    <xf numFmtId="0" fontId="0" fillId="4" borderId="8" xfId="0" applyFont="1" applyFill="1" applyBorder="1" applyAlignment="1">
      <alignment horizontal="right" vertical="top"/>
    </xf>
    <xf numFmtId="0" fontId="7" fillId="4" borderId="8" xfId="0" applyFont="1" applyFill="1" applyBorder="1" applyAlignment="1">
      <alignment horizontal="right" vertical="top"/>
    </xf>
    <xf numFmtId="173" fontId="0" fillId="37" borderId="0" xfId="4" quotePrefix="1" applyNumberFormat="1" applyFont="1" applyFill="1" applyBorder="1" applyAlignment="1">
      <alignment horizontal="right" vertical="top"/>
    </xf>
    <xf numFmtId="173" fontId="0" fillId="37" borderId="0" xfId="4" quotePrefix="1" applyNumberFormat="1" applyFont="1" applyFill="1" applyBorder="1" applyAlignment="1">
      <alignment horizontal="left" vertical="top"/>
    </xf>
    <xf numFmtId="173" fontId="7" fillId="37" borderId="0" xfId="4" quotePrefix="1" applyNumberFormat="1" applyFont="1" applyFill="1" applyBorder="1" applyAlignment="1">
      <alignment horizontal="right" vertical="top"/>
    </xf>
    <xf numFmtId="0" fontId="7" fillId="37" borderId="8" xfId="0" applyFont="1" applyFill="1" applyBorder="1" applyAlignment="1">
      <alignment horizontal="right" vertical="center"/>
    </xf>
    <xf numFmtId="0" fontId="7" fillId="37" borderId="8" xfId="0" applyFont="1" applyFill="1" applyBorder="1" applyAlignment="1">
      <alignment horizontal="right" vertical="top"/>
    </xf>
    <xf numFmtId="0" fontId="4" fillId="0" borderId="8" xfId="0" applyFont="1" applyFill="1" applyBorder="1" applyAlignment="1">
      <alignment horizontal="right"/>
    </xf>
    <xf numFmtId="0" fontId="7" fillId="0" borderId="8" xfId="0" applyFont="1" applyBorder="1" applyAlignment="1">
      <alignment horizontal="right"/>
    </xf>
    <xf numFmtId="0" fontId="0" fillId="0" borderId="8" xfId="0" applyBorder="1" applyAlignment="1">
      <alignment horizontal="right"/>
    </xf>
    <xf numFmtId="0" fontId="10" fillId="0" borderId="8" xfId="0" applyFont="1" applyBorder="1" applyAlignment="1">
      <alignment horizontal="right" vertical="top"/>
    </xf>
    <xf numFmtId="0" fontId="6" fillId="4" borderId="8" xfId="1" applyFill="1" applyBorder="1" applyAlignment="1">
      <alignment horizontal="right" vertical="center"/>
    </xf>
    <xf numFmtId="0" fontId="7" fillId="0" borderId="8" xfId="0" applyFont="1" applyFill="1" applyBorder="1" applyAlignment="1">
      <alignment horizontal="right" vertical="top"/>
    </xf>
    <xf numFmtId="0" fontId="7" fillId="4" borderId="9" xfId="0" applyFont="1" applyFill="1" applyBorder="1" applyAlignment="1">
      <alignment horizontal="right" vertical="center"/>
    </xf>
    <xf numFmtId="0" fontId="4" fillId="4" borderId="8" xfId="0" applyFont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9" xfId="0" applyFill="1" applyBorder="1" applyAlignment="1">
      <alignment horizontal="right"/>
    </xf>
    <xf numFmtId="0" fontId="4" fillId="4" borderId="0" xfId="0" applyFont="1" applyFill="1" applyBorder="1" applyAlignment="1">
      <alignment horizontal="right"/>
    </xf>
    <xf numFmtId="0" fontId="0" fillId="4" borderId="0" xfId="0" applyFill="1" applyBorder="1" applyAlignment="1">
      <alignment horizontal="right"/>
    </xf>
    <xf numFmtId="177" fontId="7" fillId="0" borderId="0" xfId="3" applyNumberFormat="1" applyFont="1" applyFill="1" applyBorder="1" applyAlignment="1">
      <alignment horizontal="left"/>
    </xf>
    <xf numFmtId="176" fontId="7" fillId="0" borderId="0" xfId="0" applyNumberFormat="1" applyFont="1" applyFill="1" applyBorder="1" applyAlignment="1">
      <alignment horizontal="left"/>
    </xf>
    <xf numFmtId="2" fontId="7" fillId="0" borderId="0" xfId="0" applyNumberFormat="1" applyFont="1" applyFill="1" applyBorder="1" applyAlignment="1">
      <alignment horizontal="left"/>
    </xf>
    <xf numFmtId="175" fontId="7" fillId="0" borderId="0" xfId="0" applyNumberFormat="1" applyFont="1" applyFill="1" applyBorder="1" applyAlignment="1">
      <alignment horizontal="left"/>
    </xf>
    <xf numFmtId="2" fontId="7" fillId="0" borderId="10" xfId="0" applyNumberFormat="1" applyFont="1" applyFill="1" applyBorder="1" applyAlignment="1">
      <alignment horizontal="left"/>
    </xf>
    <xf numFmtId="4" fontId="0" fillId="4" borderId="0" xfId="0" applyNumberFormat="1" applyFill="1" applyAlignment="1">
      <alignment horizontal="right"/>
    </xf>
    <xf numFmtId="4" fontId="7" fillId="0" borderId="0" xfId="3" applyNumberFormat="1" applyFont="1" applyFill="1" applyBorder="1" applyAlignment="1">
      <alignment horizontal="left"/>
    </xf>
    <xf numFmtId="0" fontId="7" fillId="38" borderId="8" xfId="0" applyFont="1" applyFill="1" applyBorder="1" applyAlignment="1">
      <alignment horizontal="right" vertical="center"/>
    </xf>
    <xf numFmtId="0" fontId="0" fillId="4" borderId="0" xfId="0" applyFont="1" applyFill="1" applyBorder="1" applyAlignment="1">
      <alignment horizontal="right"/>
    </xf>
    <xf numFmtId="0" fontId="10" fillId="4" borderId="4" xfId="0" applyFont="1" applyFill="1" applyBorder="1" applyAlignment="1">
      <alignment horizontal="left"/>
    </xf>
    <xf numFmtId="174" fontId="7" fillId="0" borderId="0" xfId="3" applyNumberFormat="1" applyFont="1" applyFill="1" applyBorder="1" applyAlignment="1">
      <alignment horizontal="left"/>
    </xf>
    <xf numFmtId="0" fontId="6" fillId="0" borderId="19" xfId="1" applyFill="1" applyBorder="1" applyAlignment="1">
      <alignment horizontal="left"/>
    </xf>
    <xf numFmtId="0" fontId="0" fillId="4" borderId="4" xfId="0" applyFill="1" applyBorder="1" applyAlignment="1">
      <alignment horizontal="right"/>
    </xf>
    <xf numFmtId="0" fontId="7" fillId="4" borderId="0" xfId="0" applyFont="1" applyFill="1" applyBorder="1" applyAlignment="1">
      <alignment horizontal="right" vertical="center"/>
    </xf>
    <xf numFmtId="0" fontId="10" fillId="0" borderId="0" xfId="0" applyFont="1" applyFill="1" applyBorder="1" applyAlignment="1">
      <alignment horizontal="left"/>
    </xf>
    <xf numFmtId="177" fontId="7" fillId="0" borderId="0" xfId="3" applyNumberFormat="1" applyFont="1" applyBorder="1" applyAlignment="1">
      <alignment horizontal="right"/>
    </xf>
    <xf numFmtId="0" fontId="4" fillId="0" borderId="8" xfId="0" applyFont="1" applyBorder="1"/>
    <xf numFmtId="0" fontId="7" fillId="0" borderId="0" xfId="0" applyFont="1" applyAlignment="1">
      <alignment horizontal="left"/>
    </xf>
    <xf numFmtId="0" fontId="7" fillId="0" borderId="0" xfId="0" applyFont="1" applyAlignment="1">
      <alignment horizontal="right"/>
    </xf>
    <xf numFmtId="0" fontId="0" fillId="0" borderId="8" xfId="0" applyBorder="1"/>
    <xf numFmtId="0" fontId="7" fillId="4" borderId="0" xfId="0" applyFont="1" applyFill="1" applyAlignment="1">
      <alignment vertical="center"/>
    </xf>
    <xf numFmtId="173" fontId="42" fillId="39" borderId="10" xfId="4" quotePrefix="1" applyNumberFormat="1" applyFont="1" applyFill="1" applyBorder="1" applyAlignment="1">
      <alignment horizontal="right" vertical="top"/>
    </xf>
    <xf numFmtId="173" fontId="43" fillId="39" borderId="9" xfId="4" quotePrefix="1" applyNumberFormat="1" applyFont="1" applyFill="1" applyBorder="1" applyAlignment="1">
      <alignment horizontal="right" vertical="top"/>
    </xf>
    <xf numFmtId="173" fontId="7" fillId="37" borderId="8" xfId="4" quotePrefix="1" applyNumberFormat="1" applyFont="1" applyFill="1" applyBorder="1" applyAlignment="1">
      <alignment horizontal="right" vertical="top"/>
    </xf>
    <xf numFmtId="173" fontId="7" fillId="37" borderId="9" xfId="4" quotePrefix="1" applyNumberFormat="1" applyFont="1" applyFill="1" applyBorder="1" applyAlignment="1">
      <alignment horizontal="right" vertical="top"/>
    </xf>
    <xf numFmtId="173" fontId="7" fillId="37" borderId="10" xfId="4" quotePrefix="1" applyNumberFormat="1" applyFont="1" applyFill="1" applyBorder="1" applyAlignment="1">
      <alignment horizontal="right" vertical="top"/>
    </xf>
    <xf numFmtId="0" fontId="44" fillId="0" borderId="0" xfId="0" applyFont="1" applyBorder="1"/>
    <xf numFmtId="9" fontId="7" fillId="0" borderId="0" xfId="0" applyNumberFormat="1" applyFont="1" applyBorder="1" applyAlignment="1">
      <alignment horizontal="left"/>
    </xf>
    <xf numFmtId="0" fontId="7" fillId="0" borderId="8" xfId="0" applyFont="1" applyFill="1" applyBorder="1" applyAlignment="1">
      <alignment horizontal="left"/>
    </xf>
    <xf numFmtId="176" fontId="7" fillId="0" borderId="8" xfId="0" applyNumberFormat="1" applyFont="1" applyFill="1" applyBorder="1" applyAlignment="1">
      <alignment horizontal="left"/>
    </xf>
    <xf numFmtId="0" fontId="7" fillId="0" borderId="0" xfId="0" applyFont="1" applyFill="1" applyAlignment="1">
      <alignment horizontal="left"/>
    </xf>
    <xf numFmtId="10" fontId="7" fillId="0" borderId="8" xfId="0" applyNumberFormat="1" applyFont="1" applyFill="1" applyBorder="1" applyAlignment="1">
      <alignment horizontal="left"/>
    </xf>
    <xf numFmtId="2" fontId="7" fillId="0" borderId="8" xfId="0" applyNumberFormat="1" applyFont="1" applyFill="1" applyBorder="1" applyAlignment="1">
      <alignment horizontal="left"/>
    </xf>
    <xf numFmtId="1" fontId="7" fillId="0" borderId="8" xfId="0" applyNumberFormat="1" applyFont="1" applyFill="1" applyBorder="1" applyAlignment="1">
      <alignment horizontal="left"/>
    </xf>
    <xf numFmtId="10" fontId="7" fillId="0" borderId="0" xfId="0" applyNumberFormat="1" applyFont="1" applyFill="1" applyAlignment="1">
      <alignment horizontal="left"/>
    </xf>
    <xf numFmtId="10" fontId="0" fillId="0" borderId="0" xfId="0" applyNumberFormat="1" applyFont="1" applyFill="1" applyAlignment="1">
      <alignment horizontal="left"/>
    </xf>
    <xf numFmtId="0" fontId="45" fillId="39" borderId="0" xfId="0" applyFont="1" applyFill="1" applyAlignment="1"/>
    <xf numFmtId="0" fontId="43" fillId="0" borderId="4" xfId="0" applyFont="1" applyFill="1" applyBorder="1" applyAlignment="1">
      <alignment horizontal="left"/>
    </xf>
    <xf numFmtId="0" fontId="0" fillId="0" borderId="0" xfId="0" applyFont="1" applyFill="1" applyBorder="1" applyAlignment="1">
      <alignment horizontal="left"/>
    </xf>
    <xf numFmtId="0" fontId="0" fillId="0" borderId="7" xfId="0" applyFont="1" applyFill="1" applyBorder="1" applyAlignment="1">
      <alignment horizontal="left"/>
    </xf>
    <xf numFmtId="0" fontId="0" fillId="0" borderId="10" xfId="0" applyFont="1" applyFill="1" applyBorder="1" applyAlignment="1">
      <alignment horizontal="left"/>
    </xf>
    <xf numFmtId="0" fontId="0" fillId="0" borderId="11" xfId="0" applyFont="1" applyFill="1" applyBorder="1" applyAlignment="1">
      <alignment horizontal="left"/>
    </xf>
    <xf numFmtId="0" fontId="7" fillId="4" borderId="9" xfId="0" applyFont="1" applyFill="1" applyBorder="1" applyAlignment="1">
      <alignment horizontal="right"/>
    </xf>
    <xf numFmtId="9" fontId="0" fillId="0" borderId="0" xfId="0" applyNumberFormat="1" applyFill="1" applyAlignment="1">
      <alignment horizontal="left"/>
    </xf>
    <xf numFmtId="9" fontId="7" fillId="0" borderId="0" xfId="0" applyNumberFormat="1" applyFont="1" applyFill="1" applyAlignment="1">
      <alignment horizontal="left"/>
    </xf>
    <xf numFmtId="0" fontId="4" fillId="4" borderId="0" xfId="0" applyFont="1" applyFill="1" applyAlignment="1">
      <alignment horizontal="left"/>
    </xf>
    <xf numFmtId="37" fontId="15" fillId="4" borderId="0" xfId="4" quotePrefix="1" applyNumberFormat="1" applyFont="1" applyFill="1" applyBorder="1" applyAlignment="1">
      <alignment horizontal="left" vertical="top"/>
    </xf>
    <xf numFmtId="0" fontId="7" fillId="5" borderId="0" xfId="0" applyFont="1" applyFill="1" applyAlignment="1">
      <alignment horizontal="center" vertical="center" wrapText="1"/>
    </xf>
    <xf numFmtId="0" fontId="7" fillId="0" borderId="0" xfId="0" applyFont="1" applyFill="1" applyAlignment="1">
      <alignment horizontal="center" vertical="center" wrapText="1"/>
    </xf>
    <xf numFmtId="4" fontId="7" fillId="0" borderId="0" xfId="0" applyNumberFormat="1" applyFont="1" applyFill="1" applyAlignment="1">
      <alignment horizontal="left"/>
    </xf>
    <xf numFmtId="176" fontId="10" fillId="0" borderId="0" xfId="0" applyNumberFormat="1" applyFont="1" applyFill="1" applyBorder="1" applyAlignment="1">
      <alignment horizontal="left"/>
    </xf>
    <xf numFmtId="0" fontId="7" fillId="0" borderId="0" xfId="0" applyFont="1" applyFill="1" applyBorder="1" applyAlignment="1">
      <alignment horizontal="left" vertical="top"/>
    </xf>
    <xf numFmtId="166" fontId="15" fillId="0" borderId="0" xfId="0" applyNumberFormat="1" applyFont="1" applyBorder="1" applyAlignment="1">
      <alignment horizontal="left"/>
    </xf>
    <xf numFmtId="0" fontId="10" fillId="4" borderId="8" xfId="0" applyFont="1" applyFill="1" applyBorder="1" applyAlignment="1">
      <alignment horizontal="left" vertical="center"/>
    </xf>
    <xf numFmtId="0" fontId="10" fillId="0" borderId="0" xfId="0" applyFont="1"/>
    <xf numFmtId="166" fontId="7" fillId="0" borderId="0" xfId="0" applyNumberFormat="1" applyFont="1" applyFill="1" applyAlignment="1">
      <alignment horizontal="left"/>
    </xf>
    <xf numFmtId="0" fontId="4" fillId="0" borderId="0" xfId="0" applyFont="1" applyFill="1" applyBorder="1" applyAlignment="1">
      <alignment horizontal="left"/>
    </xf>
    <xf numFmtId="177" fontId="7" fillId="4" borderId="8" xfId="3" applyNumberFormat="1" applyFont="1" applyFill="1" applyBorder="1" applyAlignment="1">
      <alignment vertical="center"/>
    </xf>
    <xf numFmtId="0" fontId="48" fillId="4" borderId="8" xfId="0" applyFont="1" applyFill="1" applyBorder="1" applyAlignment="1">
      <alignment vertical="center"/>
    </xf>
    <xf numFmtId="0" fontId="48" fillId="0" borderId="0" xfId="0" applyFont="1"/>
    <xf numFmtId="0" fontId="48" fillId="0" borderId="0" xfId="0" applyFont="1" applyAlignment="1">
      <alignment horizontal="right"/>
    </xf>
    <xf numFmtId="9" fontId="48" fillId="0" borderId="0" xfId="3" applyFont="1" applyAlignment="1">
      <alignment horizontal="left"/>
    </xf>
    <xf numFmtId="169" fontId="0" fillId="0" borderId="0" xfId="0" applyNumberFormat="1"/>
    <xf numFmtId="0" fontId="10" fillId="0" borderId="0" xfId="0" applyFont="1" applyAlignment="1">
      <alignment horizontal="right" vertical="center"/>
    </xf>
    <xf numFmtId="0" fontId="7" fillId="0" borderId="0" xfId="0" applyFont="1" applyAlignment="1">
      <alignment vertical="center"/>
    </xf>
    <xf numFmtId="0" fontId="7" fillId="4" borderId="0" xfId="0" applyFont="1" applyFill="1" applyAlignment="1">
      <alignment horizontal="right" vertical="center"/>
    </xf>
    <xf numFmtId="0" fontId="7" fillId="4" borderId="8" xfId="0" applyFont="1" applyFill="1" applyBorder="1" applyAlignment="1">
      <alignment horizontal="left" vertical="center"/>
    </xf>
    <xf numFmtId="0" fontId="4" fillId="4" borderId="16" xfId="0" applyFont="1" applyFill="1" applyBorder="1" applyAlignment="1">
      <alignment horizontal="center"/>
    </xf>
    <xf numFmtId="173" fontId="7" fillId="4" borderId="23" xfId="4" quotePrefix="1" applyNumberFormat="1" applyFont="1" applyFill="1" applyBorder="1" applyAlignment="1">
      <alignment horizontal="left" vertical="top"/>
    </xf>
    <xf numFmtId="173" fontId="7" fillId="4" borderId="39" xfId="4" quotePrefix="1" applyNumberFormat="1" applyFont="1" applyFill="1" applyBorder="1" applyAlignment="1">
      <alignment horizontal="left" vertical="top"/>
    </xf>
    <xf numFmtId="0" fontId="10" fillId="4" borderId="40" xfId="0" applyFont="1" applyFill="1" applyBorder="1" applyAlignment="1">
      <alignment horizontal="center" vertical="center"/>
    </xf>
    <xf numFmtId="0" fontId="10" fillId="4" borderId="41" xfId="0" applyFont="1" applyFill="1" applyBorder="1" applyAlignment="1">
      <alignment horizontal="center" vertical="center"/>
    </xf>
    <xf numFmtId="0" fontId="10" fillId="4" borderId="34" xfId="0" applyFont="1" applyFill="1" applyBorder="1" applyAlignment="1">
      <alignment horizontal="center" vertical="center" wrapText="1"/>
    </xf>
    <xf numFmtId="173" fontId="7" fillId="4" borderId="33" xfId="4" quotePrefix="1" applyNumberFormat="1" applyFont="1" applyFill="1" applyBorder="1" applyAlignment="1">
      <alignment horizontal="left" vertical="top"/>
    </xf>
    <xf numFmtId="0" fontId="49" fillId="4" borderId="0" xfId="82" applyFont="1" applyFill="1" applyAlignment="1">
      <alignment horizontal="center"/>
    </xf>
    <xf numFmtId="0" fontId="35" fillId="4" borderId="0" xfId="82" applyFont="1" applyFill="1" applyAlignment="1">
      <alignment horizontal="center"/>
    </xf>
    <xf numFmtId="169" fontId="51" fillId="0" borderId="33" xfId="83" applyNumberFormat="1" applyFont="1" applyFill="1" applyBorder="1" applyAlignment="1">
      <alignment horizontal="center"/>
    </xf>
    <xf numFmtId="169" fontId="51" fillId="0" borderId="37" xfId="83" applyNumberFormat="1" applyFont="1" applyFill="1" applyBorder="1" applyAlignment="1">
      <alignment horizontal="center"/>
    </xf>
    <xf numFmtId="169" fontId="51" fillId="0" borderId="36" xfId="83" applyNumberFormat="1" applyFont="1" applyFill="1" applyBorder="1" applyAlignment="1">
      <alignment horizontal="center"/>
    </xf>
    <xf numFmtId="169" fontId="51" fillId="0" borderId="23" xfId="83" applyNumberFormat="1" applyFont="1" applyFill="1" applyBorder="1" applyAlignment="1">
      <alignment horizontal="center"/>
    </xf>
    <xf numFmtId="169" fontId="51" fillId="0" borderId="0" xfId="83" applyNumberFormat="1" applyFont="1" applyFill="1" applyBorder="1" applyAlignment="1">
      <alignment horizontal="center"/>
    </xf>
    <xf numFmtId="169" fontId="51" fillId="0" borderId="38" xfId="83" applyNumberFormat="1" applyFont="1" applyFill="1" applyBorder="1" applyAlignment="1">
      <alignment horizontal="center"/>
    </xf>
    <xf numFmtId="0" fontId="49" fillId="4" borderId="16" xfId="82" applyFont="1" applyFill="1" applyBorder="1" applyAlignment="1">
      <alignment horizontal="center"/>
    </xf>
    <xf numFmtId="169" fontId="51" fillId="0" borderId="39" xfId="83" applyNumberFormat="1" applyFont="1" applyFill="1" applyBorder="1" applyAlignment="1">
      <alignment horizontal="center"/>
    </xf>
    <xf numFmtId="169" fontId="51" fillId="0" borderId="16" xfId="83" applyNumberFormat="1" applyFont="1" applyFill="1" applyBorder="1" applyAlignment="1">
      <alignment horizontal="center"/>
    </xf>
    <xf numFmtId="169" fontId="51" fillId="0" borderId="35" xfId="83" applyNumberFormat="1" applyFont="1" applyFill="1" applyBorder="1" applyAlignment="1">
      <alignment horizontal="center"/>
    </xf>
    <xf numFmtId="0" fontId="49" fillId="4" borderId="37" xfId="82" applyFont="1" applyFill="1" applyBorder="1" applyAlignment="1">
      <alignment horizontal="center"/>
    </xf>
    <xf numFmtId="0" fontId="7" fillId="0" borderId="0" xfId="0" applyNumberFormat="1" applyFont="1" applyFill="1" applyBorder="1" applyAlignment="1">
      <alignment horizontal="left"/>
    </xf>
    <xf numFmtId="0" fontId="4" fillId="4" borderId="8" xfId="0" applyFont="1" applyFill="1" applyBorder="1" applyAlignment="1">
      <alignment horizontal="center"/>
    </xf>
    <xf numFmtId="0" fontId="4" fillId="4" borderId="0" xfId="0" applyFont="1" applyFill="1" applyBorder="1" applyAlignment="1">
      <alignment horizontal="center" wrapText="1"/>
    </xf>
    <xf numFmtId="0" fontId="4" fillId="4" borderId="0" xfId="0" applyFont="1" applyFill="1" applyBorder="1" applyAlignment="1">
      <alignment wrapText="1"/>
    </xf>
    <xf numFmtId="0" fontId="4" fillId="4" borderId="0" xfId="0" applyFont="1" applyFill="1" applyBorder="1" applyAlignment="1">
      <alignment horizontal="right" wrapText="1"/>
    </xf>
    <xf numFmtId="0" fontId="4" fillId="4" borderId="0" xfId="0" applyFont="1" applyFill="1" applyBorder="1" applyAlignment="1">
      <alignment horizontal="left" wrapText="1"/>
    </xf>
    <xf numFmtId="173" fontId="7" fillId="4" borderId="40" xfId="4" quotePrefix="1" applyNumberFormat="1" applyFont="1" applyFill="1" applyBorder="1" applyAlignment="1">
      <alignment horizontal="left" vertical="top"/>
    </xf>
    <xf numFmtId="0" fontId="49" fillId="4" borderId="41" xfId="82" applyFont="1" applyFill="1" applyBorder="1" applyAlignment="1">
      <alignment horizontal="center"/>
    </xf>
    <xf numFmtId="169" fontId="51" fillId="0" borderId="41" xfId="83" applyNumberFormat="1" applyFont="1" applyFill="1" applyBorder="1" applyAlignment="1">
      <alignment horizontal="center"/>
    </xf>
    <xf numFmtId="0" fontId="35" fillId="4" borderId="40" xfId="82" applyFont="1" applyFill="1" applyBorder="1" applyAlignment="1">
      <alignment horizontal="center" vertical="center"/>
    </xf>
    <xf numFmtId="0" fontId="35" fillId="4" borderId="41" xfId="82" applyFont="1" applyFill="1" applyBorder="1" applyAlignment="1">
      <alignment horizontal="center" vertical="center"/>
    </xf>
    <xf numFmtId="0" fontId="35" fillId="4" borderId="34" xfId="82" applyFont="1" applyFill="1" applyBorder="1" applyAlignment="1">
      <alignment horizontal="center" vertical="center"/>
    </xf>
    <xf numFmtId="0" fontId="4" fillId="0" borderId="0" xfId="0" applyFont="1"/>
    <xf numFmtId="0" fontId="10" fillId="4" borderId="34" xfId="0" applyFont="1" applyFill="1" applyBorder="1" applyAlignment="1">
      <alignment horizontal="center"/>
    </xf>
    <xf numFmtId="0" fontId="35" fillId="4" borderId="40" xfId="82" applyFont="1" applyFill="1" applyBorder="1" applyAlignment="1">
      <alignment horizontal="center"/>
    </xf>
    <xf numFmtId="0" fontId="4" fillId="4" borderId="41" xfId="0" applyFont="1" applyFill="1" applyBorder="1" applyAlignment="1">
      <alignment horizontal="center"/>
    </xf>
    <xf numFmtId="169" fontId="51" fillId="0" borderId="40" xfId="83" applyNumberFormat="1" applyFont="1" applyFill="1" applyBorder="1" applyAlignment="1">
      <alignment horizontal="center"/>
    </xf>
    <xf numFmtId="169" fontId="7" fillId="0" borderId="34" xfId="4" quotePrefix="1" applyNumberFormat="1" applyFont="1" applyFill="1" applyBorder="1" applyAlignment="1">
      <alignment horizontal="center"/>
    </xf>
    <xf numFmtId="0" fontId="10" fillId="4" borderId="34" xfId="0" applyFont="1" applyFill="1" applyBorder="1" applyAlignment="1">
      <alignment horizontal="center" vertical="center"/>
    </xf>
    <xf numFmtId="0" fontId="49" fillId="4" borderId="34" xfId="82" applyFont="1" applyFill="1" applyBorder="1" applyAlignment="1">
      <alignment horizontal="center"/>
    </xf>
    <xf numFmtId="0" fontId="0" fillId="5" borderId="0" xfId="0" applyFill="1" applyBorder="1"/>
    <xf numFmtId="0" fontId="49" fillId="4" borderId="0" xfId="80" applyFont="1" applyFill="1" applyAlignment="1">
      <alignment horizontal="center"/>
    </xf>
    <xf numFmtId="0" fontId="35" fillId="4" borderId="0" xfId="80" applyFont="1" applyFill="1" applyAlignment="1">
      <alignment horizontal="center"/>
    </xf>
    <xf numFmtId="169" fontId="51" fillId="0" borderId="23" xfId="81" applyNumberFormat="1" applyFont="1" applyFill="1" applyBorder="1" applyAlignment="1">
      <alignment horizontal="center"/>
    </xf>
    <xf numFmtId="169" fontId="51" fillId="0" borderId="0" xfId="81" applyNumberFormat="1" applyFont="1" applyFill="1" applyBorder="1" applyAlignment="1">
      <alignment horizontal="center"/>
    </xf>
    <xf numFmtId="169" fontId="51" fillId="0" borderId="38" xfId="81" applyNumberFormat="1" applyFont="1" applyFill="1" applyBorder="1" applyAlignment="1">
      <alignment horizontal="center"/>
    </xf>
    <xf numFmtId="0" fontId="49" fillId="4" borderId="16" xfId="80" applyFont="1" applyFill="1" applyBorder="1" applyAlignment="1">
      <alignment horizontal="center"/>
    </xf>
    <xf numFmtId="169" fontId="51" fillId="0" borderId="39" xfId="81" applyNumberFormat="1" applyFont="1" applyFill="1" applyBorder="1" applyAlignment="1">
      <alignment horizontal="center"/>
    </xf>
    <xf numFmtId="169" fontId="51" fillId="0" borderId="16" xfId="81" applyNumberFormat="1" applyFont="1" applyFill="1" applyBorder="1" applyAlignment="1">
      <alignment horizontal="center"/>
    </xf>
    <xf numFmtId="169" fontId="51" fillId="0" borderId="35" xfId="81" applyNumberFormat="1" applyFont="1" applyFill="1" applyBorder="1" applyAlignment="1">
      <alignment horizontal="center"/>
    </xf>
    <xf numFmtId="0" fontId="7" fillId="0" borderId="0" xfId="0" applyFont="1" applyFill="1" applyBorder="1" applyAlignment="1"/>
    <xf numFmtId="10" fontId="7" fillId="0" borderId="0" xfId="0" applyNumberFormat="1" applyFont="1" applyAlignment="1">
      <alignment horizontal="left"/>
    </xf>
    <xf numFmtId="0" fontId="4" fillId="0" borderId="16" xfId="0" applyFont="1" applyBorder="1"/>
    <xf numFmtId="0" fontId="7" fillId="4" borderId="20" xfId="0" applyFont="1" applyFill="1" applyBorder="1" applyAlignment="1">
      <alignment horizontal="left"/>
    </xf>
    <xf numFmtId="0" fontId="7" fillId="4" borderId="8" xfId="0" applyFont="1" applyFill="1" applyBorder="1" applyAlignment="1">
      <alignment horizontal="left"/>
    </xf>
    <xf numFmtId="0" fontId="7" fillId="4" borderId="9" xfId="0" applyFont="1" applyFill="1" applyBorder="1" applyAlignment="1">
      <alignment horizontal="left"/>
    </xf>
    <xf numFmtId="14" fontId="7" fillId="4" borderId="20" xfId="0" applyNumberFormat="1" applyFont="1" applyFill="1" applyBorder="1" applyAlignment="1">
      <alignment horizontal="left"/>
    </xf>
    <xf numFmtId="9" fontId="7" fillId="0" borderId="0" xfId="3" applyFont="1" applyBorder="1" applyAlignment="1">
      <alignment horizontal="left"/>
    </xf>
    <xf numFmtId="9" fontId="7" fillId="0" borderId="0" xfId="4" applyNumberFormat="1" applyFont="1" applyFill="1" applyBorder="1" applyAlignment="1">
      <alignment horizontal="left"/>
    </xf>
    <xf numFmtId="0" fontId="7" fillId="0" borderId="0" xfId="4" applyNumberFormat="1" applyFont="1" applyFill="1" applyBorder="1" applyAlignment="1">
      <alignment horizontal="left"/>
    </xf>
    <xf numFmtId="2" fontId="0" fillId="0" borderId="0" xfId="0" applyNumberFormat="1" applyAlignment="1">
      <alignment horizontal="left"/>
    </xf>
    <xf numFmtId="10" fontId="7" fillId="0" borderId="0" xfId="4" applyNumberFormat="1" applyFont="1" applyFill="1" applyBorder="1" applyAlignment="1">
      <alignment horizontal="left"/>
    </xf>
    <xf numFmtId="0" fontId="0" fillId="4" borderId="0" xfId="0" applyFill="1"/>
    <xf numFmtId="0" fontId="4" fillId="0" borderId="0" xfId="0" applyFont="1" applyAlignment="1">
      <alignment horizontal="left"/>
    </xf>
    <xf numFmtId="0" fontId="0" fillId="4" borderId="0" xfId="0" applyFill="1" applyAlignment="1">
      <alignment horizontal="left" vertical="top"/>
    </xf>
    <xf numFmtId="0" fontId="7" fillId="4" borderId="0" xfId="0" applyFont="1" applyFill="1" applyAlignment="1">
      <alignment horizontal="left" vertical="center"/>
    </xf>
    <xf numFmtId="0" fontId="4" fillId="4" borderId="0" xfId="0" applyFont="1" applyFill="1"/>
    <xf numFmtId="0" fontId="4" fillId="4" borderId="42" xfId="0" applyFont="1" applyFill="1" applyBorder="1" applyAlignment="1">
      <alignment horizontal="right"/>
    </xf>
    <xf numFmtId="0" fontId="4" fillId="4" borderId="43" xfId="0" applyFont="1" applyFill="1" applyBorder="1" applyAlignment="1">
      <alignment horizontal="right"/>
    </xf>
    <xf numFmtId="0" fontId="0" fillId="4" borderId="43" xfId="0" applyFill="1" applyBorder="1" applyAlignment="1">
      <alignment horizontal="right"/>
    </xf>
    <xf numFmtId="0" fontId="4" fillId="4" borderId="15" xfId="0" applyFont="1" applyFill="1" applyBorder="1" applyAlignment="1">
      <alignment horizontal="right"/>
    </xf>
    <xf numFmtId="0" fontId="0" fillId="4" borderId="44" xfId="0" applyFill="1" applyBorder="1" applyAlignment="1">
      <alignment horizontal="right"/>
    </xf>
    <xf numFmtId="0" fontId="7" fillId="4" borderId="21" xfId="0" applyFont="1" applyFill="1" applyBorder="1" applyAlignment="1">
      <alignment vertical="center"/>
    </xf>
    <xf numFmtId="0" fontId="7" fillId="0" borderId="21" xfId="0" applyFont="1" applyBorder="1" applyAlignment="1">
      <alignment horizontal="right"/>
    </xf>
    <xf numFmtId="10" fontId="7" fillId="0" borderId="21" xfId="0" applyNumberFormat="1" applyFont="1" applyBorder="1" applyAlignment="1">
      <alignment horizontal="left"/>
    </xf>
    <xf numFmtId="0" fontId="4" fillId="0" borderId="8" xfId="0" applyFont="1" applyBorder="1" applyAlignment="1">
      <alignment horizontal="right"/>
    </xf>
    <xf numFmtId="0" fontId="18" fillId="4" borderId="0" xfId="0" applyFont="1" applyFill="1" applyAlignment="1">
      <alignment vertical="center"/>
    </xf>
    <xf numFmtId="0" fontId="12" fillId="0" borderId="0" xfId="0" applyFont="1" applyAlignment="1">
      <alignment horizontal="right"/>
    </xf>
    <xf numFmtId="0" fontId="0" fillId="4" borderId="10" xfId="0" applyFill="1" applyBorder="1" applyAlignment="1">
      <alignment horizontal="left"/>
    </xf>
    <xf numFmtId="0" fontId="0" fillId="0" borderId="0" xfId="0" applyAlignment="1">
      <alignment horizontal="center"/>
    </xf>
    <xf numFmtId="0" fontId="7" fillId="0" borderId="45" xfId="0" applyFont="1" applyBorder="1" applyAlignment="1">
      <alignment horizontal="left"/>
    </xf>
    <xf numFmtId="10" fontId="0" fillId="0" borderId="0" xfId="3" applyNumberFormat="1" applyFont="1" applyAlignment="1">
      <alignment horizontal="left"/>
    </xf>
    <xf numFmtId="0" fontId="4" fillId="4" borderId="0" xfId="0" applyFont="1" applyFill="1" applyAlignment="1">
      <alignment horizontal="center" wrapText="1"/>
    </xf>
    <xf numFmtId="0" fontId="4" fillId="4" borderId="0" xfId="0" applyFont="1" applyFill="1" applyAlignment="1">
      <alignment wrapText="1"/>
    </xf>
    <xf numFmtId="0" fontId="4" fillId="4" borderId="0" xfId="0" applyFont="1" applyFill="1" applyAlignment="1">
      <alignment horizontal="right" wrapText="1"/>
    </xf>
    <xf numFmtId="0" fontId="4" fillId="4" borderId="0" xfId="0" applyFont="1" applyFill="1" applyAlignment="1">
      <alignment horizontal="left" wrapText="1"/>
    </xf>
    <xf numFmtId="166" fontId="7" fillId="0" borderId="0" xfId="0" applyNumberFormat="1" applyFont="1" applyAlignment="1">
      <alignment horizontal="left"/>
    </xf>
    <xf numFmtId="170" fontId="7" fillId="0" borderId="0" xfId="0" applyNumberFormat="1" applyFont="1" applyAlignment="1">
      <alignment horizontal="left"/>
    </xf>
    <xf numFmtId="164" fontId="7" fillId="0" borderId="0" xfId="3" applyNumberFormat="1" applyFont="1" applyFill="1" applyBorder="1" applyAlignment="1">
      <alignment horizontal="left"/>
    </xf>
    <xf numFmtId="0" fontId="7" fillId="4" borderId="46" xfId="0" applyFont="1" applyFill="1" applyBorder="1" applyAlignment="1">
      <alignment vertical="center"/>
    </xf>
    <xf numFmtId="166" fontId="7" fillId="0" borderId="0" xfId="0" applyNumberFormat="1" applyFont="1" applyAlignment="1">
      <alignment horizontal="right"/>
    </xf>
    <xf numFmtId="0" fontId="7" fillId="4" borderId="23" xfId="0" applyFont="1" applyFill="1" applyBorder="1" applyAlignment="1">
      <alignment vertical="center"/>
    </xf>
    <xf numFmtId="178" fontId="7" fillId="0" borderId="0" xfId="0" applyNumberFormat="1" applyFont="1" applyAlignment="1">
      <alignment horizontal="left"/>
    </xf>
    <xf numFmtId="14" fontId="7" fillId="0" borderId="0" xfId="0" applyNumberFormat="1" applyFont="1" applyAlignment="1">
      <alignment horizontal="left"/>
    </xf>
    <xf numFmtId="0" fontId="7" fillId="4" borderId="8" xfId="0" applyNumberFormat="1" applyFont="1" applyFill="1" applyBorder="1" applyAlignment="1">
      <alignment horizontal="right" vertical="center"/>
    </xf>
    <xf numFmtId="10" fontId="0" fillId="0" borderId="0" xfId="0" applyNumberFormat="1" applyAlignment="1">
      <alignment horizontal="left"/>
    </xf>
    <xf numFmtId="9" fontId="0" fillId="0" borderId="0" xfId="3" applyFont="1" applyAlignment="1">
      <alignment horizontal="left"/>
    </xf>
    <xf numFmtId="166" fontId="7" fillId="41" borderId="7" xfId="0" applyNumberFormat="1" applyFont="1" applyFill="1" applyBorder="1" applyAlignment="1">
      <alignment horizontal="left"/>
    </xf>
    <xf numFmtId="0" fontId="7" fillId="41" borderId="7" xfId="0" applyFont="1" applyFill="1" applyBorder="1" applyAlignment="1">
      <alignment horizontal="left"/>
    </xf>
    <xf numFmtId="0" fontId="43" fillId="0" borderId="0" xfId="0" applyFont="1" applyFill="1" applyBorder="1" applyAlignment="1">
      <alignment horizontal="left"/>
    </xf>
    <xf numFmtId="0" fontId="43" fillId="0" borderId="0" xfId="0" applyFont="1" applyFill="1" applyAlignment="1">
      <alignment horizontal="left"/>
    </xf>
    <xf numFmtId="2" fontId="7" fillId="0" borderId="10" xfId="3" applyNumberFormat="1" applyFont="1" applyFill="1" applyBorder="1" applyAlignment="1">
      <alignment horizontal="left" wrapText="1"/>
    </xf>
    <xf numFmtId="2" fontId="7" fillId="0" borderId="0" xfId="3" applyNumberFormat="1" applyFont="1" applyFill="1" applyBorder="1" applyAlignment="1">
      <alignment horizontal="left" wrapText="1"/>
    </xf>
    <xf numFmtId="1" fontId="50" fillId="0" borderId="0" xfId="0" applyNumberFormat="1" applyFont="1" applyFill="1" applyBorder="1" applyAlignment="1">
      <alignment horizontal="left"/>
    </xf>
    <xf numFmtId="1" fontId="7" fillId="0" borderId="0" xfId="0" applyNumberFormat="1" applyFont="1" applyFill="1" applyAlignment="1">
      <alignment horizontal="left"/>
    </xf>
    <xf numFmtId="0" fontId="7" fillId="0" borderId="19" xfId="0" applyFont="1" applyFill="1" applyBorder="1" applyAlignment="1">
      <alignment horizontal="left"/>
    </xf>
    <xf numFmtId="9" fontId="43" fillId="0" borderId="0" xfId="0" applyNumberFormat="1" applyFont="1" applyFill="1" applyAlignment="1">
      <alignment horizontal="left"/>
    </xf>
    <xf numFmtId="0" fontId="0" fillId="0" borderId="8" xfId="0" applyFill="1" applyBorder="1" applyAlignment="1">
      <alignment horizontal="left"/>
    </xf>
    <xf numFmtId="0" fontId="4" fillId="0" borderId="4" xfId="0" applyFont="1" applyFill="1" applyBorder="1" applyAlignment="1">
      <alignment horizontal="left"/>
    </xf>
    <xf numFmtId="0" fontId="0" fillId="0" borderId="10" xfId="0" applyFill="1" applyBorder="1" applyAlignment="1">
      <alignment horizontal="left"/>
    </xf>
    <xf numFmtId="10" fontId="0" fillId="0" borderId="0" xfId="0" applyNumberFormat="1" applyFill="1" applyAlignment="1">
      <alignment horizontal="left"/>
    </xf>
    <xf numFmtId="164" fontId="10" fillId="0" borderId="0" xfId="0" applyNumberFormat="1" applyFont="1" applyFill="1" applyBorder="1" applyAlignment="1">
      <alignment horizontal="left"/>
    </xf>
    <xf numFmtId="164" fontId="7" fillId="0" borderId="0" xfId="0" applyNumberFormat="1" applyFont="1" applyFill="1" applyBorder="1" applyAlignment="1">
      <alignment horizontal="left"/>
    </xf>
    <xf numFmtId="0" fontId="15" fillId="0" borderId="7" xfId="0" applyFont="1" applyFill="1" applyBorder="1" applyAlignment="1">
      <alignment horizontal="left"/>
    </xf>
    <xf numFmtId="168" fontId="7" fillId="0" borderId="0" xfId="0" applyNumberFormat="1" applyFont="1" applyFill="1" applyBorder="1" applyAlignment="1">
      <alignment horizontal="left"/>
    </xf>
    <xf numFmtId="169" fontId="7" fillId="40" borderId="0" xfId="3" applyNumberFormat="1" applyFont="1" applyFill="1" applyBorder="1" applyAlignment="1">
      <alignment horizontal="left"/>
    </xf>
    <xf numFmtId="173" fontId="7" fillId="43" borderId="0" xfId="4" quotePrefix="1" applyNumberFormat="1" applyFont="1" applyFill="1" applyBorder="1" applyAlignment="1">
      <alignment horizontal="left" vertical="top"/>
    </xf>
    <xf numFmtId="177" fontId="7" fillId="43" borderId="0" xfId="3" applyNumberFormat="1" applyFont="1" applyFill="1" applyBorder="1" applyAlignment="1">
      <alignment horizontal="left"/>
    </xf>
    <xf numFmtId="166" fontId="7" fillId="43" borderId="0" xfId="0" applyNumberFormat="1" applyFont="1" applyFill="1" applyBorder="1" applyAlignment="1">
      <alignment horizontal="left"/>
    </xf>
    <xf numFmtId="164" fontId="15" fillId="43" borderId="0" xfId="0" applyNumberFormat="1" applyFont="1" applyFill="1" applyBorder="1" applyAlignment="1">
      <alignment horizontal="left"/>
    </xf>
    <xf numFmtId="37" fontId="7" fillId="43" borderId="0" xfId="4" quotePrefix="1" applyNumberFormat="1" applyFont="1" applyFill="1" applyBorder="1" applyAlignment="1">
      <alignment horizontal="left" vertical="top"/>
    </xf>
    <xf numFmtId="0" fontId="15" fillId="43" borderId="0" xfId="0" applyFont="1" applyFill="1" applyBorder="1" applyAlignment="1">
      <alignment horizontal="right"/>
    </xf>
    <xf numFmtId="0" fontId="47" fillId="43" borderId="0" xfId="0" applyFont="1" applyFill="1" applyBorder="1" applyAlignment="1">
      <alignment horizontal="left"/>
    </xf>
    <xf numFmtId="0" fontId="46" fillId="43" borderId="0" xfId="0" applyFont="1" applyFill="1" applyBorder="1" applyAlignment="1">
      <alignment horizontal="left"/>
    </xf>
    <xf numFmtId="10" fontId="7" fillId="43" borderId="0" xfId="0" applyNumberFormat="1" applyFont="1" applyFill="1" applyBorder="1" applyAlignment="1">
      <alignment horizontal="left"/>
    </xf>
    <xf numFmtId="0" fontId="0" fillId="43" borderId="0" xfId="0" applyFill="1" applyBorder="1" applyAlignment="1">
      <alignment horizontal="left"/>
    </xf>
    <xf numFmtId="169" fontId="7" fillId="43" borderId="0" xfId="0" applyNumberFormat="1" applyFont="1" applyFill="1" applyBorder="1" applyAlignment="1">
      <alignment horizontal="left"/>
    </xf>
    <xf numFmtId="10" fontId="7" fillId="43" borderId="0" xfId="0" applyNumberFormat="1" applyFont="1" applyFill="1" applyAlignment="1">
      <alignment horizontal="left"/>
    </xf>
    <xf numFmtId="173" fontId="0" fillId="43" borderId="0" xfId="4" quotePrefix="1" applyNumberFormat="1" applyFont="1" applyFill="1" applyBorder="1" applyAlignment="1">
      <alignment horizontal="right" vertical="top"/>
    </xf>
    <xf numFmtId="0" fontId="0" fillId="5" borderId="0" xfId="0" applyFill="1" applyAlignment="1"/>
    <xf numFmtId="10" fontId="7" fillId="43" borderId="0" xfId="3" applyNumberFormat="1" applyFont="1" applyFill="1" applyBorder="1" applyAlignment="1">
      <alignment horizontal="left"/>
    </xf>
    <xf numFmtId="9" fontId="7" fillId="43" borderId="0" xfId="3" applyFont="1" applyFill="1" applyBorder="1" applyAlignment="1">
      <alignment horizontal="left"/>
    </xf>
    <xf numFmtId="9" fontId="0" fillId="43" borderId="0" xfId="3" applyFont="1" applyFill="1" applyBorder="1" applyAlignment="1">
      <alignment horizontal="left"/>
    </xf>
    <xf numFmtId="0" fontId="0" fillId="4" borderId="0" xfId="0" quotePrefix="1" applyFont="1" applyFill="1" applyBorder="1" applyAlignment="1">
      <alignment horizontal="left"/>
    </xf>
    <xf numFmtId="0" fontId="7" fillId="4" borderId="8" xfId="0" quotePrefix="1" applyFont="1" applyFill="1" applyBorder="1" applyAlignment="1">
      <alignment vertical="center"/>
    </xf>
    <xf numFmtId="3" fontId="7" fillId="43" borderId="0" xfId="3" applyNumberFormat="1" applyFont="1" applyFill="1" applyBorder="1" applyAlignment="1">
      <alignment horizontal="left"/>
    </xf>
    <xf numFmtId="174" fontId="7" fillId="43" borderId="0" xfId="3" applyNumberFormat="1" applyFont="1" applyFill="1" applyBorder="1" applyAlignment="1">
      <alignment horizontal="left"/>
    </xf>
    <xf numFmtId="169" fontId="7" fillId="44" borderId="0" xfId="0" applyNumberFormat="1" applyFont="1" applyFill="1" applyBorder="1" applyAlignment="1">
      <alignment horizontal="left"/>
    </xf>
    <xf numFmtId="0" fontId="0" fillId="43" borderId="8" xfId="0" applyFill="1" applyBorder="1" applyAlignment="1">
      <alignment horizontal="left"/>
    </xf>
    <xf numFmtId="0" fontId="15" fillId="0" borderId="0" xfId="0" applyFont="1"/>
    <xf numFmtId="0" fontId="15" fillId="0" borderId="0" xfId="0" applyFont="1" applyFill="1"/>
    <xf numFmtId="0" fontId="7" fillId="5" borderId="0" xfId="0" applyFont="1" applyFill="1" applyAlignment="1"/>
    <xf numFmtId="0" fontId="43" fillId="0" borderId="0" xfId="0" applyFont="1" applyBorder="1" applyAlignment="1">
      <alignment horizontal="left"/>
    </xf>
    <xf numFmtId="0" fontId="7" fillId="0" borderId="0" xfId="0" applyFont="1" applyAlignment="1">
      <alignment horizontal="left" vertical="top"/>
    </xf>
    <xf numFmtId="6" fontId="7" fillId="0" borderId="0" xfId="0" applyNumberFormat="1" applyFont="1" applyAlignment="1">
      <alignment horizontal="left"/>
    </xf>
    <xf numFmtId="176" fontId="7" fillId="0" borderId="0" xfId="0" applyNumberFormat="1" applyFont="1" applyAlignment="1">
      <alignment horizontal="left"/>
    </xf>
    <xf numFmtId="1" fontId="7" fillId="0" borderId="0" xfId="0" applyNumberFormat="1" applyFont="1" applyAlignment="1">
      <alignment horizontal="left"/>
    </xf>
    <xf numFmtId="176" fontId="10" fillId="0" borderId="0" xfId="0" applyNumberFormat="1" applyFont="1" applyAlignment="1">
      <alignment horizontal="left"/>
    </xf>
    <xf numFmtId="169" fontId="7" fillId="0" borderId="0" xfId="0" applyNumberFormat="1" applyFont="1" applyAlignment="1">
      <alignment horizontal="left"/>
    </xf>
    <xf numFmtId="0" fontId="43" fillId="0" borderId="0" xfId="0" applyFont="1" applyAlignment="1">
      <alignment horizontal="left"/>
    </xf>
    <xf numFmtId="0" fontId="7" fillId="0" borderId="0" xfId="0" applyFont="1" applyAlignment="1">
      <alignment horizontal="left" vertical="top" wrapText="1"/>
    </xf>
    <xf numFmtId="0" fontId="7" fillId="0" borderId="0" xfId="0" applyFont="1" applyAlignment="1">
      <alignment horizontal="left" wrapText="1"/>
    </xf>
    <xf numFmtId="2" fontId="7" fillId="0" borderId="0" xfId="0" applyNumberFormat="1" applyFont="1" applyAlignment="1">
      <alignment horizontal="left"/>
    </xf>
    <xf numFmtId="2" fontId="7" fillId="0" borderId="0" xfId="3" applyNumberFormat="1" applyFont="1" applyBorder="1" applyAlignment="1">
      <alignment horizontal="left" wrapText="1"/>
    </xf>
    <xf numFmtId="2" fontId="7" fillId="0" borderId="10" xfId="3" applyNumberFormat="1" applyFont="1" applyBorder="1" applyAlignment="1">
      <alignment horizontal="left" wrapText="1"/>
    </xf>
    <xf numFmtId="9" fontId="7" fillId="0" borderId="0" xfId="3" applyFont="1" applyFill="1" applyBorder="1" applyAlignment="1">
      <alignment horizontal="left"/>
    </xf>
    <xf numFmtId="9" fontId="0" fillId="0" borderId="0" xfId="3" applyFont="1" applyBorder="1" applyAlignment="1">
      <alignment horizontal="left"/>
    </xf>
    <xf numFmtId="10" fontId="7" fillId="5" borderId="0" xfId="3" applyNumberFormat="1" applyFont="1" applyFill="1" applyBorder="1" applyAlignment="1">
      <alignment horizontal="left"/>
    </xf>
    <xf numFmtId="3" fontId="7" fillId="5" borderId="0" xfId="3" applyNumberFormat="1" applyFont="1" applyFill="1" applyBorder="1" applyAlignment="1">
      <alignment horizontal="left"/>
    </xf>
    <xf numFmtId="4" fontId="7" fillId="0" borderId="0" xfId="0" applyNumberFormat="1" applyFont="1" applyAlignment="1">
      <alignment horizontal="left"/>
    </xf>
    <xf numFmtId="0" fontId="7" fillId="39" borderId="0" xfId="0" applyFont="1" applyFill="1" applyAlignment="1">
      <alignment horizontal="left"/>
    </xf>
    <xf numFmtId="10" fontId="7" fillId="39" borderId="0" xfId="4" applyNumberFormat="1" applyFont="1" applyFill="1" applyBorder="1" applyAlignment="1">
      <alignment horizontal="left"/>
    </xf>
    <xf numFmtId="1" fontId="50" fillId="39" borderId="0" xfId="0" applyNumberFormat="1" applyFont="1" applyFill="1" applyAlignment="1">
      <alignment horizontal="left"/>
    </xf>
    <xf numFmtId="3" fontId="7" fillId="0" borderId="0" xfId="3" applyNumberFormat="1" applyFont="1" applyFill="1" applyBorder="1" applyAlignment="1">
      <alignment horizontal="right" vertical="top" wrapText="1"/>
    </xf>
    <xf numFmtId="0" fontId="6" fillId="0" borderId="0" xfId="1" applyFill="1" applyBorder="1" applyAlignment="1">
      <alignment horizontal="left"/>
    </xf>
    <xf numFmtId="166" fontId="7" fillId="0" borderId="7" xfId="0" applyNumberFormat="1" applyFont="1" applyBorder="1" applyAlignment="1">
      <alignment horizontal="left"/>
    </xf>
    <xf numFmtId="164" fontId="10" fillId="0" borderId="0" xfId="0" applyNumberFormat="1" applyFont="1" applyAlignment="1">
      <alignment horizontal="left"/>
    </xf>
    <xf numFmtId="164" fontId="7" fillId="0" borderId="0" xfId="0" applyNumberFormat="1" applyFont="1" applyAlignment="1">
      <alignment horizontal="left"/>
    </xf>
    <xf numFmtId="0" fontId="15" fillId="0" borderId="0" xfId="0" applyFont="1" applyAlignment="1">
      <alignment horizontal="left"/>
    </xf>
    <xf numFmtId="168" fontId="7" fillId="0" borderId="0" xfId="0" applyNumberFormat="1" applyFont="1" applyAlignment="1">
      <alignment horizontal="left"/>
    </xf>
    <xf numFmtId="166" fontId="7" fillId="5" borderId="0" xfId="0" applyNumberFormat="1" applyFont="1" applyFill="1" applyAlignment="1">
      <alignment horizontal="left"/>
    </xf>
    <xf numFmtId="167" fontId="7" fillId="0" borderId="0" xfId="0" applyNumberFormat="1" applyFont="1" applyAlignment="1">
      <alignment horizontal="left"/>
    </xf>
    <xf numFmtId="10" fontId="0" fillId="5" borderId="10" xfId="3" applyNumberFormat="1" applyFont="1" applyFill="1" applyBorder="1" applyAlignment="1">
      <alignment horizontal="left"/>
    </xf>
    <xf numFmtId="176" fontId="7" fillId="5" borderId="0" xfId="0" applyNumberFormat="1" applyFont="1" applyFill="1" applyBorder="1" applyAlignment="1">
      <alignment horizontal="left"/>
    </xf>
    <xf numFmtId="174" fontId="7" fillId="5" borderId="0" xfId="3" applyNumberFormat="1" applyFont="1" applyFill="1" applyBorder="1" applyAlignment="1">
      <alignment horizontal="left"/>
    </xf>
    <xf numFmtId="9" fontId="0" fillId="5" borderId="0" xfId="0" applyNumberFormat="1" applyFill="1" applyAlignment="1">
      <alignment horizontal="left"/>
    </xf>
    <xf numFmtId="9" fontId="7" fillId="5" borderId="0" xfId="0" applyNumberFormat="1" applyFont="1" applyFill="1" applyAlignment="1">
      <alignment horizontal="left"/>
    </xf>
    <xf numFmtId="173" fontId="0" fillId="5" borderId="0" xfId="4" quotePrefix="1" applyNumberFormat="1" applyFont="1" applyFill="1" applyBorder="1" applyAlignment="1">
      <alignment horizontal="right" vertical="top"/>
    </xf>
    <xf numFmtId="166" fontId="7" fillId="0" borderId="0" xfId="0" applyNumberFormat="1" applyFont="1" applyFill="1" applyBorder="1" applyAlignment="1">
      <alignment horizontal="left" vertical="top"/>
    </xf>
    <xf numFmtId="0" fontId="53" fillId="45" borderId="0" xfId="0" applyNumberFormat="1" applyFont="1" applyFill="1" applyBorder="1" applyAlignment="1" applyProtection="1">
      <alignment horizontal="center"/>
    </xf>
    <xf numFmtId="9" fontId="53" fillId="0" borderId="0" xfId="0" applyNumberFormat="1" applyFont="1" applyFill="1" applyBorder="1" applyAlignment="1" applyProtection="1">
      <alignment horizontal="left"/>
    </xf>
    <xf numFmtId="0" fontId="47" fillId="5" borderId="0" xfId="0" applyFont="1" applyFill="1" applyAlignment="1">
      <alignment horizontal="left" vertical="center" wrapText="1"/>
    </xf>
    <xf numFmtId="0" fontId="47" fillId="5" borderId="0" xfId="0" applyFont="1" applyFill="1" applyAlignment="1">
      <alignment horizontal="left"/>
    </xf>
    <xf numFmtId="177" fontId="52" fillId="5" borderId="0" xfId="3" applyNumberFormat="1" applyFont="1" applyFill="1" applyBorder="1" applyAlignment="1">
      <alignment horizontal="left"/>
    </xf>
    <xf numFmtId="177" fontId="7" fillId="5" borderId="0" xfId="3" applyNumberFormat="1" applyFont="1" applyFill="1" applyBorder="1" applyAlignment="1">
      <alignment horizontal="left"/>
    </xf>
    <xf numFmtId="10" fontId="7" fillId="5" borderId="10" xfId="0" applyNumberFormat="1" applyFont="1" applyFill="1" applyBorder="1" applyAlignment="1">
      <alignment horizontal="left"/>
    </xf>
    <xf numFmtId="10" fontId="7" fillId="5" borderId="11" xfId="0" applyNumberFormat="1" applyFont="1" applyFill="1" applyBorder="1" applyAlignment="1">
      <alignment horizontal="left"/>
    </xf>
    <xf numFmtId="166" fontId="7" fillId="0" borderId="0" xfId="0" applyNumberFormat="1" applyFont="1" applyAlignment="1">
      <alignment horizontal="left" vertical="top"/>
    </xf>
    <xf numFmtId="0" fontId="19" fillId="4" borderId="0" xfId="0" applyFont="1" applyFill="1" applyAlignment="1">
      <alignment horizontal="left"/>
    </xf>
    <xf numFmtId="9" fontId="4" fillId="5" borderId="0" xfId="0" applyNumberFormat="1" applyFont="1" applyFill="1" applyAlignment="1">
      <alignment horizontal="left"/>
    </xf>
    <xf numFmtId="0" fontId="0" fillId="40" borderId="0" xfId="0" applyFill="1" applyAlignment="1">
      <alignment horizontal="left"/>
    </xf>
    <xf numFmtId="0" fontId="7" fillId="40" borderId="0" xfId="0" applyFont="1" applyFill="1" applyAlignment="1">
      <alignment horizontal="left"/>
    </xf>
    <xf numFmtId="0" fontId="15" fillId="4" borderId="0" xfId="0" applyFont="1" applyFill="1" applyAlignment="1">
      <alignment horizontal="center"/>
    </xf>
    <xf numFmtId="0" fontId="10" fillId="4" borderId="4" xfId="0" applyFont="1" applyFill="1" applyBorder="1" applyAlignment="1">
      <alignment horizontal="center"/>
    </xf>
    <xf numFmtId="166" fontId="7" fillId="43" borderId="0" xfId="0" applyNumberFormat="1" applyFont="1" applyFill="1" applyAlignment="1">
      <alignment horizontal="left"/>
    </xf>
    <xf numFmtId="164" fontId="15" fillId="43" borderId="0" xfId="0" applyNumberFormat="1" applyFont="1" applyFill="1" applyAlignment="1">
      <alignment horizontal="left"/>
    </xf>
    <xf numFmtId="0" fontId="15" fillId="43" borderId="0" xfId="0" applyFont="1" applyFill="1" applyAlignment="1">
      <alignment horizontal="left"/>
    </xf>
    <xf numFmtId="0" fontId="4" fillId="4" borderId="33" xfId="0" applyFont="1" applyFill="1" applyBorder="1" applyAlignment="1">
      <alignment horizontal="right"/>
    </xf>
    <xf numFmtId="0" fontId="4" fillId="4" borderId="20" xfId="0" applyFont="1" applyFill="1" applyBorder="1" applyAlignment="1">
      <alignment horizontal="right"/>
    </xf>
    <xf numFmtId="0" fontId="0" fillId="4" borderId="37" xfId="0" applyFont="1" applyFill="1" applyBorder="1" applyAlignment="1"/>
    <xf numFmtId="0" fontId="0" fillId="4" borderId="37" xfId="0" applyFill="1" applyBorder="1" applyAlignment="1">
      <alignment horizontal="left"/>
    </xf>
    <xf numFmtId="0" fontId="0" fillId="4" borderId="36" xfId="0" applyFont="1" applyFill="1" applyBorder="1" applyAlignment="1">
      <alignment horizontal="left"/>
    </xf>
    <xf numFmtId="0" fontId="4" fillId="4" borderId="47" xfId="0" applyFont="1" applyFill="1" applyBorder="1" applyAlignment="1">
      <alignment horizontal="right"/>
    </xf>
    <xf numFmtId="0" fontId="4" fillId="4" borderId="48" xfId="0" applyFont="1" applyFill="1" applyBorder="1" applyAlignment="1">
      <alignment horizontal="left"/>
    </xf>
    <xf numFmtId="0" fontId="0" fillId="0" borderId="23" xfId="0" applyBorder="1" applyAlignment="1">
      <alignment horizontal="left"/>
    </xf>
    <xf numFmtId="0" fontId="0" fillId="0" borderId="38" xfId="0" applyBorder="1" applyAlignment="1">
      <alignment horizontal="left"/>
    </xf>
    <xf numFmtId="167" fontId="7" fillId="0" borderId="23" xfId="0" applyNumberFormat="1" applyFont="1" applyBorder="1" applyAlignment="1">
      <alignment horizontal="left"/>
    </xf>
    <xf numFmtId="0" fontId="7" fillId="0" borderId="38" xfId="0" applyFont="1" applyBorder="1" applyAlignment="1">
      <alignment horizontal="left"/>
    </xf>
    <xf numFmtId="0" fontId="7" fillId="0" borderId="23" xfId="0" applyFont="1" applyBorder="1" applyAlignment="1">
      <alignment horizontal="left"/>
    </xf>
    <xf numFmtId="166" fontId="7" fillId="0" borderId="23" xfId="0" applyNumberFormat="1" applyFont="1" applyBorder="1" applyAlignment="1">
      <alignment horizontal="left"/>
    </xf>
    <xf numFmtId="164" fontId="7" fillId="0" borderId="23" xfId="0" applyNumberFormat="1" applyFont="1" applyBorder="1" applyAlignment="1">
      <alignment horizontal="left"/>
    </xf>
    <xf numFmtId="164" fontId="7" fillId="0" borderId="38" xfId="0" applyNumberFormat="1" applyFont="1" applyBorder="1" applyAlignment="1">
      <alignment horizontal="left"/>
    </xf>
    <xf numFmtId="167" fontId="7" fillId="0" borderId="38" xfId="0" applyNumberFormat="1" applyFont="1" applyBorder="1" applyAlignment="1">
      <alignment horizontal="left"/>
    </xf>
    <xf numFmtId="167" fontId="7" fillId="0" borderId="39" xfId="0" applyNumberFormat="1" applyFont="1" applyBorder="1" applyAlignment="1">
      <alignment horizontal="left"/>
    </xf>
    <xf numFmtId="0" fontId="7" fillId="4" borderId="22" xfId="0" applyFont="1" applyFill="1" applyBorder="1" applyAlignment="1">
      <alignment vertical="center"/>
    </xf>
    <xf numFmtId="0" fontId="7" fillId="0" borderId="16" xfId="0" applyFont="1" applyBorder="1" applyAlignment="1">
      <alignment horizontal="right"/>
    </xf>
    <xf numFmtId="0" fontId="7" fillId="0" borderId="16" xfId="0" applyFont="1" applyBorder="1" applyAlignment="1">
      <alignment horizontal="left"/>
    </xf>
    <xf numFmtId="0" fontId="7" fillId="0" borderId="35" xfId="0" applyFont="1" applyBorder="1" applyAlignment="1">
      <alignment horizontal="left"/>
    </xf>
    <xf numFmtId="0" fontId="7" fillId="46" borderId="8" xfId="0" applyFont="1" applyFill="1" applyBorder="1" applyAlignment="1">
      <alignment horizontal="right" vertical="center"/>
    </xf>
    <xf numFmtId="14" fontId="7" fillId="42" borderId="0" xfId="0" applyNumberFormat="1" applyFont="1" applyFill="1" applyAlignment="1">
      <alignment horizontal="left"/>
    </xf>
    <xf numFmtId="14" fontId="10" fillId="0" borderId="0" xfId="0" applyNumberFormat="1" applyFont="1" applyAlignment="1">
      <alignment horizontal="left"/>
    </xf>
    <xf numFmtId="165" fontId="0" fillId="0" borderId="0" xfId="0" applyNumberFormat="1"/>
    <xf numFmtId="0" fontId="7" fillId="42" borderId="0" xfId="0" applyFont="1" applyFill="1" applyAlignment="1">
      <alignment horizontal="left"/>
    </xf>
    <xf numFmtId="169" fontId="7" fillId="42" borderId="0" xfId="0" applyNumberFormat="1" applyFont="1" applyFill="1" applyAlignment="1">
      <alignment horizontal="left"/>
    </xf>
    <xf numFmtId="0" fontId="7" fillId="5" borderId="0" xfId="0" applyFont="1" applyFill="1" applyAlignment="1">
      <alignment horizontal="left"/>
    </xf>
    <xf numFmtId="166" fontId="7" fillId="42" borderId="0" xfId="0" applyNumberFormat="1" applyFont="1" applyFill="1" applyAlignment="1">
      <alignment horizontal="left"/>
    </xf>
    <xf numFmtId="0" fontId="0" fillId="5" borderId="0" xfId="0" applyFill="1"/>
    <xf numFmtId="0" fontId="7" fillId="46" borderId="8" xfId="0" applyFont="1" applyFill="1" applyBorder="1" applyAlignment="1">
      <alignment vertical="center"/>
    </xf>
    <xf numFmtId="9" fontId="0" fillId="48" borderId="0" xfId="0" applyNumberFormat="1" applyFill="1" applyAlignment="1">
      <alignment horizontal="left"/>
    </xf>
    <xf numFmtId="0" fontId="19" fillId="0" borderId="0" xfId="0" applyFont="1" applyAlignment="1">
      <alignment horizontal="left"/>
    </xf>
    <xf numFmtId="0" fontId="0" fillId="5" borderId="0" xfId="0" applyFill="1" applyAlignment="1">
      <alignment horizontal="left"/>
    </xf>
    <xf numFmtId="0" fontId="0" fillId="5" borderId="0" xfId="0" applyFill="1" applyAlignment="1">
      <alignment horizontal="center"/>
    </xf>
    <xf numFmtId="0" fontId="53" fillId="0" borderId="0" xfId="0" applyNumberFormat="1" applyFont="1" applyFill="1" applyBorder="1" applyAlignment="1" applyProtection="1"/>
    <xf numFmtId="37" fontId="7" fillId="45" borderId="0" xfId="0" applyNumberFormat="1" applyFont="1" applyFill="1" applyBorder="1" applyAlignment="1" applyProtection="1">
      <alignment horizontal="left" vertical="top"/>
    </xf>
    <xf numFmtId="173" fontId="7" fillId="45" borderId="0" xfId="0" quotePrefix="1" applyNumberFormat="1" applyFont="1" applyFill="1" applyBorder="1" applyAlignment="1" applyProtection="1">
      <alignment horizontal="left" vertical="top"/>
    </xf>
    <xf numFmtId="0" fontId="53" fillId="0" borderId="0" xfId="0" applyNumberFormat="1" applyFont="1" applyFill="1" applyBorder="1" applyAlignment="1" applyProtection="1">
      <alignment horizontal="right"/>
    </xf>
    <xf numFmtId="14" fontId="7" fillId="0" borderId="0" xfId="0" applyNumberFormat="1" applyFont="1" applyFill="1" applyBorder="1" applyAlignment="1" applyProtection="1">
      <alignment horizontal="left"/>
    </xf>
    <xf numFmtId="14" fontId="7" fillId="49" borderId="0" xfId="0" applyNumberFormat="1" applyFont="1" applyFill="1" applyBorder="1" applyAlignment="1" applyProtection="1">
      <alignment horizontal="left"/>
    </xf>
    <xf numFmtId="0" fontId="55" fillId="0" borderId="0" xfId="0" applyNumberFormat="1" applyFont="1" applyFill="1" applyBorder="1" applyAlignment="1" applyProtection="1"/>
    <xf numFmtId="14" fontId="10" fillId="0" borderId="0" xfId="0" applyNumberFormat="1" applyFont="1" applyFill="1" applyBorder="1" applyAlignment="1" applyProtection="1">
      <alignment horizontal="left"/>
    </xf>
    <xf numFmtId="0" fontId="53" fillId="45" borderId="8" xfId="0" applyNumberFormat="1" applyFont="1" applyFill="1" applyBorder="1" applyAlignment="1" applyProtection="1">
      <alignment horizontal="left"/>
    </xf>
    <xf numFmtId="165" fontId="53" fillId="0" borderId="0" xfId="0" applyNumberFormat="1" applyFont="1" applyFill="1" applyBorder="1" applyAlignment="1" applyProtection="1"/>
    <xf numFmtId="0" fontId="7" fillId="0" borderId="0" xfId="0" applyNumberFormat="1" applyFont="1" applyFill="1" applyBorder="1" applyAlignment="1" applyProtection="1">
      <alignment horizontal="left"/>
    </xf>
    <xf numFmtId="0" fontId="7" fillId="49" borderId="0" xfId="0" applyNumberFormat="1" applyFont="1" applyFill="1" applyBorder="1" applyAlignment="1" applyProtection="1">
      <alignment horizontal="left"/>
    </xf>
    <xf numFmtId="169" fontId="7" fillId="0" borderId="0" xfId="0" applyNumberFormat="1" applyFont="1" applyFill="1" applyBorder="1" applyAlignment="1" applyProtection="1">
      <alignment horizontal="left"/>
    </xf>
    <xf numFmtId="169" fontId="7" fillId="49" borderId="0" xfId="0" applyNumberFormat="1" applyFont="1" applyFill="1" applyBorder="1" applyAlignment="1" applyProtection="1">
      <alignment horizontal="left"/>
    </xf>
    <xf numFmtId="0" fontId="7" fillId="5" borderId="0" xfId="0" applyNumberFormat="1" applyFont="1" applyFill="1" applyBorder="1" applyAlignment="1" applyProtection="1">
      <alignment horizontal="left"/>
    </xf>
    <xf numFmtId="166" fontId="7" fillId="0" borderId="0" xfId="0" applyNumberFormat="1" applyFont="1" applyFill="1" applyBorder="1" applyAlignment="1" applyProtection="1">
      <alignment horizontal="left"/>
    </xf>
    <xf numFmtId="166" fontId="7" fillId="49" borderId="0" xfId="0" applyNumberFormat="1" applyFont="1" applyFill="1" applyBorder="1" applyAlignment="1" applyProtection="1">
      <alignment horizontal="left"/>
    </xf>
    <xf numFmtId="37" fontId="55" fillId="45" borderId="0" xfId="0" applyNumberFormat="1" applyFont="1" applyFill="1" applyBorder="1" applyAlignment="1" applyProtection="1">
      <alignment horizontal="left" vertical="top"/>
    </xf>
    <xf numFmtId="0" fontId="55" fillId="0" borderId="0" xfId="0" applyNumberFormat="1" applyFont="1" applyFill="1" applyBorder="1" applyAlignment="1" applyProtection="1">
      <alignment horizontal="left"/>
    </xf>
    <xf numFmtId="166" fontId="7" fillId="5" borderId="0" xfId="0" applyNumberFormat="1" applyFont="1" applyFill="1" applyBorder="1" applyAlignment="1" applyProtection="1">
      <alignment horizontal="left"/>
    </xf>
    <xf numFmtId="0" fontId="53" fillId="5" borderId="0" xfId="0" applyNumberFormat="1" applyFont="1" applyFill="1" applyBorder="1" applyAlignment="1" applyProtection="1"/>
    <xf numFmtId="0" fontId="7" fillId="50" borderId="0" xfId="0" applyFont="1" applyFill="1" applyAlignment="1">
      <alignment horizontal="left"/>
    </xf>
    <xf numFmtId="4" fontId="0" fillId="4" borderId="0" xfId="0" applyNumberFormat="1" applyFill="1" applyAlignment="1">
      <alignment horizontal="left"/>
    </xf>
    <xf numFmtId="0" fontId="15" fillId="4" borderId="8" xfId="0" applyFont="1" applyFill="1" applyBorder="1" applyAlignment="1">
      <alignment horizontal="left" vertical="center"/>
    </xf>
    <xf numFmtId="0" fontId="7" fillId="45" borderId="8" xfId="0" applyNumberFormat="1" applyFont="1" applyFill="1" applyBorder="1" applyAlignment="1" applyProtection="1">
      <alignment horizontal="left" vertical="center"/>
    </xf>
    <xf numFmtId="4" fontId="53" fillId="45" borderId="0" xfId="0" applyNumberFormat="1" applyFont="1" applyFill="1" applyBorder="1" applyAlignment="1" applyProtection="1">
      <alignment horizontal="left"/>
    </xf>
    <xf numFmtId="0" fontId="55" fillId="45" borderId="8" xfId="0" applyNumberFormat="1" applyFont="1" applyFill="1" applyBorder="1" applyAlignment="1" applyProtection="1">
      <alignment horizontal="left" vertical="center"/>
    </xf>
    <xf numFmtId="0" fontId="0" fillId="4" borderId="14" xfId="0" applyFill="1" applyBorder="1" applyAlignment="1">
      <alignment horizontal="right"/>
    </xf>
    <xf numFmtId="4" fontId="7" fillId="0" borderId="7" xfId="3" applyNumberFormat="1" applyFont="1" applyFill="1" applyBorder="1" applyAlignment="1">
      <alignment horizontal="right" vertical="top" wrapText="1"/>
    </xf>
    <xf numFmtId="4" fontId="7" fillId="0" borderId="11" xfId="3" applyNumberFormat="1" applyFont="1" applyFill="1" applyBorder="1" applyAlignment="1">
      <alignment horizontal="right" vertical="top" wrapText="1"/>
    </xf>
    <xf numFmtId="164" fontId="7" fillId="5" borderId="0" xfId="3" applyNumberFormat="1" applyFont="1" applyFill="1" applyBorder="1" applyAlignment="1">
      <alignment horizontal="left"/>
    </xf>
    <xf numFmtId="164" fontId="7" fillId="40" borderId="0" xfId="3" applyNumberFormat="1" applyFont="1" applyFill="1" applyBorder="1" applyAlignment="1">
      <alignment horizontal="left"/>
    </xf>
    <xf numFmtId="0" fontId="0" fillId="47" borderId="8" xfId="0" applyFont="1" applyFill="1" applyBorder="1" applyAlignment="1">
      <alignment vertical="top"/>
    </xf>
    <xf numFmtId="0" fontId="0" fillId="4" borderId="8" xfId="0" applyFont="1" applyFill="1" applyBorder="1" applyAlignment="1">
      <alignment vertical="top"/>
    </xf>
    <xf numFmtId="0" fontId="7" fillId="4" borderId="8" xfId="0" applyFont="1" applyFill="1" applyBorder="1" applyAlignment="1">
      <alignment vertical="top"/>
    </xf>
    <xf numFmtId="0" fontId="0" fillId="3" borderId="0" xfId="0" applyFill="1" applyAlignment="1">
      <alignment horizontal="left"/>
    </xf>
    <xf numFmtId="0" fontId="0" fillId="4" borderId="33" xfId="0" applyFill="1" applyBorder="1"/>
    <xf numFmtId="0" fontId="0" fillId="4" borderId="36" xfId="0" applyFill="1" applyBorder="1" applyAlignment="1">
      <alignment horizontal="left"/>
    </xf>
    <xf numFmtId="0" fontId="56" fillId="45" borderId="39" xfId="0" applyFont="1" applyFill="1" applyBorder="1"/>
    <xf numFmtId="0" fontId="56" fillId="45" borderId="16" xfId="0" applyFont="1" applyFill="1" applyBorder="1"/>
    <xf numFmtId="0" fontId="0" fillId="4" borderId="39" xfId="0" applyFill="1" applyBorder="1"/>
    <xf numFmtId="0" fontId="0" fillId="4" borderId="16" xfId="0" applyFill="1" applyBorder="1"/>
    <xf numFmtId="0" fontId="0" fillId="4" borderId="35" xfId="0" applyFill="1" applyBorder="1"/>
    <xf numFmtId="0" fontId="53" fillId="45" borderId="23" xfId="0" applyFont="1" applyFill="1" applyBorder="1" applyAlignment="1">
      <alignment horizontal="left"/>
    </xf>
    <xf numFmtId="0" fontId="53" fillId="45" borderId="38" xfId="0" applyFont="1" applyFill="1" applyBorder="1" applyAlignment="1">
      <alignment horizontal="left"/>
    </xf>
    <xf numFmtId="9" fontId="57" fillId="0" borderId="33" xfId="3" applyFont="1" applyFill="1" applyBorder="1" applyAlignment="1" applyProtection="1"/>
    <xf numFmtId="9" fontId="0" fillId="0" borderId="37" xfId="3" applyFont="1" applyBorder="1"/>
    <xf numFmtId="9" fontId="0" fillId="0" borderId="36" xfId="3" applyFont="1" applyBorder="1"/>
    <xf numFmtId="9" fontId="57" fillId="0" borderId="23" xfId="3" applyFont="1" applyFill="1" applyBorder="1" applyAlignment="1" applyProtection="1"/>
    <xf numFmtId="9" fontId="0" fillId="0" borderId="0" xfId="3" applyFont="1" applyBorder="1"/>
    <xf numFmtId="9" fontId="0" fillId="0" borderId="38" xfId="3" applyFont="1" applyBorder="1"/>
    <xf numFmtId="0" fontId="53" fillId="45" borderId="39" xfId="0" applyFont="1" applyFill="1" applyBorder="1" applyAlignment="1">
      <alignment horizontal="left"/>
    </xf>
    <xf numFmtId="0" fontId="53" fillId="45" borderId="35" xfId="0" applyFont="1" applyFill="1" applyBorder="1" applyAlignment="1">
      <alignment horizontal="left"/>
    </xf>
    <xf numFmtId="9" fontId="57" fillId="0" borderId="39" xfId="3" applyFont="1" applyFill="1" applyBorder="1" applyAlignment="1" applyProtection="1"/>
    <xf numFmtId="9" fontId="0" fillId="0" borderId="16" xfId="3" applyFont="1" applyBorder="1"/>
    <xf numFmtId="9" fontId="0" fillId="0" borderId="35" xfId="3" applyFont="1" applyBorder="1"/>
    <xf numFmtId="0" fontId="0" fillId="41" borderId="0" xfId="0" applyFill="1" applyAlignment="1">
      <alignment horizontal="left"/>
    </xf>
  </cellXfs>
  <cellStyles count="84">
    <cellStyle name=" &amp;A_x0002_" xfId="5" xr:uid="{00000000-0005-0000-0000-000000000000}"/>
    <cellStyle name=" &amp;A_x0002_ 2" xfId="6" xr:uid="{00000000-0005-0000-0000-000001000000}"/>
    <cellStyle name=" 1" xfId="7" xr:uid="{00000000-0005-0000-0000-000002000000}"/>
    <cellStyle name="_2005-Trend-FYF-(S588889)_Projects HR V2 " xfId="8" xr:uid="{00000000-0005-0000-0000-000003000000}"/>
    <cellStyle name="_April Indirect Forecast (version 1)_Projects HR V2 " xfId="9" xr:uid="{00000000-0005-0000-0000-000004000000}"/>
    <cellStyle name="_Copy of Demand Mgt Metrics April 06 - v K_Projects HR V2 " xfId="10" xr:uid="{00000000-0005-0000-0000-000005000000}"/>
    <cellStyle name="_Demand Mgt Metrics February 06 - v0403 v4_Projects HR V2 " xfId="11" xr:uid="{00000000-0005-0000-0000-000006000000}"/>
    <cellStyle name="_Demand Mgt Metrics March 06 - v10 D_Projects HR V2 " xfId="12" xr:uid="{00000000-0005-0000-0000-000007000000}"/>
    <cellStyle name="_GTI 2006 Plan_ Supporting Document Waterfalls_Projects HR V2 " xfId="13" xr:uid="{00000000-0005-0000-0000-000008000000}"/>
    <cellStyle name="_gti depr_amort 121305_Projects HR V2 " xfId="14" xr:uid="{00000000-0005-0000-0000-000009000000}"/>
    <cellStyle name="_GTI&amp;Tower Metrics v5.0 5-16-06_Projects HR V2 " xfId="15" xr:uid="{00000000-0005-0000-0000-00000A000000}"/>
    <cellStyle name="_LaborMixV2 " xfId="16" xr:uid="{00000000-0005-0000-0000-00000B000000}"/>
    <cellStyle name="_March Indirect Forecast (version 3)_Projects HR V2 " xfId="17" xr:uid="{00000000-0005-0000-0000-00000C000000}"/>
    <cellStyle name="_May '06 Mgmt Deck _v1 " xfId="18" xr:uid="{00000000-0005-0000-0000-00000D000000}"/>
    <cellStyle name="_Normalization Analysis a_Projects HR V2 " xfId="19" xr:uid="{00000000-0005-0000-0000-00000E000000}"/>
    <cellStyle name="_Normalization Analysis Template Submissions Final_Projects HR V2 " xfId="20" xr:uid="{00000000-0005-0000-0000-00000F000000}"/>
    <cellStyle name="_Normalization Analysis_December_Submissions_Projects HR V2 " xfId="21" xr:uid="{00000000-0005-0000-0000-000010000000}"/>
    <cellStyle name="_Normalization Analysis_January_Submissions_Projects HR V2 " xfId="22" xr:uid="{00000000-0005-0000-0000-000011000000}"/>
    <cellStyle name="_Normalization Analysis_October_Submissions_Projects HR V2 " xfId="23" xr:uid="{00000000-0005-0000-0000-000012000000}"/>
    <cellStyle name="_Normalization Analysis_Projects HR V2 " xfId="24" xr:uid="{00000000-0005-0000-0000-000013000000}"/>
    <cellStyle name="_Normalization Analysis_Submissions_Projects HR V2 " xfId="25" xr:uid="{00000000-0005-0000-0000-000014000000}"/>
    <cellStyle name="_Projects HR V2 " xfId="26" xr:uid="{00000000-0005-0000-0000-000015000000}"/>
    <cellStyle name="_Qtr2Act vs Qtr3Outlook 082905_Projects HR V2 " xfId="27" xr:uid="{00000000-0005-0000-0000-000016000000}"/>
    <cellStyle name="_walkforward 081905_Projects HR V2 " xfId="28" xr:uid="{00000000-0005-0000-0000-000017000000}"/>
    <cellStyle name="0_Japan Fund (9-19-03)_Projects HR " xfId="29" xr:uid="{00000000-0005-0000-0000-000018000000}"/>
    <cellStyle name="0_Japan Fund (9-19-03)_Projects HR V2 - Updated to match Enda rpt " xfId="30" xr:uid="{00000000-0005-0000-0000-000019000000}"/>
    <cellStyle name="0_Japan_Projects HR " xfId="31" xr:uid="{00000000-0005-0000-0000-00001A000000}"/>
    <cellStyle name="0_Japan_Projects HR V2 - Updated to match Enda rpt " xfId="32" xr:uid="{00000000-0005-0000-0000-00001B000000}"/>
    <cellStyle name="0_Latin America_Projects HR " xfId="33" xr:uid="{00000000-0005-0000-0000-00001C000000}"/>
    <cellStyle name="0_Latin America_Projects HR V2 - Updated to match Enda rpt " xfId="34" xr:uid="{00000000-0005-0000-0000-00001D000000}"/>
    <cellStyle name="0_Projects HR V2 " xfId="35" xr:uid="{00000000-0005-0000-0000-00001E000000}"/>
    <cellStyle name="20% - Accent1" xfId="57" builtinId="30" hidden="1"/>
    <cellStyle name="20% - Accent2" xfId="61" builtinId="34" hidden="1"/>
    <cellStyle name="20% - Accent3" xfId="65" builtinId="38" hidden="1"/>
    <cellStyle name="20% - Accent4" xfId="69" builtinId="42" hidden="1"/>
    <cellStyle name="20% - Accent5" xfId="73" builtinId="46" hidden="1"/>
    <cellStyle name="20% - Accent6" xfId="77" builtinId="50" hidden="1"/>
    <cellStyle name="40% - Accent1" xfId="58" builtinId="31" hidden="1"/>
    <cellStyle name="40% - Accent2" xfId="62" builtinId="35" hidden="1"/>
    <cellStyle name="40% - Accent3" xfId="66" builtinId="39" hidden="1"/>
    <cellStyle name="40% - Accent4" xfId="70" builtinId="43" hidden="1"/>
    <cellStyle name="40% - Accent5" xfId="74" builtinId="47" hidden="1"/>
    <cellStyle name="40% - Accent6" xfId="78" builtinId="51" hidden="1"/>
    <cellStyle name="60% - Accent1" xfId="59" builtinId="32" hidden="1"/>
    <cellStyle name="60% - Accent2" xfId="63" builtinId="36" hidden="1"/>
    <cellStyle name="60% - Accent3" xfId="67" builtinId="40" hidden="1"/>
    <cellStyle name="60% - Accent4" xfId="71" builtinId="44" hidden="1"/>
    <cellStyle name="60% - Accent5" xfId="75" builtinId="48" hidden="1"/>
    <cellStyle name="60% - Accent6" xfId="79" builtinId="52" hidden="1"/>
    <cellStyle name="Accent1" xfId="56" builtinId="29" hidden="1"/>
    <cellStyle name="Accent2" xfId="60" builtinId="33" hidden="1"/>
    <cellStyle name="Accent3" xfId="64" builtinId="37" hidden="1"/>
    <cellStyle name="Accent4" xfId="68" builtinId="41" hidden="1"/>
    <cellStyle name="Accent5" xfId="72" builtinId="45" hidden="1"/>
    <cellStyle name="Accent6" xfId="76" builtinId="49" hidden="1"/>
    <cellStyle name="Bad" xfId="45" builtinId="27" hidden="1"/>
    <cellStyle name="BodyStyle05" xfId="2" xr:uid="{00000000-0005-0000-0000-000038000000}"/>
    <cellStyle name="Calculation" xfId="49" builtinId="22" hidden="1"/>
    <cellStyle name="Check Cell" xfId="51" builtinId="23" hidden="1"/>
    <cellStyle name="Comma" xfId="4" builtinId="3"/>
    <cellStyle name="Comma [0]" xfId="36" builtinId="6" hidden="1"/>
    <cellStyle name="Currency" xfId="37" builtinId="4" hidden="1"/>
    <cellStyle name="Currency [0]" xfId="38" builtinId="7" hidden="1"/>
    <cellStyle name="Explanatory Text" xfId="54" builtinId="53" hidden="1"/>
    <cellStyle name="Good" xfId="44" builtinId="26" hidden="1"/>
    <cellStyle name="Heading 1" xfId="40" builtinId="16" hidden="1"/>
    <cellStyle name="Heading 2" xfId="41" builtinId="17" hidden="1"/>
    <cellStyle name="Heading 3" xfId="42" builtinId="18" hidden="1"/>
    <cellStyle name="Heading 4" xfId="43" builtinId="19" hidden="1"/>
    <cellStyle name="Hyperlink" xfId="1" builtinId="8"/>
    <cellStyle name="Input" xfId="47" builtinId="20" hidden="1"/>
    <cellStyle name="Linked Cell" xfId="50" builtinId="24" hidden="1"/>
    <cellStyle name="Neutral" xfId="46" builtinId="28" hidden="1"/>
    <cellStyle name="Normal" xfId="0" builtinId="0"/>
    <cellStyle name="Normal 4" xfId="80" xr:uid="{00000000-0005-0000-0000-00004A000000}"/>
    <cellStyle name="Normal 4 2" xfId="82" xr:uid="{00000000-0005-0000-0000-00004B000000}"/>
    <cellStyle name="Note" xfId="53" builtinId="10" hidden="1"/>
    <cellStyle name="Output" xfId="48" builtinId="21" hidden="1"/>
    <cellStyle name="Percent" xfId="3" builtinId="5"/>
    <cellStyle name="Percent 3" xfId="81" xr:uid="{00000000-0005-0000-0000-00004F000000}"/>
    <cellStyle name="Percent 3 2" xfId="83" xr:uid="{00000000-0005-0000-0000-000050000000}"/>
    <cellStyle name="Title" xfId="39" builtinId="15" hidden="1"/>
    <cellStyle name="Total" xfId="55" builtinId="25" hidden="1"/>
    <cellStyle name="Warning Text" xfId="52" builtinId="11" hidden="1"/>
  </cellStyles>
  <dxfs count="2141">
    <dxf>
      <font>
        <color rgb="FF0000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00FF"/>
      </font>
    </dxf>
    <dxf>
      <font>
        <color rgb="FF0033CC"/>
      </font>
    </dxf>
    <dxf>
      <font>
        <color rgb="FF0000FF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00FF"/>
      </font>
    </dxf>
    <dxf>
      <font>
        <color rgb="FF0033CC"/>
      </font>
    </dxf>
    <dxf>
      <font>
        <color rgb="FF0033CC"/>
      </font>
    </dxf>
    <dxf>
      <font>
        <color rgb="FF0000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00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00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b/>
        <i val="0"/>
        <color theme="9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b/>
        <i val="0"/>
        <color theme="9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b/>
        <i val="0"/>
        <color theme="9"/>
      </font>
    </dxf>
    <dxf>
      <font>
        <b/>
        <i val="0"/>
        <color theme="9"/>
      </font>
    </dxf>
    <dxf>
      <font>
        <b/>
        <i val="0"/>
        <color theme="9"/>
      </font>
    </dxf>
    <dxf>
      <font>
        <b/>
        <i val="0"/>
        <color theme="9"/>
      </font>
    </dxf>
    <dxf>
      <font>
        <b/>
        <i val="0"/>
        <color theme="9"/>
      </font>
    </dxf>
    <dxf>
      <font>
        <color rgb="FF292EFF"/>
      </font>
    </dxf>
    <dxf>
      <font>
        <color rgb="FF0033CC"/>
      </font>
    </dxf>
    <dxf>
      <font>
        <b/>
        <i val="0"/>
        <color theme="9"/>
      </font>
    </dxf>
    <dxf>
      <font>
        <b/>
        <i val="0"/>
        <color theme="9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b/>
        <i val="0"/>
        <color theme="9"/>
      </font>
    </dxf>
    <dxf>
      <font>
        <color rgb="FF0033CC"/>
      </font>
    </dxf>
    <dxf>
      <font>
        <b/>
        <i val="0"/>
        <color theme="9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b/>
        <i val="0"/>
        <color theme="9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00FF"/>
      </font>
    </dxf>
    <dxf>
      <font>
        <color rgb="FF0033CC"/>
      </font>
    </dxf>
    <dxf>
      <font>
        <color rgb="FF0033CC"/>
      </font>
    </dxf>
    <dxf>
      <font>
        <color rgb="FF0000FF"/>
      </font>
    </dxf>
    <dxf>
      <font>
        <color rgb="FF0000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00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auto="1"/>
      </font>
      <fill>
        <patternFill>
          <bgColor theme="0" tint="-0.24994659260841701"/>
        </patternFill>
      </fill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auto="1"/>
      </font>
      <fill>
        <patternFill>
          <bgColor theme="0" tint="-0.24994659260841701"/>
        </patternFill>
      </fill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00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00FF"/>
      </font>
    </dxf>
    <dxf>
      <font>
        <color rgb="FF0033CC"/>
      </font>
    </dxf>
    <dxf>
      <font>
        <color auto="1"/>
      </font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16BE1"/>
      <color rgb="FFFF7C80"/>
      <color rgb="FF66FF99"/>
      <color rgb="FFA7A7A7"/>
      <color rgb="FF0000FF"/>
      <color rgb="FFBFBFBF"/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4.bin"/><Relationship Id="rId2" Type="http://schemas.openxmlformats.org/officeDocument/2006/relationships/customProperty" Target="../customProperty3.bin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5.bin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6.bin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7.bin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customProperty" Target="../customProperty8.bin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9.bin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0.bin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1.bin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2.bin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3.bin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4.bin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5.bin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91"/>
  <sheetViews>
    <sheetView workbookViewId="0">
      <selection activeCell="D38" sqref="D38"/>
    </sheetView>
  </sheetViews>
  <sheetFormatPr defaultRowHeight="12.5"/>
  <cols>
    <col min="1" max="1" width="3.453125" customWidth="1"/>
    <col min="2" max="2" width="11.81640625" customWidth="1"/>
    <col min="3" max="3" width="26" customWidth="1"/>
    <col min="4" max="4" width="80" customWidth="1"/>
  </cols>
  <sheetData>
    <row r="1" spans="1:4" ht="20.25" customHeight="1">
      <c r="A1" s="71" t="s">
        <v>30</v>
      </c>
      <c r="B1" s="72" t="s">
        <v>31</v>
      </c>
      <c r="C1" s="72" t="s">
        <v>32</v>
      </c>
      <c r="D1" s="73" t="s">
        <v>33</v>
      </c>
    </row>
    <row r="2" spans="1:4">
      <c r="A2" s="5"/>
      <c r="B2" s="6"/>
      <c r="C2" s="6"/>
      <c r="D2" s="7"/>
    </row>
    <row r="3" spans="1:4">
      <c r="A3" s="5"/>
      <c r="B3" s="6"/>
      <c r="C3" s="6"/>
      <c r="D3" s="7"/>
    </row>
    <row r="4" spans="1:4">
      <c r="A4" s="5"/>
      <c r="B4" s="6"/>
      <c r="C4" s="6"/>
      <c r="D4" s="7"/>
    </row>
    <row r="5" spans="1:4">
      <c r="A5" s="5"/>
      <c r="B5" s="6"/>
      <c r="C5" s="6"/>
      <c r="D5" s="7"/>
    </row>
    <row r="6" spans="1:4">
      <c r="A6" s="5"/>
      <c r="B6" s="6"/>
      <c r="C6" s="6"/>
      <c r="D6" s="7"/>
    </row>
    <row r="7" spans="1:4">
      <c r="A7" s="5"/>
      <c r="B7" s="6"/>
      <c r="C7" s="6"/>
      <c r="D7" s="7"/>
    </row>
    <row r="8" spans="1:4">
      <c r="A8" s="5"/>
      <c r="B8" s="8"/>
      <c r="C8" s="8"/>
      <c r="D8" s="7"/>
    </row>
    <row r="9" spans="1:4">
      <c r="A9" s="5"/>
      <c r="B9" s="8"/>
      <c r="C9" s="8"/>
      <c r="D9" s="7"/>
    </row>
    <row r="10" spans="1:4">
      <c r="A10" s="5"/>
      <c r="B10" s="8"/>
      <c r="C10" s="8"/>
      <c r="D10" s="7"/>
    </row>
    <row r="11" spans="1:4">
      <c r="A11" s="5"/>
      <c r="B11" s="8"/>
      <c r="C11" s="8"/>
      <c r="D11" s="7"/>
    </row>
    <row r="12" spans="1:4">
      <c r="A12" s="5"/>
      <c r="B12" s="8"/>
      <c r="C12" s="8"/>
      <c r="D12" s="7"/>
    </row>
    <row r="13" spans="1:4">
      <c r="A13" s="5"/>
      <c r="B13" s="8"/>
      <c r="C13" s="8"/>
      <c r="D13" s="7"/>
    </row>
    <row r="14" spans="1:4">
      <c r="A14" s="5"/>
      <c r="B14" s="8"/>
      <c r="C14" s="8"/>
      <c r="D14" s="7"/>
    </row>
    <row r="15" spans="1:4">
      <c r="A15" s="5"/>
      <c r="B15" s="8"/>
      <c r="C15" s="8"/>
      <c r="D15" s="7"/>
    </row>
    <row r="16" spans="1:4">
      <c r="A16" s="5"/>
      <c r="B16" s="8"/>
      <c r="C16" s="8"/>
      <c r="D16" s="7"/>
    </row>
    <row r="17" spans="1:4">
      <c r="A17" s="5"/>
      <c r="B17" s="8"/>
      <c r="C17" s="8"/>
      <c r="D17" s="7"/>
    </row>
    <row r="18" spans="1:4">
      <c r="A18" s="5"/>
      <c r="B18" s="8"/>
      <c r="C18" s="8"/>
      <c r="D18" s="7"/>
    </row>
    <row r="19" spans="1:4">
      <c r="A19" s="5"/>
      <c r="B19" s="8"/>
      <c r="C19" s="8"/>
      <c r="D19" s="7"/>
    </row>
    <row r="20" spans="1:4">
      <c r="A20" s="5"/>
      <c r="B20" s="8"/>
      <c r="C20" s="8"/>
      <c r="D20" s="7"/>
    </row>
    <row r="21" spans="1:4">
      <c r="A21" s="5"/>
      <c r="B21" s="8"/>
      <c r="C21" s="8"/>
      <c r="D21" s="7"/>
    </row>
    <row r="22" spans="1:4">
      <c r="A22" s="5"/>
      <c r="B22" s="8"/>
      <c r="C22" s="8"/>
      <c r="D22" s="7"/>
    </row>
    <row r="23" spans="1:4">
      <c r="A23" s="5"/>
      <c r="B23" s="8"/>
      <c r="C23" s="8"/>
      <c r="D23" s="7"/>
    </row>
    <row r="24" spans="1:4">
      <c r="A24" s="5"/>
      <c r="B24" s="8"/>
      <c r="C24" s="8"/>
      <c r="D24" s="7"/>
    </row>
    <row r="25" spans="1:4">
      <c r="A25" s="5"/>
      <c r="B25" s="8"/>
      <c r="C25" s="8"/>
      <c r="D25" s="7"/>
    </row>
    <row r="26" spans="1:4">
      <c r="A26" s="5"/>
      <c r="B26" s="8"/>
      <c r="C26" s="8"/>
      <c r="D26" s="7"/>
    </row>
    <row r="27" spans="1:4">
      <c r="A27" s="5"/>
      <c r="B27" s="8"/>
      <c r="C27" s="8"/>
      <c r="D27" s="7"/>
    </row>
    <row r="28" spans="1:4">
      <c r="A28" s="5"/>
      <c r="B28" s="8"/>
      <c r="C28" s="8"/>
      <c r="D28" s="7"/>
    </row>
    <row r="29" spans="1:4">
      <c r="A29" s="5"/>
      <c r="B29" s="8"/>
      <c r="C29" s="8"/>
      <c r="D29" s="7"/>
    </row>
    <row r="30" spans="1:4">
      <c r="A30" s="5"/>
      <c r="B30" s="8"/>
      <c r="C30" s="8"/>
      <c r="D30" s="7"/>
    </row>
    <row r="31" spans="1:4">
      <c r="A31" s="5"/>
      <c r="B31" s="8"/>
      <c r="C31" s="8"/>
      <c r="D31" s="7"/>
    </row>
    <row r="32" spans="1:4">
      <c r="A32" s="5"/>
      <c r="B32" s="8"/>
      <c r="C32" s="8"/>
      <c r="D32" s="7"/>
    </row>
    <row r="33" spans="1:4">
      <c r="A33" s="5"/>
      <c r="B33" s="8"/>
      <c r="C33" s="8"/>
      <c r="D33" s="7"/>
    </row>
    <row r="34" spans="1:4">
      <c r="A34" s="5"/>
      <c r="B34" s="8"/>
      <c r="C34" s="8"/>
      <c r="D34" s="7"/>
    </row>
    <row r="35" spans="1:4">
      <c r="A35" s="5"/>
      <c r="B35" s="8"/>
      <c r="C35" s="8"/>
      <c r="D35" s="7"/>
    </row>
    <row r="36" spans="1:4">
      <c r="A36" s="5"/>
      <c r="B36" s="8"/>
      <c r="C36" s="8"/>
      <c r="D36" s="7"/>
    </row>
    <row r="37" spans="1:4">
      <c r="A37" s="5"/>
      <c r="B37" s="8"/>
      <c r="C37" s="8"/>
      <c r="D37" s="7"/>
    </row>
    <row r="38" spans="1:4">
      <c r="A38" s="5"/>
      <c r="B38" s="8"/>
      <c r="C38" s="8"/>
      <c r="D38" s="7"/>
    </row>
    <row r="39" spans="1:4">
      <c r="A39" s="5"/>
      <c r="B39" s="8"/>
      <c r="C39" s="8"/>
      <c r="D39" s="7"/>
    </row>
    <row r="40" spans="1:4">
      <c r="A40" s="5"/>
      <c r="B40" s="8"/>
      <c r="C40" s="8"/>
      <c r="D40" s="7"/>
    </row>
    <row r="41" spans="1:4">
      <c r="A41" s="5"/>
      <c r="B41" s="8"/>
      <c r="C41" s="8"/>
      <c r="D41" s="7"/>
    </row>
    <row r="42" spans="1:4">
      <c r="A42" s="5"/>
      <c r="B42" s="8"/>
      <c r="C42" s="8"/>
      <c r="D42" s="7"/>
    </row>
    <row r="43" spans="1:4">
      <c r="A43" s="5"/>
      <c r="B43" s="8"/>
      <c r="C43" s="8"/>
      <c r="D43" s="7"/>
    </row>
    <row r="44" spans="1:4">
      <c r="A44" s="5"/>
      <c r="B44" s="8"/>
      <c r="C44" s="8"/>
      <c r="D44" s="7"/>
    </row>
    <row r="45" spans="1:4">
      <c r="A45" s="5"/>
      <c r="B45" s="8"/>
      <c r="C45" s="8"/>
      <c r="D45" s="7"/>
    </row>
    <row r="46" spans="1:4">
      <c r="A46" s="5"/>
      <c r="B46" s="8"/>
      <c r="C46" s="8"/>
      <c r="D46" s="7"/>
    </row>
    <row r="47" spans="1:4">
      <c r="A47" s="5"/>
      <c r="B47" s="8"/>
      <c r="C47" s="8"/>
      <c r="D47" s="7"/>
    </row>
    <row r="48" spans="1:4">
      <c r="A48" s="5"/>
      <c r="B48" s="8"/>
      <c r="C48" s="8"/>
      <c r="D48" s="7"/>
    </row>
    <row r="49" spans="1:4">
      <c r="A49" s="5"/>
      <c r="B49" s="8"/>
      <c r="C49" s="8"/>
      <c r="D49" s="7"/>
    </row>
    <row r="50" spans="1:4">
      <c r="A50" s="5"/>
      <c r="B50" s="8"/>
      <c r="C50" s="8"/>
      <c r="D50" s="7"/>
    </row>
    <row r="51" spans="1:4">
      <c r="A51" s="5"/>
      <c r="B51" s="8"/>
      <c r="C51" s="8"/>
      <c r="D51" s="7"/>
    </row>
    <row r="52" spans="1:4">
      <c r="A52" s="5"/>
      <c r="B52" s="8"/>
      <c r="C52" s="8"/>
      <c r="D52" s="7"/>
    </row>
    <row r="53" spans="1:4">
      <c r="A53" s="5"/>
      <c r="B53" s="8"/>
      <c r="C53" s="8"/>
      <c r="D53" s="7"/>
    </row>
    <row r="54" spans="1:4">
      <c r="A54" s="5"/>
      <c r="B54" s="8"/>
      <c r="C54" s="8"/>
      <c r="D54" s="7"/>
    </row>
    <row r="55" spans="1:4">
      <c r="A55" s="5"/>
      <c r="B55" s="8"/>
      <c r="C55" s="8"/>
      <c r="D55" s="7"/>
    </row>
    <row r="56" spans="1:4">
      <c r="A56" s="5"/>
      <c r="B56" s="8"/>
      <c r="C56" s="8"/>
      <c r="D56" s="7"/>
    </row>
    <row r="57" spans="1:4">
      <c r="A57" s="5"/>
      <c r="B57" s="8"/>
      <c r="C57" s="8"/>
      <c r="D57" s="7"/>
    </row>
    <row r="58" spans="1:4">
      <c r="A58" s="5"/>
      <c r="B58" s="8"/>
      <c r="C58" s="8"/>
      <c r="D58" s="7"/>
    </row>
    <row r="59" spans="1:4">
      <c r="A59" s="5"/>
      <c r="B59" s="8"/>
      <c r="C59" s="8"/>
      <c r="D59" s="7"/>
    </row>
    <row r="60" spans="1:4">
      <c r="A60" s="5"/>
      <c r="B60" s="8"/>
      <c r="C60" s="8"/>
      <c r="D60" s="7"/>
    </row>
    <row r="61" spans="1:4">
      <c r="A61" s="5"/>
      <c r="B61" s="8"/>
      <c r="C61" s="8"/>
      <c r="D61" s="7"/>
    </row>
    <row r="62" spans="1:4">
      <c r="A62" s="5"/>
      <c r="B62" s="8"/>
      <c r="C62" s="8"/>
      <c r="D62" s="7"/>
    </row>
    <row r="63" spans="1:4">
      <c r="A63" s="5"/>
      <c r="B63" s="8"/>
      <c r="C63" s="8"/>
      <c r="D63" s="7"/>
    </row>
    <row r="64" spans="1:4">
      <c r="A64" s="5"/>
      <c r="B64" s="8"/>
      <c r="C64" s="8"/>
      <c r="D64" s="7"/>
    </row>
    <row r="65" spans="1:4">
      <c r="A65" s="5"/>
      <c r="B65" s="8"/>
      <c r="C65" s="8"/>
      <c r="D65" s="7"/>
    </row>
    <row r="66" spans="1:4">
      <c r="A66" s="5"/>
      <c r="B66" s="8"/>
      <c r="C66" s="8"/>
      <c r="D66" s="7"/>
    </row>
    <row r="67" spans="1:4">
      <c r="A67" s="5"/>
      <c r="B67" s="8"/>
      <c r="C67" s="8"/>
      <c r="D67" s="7"/>
    </row>
    <row r="68" spans="1:4">
      <c r="A68" s="5"/>
      <c r="B68" s="8"/>
      <c r="C68" s="8"/>
      <c r="D68" s="7"/>
    </row>
    <row r="69" spans="1:4">
      <c r="A69" s="5"/>
      <c r="B69" s="8"/>
      <c r="C69" s="8"/>
      <c r="D69" s="7"/>
    </row>
    <row r="70" spans="1:4">
      <c r="A70" s="5"/>
      <c r="B70" s="8"/>
      <c r="C70" s="8"/>
      <c r="D70" s="7"/>
    </row>
    <row r="71" spans="1:4">
      <c r="A71" s="5"/>
      <c r="B71" s="8"/>
      <c r="C71" s="8"/>
      <c r="D71" s="7"/>
    </row>
    <row r="72" spans="1:4">
      <c r="A72" s="5"/>
      <c r="B72" s="8"/>
      <c r="C72" s="8"/>
      <c r="D72" s="7"/>
    </row>
    <row r="73" spans="1:4">
      <c r="A73" s="5"/>
      <c r="B73" s="8"/>
      <c r="C73" s="8"/>
      <c r="D73" s="7"/>
    </row>
    <row r="74" spans="1:4">
      <c r="A74" s="5"/>
      <c r="B74" s="8"/>
      <c r="C74" s="8"/>
      <c r="D74" s="7"/>
    </row>
    <row r="75" spans="1:4">
      <c r="A75" s="5"/>
      <c r="B75" s="8"/>
      <c r="C75" s="8"/>
      <c r="D75" s="7"/>
    </row>
    <row r="76" spans="1:4">
      <c r="A76" s="5"/>
      <c r="B76" s="8"/>
      <c r="C76" s="8"/>
      <c r="D76" s="7"/>
    </row>
    <row r="77" spans="1:4">
      <c r="A77" s="5"/>
      <c r="B77" s="8"/>
      <c r="C77" s="8"/>
      <c r="D77" s="7"/>
    </row>
    <row r="78" spans="1:4">
      <c r="A78" s="5"/>
      <c r="B78" s="8"/>
      <c r="C78" s="8"/>
      <c r="D78" s="7"/>
    </row>
    <row r="79" spans="1:4">
      <c r="A79" s="5"/>
      <c r="B79" s="8"/>
      <c r="C79" s="8"/>
      <c r="D79" s="7"/>
    </row>
    <row r="80" spans="1:4">
      <c r="A80" s="5"/>
      <c r="B80" s="8"/>
      <c r="C80" s="8"/>
      <c r="D80" s="7"/>
    </row>
    <row r="81" spans="1:4">
      <c r="A81" s="5"/>
      <c r="B81" s="8"/>
      <c r="C81" s="8"/>
      <c r="D81" s="7"/>
    </row>
    <row r="82" spans="1:4">
      <c r="A82" s="5"/>
      <c r="B82" s="8"/>
      <c r="C82" s="8"/>
      <c r="D82" s="7"/>
    </row>
    <row r="83" spans="1:4">
      <c r="A83" s="5"/>
      <c r="B83" s="8"/>
      <c r="C83" s="8"/>
      <c r="D83" s="7"/>
    </row>
    <row r="84" spans="1:4">
      <c r="A84" s="5"/>
      <c r="B84" s="8"/>
      <c r="C84" s="8"/>
      <c r="D84" s="7"/>
    </row>
    <row r="85" spans="1:4">
      <c r="A85" s="5"/>
      <c r="B85" s="8"/>
      <c r="C85" s="8"/>
      <c r="D85" s="7"/>
    </row>
    <row r="86" spans="1:4">
      <c r="A86" s="5"/>
      <c r="B86" s="8"/>
      <c r="C86" s="8"/>
      <c r="D86" s="7"/>
    </row>
    <row r="87" spans="1:4">
      <c r="A87" s="5"/>
      <c r="B87" s="8"/>
      <c r="C87" s="8"/>
      <c r="D87" s="7"/>
    </row>
    <row r="88" spans="1:4">
      <c r="A88" s="5"/>
      <c r="B88" s="8"/>
      <c r="C88" s="8"/>
      <c r="D88" s="7"/>
    </row>
    <row r="89" spans="1:4">
      <c r="A89" s="5"/>
      <c r="B89" s="8"/>
      <c r="C89" s="8"/>
      <c r="D89" s="7"/>
    </row>
    <row r="90" spans="1:4">
      <c r="A90" s="5"/>
      <c r="B90" s="8"/>
      <c r="C90" s="8"/>
      <c r="D90" s="7"/>
    </row>
    <row r="91" spans="1:4">
      <c r="A91" s="5"/>
      <c r="B91" s="8"/>
      <c r="C91" s="8"/>
      <c r="D91" s="7"/>
    </row>
  </sheetData>
  <pageMargins left="0.7" right="0.7" top="0.75" bottom="0.75" header="0.3" footer="0.3"/>
  <pageSetup orientation="portrait" verticalDpi="0" r:id="rId1"/>
  <customProperties>
    <customPr name="EpmWorksheetKeyString_GUID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>
    <pageSetUpPr fitToPage="1"/>
  </sheetPr>
  <dimension ref="A1:E35"/>
  <sheetViews>
    <sheetView workbookViewId="0"/>
  </sheetViews>
  <sheetFormatPr defaultColWidth="9.1796875" defaultRowHeight="12.5"/>
  <cols>
    <col min="1" max="1" width="32.1796875" style="16" customWidth="1"/>
    <col min="2" max="2" width="25.81640625" style="16" customWidth="1"/>
    <col min="3" max="3" width="54.81640625" style="16" customWidth="1"/>
    <col min="4" max="4" width="61.1796875" style="16" customWidth="1"/>
    <col min="5" max="5" width="39.1796875" style="16" customWidth="1"/>
    <col min="6" max="16384" width="9.1796875" style="16"/>
  </cols>
  <sheetData>
    <row r="1" spans="1:5" s="26" customFormat="1">
      <c r="A1" s="26" t="s">
        <v>80</v>
      </c>
      <c r="B1" s="26" t="s">
        <v>81</v>
      </c>
      <c r="C1" s="26" t="s">
        <v>79</v>
      </c>
      <c r="D1" s="26" t="s">
        <v>78</v>
      </c>
      <c r="E1" s="26" t="s">
        <v>77</v>
      </c>
    </row>
    <row r="2" spans="1:5">
      <c r="A2" t="s">
        <v>76</v>
      </c>
      <c r="B2" t="s">
        <v>75</v>
      </c>
      <c r="C2" s="16" t="s">
        <v>74</v>
      </c>
      <c r="D2" s="25" t="s">
        <v>73</v>
      </c>
      <c r="E2" s="25" t="s">
        <v>72</v>
      </c>
    </row>
    <row r="3" spans="1:5">
      <c r="A3" t="s">
        <v>71</v>
      </c>
      <c r="B3" t="s">
        <v>70</v>
      </c>
      <c r="C3" s="16" t="s">
        <v>69</v>
      </c>
      <c r="D3" s="25" t="s">
        <v>68</v>
      </c>
    </row>
    <row r="4" spans="1:5">
      <c r="A4" t="s">
        <v>67</v>
      </c>
      <c r="B4" t="s">
        <v>66</v>
      </c>
      <c r="C4" s="16" t="s">
        <v>65</v>
      </c>
      <c r="D4" s="25" t="s">
        <v>64</v>
      </c>
    </row>
    <row r="5" spans="1:5">
      <c r="A5" t="s">
        <v>63</v>
      </c>
      <c r="B5" t="s">
        <v>63</v>
      </c>
      <c r="C5" s="25" t="s">
        <v>62</v>
      </c>
      <c r="D5" s="25" t="s">
        <v>61</v>
      </c>
    </row>
    <row r="6" spans="1:5">
      <c r="A6" t="s">
        <v>59</v>
      </c>
      <c r="B6" t="s">
        <v>59</v>
      </c>
      <c r="C6" s="25" t="s">
        <v>62</v>
      </c>
      <c r="D6" s="25" t="s">
        <v>61</v>
      </c>
    </row>
    <row r="7" spans="1:5">
      <c r="A7" t="s">
        <v>60</v>
      </c>
      <c r="B7" t="s">
        <v>59</v>
      </c>
      <c r="C7" s="25" t="s">
        <v>58</v>
      </c>
      <c r="D7" s="25" t="s">
        <v>57</v>
      </c>
    </row>
    <row r="8" spans="1:5">
      <c r="A8"/>
      <c r="B8"/>
      <c r="C8" s="25"/>
    </row>
    <row r="9" spans="1:5">
      <c r="A9" t="s">
        <v>56</v>
      </c>
      <c r="B9" t="s">
        <v>55</v>
      </c>
      <c r="C9" s="16" t="s">
        <v>54</v>
      </c>
    </row>
    <row r="10" spans="1:5">
      <c r="A10" s="16" t="s">
        <v>53</v>
      </c>
      <c r="B10" s="16" t="s">
        <v>52</v>
      </c>
      <c r="C10" s="16" t="s">
        <v>51</v>
      </c>
      <c r="D10" s="25" t="s">
        <v>50</v>
      </c>
    </row>
    <row r="35" spans="1:3">
      <c r="A35" s="25"/>
      <c r="B35" s="25"/>
      <c r="C35" s="25"/>
    </row>
  </sheetData>
  <pageMargins left="0.25" right="0.1" top="0.75" bottom="0.75" header="0.3" footer="0.3"/>
  <pageSetup scale="65" fitToHeight="30" orientation="landscape" r:id="rId1"/>
  <headerFooter>
    <oddHeader>&amp;CUSLMS - External Source Design Details</oddHeader>
    <oddFooter>&amp;L&amp;D&amp;C&amp;F&amp;RPage &amp;P of &amp;N</oddFooter>
  </headerFooter>
  <customProperties>
    <customPr name="EpmWorksheetKeyString_GUID" r:id="rId2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D46"/>
  <sheetViews>
    <sheetView showGridLines="0" workbookViewId="0">
      <pane xSplit="1" ySplit="3" topLeftCell="B7" activePane="bottomRight" state="frozen"/>
      <selection activeCell="D38" sqref="D38"/>
      <selection pane="topRight" activeCell="D38" sqref="D38"/>
      <selection pane="bottomLeft" activeCell="D38" sqref="D38"/>
      <selection pane="bottomRight" activeCell="D38" sqref="D38"/>
    </sheetView>
  </sheetViews>
  <sheetFormatPr defaultColWidth="15.54296875" defaultRowHeight="12.5"/>
  <cols>
    <col min="1" max="1" width="15.54296875" customWidth="1"/>
    <col min="2" max="2" width="30.54296875" customWidth="1"/>
  </cols>
  <sheetData>
    <row r="1" spans="1:4" ht="15.75" customHeight="1">
      <c r="B1" s="10" t="s">
        <v>46</v>
      </c>
    </row>
    <row r="2" spans="1:4" ht="12.75" customHeight="1">
      <c r="A2" s="12"/>
      <c r="B2" s="12"/>
    </row>
    <row r="3" spans="1:4">
      <c r="A3" s="11" t="s">
        <v>165</v>
      </c>
    </row>
    <row r="4" spans="1:4">
      <c r="B4" s="11" t="s">
        <v>308</v>
      </c>
    </row>
    <row r="5" spans="1:4">
      <c r="B5" s="279" t="s">
        <v>312</v>
      </c>
    </row>
    <row r="6" spans="1:4">
      <c r="B6" s="11" t="s">
        <v>334</v>
      </c>
      <c r="D6" s="11"/>
    </row>
    <row r="7" spans="1:4">
      <c r="B7" s="11" t="s">
        <v>360</v>
      </c>
      <c r="D7" s="11"/>
    </row>
    <row r="8" spans="1:4">
      <c r="B8" s="11" t="s">
        <v>361</v>
      </c>
    </row>
    <row r="9" spans="1:4">
      <c r="B9" s="11" t="s">
        <v>362</v>
      </c>
      <c r="D9" s="11"/>
    </row>
    <row r="10" spans="1:4">
      <c r="B10" s="11" t="s">
        <v>363</v>
      </c>
    </row>
    <row r="11" spans="1:4" s="164" customFormat="1">
      <c r="B11" s="11" t="s">
        <v>281</v>
      </c>
    </row>
    <row r="12" spans="1:4" s="164" customFormat="1">
      <c r="B12" s="11" t="s">
        <v>282</v>
      </c>
    </row>
    <row r="13" spans="1:4" s="164" customFormat="1">
      <c r="B13" s="11"/>
    </row>
    <row r="14" spans="1:4" s="164" customFormat="1">
      <c r="A14" s="11" t="s">
        <v>364</v>
      </c>
      <c r="B14" s="11"/>
    </row>
    <row r="15" spans="1:4" s="164" customFormat="1">
      <c r="B15" s="11" t="s">
        <v>365</v>
      </c>
    </row>
    <row r="16" spans="1:4" s="164" customFormat="1">
      <c r="B16" s="11" t="s">
        <v>14</v>
      </c>
    </row>
    <row r="17" spans="1:2" s="164" customFormat="1">
      <c r="B17" s="11" t="s">
        <v>366</v>
      </c>
    </row>
    <row r="18" spans="1:2" s="164" customFormat="1">
      <c r="B18" s="11" t="s">
        <v>367</v>
      </c>
    </row>
    <row r="19" spans="1:2" s="164" customFormat="1">
      <c r="B19" s="11" t="s">
        <v>368</v>
      </c>
    </row>
    <row r="20" spans="1:2" s="164" customFormat="1">
      <c r="B20" s="11" t="s">
        <v>369</v>
      </c>
    </row>
    <row r="21" spans="1:2" s="164" customFormat="1">
      <c r="B21" s="11" t="s">
        <v>370</v>
      </c>
    </row>
    <row r="22" spans="1:2" s="164" customFormat="1">
      <c r="B22" s="11" t="s">
        <v>371</v>
      </c>
    </row>
    <row r="23" spans="1:2" s="164" customFormat="1"/>
    <row r="24" spans="1:2">
      <c r="A24" s="11" t="s">
        <v>94</v>
      </c>
    </row>
    <row r="25" spans="1:2">
      <c r="B25" s="11" t="s">
        <v>166</v>
      </c>
    </row>
    <row r="26" spans="1:2">
      <c r="A26" s="11"/>
      <c r="B26" s="11"/>
    </row>
    <row r="27" spans="1:2">
      <c r="B27" s="11"/>
    </row>
    <row r="28" spans="1:2">
      <c r="B28" s="11"/>
    </row>
    <row r="30" spans="1:2">
      <c r="A30" s="11" t="s">
        <v>167</v>
      </c>
    </row>
    <row r="31" spans="1:2">
      <c r="B31" s="11" t="s">
        <v>120</v>
      </c>
    </row>
    <row r="32" spans="1:2">
      <c r="B32" s="11" t="s">
        <v>121</v>
      </c>
    </row>
    <row r="33" spans="1:2">
      <c r="B33" s="11" t="s">
        <v>122</v>
      </c>
    </row>
    <row r="34" spans="1:2">
      <c r="B34" s="11" t="s">
        <v>123</v>
      </c>
    </row>
    <row r="35" spans="1:2">
      <c r="A35" s="11"/>
      <c r="B35" s="11" t="s">
        <v>124</v>
      </c>
    </row>
    <row r="37" spans="1:2">
      <c r="A37" s="11" t="s">
        <v>168</v>
      </c>
    </row>
    <row r="40" spans="1:2">
      <c r="A40" s="11" t="s">
        <v>169</v>
      </c>
    </row>
    <row r="41" spans="1:2">
      <c r="B41" s="11" t="s">
        <v>144</v>
      </c>
    </row>
    <row r="42" spans="1:2">
      <c r="B42" s="11" t="s">
        <v>145</v>
      </c>
    </row>
    <row r="43" spans="1:2">
      <c r="B43" s="11" t="s">
        <v>146</v>
      </c>
    </row>
    <row r="44" spans="1:2">
      <c r="B44" s="11" t="s">
        <v>147</v>
      </c>
    </row>
    <row r="46" spans="1:2">
      <c r="A46" s="41" t="s">
        <v>183</v>
      </c>
    </row>
  </sheetData>
  <hyperlinks>
    <hyperlink ref="A3" location="Product!A1" display="1. Product" xr:uid="{00000000-0004-0000-0200-000000000000}"/>
    <hyperlink ref="B4" location="gmwb_generation_set_aig" display="gmwb_generation_set_aig" xr:uid="{00000000-0004-0000-0200-000001000000}"/>
    <hyperlink ref="A24" location="Fund!A1" display="2. Fund" xr:uid="{00000000-0004-0000-0200-000002000000}"/>
    <hyperlink ref="B25" location="FIAFundCred" display="FIAFundCred" xr:uid="{00000000-0004-0000-0200-000003000000}"/>
    <hyperlink ref="A30" location="Expenses!A1" display="3. Expenses" xr:uid="{00000000-0004-0000-0200-000004000000}"/>
    <hyperlink ref="B31" location="Expenses!B7" display="3.1. Commissions" xr:uid="{00000000-0004-0000-0200-000005000000}"/>
    <hyperlink ref="B32" location="Expenses!B12" display="3.2. Adjustments" xr:uid="{00000000-0004-0000-0200-000006000000}"/>
    <hyperlink ref="B33" location="Expenses!B16" display="3.3. Acquisition" xr:uid="{00000000-0004-0000-0200-000007000000}"/>
    <hyperlink ref="B34" location="Expenses!B22" display="3.4. Maintenance" xr:uid="{00000000-0004-0000-0200-000008000000}"/>
    <hyperlink ref="B35" location="Expenses!B26" display="3.5. Premium Tax" xr:uid="{00000000-0004-0000-0200-000009000000}"/>
    <hyperlink ref="A37" location="Mortality!A1" display="4. Mortality" xr:uid="{00000000-0004-0000-0200-00000A000000}"/>
    <hyperlink ref="A40" location="Policyholder!A1" display="Policy Holder" xr:uid="{00000000-0004-0000-0200-00000B000000}"/>
    <hyperlink ref="B41" location="Policyholder!B7" display="Lapse : Base" xr:uid="{00000000-0004-0000-0200-00000C000000}"/>
    <hyperlink ref="B42" location="Policyholder!B13" display="Lapse : Dynamic" xr:uid="{00000000-0004-0000-0200-00000D000000}"/>
    <hyperlink ref="B43" location="Policyholder!B25" display="Annuitization" xr:uid="{00000000-0004-0000-0200-00000E000000}"/>
    <hyperlink ref="B44" location="Policyholder!B27" display="Withdrawal Use" xr:uid="{00000000-0004-0000-0200-00000F000000}"/>
    <hyperlink ref="A46" location="TblIndex!A1" display="TblIndex" xr:uid="{00000000-0004-0000-0200-000010000000}"/>
    <hyperlink ref="B5" location="snfl_set_aig" display="snfl_set_aig" xr:uid="{00000000-0004-0000-0200-000011000000}"/>
    <hyperlink ref="B6" location="renewal_set_aig" display="renewal_set_aig" xr:uid="{00000000-0004-0000-0200-000012000000}"/>
    <hyperlink ref="B7" location="FIAProd" display="FIAProd" xr:uid="{00000000-0004-0000-0200-000013000000}"/>
    <hyperlink ref="B8" location="PurchRateCurrSprd" display="PurchRateCurrSprd" xr:uid="{00000000-0004-0000-0200-000014000000}"/>
    <hyperlink ref="B9" location="surr_chg" display="surr_chg" xr:uid="{00000000-0004-0000-0200-000015000000}"/>
    <hyperlink ref="B10" location="FIACred" display="FIACred" xr:uid="{00000000-0004-0000-0200-000016000000}"/>
    <hyperlink ref="B11" location="prem_bonus_recapture_pct_aig" display="prem_bonus_recapture_pct_aig" xr:uid="{00000000-0004-0000-0200-000017000000}"/>
    <hyperlink ref="B12" location="prem_credit_pct_aig" display="prem_credit_pct_aig" xr:uid="{00000000-0004-0000-0200-000018000000}"/>
    <hyperlink ref="B15" location="FIAGmwb_aig" display="FIAGmwb_aig" xr:uid="{00000000-0004-0000-0200-000019000000}"/>
    <hyperlink ref="B16" location="gmwb_max_annual_wdl_pct" display="gmwb_max_annual_wdl_pct" xr:uid="{00000000-0004-0000-0200-00001A000000}"/>
    <hyperlink ref="B17" location="gmwb_credit_mult_aig" display="gmwb_credit_mult_aig" xr:uid="{00000000-0004-0000-0200-00001B000000}"/>
    <hyperlink ref="B18" location="gmwb_net_credit_aig" display="gmwb_net_credit_aig" xr:uid="{00000000-0004-0000-0200-00001C000000}"/>
    <hyperlink ref="B19" location="gmwb_rollup_rate_type_aig" display="gmwb_rollup_rate_type_aig" xr:uid="{00000000-0004-0000-0200-00001D000000}"/>
    <hyperlink ref="B20" location="gmwb_income_prem_base_reduction_method_aig" display="gmwb_income_prem_base_reduction_method_aig" xr:uid="{00000000-0004-0000-0200-00001E000000}"/>
    <hyperlink ref="B21" location="gmwb_income_fund_val_base_reduction_method_aig" display="gmwb_income_fund_val_base_reduction_method_aig" xr:uid="{00000000-0004-0000-0200-00001F000000}"/>
    <hyperlink ref="B22" location="gmwb_income_rollup_cap_base_reduction_method_aig" display="gmwb_income_rollup_cap_base_reduction_method_aig" xr:uid="{00000000-0004-0000-0200-000020000000}"/>
  </hyperlinks>
  <pageMargins left="0.7" right="0.7" top="0.75" bottom="0.75" header="0.3" footer="0.3"/>
  <pageSetup orientation="portrait" r:id="rId1"/>
  <customProperties>
    <customPr name="EpmWorksheetKeyString_GUID" r:id="rId2"/>
    <customPr name="watsonwyatt_sheetdata" r:id="rId3"/>
  </customPropertie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AN522"/>
  <sheetViews>
    <sheetView showGridLines="0" zoomScale="70" zoomScaleNormal="70" workbookViewId="0">
      <pane xSplit="4" ySplit="5" topLeftCell="E192" activePane="bottomRight" state="frozen"/>
      <selection activeCell="M4" sqref="M4"/>
      <selection pane="topRight" activeCell="M4" sqref="M4"/>
      <selection pane="bottomLeft" activeCell="M4" sqref="M4"/>
      <selection pane="bottomRight" activeCell="L209" sqref="L209"/>
    </sheetView>
  </sheetViews>
  <sheetFormatPr defaultColWidth="15.54296875" defaultRowHeight="12.75" customHeight="1" outlineLevelCol="1"/>
  <cols>
    <col min="1" max="1" width="22.54296875" style="65" customWidth="1"/>
    <col min="2" max="2" width="34.26953125" style="65" customWidth="1"/>
    <col min="3" max="3" width="30.54296875" style="155" customWidth="1"/>
    <col min="4" max="4" width="7.453125" style="65" customWidth="1"/>
    <col min="5" max="5" width="18.453125" style="167" customWidth="1" outlineLevel="1"/>
    <col min="6" max="6" width="18.453125" style="167" customWidth="1"/>
    <col min="7" max="7" width="24.54296875" style="167" customWidth="1" outlineLevel="1"/>
    <col min="8" max="8" width="15.54296875" style="65"/>
    <col min="9" max="13" width="15.54296875" style="155"/>
    <col min="14" max="26" width="15.54296875" style="65"/>
    <col min="27" max="28" width="15.54296875" style="155"/>
    <col min="29" max="16384" width="15.54296875" style="65"/>
  </cols>
  <sheetData>
    <row r="1" spans="1:28" s="150" customFormat="1" ht="15.5">
      <c r="A1" s="64" t="s">
        <v>161</v>
      </c>
      <c r="B1" s="17" t="s">
        <v>319</v>
      </c>
      <c r="C1" s="17"/>
      <c r="D1" s="155"/>
      <c r="E1" s="167"/>
      <c r="F1" s="167"/>
      <c r="G1" s="167"/>
      <c r="H1" s="155"/>
      <c r="I1" s="155"/>
      <c r="J1" s="155"/>
      <c r="K1" s="155"/>
      <c r="L1" s="155"/>
      <c r="M1" s="155"/>
      <c r="N1" s="155"/>
      <c r="O1" s="155"/>
      <c r="P1" s="155"/>
      <c r="Q1" s="155"/>
      <c r="R1" s="155"/>
      <c r="S1" s="155"/>
      <c r="T1" s="155"/>
    </row>
    <row r="3" spans="1:28" s="67" customFormat="1" ht="12.75" customHeight="1">
      <c r="A3" s="65"/>
      <c r="B3" s="66" t="str">
        <f ca="1">GetNameRange(B5)</f>
        <v>gmwb_generation_set_aig</v>
      </c>
      <c r="C3" s="65"/>
      <c r="D3" s="155"/>
      <c r="E3" s="167"/>
      <c r="F3" s="167"/>
      <c r="G3" s="167"/>
    </row>
    <row r="4" spans="1:28" s="155" customFormat="1" ht="12.75" customHeight="1">
      <c r="A4" s="191" t="s">
        <v>48</v>
      </c>
      <c r="B4" s="169"/>
      <c r="C4" s="169" t="s">
        <v>47</v>
      </c>
      <c r="D4" s="219" t="s">
        <v>49</v>
      </c>
      <c r="E4" s="168" t="s">
        <v>642</v>
      </c>
      <c r="F4" s="168" t="s">
        <v>643</v>
      </c>
      <c r="G4" s="168" t="s">
        <v>612</v>
      </c>
    </row>
    <row r="5" spans="1:28" ht="12.75" customHeight="1" thickBot="1">
      <c r="A5" s="120"/>
      <c r="B5" s="120" t="s">
        <v>308</v>
      </c>
      <c r="C5" s="78" t="s">
        <v>315</v>
      </c>
      <c r="D5" s="85" t="s">
        <v>484</v>
      </c>
      <c r="E5" s="85"/>
      <c r="F5" s="85"/>
      <c r="G5" s="85"/>
      <c r="I5" s="65"/>
      <c r="J5" s="65"/>
      <c r="K5" s="65"/>
      <c r="L5" s="65"/>
      <c r="M5" s="65"/>
      <c r="AA5" s="65"/>
      <c r="AB5" s="65"/>
    </row>
    <row r="6" spans="1:28" ht="12.75" customHeight="1">
      <c r="A6" s="121"/>
      <c r="B6" s="280"/>
      <c r="C6" s="165"/>
      <c r="D6" s="165"/>
      <c r="G6" s="166"/>
      <c r="I6" s="65"/>
      <c r="J6" s="65"/>
      <c r="K6" s="65"/>
      <c r="L6" s="65"/>
      <c r="M6" s="65"/>
      <c r="AA6" s="65"/>
      <c r="AB6" s="65"/>
    </row>
    <row r="7" spans="1:28" s="155" customFormat="1" ht="11.25" customHeight="1">
      <c r="A7" s="157"/>
      <c r="B7" s="34"/>
      <c r="C7" s="34"/>
      <c r="D7" s="196" t="s">
        <v>314</v>
      </c>
      <c r="E7" s="319"/>
      <c r="F7" s="319"/>
      <c r="G7" s="31"/>
    </row>
    <row r="8" spans="1:28" s="155" customFormat="1" ht="12.75" customHeight="1">
      <c r="A8" s="157"/>
      <c r="B8" s="325" t="s">
        <v>353</v>
      </c>
      <c r="C8" s="287" t="s">
        <v>313</v>
      </c>
      <c r="D8" s="287" t="s">
        <v>485</v>
      </c>
      <c r="E8" s="319" t="s">
        <v>313</v>
      </c>
      <c r="F8" s="319" t="s">
        <v>313</v>
      </c>
      <c r="G8" s="195" t="s">
        <v>313</v>
      </c>
    </row>
    <row r="9" spans="1:28" s="155" customFormat="1" ht="12.75" customHeight="1">
      <c r="A9" s="157"/>
      <c r="B9" s="325" t="s">
        <v>353</v>
      </c>
      <c r="C9" s="287" t="s">
        <v>297</v>
      </c>
      <c r="D9" s="287" t="s">
        <v>486</v>
      </c>
      <c r="E9" s="319"/>
      <c r="F9" s="319"/>
      <c r="G9" s="195"/>
    </row>
    <row r="10" spans="1:28" s="155" customFormat="1" ht="12.75" customHeight="1">
      <c r="A10" s="157"/>
      <c r="B10" s="326" t="s">
        <v>353</v>
      </c>
      <c r="C10" s="327" t="s">
        <v>298</v>
      </c>
      <c r="D10" s="327" t="s">
        <v>486</v>
      </c>
      <c r="E10" s="319"/>
      <c r="F10" s="319"/>
      <c r="G10" s="195"/>
    </row>
    <row r="11" spans="1:28" s="155" customFormat="1" ht="12.75" customHeight="1">
      <c r="A11" s="157"/>
      <c r="B11" s="324" t="s">
        <v>353</v>
      </c>
      <c r="C11" s="323" t="s">
        <v>436</v>
      </c>
      <c r="D11" s="323" t="s">
        <v>486</v>
      </c>
      <c r="E11" s="31"/>
      <c r="F11" s="31"/>
      <c r="G11" s="468"/>
    </row>
    <row r="12" spans="1:28" s="155" customFormat="1" ht="12.75" customHeight="1">
      <c r="D12" s="160"/>
      <c r="E12" s="511"/>
      <c r="F12" s="511"/>
      <c r="G12" s="166"/>
    </row>
    <row r="13" spans="1:28" s="155" customFormat="1" ht="12.75" customHeight="1">
      <c r="A13" s="29" t="s">
        <v>161</v>
      </c>
      <c r="D13" s="160"/>
      <c r="E13" s="511"/>
      <c r="F13" s="511"/>
      <c r="G13" s="167"/>
    </row>
    <row r="14" spans="1:28" s="150" customFormat="1" ht="12.75" customHeight="1">
      <c r="A14" s="29" t="s">
        <v>162</v>
      </c>
      <c r="B14" s="149" t="str">
        <f ca="1">GetNameRange(B16)</f>
        <v>snfl_set_aig</v>
      </c>
      <c r="C14" s="155"/>
      <c r="D14" s="155"/>
      <c r="E14" s="167"/>
      <c r="F14" s="167"/>
      <c r="G14" s="167"/>
    </row>
    <row r="15" spans="1:28" s="155" customFormat="1" ht="12.75" customHeight="1">
      <c r="A15" s="191" t="s">
        <v>48</v>
      </c>
      <c r="B15" s="169"/>
      <c r="C15" s="169" t="s">
        <v>47</v>
      </c>
      <c r="D15" s="219" t="str">
        <f>D$4</f>
        <v>Value</v>
      </c>
      <c r="E15" s="168" t="s">
        <v>642</v>
      </c>
      <c r="F15" s="168" t="s">
        <v>643</v>
      </c>
      <c r="G15" s="168" t="s">
        <v>612</v>
      </c>
    </row>
    <row r="16" spans="1:28" s="155" customFormat="1" ht="12.75" customHeight="1" thickBot="1">
      <c r="A16" s="120"/>
      <c r="B16" s="120" t="s">
        <v>312</v>
      </c>
      <c r="C16" s="78"/>
      <c r="D16" s="78"/>
      <c r="E16" s="85"/>
      <c r="F16" s="85"/>
      <c r="G16" s="85"/>
    </row>
    <row r="17" spans="1:7" s="155" customFormat="1" ht="12.75" customHeight="1">
      <c r="A17" s="121"/>
      <c r="B17" s="69"/>
      <c r="C17" s="165"/>
      <c r="D17" s="165"/>
      <c r="E17" s="167"/>
      <c r="F17" s="167"/>
      <c r="G17" s="166"/>
    </row>
    <row r="18" spans="1:7" s="155" customFormat="1" ht="12.75" customHeight="1">
      <c r="A18" s="157"/>
      <c r="C18" s="24"/>
      <c r="D18" s="196" t="s">
        <v>215</v>
      </c>
      <c r="E18" s="319"/>
      <c r="F18" s="319"/>
      <c r="G18" s="31"/>
    </row>
    <row r="19" spans="1:7" s="155" customFormat="1" ht="12.75" customHeight="1">
      <c r="A19" s="157"/>
      <c r="B19" s="546" t="s">
        <v>660</v>
      </c>
      <c r="C19" s="286"/>
      <c r="D19" s="160"/>
      <c r="E19" s="420">
        <v>0.03</v>
      </c>
      <c r="F19" s="420">
        <v>0.03</v>
      </c>
      <c r="G19" s="420">
        <v>0.03</v>
      </c>
    </row>
    <row r="20" spans="1:7" s="155" customFormat="1" ht="12.75" customHeight="1">
      <c r="A20" s="157"/>
      <c r="B20" s="546" t="s">
        <v>659</v>
      </c>
      <c r="C20" s="286"/>
      <c r="D20" s="160"/>
      <c r="E20" s="420">
        <v>2.35E-2</v>
      </c>
      <c r="F20" s="420">
        <v>2.35E-2</v>
      </c>
      <c r="G20" s="420">
        <v>2.35E-2</v>
      </c>
    </row>
    <row r="21" spans="1:7" s="155" customFormat="1" ht="12.75" customHeight="1">
      <c r="A21" s="157"/>
      <c r="B21" s="497" t="s">
        <v>627</v>
      </c>
      <c r="C21" s="286"/>
      <c r="D21" s="160"/>
      <c r="E21" s="420">
        <v>2.8000000000000001E-2</v>
      </c>
      <c r="F21" s="420">
        <v>2.8000000000000001E-2</v>
      </c>
      <c r="G21" s="493">
        <v>2.8000000000000001E-2</v>
      </c>
    </row>
    <row r="22" spans="1:7" s="155" customFormat="1" ht="12.75" customHeight="1">
      <c r="A22" s="157"/>
      <c r="B22" s="285" t="s">
        <v>401</v>
      </c>
      <c r="C22" s="286"/>
      <c r="D22" s="160"/>
      <c r="E22" s="226">
        <v>0.01</v>
      </c>
      <c r="F22" s="226">
        <v>0.01</v>
      </c>
      <c r="G22" s="226">
        <v>0.01</v>
      </c>
    </row>
    <row r="23" spans="1:7" s="155" customFormat="1" ht="12.75" customHeight="1">
      <c r="D23" s="160"/>
      <c r="E23" s="167"/>
      <c r="F23" s="167"/>
      <c r="G23" s="167"/>
    </row>
    <row r="24" spans="1:7" s="155" customFormat="1" ht="12.75" customHeight="1">
      <c r="D24" s="160"/>
      <c r="E24" s="167"/>
      <c r="F24" s="167"/>
      <c r="G24" s="167"/>
    </row>
    <row r="25" spans="1:7" s="150" customFormat="1" ht="12.75" customHeight="1">
      <c r="A25" s="155"/>
      <c r="B25" s="149" t="str">
        <f ca="1">GetNameRange(B27)</f>
        <v>renewal_set_aig</v>
      </c>
      <c r="C25" s="155"/>
      <c r="D25" s="155"/>
      <c r="E25" s="164"/>
      <c r="F25" s="164"/>
      <c r="G25" s="155"/>
    </row>
    <row r="26" spans="1:7" s="155" customFormat="1" ht="12.75" customHeight="1">
      <c r="A26" s="191" t="s">
        <v>48</v>
      </c>
      <c r="B26" s="169"/>
      <c r="C26" s="169" t="s">
        <v>47</v>
      </c>
      <c r="D26" s="219" t="str">
        <f>D$4</f>
        <v>Value</v>
      </c>
      <c r="E26" s="168" t="s">
        <v>642</v>
      </c>
      <c r="F26" s="168" t="s">
        <v>643</v>
      </c>
      <c r="G26" s="168" t="s">
        <v>612</v>
      </c>
    </row>
    <row r="27" spans="1:7" s="155" customFormat="1" ht="12.75" customHeight="1" thickBot="1">
      <c r="A27" s="194"/>
      <c r="B27" s="120" t="s">
        <v>334</v>
      </c>
      <c r="C27" s="78" t="s">
        <v>29</v>
      </c>
      <c r="D27" s="78"/>
      <c r="E27" s="85"/>
      <c r="F27" s="85"/>
      <c r="G27" s="85"/>
    </row>
    <row r="28" spans="1:7" s="155" customFormat="1" ht="12.75" customHeight="1">
      <c r="A28" s="69"/>
      <c r="B28" s="280"/>
      <c r="C28" s="165"/>
      <c r="D28" s="165"/>
      <c r="E28" s="167"/>
      <c r="F28" s="167"/>
      <c r="G28" s="166"/>
    </row>
    <row r="29" spans="1:7" s="155" customFormat="1" ht="12.75" customHeight="1">
      <c r="B29" s="196"/>
      <c r="C29" s="196"/>
      <c r="D29" s="24"/>
      <c r="E29" s="319"/>
      <c r="F29" s="319"/>
      <c r="G29" s="31"/>
    </row>
    <row r="30" spans="1:7" s="213" customFormat="1" ht="12.75" customHeight="1">
      <c r="A30" s="31" t="s">
        <v>265</v>
      </c>
      <c r="B30" s="281" t="s">
        <v>423</v>
      </c>
      <c r="C30" s="282" t="s">
        <v>264</v>
      </c>
      <c r="D30" s="160"/>
      <c r="E30" s="512" t="s">
        <v>424</v>
      </c>
      <c r="F30" s="512" t="s">
        <v>424</v>
      </c>
      <c r="G30" s="353" t="s">
        <v>424</v>
      </c>
    </row>
    <row r="31" spans="1:7" s="107" customFormat="1" ht="12.5">
      <c r="A31" s="278" t="s">
        <v>356</v>
      </c>
      <c r="B31" s="281" t="s">
        <v>423</v>
      </c>
      <c r="C31" s="283" t="s">
        <v>357</v>
      </c>
      <c r="D31" s="160"/>
      <c r="E31" s="319" t="s">
        <v>375</v>
      </c>
      <c r="F31" s="319" t="s">
        <v>375</v>
      </c>
      <c r="G31" s="195" t="s">
        <v>375</v>
      </c>
    </row>
    <row r="32" spans="1:7" s="213" customFormat="1" ht="12.75" customHeight="1">
      <c r="A32" s="277" t="s">
        <v>302</v>
      </c>
      <c r="B32" s="281" t="s">
        <v>423</v>
      </c>
      <c r="C32" s="284" t="s">
        <v>303</v>
      </c>
      <c r="D32" s="160"/>
      <c r="E32" s="319" t="s">
        <v>302</v>
      </c>
      <c r="F32" s="319" t="s">
        <v>302</v>
      </c>
      <c r="G32" s="195" t="s">
        <v>302</v>
      </c>
    </row>
    <row r="33" spans="1:20" s="213" customFormat="1" ht="12.75" customHeight="1">
      <c r="A33" s="31" t="s">
        <v>265</v>
      </c>
      <c r="B33" s="287" t="s">
        <v>354</v>
      </c>
      <c r="C33" s="288" t="s">
        <v>264</v>
      </c>
      <c r="D33" s="160"/>
      <c r="E33" s="512" t="s">
        <v>424</v>
      </c>
      <c r="F33" s="512" t="s">
        <v>424</v>
      </c>
      <c r="G33" s="353" t="s">
        <v>424</v>
      </c>
    </row>
    <row r="34" spans="1:20" s="107" customFormat="1" ht="12.5">
      <c r="A34" s="278" t="s">
        <v>356</v>
      </c>
      <c r="B34" s="287" t="s">
        <v>354</v>
      </c>
      <c r="C34" s="289" t="s">
        <v>357</v>
      </c>
      <c r="D34" s="160"/>
      <c r="E34" s="319" t="s">
        <v>375</v>
      </c>
      <c r="F34" s="319" t="s">
        <v>375</v>
      </c>
      <c r="G34" s="195" t="s">
        <v>375</v>
      </c>
    </row>
    <row r="35" spans="1:20" s="107" customFormat="1" ht="12.5">
      <c r="A35" s="187" t="s">
        <v>302</v>
      </c>
      <c r="B35" s="287" t="s">
        <v>354</v>
      </c>
      <c r="C35" s="289" t="s">
        <v>303</v>
      </c>
      <c r="D35" s="160"/>
      <c r="E35" s="319" t="s">
        <v>302</v>
      </c>
      <c r="F35" s="319" t="s">
        <v>302</v>
      </c>
      <c r="G35" s="195" t="s">
        <v>302</v>
      </c>
    </row>
    <row r="36" spans="1:20" s="155" customFormat="1" ht="12.75" customHeight="1">
      <c r="D36" s="160"/>
      <c r="E36" s="167"/>
      <c r="F36" s="167"/>
      <c r="G36" s="167"/>
    </row>
    <row r="37" spans="1:20" s="155" customFormat="1" ht="12.75" customHeight="1">
      <c r="D37" s="160"/>
      <c r="E37" s="167"/>
      <c r="F37" s="167"/>
      <c r="G37" s="167"/>
    </row>
    <row r="38" spans="1:20" s="150" customFormat="1" ht="12.75" customHeight="1">
      <c r="A38" s="29" t="s">
        <v>161</v>
      </c>
      <c r="B38" s="149" t="str">
        <f ca="1">GetNameRange(B40)</f>
        <v>FIAProd</v>
      </c>
      <c r="C38" s="149"/>
      <c r="D38" s="155"/>
      <c r="E38" s="167"/>
      <c r="F38" s="167"/>
      <c r="G38" s="167"/>
      <c r="H38" s="155"/>
      <c r="I38" s="155"/>
      <c r="J38" s="155"/>
      <c r="K38" s="155"/>
      <c r="L38" s="155"/>
      <c r="M38" s="155"/>
      <c r="N38" s="155"/>
      <c r="O38" s="155"/>
      <c r="P38" s="155"/>
      <c r="Q38" s="155"/>
      <c r="R38" s="155"/>
      <c r="S38" s="155"/>
      <c r="T38" s="155"/>
    </row>
    <row r="39" spans="1:20" s="155" customFormat="1" ht="12.75" customHeight="1">
      <c r="A39" s="29" t="s">
        <v>162</v>
      </c>
      <c r="B39" s="169"/>
      <c r="C39" s="169" t="s">
        <v>47</v>
      </c>
      <c r="D39" s="219" t="str">
        <f>D$4</f>
        <v>Value</v>
      </c>
      <c r="E39" s="168" t="s">
        <v>642</v>
      </c>
      <c r="F39" s="168" t="s">
        <v>643</v>
      </c>
      <c r="G39" s="168" t="s">
        <v>612</v>
      </c>
    </row>
    <row r="40" spans="1:20" s="155" customFormat="1" ht="12.75" customHeight="1" thickBot="1">
      <c r="A40" s="120"/>
      <c r="B40" s="79" t="s">
        <v>29</v>
      </c>
      <c r="C40" s="199"/>
      <c r="D40" s="78"/>
      <c r="E40" s="85"/>
      <c r="F40" s="85"/>
      <c r="G40" s="85"/>
    </row>
    <row r="41" spans="1:20" s="155" customFormat="1" ht="12.75" customHeight="1">
      <c r="A41" s="121"/>
      <c r="B41" s="69"/>
      <c r="C41" s="142"/>
      <c r="D41" s="165"/>
      <c r="E41" s="167"/>
      <c r="F41" s="167"/>
      <c r="G41" s="166"/>
    </row>
    <row r="42" spans="1:20" ht="12.75" customHeight="1">
      <c r="A42" s="121"/>
      <c r="B42" s="290" t="s">
        <v>0</v>
      </c>
      <c r="C42" s="200"/>
      <c r="D42" s="160"/>
      <c r="G42" s="166"/>
    </row>
    <row r="43" spans="1:20" ht="12.75" customHeight="1">
      <c r="A43" s="122" t="s">
        <v>35</v>
      </c>
      <c r="B43" s="282" t="s">
        <v>1</v>
      </c>
      <c r="C43" s="189"/>
      <c r="D43" s="160"/>
      <c r="E43" s="319" t="s">
        <v>644</v>
      </c>
      <c r="F43" s="319" t="s">
        <v>644</v>
      </c>
      <c r="G43" s="195" t="s">
        <v>644</v>
      </c>
    </row>
    <row r="44" spans="1:20" ht="12.75" customHeight="1">
      <c r="A44" s="122" t="s">
        <v>34</v>
      </c>
      <c r="B44" s="282" t="s">
        <v>236</v>
      </c>
      <c r="C44" s="202"/>
      <c r="D44" s="160"/>
      <c r="E44" s="319" t="s">
        <v>39</v>
      </c>
      <c r="F44" s="319" t="s">
        <v>39</v>
      </c>
      <c r="G44" s="195" t="s">
        <v>39</v>
      </c>
    </row>
    <row r="45" spans="1:20" s="155" customFormat="1" ht="12.75" customHeight="1">
      <c r="A45" s="157"/>
      <c r="B45" s="291"/>
      <c r="C45" s="203"/>
      <c r="D45" s="160"/>
      <c r="E45" s="319"/>
      <c r="F45" s="319"/>
      <c r="G45" s="195"/>
    </row>
    <row r="46" spans="1:20" s="155" customFormat="1" ht="12.75" customHeight="1">
      <c r="A46" s="121"/>
      <c r="B46" s="290" t="s">
        <v>620</v>
      </c>
      <c r="C46" s="200"/>
      <c r="D46" s="160"/>
      <c r="E46" s="167"/>
      <c r="F46" s="167"/>
      <c r="G46" s="237"/>
    </row>
    <row r="47" spans="1:20" s="155" customFormat="1" ht="12.75" customHeight="1">
      <c r="A47" s="157"/>
      <c r="B47" s="282" t="s">
        <v>622</v>
      </c>
      <c r="C47" s="189"/>
      <c r="D47" s="160"/>
      <c r="E47" s="513">
        <v>0</v>
      </c>
      <c r="F47" s="513">
        <v>0</v>
      </c>
      <c r="G47" s="496" t="s">
        <v>93</v>
      </c>
    </row>
    <row r="48" spans="1:20" s="155" customFormat="1" ht="12.75" customHeight="1">
      <c r="A48" s="157"/>
      <c r="B48" s="282" t="s">
        <v>621</v>
      </c>
      <c r="C48" s="189"/>
      <c r="D48" s="160"/>
      <c r="E48" s="258">
        <v>0</v>
      </c>
      <c r="F48" s="258">
        <v>0</v>
      </c>
      <c r="G48" s="493">
        <v>2E-3</v>
      </c>
    </row>
    <row r="49" spans="1:7" ht="12.75" customHeight="1">
      <c r="A49" s="122"/>
      <c r="B49" s="291"/>
      <c r="C49" s="203"/>
      <c r="D49" s="160"/>
      <c r="E49" s="319"/>
      <c r="F49" s="319"/>
      <c r="G49" s="195"/>
    </row>
    <row r="50" spans="1:7" ht="12.75" customHeight="1">
      <c r="A50" s="121"/>
      <c r="B50" s="290" t="s">
        <v>237</v>
      </c>
      <c r="C50" s="200"/>
      <c r="D50" s="160"/>
      <c r="G50" s="237"/>
    </row>
    <row r="51" spans="1:7" ht="12.75" customHeight="1">
      <c r="A51" s="122">
        <v>5</v>
      </c>
      <c r="B51" s="282" t="s">
        <v>238</v>
      </c>
      <c r="C51" s="201"/>
      <c r="D51" s="160"/>
      <c r="E51" s="319">
        <v>5</v>
      </c>
      <c r="F51" s="319">
        <v>5</v>
      </c>
      <c r="G51" s="195">
        <v>0</v>
      </c>
    </row>
    <row r="52" spans="1:7" ht="12.75" customHeight="1">
      <c r="A52" s="122"/>
      <c r="B52" s="291"/>
      <c r="C52" s="203"/>
      <c r="D52" s="136"/>
      <c r="E52" s="319"/>
      <c r="F52" s="319"/>
      <c r="G52" s="195"/>
    </row>
    <row r="53" spans="1:7" s="164" customFormat="1" ht="12.75" customHeight="1">
      <c r="A53" s="157"/>
      <c r="B53" s="444" t="s">
        <v>566</v>
      </c>
      <c r="C53" s="186"/>
      <c r="D53" s="320"/>
      <c r="E53" s="319"/>
      <c r="F53" s="319"/>
      <c r="G53" s="332"/>
    </row>
    <row r="54" spans="1:7" s="164" customFormat="1" ht="12.75" customHeight="1">
      <c r="A54" s="157" t="s">
        <v>34</v>
      </c>
      <c r="B54" s="282" t="s">
        <v>567</v>
      </c>
      <c r="C54" s="445"/>
      <c r="D54" s="320"/>
      <c r="E54" s="319" t="s">
        <v>39</v>
      </c>
      <c r="F54" s="319" t="s">
        <v>39</v>
      </c>
      <c r="G54" s="332" t="s">
        <v>39</v>
      </c>
    </row>
    <row r="55" spans="1:7" s="155" customFormat="1" ht="12.75" customHeight="1">
      <c r="A55" s="157"/>
      <c r="B55" s="291"/>
      <c r="C55" s="203"/>
      <c r="D55" s="160"/>
      <c r="E55" s="319"/>
      <c r="F55" s="319"/>
      <c r="G55" s="31"/>
    </row>
    <row r="56" spans="1:7" ht="12.75" customHeight="1">
      <c r="A56" s="122"/>
      <c r="B56" s="196" t="s">
        <v>230</v>
      </c>
      <c r="C56" s="197"/>
      <c r="D56" s="136"/>
      <c r="E56" s="319"/>
      <c r="F56" s="319"/>
      <c r="G56" s="31"/>
    </row>
    <row r="57" spans="1:7" s="155" customFormat="1" ht="12.75" customHeight="1">
      <c r="A57" s="157" t="s">
        <v>409</v>
      </c>
      <c r="B57" s="368" t="s">
        <v>410</v>
      </c>
      <c r="C57" s="189"/>
      <c r="D57" s="160"/>
      <c r="E57" s="514" t="s">
        <v>409</v>
      </c>
      <c r="F57" s="514" t="s">
        <v>409</v>
      </c>
      <c r="G57" s="303" t="s">
        <v>409</v>
      </c>
    </row>
    <row r="58" spans="1:7" ht="12.75" customHeight="1">
      <c r="A58" s="122">
        <v>1</v>
      </c>
      <c r="B58" s="368" t="s">
        <v>231</v>
      </c>
      <c r="C58" s="189"/>
      <c r="D58" s="160"/>
      <c r="E58" s="514">
        <v>1</v>
      </c>
      <c r="F58" s="514">
        <v>1</v>
      </c>
      <c r="G58" s="303">
        <v>1</v>
      </c>
    </row>
    <row r="59" spans="1:7" ht="12.75" customHeight="1">
      <c r="A59" s="126">
        <v>1E-3</v>
      </c>
      <c r="B59" s="368" t="s">
        <v>255</v>
      </c>
      <c r="C59" s="189"/>
      <c r="D59" s="160"/>
      <c r="E59" s="420">
        <v>0</v>
      </c>
      <c r="F59" s="420">
        <v>0</v>
      </c>
      <c r="G59" s="226">
        <v>0</v>
      </c>
    </row>
    <row r="60" spans="1:7" s="155" customFormat="1" ht="12.75" customHeight="1">
      <c r="A60" s="126"/>
      <c r="B60" s="368" t="s">
        <v>388</v>
      </c>
      <c r="C60" s="189"/>
      <c r="D60" s="160"/>
      <c r="E60" s="420" t="s">
        <v>116</v>
      </c>
      <c r="F60" s="420" t="s">
        <v>116</v>
      </c>
      <c r="G60" s="226" t="s">
        <v>116</v>
      </c>
    </row>
    <row r="61" spans="1:7" ht="12.75" customHeight="1">
      <c r="A61" s="122">
        <v>5</v>
      </c>
      <c r="B61" s="368" t="s">
        <v>254</v>
      </c>
      <c r="C61" s="189"/>
      <c r="D61" s="160"/>
      <c r="E61" s="515">
        <v>5</v>
      </c>
      <c r="F61" s="515">
        <v>5</v>
      </c>
      <c r="G61" s="239">
        <v>5</v>
      </c>
    </row>
    <row r="62" spans="1:7" s="155" customFormat="1" ht="12.75" customHeight="1">
      <c r="A62" s="126"/>
      <c r="B62" s="368" t="s">
        <v>500</v>
      </c>
      <c r="C62" s="189"/>
      <c r="D62" s="160"/>
      <c r="E62" s="515" t="s">
        <v>501</v>
      </c>
      <c r="F62" s="515" t="s">
        <v>501</v>
      </c>
      <c r="G62" s="239" t="s">
        <v>501</v>
      </c>
    </row>
    <row r="63" spans="1:7" s="155" customFormat="1" ht="12.75" customHeight="1">
      <c r="A63" s="157">
        <v>5</v>
      </c>
      <c r="B63" s="368" t="s">
        <v>502</v>
      </c>
      <c r="C63" s="189"/>
      <c r="D63" s="160"/>
      <c r="E63" s="515">
        <v>0</v>
      </c>
      <c r="F63" s="515">
        <v>0</v>
      </c>
      <c r="G63" s="239">
        <v>0</v>
      </c>
    </row>
    <row r="64" spans="1:7" s="155" customFormat="1" ht="12.75" customHeight="1">
      <c r="A64" s="157"/>
      <c r="B64" s="291"/>
      <c r="C64" s="203"/>
      <c r="D64" s="160"/>
      <c r="E64" s="319"/>
      <c r="F64" s="319"/>
      <c r="G64" s="31"/>
    </row>
    <row r="65" spans="1:20" s="155" customFormat="1" ht="12.75" customHeight="1">
      <c r="A65" s="157"/>
      <c r="B65" s="196" t="s">
        <v>437</v>
      </c>
      <c r="C65" s="197"/>
      <c r="D65" s="160"/>
      <c r="E65" s="319"/>
      <c r="F65" s="319"/>
      <c r="G65" s="31"/>
    </row>
    <row r="66" spans="1:20" s="155" customFormat="1" ht="12.75" customHeight="1">
      <c r="A66" s="157"/>
      <c r="B66" s="282" t="s">
        <v>476</v>
      </c>
      <c r="C66" s="189"/>
      <c r="D66" s="160"/>
      <c r="E66" s="514" t="s">
        <v>39</v>
      </c>
      <c r="F66" s="516" t="s">
        <v>34</v>
      </c>
      <c r="G66" s="303" t="s">
        <v>39</v>
      </c>
    </row>
    <row r="67" spans="1:20" s="155" customFormat="1" ht="12.75" customHeight="1">
      <c r="A67" s="157"/>
      <c r="B67" s="282" t="s">
        <v>509</v>
      </c>
      <c r="C67" s="189"/>
      <c r="D67" s="160"/>
      <c r="E67" s="514" t="s">
        <v>510</v>
      </c>
      <c r="F67" s="514" t="s">
        <v>645</v>
      </c>
      <c r="G67" s="303" t="s">
        <v>510</v>
      </c>
    </row>
    <row r="68" spans="1:20" s="150" customFormat="1" ht="12.75" customHeight="1">
      <c r="A68" s="14"/>
      <c r="B68" s="14"/>
      <c r="C68" s="14"/>
      <c r="D68" s="160"/>
      <c r="E68" s="320"/>
      <c r="F68" s="320"/>
      <c r="G68" s="160"/>
      <c r="H68" s="155"/>
      <c r="I68" s="155"/>
      <c r="J68" s="155"/>
      <c r="K68" s="155"/>
      <c r="L68" s="155"/>
      <c r="M68" s="155"/>
      <c r="N68" s="155"/>
      <c r="O68" s="155"/>
      <c r="P68" s="155"/>
      <c r="Q68" s="155"/>
      <c r="R68" s="155"/>
      <c r="S68" s="155"/>
      <c r="T68" s="155"/>
    </row>
    <row r="69" spans="1:20" ht="12.75" customHeight="1">
      <c r="A69" s="122"/>
      <c r="B69" s="196" t="s">
        <v>239</v>
      </c>
      <c r="C69" s="197"/>
      <c r="D69" s="136"/>
      <c r="E69" s="319"/>
      <c r="F69" s="319"/>
      <c r="G69" s="31"/>
    </row>
    <row r="70" spans="1:20" ht="12.75" customHeight="1">
      <c r="A70" s="122" t="s">
        <v>34</v>
      </c>
      <c r="B70" s="282" t="s">
        <v>240</v>
      </c>
      <c r="C70" s="202"/>
      <c r="D70" s="160"/>
      <c r="E70" s="319" t="s">
        <v>39</v>
      </c>
      <c r="F70" s="319" t="s">
        <v>39</v>
      </c>
      <c r="G70" s="31" t="s">
        <v>39</v>
      </c>
    </row>
    <row r="71" spans="1:20" ht="12.75" customHeight="1">
      <c r="A71" s="122" t="s">
        <v>228</v>
      </c>
      <c r="B71" s="282" t="s">
        <v>257</v>
      </c>
      <c r="C71" s="189"/>
      <c r="D71" s="160"/>
      <c r="E71" s="319" t="s">
        <v>228</v>
      </c>
      <c r="F71" s="319" t="s">
        <v>228</v>
      </c>
      <c r="G71" s="31" t="s">
        <v>228</v>
      </c>
    </row>
    <row r="72" spans="1:20" ht="12.75" customHeight="1">
      <c r="A72" s="122"/>
      <c r="B72" s="291"/>
      <c r="C72" s="203"/>
      <c r="D72" s="160"/>
      <c r="E72" s="319"/>
      <c r="F72" s="319"/>
      <c r="G72" s="31"/>
    </row>
    <row r="73" spans="1:20" s="155" customFormat="1" ht="12.75" customHeight="1">
      <c r="A73" s="157"/>
      <c r="B73" s="196" t="s">
        <v>524</v>
      </c>
      <c r="C73" s="197"/>
      <c r="D73" s="160"/>
      <c r="E73" s="319"/>
      <c r="F73" s="319"/>
      <c r="G73" s="31"/>
    </row>
    <row r="74" spans="1:20" s="155" customFormat="1" ht="12.75" customHeight="1">
      <c r="A74" s="157" t="s">
        <v>34</v>
      </c>
      <c r="B74" s="282" t="s">
        <v>506</v>
      </c>
      <c r="C74" s="202"/>
      <c r="D74" s="160"/>
      <c r="E74" s="164" t="s">
        <v>525</v>
      </c>
      <c r="F74" s="164" t="s">
        <v>525</v>
      </c>
      <c r="G74" s="159" t="s">
        <v>525</v>
      </c>
    </row>
    <row r="75" spans="1:20" s="155" customFormat="1" ht="12.75" customHeight="1">
      <c r="A75" s="125">
        <v>0</v>
      </c>
      <c r="B75" s="282" t="s">
        <v>668</v>
      </c>
      <c r="C75" s="445"/>
      <c r="D75" s="320"/>
      <c r="E75" s="226">
        <v>0.40902925499999998</v>
      </c>
      <c r="F75" s="226">
        <v>0.44826181399999998</v>
      </c>
      <c r="G75" s="420">
        <v>0.65</v>
      </c>
    </row>
    <row r="76" spans="1:20" s="155" customFormat="1" ht="12.75" customHeight="1">
      <c r="A76" s="127">
        <v>0</v>
      </c>
      <c r="B76" s="282" t="s">
        <v>669</v>
      </c>
      <c r="C76" s="445"/>
      <c r="D76" s="320"/>
      <c r="E76" s="524">
        <v>0.2</v>
      </c>
      <c r="F76" s="524">
        <v>0.2</v>
      </c>
      <c r="G76" s="524">
        <v>0.2</v>
      </c>
    </row>
    <row r="77" spans="1:20" s="155" customFormat="1" ht="12.75" customHeight="1">
      <c r="A77" s="127">
        <v>0</v>
      </c>
      <c r="B77" s="282" t="s">
        <v>670</v>
      </c>
      <c r="C77" s="445"/>
      <c r="D77" s="320"/>
      <c r="E77" s="303">
        <v>3.2000000000000001E-2</v>
      </c>
      <c r="F77" s="303">
        <v>3.2000000000000001E-2</v>
      </c>
      <c r="G77" s="514">
        <v>3.2000000000000001E-2</v>
      </c>
    </row>
    <row r="78" spans="1:20" s="155" customFormat="1" ht="12.75" customHeight="1">
      <c r="A78" s="127">
        <v>0</v>
      </c>
      <c r="B78" s="282" t="s">
        <v>671</v>
      </c>
      <c r="C78" s="445"/>
      <c r="D78" s="320"/>
      <c r="E78" s="483">
        <v>5.57E-2</v>
      </c>
      <c r="F78" s="483">
        <v>5.57E-2</v>
      </c>
      <c r="G78" s="538">
        <v>5.57E-2</v>
      </c>
    </row>
    <row r="79" spans="1:20" s="155" customFormat="1" ht="12.75" customHeight="1">
      <c r="A79" s="127">
        <v>0</v>
      </c>
      <c r="B79" s="282" t="s">
        <v>672</v>
      </c>
      <c r="C79" s="445"/>
      <c r="D79" s="320"/>
      <c r="E79" s="239">
        <v>73</v>
      </c>
      <c r="F79" s="239">
        <v>73</v>
      </c>
      <c r="G79" s="515">
        <v>73</v>
      </c>
    </row>
    <row r="80" spans="1:20" s="155" customFormat="1" ht="12.75" customHeight="1">
      <c r="A80" s="157"/>
      <c r="B80" s="291"/>
      <c r="C80" s="203"/>
      <c r="D80" s="160"/>
      <c r="E80" s="319"/>
      <c r="F80" s="319"/>
      <c r="G80" s="31"/>
    </row>
    <row r="81" spans="1:28" ht="12.75" customHeight="1">
      <c r="A81" s="122"/>
      <c r="B81" s="196" t="s">
        <v>16</v>
      </c>
      <c r="C81" s="197"/>
      <c r="D81" s="160"/>
      <c r="E81" s="319"/>
      <c r="F81" s="319"/>
      <c r="G81" s="31"/>
    </row>
    <row r="82" spans="1:28" ht="12.75" customHeight="1">
      <c r="A82" s="123">
        <v>0</v>
      </c>
      <c r="B82" s="282" t="s">
        <v>282</v>
      </c>
      <c r="C82" s="189"/>
      <c r="D82" s="160"/>
      <c r="E82" s="455" t="s">
        <v>184</v>
      </c>
      <c r="F82" s="455" t="s">
        <v>184</v>
      </c>
      <c r="G82" s="44" t="s">
        <v>184</v>
      </c>
    </row>
    <row r="83" spans="1:28" s="148" customFormat="1" ht="12.75" customHeight="1">
      <c r="A83" s="153"/>
      <c r="B83" s="282" t="s">
        <v>281</v>
      </c>
      <c r="C83" s="189"/>
      <c r="D83" s="160"/>
      <c r="E83" s="455" t="s">
        <v>184</v>
      </c>
      <c r="F83" s="455" t="s">
        <v>184</v>
      </c>
      <c r="G83" s="44" t="s">
        <v>184</v>
      </c>
      <c r="I83" s="155"/>
      <c r="J83" s="155"/>
      <c r="K83" s="155"/>
      <c r="L83" s="155"/>
      <c r="M83" s="155"/>
      <c r="AA83" s="155"/>
      <c r="AB83" s="155"/>
    </row>
    <row r="84" spans="1:28" ht="12.75" customHeight="1">
      <c r="A84" s="125">
        <v>1</v>
      </c>
      <c r="B84" s="282" t="s">
        <v>17</v>
      </c>
      <c r="C84" s="189"/>
      <c r="D84" s="160"/>
      <c r="E84" s="420">
        <v>1</v>
      </c>
      <c r="F84" s="420">
        <v>1</v>
      </c>
      <c r="G84" s="176">
        <v>1</v>
      </c>
    </row>
    <row r="85" spans="1:28" ht="12.75" customHeight="1">
      <c r="A85" s="125">
        <v>1.7500000000000002E-2</v>
      </c>
      <c r="B85" s="587" t="s">
        <v>19</v>
      </c>
      <c r="C85" s="189"/>
      <c r="D85" s="160"/>
      <c r="E85" s="420">
        <v>2.0899999999999998E-2</v>
      </c>
      <c r="F85" s="420">
        <v>2.0899999999999998E-2</v>
      </c>
      <c r="G85" s="493">
        <v>2.0899999999999998E-2</v>
      </c>
      <c r="H85" s="498" t="s">
        <v>624</v>
      </c>
    </row>
    <row r="86" spans="1:28" ht="12.75" customHeight="1">
      <c r="A86" s="125">
        <v>1</v>
      </c>
      <c r="B86" s="587" t="s">
        <v>18</v>
      </c>
      <c r="C86" s="189"/>
      <c r="D86" s="160"/>
      <c r="E86" s="517">
        <v>0.59000000000000008</v>
      </c>
      <c r="F86" s="517">
        <v>0.51</v>
      </c>
      <c r="G86" s="495">
        <v>0.65</v>
      </c>
    </row>
    <row r="87" spans="1:28" ht="12.75" customHeight="1">
      <c r="A87" s="122"/>
      <c r="B87" s="291"/>
      <c r="C87" s="203"/>
      <c r="D87" s="160"/>
      <c r="E87" s="186"/>
      <c r="F87" s="186"/>
      <c r="G87" s="419"/>
    </row>
    <row r="88" spans="1:28" ht="12.75" customHeight="1">
      <c r="A88" s="122"/>
      <c r="B88" s="196" t="s">
        <v>22</v>
      </c>
      <c r="C88" s="197"/>
      <c r="D88" s="160"/>
      <c r="E88" s="319"/>
      <c r="F88" s="319"/>
      <c r="G88" s="195"/>
    </row>
    <row r="89" spans="1:28" ht="12.75" customHeight="1">
      <c r="A89" s="122" t="s">
        <v>35</v>
      </c>
      <c r="B89" s="282" t="s">
        <v>23</v>
      </c>
      <c r="C89" s="189"/>
      <c r="D89" s="160"/>
      <c r="E89" s="518" t="s">
        <v>35</v>
      </c>
      <c r="F89" s="518" t="s">
        <v>35</v>
      </c>
      <c r="G89" s="468" t="s">
        <v>35</v>
      </c>
    </row>
    <row r="90" spans="1:28" ht="12.75" customHeight="1">
      <c r="A90" s="122">
        <v>0</v>
      </c>
      <c r="B90" s="282" t="s">
        <v>90</v>
      </c>
      <c r="C90" s="189"/>
      <c r="D90" s="160"/>
      <c r="E90" s="319">
        <v>0</v>
      </c>
      <c r="F90" s="319">
        <v>0</v>
      </c>
      <c r="G90" s="195">
        <v>0</v>
      </c>
    </row>
    <row r="91" spans="1:28" s="155" customFormat="1" ht="12.75" customHeight="1">
      <c r="A91" s="157"/>
      <c r="B91" s="282" t="s">
        <v>284</v>
      </c>
      <c r="C91" s="189"/>
      <c r="D91" s="160"/>
      <c r="E91" s="518" t="s">
        <v>292</v>
      </c>
      <c r="F91" s="518" t="s">
        <v>292</v>
      </c>
      <c r="G91" s="469" t="s">
        <v>292</v>
      </c>
    </row>
    <row r="92" spans="1:28" ht="12.75" customHeight="1">
      <c r="A92" s="127">
        <v>0.875</v>
      </c>
      <c r="B92" s="282" t="s">
        <v>214</v>
      </c>
      <c r="C92" s="189"/>
      <c r="D92" s="160"/>
      <c r="E92" s="517">
        <v>0.875</v>
      </c>
      <c r="F92" s="517">
        <v>0.875</v>
      </c>
      <c r="G92" s="506">
        <v>0.875</v>
      </c>
      <c r="H92" s="498" t="s">
        <v>633</v>
      </c>
    </row>
    <row r="93" spans="1:28" ht="12.75" customHeight="1">
      <c r="A93" s="122"/>
      <c r="B93" s="291"/>
      <c r="C93" s="203"/>
      <c r="D93" s="160"/>
      <c r="E93" s="319"/>
      <c r="F93" s="319"/>
      <c r="G93" s="31"/>
    </row>
    <row r="94" spans="1:28" ht="12.75" customHeight="1">
      <c r="A94" s="122"/>
      <c r="B94" s="196" t="s">
        <v>24</v>
      </c>
      <c r="C94" s="197"/>
      <c r="D94" s="160"/>
      <c r="E94" s="319"/>
      <c r="F94" s="319"/>
      <c r="G94" s="31"/>
    </row>
    <row r="95" spans="1:28" ht="12.75" customHeight="1">
      <c r="A95" s="122" t="s">
        <v>36</v>
      </c>
      <c r="B95" s="282" t="s">
        <v>25</v>
      </c>
      <c r="C95" s="189"/>
      <c r="D95" s="160"/>
      <c r="E95" s="319" t="s">
        <v>36</v>
      </c>
      <c r="F95" s="319" t="s">
        <v>36</v>
      </c>
      <c r="G95" s="195" t="s">
        <v>36</v>
      </c>
    </row>
    <row r="96" spans="1:28" ht="12.75" customHeight="1">
      <c r="A96" s="122" t="s">
        <v>45</v>
      </c>
      <c r="B96" s="282" t="s">
        <v>26</v>
      </c>
      <c r="C96" s="189"/>
      <c r="D96" s="160"/>
      <c r="E96" s="319" t="s">
        <v>45</v>
      </c>
      <c r="F96" s="319" t="s">
        <v>45</v>
      </c>
      <c r="G96" s="195" t="s">
        <v>45</v>
      </c>
    </row>
    <row r="97" spans="1:7" ht="12.75" customHeight="1">
      <c r="A97" s="128">
        <v>0</v>
      </c>
      <c r="B97" s="282" t="s">
        <v>27</v>
      </c>
      <c r="C97" s="189"/>
      <c r="D97" s="160"/>
      <c r="E97" s="420">
        <v>0</v>
      </c>
      <c r="F97" s="420">
        <v>0</v>
      </c>
      <c r="G97" s="226">
        <v>0</v>
      </c>
    </row>
    <row r="98" spans="1:7" ht="12.75" customHeight="1">
      <c r="A98" s="135">
        <v>0</v>
      </c>
      <c r="B98" s="282" t="s">
        <v>28</v>
      </c>
      <c r="C98" s="189"/>
      <c r="D98" s="160"/>
      <c r="E98" s="420">
        <v>0</v>
      </c>
      <c r="F98" s="420">
        <v>0</v>
      </c>
      <c r="G98" s="226">
        <v>0</v>
      </c>
    </row>
    <row r="99" spans="1:7" s="155" customFormat="1" ht="12.75" customHeight="1">
      <c r="A99" s="128"/>
      <c r="B99" s="282" t="s">
        <v>604</v>
      </c>
      <c r="C99" s="189"/>
      <c r="D99" s="160"/>
      <c r="E99" s="420">
        <v>4.4999999999999997E-3</v>
      </c>
      <c r="F99" s="420">
        <v>4.4999999999999997E-3</v>
      </c>
      <c r="G99" s="420">
        <v>4.4999999999999997E-3</v>
      </c>
    </row>
    <row r="100" spans="1:7" s="155" customFormat="1" ht="12.75" customHeight="1">
      <c r="A100" s="319" t="s">
        <v>606</v>
      </c>
      <c r="B100" s="282" t="s">
        <v>605</v>
      </c>
      <c r="C100" s="189"/>
      <c r="D100" s="160"/>
      <c r="E100" s="319" t="s">
        <v>606</v>
      </c>
      <c r="F100" s="319" t="s">
        <v>606</v>
      </c>
      <c r="G100" s="319" t="s">
        <v>606</v>
      </c>
    </row>
    <row r="101" spans="1:7" s="155" customFormat="1" ht="12.75" customHeight="1">
      <c r="A101" s="128"/>
      <c r="B101" s="282" t="s">
        <v>607</v>
      </c>
      <c r="C101" s="189"/>
      <c r="D101" s="160"/>
      <c r="E101" s="461">
        <v>1.7013810000000001E-2</v>
      </c>
      <c r="F101" s="461">
        <v>1.7013810000000001E-2</v>
      </c>
      <c r="G101" s="461">
        <v>1.7013810000000001E-2</v>
      </c>
    </row>
    <row r="102" spans="1:7" s="155" customFormat="1" ht="12.75" customHeight="1">
      <c r="A102" s="128"/>
      <c r="B102" s="282" t="s">
        <v>608</v>
      </c>
      <c r="C102" s="189"/>
      <c r="D102" s="160"/>
      <c r="E102" s="420">
        <v>3.5000000000000003E-2</v>
      </c>
      <c r="F102" s="420">
        <v>3.5000000000000003E-2</v>
      </c>
      <c r="G102" s="420">
        <v>3.5000000000000003E-2</v>
      </c>
    </row>
    <row r="103" spans="1:7" s="155" customFormat="1" ht="12.75" customHeight="1">
      <c r="A103" s="128"/>
      <c r="B103" s="282" t="s">
        <v>603</v>
      </c>
      <c r="C103" s="189"/>
      <c r="D103" s="160"/>
      <c r="E103" s="420">
        <v>1</v>
      </c>
      <c r="F103" s="420">
        <v>1</v>
      </c>
      <c r="G103" s="420">
        <v>1</v>
      </c>
    </row>
    <row r="104" spans="1:7" s="155" customFormat="1" ht="12.75" customHeight="1">
      <c r="A104" s="128"/>
      <c r="B104" s="282" t="s">
        <v>609</v>
      </c>
      <c r="C104" s="189"/>
      <c r="D104" s="160"/>
      <c r="E104" s="462">
        <v>53235</v>
      </c>
      <c r="F104" s="462">
        <v>53235</v>
      </c>
      <c r="G104" s="462">
        <v>53235</v>
      </c>
    </row>
    <row r="105" spans="1:7" ht="12.75" customHeight="1">
      <c r="A105" s="121"/>
      <c r="B105" s="292"/>
      <c r="C105" s="156"/>
      <c r="D105" s="68"/>
      <c r="G105" s="166"/>
    </row>
    <row r="106" spans="1:7" s="164" customFormat="1" ht="12.75" customHeight="1">
      <c r="A106" s="157"/>
      <c r="B106" s="196" t="s">
        <v>589</v>
      </c>
      <c r="C106" s="356"/>
      <c r="D106" s="320"/>
      <c r="E106" s="319"/>
      <c r="F106" s="319"/>
      <c r="G106" s="31"/>
    </row>
    <row r="107" spans="1:7" s="164" customFormat="1" ht="12.75" customHeight="1">
      <c r="A107" s="128" t="s">
        <v>36</v>
      </c>
      <c r="B107" s="282" t="s">
        <v>590</v>
      </c>
      <c r="C107" s="322"/>
      <c r="D107" s="320"/>
      <c r="E107" s="420" t="s">
        <v>36</v>
      </c>
      <c r="F107" s="420" t="s">
        <v>36</v>
      </c>
      <c r="G107" s="420" t="s">
        <v>36</v>
      </c>
    </row>
    <row r="108" spans="1:7" s="164" customFormat="1" ht="12.75" customHeight="1">
      <c r="A108" s="128"/>
      <c r="B108" s="282"/>
      <c r="C108" s="322"/>
      <c r="D108" s="320"/>
      <c r="E108" s="420"/>
      <c r="F108" s="420"/>
      <c r="G108" s="420"/>
    </row>
    <row r="109" spans="1:7" ht="12.75" customHeight="1">
      <c r="A109" s="129"/>
      <c r="B109" s="293" t="s">
        <v>189</v>
      </c>
      <c r="C109" s="204"/>
      <c r="D109" s="99"/>
      <c r="E109" s="519"/>
      <c r="F109" s="519"/>
      <c r="G109" s="229"/>
    </row>
    <row r="110" spans="1:7" ht="12.75" customHeight="1">
      <c r="A110" s="122" t="s">
        <v>176</v>
      </c>
      <c r="B110" s="282" t="s">
        <v>190</v>
      </c>
      <c r="C110" s="189"/>
      <c r="D110" s="100"/>
      <c r="E110" s="319" t="s">
        <v>191</v>
      </c>
      <c r="F110" s="319" t="s">
        <v>191</v>
      </c>
      <c r="G110" s="31" t="s">
        <v>191</v>
      </c>
    </row>
    <row r="111" spans="1:7" ht="12.75" customHeight="1">
      <c r="A111" s="122" t="s">
        <v>176</v>
      </c>
      <c r="B111" s="282" t="s">
        <v>192</v>
      </c>
      <c r="C111" s="189"/>
      <c r="D111" s="100"/>
      <c r="E111" s="520" t="s">
        <v>193</v>
      </c>
      <c r="F111" s="520" t="s">
        <v>193</v>
      </c>
      <c r="G111" s="230" t="s">
        <v>193</v>
      </c>
    </row>
    <row r="112" spans="1:7" ht="12.75" customHeight="1">
      <c r="A112" s="130">
        <v>0</v>
      </c>
      <c r="B112" s="282" t="s">
        <v>194</v>
      </c>
      <c r="C112" s="189"/>
      <c r="D112" s="100"/>
      <c r="E112" s="319" t="s">
        <v>195</v>
      </c>
      <c r="F112" s="319" t="s">
        <v>195</v>
      </c>
      <c r="G112" s="31" t="s">
        <v>195</v>
      </c>
    </row>
    <row r="113" spans="1:28" ht="12.75" customHeight="1">
      <c r="A113" s="131">
        <v>1</v>
      </c>
      <c r="B113" s="282" t="s">
        <v>196</v>
      </c>
      <c r="C113" s="189"/>
      <c r="D113" s="100"/>
      <c r="E113" s="319" t="s">
        <v>197</v>
      </c>
      <c r="F113" s="319" t="s">
        <v>197</v>
      </c>
      <c r="G113" s="31" t="s">
        <v>197</v>
      </c>
    </row>
    <row r="114" spans="1:28" ht="12.75" customHeight="1">
      <c r="A114" s="131" t="s">
        <v>198</v>
      </c>
      <c r="B114" s="282" t="s">
        <v>199</v>
      </c>
      <c r="C114" s="189"/>
      <c r="D114" s="100"/>
      <c r="E114" s="521" t="s">
        <v>198</v>
      </c>
      <c r="F114" s="521" t="s">
        <v>198</v>
      </c>
      <c r="G114" s="231" t="s">
        <v>198</v>
      </c>
    </row>
    <row r="115" spans="1:28" ht="12.75" customHeight="1">
      <c r="A115" s="132">
        <v>0</v>
      </c>
      <c r="B115" s="282" t="s">
        <v>200</v>
      </c>
      <c r="C115" s="189"/>
      <c r="D115" s="100"/>
      <c r="E115" s="232">
        <v>0.05</v>
      </c>
      <c r="F115" s="232">
        <v>0.05</v>
      </c>
      <c r="G115" s="232">
        <v>0.05</v>
      </c>
    </row>
    <row r="116" spans="1:28" ht="12.75" customHeight="1">
      <c r="A116" s="132" t="s">
        <v>176</v>
      </c>
      <c r="B116" s="282" t="s">
        <v>201</v>
      </c>
      <c r="C116" s="189"/>
      <c r="D116" s="100"/>
      <c r="E116" s="232" t="s">
        <v>176</v>
      </c>
      <c r="F116" s="232" t="s">
        <v>176</v>
      </c>
      <c r="G116" s="232" t="s">
        <v>176</v>
      </c>
    </row>
    <row r="117" spans="1:28" ht="12.75" customHeight="1">
      <c r="A117" s="133">
        <v>0</v>
      </c>
      <c r="B117" s="294" t="s">
        <v>202</v>
      </c>
      <c r="C117" s="205"/>
      <c r="D117" s="100"/>
      <c r="E117" s="520" t="s">
        <v>164</v>
      </c>
      <c r="F117" s="520" t="s">
        <v>164</v>
      </c>
      <c r="G117" s="230" t="s">
        <v>164</v>
      </c>
    </row>
    <row r="118" spans="1:28" ht="12.75" customHeight="1">
      <c r="A118" s="132">
        <v>0</v>
      </c>
      <c r="B118" s="282" t="s">
        <v>203</v>
      </c>
      <c r="C118" s="189"/>
      <c r="D118" s="100"/>
      <c r="E118" s="233">
        <v>0</v>
      </c>
      <c r="F118" s="233">
        <v>0</v>
      </c>
      <c r="G118" s="233">
        <v>0</v>
      </c>
    </row>
    <row r="119" spans="1:28" ht="12.75" customHeight="1">
      <c r="A119" s="133">
        <v>0</v>
      </c>
      <c r="B119" s="282" t="s">
        <v>204</v>
      </c>
      <c r="C119" s="189"/>
      <c r="D119" s="100"/>
      <c r="E119" s="520">
        <v>0</v>
      </c>
      <c r="F119" s="520">
        <v>0</v>
      </c>
      <c r="G119" s="230">
        <v>0</v>
      </c>
    </row>
    <row r="120" spans="1:28" ht="12.75" customHeight="1">
      <c r="A120" s="129"/>
      <c r="B120" s="295"/>
      <c r="C120" s="206"/>
      <c r="D120" s="99"/>
      <c r="E120" s="519"/>
      <c r="F120" s="519"/>
      <c r="G120" s="229"/>
    </row>
    <row r="121" spans="1:28" ht="12.75" customHeight="1">
      <c r="A121" s="129"/>
      <c r="B121" s="293" t="s">
        <v>205</v>
      </c>
      <c r="C121" s="204"/>
      <c r="D121" s="99"/>
      <c r="E121" s="519"/>
      <c r="F121" s="519"/>
      <c r="G121" s="229"/>
    </row>
    <row r="122" spans="1:28" ht="12.75" customHeight="1">
      <c r="A122" s="122" t="s">
        <v>176</v>
      </c>
      <c r="B122" s="282" t="s">
        <v>206</v>
      </c>
      <c r="C122" s="189"/>
      <c r="D122" s="100"/>
      <c r="E122" s="520" t="s">
        <v>191</v>
      </c>
      <c r="F122" s="520" t="s">
        <v>191</v>
      </c>
      <c r="G122" s="230" t="s">
        <v>191</v>
      </c>
    </row>
    <row r="123" spans="1:28" ht="12.75" customHeight="1">
      <c r="A123" s="122" t="s">
        <v>176</v>
      </c>
      <c r="B123" s="282" t="s">
        <v>207</v>
      </c>
      <c r="C123" s="189"/>
      <c r="D123" s="100"/>
      <c r="E123" s="520" t="s">
        <v>193</v>
      </c>
      <c r="F123" s="520" t="s">
        <v>193</v>
      </c>
      <c r="G123" s="230" t="s">
        <v>193</v>
      </c>
    </row>
    <row r="124" spans="1:28" ht="12.75" customHeight="1">
      <c r="A124" s="130">
        <v>0</v>
      </c>
      <c r="B124" s="282" t="s">
        <v>208</v>
      </c>
      <c r="C124" s="189"/>
      <c r="D124" s="100"/>
      <c r="E124" s="319" t="s">
        <v>195</v>
      </c>
      <c r="F124" s="319" t="s">
        <v>195</v>
      </c>
      <c r="G124" s="31" t="s">
        <v>195</v>
      </c>
    </row>
    <row r="125" spans="1:28" ht="12.75" customHeight="1">
      <c r="A125" s="131">
        <v>1</v>
      </c>
      <c r="B125" s="282" t="s">
        <v>209</v>
      </c>
      <c r="C125" s="189"/>
      <c r="D125" s="100"/>
      <c r="E125" s="319" t="s">
        <v>197</v>
      </c>
      <c r="F125" s="319" t="s">
        <v>197</v>
      </c>
      <c r="G125" s="31" t="s">
        <v>197</v>
      </c>
    </row>
    <row r="126" spans="1:28" ht="12.75" customHeight="1">
      <c r="A126" s="134">
        <v>0</v>
      </c>
      <c r="B126" s="296" t="s">
        <v>210</v>
      </c>
      <c r="C126" s="207"/>
      <c r="D126" s="101"/>
      <c r="E126" s="234">
        <v>3.5000000000000003E-2</v>
      </c>
      <c r="F126" s="234">
        <v>3.5000000000000003E-2</v>
      </c>
      <c r="G126" s="234">
        <v>3.5000000000000003E-2</v>
      </c>
    </row>
    <row r="128" spans="1:28" customFormat="1" ht="13">
      <c r="A128" s="29" t="s">
        <v>161</v>
      </c>
      <c r="B128" s="33" t="str">
        <f ca="1">GetNameRange(B129)</f>
        <v>PurchRateCurrSprd</v>
      </c>
      <c r="C128" s="33"/>
      <c r="E128" s="167"/>
      <c r="F128" s="167"/>
      <c r="G128" s="167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AA128" s="164"/>
      <c r="AB128" s="164"/>
    </row>
    <row r="129" spans="1:40" customFormat="1" ht="13">
      <c r="A129" s="29" t="s">
        <v>162</v>
      </c>
      <c r="B129" s="300"/>
      <c r="C129" s="198" t="s">
        <v>47</v>
      </c>
      <c r="D129" s="219" t="str">
        <f>D$4</f>
        <v>Value</v>
      </c>
      <c r="E129" s="168" t="s">
        <v>642</v>
      </c>
      <c r="F129" s="168" t="s">
        <v>643</v>
      </c>
      <c r="G129" s="168" t="s">
        <v>612</v>
      </c>
      <c r="H129" s="16"/>
      <c r="I129" s="159"/>
      <c r="J129" s="159"/>
      <c r="K129" s="159"/>
      <c r="L129" s="159"/>
      <c r="M129" s="159"/>
      <c r="N129" s="16"/>
      <c r="O129" s="16"/>
      <c r="P129" s="16"/>
      <c r="Q129" s="16"/>
      <c r="R129" s="16"/>
      <c r="S129" s="16"/>
      <c r="T129" s="16"/>
      <c r="U129" s="16"/>
      <c r="AA129" s="164"/>
      <c r="AB129" s="164"/>
      <c r="AM129" s="34"/>
      <c r="AN129" s="34"/>
    </row>
    <row r="130" spans="1:40" customFormat="1" ht="13">
      <c r="A130" s="102"/>
      <c r="B130" s="300" t="s">
        <v>211</v>
      </c>
      <c r="C130" s="103"/>
      <c r="D130" s="103"/>
      <c r="E130" s="347"/>
      <c r="F130" s="347"/>
      <c r="G130" s="90"/>
      <c r="H130" s="16"/>
      <c r="I130" s="159"/>
      <c r="J130" s="159"/>
      <c r="K130" s="159"/>
      <c r="L130" s="159"/>
      <c r="M130" s="159"/>
      <c r="N130" s="16"/>
      <c r="O130" s="16"/>
      <c r="P130" s="16"/>
      <c r="Q130" s="16"/>
      <c r="R130" s="16"/>
      <c r="S130" s="16"/>
      <c r="T130" s="16"/>
      <c r="U130" s="15"/>
      <c r="V130" s="34"/>
      <c r="W130" s="34"/>
      <c r="X130" s="34"/>
      <c r="Y130" s="34"/>
      <c r="Z130" s="34"/>
      <c r="AA130" s="34"/>
      <c r="AB130" s="34"/>
      <c r="AC130" s="34"/>
      <c r="AD130" s="34"/>
      <c r="AE130" s="34"/>
      <c r="AF130" s="34"/>
      <c r="AG130" s="34"/>
      <c r="AH130" s="34"/>
      <c r="AI130" s="34"/>
      <c r="AJ130" s="34"/>
      <c r="AK130" s="34"/>
      <c r="AL130" s="34"/>
      <c r="AM130" s="34"/>
      <c r="AN130" s="34"/>
    </row>
    <row r="131" spans="1:40" customFormat="1" ht="12.5">
      <c r="A131" s="104">
        <v>0</v>
      </c>
      <c r="B131" s="301">
        <v>1</v>
      </c>
      <c r="C131" s="110"/>
      <c r="D131" s="160"/>
      <c r="E131" s="522">
        <v>0.05</v>
      </c>
      <c r="F131" s="522">
        <v>0.05</v>
      </c>
      <c r="G131" s="471">
        <v>0.05</v>
      </c>
      <c r="H131" s="16"/>
      <c r="I131" s="159"/>
      <c r="J131" s="159"/>
      <c r="K131" s="159"/>
      <c r="L131" s="159"/>
      <c r="M131" s="159"/>
      <c r="N131" s="16"/>
      <c r="O131" s="16"/>
      <c r="P131" s="16"/>
      <c r="Q131" s="16"/>
      <c r="R131" s="16"/>
      <c r="S131" s="16"/>
      <c r="T131" s="16"/>
      <c r="U131" s="15"/>
      <c r="V131" s="34"/>
      <c r="W131" s="34"/>
      <c r="X131" s="34"/>
      <c r="Y131" s="34"/>
      <c r="Z131" s="34"/>
      <c r="AA131" s="34"/>
      <c r="AB131" s="34"/>
      <c r="AC131" s="34"/>
      <c r="AD131" s="34"/>
      <c r="AE131" s="34"/>
      <c r="AF131" s="34"/>
      <c r="AG131" s="34"/>
      <c r="AH131" s="34"/>
      <c r="AI131" s="34"/>
      <c r="AJ131" s="34"/>
      <c r="AK131" s="34"/>
      <c r="AL131" s="34"/>
      <c r="AM131" s="34"/>
      <c r="AN131" s="34"/>
    </row>
    <row r="132" spans="1:40" customFormat="1" ht="12.5">
      <c r="A132" s="104">
        <v>0</v>
      </c>
      <c r="B132" s="299">
        <v>6</v>
      </c>
      <c r="C132" s="111"/>
      <c r="D132" s="160"/>
      <c r="E132" s="523">
        <v>0.02</v>
      </c>
      <c r="F132" s="523">
        <v>0.02</v>
      </c>
      <c r="G132" s="470">
        <v>0.02</v>
      </c>
      <c r="H132" s="16"/>
      <c r="I132" s="159"/>
      <c r="J132" s="159"/>
      <c r="K132" s="159"/>
      <c r="L132" s="159"/>
      <c r="M132" s="159"/>
      <c r="N132" s="16"/>
      <c r="O132" s="16"/>
      <c r="P132" s="16"/>
      <c r="Q132" s="16"/>
      <c r="R132" s="16"/>
      <c r="S132" s="16"/>
      <c r="T132" s="16"/>
      <c r="U132" s="15"/>
      <c r="V132" s="34"/>
      <c r="W132" s="34"/>
      <c r="X132" s="34"/>
      <c r="Y132" s="34"/>
      <c r="Z132" s="34"/>
      <c r="AA132" s="34"/>
      <c r="AB132" s="34"/>
      <c r="AC132" s="34"/>
      <c r="AD132" s="34"/>
      <c r="AE132" s="34"/>
      <c r="AF132" s="34"/>
      <c r="AG132" s="34"/>
      <c r="AH132" s="34"/>
      <c r="AI132" s="34"/>
      <c r="AJ132" s="34"/>
      <c r="AK132" s="34"/>
      <c r="AL132" s="34"/>
      <c r="AM132" s="34"/>
      <c r="AN132" s="34"/>
    </row>
    <row r="134" spans="1:40" ht="12.75" customHeight="1">
      <c r="A134" s="29" t="s">
        <v>161</v>
      </c>
      <c r="B134" s="33" t="str">
        <f ca="1">GetNameRange(B135)</f>
        <v>surr_chg</v>
      </c>
      <c r="C134" s="33"/>
      <c r="D134" s="18"/>
    </row>
    <row r="135" spans="1:40" ht="12.75" customHeight="1">
      <c r="A135" s="29" t="s">
        <v>162</v>
      </c>
      <c r="B135" s="169"/>
      <c r="C135" s="169" t="s">
        <v>47</v>
      </c>
      <c r="D135" s="219" t="str">
        <f>D$4</f>
        <v>Value</v>
      </c>
      <c r="E135" s="168" t="s">
        <v>642</v>
      </c>
      <c r="F135" s="168" t="s">
        <v>643</v>
      </c>
      <c r="G135" s="168" t="s">
        <v>612</v>
      </c>
    </row>
    <row r="136" spans="1:40" ht="12.75" customHeight="1">
      <c r="B136" s="103" t="s">
        <v>477</v>
      </c>
      <c r="C136" s="297" t="s">
        <v>163</v>
      </c>
      <c r="D136" s="103"/>
      <c r="E136" s="347"/>
      <c r="F136" s="347"/>
      <c r="G136" s="90"/>
    </row>
    <row r="137" spans="1:40" s="155" customFormat="1" ht="12.75" customHeight="1">
      <c r="B137" s="103"/>
      <c r="C137" s="297"/>
      <c r="D137" s="103"/>
      <c r="E137" s="347"/>
      <c r="F137" s="347"/>
      <c r="G137" s="90"/>
    </row>
    <row r="138" spans="1:40" s="155" customFormat="1" ht="12.75" customHeight="1">
      <c r="B138" s="494" t="s">
        <v>657</v>
      </c>
      <c r="C138" s="298">
        <v>1</v>
      </c>
      <c r="D138" s="160"/>
      <c r="E138" s="235">
        <v>0.08</v>
      </c>
      <c r="F138" s="235">
        <v>0.08</v>
      </c>
      <c r="G138" s="526">
        <v>0.08</v>
      </c>
    </row>
    <row r="139" spans="1:40" s="155" customFormat="1" ht="12.75" customHeight="1">
      <c r="B139" s="494" t="str">
        <f>B138</f>
        <v>feature202308_RILA</v>
      </c>
      <c r="C139" s="298">
        <v>2</v>
      </c>
      <c r="D139" s="160"/>
      <c r="E139" s="235">
        <v>7.0000000000000007E-2</v>
      </c>
      <c r="F139" s="235">
        <v>7.0000000000000007E-2</v>
      </c>
      <c r="G139" s="526">
        <v>0.08</v>
      </c>
    </row>
    <row r="140" spans="1:40" s="155" customFormat="1" ht="12.75" customHeight="1">
      <c r="B140" s="494" t="str">
        <f t="shared" ref="B140:B151" si="0">B139</f>
        <v>feature202308_RILA</v>
      </c>
      <c r="C140" s="298">
        <v>3</v>
      </c>
      <c r="D140" s="160"/>
      <c r="E140" s="235">
        <v>0.06</v>
      </c>
      <c r="F140" s="235">
        <v>0.06</v>
      </c>
      <c r="G140" s="526">
        <v>7.0000000000000007E-2</v>
      </c>
    </row>
    <row r="141" spans="1:40" s="155" customFormat="1" ht="12.75" customHeight="1">
      <c r="B141" s="494" t="str">
        <f t="shared" si="0"/>
        <v>feature202308_RILA</v>
      </c>
      <c r="C141" s="298">
        <v>4</v>
      </c>
      <c r="D141" s="160"/>
      <c r="E141" s="235">
        <v>0.05</v>
      </c>
      <c r="F141" s="235">
        <v>0.05</v>
      </c>
      <c r="G141" s="526">
        <v>0.06</v>
      </c>
    </row>
    <row r="142" spans="1:40" s="155" customFormat="1" ht="12.75" customHeight="1">
      <c r="B142" s="494" t="str">
        <f t="shared" si="0"/>
        <v>feature202308_RILA</v>
      </c>
      <c r="C142" s="298">
        <v>5</v>
      </c>
      <c r="D142" s="160"/>
      <c r="E142" s="235">
        <v>0.04</v>
      </c>
      <c r="F142" s="235">
        <v>0.04</v>
      </c>
      <c r="G142" s="526">
        <v>0.05</v>
      </c>
    </row>
    <row r="143" spans="1:40" s="155" customFormat="1" ht="12.75" customHeight="1">
      <c r="B143" s="494" t="str">
        <f t="shared" si="0"/>
        <v>feature202308_RILA</v>
      </c>
      <c r="C143" s="298">
        <v>6</v>
      </c>
      <c r="D143" s="160"/>
      <c r="E143" s="235">
        <v>0</v>
      </c>
      <c r="F143" s="235">
        <v>0</v>
      </c>
      <c r="G143" s="526">
        <v>0.04</v>
      </c>
    </row>
    <row r="144" spans="1:40" s="155" customFormat="1" ht="12.75" customHeight="1">
      <c r="B144" s="494" t="str">
        <f t="shared" si="0"/>
        <v>feature202308_RILA</v>
      </c>
      <c r="C144" s="298">
        <v>7</v>
      </c>
      <c r="D144" s="160"/>
      <c r="E144" s="235">
        <v>0</v>
      </c>
      <c r="F144" s="235">
        <v>0</v>
      </c>
      <c r="G144" s="526">
        <v>0</v>
      </c>
    </row>
    <row r="145" spans="1:7" s="155" customFormat="1" ht="12.75" customHeight="1">
      <c r="B145" s="494" t="str">
        <f t="shared" si="0"/>
        <v>feature202308_RILA</v>
      </c>
      <c r="C145" s="298">
        <v>8</v>
      </c>
      <c r="D145" s="160"/>
      <c r="E145" s="235">
        <v>0</v>
      </c>
      <c r="F145" s="235">
        <v>0</v>
      </c>
      <c r="G145" s="526">
        <v>0</v>
      </c>
    </row>
    <row r="146" spans="1:7" s="155" customFormat="1" ht="12.75" customHeight="1">
      <c r="B146" s="494" t="str">
        <f t="shared" si="0"/>
        <v>feature202308_RILA</v>
      </c>
      <c r="C146" s="298">
        <v>9</v>
      </c>
      <c r="D146" s="160"/>
      <c r="E146" s="235">
        <v>0</v>
      </c>
      <c r="F146" s="235">
        <v>0</v>
      </c>
      <c r="G146" s="526">
        <v>0</v>
      </c>
    </row>
    <row r="147" spans="1:7" s="155" customFormat="1" ht="12.75" customHeight="1">
      <c r="B147" s="494" t="str">
        <f t="shared" si="0"/>
        <v>feature202308_RILA</v>
      </c>
      <c r="C147" s="298">
        <v>10</v>
      </c>
      <c r="D147" s="160"/>
      <c r="E147" s="235">
        <v>0</v>
      </c>
      <c r="F147" s="235">
        <v>0</v>
      </c>
      <c r="G147" s="526">
        <v>0</v>
      </c>
    </row>
    <row r="148" spans="1:7" s="155" customFormat="1" ht="12.75" customHeight="1">
      <c r="B148" s="494" t="str">
        <f t="shared" si="0"/>
        <v>feature202308_RILA</v>
      </c>
      <c r="C148" s="298">
        <v>11</v>
      </c>
      <c r="D148" s="160"/>
      <c r="E148" s="235">
        <v>0</v>
      </c>
      <c r="F148" s="235">
        <v>0</v>
      </c>
      <c r="G148" s="526">
        <v>0</v>
      </c>
    </row>
    <row r="149" spans="1:7" s="155" customFormat="1" ht="12.75" customHeight="1">
      <c r="B149" s="494" t="str">
        <f t="shared" si="0"/>
        <v>feature202308_RILA</v>
      </c>
      <c r="C149" s="298">
        <v>12</v>
      </c>
      <c r="D149" s="160"/>
      <c r="E149" s="235">
        <v>0</v>
      </c>
      <c r="F149" s="235">
        <v>0</v>
      </c>
      <c r="G149" s="526">
        <v>0</v>
      </c>
    </row>
    <row r="150" spans="1:7" s="155" customFormat="1" ht="12.75" customHeight="1">
      <c r="B150" s="494" t="str">
        <f t="shared" si="0"/>
        <v>feature202308_RILA</v>
      </c>
      <c r="C150" s="298">
        <v>13</v>
      </c>
      <c r="D150" s="160"/>
      <c r="E150" s="235">
        <v>0</v>
      </c>
      <c r="F150" s="235">
        <v>0</v>
      </c>
      <c r="G150" s="526">
        <v>0</v>
      </c>
    </row>
    <row r="151" spans="1:7" s="155" customFormat="1" ht="12.75" customHeight="1">
      <c r="B151" s="494" t="str">
        <f t="shared" si="0"/>
        <v>feature202308_RILA</v>
      </c>
      <c r="C151" s="299">
        <v>14</v>
      </c>
      <c r="D151" s="160"/>
      <c r="E151" s="236">
        <v>0</v>
      </c>
      <c r="F151" s="236">
        <v>0</v>
      </c>
      <c r="G151" s="541">
        <v>0</v>
      </c>
    </row>
    <row r="153" spans="1:7" ht="12.75" customHeight="1">
      <c r="A153" s="29" t="s">
        <v>161</v>
      </c>
      <c r="B153" s="33" t="str">
        <f ca="1">GetNameRange(B154)</f>
        <v>prem_credit_pct_aig</v>
      </c>
      <c r="C153" s="33"/>
      <c r="D153" s="149"/>
    </row>
    <row r="154" spans="1:7" ht="12.75" customHeight="1">
      <c r="A154" s="29" t="s">
        <v>162</v>
      </c>
      <c r="B154" s="169"/>
      <c r="C154" s="169" t="s">
        <v>47</v>
      </c>
      <c r="D154" s="219" t="str">
        <f>D$4</f>
        <v>Value</v>
      </c>
      <c r="E154" s="168" t="s">
        <v>642</v>
      </c>
      <c r="F154" s="168" t="s">
        <v>643</v>
      </c>
      <c r="G154" s="168" t="s">
        <v>612</v>
      </c>
    </row>
    <row r="155" spans="1:7" ht="12.75" customHeight="1">
      <c r="A155" s="242"/>
      <c r="B155" s="347" t="s">
        <v>477</v>
      </c>
      <c r="C155" s="116" t="s">
        <v>283</v>
      </c>
      <c r="D155" s="151"/>
      <c r="G155" s="242"/>
    </row>
    <row r="156" spans="1:7" s="155" customFormat="1" ht="12.75" customHeight="1">
      <c r="A156" s="226">
        <v>0</v>
      </c>
      <c r="B156" s="494" t="s">
        <v>657</v>
      </c>
      <c r="C156" s="307">
        <v>0</v>
      </c>
      <c r="D156" s="160"/>
      <c r="E156" s="420">
        <v>0</v>
      </c>
      <c r="F156" s="420">
        <v>0</v>
      </c>
      <c r="G156" s="226">
        <v>0</v>
      </c>
    </row>
    <row r="157" spans="1:7" s="155" customFormat="1" ht="12.75" customHeight="1">
      <c r="A157" s="226">
        <v>0</v>
      </c>
      <c r="B157" s="494" t="str">
        <f>B156</f>
        <v>feature202308_RILA</v>
      </c>
      <c r="C157" s="307">
        <v>100000</v>
      </c>
      <c r="D157" s="160"/>
      <c r="E157" s="420">
        <v>0</v>
      </c>
      <c r="F157" s="420">
        <v>0</v>
      </c>
      <c r="G157" s="226">
        <v>0</v>
      </c>
    </row>
    <row r="159" spans="1:7" s="164" customFormat="1" ht="12.75" customHeight="1">
      <c r="A159" s="43" t="s">
        <v>161</v>
      </c>
      <c r="B159" s="33" t="str">
        <f ca="1">GetNameRange(B160)</f>
        <v>PfwdPct</v>
      </c>
      <c r="D159" s="18"/>
      <c r="E159" s="167"/>
      <c r="F159" s="167"/>
      <c r="G159" s="167"/>
    </row>
    <row r="160" spans="1:7" s="164" customFormat="1" ht="12.75" customHeight="1">
      <c r="A160" s="43" t="s">
        <v>162</v>
      </c>
      <c r="B160" s="169"/>
      <c r="C160" s="169" t="s">
        <v>47</v>
      </c>
      <c r="D160" s="219" t="str">
        <f>D$4</f>
        <v>Value</v>
      </c>
      <c r="E160" s="2" t="s">
        <v>642</v>
      </c>
      <c r="F160" s="2" t="s">
        <v>643</v>
      </c>
      <c r="G160" s="168" t="s">
        <v>612</v>
      </c>
    </row>
    <row r="161" spans="1:8" s="164" customFormat="1" ht="12.75" customHeight="1">
      <c r="A161" s="167"/>
      <c r="B161" s="347" t="s">
        <v>477</v>
      </c>
      <c r="C161" s="297" t="s">
        <v>163</v>
      </c>
      <c r="D161" s="103"/>
      <c r="E161" s="167"/>
      <c r="F161" s="167"/>
      <c r="G161" s="166"/>
    </row>
    <row r="162" spans="1:8" s="164" customFormat="1" ht="12.75" customHeight="1">
      <c r="A162" s="426">
        <v>0</v>
      </c>
      <c r="B162" s="494" t="s">
        <v>657</v>
      </c>
      <c r="C162" s="298">
        <v>1</v>
      </c>
      <c r="D162" s="112"/>
      <c r="E162" s="524">
        <v>0</v>
      </c>
      <c r="F162" s="524">
        <v>0</v>
      </c>
      <c r="G162" s="500">
        <v>0.1</v>
      </c>
      <c r="H162" s="164" t="s">
        <v>628</v>
      </c>
    </row>
    <row r="163" spans="1:8" s="164" customFormat="1" ht="12.75" customHeight="1">
      <c r="A163" s="426">
        <v>0</v>
      </c>
      <c r="B163" s="494" t="str">
        <f>B162</f>
        <v>feature202308_RILA</v>
      </c>
      <c r="C163" s="298">
        <v>2</v>
      </c>
      <c r="D163" s="112"/>
      <c r="E163" s="525">
        <v>0.1</v>
      </c>
      <c r="F163" s="525">
        <v>0.1</v>
      </c>
      <c r="G163" s="501">
        <v>0.1</v>
      </c>
    </row>
    <row r="164" spans="1:8" s="164" customFormat="1" ht="12.75" customHeight="1">
      <c r="A164" s="167"/>
      <c r="B164" s="159"/>
      <c r="C164" s="159"/>
      <c r="D164" s="159"/>
    </row>
    <row r="165" spans="1:8" s="164" customFormat="1" ht="12.75" customHeight="1"/>
    <row r="166" spans="1:8" s="155" customFormat="1" ht="12.75" customHeight="1">
      <c r="B166" s="149" t="str">
        <f ca="1">GetNameRange(B168)</f>
        <v>misc_product_feature_aig</v>
      </c>
      <c r="E166" s="167"/>
      <c r="F166" s="167"/>
      <c r="G166" s="167"/>
    </row>
    <row r="167" spans="1:8" s="155" customFormat="1" ht="12.75" customHeight="1">
      <c r="A167" s="29" t="s">
        <v>162</v>
      </c>
      <c r="B167" s="169"/>
      <c r="C167" s="169" t="s">
        <v>47</v>
      </c>
      <c r="D167" s="219" t="str">
        <f>D$4</f>
        <v>Value</v>
      </c>
      <c r="E167" s="168" t="s">
        <v>642</v>
      </c>
      <c r="F167" s="168" t="s">
        <v>643</v>
      </c>
      <c r="G167" s="168" t="s">
        <v>612</v>
      </c>
    </row>
    <row r="168" spans="1:8" s="155" customFormat="1" ht="12.75" customHeight="1">
      <c r="B168" s="103" t="s">
        <v>477</v>
      </c>
      <c r="C168" s="116" t="s">
        <v>29</v>
      </c>
      <c r="D168" s="103"/>
      <c r="E168" s="90"/>
      <c r="F168" s="90"/>
      <c r="G168" s="90"/>
    </row>
    <row r="169" spans="1:8" s="155" customFormat="1" ht="13">
      <c r="B169" s="103"/>
      <c r="C169" s="116"/>
      <c r="D169" s="103"/>
      <c r="E169" s="347"/>
      <c r="F169" s="347"/>
      <c r="G169" s="90"/>
    </row>
    <row r="170" spans="1:8" s="155" customFormat="1" ht="12.5">
      <c r="A170" s="195">
        <v>95</v>
      </c>
      <c r="B170" s="494" t="s">
        <v>657</v>
      </c>
      <c r="C170" s="282" t="s">
        <v>2</v>
      </c>
      <c r="D170" s="160"/>
      <c r="E170" s="319">
        <v>95</v>
      </c>
      <c r="F170" s="319">
        <v>95</v>
      </c>
      <c r="G170" s="195">
        <v>95</v>
      </c>
    </row>
    <row r="171" spans="1:8" s="155" customFormat="1" ht="12.5" collapsed="1">
      <c r="A171" s="235" t="s">
        <v>39</v>
      </c>
      <c r="B171" s="494" t="s">
        <v>657</v>
      </c>
      <c r="C171" s="282" t="s">
        <v>539</v>
      </c>
      <c r="D171" s="160"/>
      <c r="E171" s="526" t="s">
        <v>34</v>
      </c>
      <c r="F171" s="526" t="s">
        <v>34</v>
      </c>
      <c r="G171" s="499" t="s">
        <v>39</v>
      </c>
      <c r="H171" s="155" t="s">
        <v>629</v>
      </c>
    </row>
    <row r="172" spans="1:8" s="155" customFormat="1" ht="12.5">
      <c r="A172" s="235" t="s">
        <v>39</v>
      </c>
      <c r="B172" s="494" t="s">
        <v>657</v>
      </c>
      <c r="C172" s="282" t="s">
        <v>540</v>
      </c>
      <c r="D172" s="160"/>
      <c r="E172" s="526" t="s">
        <v>34</v>
      </c>
      <c r="F172" s="526" t="s">
        <v>34</v>
      </c>
      <c r="G172" s="499" t="s">
        <v>39</v>
      </c>
    </row>
    <row r="173" spans="1:8" s="155" customFormat="1" ht="12.5">
      <c r="A173" s="195" t="s">
        <v>542</v>
      </c>
      <c r="B173" s="494" t="s">
        <v>657</v>
      </c>
      <c r="C173" s="282" t="s">
        <v>541</v>
      </c>
      <c r="D173" s="160"/>
      <c r="E173" s="319" t="s">
        <v>542</v>
      </c>
      <c r="F173" s="319" t="s">
        <v>542</v>
      </c>
      <c r="G173" s="195" t="s">
        <v>542</v>
      </c>
    </row>
    <row r="174" spans="1:8" s="155" customFormat="1" ht="12.5">
      <c r="A174" s="235" t="s">
        <v>544</v>
      </c>
      <c r="B174" s="494" t="s">
        <v>657</v>
      </c>
      <c r="C174" s="282" t="s">
        <v>543</v>
      </c>
      <c r="D174" s="160"/>
      <c r="E174" s="235" t="s">
        <v>544</v>
      </c>
      <c r="F174" s="235" t="s">
        <v>544</v>
      </c>
      <c r="G174" s="235" t="s">
        <v>544</v>
      </c>
    </row>
    <row r="175" spans="1:8" s="164" customFormat="1" ht="12.5" collapsed="1">
      <c r="A175" s="241">
        <v>48</v>
      </c>
      <c r="B175" s="494" t="s">
        <v>657</v>
      </c>
      <c r="C175" s="282" t="s">
        <v>306</v>
      </c>
      <c r="D175" s="160"/>
      <c r="E175" s="527">
        <v>36</v>
      </c>
      <c r="F175" s="527">
        <v>36</v>
      </c>
      <c r="G175" s="504">
        <v>36</v>
      </c>
    </row>
    <row r="176" spans="1:8" s="155" customFormat="1" ht="12.5">
      <c r="A176" s="195" t="s">
        <v>39</v>
      </c>
      <c r="B176" s="494" t="s">
        <v>657</v>
      </c>
      <c r="C176" s="282" t="s">
        <v>573</v>
      </c>
      <c r="D176" s="160"/>
      <c r="E176" s="319" t="s">
        <v>39</v>
      </c>
      <c r="F176" s="319" t="s">
        <v>39</v>
      </c>
      <c r="G176" s="195" t="s">
        <v>39</v>
      </c>
    </row>
    <row r="177" spans="1:13" s="155" customFormat="1" ht="12.5" collapsed="1">
      <c r="A177" s="163">
        <v>5</v>
      </c>
      <c r="B177" s="494" t="s">
        <v>657</v>
      </c>
      <c r="C177" s="315" t="s">
        <v>425</v>
      </c>
      <c r="D177" s="160"/>
      <c r="E177" s="515">
        <v>5</v>
      </c>
      <c r="F177" s="515">
        <v>5</v>
      </c>
      <c r="G177" s="163">
        <v>6</v>
      </c>
    </row>
    <row r="178" spans="1:13" s="155" customFormat="1" ht="12.5">
      <c r="A178" s="195" t="s">
        <v>34</v>
      </c>
      <c r="B178" s="494" t="s">
        <v>657</v>
      </c>
      <c r="C178" s="315" t="s">
        <v>290</v>
      </c>
      <c r="D178" s="160"/>
      <c r="E178" s="319" t="s">
        <v>34</v>
      </c>
      <c r="F178" s="319" t="s">
        <v>34</v>
      </c>
      <c r="G178" s="195" t="s">
        <v>34</v>
      </c>
    </row>
    <row r="179" spans="1:13" s="155" customFormat="1" ht="12.5">
      <c r="A179" s="195" t="s">
        <v>34</v>
      </c>
      <c r="B179" s="494" t="s">
        <v>657</v>
      </c>
      <c r="C179" s="367" t="s">
        <v>690</v>
      </c>
      <c r="D179" s="160"/>
      <c r="E179" s="319" t="s">
        <v>34</v>
      </c>
      <c r="F179" s="319" t="s">
        <v>34</v>
      </c>
      <c r="G179" s="195" t="s">
        <v>39</v>
      </c>
    </row>
    <row r="180" spans="1:13" s="155" customFormat="1" ht="12.5" collapsed="1">
      <c r="A180" s="239">
        <v>5</v>
      </c>
      <c r="B180" s="494" t="s">
        <v>657</v>
      </c>
      <c r="C180" s="282" t="s">
        <v>384</v>
      </c>
      <c r="D180" s="160"/>
      <c r="E180" s="319">
        <v>5</v>
      </c>
      <c r="F180" s="319">
        <v>5</v>
      </c>
      <c r="G180" s="389">
        <v>6</v>
      </c>
    </row>
    <row r="181" spans="1:13" s="155" customFormat="1" ht="12.5">
      <c r="A181" s="244" t="s">
        <v>39</v>
      </c>
      <c r="B181" s="494" t="s">
        <v>657</v>
      </c>
      <c r="C181" s="282" t="s">
        <v>241</v>
      </c>
      <c r="D181" s="160"/>
      <c r="E181" s="244" t="s">
        <v>39</v>
      </c>
      <c r="F181" s="244" t="s">
        <v>39</v>
      </c>
      <c r="G181" s="244" t="s">
        <v>39</v>
      </c>
    </row>
    <row r="182" spans="1:13" s="155" customFormat="1" ht="12.5" collapsed="1">
      <c r="E182" s="167"/>
      <c r="F182" s="167"/>
      <c r="G182" s="167"/>
    </row>
    <row r="184" spans="1:13" s="155" customFormat="1" ht="12.75" customHeight="1">
      <c r="E184" s="167"/>
      <c r="F184" s="167"/>
      <c r="G184" s="167"/>
    </row>
    <row r="185" spans="1:13" s="155" customFormat="1" ht="12.75" customHeight="1">
      <c r="A185" s="29" t="s">
        <v>161</v>
      </c>
      <c r="B185" s="33" t="str">
        <f ca="1">GetNameRange(B186)</f>
        <v>FIACred</v>
      </c>
      <c r="C185" s="33"/>
      <c r="E185" s="167"/>
      <c r="F185" s="167"/>
      <c r="G185" s="167"/>
    </row>
    <row r="186" spans="1:13" s="155" customFormat="1" ht="12.75" customHeight="1">
      <c r="A186" s="29" t="s">
        <v>162</v>
      </c>
      <c r="B186" s="169"/>
      <c r="C186" s="169" t="s">
        <v>47</v>
      </c>
      <c r="D186" s="219" t="str">
        <f>D$4</f>
        <v>Value</v>
      </c>
      <c r="E186" s="168" t="s">
        <v>642</v>
      </c>
      <c r="F186" s="168" t="s">
        <v>643</v>
      </c>
      <c r="G186" s="168" t="s">
        <v>612</v>
      </c>
    </row>
    <row r="187" spans="1:13" customFormat="1" ht="12.75" customHeight="1" thickBot="1">
      <c r="A187" s="78"/>
      <c r="B187" s="120" t="s">
        <v>29</v>
      </c>
      <c r="C187" s="208"/>
      <c r="D187" s="78"/>
      <c r="E187" s="85"/>
      <c r="F187" s="85"/>
      <c r="G187" s="85"/>
      <c r="I187" s="164"/>
      <c r="J187" s="164"/>
      <c r="K187" s="164"/>
      <c r="L187" s="164"/>
      <c r="M187" s="164"/>
    </row>
    <row r="188" spans="1:13" customFormat="1" ht="12.75" customHeight="1">
      <c r="A188" s="32"/>
      <c r="B188" s="280"/>
      <c r="C188" s="25"/>
      <c r="D188" s="15"/>
      <c r="E188" s="167"/>
      <c r="F188" s="167"/>
      <c r="G188" s="166"/>
      <c r="I188" s="164"/>
      <c r="J188" s="164"/>
      <c r="K188" s="164"/>
      <c r="L188" s="164"/>
      <c r="M188" s="164"/>
    </row>
    <row r="189" spans="1:13" customFormat="1" ht="12.75" customHeight="1">
      <c r="A189" s="32"/>
      <c r="B189" s="290" t="s">
        <v>94</v>
      </c>
      <c r="C189" s="209"/>
      <c r="D189" s="24"/>
      <c r="E189" s="167"/>
      <c r="F189" s="167"/>
      <c r="G189" s="166"/>
      <c r="I189" s="164"/>
      <c r="J189" s="164"/>
      <c r="K189" s="164"/>
      <c r="L189" s="164"/>
      <c r="M189" s="164"/>
    </row>
    <row r="190" spans="1:13" customFormat="1" ht="12.75" customHeight="1">
      <c r="A190" s="31" t="s">
        <v>98</v>
      </c>
      <c r="B190" s="282" t="s">
        <v>97</v>
      </c>
      <c r="C190" s="189"/>
      <c r="D190" s="160"/>
      <c r="E190" s="195" t="s">
        <v>172</v>
      </c>
      <c r="F190" s="195" t="s">
        <v>172</v>
      </c>
      <c r="G190" s="195" t="s">
        <v>172</v>
      </c>
      <c r="I190" s="164"/>
      <c r="J190" s="164"/>
      <c r="K190" s="164"/>
      <c r="L190" s="164"/>
      <c r="M190" s="164"/>
    </row>
    <row r="191" spans="1:13" customFormat="1" ht="12.75" customHeight="1">
      <c r="A191" s="31" t="s">
        <v>93</v>
      </c>
      <c r="B191" s="282" t="s">
        <v>99</v>
      </c>
      <c r="C191" s="189"/>
      <c r="D191" s="160"/>
      <c r="E191" s="195" t="s">
        <v>93</v>
      </c>
      <c r="F191" s="195" t="s">
        <v>93</v>
      </c>
      <c r="G191" s="195" t="s">
        <v>93</v>
      </c>
      <c r="I191" s="164"/>
      <c r="J191" s="164"/>
      <c r="K191" s="164"/>
      <c r="L191" s="164"/>
      <c r="M191" s="164"/>
    </row>
    <row r="192" spans="1:13" customFormat="1" ht="12.75" customHeight="1">
      <c r="A192" s="31" t="s">
        <v>101</v>
      </c>
      <c r="B192" s="282" t="s">
        <v>100</v>
      </c>
      <c r="C192" s="189"/>
      <c r="D192" s="160"/>
      <c r="E192" s="195" t="s">
        <v>646</v>
      </c>
      <c r="F192" s="195" t="s">
        <v>646</v>
      </c>
      <c r="G192" s="195" t="s">
        <v>101</v>
      </c>
      <c r="I192" s="164"/>
      <c r="J192" s="164"/>
      <c r="K192" s="164"/>
      <c r="L192" s="164"/>
      <c r="M192" s="164"/>
    </row>
    <row r="193" spans="1:13" s="164" customFormat="1" ht="12.75" customHeight="1">
      <c r="A193" s="31" t="s">
        <v>438</v>
      </c>
      <c r="B193" s="282" t="s">
        <v>439</v>
      </c>
      <c r="C193" s="189"/>
      <c r="D193" s="160"/>
      <c r="E193" s="468" t="s">
        <v>440</v>
      </c>
      <c r="F193" s="468" t="s">
        <v>440</v>
      </c>
      <c r="G193" s="468" t="s">
        <v>440</v>
      </c>
    </row>
    <row r="194" spans="1:13" customFormat="1" ht="12.75" customHeight="1">
      <c r="A194" s="31"/>
      <c r="B194" s="291"/>
      <c r="C194" s="28"/>
      <c r="D194" s="136"/>
      <c r="E194" s="195"/>
      <c r="F194" s="195"/>
      <c r="G194" s="195"/>
      <c r="I194" s="164"/>
      <c r="J194" s="164"/>
      <c r="K194" s="164"/>
      <c r="L194" s="164"/>
      <c r="M194" s="164"/>
    </row>
    <row r="195" spans="1:13" customFormat="1" ht="12.75" customHeight="1">
      <c r="A195" s="32"/>
      <c r="B195" s="290" t="s">
        <v>259</v>
      </c>
      <c r="C195" s="209"/>
      <c r="D195" s="24"/>
      <c r="E195" s="237"/>
      <c r="F195" s="237"/>
      <c r="G195" s="237"/>
      <c r="I195" s="164"/>
      <c r="J195" s="164"/>
      <c r="K195" s="164"/>
      <c r="L195" s="164"/>
      <c r="M195" s="164"/>
    </row>
    <row r="196" spans="1:13" customFormat="1" ht="12.75" customHeight="1">
      <c r="A196" s="31" t="s">
        <v>249</v>
      </c>
      <c r="B196" s="282" t="s">
        <v>250</v>
      </c>
      <c r="C196" s="189"/>
      <c r="D196" s="160"/>
      <c r="E196" s="238" t="s">
        <v>258</v>
      </c>
      <c r="F196" s="238" t="s">
        <v>258</v>
      </c>
      <c r="G196" s="238" t="s">
        <v>258</v>
      </c>
      <c r="I196" s="164"/>
      <c r="J196" s="164"/>
      <c r="K196" s="164"/>
      <c r="L196" s="164"/>
      <c r="M196" s="164"/>
    </row>
    <row r="197" spans="1:13" customFormat="1" ht="12.75" customHeight="1">
      <c r="A197" s="31" t="s">
        <v>249</v>
      </c>
      <c r="B197" s="282" t="s">
        <v>251</v>
      </c>
      <c r="C197" s="189"/>
      <c r="D197" s="160"/>
      <c r="E197" s="238" t="s">
        <v>258</v>
      </c>
      <c r="F197" s="238" t="s">
        <v>258</v>
      </c>
      <c r="G197" s="238" t="s">
        <v>258</v>
      </c>
      <c r="I197" s="164"/>
      <c r="J197" s="164"/>
      <c r="K197" s="164"/>
      <c r="L197" s="164"/>
      <c r="M197" s="164"/>
    </row>
    <row r="198" spans="1:13" customFormat="1" ht="12.75" customHeight="1">
      <c r="A198" s="31"/>
      <c r="B198" s="291"/>
      <c r="C198" s="28"/>
      <c r="D198" s="136"/>
      <c r="E198" s="195"/>
      <c r="F198" s="195"/>
      <c r="G198" s="195"/>
      <c r="I198" s="164"/>
      <c r="J198" s="164"/>
      <c r="K198" s="164"/>
      <c r="L198" s="164"/>
      <c r="M198" s="164"/>
    </row>
    <row r="199" spans="1:13" customFormat="1" ht="12.75" customHeight="1">
      <c r="A199" s="32"/>
      <c r="B199" s="290" t="s">
        <v>95</v>
      </c>
      <c r="C199" s="209"/>
      <c r="D199" s="24"/>
      <c r="E199" s="237"/>
      <c r="F199" s="237"/>
      <c r="G199" s="237"/>
      <c r="I199" s="164"/>
      <c r="J199" s="164"/>
      <c r="K199" s="164"/>
      <c r="L199" s="164"/>
      <c r="M199" s="164"/>
    </row>
    <row r="200" spans="1:13" customFormat="1" ht="12.75" customHeight="1">
      <c r="A200" s="44">
        <v>0</v>
      </c>
      <c r="B200" s="282" t="s">
        <v>106</v>
      </c>
      <c r="C200" s="189"/>
      <c r="D200" s="160"/>
      <c r="E200" s="302">
        <v>1.1752200000000001E-2</v>
      </c>
      <c r="F200" s="302">
        <v>1.1752200000000001E-2</v>
      </c>
      <c r="G200" s="302">
        <v>1.1752200000000001E-2</v>
      </c>
      <c r="I200" s="164"/>
      <c r="J200" s="164"/>
      <c r="K200" s="164"/>
      <c r="L200" s="164"/>
      <c r="M200" s="164"/>
    </row>
    <row r="201" spans="1:13" s="164" customFormat="1" ht="12.75" customHeight="1">
      <c r="A201" s="44" t="s">
        <v>373</v>
      </c>
      <c r="B201" s="281" t="s">
        <v>374</v>
      </c>
      <c r="C201" s="189"/>
      <c r="D201" s="160"/>
      <c r="E201" s="241" t="s">
        <v>373</v>
      </c>
      <c r="F201" s="241" t="s">
        <v>373</v>
      </c>
      <c r="G201" s="241" t="s">
        <v>373</v>
      </c>
    </row>
    <row r="202" spans="1:13" customFormat="1" ht="12.75" customHeight="1">
      <c r="A202" s="31" t="s">
        <v>108</v>
      </c>
      <c r="B202" s="282" t="s">
        <v>107</v>
      </c>
      <c r="C202" s="189"/>
      <c r="D202" s="160"/>
      <c r="E202" s="237" t="s">
        <v>108</v>
      </c>
      <c r="F202" s="237" t="s">
        <v>108</v>
      </c>
      <c r="G202" s="237" t="s">
        <v>108</v>
      </c>
      <c r="I202" s="164"/>
      <c r="J202" s="164"/>
      <c r="K202" s="164"/>
      <c r="L202" s="164"/>
      <c r="M202" s="164"/>
    </row>
    <row r="203" spans="1:13" customFormat="1" ht="12.75" customHeight="1">
      <c r="A203" s="31" t="s">
        <v>110</v>
      </c>
      <c r="B203" s="282" t="s">
        <v>109</v>
      </c>
      <c r="C203" s="189"/>
      <c r="D203" s="160"/>
      <c r="E203" s="195" t="s">
        <v>110</v>
      </c>
      <c r="F203" s="195" t="s">
        <v>110</v>
      </c>
      <c r="G203" s="195" t="s">
        <v>110</v>
      </c>
      <c r="I203" s="164"/>
      <c r="J203" s="164"/>
      <c r="K203" s="164"/>
      <c r="L203" s="164"/>
      <c r="M203" s="164"/>
    </row>
    <row r="204" spans="1:13" customFormat="1" ht="12.75" customHeight="1">
      <c r="A204" s="44">
        <v>0.25</v>
      </c>
      <c r="B204" s="282" t="s">
        <v>111</v>
      </c>
      <c r="C204" s="189"/>
      <c r="D204" s="160"/>
      <c r="E204" s="305">
        <v>10</v>
      </c>
      <c r="F204" s="305">
        <v>10</v>
      </c>
      <c r="G204" s="305">
        <v>10</v>
      </c>
      <c r="I204" s="164"/>
      <c r="J204" s="164"/>
      <c r="K204" s="164"/>
      <c r="L204" s="164"/>
      <c r="M204" s="164"/>
    </row>
    <row r="205" spans="1:13" customFormat="1" ht="12.75" customHeight="1">
      <c r="A205" s="49">
        <v>0.9</v>
      </c>
      <c r="B205" s="282" t="s">
        <v>103</v>
      </c>
      <c r="C205" s="189"/>
      <c r="D205" s="160"/>
      <c r="E205" s="484">
        <v>0.875</v>
      </c>
      <c r="F205" s="484">
        <v>0.875</v>
      </c>
      <c r="G205" s="484">
        <v>1</v>
      </c>
      <c r="I205" s="164"/>
      <c r="J205" s="164"/>
      <c r="K205" s="164"/>
      <c r="L205" s="164"/>
      <c r="M205" s="164"/>
    </row>
    <row r="206" spans="1:13" customFormat="1" ht="12.75" customHeight="1">
      <c r="A206" s="31" t="s">
        <v>39</v>
      </c>
      <c r="B206" s="282" t="s">
        <v>104</v>
      </c>
      <c r="C206" s="189"/>
      <c r="D206" s="160"/>
      <c r="E206" s="195" t="s">
        <v>34</v>
      </c>
      <c r="F206" s="195" t="s">
        <v>34</v>
      </c>
      <c r="G206" s="195" t="s">
        <v>34</v>
      </c>
      <c r="I206" s="164"/>
      <c r="J206" s="164"/>
      <c r="K206" s="164"/>
      <c r="L206" s="164"/>
      <c r="M206" s="164"/>
    </row>
    <row r="207" spans="1:13" customFormat="1" ht="12.75" customHeight="1">
      <c r="A207" s="44">
        <v>0</v>
      </c>
      <c r="B207" s="282" t="s">
        <v>105</v>
      </c>
      <c r="C207" s="189"/>
      <c r="D207" s="160"/>
      <c r="E207" s="308">
        <v>0</v>
      </c>
      <c r="F207" s="308">
        <v>0</v>
      </c>
      <c r="G207" s="308">
        <v>0</v>
      </c>
      <c r="I207" s="164"/>
      <c r="J207" s="164"/>
      <c r="K207" s="164"/>
      <c r="L207" s="164"/>
      <c r="M207" s="164"/>
    </row>
    <row r="208" spans="1:13" customFormat="1" ht="12.75" customHeight="1">
      <c r="A208" s="31"/>
      <c r="B208" s="21"/>
      <c r="C208" s="28"/>
      <c r="D208" s="136"/>
      <c r="E208" s="195"/>
      <c r="F208" s="195"/>
      <c r="G208" s="195"/>
      <c r="I208" s="164"/>
      <c r="J208" s="164"/>
      <c r="K208" s="164"/>
      <c r="L208" s="164"/>
      <c r="M208" s="164"/>
    </row>
    <row r="209" spans="1:13" customFormat="1" ht="12.75" customHeight="1">
      <c r="A209" s="32"/>
      <c r="B209" s="290" t="s">
        <v>96</v>
      </c>
      <c r="C209" s="209"/>
      <c r="D209" s="24"/>
      <c r="E209" s="237"/>
      <c r="F209" s="237"/>
      <c r="G209" s="237"/>
      <c r="I209" s="164"/>
      <c r="J209" s="164"/>
      <c r="K209" s="164"/>
      <c r="L209" s="164"/>
      <c r="M209" s="164"/>
    </row>
    <row r="210" spans="1:13" customFormat="1" ht="12.75" customHeight="1">
      <c r="A210" s="44">
        <v>0</v>
      </c>
      <c r="B210" s="296" t="s">
        <v>112</v>
      </c>
      <c r="C210" s="207"/>
      <c r="D210" s="160"/>
      <c r="E210" s="306">
        <v>0</v>
      </c>
      <c r="F210" s="306">
        <v>0</v>
      </c>
      <c r="G210" s="306">
        <v>0</v>
      </c>
      <c r="I210" s="164"/>
      <c r="J210" s="164"/>
      <c r="K210" s="164"/>
      <c r="L210" s="164"/>
      <c r="M210" s="164"/>
    </row>
    <row r="211" spans="1:13" s="164" customFormat="1" ht="12.75" customHeight="1">
      <c r="A211" s="31"/>
      <c r="B211" s="21"/>
      <c r="C211" s="28"/>
      <c r="D211" s="160"/>
      <c r="E211" s="195"/>
      <c r="F211" s="195"/>
      <c r="G211" s="195"/>
    </row>
    <row r="212" spans="1:13" s="164" customFormat="1" ht="12.75" customHeight="1">
      <c r="A212" s="31"/>
      <c r="B212" s="328" t="str">
        <f ca="1">GetNameRange(B213)</f>
        <v>min_accum_val_params_ny_aig</v>
      </c>
      <c r="C212" s="28"/>
      <c r="D212" s="160"/>
      <c r="E212" s="195"/>
      <c r="F212" s="195"/>
      <c r="G212" s="195"/>
    </row>
    <row r="213" spans="1:13" s="164" customFormat="1" ht="12.75" customHeight="1">
      <c r="A213" s="31"/>
      <c r="B213" s="116" t="s">
        <v>441</v>
      </c>
      <c r="C213" s="151"/>
      <c r="D213" s="219" t="str">
        <f>D$4</f>
        <v>Value</v>
      </c>
      <c r="E213" s="168" t="s">
        <v>642</v>
      </c>
      <c r="F213" s="168" t="s">
        <v>643</v>
      </c>
      <c r="G213" s="168" t="s">
        <v>612</v>
      </c>
    </row>
    <row r="214" spans="1:13" s="164" customFormat="1" ht="12.75" customHeight="1">
      <c r="A214" s="31">
        <v>0</v>
      </c>
      <c r="B214" s="307" t="s">
        <v>442</v>
      </c>
      <c r="C214" s="154"/>
      <c r="D214" s="31"/>
      <c r="E214" s="167">
        <v>0</v>
      </c>
      <c r="F214" s="167">
        <v>0</v>
      </c>
      <c r="G214" s="167">
        <v>0</v>
      </c>
    </row>
    <row r="215" spans="1:13" s="164" customFormat="1" ht="12.75" customHeight="1">
      <c r="A215" s="329">
        <v>0</v>
      </c>
      <c r="B215" s="307" t="s">
        <v>443</v>
      </c>
      <c r="C215" s="154"/>
      <c r="D215" s="329"/>
      <c r="E215" s="251">
        <v>0</v>
      </c>
      <c r="F215" s="251">
        <v>0</v>
      </c>
      <c r="G215" s="251">
        <v>0</v>
      </c>
    </row>
    <row r="216" spans="1:13" s="164" customFormat="1" ht="12.75" customHeight="1">
      <c r="A216" s="31"/>
      <c r="B216" s="21"/>
      <c r="C216" s="28"/>
      <c r="D216" s="160"/>
      <c r="E216" s="319"/>
      <c r="F216" s="319"/>
      <c r="G216" s="195"/>
    </row>
    <row r="217" spans="1:13" s="164" customFormat="1" ht="12.75" customHeight="1">
      <c r="A217" s="31"/>
      <c r="B217" s="4" t="str">
        <f ca="1">GetNameRange(B218)</f>
        <v>carvm_table_aig</v>
      </c>
      <c r="C217" s="186"/>
      <c r="D217" s="160"/>
      <c r="E217" s="319"/>
      <c r="F217" s="319"/>
      <c r="G217" s="195"/>
    </row>
    <row r="218" spans="1:13" s="164" customFormat="1" ht="12.75" customHeight="1">
      <c r="A218" s="155"/>
      <c r="B218" s="116"/>
      <c r="C218" s="152"/>
      <c r="D218" s="219" t="str">
        <f>D$4</f>
        <v>Value</v>
      </c>
      <c r="E218" s="168" t="s">
        <v>642</v>
      </c>
      <c r="F218" s="168" t="s">
        <v>643</v>
      </c>
      <c r="G218" s="168" t="s">
        <v>612</v>
      </c>
    </row>
    <row r="219" spans="1:13" s="164" customFormat="1" ht="12.75" customHeight="1">
      <c r="A219" s="351" t="s">
        <v>39</v>
      </c>
      <c r="B219" s="3" t="s">
        <v>475</v>
      </c>
      <c r="C219" s="152"/>
      <c r="D219" s="160"/>
      <c r="E219" s="528" t="s">
        <v>39</v>
      </c>
      <c r="F219" s="528" t="s">
        <v>39</v>
      </c>
      <c r="G219" s="351" t="s">
        <v>39</v>
      </c>
    </row>
    <row r="220" spans="1:13" s="164" customFormat="1" ht="12.75" customHeight="1">
      <c r="A220" s="31"/>
      <c r="B220" s="21"/>
      <c r="C220" s="28"/>
      <c r="D220" s="160"/>
      <c r="E220" s="319"/>
      <c r="F220" s="319"/>
      <c r="G220" s="195"/>
    </row>
    <row r="221" spans="1:13" ht="12.75" customHeight="1">
      <c r="A221" s="29" t="s">
        <v>161</v>
      </c>
      <c r="B221" s="33" t="str">
        <f ca="1">GetNameRange(B222)</f>
        <v>prem_bonus_recapture_pct_aig</v>
      </c>
      <c r="C221" s="33"/>
      <c r="D221" s="149"/>
    </row>
    <row r="222" spans="1:13" ht="12.75" customHeight="1">
      <c r="A222" s="29" t="s">
        <v>162</v>
      </c>
      <c r="B222" s="169"/>
      <c r="C222" s="169" t="s">
        <v>47</v>
      </c>
      <c r="D222" s="219" t="str">
        <f>D$4</f>
        <v>Value</v>
      </c>
      <c r="E222" s="168" t="s">
        <v>642</v>
      </c>
      <c r="F222" s="168" t="s">
        <v>643</v>
      </c>
      <c r="G222" s="168" t="s">
        <v>612</v>
      </c>
    </row>
    <row r="223" spans="1:13" s="155" customFormat="1" ht="12.75" customHeight="1">
      <c r="B223" s="116" t="s">
        <v>163</v>
      </c>
      <c r="C223" s="276"/>
      <c r="D223" s="106"/>
      <c r="E223" s="347"/>
      <c r="F223" s="347"/>
      <c r="G223" s="347"/>
    </row>
    <row r="224" spans="1:13" ht="12.75" customHeight="1">
      <c r="B224" s="105">
        <v>1</v>
      </c>
      <c r="C224" s="152"/>
      <c r="D224" s="160"/>
      <c r="E224" s="420">
        <v>0</v>
      </c>
      <c r="F224" s="420">
        <v>0</v>
      </c>
      <c r="G224" s="226">
        <v>0</v>
      </c>
    </row>
    <row r="225" spans="1:7" ht="12.75" customHeight="1">
      <c r="B225" s="105">
        <v>2</v>
      </c>
      <c r="C225" s="152"/>
      <c r="D225" s="160"/>
      <c r="E225" s="420">
        <v>0</v>
      </c>
      <c r="F225" s="420">
        <v>0</v>
      </c>
      <c r="G225" s="226">
        <v>0</v>
      </c>
    </row>
    <row r="226" spans="1:7" ht="12.75" customHeight="1">
      <c r="B226" s="105">
        <v>3</v>
      </c>
      <c r="C226" s="152"/>
      <c r="D226" s="160"/>
      <c r="E226" s="420">
        <v>0</v>
      </c>
      <c r="F226" s="420">
        <v>0</v>
      </c>
      <c r="G226" s="226">
        <v>0</v>
      </c>
    </row>
    <row r="227" spans="1:7" ht="12.75" customHeight="1">
      <c r="B227" s="105">
        <v>4</v>
      </c>
      <c r="C227" s="152"/>
      <c r="D227" s="160"/>
      <c r="E227" s="420">
        <v>0</v>
      </c>
      <c r="F227" s="420">
        <v>0</v>
      </c>
      <c r="G227" s="226">
        <v>0</v>
      </c>
    </row>
    <row r="228" spans="1:7" ht="12.75" customHeight="1">
      <c r="B228" s="105">
        <v>5</v>
      </c>
      <c r="C228" s="152"/>
      <c r="D228" s="160"/>
      <c r="E228" s="420">
        <v>0</v>
      </c>
      <c r="F228" s="420">
        <v>0</v>
      </c>
      <c r="G228" s="226">
        <v>0</v>
      </c>
    </row>
    <row r="229" spans="1:7" ht="12.75" customHeight="1">
      <c r="B229" s="105">
        <v>6</v>
      </c>
      <c r="C229" s="152"/>
      <c r="D229" s="160"/>
      <c r="E229" s="420">
        <v>0</v>
      </c>
      <c r="F229" s="420">
        <v>0</v>
      </c>
      <c r="G229" s="226">
        <v>0</v>
      </c>
    </row>
    <row r="230" spans="1:7" ht="12.75" customHeight="1">
      <c r="B230" s="105">
        <v>7</v>
      </c>
      <c r="C230" s="152"/>
      <c r="D230" s="160"/>
      <c r="E230" s="420">
        <v>0</v>
      </c>
      <c r="F230" s="420">
        <v>0</v>
      </c>
      <c r="G230" s="226">
        <v>0</v>
      </c>
    </row>
    <row r="231" spans="1:7" ht="12.75" customHeight="1">
      <c r="B231" s="105">
        <v>8</v>
      </c>
      <c r="C231" s="152"/>
      <c r="D231" s="160"/>
      <c r="E231" s="420">
        <v>0</v>
      </c>
      <c r="F231" s="420">
        <v>0</v>
      </c>
      <c r="G231" s="226">
        <v>0</v>
      </c>
    </row>
    <row r="232" spans="1:7" ht="12.75" customHeight="1">
      <c r="B232" s="105">
        <v>9</v>
      </c>
      <c r="C232" s="152"/>
      <c r="D232" s="160"/>
      <c r="E232" s="420">
        <v>0</v>
      </c>
      <c r="F232" s="420">
        <v>0</v>
      </c>
      <c r="G232" s="226">
        <v>0</v>
      </c>
    </row>
    <row r="233" spans="1:7" ht="12.75" customHeight="1">
      <c r="B233" s="105">
        <v>10</v>
      </c>
      <c r="C233" s="152"/>
      <c r="D233" s="160"/>
      <c r="E233" s="420">
        <v>0</v>
      </c>
      <c r="F233" s="420">
        <v>0</v>
      </c>
      <c r="G233" s="226">
        <v>0</v>
      </c>
    </row>
    <row r="234" spans="1:7" ht="12.75" customHeight="1">
      <c r="B234" s="105">
        <v>11</v>
      </c>
      <c r="C234" s="152"/>
      <c r="D234" s="160"/>
      <c r="E234" s="420">
        <v>0</v>
      </c>
      <c r="F234" s="420">
        <v>0</v>
      </c>
      <c r="G234" s="226">
        <v>0</v>
      </c>
    </row>
    <row r="236" spans="1:7" s="164" customFormat="1" ht="12.75" customHeight="1">
      <c r="A236" s="29" t="s">
        <v>161</v>
      </c>
      <c r="B236" s="18" t="str">
        <f ca="1">GetNameRange(B237)</f>
        <v>Renewal_param_index1_aig</v>
      </c>
    </row>
    <row r="237" spans="1:7" s="164" customFormat="1" ht="12.75" customHeight="1">
      <c r="A237" s="29" t="s">
        <v>162</v>
      </c>
      <c r="B237" s="431"/>
      <c r="C237" s="169" t="s">
        <v>47</v>
      </c>
      <c r="D237" s="431"/>
      <c r="E237" s="168" t="s">
        <v>642</v>
      </c>
      <c r="F237" s="168" t="s">
        <v>643</v>
      </c>
      <c r="G237" s="168" t="s">
        <v>612</v>
      </c>
    </row>
    <row r="238" spans="1:7" s="164" customFormat="1" ht="12.75" customHeight="1">
      <c r="A238" s="167"/>
      <c r="B238" s="431"/>
      <c r="C238" s="116"/>
      <c r="D238" s="276"/>
      <c r="E238" s="432"/>
      <c r="F238" s="432"/>
      <c r="G238" s="432"/>
    </row>
    <row r="239" spans="1:7" s="164" customFormat="1" ht="12.75" customHeight="1">
      <c r="A239" s="167">
        <v>0.2</v>
      </c>
      <c r="B239" s="368" t="s">
        <v>561</v>
      </c>
      <c r="C239" s="433"/>
      <c r="D239" s="433"/>
      <c r="E239" s="235">
        <v>0.02</v>
      </c>
      <c r="F239" s="235">
        <v>0.02</v>
      </c>
      <c r="G239" s="235">
        <v>2.1999999999999999E-2</v>
      </c>
    </row>
    <row r="240" spans="1:7" s="164" customFormat="1" ht="12.75" customHeight="1">
      <c r="A240" s="167">
        <v>1</v>
      </c>
      <c r="B240" s="368" t="s">
        <v>562</v>
      </c>
      <c r="C240" s="433"/>
      <c r="D240" s="433"/>
      <c r="E240" s="241">
        <v>48</v>
      </c>
      <c r="F240" s="241">
        <v>48</v>
      </c>
      <c r="G240" s="241">
        <v>60</v>
      </c>
    </row>
    <row r="241" spans="1:7" s="164" customFormat="1" ht="12.75" customHeight="1">
      <c r="A241" s="166"/>
      <c r="B241" s="290"/>
      <c r="C241" s="218"/>
      <c r="D241" s="38"/>
      <c r="E241" s="167"/>
      <c r="F241" s="167"/>
      <c r="G241" s="237"/>
    </row>
    <row r="242" spans="1:7" s="164" customFormat="1" ht="12.75" customHeight="1">
      <c r="A242" s="166"/>
      <c r="B242" s="290" t="s">
        <v>426</v>
      </c>
      <c r="C242" s="218"/>
      <c r="D242" s="38"/>
      <c r="E242" s="167"/>
      <c r="F242" s="167"/>
      <c r="G242" s="237"/>
    </row>
    <row r="243" spans="1:7" s="155" customFormat="1" ht="12.75" customHeight="1">
      <c r="A243" s="29" t="s">
        <v>161</v>
      </c>
      <c r="B243" s="33" t="str">
        <f ca="1">GetNameRange(B244)</f>
        <v>Renewal_2020</v>
      </c>
      <c r="C243" s="33"/>
      <c r="E243" s="167"/>
      <c r="F243" s="167"/>
      <c r="G243" s="167"/>
    </row>
    <row r="244" spans="1:7" s="155" customFormat="1" ht="12.75" customHeight="1">
      <c r="A244" s="29" t="s">
        <v>162</v>
      </c>
      <c r="B244" s="169"/>
      <c r="C244" s="169" t="s">
        <v>47</v>
      </c>
      <c r="D244" s="219" t="str">
        <f>D$4</f>
        <v>Value</v>
      </c>
      <c r="E244" s="168" t="s">
        <v>642</v>
      </c>
      <c r="F244" s="168" t="s">
        <v>643</v>
      </c>
      <c r="G244" s="168" t="s">
        <v>612</v>
      </c>
    </row>
    <row r="245" spans="1:7" s="155" customFormat="1" ht="12.75" customHeight="1">
      <c r="B245" s="116" t="s">
        <v>29</v>
      </c>
      <c r="C245" s="276" t="s">
        <v>349</v>
      </c>
      <c r="D245" s="106"/>
      <c r="E245" s="347"/>
      <c r="F245" s="347"/>
      <c r="G245" s="347"/>
    </row>
    <row r="246" spans="1:7" s="164" customFormat="1" ht="12.75" customHeight="1">
      <c r="A246" s="187">
        <v>5</v>
      </c>
      <c r="B246" s="633" t="s">
        <v>568</v>
      </c>
      <c r="C246" s="210">
        <v>-1</v>
      </c>
      <c r="D246" s="160"/>
      <c r="E246" s="516">
        <v>4</v>
      </c>
      <c r="F246" s="516">
        <v>4</v>
      </c>
      <c r="G246" s="542">
        <v>4</v>
      </c>
    </row>
    <row r="247" spans="1:7" s="164" customFormat="1" ht="12.75" customHeight="1">
      <c r="A247" s="187">
        <v>2</v>
      </c>
      <c r="B247" s="634" t="s">
        <v>569</v>
      </c>
      <c r="C247" s="210">
        <v>-1</v>
      </c>
      <c r="D247" s="160"/>
      <c r="E247" s="515">
        <v>2</v>
      </c>
      <c r="F247" s="515">
        <v>2</v>
      </c>
      <c r="G247" s="239">
        <v>2</v>
      </c>
    </row>
    <row r="248" spans="1:7" s="164" customFormat="1" ht="12.75" customHeight="1">
      <c r="A248" s="187">
        <v>0.5</v>
      </c>
      <c r="B248" s="634" t="s">
        <v>427</v>
      </c>
      <c r="C248" s="210">
        <v>-1</v>
      </c>
      <c r="D248" s="160"/>
      <c r="E248" s="516">
        <v>0.75</v>
      </c>
      <c r="F248" s="516">
        <v>0.75</v>
      </c>
      <c r="G248" s="352">
        <v>0.75</v>
      </c>
    </row>
    <row r="249" spans="1:7" s="164" customFormat="1" ht="12.75" customHeight="1">
      <c r="A249" s="187">
        <v>0.75</v>
      </c>
      <c r="B249" s="634" t="s">
        <v>428</v>
      </c>
      <c r="C249" s="210">
        <v>-1</v>
      </c>
      <c r="D249" s="160"/>
      <c r="E249" s="514">
        <v>0.75</v>
      </c>
      <c r="F249" s="514">
        <v>0.75</v>
      </c>
      <c r="G249" s="303">
        <v>0.75</v>
      </c>
    </row>
    <row r="250" spans="1:7" s="164" customFormat="1" ht="12.75" customHeight="1">
      <c r="A250" s="31"/>
      <c r="B250" s="162" t="s">
        <v>325</v>
      </c>
      <c r="C250" s="210">
        <v>-1</v>
      </c>
      <c r="D250" s="160"/>
      <c r="E250" s="526">
        <v>0.02</v>
      </c>
      <c r="F250" s="526">
        <v>0.02</v>
      </c>
      <c r="G250" s="526">
        <v>0.02</v>
      </c>
    </row>
    <row r="251" spans="1:7" s="164" customFormat="1" ht="12.75" customHeight="1">
      <c r="A251" s="187">
        <v>2</v>
      </c>
      <c r="B251" s="634" t="s">
        <v>326</v>
      </c>
      <c r="C251" s="210">
        <v>-1</v>
      </c>
      <c r="D251" s="160"/>
      <c r="E251" s="239">
        <v>2</v>
      </c>
      <c r="F251" s="239">
        <v>2</v>
      </c>
      <c r="G251" s="239">
        <v>2</v>
      </c>
    </row>
    <row r="252" spans="1:7" s="164" customFormat="1" ht="12.75" customHeight="1">
      <c r="A252" s="187">
        <v>0.25</v>
      </c>
      <c r="B252" s="634" t="s">
        <v>327</v>
      </c>
      <c r="C252" s="210">
        <v>-1</v>
      </c>
      <c r="D252" s="160"/>
      <c r="E252" s="303">
        <v>0.25</v>
      </c>
      <c r="F252" s="303">
        <v>0.25</v>
      </c>
      <c r="G252" s="303">
        <v>0.25</v>
      </c>
    </row>
    <row r="253" spans="1:7" s="186" customFormat="1" ht="12.75" customHeight="1">
      <c r="A253" s="277">
        <v>5.0000000000000001E-3</v>
      </c>
      <c r="B253" s="635" t="s">
        <v>328</v>
      </c>
      <c r="C253" s="210">
        <v>-1</v>
      </c>
      <c r="D253" s="160"/>
      <c r="E253" s="235">
        <v>5.0000000000000001E-3</v>
      </c>
      <c r="F253" s="235">
        <v>5.0000000000000001E-3</v>
      </c>
      <c r="G253" s="235">
        <v>5.0000000000000001E-3</v>
      </c>
    </row>
    <row r="254" spans="1:7" s="164" customFormat="1" ht="12.75" customHeight="1">
      <c r="A254" s="187">
        <v>-0.25</v>
      </c>
      <c r="B254" s="634" t="s">
        <v>429</v>
      </c>
      <c r="C254" s="210">
        <v>0</v>
      </c>
      <c r="D254" s="160"/>
      <c r="E254" s="516">
        <v>0</v>
      </c>
      <c r="F254" s="516">
        <v>0</v>
      </c>
      <c r="G254" s="352">
        <v>0</v>
      </c>
    </row>
    <row r="255" spans="1:7" s="164" customFormat="1" ht="12.75" customHeight="1">
      <c r="A255" s="187">
        <v>-0.25</v>
      </c>
      <c r="B255" s="634" t="s">
        <v>429</v>
      </c>
      <c r="C255" s="210">
        <v>1</v>
      </c>
      <c r="D255" s="160"/>
      <c r="E255" s="516">
        <v>-0.25</v>
      </c>
      <c r="F255" s="516">
        <v>-0.25</v>
      </c>
      <c r="G255" s="352">
        <v>-0.25</v>
      </c>
    </row>
    <row r="256" spans="1:7" s="164" customFormat="1" ht="12.75" customHeight="1">
      <c r="A256" s="187">
        <v>0.25</v>
      </c>
      <c r="B256" s="634" t="s">
        <v>430</v>
      </c>
      <c r="C256" s="210">
        <v>0</v>
      </c>
      <c r="D256" s="160"/>
      <c r="E256" s="516">
        <v>0</v>
      </c>
      <c r="F256" s="516">
        <v>0</v>
      </c>
      <c r="G256" s="352">
        <v>0</v>
      </c>
    </row>
    <row r="257" spans="1:7" s="164" customFormat="1" ht="12.75" customHeight="1">
      <c r="A257" s="187">
        <v>0.25</v>
      </c>
      <c r="B257" s="634" t="s">
        <v>430</v>
      </c>
      <c r="C257" s="210">
        <v>1</v>
      </c>
      <c r="D257" s="160"/>
      <c r="E257" s="516">
        <v>0.25</v>
      </c>
      <c r="F257" s="516">
        <v>0.25</v>
      </c>
      <c r="G257" s="352">
        <v>0.25</v>
      </c>
    </row>
    <row r="258" spans="1:7" s="164" customFormat="1" ht="12.75" customHeight="1">
      <c r="A258" s="166"/>
      <c r="B258" s="290"/>
      <c r="C258" s="218"/>
      <c r="D258" s="38"/>
      <c r="E258" s="167"/>
      <c r="F258" s="167"/>
      <c r="G258" s="237"/>
    </row>
    <row r="259" spans="1:7" s="164" customFormat="1" ht="12.75" customHeight="1">
      <c r="A259" s="29" t="s">
        <v>161</v>
      </c>
      <c r="B259" s="18" t="str">
        <f ca="1">GetNameRange(B260)</f>
        <v>Renewal_add_param_index1_aig</v>
      </c>
    </row>
    <row r="260" spans="1:7" s="164" customFormat="1" ht="12.75" customHeight="1">
      <c r="A260" s="29" t="s">
        <v>162</v>
      </c>
      <c r="B260" s="431"/>
      <c r="C260" s="169" t="s">
        <v>47</v>
      </c>
      <c r="D260" s="431"/>
      <c r="E260" s="168" t="s">
        <v>642</v>
      </c>
      <c r="F260" s="168" t="s">
        <v>643</v>
      </c>
      <c r="G260" s="168" t="s">
        <v>612</v>
      </c>
    </row>
    <row r="261" spans="1:7" s="164" customFormat="1" ht="12.75" customHeight="1">
      <c r="B261" s="431"/>
      <c r="C261" s="276" t="s">
        <v>349</v>
      </c>
      <c r="D261" s="276"/>
      <c r="E261" s="432"/>
      <c r="F261" s="432"/>
      <c r="G261" s="432"/>
    </row>
    <row r="262" spans="1:7" s="164" customFormat="1" ht="12.75" customHeight="1">
      <c r="A262" s="167">
        <v>5</v>
      </c>
      <c r="B262" s="368" t="s">
        <v>555</v>
      </c>
      <c r="C262" s="433">
        <v>-1</v>
      </c>
      <c r="D262" s="433"/>
      <c r="E262" s="241">
        <v>4</v>
      </c>
      <c r="F262" s="241">
        <v>4</v>
      </c>
      <c r="G262" s="241">
        <v>6</v>
      </c>
    </row>
    <row r="263" spans="1:7" s="164" customFormat="1" ht="12.75" customHeight="1">
      <c r="A263" s="167">
        <v>2</v>
      </c>
      <c r="B263" s="368" t="s">
        <v>556</v>
      </c>
      <c r="C263" s="433">
        <v>-1</v>
      </c>
      <c r="D263" s="433"/>
      <c r="E263" s="241">
        <v>2</v>
      </c>
      <c r="F263" s="241">
        <v>2</v>
      </c>
      <c r="G263" s="241">
        <v>5</v>
      </c>
    </row>
    <row r="264" spans="1:7" s="164" customFormat="1" ht="12.75" customHeight="1">
      <c r="A264" s="167">
        <v>0.5</v>
      </c>
      <c r="B264" s="368" t="s">
        <v>557</v>
      </c>
      <c r="C264" s="433">
        <v>-1</v>
      </c>
      <c r="D264" s="433"/>
      <c r="E264" s="308">
        <v>0.75</v>
      </c>
      <c r="F264" s="308">
        <v>0.75</v>
      </c>
      <c r="G264" s="308">
        <v>0.75</v>
      </c>
    </row>
    <row r="265" spans="1:7" s="164" customFormat="1" ht="12.75" customHeight="1">
      <c r="A265" s="167">
        <v>0.75</v>
      </c>
      <c r="B265" s="368" t="s">
        <v>558</v>
      </c>
      <c r="C265" s="433">
        <v>-1</v>
      </c>
      <c r="D265" s="433"/>
      <c r="E265" s="308">
        <v>0.75</v>
      </c>
      <c r="F265" s="308">
        <v>0.75</v>
      </c>
      <c r="G265" s="308">
        <v>0.75</v>
      </c>
    </row>
    <row r="266" spans="1:7" s="164" customFormat="1" ht="12.75" customHeight="1">
      <c r="A266" s="167">
        <v>0</v>
      </c>
      <c r="B266" s="368" t="s">
        <v>559</v>
      </c>
      <c r="C266" s="433">
        <v>0</v>
      </c>
      <c r="D266" s="433"/>
      <c r="E266" s="308">
        <v>0</v>
      </c>
      <c r="F266" s="308">
        <v>0</v>
      </c>
      <c r="G266" s="308">
        <v>0</v>
      </c>
    </row>
    <row r="267" spans="1:7" s="164" customFormat="1" ht="12.75" customHeight="1">
      <c r="A267" s="167">
        <v>0</v>
      </c>
      <c r="B267" s="368" t="s">
        <v>559</v>
      </c>
      <c r="C267" s="433">
        <v>1</v>
      </c>
      <c r="D267" s="433"/>
      <c r="E267" s="308">
        <v>-0.25</v>
      </c>
      <c r="F267" s="308">
        <v>-0.25</v>
      </c>
      <c r="G267" s="308">
        <v>-0.25</v>
      </c>
    </row>
    <row r="268" spans="1:7" s="164" customFormat="1" ht="12.75" customHeight="1">
      <c r="A268" s="167">
        <v>0</v>
      </c>
      <c r="B268" s="368" t="s">
        <v>560</v>
      </c>
      <c r="C268" s="433">
        <v>0</v>
      </c>
      <c r="D268" s="433"/>
      <c r="E268" s="308">
        <v>0</v>
      </c>
      <c r="F268" s="308">
        <v>0</v>
      </c>
      <c r="G268" s="308">
        <v>0</v>
      </c>
    </row>
    <row r="269" spans="1:7" s="164" customFormat="1" ht="12.75" customHeight="1">
      <c r="A269" s="167">
        <v>0</v>
      </c>
      <c r="B269" s="368" t="s">
        <v>560</v>
      </c>
      <c r="C269" s="433">
        <v>1</v>
      </c>
      <c r="D269" s="433"/>
      <c r="E269" s="308">
        <v>0.25</v>
      </c>
      <c r="F269" s="308">
        <v>0.25</v>
      </c>
      <c r="G269" s="308">
        <v>0.25</v>
      </c>
    </row>
    <row r="270" spans="1:7" s="164" customFormat="1" ht="12.75" customHeight="1">
      <c r="A270" s="167"/>
    </row>
    <row r="271" spans="1:7" s="155" customFormat="1" ht="12.75" customHeight="1">
      <c r="A271" s="29" t="s">
        <v>161</v>
      </c>
      <c r="B271" s="33" t="str">
        <f ca="1">GetNameRange(B272)</f>
        <v>opt_budget_tgt_alpha_aig</v>
      </c>
      <c r="C271" s="33"/>
      <c r="E271" s="167"/>
      <c r="F271" s="167"/>
      <c r="G271" s="167"/>
    </row>
    <row r="272" spans="1:7" s="155" customFormat="1" ht="12.75" customHeight="1">
      <c r="A272" s="29" t="s">
        <v>162</v>
      </c>
      <c r="B272" s="169"/>
      <c r="C272" s="169" t="s">
        <v>47</v>
      </c>
      <c r="D272" s="219" t="str">
        <f>D$4</f>
        <v>Value</v>
      </c>
      <c r="E272" s="168" t="s">
        <v>642</v>
      </c>
      <c r="F272" s="168" t="s">
        <v>643</v>
      </c>
      <c r="G272" s="168" t="s">
        <v>612</v>
      </c>
    </row>
    <row r="273" spans="1:7" s="155" customFormat="1" ht="12.75" customHeight="1">
      <c r="B273" s="116" t="s">
        <v>478</v>
      </c>
      <c r="C273" s="276" t="s">
        <v>163</v>
      </c>
      <c r="D273" s="106"/>
      <c r="E273" s="347"/>
      <c r="F273" s="347"/>
      <c r="G273" s="347"/>
    </row>
    <row r="274" spans="1:7" s="164" customFormat="1" ht="12.75" customHeight="1">
      <c r="A274" s="166"/>
      <c r="B274" s="284">
        <v>1</v>
      </c>
      <c r="C274" s="1">
        <v>1</v>
      </c>
      <c r="D274" s="160"/>
      <c r="E274" s="529">
        <v>0.5</v>
      </c>
      <c r="F274" s="529">
        <v>0.5</v>
      </c>
      <c r="G274" s="332">
        <v>0.5</v>
      </c>
    </row>
    <row r="275" spans="1:7" s="164" customFormat="1" ht="12.75" customHeight="1">
      <c r="A275" s="166"/>
      <c r="B275" s="284">
        <v>1</v>
      </c>
      <c r="C275" s="1">
        <v>6</v>
      </c>
      <c r="D275" s="160"/>
      <c r="E275" s="529">
        <v>0.25</v>
      </c>
      <c r="F275" s="529">
        <v>0.25</v>
      </c>
      <c r="G275" s="332">
        <v>0.5</v>
      </c>
    </row>
    <row r="276" spans="1:7" s="164" customFormat="1" ht="12.75" customHeight="1">
      <c r="A276" s="166"/>
      <c r="B276" s="284">
        <v>1</v>
      </c>
      <c r="C276" s="1">
        <v>7</v>
      </c>
      <c r="D276" s="160"/>
      <c r="E276" s="529">
        <v>0.25</v>
      </c>
      <c r="F276" s="529">
        <v>0.25</v>
      </c>
      <c r="G276" s="332">
        <v>0.25</v>
      </c>
    </row>
    <row r="277" spans="1:7" s="164" customFormat="1" ht="12.75" customHeight="1">
      <c r="A277" s="166"/>
      <c r="B277" s="284">
        <v>1</v>
      </c>
      <c r="C277" s="1">
        <v>8</v>
      </c>
      <c r="D277" s="160"/>
      <c r="E277" s="529">
        <v>0.25</v>
      </c>
      <c r="F277" s="529">
        <v>0.25</v>
      </c>
      <c r="G277" s="332">
        <v>0.25</v>
      </c>
    </row>
    <row r="278" spans="1:7" s="164" customFormat="1" ht="12.75" customHeight="1">
      <c r="A278" s="166"/>
      <c r="B278" s="284">
        <v>1</v>
      </c>
      <c r="C278" s="1">
        <v>9</v>
      </c>
      <c r="D278" s="160"/>
      <c r="E278" s="529">
        <v>0.25</v>
      </c>
      <c r="F278" s="529">
        <v>0.25</v>
      </c>
      <c r="G278" s="332">
        <v>0.25</v>
      </c>
    </row>
    <row r="279" spans="1:7" s="164" customFormat="1" ht="12.75" customHeight="1">
      <c r="A279" s="166"/>
      <c r="B279" s="284">
        <v>1</v>
      </c>
      <c r="C279" s="1">
        <v>11</v>
      </c>
      <c r="D279" s="160"/>
      <c r="E279" s="529">
        <v>0.25</v>
      </c>
      <c r="F279" s="529">
        <v>0.25</v>
      </c>
      <c r="G279" s="332">
        <v>0.25</v>
      </c>
    </row>
    <row r="280" spans="1:7" s="164" customFormat="1" ht="12.75" customHeight="1">
      <c r="A280" s="166"/>
      <c r="B280" s="284">
        <v>5</v>
      </c>
      <c r="C280" s="1">
        <v>1</v>
      </c>
      <c r="D280" s="160"/>
      <c r="E280" s="529">
        <v>0.5</v>
      </c>
      <c r="F280" s="529">
        <v>0.5</v>
      </c>
      <c r="G280" s="332">
        <v>0.5</v>
      </c>
    </row>
    <row r="281" spans="1:7" s="164" customFormat="1" ht="12.75" customHeight="1">
      <c r="A281" s="166"/>
      <c r="B281" s="284">
        <v>5</v>
      </c>
      <c r="C281" s="1">
        <v>6</v>
      </c>
      <c r="D281" s="160"/>
      <c r="E281" s="529">
        <v>0.25</v>
      </c>
      <c r="F281" s="529">
        <v>0.25</v>
      </c>
      <c r="G281" s="332">
        <v>0.5</v>
      </c>
    </row>
    <row r="282" spans="1:7" s="164" customFormat="1" ht="12.75" customHeight="1">
      <c r="A282" s="166"/>
      <c r="B282" s="284">
        <v>5</v>
      </c>
      <c r="C282" s="1">
        <v>8</v>
      </c>
      <c r="D282" s="160"/>
      <c r="E282" s="529">
        <v>0.25</v>
      </c>
      <c r="F282" s="529">
        <v>0.25</v>
      </c>
      <c r="G282" s="332">
        <v>0.5</v>
      </c>
    </row>
    <row r="283" spans="1:7" s="164" customFormat="1" ht="12.75" customHeight="1">
      <c r="A283" s="166"/>
      <c r="B283" s="284">
        <v>5</v>
      </c>
      <c r="C283" s="1">
        <v>9</v>
      </c>
      <c r="D283" s="160"/>
      <c r="E283" s="529">
        <v>0.25</v>
      </c>
      <c r="F283" s="529">
        <v>0.25</v>
      </c>
      <c r="G283" s="332">
        <v>0.5</v>
      </c>
    </row>
    <row r="284" spans="1:7" s="164" customFormat="1" ht="12.75" customHeight="1">
      <c r="A284" s="166"/>
      <c r="B284" s="284">
        <v>5</v>
      </c>
      <c r="C284" s="1">
        <v>11</v>
      </c>
      <c r="D284" s="160"/>
      <c r="E284" s="529">
        <v>0.25</v>
      </c>
      <c r="F284" s="529">
        <v>0.25</v>
      </c>
      <c r="G284" s="332">
        <v>0.25</v>
      </c>
    </row>
    <row r="285" spans="1:7" s="164" customFormat="1" ht="12.75" customHeight="1">
      <c r="A285" s="166"/>
      <c r="B285" s="284">
        <v>6</v>
      </c>
      <c r="C285" s="1">
        <v>1</v>
      </c>
      <c r="D285" s="160"/>
      <c r="E285" s="529">
        <v>0.5</v>
      </c>
      <c r="F285" s="529">
        <v>0.5</v>
      </c>
      <c r="G285" s="332">
        <v>0.5</v>
      </c>
    </row>
    <row r="286" spans="1:7" s="164" customFormat="1" ht="12.75" customHeight="1">
      <c r="A286" s="166"/>
      <c r="B286" s="284">
        <v>6</v>
      </c>
      <c r="C286" s="1">
        <v>6</v>
      </c>
      <c r="D286" s="160"/>
      <c r="E286" s="529">
        <v>0.25</v>
      </c>
      <c r="F286" s="529">
        <v>0.25</v>
      </c>
      <c r="G286" s="332">
        <v>0.5</v>
      </c>
    </row>
    <row r="287" spans="1:7" s="164" customFormat="1" ht="12.75" customHeight="1">
      <c r="A287" s="166"/>
      <c r="B287" s="284">
        <v>6</v>
      </c>
      <c r="C287" s="1">
        <v>7</v>
      </c>
      <c r="D287" s="160"/>
      <c r="E287" s="529">
        <v>0.25</v>
      </c>
      <c r="F287" s="529">
        <v>0.25</v>
      </c>
      <c r="G287" s="332">
        <v>0.25</v>
      </c>
    </row>
    <row r="288" spans="1:7" s="164" customFormat="1" ht="12.75" customHeight="1">
      <c r="A288" s="166"/>
      <c r="B288" s="284">
        <v>6</v>
      </c>
      <c r="C288" s="1">
        <v>8</v>
      </c>
      <c r="D288" s="160"/>
      <c r="E288" s="529">
        <v>0.25</v>
      </c>
      <c r="F288" s="529">
        <v>0.25</v>
      </c>
      <c r="G288" s="332">
        <v>0.25</v>
      </c>
    </row>
    <row r="289" spans="1:7" s="164" customFormat="1" ht="12.75" customHeight="1">
      <c r="A289" s="166"/>
      <c r="B289" s="284">
        <v>6</v>
      </c>
      <c r="C289" s="1">
        <v>9</v>
      </c>
      <c r="D289" s="160"/>
      <c r="E289" s="529">
        <v>0.25</v>
      </c>
      <c r="F289" s="529">
        <v>0.25</v>
      </c>
      <c r="G289" s="332">
        <v>0.25</v>
      </c>
    </row>
    <row r="290" spans="1:7" s="164" customFormat="1" ht="12.75" customHeight="1">
      <c r="A290" s="166"/>
      <c r="B290" s="284">
        <v>6</v>
      </c>
      <c r="C290" s="1">
        <v>11</v>
      </c>
      <c r="D290" s="160"/>
      <c r="E290" s="529">
        <v>0.25</v>
      </c>
      <c r="F290" s="529">
        <v>0.25</v>
      </c>
      <c r="G290" s="332">
        <v>0.25</v>
      </c>
    </row>
    <row r="291" spans="1:7" s="155" customFormat="1" ht="12.75" customHeight="1">
      <c r="E291" s="167"/>
      <c r="F291" s="167"/>
      <c r="G291" s="167"/>
    </row>
    <row r="292" spans="1:7" s="164" customFormat="1" ht="12.75" customHeight="1">
      <c r="A292" s="29" t="s">
        <v>161</v>
      </c>
      <c r="B292" s="18" t="str">
        <f ca="1">GetNameRange(B293)</f>
        <v>renewal_alpha_index1_aig</v>
      </c>
      <c r="E292" s="167"/>
      <c r="F292" s="167"/>
      <c r="G292" s="167"/>
    </row>
    <row r="293" spans="1:7" s="164" customFormat="1" ht="12.75" customHeight="1">
      <c r="A293" s="29" t="s">
        <v>162</v>
      </c>
      <c r="B293" s="169"/>
      <c r="C293" s="169" t="s">
        <v>47</v>
      </c>
      <c r="D293" s="431"/>
      <c r="E293" s="168" t="s">
        <v>642</v>
      </c>
      <c r="F293" s="168" t="s">
        <v>643</v>
      </c>
      <c r="G293" s="168" t="s">
        <v>612</v>
      </c>
    </row>
    <row r="294" spans="1:7" s="164" customFormat="1" ht="12.75" customHeight="1">
      <c r="B294" s="347" t="s">
        <v>478</v>
      </c>
      <c r="C294" s="276" t="s">
        <v>163</v>
      </c>
      <c r="D294" s="276"/>
      <c r="E294" s="186"/>
      <c r="F294" s="186"/>
      <c r="G294" s="186"/>
    </row>
    <row r="295" spans="1:7" s="164" customFormat="1" ht="12.75" customHeight="1">
      <c r="A295" s="167">
        <v>0.25</v>
      </c>
      <c r="B295" s="284">
        <v>1</v>
      </c>
      <c r="C295" s="1">
        <v>1</v>
      </c>
      <c r="D295" s="433"/>
      <c r="E295" s="319">
        <v>0.5</v>
      </c>
      <c r="F295" s="319">
        <v>0.5</v>
      </c>
      <c r="G295" s="319">
        <v>0.5</v>
      </c>
    </row>
    <row r="296" spans="1:7" s="164" customFormat="1" ht="12.75" customHeight="1">
      <c r="A296" s="167">
        <v>0.25</v>
      </c>
      <c r="B296" s="284">
        <v>1</v>
      </c>
      <c r="C296" s="1">
        <v>6</v>
      </c>
      <c r="D296" s="433"/>
      <c r="E296" s="319">
        <v>0.25</v>
      </c>
      <c r="F296" s="319">
        <v>0.25</v>
      </c>
      <c r="G296" s="319">
        <v>0.5</v>
      </c>
    </row>
    <row r="297" spans="1:7" s="164" customFormat="1" ht="12.75" customHeight="1">
      <c r="A297" s="167">
        <v>0.25</v>
      </c>
      <c r="B297" s="284">
        <v>1</v>
      </c>
      <c r="C297" s="1">
        <v>8</v>
      </c>
      <c r="D297" s="433"/>
      <c r="E297" s="319">
        <v>0.25</v>
      </c>
      <c r="F297" s="319">
        <v>0.25</v>
      </c>
      <c r="G297" s="319">
        <v>0.5</v>
      </c>
    </row>
    <row r="298" spans="1:7" s="164" customFormat="1" ht="12.75" customHeight="1">
      <c r="A298" s="167">
        <v>0.25</v>
      </c>
      <c r="B298" s="284">
        <v>1</v>
      </c>
      <c r="C298" s="1">
        <v>9</v>
      </c>
      <c r="D298" s="433"/>
      <c r="E298" s="319">
        <v>0.25</v>
      </c>
      <c r="F298" s="319">
        <v>0.25</v>
      </c>
      <c r="G298" s="319">
        <v>0.5</v>
      </c>
    </row>
    <row r="299" spans="1:7" s="164" customFormat="1" ht="12.75" customHeight="1">
      <c r="A299" s="167">
        <v>0.25</v>
      </c>
      <c r="B299" s="284">
        <v>1</v>
      </c>
      <c r="C299" s="1">
        <v>11</v>
      </c>
      <c r="D299" s="433"/>
      <c r="E299" s="319">
        <v>0.25</v>
      </c>
      <c r="F299" s="319">
        <v>0.25</v>
      </c>
      <c r="G299" s="319">
        <v>0.25</v>
      </c>
    </row>
    <row r="300" spans="1:7" s="164" customFormat="1" ht="12.75" customHeight="1">
      <c r="A300" s="167">
        <v>0.25</v>
      </c>
      <c r="B300" s="284">
        <v>5</v>
      </c>
      <c r="C300" s="1">
        <v>1</v>
      </c>
      <c r="D300" s="433"/>
      <c r="E300" s="319">
        <v>0.5</v>
      </c>
      <c r="F300" s="319">
        <v>0.5</v>
      </c>
      <c r="G300" s="319">
        <v>0.5</v>
      </c>
    </row>
    <row r="301" spans="1:7" s="164" customFormat="1" ht="12.75" customHeight="1">
      <c r="A301" s="167">
        <v>0.25</v>
      </c>
      <c r="B301" s="284">
        <v>5</v>
      </c>
      <c r="C301" s="1">
        <v>6</v>
      </c>
      <c r="D301" s="433"/>
      <c r="E301" s="319">
        <v>0.25</v>
      </c>
      <c r="F301" s="319">
        <v>0.25</v>
      </c>
      <c r="G301" s="319">
        <v>0.5</v>
      </c>
    </row>
    <row r="302" spans="1:7" s="164" customFormat="1" ht="12.75" customHeight="1">
      <c r="A302" s="167">
        <v>0.25</v>
      </c>
      <c r="B302" s="284">
        <v>5</v>
      </c>
      <c r="C302" s="1">
        <v>8</v>
      </c>
      <c r="D302" s="433"/>
      <c r="E302" s="319">
        <v>0.25</v>
      </c>
      <c r="F302" s="319">
        <v>0.25</v>
      </c>
      <c r="G302" s="319">
        <v>0.5</v>
      </c>
    </row>
    <row r="303" spans="1:7" s="164" customFormat="1" ht="12.75" customHeight="1">
      <c r="A303" s="167">
        <v>0.25</v>
      </c>
      <c r="B303" s="284">
        <v>5</v>
      </c>
      <c r="C303" s="1">
        <v>9</v>
      </c>
      <c r="D303" s="433"/>
      <c r="E303" s="319">
        <v>0.25</v>
      </c>
      <c r="F303" s="319">
        <v>0.25</v>
      </c>
      <c r="G303" s="319">
        <v>0.5</v>
      </c>
    </row>
    <row r="304" spans="1:7" s="164" customFormat="1" ht="12.75" customHeight="1">
      <c r="A304" s="167">
        <v>0.25</v>
      </c>
      <c r="B304" s="284">
        <v>5</v>
      </c>
      <c r="C304" s="1">
        <v>11</v>
      </c>
      <c r="D304" s="433"/>
      <c r="E304" s="319">
        <v>0.25</v>
      </c>
      <c r="F304" s="319">
        <v>0.25</v>
      </c>
      <c r="G304" s="319">
        <v>0.25</v>
      </c>
    </row>
    <row r="305" spans="1:7" s="164" customFormat="1" ht="12.75" customHeight="1">
      <c r="A305" s="167">
        <v>0.25</v>
      </c>
      <c r="B305" s="284">
        <v>6</v>
      </c>
      <c r="C305" s="1">
        <v>1</v>
      </c>
      <c r="D305" s="433"/>
      <c r="E305" s="319">
        <v>0.5</v>
      </c>
      <c r="F305" s="319">
        <v>0.5</v>
      </c>
      <c r="G305" s="319">
        <v>0.5</v>
      </c>
    </row>
    <row r="306" spans="1:7" s="164" customFormat="1" ht="12.75" customHeight="1">
      <c r="A306" s="167">
        <v>0.25</v>
      </c>
      <c r="B306" s="284">
        <v>6</v>
      </c>
      <c r="C306" s="1">
        <v>6</v>
      </c>
      <c r="D306" s="433"/>
      <c r="E306" s="319">
        <v>0.25</v>
      </c>
      <c r="F306" s="319">
        <v>0.25</v>
      </c>
      <c r="G306" s="319">
        <v>0.5</v>
      </c>
    </row>
    <row r="307" spans="1:7" s="164" customFormat="1" ht="12.75" customHeight="1">
      <c r="A307" s="167">
        <v>0.25</v>
      </c>
      <c r="B307" s="284">
        <v>6</v>
      </c>
      <c r="C307" s="1">
        <v>8</v>
      </c>
      <c r="D307" s="433"/>
      <c r="E307" s="319">
        <v>0.25</v>
      </c>
      <c r="F307" s="319">
        <v>0.25</v>
      </c>
      <c r="G307" s="319">
        <v>0.5</v>
      </c>
    </row>
    <row r="308" spans="1:7" s="164" customFormat="1" ht="12.75" customHeight="1">
      <c r="A308" s="167">
        <v>0.25</v>
      </c>
      <c r="B308" s="284">
        <v>6</v>
      </c>
      <c r="C308" s="1">
        <v>9</v>
      </c>
      <c r="D308" s="433"/>
      <c r="E308" s="319">
        <v>0.25</v>
      </c>
      <c r="F308" s="319">
        <v>0.25</v>
      </c>
      <c r="G308" s="319">
        <v>0.5</v>
      </c>
    </row>
    <row r="309" spans="1:7" s="164" customFormat="1" ht="12.75" customHeight="1">
      <c r="A309" s="167">
        <v>0.25</v>
      </c>
      <c r="B309" s="284">
        <v>6</v>
      </c>
      <c r="C309" s="1">
        <v>11</v>
      </c>
      <c r="D309" s="433"/>
      <c r="E309" s="319">
        <v>0.25</v>
      </c>
      <c r="F309" s="319">
        <v>0.25</v>
      </c>
      <c r="G309" s="319">
        <v>0.25</v>
      </c>
    </row>
    <row r="310" spans="1:7" s="155" customFormat="1" ht="12.75" customHeight="1">
      <c r="E310" s="167"/>
      <c r="F310" s="167"/>
      <c r="G310" s="167"/>
    </row>
    <row r="311" spans="1:7" ht="12.75" customHeight="1">
      <c r="A311" s="29" t="s">
        <v>161</v>
      </c>
      <c r="B311" s="18" t="str">
        <f ca="1">GetNameRange(C312)</f>
        <v>opt_budget_tgt_reduction_aig</v>
      </c>
    </row>
    <row r="312" spans="1:7" ht="12.75" customHeight="1">
      <c r="A312" s="29" t="s">
        <v>162</v>
      </c>
      <c r="B312" s="169"/>
      <c r="C312" s="169"/>
      <c r="D312" s="169" t="s">
        <v>47</v>
      </c>
      <c r="E312" s="168" t="s">
        <v>642</v>
      </c>
      <c r="F312" s="168" t="s">
        <v>643</v>
      </c>
      <c r="G312" s="168" t="s">
        <v>612</v>
      </c>
    </row>
    <row r="313" spans="1:7" ht="12.75" customHeight="1">
      <c r="B313" s="347" t="s">
        <v>478</v>
      </c>
      <c r="C313" s="116" t="s">
        <v>320</v>
      </c>
      <c r="D313" s="276" t="s">
        <v>349</v>
      </c>
      <c r="E313" s="347"/>
      <c r="F313" s="347"/>
      <c r="G313" s="347"/>
    </row>
    <row r="314" spans="1:7" s="155" customFormat="1" ht="12.75" customHeight="1">
      <c r="B314" s="284">
        <v>1</v>
      </c>
      <c r="C314" s="282">
        <v>0</v>
      </c>
      <c r="D314" s="322">
        <v>0</v>
      </c>
      <c r="E314" s="530">
        <v>6.0000000000000001E-3</v>
      </c>
      <c r="F314" s="530">
        <v>6.0000000000000001E-3</v>
      </c>
      <c r="G314" s="430">
        <v>6.0000000000000001E-3</v>
      </c>
    </row>
    <row r="315" spans="1:7" s="155" customFormat="1" ht="12.75" customHeight="1">
      <c r="B315" s="284">
        <v>1</v>
      </c>
      <c r="C315" s="282">
        <v>1</v>
      </c>
      <c r="D315" s="322">
        <v>0</v>
      </c>
      <c r="E315" s="530">
        <v>6.0000000000000001E-3</v>
      </c>
      <c r="F315" s="530">
        <v>6.0000000000000001E-3</v>
      </c>
      <c r="G315" s="430">
        <v>6.0000000000000001E-3</v>
      </c>
    </row>
    <row r="316" spans="1:7" s="155" customFormat="1" ht="12.75" customHeight="1">
      <c r="B316" s="284">
        <v>1</v>
      </c>
      <c r="C316" s="282">
        <v>1</v>
      </c>
      <c r="D316" s="322">
        <v>1</v>
      </c>
      <c r="E316" s="530">
        <v>4.0000000000000001E-3</v>
      </c>
      <c r="F316" s="530">
        <v>4.0000000000000001E-3</v>
      </c>
      <c r="G316" s="430">
        <v>6.0000000000000001E-3</v>
      </c>
    </row>
    <row r="317" spans="1:7" s="155" customFormat="1" ht="12.75" customHeight="1">
      <c r="B317" s="284">
        <v>1</v>
      </c>
      <c r="C317" s="282">
        <v>2</v>
      </c>
      <c r="D317" s="322">
        <v>1</v>
      </c>
      <c r="E317" s="530">
        <v>4.0000000000000001E-3</v>
      </c>
      <c r="F317" s="530">
        <v>4.0000000000000001E-3</v>
      </c>
      <c r="G317" s="430">
        <v>6.0000000000000001E-3</v>
      </c>
    </row>
    <row r="318" spans="1:7" ht="12.75" customHeight="1">
      <c r="B318" s="284">
        <v>5</v>
      </c>
      <c r="C318" s="282">
        <v>0</v>
      </c>
      <c r="D318" s="322">
        <v>0</v>
      </c>
      <c r="E318" s="530">
        <v>6.0000000000000001E-3</v>
      </c>
      <c r="F318" s="530">
        <v>6.0000000000000001E-3</v>
      </c>
      <c r="G318" s="430">
        <v>6.0000000000000001E-3</v>
      </c>
    </row>
    <row r="319" spans="1:7" ht="12.75" customHeight="1">
      <c r="B319" s="284">
        <v>5</v>
      </c>
      <c r="C319" s="282">
        <v>1</v>
      </c>
      <c r="D319" s="322">
        <v>0</v>
      </c>
      <c r="E319" s="530">
        <v>6.0000000000000001E-3</v>
      </c>
      <c r="F319" s="530">
        <v>6.0000000000000001E-3</v>
      </c>
      <c r="G319" s="430">
        <v>6.0000000000000001E-3</v>
      </c>
    </row>
    <row r="320" spans="1:7" ht="12.75" customHeight="1">
      <c r="B320" s="284">
        <v>5</v>
      </c>
      <c r="C320" s="282">
        <v>1</v>
      </c>
      <c r="D320" s="322">
        <v>1</v>
      </c>
      <c r="E320" s="530">
        <v>4.0000000000000001E-3</v>
      </c>
      <c r="F320" s="530">
        <v>4.0000000000000001E-3</v>
      </c>
      <c r="G320" s="430">
        <v>6.0000000000000001E-3</v>
      </c>
    </row>
    <row r="321" spans="1:7" ht="12.75" customHeight="1">
      <c r="B321" s="284">
        <v>5</v>
      </c>
      <c r="C321" s="282">
        <v>2</v>
      </c>
      <c r="D321" s="322">
        <v>1</v>
      </c>
      <c r="E321" s="530">
        <v>4.0000000000000001E-3</v>
      </c>
      <c r="F321" s="530">
        <v>4.0000000000000001E-3</v>
      </c>
      <c r="G321" s="430">
        <v>6.0000000000000001E-3</v>
      </c>
    </row>
    <row r="322" spans="1:7" s="155" customFormat="1" ht="12.75" customHeight="1">
      <c r="B322" s="284">
        <v>6</v>
      </c>
      <c r="C322" s="282">
        <v>0</v>
      </c>
      <c r="D322" s="322">
        <v>0</v>
      </c>
      <c r="E322" s="530">
        <v>6.0000000000000001E-3</v>
      </c>
      <c r="F322" s="530">
        <v>6.0000000000000001E-3</v>
      </c>
      <c r="G322" s="430">
        <v>6.0000000000000001E-3</v>
      </c>
    </row>
    <row r="323" spans="1:7" s="155" customFormat="1" ht="12.75" customHeight="1">
      <c r="B323" s="284">
        <v>6</v>
      </c>
      <c r="C323" s="282">
        <v>1</v>
      </c>
      <c r="D323" s="322">
        <v>0</v>
      </c>
      <c r="E323" s="530">
        <v>6.0000000000000001E-3</v>
      </c>
      <c r="F323" s="530">
        <v>6.0000000000000001E-3</v>
      </c>
      <c r="G323" s="430">
        <v>6.0000000000000001E-3</v>
      </c>
    </row>
    <row r="324" spans="1:7" s="155" customFormat="1" ht="12.75" customHeight="1">
      <c r="B324" s="284">
        <v>6</v>
      </c>
      <c r="C324" s="282">
        <v>1</v>
      </c>
      <c r="D324" s="322">
        <v>1</v>
      </c>
      <c r="E324" s="530">
        <v>4.0000000000000001E-3</v>
      </c>
      <c r="F324" s="530">
        <v>4.0000000000000001E-3</v>
      </c>
      <c r="G324" s="430">
        <v>6.0000000000000001E-3</v>
      </c>
    </row>
    <row r="325" spans="1:7" s="155" customFormat="1" ht="12.75" customHeight="1">
      <c r="B325" s="284">
        <v>6</v>
      </c>
      <c r="C325" s="282">
        <v>2</v>
      </c>
      <c r="D325" s="322">
        <v>1</v>
      </c>
      <c r="E325" s="530">
        <v>4.0000000000000001E-3</v>
      </c>
      <c r="F325" s="530">
        <v>4.0000000000000001E-3</v>
      </c>
      <c r="G325" s="430">
        <v>6.0000000000000001E-3</v>
      </c>
    </row>
    <row r="327" spans="1:7" s="164" customFormat="1" ht="12.75" customHeight="1">
      <c r="A327" s="29" t="s">
        <v>161</v>
      </c>
      <c r="B327" s="18" t="str">
        <f ca="1">GetNameRange(B328)</f>
        <v>renewal_budget_reduction_index1_aig</v>
      </c>
      <c r="E327" s="167"/>
      <c r="F327" s="167"/>
      <c r="G327" s="167"/>
    </row>
    <row r="328" spans="1:7" s="164" customFormat="1" ht="12.75" customHeight="1">
      <c r="A328" s="29" t="s">
        <v>162</v>
      </c>
      <c r="B328" s="169"/>
      <c r="C328" s="169"/>
      <c r="D328" s="169" t="s">
        <v>47</v>
      </c>
      <c r="E328" s="168" t="s">
        <v>642</v>
      </c>
      <c r="F328" s="168" t="s">
        <v>643</v>
      </c>
      <c r="G328" s="168" t="s">
        <v>612</v>
      </c>
    </row>
    <row r="329" spans="1:7" s="164" customFormat="1" ht="12.75" customHeight="1">
      <c r="B329" s="347" t="s">
        <v>478</v>
      </c>
      <c r="C329" s="116" t="s">
        <v>320</v>
      </c>
      <c r="D329" s="276" t="s">
        <v>349</v>
      </c>
      <c r="E329" s="186"/>
      <c r="F329" s="186"/>
      <c r="G329" s="186"/>
    </row>
    <row r="330" spans="1:7" s="164" customFormat="1" ht="12.75" customHeight="1">
      <c r="A330" s="167">
        <v>0.5</v>
      </c>
      <c r="B330" s="284">
        <v>1</v>
      </c>
      <c r="C330" s="368">
        <v>0</v>
      </c>
      <c r="D330" s="434">
        <v>0</v>
      </c>
      <c r="E330" s="235">
        <v>6.0000000000000001E-3</v>
      </c>
      <c r="F330" s="235">
        <v>6.0000000000000001E-3</v>
      </c>
      <c r="G330" s="235">
        <v>6.0000000000000001E-3</v>
      </c>
    </row>
    <row r="331" spans="1:7" s="164" customFormat="1" ht="12.75" customHeight="1">
      <c r="A331" s="167">
        <v>0.5</v>
      </c>
      <c r="B331" s="284">
        <v>1</v>
      </c>
      <c r="C331" s="368">
        <v>1</v>
      </c>
      <c r="D331" s="434">
        <v>0</v>
      </c>
      <c r="E331" s="235">
        <v>6.0000000000000001E-3</v>
      </c>
      <c r="F331" s="235">
        <v>6.0000000000000001E-3</v>
      </c>
      <c r="G331" s="235">
        <v>6.0000000000000001E-3</v>
      </c>
    </row>
    <row r="332" spans="1:7" s="164" customFormat="1" ht="12.75" customHeight="1">
      <c r="A332" s="167">
        <v>0.5</v>
      </c>
      <c r="B332" s="284">
        <v>1</v>
      </c>
      <c r="C332" s="368">
        <v>1</v>
      </c>
      <c r="D332" s="434">
        <v>1</v>
      </c>
      <c r="E332" s="235">
        <v>4.0000000000000001E-3</v>
      </c>
      <c r="F332" s="235">
        <v>4.0000000000000001E-3</v>
      </c>
      <c r="G332" s="235">
        <v>6.0000000000000001E-3</v>
      </c>
    </row>
    <row r="333" spans="1:7" s="164" customFormat="1" ht="12.75" customHeight="1">
      <c r="A333" s="167">
        <v>0.5</v>
      </c>
      <c r="B333" s="284">
        <v>1</v>
      </c>
      <c r="C333" s="368">
        <v>2</v>
      </c>
      <c r="D333" s="434">
        <v>1</v>
      </c>
      <c r="E333" s="235">
        <v>4.0000000000000001E-3</v>
      </c>
      <c r="F333" s="235">
        <v>4.0000000000000001E-3</v>
      </c>
      <c r="G333" s="235">
        <v>6.0000000000000001E-3</v>
      </c>
    </row>
    <row r="334" spans="1:7" s="164" customFormat="1" ht="12.75" customHeight="1">
      <c r="A334" s="167">
        <v>0.5</v>
      </c>
      <c r="B334" s="284">
        <v>5</v>
      </c>
      <c r="C334" s="368">
        <v>0</v>
      </c>
      <c r="D334" s="434">
        <v>0</v>
      </c>
      <c r="E334" s="235">
        <v>6.0000000000000001E-3</v>
      </c>
      <c r="F334" s="235">
        <v>6.0000000000000001E-3</v>
      </c>
      <c r="G334" s="235">
        <v>6.0000000000000001E-3</v>
      </c>
    </row>
    <row r="335" spans="1:7" s="164" customFormat="1" ht="12.75" customHeight="1">
      <c r="A335" s="167">
        <v>0.5</v>
      </c>
      <c r="B335" s="284">
        <v>5</v>
      </c>
      <c r="C335" s="368">
        <v>1</v>
      </c>
      <c r="D335" s="434">
        <v>0</v>
      </c>
      <c r="E335" s="235">
        <v>6.0000000000000001E-3</v>
      </c>
      <c r="F335" s="235">
        <v>6.0000000000000001E-3</v>
      </c>
      <c r="G335" s="235">
        <v>6.0000000000000001E-3</v>
      </c>
    </row>
    <row r="336" spans="1:7" s="164" customFormat="1" ht="12.75" customHeight="1">
      <c r="A336" s="167">
        <v>0.5</v>
      </c>
      <c r="B336" s="284">
        <v>5</v>
      </c>
      <c r="C336" s="368">
        <v>1</v>
      </c>
      <c r="D336" s="434">
        <v>1</v>
      </c>
      <c r="E336" s="235">
        <v>4.0000000000000001E-3</v>
      </c>
      <c r="F336" s="235">
        <v>4.0000000000000001E-3</v>
      </c>
      <c r="G336" s="235">
        <v>6.0000000000000001E-3</v>
      </c>
    </row>
    <row r="337" spans="1:7" s="164" customFormat="1" ht="12.75" customHeight="1">
      <c r="A337" s="167">
        <v>0.5</v>
      </c>
      <c r="B337" s="284">
        <v>5</v>
      </c>
      <c r="C337" s="368">
        <v>2</v>
      </c>
      <c r="D337" s="434">
        <v>1</v>
      </c>
      <c r="E337" s="235">
        <v>4.0000000000000001E-3</v>
      </c>
      <c r="F337" s="235">
        <v>4.0000000000000001E-3</v>
      </c>
      <c r="G337" s="235">
        <v>6.0000000000000001E-3</v>
      </c>
    </row>
    <row r="338" spans="1:7" s="164" customFormat="1" ht="12.75" customHeight="1">
      <c r="A338" s="167"/>
      <c r="B338" s="284">
        <v>6</v>
      </c>
      <c r="C338" s="368">
        <v>0</v>
      </c>
      <c r="D338" s="434">
        <v>0</v>
      </c>
      <c r="E338" s="235">
        <v>6.0000000000000001E-3</v>
      </c>
      <c r="F338" s="235">
        <v>6.0000000000000001E-3</v>
      </c>
      <c r="G338" s="235">
        <v>6.0000000000000001E-3</v>
      </c>
    </row>
    <row r="339" spans="1:7" s="164" customFormat="1" ht="12.75" customHeight="1">
      <c r="A339" s="167"/>
      <c r="B339" s="284">
        <v>6</v>
      </c>
      <c r="C339" s="368">
        <v>1</v>
      </c>
      <c r="D339" s="434">
        <v>0</v>
      </c>
      <c r="E339" s="235">
        <v>6.0000000000000001E-3</v>
      </c>
      <c r="F339" s="235">
        <v>6.0000000000000001E-3</v>
      </c>
      <c r="G339" s="235">
        <v>6.0000000000000001E-3</v>
      </c>
    </row>
    <row r="340" spans="1:7" s="164" customFormat="1" ht="12.75" customHeight="1">
      <c r="A340" s="167"/>
      <c r="B340" s="284">
        <v>6</v>
      </c>
      <c r="C340" s="368">
        <v>1</v>
      </c>
      <c r="D340" s="434">
        <v>1</v>
      </c>
      <c r="E340" s="235">
        <v>4.0000000000000001E-3</v>
      </c>
      <c r="F340" s="235">
        <v>4.0000000000000001E-3</v>
      </c>
      <c r="G340" s="235">
        <v>6.0000000000000001E-3</v>
      </c>
    </row>
    <row r="341" spans="1:7" s="164" customFormat="1" ht="12.75" customHeight="1">
      <c r="A341" s="167"/>
      <c r="B341" s="284">
        <v>6</v>
      </c>
      <c r="C341" s="368">
        <v>2</v>
      </c>
      <c r="D341" s="434">
        <v>1</v>
      </c>
      <c r="E341" s="235">
        <v>4.0000000000000001E-3</v>
      </c>
      <c r="F341" s="235">
        <v>4.0000000000000001E-3</v>
      </c>
      <c r="G341" s="235">
        <v>6.0000000000000001E-3</v>
      </c>
    </row>
    <row r="343" spans="1:7" ht="12.75" customHeight="1">
      <c r="A343" s="164"/>
      <c r="B343" s="18" t="str">
        <f ca="1">GetNameRange(B344)</f>
        <v>quota_share_reinsured_aig</v>
      </c>
      <c r="C343" s="164"/>
      <c r="D343" s="164"/>
    </row>
    <row r="344" spans="1:7" ht="12.75" customHeight="1">
      <c r="A344" s="29" t="s">
        <v>161</v>
      </c>
      <c r="B344" s="169"/>
      <c r="C344" s="169" t="s">
        <v>47</v>
      </c>
      <c r="D344" s="2" t="s">
        <v>49</v>
      </c>
      <c r="E344" s="168" t="s">
        <v>642</v>
      </c>
      <c r="F344" s="168" t="s">
        <v>643</v>
      </c>
      <c r="G344" s="168" t="s">
        <v>612</v>
      </c>
    </row>
    <row r="345" spans="1:7" ht="12.75" customHeight="1">
      <c r="A345" s="29" t="s">
        <v>162</v>
      </c>
      <c r="B345" s="116" t="s">
        <v>320</v>
      </c>
      <c r="C345" s="276" t="s">
        <v>349</v>
      </c>
      <c r="D345" s="106"/>
      <c r="E345" s="347"/>
      <c r="F345" s="347"/>
      <c r="G345" s="347"/>
    </row>
    <row r="346" spans="1:7" ht="12.75" customHeight="1">
      <c r="A346" s="167">
        <v>0.8</v>
      </c>
      <c r="B346" s="282">
        <v>0</v>
      </c>
      <c r="C346" s="322">
        <v>0</v>
      </c>
      <c r="D346" s="320"/>
      <c r="E346" s="427">
        <v>0.8</v>
      </c>
      <c r="F346" s="427">
        <v>0.8</v>
      </c>
      <c r="G346" s="427">
        <v>0.8</v>
      </c>
    </row>
    <row r="347" spans="1:7" ht="12.75" customHeight="1">
      <c r="A347" s="167">
        <v>0.8</v>
      </c>
      <c r="B347" s="282">
        <v>1</v>
      </c>
      <c r="C347" s="322">
        <v>0</v>
      </c>
      <c r="D347" s="320"/>
      <c r="E347" s="427">
        <v>0.8</v>
      </c>
      <c r="F347" s="427">
        <v>0.8</v>
      </c>
      <c r="G347" s="427">
        <v>0.8</v>
      </c>
    </row>
    <row r="348" spans="1:7" ht="12.75" customHeight="1">
      <c r="A348" s="167">
        <v>0.8</v>
      </c>
      <c r="B348" s="282">
        <v>1</v>
      </c>
      <c r="C348" s="322">
        <v>1</v>
      </c>
      <c r="D348" s="320"/>
      <c r="E348" s="427">
        <v>0.8</v>
      </c>
      <c r="F348" s="427">
        <v>0.8</v>
      </c>
      <c r="G348" s="427">
        <v>0.8</v>
      </c>
    </row>
    <row r="349" spans="1:7" ht="12.75" customHeight="1">
      <c r="A349" s="167">
        <v>0.8</v>
      </c>
      <c r="B349" s="282">
        <v>2</v>
      </c>
      <c r="C349" s="322">
        <v>1</v>
      </c>
      <c r="D349" s="320"/>
      <c r="E349" s="427">
        <v>0.8</v>
      </c>
      <c r="F349" s="427">
        <v>0.8</v>
      </c>
      <c r="G349" s="427">
        <v>0.8</v>
      </c>
    </row>
    <row r="350" spans="1:7" ht="12.75" customHeight="1">
      <c r="A350" s="167"/>
      <c r="B350" s="164"/>
      <c r="C350" s="164"/>
      <c r="D350" s="164"/>
    </row>
    <row r="351" spans="1:7" ht="12.75" customHeight="1">
      <c r="A351" s="167"/>
      <c r="B351" s="18" t="str">
        <f ca="1">GetNameRange(B352)</f>
        <v>make_whole_settlement_adj_coef_greater_aig</v>
      </c>
      <c r="C351" s="164"/>
      <c r="D351" s="164"/>
    </row>
    <row r="352" spans="1:7" ht="12.75" customHeight="1">
      <c r="A352" s="43" t="s">
        <v>161</v>
      </c>
      <c r="B352" s="169"/>
      <c r="C352" s="169" t="s">
        <v>47</v>
      </c>
      <c r="D352" s="2" t="s">
        <v>49</v>
      </c>
      <c r="E352" s="168" t="s">
        <v>642</v>
      </c>
      <c r="F352" s="168" t="s">
        <v>643</v>
      </c>
      <c r="G352" s="168" t="s">
        <v>612</v>
      </c>
    </row>
    <row r="353" spans="1:7" ht="12.75" customHeight="1">
      <c r="A353" s="43" t="s">
        <v>162</v>
      </c>
      <c r="B353" s="116" t="s">
        <v>320</v>
      </c>
      <c r="C353" s="276" t="s">
        <v>349</v>
      </c>
      <c r="D353" s="106"/>
      <c r="E353" s="347"/>
      <c r="F353" s="347"/>
      <c r="G353" s="347"/>
    </row>
    <row r="354" spans="1:7" ht="12.75" customHeight="1">
      <c r="A354" s="167">
        <v>0.85</v>
      </c>
      <c r="B354" s="282">
        <v>0</v>
      </c>
      <c r="C354" s="322">
        <v>0</v>
      </c>
      <c r="D354" s="320"/>
      <c r="E354" s="428">
        <v>0.85</v>
      </c>
      <c r="F354" s="428">
        <v>0.85</v>
      </c>
      <c r="G354" s="428">
        <v>0.85</v>
      </c>
    </row>
    <row r="355" spans="1:7" ht="12.75" customHeight="1">
      <c r="A355" s="167">
        <v>0.85</v>
      </c>
      <c r="B355" s="282">
        <v>1</v>
      </c>
      <c r="C355" s="322">
        <v>0</v>
      </c>
      <c r="D355" s="320"/>
      <c r="E355" s="428">
        <v>1.35</v>
      </c>
      <c r="F355" s="428">
        <v>1.35</v>
      </c>
      <c r="G355" s="428">
        <v>1.35</v>
      </c>
    </row>
    <row r="356" spans="1:7" ht="12.75" customHeight="1">
      <c r="A356" s="167">
        <v>0.85</v>
      </c>
      <c r="B356" s="282">
        <v>1</v>
      </c>
      <c r="C356" s="322">
        <v>1</v>
      </c>
      <c r="D356" s="320"/>
      <c r="E356" s="428">
        <v>1.35</v>
      </c>
      <c r="F356" s="428">
        <v>1.35</v>
      </c>
      <c r="G356" s="428">
        <v>1.35</v>
      </c>
    </row>
    <row r="357" spans="1:7" ht="12.75" customHeight="1">
      <c r="A357" s="167">
        <v>0.85</v>
      </c>
      <c r="B357" s="282">
        <v>2</v>
      </c>
      <c r="C357" s="322">
        <v>1</v>
      </c>
      <c r="D357" s="320"/>
      <c r="E357" s="428">
        <v>1.85</v>
      </c>
      <c r="F357" s="428">
        <v>1.85</v>
      </c>
      <c r="G357" s="428">
        <v>1.85</v>
      </c>
    </row>
    <row r="358" spans="1:7" ht="12.75" customHeight="1">
      <c r="A358" s="167"/>
      <c r="B358" s="164"/>
      <c r="C358" s="164"/>
      <c r="D358" s="164"/>
    </row>
    <row r="359" spans="1:7" ht="12.75" customHeight="1">
      <c r="A359" s="167"/>
      <c r="B359" s="18" t="str">
        <f ca="1">GetNameRange(B360)</f>
        <v>make_whole_settlement_adj_coef_lower_aig</v>
      </c>
      <c r="C359" s="164"/>
      <c r="D359" s="164"/>
    </row>
    <row r="360" spans="1:7" ht="12.75" customHeight="1">
      <c r="A360" s="43" t="s">
        <v>161</v>
      </c>
      <c r="B360" s="169"/>
      <c r="C360" s="169" t="s">
        <v>47</v>
      </c>
      <c r="D360" s="2" t="s">
        <v>49</v>
      </c>
      <c r="E360" s="168" t="s">
        <v>642</v>
      </c>
      <c r="F360" s="168" t="s">
        <v>643</v>
      </c>
      <c r="G360" s="168" t="s">
        <v>612</v>
      </c>
    </row>
    <row r="361" spans="1:7" ht="12.75" customHeight="1">
      <c r="A361" s="43" t="s">
        <v>162</v>
      </c>
      <c r="B361" s="116" t="s">
        <v>320</v>
      </c>
      <c r="C361" s="276" t="s">
        <v>349</v>
      </c>
      <c r="D361" s="106"/>
      <c r="E361" s="347"/>
      <c r="F361" s="347"/>
      <c r="G361" s="347"/>
    </row>
    <row r="362" spans="1:7" ht="12.75" customHeight="1">
      <c r="A362" s="167">
        <v>0.85</v>
      </c>
      <c r="B362" s="282">
        <v>0</v>
      </c>
      <c r="C362" s="322">
        <v>0</v>
      </c>
      <c r="D362" s="320"/>
      <c r="E362" s="428">
        <v>0.85</v>
      </c>
      <c r="F362" s="428">
        <v>0.85</v>
      </c>
      <c r="G362" s="428">
        <v>0.85</v>
      </c>
    </row>
    <row r="363" spans="1:7" ht="12.75" customHeight="1">
      <c r="A363" s="167">
        <v>0.85</v>
      </c>
      <c r="B363" s="282">
        <v>1</v>
      </c>
      <c r="C363" s="322">
        <v>0</v>
      </c>
      <c r="D363" s="320"/>
      <c r="E363" s="428">
        <v>1.35</v>
      </c>
      <c r="F363" s="428">
        <v>1.35</v>
      </c>
      <c r="G363" s="428">
        <v>1.35</v>
      </c>
    </row>
    <row r="364" spans="1:7" ht="12.75" customHeight="1">
      <c r="A364" s="167">
        <v>0.85</v>
      </c>
      <c r="B364" s="282">
        <v>1</v>
      </c>
      <c r="C364" s="322">
        <v>1</v>
      </c>
      <c r="D364" s="320"/>
      <c r="E364" s="428">
        <v>1.35</v>
      </c>
      <c r="F364" s="428">
        <v>1.35</v>
      </c>
      <c r="G364" s="428">
        <v>1.35</v>
      </c>
    </row>
    <row r="365" spans="1:7" ht="12.75" customHeight="1">
      <c r="A365" s="167">
        <v>0.85</v>
      </c>
      <c r="B365" s="282">
        <v>2</v>
      </c>
      <c r="C365" s="322">
        <v>1</v>
      </c>
      <c r="D365" s="320"/>
      <c r="E365" s="428">
        <v>1.85</v>
      </c>
      <c r="F365" s="428">
        <v>1.85</v>
      </c>
      <c r="G365" s="428">
        <v>1.85</v>
      </c>
    </row>
    <row r="366" spans="1:7" ht="12.75" customHeight="1">
      <c r="A366" s="167"/>
      <c r="B366" s="18"/>
      <c r="C366" s="164"/>
      <c r="D366" s="164"/>
    </row>
    <row r="367" spans="1:7" ht="12.75" customHeight="1">
      <c r="A367" s="227"/>
      <c r="B367" s="18" t="str">
        <f ca="1">GetNameRange(B368)</f>
        <v>max_downward_deviation_aig</v>
      </c>
      <c r="C367" s="164"/>
      <c r="D367" s="164"/>
    </row>
    <row r="368" spans="1:7" ht="12.75" customHeight="1">
      <c r="A368" s="43" t="s">
        <v>161</v>
      </c>
      <c r="B368" s="169"/>
      <c r="C368" s="169" t="s">
        <v>47</v>
      </c>
      <c r="D368" s="2" t="s">
        <v>49</v>
      </c>
      <c r="E368" s="168" t="s">
        <v>642</v>
      </c>
      <c r="F368" s="168" t="s">
        <v>643</v>
      </c>
      <c r="G368" s="168" t="s">
        <v>612</v>
      </c>
    </row>
    <row r="369" spans="1:7" ht="12.75" customHeight="1">
      <c r="A369" s="43" t="s">
        <v>162</v>
      </c>
      <c r="B369" s="116" t="s">
        <v>320</v>
      </c>
      <c r="C369" s="276" t="s">
        <v>349</v>
      </c>
      <c r="D369" s="106"/>
      <c r="E369" s="347"/>
      <c r="F369" s="347"/>
      <c r="G369" s="347"/>
    </row>
    <row r="370" spans="1:7" ht="12.75" customHeight="1">
      <c r="A370" s="167">
        <v>5.0000000000000001E-3</v>
      </c>
      <c r="B370" s="282">
        <v>0</v>
      </c>
      <c r="C370" s="322">
        <v>0</v>
      </c>
      <c r="D370" s="320"/>
      <c r="E370" s="430">
        <v>5.0000000000000001E-3</v>
      </c>
      <c r="F370" s="430">
        <v>5.0000000000000001E-3</v>
      </c>
      <c r="G370" s="430">
        <v>5.0000000000000001E-3</v>
      </c>
    </row>
    <row r="371" spans="1:7" ht="12.75" customHeight="1">
      <c r="A371" s="167">
        <v>5.0000000000000001E-3</v>
      </c>
      <c r="B371" s="282">
        <v>1</v>
      </c>
      <c r="C371" s="322">
        <v>0</v>
      </c>
      <c r="D371" s="320"/>
      <c r="E371" s="430">
        <v>5.0000000000000001E-3</v>
      </c>
      <c r="F371" s="430">
        <v>5.0000000000000001E-3</v>
      </c>
      <c r="G371" s="430">
        <v>5.0000000000000001E-3</v>
      </c>
    </row>
    <row r="372" spans="1:7" ht="12.75" customHeight="1">
      <c r="A372" s="167">
        <v>5.0000000000000001E-3</v>
      </c>
      <c r="B372" s="282">
        <v>1</v>
      </c>
      <c r="C372" s="322">
        <v>1</v>
      </c>
      <c r="D372" s="320"/>
      <c r="E372" s="430">
        <v>5.0000000000000001E-3</v>
      </c>
      <c r="F372" s="430">
        <v>5.0000000000000001E-3</v>
      </c>
      <c r="G372" s="430">
        <v>5.0000000000000001E-3</v>
      </c>
    </row>
    <row r="373" spans="1:7" ht="12.75" customHeight="1">
      <c r="A373" s="167">
        <v>5.0000000000000001E-3</v>
      </c>
      <c r="B373" s="282">
        <v>2</v>
      </c>
      <c r="C373" s="322">
        <v>1</v>
      </c>
      <c r="D373" s="320"/>
      <c r="E373" s="430">
        <v>5.0000000000000001E-3</v>
      </c>
      <c r="F373" s="430">
        <v>5.0000000000000001E-3</v>
      </c>
      <c r="G373" s="430">
        <v>5.0000000000000001E-3</v>
      </c>
    </row>
    <row r="374" spans="1:7" ht="12.75" customHeight="1">
      <c r="A374" s="167"/>
      <c r="B374" s="164"/>
      <c r="C374" s="164"/>
      <c r="D374" s="164"/>
    </row>
    <row r="375" spans="1:7" ht="12.75" customHeight="1">
      <c r="A375" s="167"/>
      <c r="B375" s="18" t="str">
        <f ca="1">GetNameRange(B376)</f>
        <v>allowable_threshold_deviation_aig</v>
      </c>
      <c r="C375" s="164"/>
      <c r="D375" s="164"/>
    </row>
    <row r="376" spans="1:7" ht="12.75" customHeight="1">
      <c r="A376" s="43" t="s">
        <v>161</v>
      </c>
      <c r="B376" s="169"/>
      <c r="C376" s="169" t="s">
        <v>47</v>
      </c>
      <c r="D376" s="2" t="s">
        <v>49</v>
      </c>
      <c r="E376" s="168" t="s">
        <v>642</v>
      </c>
      <c r="F376" s="168" t="s">
        <v>643</v>
      </c>
      <c r="G376" s="168" t="s">
        <v>612</v>
      </c>
    </row>
    <row r="377" spans="1:7" ht="12.75" customHeight="1">
      <c r="A377" s="43" t="s">
        <v>162</v>
      </c>
      <c r="B377" s="116" t="s">
        <v>320</v>
      </c>
      <c r="C377" s="276" t="s">
        <v>349</v>
      </c>
      <c r="D377" s="106"/>
      <c r="E377" s="347"/>
      <c r="F377" s="347"/>
      <c r="G377" s="347"/>
    </row>
    <row r="378" spans="1:7" ht="12.75" customHeight="1">
      <c r="A378" s="167">
        <v>5.0000000000000001E-4</v>
      </c>
      <c r="B378" s="282">
        <v>0</v>
      </c>
      <c r="C378" s="322">
        <v>0</v>
      </c>
      <c r="D378" s="320"/>
      <c r="E378" s="430">
        <v>5.0000000000000001E-4</v>
      </c>
      <c r="F378" s="430">
        <v>5.0000000000000001E-4</v>
      </c>
      <c r="G378" s="430">
        <v>5.0000000000000001E-4</v>
      </c>
    </row>
    <row r="379" spans="1:7" ht="12.75" customHeight="1">
      <c r="A379" s="167">
        <v>5.0000000000000001E-4</v>
      </c>
      <c r="B379" s="282">
        <v>1</v>
      </c>
      <c r="C379" s="322">
        <v>0</v>
      </c>
      <c r="D379" s="320"/>
      <c r="E379" s="430">
        <v>5.0000000000000001E-4</v>
      </c>
      <c r="F379" s="430">
        <v>5.0000000000000001E-4</v>
      </c>
      <c r="G379" s="430">
        <v>5.0000000000000001E-4</v>
      </c>
    </row>
    <row r="380" spans="1:7" ht="12.75" customHeight="1">
      <c r="A380" s="167">
        <v>5.0000000000000001E-4</v>
      </c>
      <c r="B380" s="282">
        <v>1</v>
      </c>
      <c r="C380" s="322">
        <v>1</v>
      </c>
      <c r="D380" s="320"/>
      <c r="E380" s="430">
        <v>5.0000000000000001E-4</v>
      </c>
      <c r="F380" s="430">
        <v>5.0000000000000001E-4</v>
      </c>
      <c r="G380" s="430">
        <v>5.0000000000000001E-4</v>
      </c>
    </row>
    <row r="381" spans="1:7" ht="12.75" customHeight="1">
      <c r="A381" s="167">
        <v>5.0000000000000001E-4</v>
      </c>
      <c r="B381" s="282">
        <v>2</v>
      </c>
      <c r="C381" s="322">
        <v>1</v>
      </c>
      <c r="D381" s="320"/>
      <c r="E381" s="430">
        <v>5.0000000000000001E-4</v>
      </c>
      <c r="F381" s="430">
        <v>5.0000000000000001E-4</v>
      </c>
      <c r="G381" s="430">
        <v>5.0000000000000001E-4</v>
      </c>
    </row>
    <row r="383" spans="1:7" ht="12.75" customHeight="1">
      <c r="A383" s="29" t="s">
        <v>161</v>
      </c>
      <c r="B383" s="65" t="str">
        <f ca="1">GetNameRange(B384)</f>
        <v>rbc_c3_ann_risk_defn</v>
      </c>
    </row>
    <row r="384" spans="1:7" ht="12.75" customHeight="1">
      <c r="A384" s="29" t="s">
        <v>162</v>
      </c>
      <c r="B384" s="169"/>
      <c r="C384" s="169" t="s">
        <v>47</v>
      </c>
      <c r="D384" s="2" t="str">
        <f>D$4</f>
        <v>Value</v>
      </c>
      <c r="E384" s="168" t="s">
        <v>642</v>
      </c>
      <c r="F384" s="168" t="s">
        <v>643</v>
      </c>
      <c r="G384" s="168" t="s">
        <v>612</v>
      </c>
    </row>
    <row r="385" spans="1:7" ht="12.75" customHeight="1">
      <c r="B385" s="116" t="s">
        <v>496</v>
      </c>
      <c r="C385" s="276" t="s">
        <v>163</v>
      </c>
      <c r="D385" s="106"/>
      <c r="E385" s="347"/>
      <c r="F385" s="347"/>
      <c r="G385" s="347"/>
    </row>
    <row r="386" spans="1:7" ht="12.75" customHeight="1">
      <c r="B386" s="282">
        <v>0</v>
      </c>
      <c r="C386" s="322">
        <v>0</v>
      </c>
      <c r="D386" s="160"/>
      <c r="E386" s="515" t="s">
        <v>497</v>
      </c>
      <c r="F386" s="515" t="s">
        <v>497</v>
      </c>
      <c r="G386" s="163" t="s">
        <v>497</v>
      </c>
    </row>
    <row r="387" spans="1:7" s="155" customFormat="1" ht="12.75" customHeight="1">
      <c r="B387" s="282">
        <v>0</v>
      </c>
      <c r="C387" s="322">
        <v>4</v>
      </c>
      <c r="D387" s="160"/>
      <c r="E387" s="515" t="s">
        <v>497</v>
      </c>
      <c r="F387" s="515" t="s">
        <v>497</v>
      </c>
      <c r="G387" s="163" t="s">
        <v>497</v>
      </c>
    </row>
    <row r="388" spans="1:7" ht="12.75" customHeight="1">
      <c r="B388" s="282">
        <v>0</v>
      </c>
      <c r="C388" s="322">
        <v>5</v>
      </c>
      <c r="D388" s="160"/>
      <c r="E388" s="531" t="s">
        <v>497</v>
      </c>
      <c r="F388" s="531" t="s">
        <v>497</v>
      </c>
      <c r="G388" s="163" t="s">
        <v>497</v>
      </c>
    </row>
    <row r="389" spans="1:7" ht="12.75" customHeight="1">
      <c r="B389" s="282">
        <v>0</v>
      </c>
      <c r="C389" s="322">
        <v>6</v>
      </c>
      <c r="D389" s="160"/>
      <c r="E389" s="515" t="s">
        <v>498</v>
      </c>
      <c r="F389" s="515" t="s">
        <v>498</v>
      </c>
      <c r="G389" s="163" t="s">
        <v>497</v>
      </c>
    </row>
    <row r="390" spans="1:7" ht="12.75" customHeight="1">
      <c r="B390" s="282">
        <v>0</v>
      </c>
      <c r="C390" s="322">
        <v>7</v>
      </c>
      <c r="D390" s="160"/>
      <c r="E390" s="515" t="s">
        <v>498</v>
      </c>
      <c r="F390" s="515" t="s">
        <v>498</v>
      </c>
      <c r="G390" s="163" t="s">
        <v>497</v>
      </c>
    </row>
    <row r="391" spans="1:7" ht="12.75" customHeight="1">
      <c r="B391" s="282">
        <v>0</v>
      </c>
      <c r="C391" s="322">
        <v>8</v>
      </c>
      <c r="D391" s="160"/>
      <c r="E391" s="515" t="s">
        <v>498</v>
      </c>
      <c r="F391" s="515" t="s">
        <v>498</v>
      </c>
      <c r="G391" s="472" t="s">
        <v>497</v>
      </c>
    </row>
    <row r="392" spans="1:7" s="155" customFormat="1" ht="12.75" customHeight="1">
      <c r="B392" s="282">
        <v>0</v>
      </c>
      <c r="C392" s="322">
        <v>9</v>
      </c>
      <c r="D392" s="160"/>
      <c r="E392" s="515" t="s">
        <v>498</v>
      </c>
      <c r="F392" s="515" t="s">
        <v>498</v>
      </c>
      <c r="G392" s="472" t="s">
        <v>497</v>
      </c>
    </row>
    <row r="393" spans="1:7" ht="12.75" customHeight="1">
      <c r="B393" s="282">
        <v>0</v>
      </c>
      <c r="C393" s="322">
        <v>11</v>
      </c>
      <c r="D393" s="160"/>
      <c r="E393" s="515" t="s">
        <v>498</v>
      </c>
      <c r="F393" s="515" t="s">
        <v>498</v>
      </c>
      <c r="G393" s="163" t="s">
        <v>498</v>
      </c>
    </row>
    <row r="394" spans="1:7" ht="12.75" customHeight="1">
      <c r="B394" s="282">
        <v>1</v>
      </c>
      <c r="C394" s="322">
        <v>0</v>
      </c>
      <c r="D394" s="160"/>
      <c r="E394" s="515" t="s">
        <v>498</v>
      </c>
      <c r="F394" s="515" t="s">
        <v>498</v>
      </c>
      <c r="G394" s="163" t="s">
        <v>498</v>
      </c>
    </row>
    <row r="395" spans="1:7" s="155" customFormat="1" ht="12.75" customHeight="1">
      <c r="B395" s="155" t="str">
        <f ca="1">GetNameRange(B396)</f>
        <v>SNFL_Prospective_aig</v>
      </c>
      <c r="E395" s="167"/>
      <c r="F395" s="167"/>
      <c r="G395" s="167"/>
    </row>
    <row r="396" spans="1:7" s="155" customFormat="1" ht="12.75" customHeight="1">
      <c r="A396" s="164"/>
      <c r="B396" s="116"/>
      <c r="C396" s="198" t="s">
        <v>47</v>
      </c>
      <c r="D396" s="2" t="str">
        <f>D$4</f>
        <v>Value</v>
      </c>
      <c r="E396" s="168" t="s">
        <v>642</v>
      </c>
      <c r="F396" s="168" t="s">
        <v>643</v>
      </c>
      <c r="G396" s="168" t="s">
        <v>612</v>
      </c>
    </row>
    <row r="397" spans="1:7" s="155" customFormat="1" ht="12.75" customHeight="1">
      <c r="A397" s="167">
        <v>70</v>
      </c>
      <c r="B397" s="164" t="s">
        <v>570</v>
      </c>
      <c r="C397" s="164"/>
      <c r="D397" s="164"/>
      <c r="E397" s="167">
        <v>70</v>
      </c>
      <c r="F397" s="167">
        <v>70</v>
      </c>
      <c r="G397" s="167">
        <v>70</v>
      </c>
    </row>
    <row r="398" spans="1:7" s="155" customFormat="1" ht="12.75" customHeight="1">
      <c r="A398" s="167">
        <v>10</v>
      </c>
      <c r="B398" s="164" t="s">
        <v>571</v>
      </c>
      <c r="C398" s="164"/>
      <c r="D398" s="164"/>
      <c r="E398" s="167">
        <v>10</v>
      </c>
      <c r="F398" s="167">
        <v>10</v>
      </c>
      <c r="G398" s="167">
        <v>10</v>
      </c>
    </row>
    <row r="399" spans="1:7" s="155" customFormat="1" ht="12.75" customHeight="1">
      <c r="A399" s="429">
        <v>0.01</v>
      </c>
      <c r="B399" s="164" t="s">
        <v>572</v>
      </c>
      <c r="C399" s="164"/>
      <c r="D399" s="164"/>
      <c r="E399" s="167">
        <v>0.01</v>
      </c>
      <c r="F399" s="167">
        <v>0.01</v>
      </c>
      <c r="G399" s="167">
        <v>0.01</v>
      </c>
    </row>
    <row r="400" spans="1:7" s="155" customFormat="1" ht="12.75" customHeight="1">
      <c r="E400" s="167"/>
      <c r="F400" s="167"/>
      <c r="G400" s="167"/>
    </row>
    <row r="401" spans="2:7" ht="12.75" customHeight="1">
      <c r="B401" s="65" t="s">
        <v>585</v>
      </c>
    </row>
    <row r="402" spans="2:7" s="164" customFormat="1" ht="12.75" customHeight="1">
      <c r="B402" s="169"/>
      <c r="C402" s="169" t="s">
        <v>47</v>
      </c>
      <c r="D402" s="2" t="str">
        <f>D$4</f>
        <v>Value</v>
      </c>
      <c r="E402" s="168" t="s">
        <v>642</v>
      </c>
      <c r="F402" s="168" t="s">
        <v>643</v>
      </c>
      <c r="G402" s="168" t="s">
        <v>612</v>
      </c>
    </row>
    <row r="403" spans="2:7" s="164" customFormat="1" ht="12.75" customHeight="1">
      <c r="B403" s="116" t="s">
        <v>315</v>
      </c>
      <c r="C403" s="367" t="s">
        <v>584</v>
      </c>
      <c r="D403" s="106"/>
      <c r="E403" s="347"/>
      <c r="F403" s="347"/>
      <c r="G403" s="347"/>
    </row>
    <row r="404" spans="2:7" s="164" customFormat="1" ht="12.75" customHeight="1">
      <c r="B404" s="282" t="s">
        <v>313</v>
      </c>
      <c r="C404" s="322">
        <v>1</v>
      </c>
      <c r="D404" s="320"/>
      <c r="E404" s="450">
        <v>1E-3</v>
      </c>
      <c r="F404" s="450">
        <v>1E-3</v>
      </c>
      <c r="G404" s="450">
        <v>1E-3</v>
      </c>
    </row>
    <row r="405" spans="2:7" s="164" customFormat="1" ht="12.75" customHeight="1">
      <c r="B405" s="282" t="s">
        <v>313</v>
      </c>
      <c r="C405" s="322">
        <v>2</v>
      </c>
      <c r="D405" s="320"/>
      <c r="E405" s="450">
        <v>1E-3</v>
      </c>
      <c r="F405" s="450">
        <v>1E-3</v>
      </c>
      <c r="G405" s="450">
        <v>1E-3</v>
      </c>
    </row>
    <row r="406" spans="2:7" s="164" customFormat="1" ht="12.75" customHeight="1">
      <c r="B406" s="282" t="s">
        <v>297</v>
      </c>
      <c r="C406" s="322">
        <v>1</v>
      </c>
      <c r="D406" s="320"/>
      <c r="E406" s="450">
        <v>1E-3</v>
      </c>
      <c r="F406" s="450">
        <v>1E-3</v>
      </c>
      <c r="G406" s="450">
        <v>1E-3</v>
      </c>
    </row>
    <row r="407" spans="2:7" s="164" customFormat="1" ht="12.75" customHeight="1">
      <c r="B407" s="282" t="s">
        <v>297</v>
      </c>
      <c r="C407" s="322">
        <v>2</v>
      </c>
      <c r="D407" s="320"/>
      <c r="E407" s="450">
        <v>1E-3</v>
      </c>
      <c r="F407" s="450">
        <v>1E-3</v>
      </c>
      <c r="G407" s="450">
        <v>1E-3</v>
      </c>
    </row>
    <row r="408" spans="2:7" s="164" customFormat="1" ht="12.75" customHeight="1">
      <c r="B408" s="282" t="s">
        <v>298</v>
      </c>
      <c r="C408" s="322">
        <v>1</v>
      </c>
      <c r="D408" s="320"/>
      <c r="E408" s="450">
        <v>1E-3</v>
      </c>
      <c r="F408" s="450">
        <v>1E-3</v>
      </c>
      <c r="G408" s="450">
        <v>1E-3</v>
      </c>
    </row>
    <row r="409" spans="2:7" s="164" customFormat="1" ht="12.75" customHeight="1">
      <c r="B409" s="282" t="s">
        <v>298</v>
      </c>
      <c r="C409" s="322">
        <v>2</v>
      </c>
      <c r="D409" s="320"/>
      <c r="E409" s="450">
        <v>1E-3</v>
      </c>
      <c r="F409" s="450">
        <v>1E-3</v>
      </c>
      <c r="G409" s="450">
        <v>1E-3</v>
      </c>
    </row>
    <row r="411" spans="2:7" ht="12.75" customHeight="1">
      <c r="B411" s="155" t="str">
        <f ca="1">GetNameRange(B412)</f>
        <v>xol_deal_switch_aig</v>
      </c>
    </row>
    <row r="412" spans="2:7" ht="12.75" customHeight="1">
      <c r="B412" s="169"/>
      <c r="C412" s="169" t="s">
        <v>47</v>
      </c>
      <c r="D412" s="2" t="str">
        <f>D$4</f>
        <v>Value</v>
      </c>
      <c r="E412" s="168" t="s">
        <v>642</v>
      </c>
      <c r="F412" s="168" t="s">
        <v>643</v>
      </c>
      <c r="G412" s="168" t="s">
        <v>612</v>
      </c>
    </row>
    <row r="413" spans="2:7" ht="12.75" customHeight="1">
      <c r="B413" s="116" t="s">
        <v>315</v>
      </c>
      <c r="C413" s="116" t="s">
        <v>484</v>
      </c>
      <c r="D413" s="106"/>
      <c r="E413" s="347"/>
      <c r="F413" s="347"/>
      <c r="G413" s="347"/>
    </row>
    <row r="414" spans="2:7" ht="12.75" customHeight="1">
      <c r="B414" s="282" t="s">
        <v>313</v>
      </c>
      <c r="C414" s="282" t="s">
        <v>485</v>
      </c>
      <c r="D414" s="320"/>
      <c r="E414" s="455" t="s">
        <v>39</v>
      </c>
      <c r="F414" s="455" t="s">
        <v>39</v>
      </c>
      <c r="G414" s="455" t="s">
        <v>39</v>
      </c>
    </row>
    <row r="415" spans="2:7" ht="12.75" customHeight="1">
      <c r="B415" s="282" t="s">
        <v>297</v>
      </c>
      <c r="C415" s="282" t="s">
        <v>486</v>
      </c>
      <c r="D415" s="320"/>
      <c r="E415" s="455" t="s">
        <v>39</v>
      </c>
      <c r="F415" s="455" t="s">
        <v>39</v>
      </c>
      <c r="G415" s="455" t="s">
        <v>39</v>
      </c>
    </row>
    <row r="416" spans="2:7" ht="12.75" customHeight="1">
      <c r="B416" s="282" t="s">
        <v>297</v>
      </c>
      <c r="C416" s="282" t="s">
        <v>487</v>
      </c>
      <c r="D416" s="320"/>
      <c r="E416" s="455" t="s">
        <v>39</v>
      </c>
      <c r="F416" s="455" t="s">
        <v>39</v>
      </c>
      <c r="G416" s="455" t="s">
        <v>39</v>
      </c>
    </row>
    <row r="417" spans="2:7" ht="12.75" customHeight="1">
      <c r="B417" s="282" t="s">
        <v>298</v>
      </c>
      <c r="C417" s="282" t="s">
        <v>486</v>
      </c>
      <c r="D417" s="320"/>
      <c r="E417" s="455" t="s">
        <v>39</v>
      </c>
      <c r="F417" s="455" t="s">
        <v>39</v>
      </c>
      <c r="G417" s="455" t="s">
        <v>39</v>
      </c>
    </row>
    <row r="418" spans="2:7" ht="12.75" customHeight="1">
      <c r="B418" s="282" t="s">
        <v>436</v>
      </c>
      <c r="C418" s="282" t="s">
        <v>486</v>
      </c>
      <c r="D418" s="320"/>
      <c r="E418" s="455" t="s">
        <v>39</v>
      </c>
      <c r="F418" s="455" t="s">
        <v>39</v>
      </c>
      <c r="G418" s="455" t="s">
        <v>39</v>
      </c>
    </row>
    <row r="420" spans="2:7" ht="12.75" customHeight="1">
      <c r="B420" s="18" t="str">
        <f ca="1">GetNameRange(C421)</f>
        <v>xol_nb_eco_res_ratio_aig</v>
      </c>
      <c r="D420" s="155"/>
    </row>
    <row r="421" spans="2:7" ht="12.75" customHeight="1">
      <c r="B421" s="169"/>
      <c r="C421" s="169"/>
      <c r="D421" s="169" t="s">
        <v>47</v>
      </c>
      <c r="E421" s="168" t="s">
        <v>642</v>
      </c>
      <c r="F421" s="168" t="s">
        <v>643</v>
      </c>
      <c r="G421" s="168" t="s">
        <v>612</v>
      </c>
    </row>
    <row r="422" spans="2:7" ht="12.75" customHeight="1">
      <c r="B422" s="116" t="s">
        <v>610</v>
      </c>
      <c r="C422" s="116" t="s">
        <v>611</v>
      </c>
      <c r="D422" s="276"/>
      <c r="E422" s="347"/>
      <c r="F422" s="347"/>
      <c r="G422" s="347"/>
    </row>
    <row r="423" spans="2:7" ht="12.75" customHeight="1">
      <c r="B423" s="463">
        <v>2020</v>
      </c>
      <c r="C423" s="284">
        <v>4</v>
      </c>
      <c r="D423" s="322"/>
      <c r="E423" s="464">
        <v>0.03</v>
      </c>
      <c r="F423" s="464">
        <v>0.03</v>
      </c>
      <c r="G423" s="464">
        <v>0.03</v>
      </c>
    </row>
    <row r="424" spans="2:7" ht="12.75" customHeight="1">
      <c r="B424" s="463">
        <v>2021</v>
      </c>
      <c r="C424" s="284">
        <v>1</v>
      </c>
      <c r="D424" s="322"/>
      <c r="E424" s="464">
        <v>3.04E-2</v>
      </c>
      <c r="F424" s="464">
        <v>3.04E-2</v>
      </c>
      <c r="G424" s="464">
        <v>3.04E-2</v>
      </c>
    </row>
    <row r="425" spans="2:7" ht="12.75" customHeight="1">
      <c r="B425" s="463">
        <v>2021</v>
      </c>
      <c r="C425" s="284">
        <v>2</v>
      </c>
      <c r="D425" s="322"/>
      <c r="E425" s="464">
        <v>3.0700000000000002E-2</v>
      </c>
      <c r="F425" s="464">
        <v>3.0700000000000002E-2</v>
      </c>
      <c r="G425" s="464">
        <v>3.0700000000000002E-2</v>
      </c>
    </row>
    <row r="426" spans="2:7" ht="12.75" customHeight="1">
      <c r="B426" s="463">
        <v>2021</v>
      </c>
      <c r="C426" s="284">
        <v>3</v>
      </c>
      <c r="D426" s="322"/>
      <c r="E426" s="464">
        <v>3.1099999999999999E-2</v>
      </c>
      <c r="F426" s="464">
        <v>3.1099999999999999E-2</v>
      </c>
      <c r="G426" s="464">
        <v>3.1099999999999999E-2</v>
      </c>
    </row>
    <row r="427" spans="2:7" ht="12.75" customHeight="1">
      <c r="B427" s="463">
        <v>2021</v>
      </c>
      <c r="C427" s="284">
        <v>4</v>
      </c>
      <c r="D427" s="322"/>
      <c r="E427" s="464">
        <v>3.9300000000000002E-2</v>
      </c>
      <c r="F427" s="464">
        <v>3.9300000000000002E-2</v>
      </c>
      <c r="G427" s="464">
        <v>3.9300000000000002E-2</v>
      </c>
    </row>
    <row r="428" spans="2:7" ht="12.75" customHeight="1">
      <c r="B428" s="463">
        <v>2022</v>
      </c>
      <c r="C428" s="284">
        <v>1</v>
      </c>
      <c r="D428" s="322"/>
      <c r="E428" s="464">
        <v>3.9800000000000002E-2</v>
      </c>
      <c r="F428" s="464">
        <v>3.9800000000000002E-2</v>
      </c>
      <c r="G428" s="464">
        <v>3.9800000000000002E-2</v>
      </c>
    </row>
    <row r="429" spans="2:7" ht="12.75" customHeight="1">
      <c r="B429" s="463">
        <v>2022</v>
      </c>
      <c r="C429" s="284">
        <v>2</v>
      </c>
      <c r="D429" s="322"/>
      <c r="E429" s="464">
        <v>4.0300000000000002E-2</v>
      </c>
      <c r="F429" s="464">
        <v>4.0300000000000002E-2</v>
      </c>
      <c r="G429" s="464">
        <v>4.0300000000000002E-2</v>
      </c>
    </row>
    <row r="430" spans="2:7" ht="12.75" customHeight="1">
      <c r="B430" s="463">
        <v>2022</v>
      </c>
      <c r="C430" s="284">
        <v>3</v>
      </c>
      <c r="D430" s="322"/>
      <c r="E430" s="464">
        <v>4.0800000000000003E-2</v>
      </c>
      <c r="F430" s="464">
        <v>4.0800000000000003E-2</v>
      </c>
      <c r="G430" s="464">
        <v>4.0800000000000003E-2</v>
      </c>
    </row>
    <row r="431" spans="2:7" ht="12.75" customHeight="1">
      <c r="B431" s="463">
        <v>2022</v>
      </c>
      <c r="C431" s="284">
        <v>4</v>
      </c>
      <c r="D431" s="322"/>
      <c r="E431" s="464">
        <v>4.8899999999999999E-2</v>
      </c>
      <c r="F431" s="464">
        <v>4.8899999999999999E-2</v>
      </c>
      <c r="G431" s="464">
        <v>4.8899999999999999E-2</v>
      </c>
    </row>
    <row r="432" spans="2:7" ht="12.75" customHeight="1">
      <c r="B432" s="463">
        <v>2023</v>
      </c>
      <c r="C432" s="284">
        <v>1</v>
      </c>
      <c r="D432" s="322"/>
      <c r="E432" s="464">
        <v>4.9500000000000002E-2</v>
      </c>
      <c r="F432" s="464">
        <v>4.9500000000000002E-2</v>
      </c>
      <c r="G432" s="464">
        <v>4.9500000000000002E-2</v>
      </c>
    </row>
    <row r="433" spans="2:7" ht="12.75" customHeight="1">
      <c r="B433" s="463">
        <v>2023</v>
      </c>
      <c r="C433" s="284">
        <v>2</v>
      </c>
      <c r="D433" s="322"/>
      <c r="E433" s="464">
        <v>5.0200000000000002E-2</v>
      </c>
      <c r="F433" s="464">
        <v>5.0200000000000002E-2</v>
      </c>
      <c r="G433" s="464">
        <v>5.0200000000000002E-2</v>
      </c>
    </row>
    <row r="434" spans="2:7" ht="12.75" customHeight="1">
      <c r="B434" s="463">
        <v>2023</v>
      </c>
      <c r="C434" s="284">
        <v>3</v>
      </c>
      <c r="D434" s="322"/>
      <c r="E434" s="464">
        <v>5.0799999999999998E-2</v>
      </c>
      <c r="F434" s="464">
        <v>5.0799999999999998E-2</v>
      </c>
      <c r="G434" s="464">
        <v>5.0799999999999998E-2</v>
      </c>
    </row>
    <row r="435" spans="2:7" ht="12.75" customHeight="1">
      <c r="B435" s="463">
        <v>2023</v>
      </c>
      <c r="C435" s="284">
        <v>4</v>
      </c>
      <c r="D435" s="322"/>
      <c r="E435" s="464">
        <v>5.8999999999999997E-2</v>
      </c>
      <c r="F435" s="464">
        <v>5.8999999999999997E-2</v>
      </c>
      <c r="G435" s="464">
        <v>5.8999999999999997E-2</v>
      </c>
    </row>
    <row r="436" spans="2:7" ht="12.75" customHeight="1">
      <c r="B436" s="463">
        <v>2024</v>
      </c>
      <c r="C436" s="284">
        <v>1</v>
      </c>
      <c r="D436" s="322"/>
      <c r="E436" s="464">
        <v>5.9799999999999999E-2</v>
      </c>
      <c r="F436" s="464">
        <v>5.9799999999999999E-2</v>
      </c>
      <c r="G436" s="464">
        <v>5.9799999999999999E-2</v>
      </c>
    </row>
    <row r="437" spans="2:7" ht="12.75" customHeight="1">
      <c r="B437" s="463">
        <v>2024</v>
      </c>
      <c r="C437" s="284">
        <v>2</v>
      </c>
      <c r="D437" s="322"/>
      <c r="E437" s="464">
        <v>6.0600000000000001E-2</v>
      </c>
      <c r="F437" s="464">
        <v>6.0600000000000001E-2</v>
      </c>
      <c r="G437" s="464">
        <v>6.0600000000000001E-2</v>
      </c>
    </row>
    <row r="438" spans="2:7" ht="12.75" customHeight="1">
      <c r="B438" s="463">
        <v>2024</v>
      </c>
      <c r="C438" s="284">
        <v>3</v>
      </c>
      <c r="D438" s="322"/>
      <c r="E438" s="464">
        <v>6.1400000000000003E-2</v>
      </c>
      <c r="F438" s="464">
        <v>6.1400000000000003E-2</v>
      </c>
      <c r="G438" s="464">
        <v>6.1400000000000003E-2</v>
      </c>
    </row>
    <row r="439" spans="2:7" ht="12.75" customHeight="1">
      <c r="B439" s="463">
        <v>2024</v>
      </c>
      <c r="C439" s="284">
        <v>4</v>
      </c>
      <c r="D439" s="322"/>
      <c r="E439" s="464">
        <v>6.9699999999999998E-2</v>
      </c>
      <c r="F439" s="464">
        <v>6.9699999999999998E-2</v>
      </c>
      <c r="G439" s="464">
        <v>6.9699999999999998E-2</v>
      </c>
    </row>
    <row r="440" spans="2:7" ht="12.75" customHeight="1">
      <c r="B440" s="463">
        <v>2025</v>
      </c>
      <c r="C440" s="284">
        <v>1</v>
      </c>
      <c r="D440" s="322"/>
      <c r="E440" s="464">
        <v>7.0699999999999999E-2</v>
      </c>
      <c r="F440" s="464">
        <v>7.0699999999999999E-2</v>
      </c>
      <c r="G440" s="464">
        <v>7.0699999999999999E-2</v>
      </c>
    </row>
    <row r="441" spans="2:7" ht="12.75" customHeight="1">
      <c r="B441" s="463">
        <v>2025</v>
      </c>
      <c r="C441" s="284">
        <v>2</v>
      </c>
      <c r="D441" s="322"/>
      <c r="E441" s="464">
        <v>7.17E-2</v>
      </c>
      <c r="F441" s="464">
        <v>7.17E-2</v>
      </c>
      <c r="G441" s="464">
        <v>7.17E-2</v>
      </c>
    </row>
    <row r="442" spans="2:7" ht="12.75" customHeight="1">
      <c r="B442" s="463">
        <v>2025</v>
      </c>
      <c r="C442" s="284">
        <v>3</v>
      </c>
      <c r="D442" s="322"/>
      <c r="E442" s="464">
        <v>7.2700000000000001E-2</v>
      </c>
      <c r="F442" s="464">
        <v>7.2700000000000001E-2</v>
      </c>
      <c r="G442" s="464">
        <v>7.2700000000000001E-2</v>
      </c>
    </row>
    <row r="443" spans="2:7" ht="12.75" customHeight="1">
      <c r="B443" s="463">
        <v>2025</v>
      </c>
      <c r="C443" s="284">
        <v>4</v>
      </c>
      <c r="D443" s="322"/>
      <c r="E443" s="464">
        <v>8.1100000000000005E-2</v>
      </c>
      <c r="F443" s="464">
        <v>8.1100000000000005E-2</v>
      </c>
      <c r="G443" s="464">
        <v>8.1100000000000005E-2</v>
      </c>
    </row>
    <row r="444" spans="2:7" ht="12.75" customHeight="1">
      <c r="B444" s="463">
        <v>2026</v>
      </c>
      <c r="C444" s="284">
        <v>1</v>
      </c>
      <c r="D444" s="322"/>
      <c r="E444" s="464">
        <v>8.2299999999999998E-2</v>
      </c>
      <c r="F444" s="464">
        <v>8.2299999999999998E-2</v>
      </c>
      <c r="G444" s="464">
        <v>8.2299999999999998E-2</v>
      </c>
    </row>
    <row r="445" spans="2:7" ht="12.75" customHeight="1">
      <c r="B445" s="463">
        <v>2026</v>
      </c>
      <c r="C445" s="284">
        <v>2</v>
      </c>
      <c r="D445" s="322"/>
      <c r="E445" s="464">
        <v>8.3500000000000005E-2</v>
      </c>
      <c r="F445" s="464">
        <v>8.3500000000000005E-2</v>
      </c>
      <c r="G445" s="464">
        <v>8.3500000000000005E-2</v>
      </c>
    </row>
    <row r="446" spans="2:7" ht="12.75" customHeight="1">
      <c r="B446" s="463">
        <v>2026</v>
      </c>
      <c r="C446" s="284">
        <v>3</v>
      </c>
      <c r="D446" s="322"/>
      <c r="E446" s="464">
        <v>8.48E-2</v>
      </c>
      <c r="F446" s="464">
        <v>8.48E-2</v>
      </c>
      <c r="G446" s="464">
        <v>8.48E-2</v>
      </c>
    </row>
    <row r="447" spans="2:7" ht="12.75" customHeight="1">
      <c r="B447" s="463">
        <v>2026</v>
      </c>
      <c r="C447" s="284">
        <v>4</v>
      </c>
      <c r="D447" s="322"/>
      <c r="E447" s="464">
        <v>9.3299999999999994E-2</v>
      </c>
      <c r="F447" s="464">
        <v>9.3299999999999994E-2</v>
      </c>
      <c r="G447" s="464">
        <v>9.3299999999999994E-2</v>
      </c>
    </row>
    <row r="448" spans="2:7" ht="12.75" customHeight="1">
      <c r="B448" s="463">
        <v>2027</v>
      </c>
      <c r="C448" s="284">
        <v>1</v>
      </c>
      <c r="D448" s="322"/>
      <c r="E448" s="464">
        <v>9.4899999999999998E-2</v>
      </c>
      <c r="F448" s="464">
        <v>9.4899999999999998E-2</v>
      </c>
      <c r="G448" s="464">
        <v>9.4899999999999998E-2</v>
      </c>
    </row>
    <row r="449" spans="2:7" ht="12.75" customHeight="1">
      <c r="B449" s="463">
        <v>2027</v>
      </c>
      <c r="C449" s="284">
        <v>2</v>
      </c>
      <c r="D449" s="322"/>
      <c r="E449" s="464">
        <v>9.6500000000000002E-2</v>
      </c>
      <c r="F449" s="464">
        <v>9.6500000000000002E-2</v>
      </c>
      <c r="G449" s="464">
        <v>9.6500000000000002E-2</v>
      </c>
    </row>
    <row r="450" spans="2:7" ht="12.75" customHeight="1">
      <c r="B450" s="463">
        <v>2027</v>
      </c>
      <c r="C450" s="284">
        <v>3</v>
      </c>
      <c r="D450" s="322"/>
      <c r="E450" s="464">
        <v>9.8100000000000007E-2</v>
      </c>
      <c r="F450" s="464">
        <v>9.8100000000000007E-2</v>
      </c>
      <c r="G450" s="464">
        <v>9.8100000000000007E-2</v>
      </c>
    </row>
    <row r="451" spans="2:7" ht="12.75" customHeight="1">
      <c r="B451" s="463">
        <v>2027</v>
      </c>
      <c r="C451" s="284">
        <v>4</v>
      </c>
      <c r="D451" s="322"/>
      <c r="E451" s="464">
        <v>0.107</v>
      </c>
      <c r="F451" s="464">
        <v>0.107</v>
      </c>
      <c r="G451" s="464">
        <v>0.107</v>
      </c>
    </row>
    <row r="452" spans="2:7" ht="12.75" customHeight="1">
      <c r="B452" s="463">
        <v>2028</v>
      </c>
      <c r="C452" s="284">
        <v>1</v>
      </c>
      <c r="D452" s="322"/>
      <c r="E452" s="464">
        <v>0.10929999999999999</v>
      </c>
      <c r="F452" s="464">
        <v>0.10929999999999999</v>
      </c>
      <c r="G452" s="464">
        <v>0.10929999999999999</v>
      </c>
    </row>
    <row r="453" spans="2:7" ht="12.75" customHeight="1">
      <c r="B453" s="463">
        <v>2028</v>
      </c>
      <c r="C453" s="284">
        <v>2</v>
      </c>
      <c r="D453" s="322"/>
      <c r="E453" s="464">
        <v>0.11169999999999999</v>
      </c>
      <c r="F453" s="464">
        <v>0.11169999999999999</v>
      </c>
      <c r="G453" s="464">
        <v>0.11169999999999999</v>
      </c>
    </row>
    <row r="454" spans="2:7" ht="12.75" customHeight="1">
      <c r="B454" s="463">
        <v>2028</v>
      </c>
      <c r="C454" s="284">
        <v>3</v>
      </c>
      <c r="D454" s="322"/>
      <c r="E454" s="464">
        <v>0.1142</v>
      </c>
      <c r="F454" s="464">
        <v>0.1142</v>
      </c>
      <c r="G454" s="464">
        <v>0.1142</v>
      </c>
    </row>
    <row r="455" spans="2:7" ht="12.75" customHeight="1">
      <c r="B455" s="463">
        <v>2028</v>
      </c>
      <c r="C455" s="284">
        <v>4</v>
      </c>
      <c r="D455" s="322"/>
      <c r="E455" s="464">
        <v>0.1235</v>
      </c>
      <c r="F455" s="464">
        <v>0.1235</v>
      </c>
      <c r="G455" s="464">
        <v>0.1235</v>
      </c>
    </row>
    <row r="456" spans="2:7" ht="12.75" customHeight="1">
      <c r="B456" s="463">
        <v>2029</v>
      </c>
      <c r="C456" s="284">
        <v>1</v>
      </c>
      <c r="D456" s="322"/>
      <c r="E456" s="464">
        <v>0.12570000000000001</v>
      </c>
      <c r="F456" s="464">
        <v>0.12570000000000001</v>
      </c>
      <c r="G456" s="464">
        <v>0.12570000000000001</v>
      </c>
    </row>
    <row r="457" spans="2:7" ht="12.75" customHeight="1">
      <c r="B457" s="463">
        <v>2029</v>
      </c>
      <c r="C457" s="284">
        <v>2</v>
      </c>
      <c r="D457" s="322"/>
      <c r="E457" s="464">
        <v>0.12809999999999999</v>
      </c>
      <c r="F457" s="464">
        <v>0.12809999999999999</v>
      </c>
      <c r="G457" s="464">
        <v>0.12809999999999999</v>
      </c>
    </row>
    <row r="458" spans="2:7" ht="12.75" customHeight="1">
      <c r="B458" s="463">
        <v>2029</v>
      </c>
      <c r="C458" s="284">
        <v>3</v>
      </c>
      <c r="D458" s="322"/>
      <c r="E458" s="464">
        <v>0.1305</v>
      </c>
      <c r="F458" s="464">
        <v>0.1305</v>
      </c>
      <c r="G458" s="464">
        <v>0.1305</v>
      </c>
    </row>
    <row r="459" spans="2:7" ht="12.75" customHeight="1">
      <c r="B459" s="463">
        <v>2029</v>
      </c>
      <c r="C459" s="284">
        <v>4</v>
      </c>
      <c r="D459" s="322"/>
      <c r="E459" s="464">
        <v>0.13980000000000001</v>
      </c>
      <c r="F459" s="464">
        <v>0.13980000000000001</v>
      </c>
      <c r="G459" s="464">
        <v>0.13980000000000001</v>
      </c>
    </row>
    <row r="460" spans="2:7" ht="12.75" customHeight="1">
      <c r="B460" s="463">
        <v>2030</v>
      </c>
      <c r="C460" s="284">
        <v>1</v>
      </c>
      <c r="D460" s="322"/>
      <c r="E460" s="464">
        <v>0.14249999999999999</v>
      </c>
      <c r="F460" s="464">
        <v>0.14249999999999999</v>
      </c>
      <c r="G460" s="464">
        <v>0.14249999999999999</v>
      </c>
    </row>
    <row r="461" spans="2:7" ht="12.75" customHeight="1">
      <c r="B461" s="463">
        <v>2030</v>
      </c>
      <c r="C461" s="284">
        <v>2</v>
      </c>
      <c r="D461" s="322"/>
      <c r="E461" s="464">
        <v>0.14530000000000001</v>
      </c>
      <c r="F461" s="464">
        <v>0.14530000000000001</v>
      </c>
      <c r="G461" s="464">
        <v>0.14530000000000001</v>
      </c>
    </row>
    <row r="462" spans="2:7" ht="12.75" customHeight="1">
      <c r="B462" s="463">
        <v>2030</v>
      </c>
      <c r="C462" s="284">
        <v>3</v>
      </c>
      <c r="D462" s="322"/>
      <c r="E462" s="464">
        <v>0.1482</v>
      </c>
      <c r="F462" s="464">
        <v>0.1482</v>
      </c>
      <c r="G462" s="464">
        <v>0.1482</v>
      </c>
    </row>
    <row r="463" spans="2:7" ht="12.75" customHeight="1">
      <c r="B463" s="463">
        <v>2030</v>
      </c>
      <c r="C463" s="284">
        <v>4</v>
      </c>
      <c r="D463" s="322"/>
      <c r="E463" s="464">
        <v>0.15060000000000001</v>
      </c>
      <c r="F463" s="464">
        <v>0.15060000000000001</v>
      </c>
      <c r="G463" s="464">
        <v>0.15060000000000001</v>
      </c>
    </row>
    <row r="464" spans="2:7" ht="12.75" customHeight="1">
      <c r="B464" s="463">
        <v>2031</v>
      </c>
      <c r="C464" s="284">
        <v>1</v>
      </c>
      <c r="D464" s="322"/>
      <c r="E464" s="464">
        <v>0.15459999999999999</v>
      </c>
      <c r="F464" s="464">
        <v>0.15459999999999999</v>
      </c>
      <c r="G464" s="464">
        <v>0.15459999999999999</v>
      </c>
    </row>
    <row r="465" spans="2:7" ht="12.75" customHeight="1">
      <c r="B465" s="463">
        <v>2031</v>
      </c>
      <c r="C465" s="284">
        <v>2</v>
      </c>
      <c r="D465" s="322"/>
      <c r="E465" s="464">
        <v>0.1588</v>
      </c>
      <c r="F465" s="464">
        <v>0.1588</v>
      </c>
      <c r="G465" s="464">
        <v>0.1588</v>
      </c>
    </row>
    <row r="466" spans="2:7" ht="12.75" customHeight="1">
      <c r="B466" s="463">
        <v>2031</v>
      </c>
      <c r="C466" s="284">
        <v>3</v>
      </c>
      <c r="D466" s="322"/>
      <c r="E466" s="464">
        <v>0.16309999999999999</v>
      </c>
      <c r="F466" s="464">
        <v>0.16309999999999999</v>
      </c>
      <c r="G466" s="464">
        <v>0.16309999999999999</v>
      </c>
    </row>
    <row r="467" spans="2:7" ht="12.75" customHeight="1">
      <c r="B467" s="463">
        <v>2031</v>
      </c>
      <c r="C467" s="284">
        <v>4</v>
      </c>
      <c r="D467" s="322"/>
      <c r="E467" s="464">
        <v>0.1774</v>
      </c>
      <c r="F467" s="464">
        <v>0.1774</v>
      </c>
      <c r="G467" s="464">
        <v>0.1774</v>
      </c>
    </row>
    <row r="468" spans="2:7" ht="12.75" customHeight="1">
      <c r="B468" s="463">
        <v>2032</v>
      </c>
      <c r="C468" s="284">
        <v>1</v>
      </c>
      <c r="D468" s="322"/>
      <c r="E468" s="464">
        <v>0.1804</v>
      </c>
      <c r="F468" s="464">
        <v>0.1804</v>
      </c>
      <c r="G468" s="464">
        <v>0.1804</v>
      </c>
    </row>
    <row r="469" spans="2:7" ht="12.75" customHeight="1">
      <c r="B469" s="463">
        <v>2032</v>
      </c>
      <c r="C469" s="284">
        <v>2</v>
      </c>
      <c r="D469" s="322"/>
      <c r="E469" s="464">
        <v>0.1835</v>
      </c>
      <c r="F469" s="464">
        <v>0.1835</v>
      </c>
      <c r="G469" s="464">
        <v>0.1835</v>
      </c>
    </row>
    <row r="470" spans="2:7" ht="12.75" customHeight="1">
      <c r="B470" s="463">
        <v>2032</v>
      </c>
      <c r="C470" s="284">
        <v>3</v>
      </c>
      <c r="D470" s="322"/>
      <c r="E470" s="464">
        <v>0.18659999999999999</v>
      </c>
      <c r="F470" s="464">
        <v>0.18659999999999999</v>
      </c>
      <c r="G470" s="464">
        <v>0.18659999999999999</v>
      </c>
    </row>
    <row r="471" spans="2:7" ht="12.75" customHeight="1">
      <c r="B471" s="463">
        <v>2032</v>
      </c>
      <c r="C471" s="284">
        <v>4</v>
      </c>
      <c r="D471" s="322"/>
      <c r="E471" s="464">
        <v>0.20019999999999999</v>
      </c>
      <c r="F471" s="464">
        <v>0.20019999999999999</v>
      </c>
      <c r="G471" s="464">
        <v>0.20019999999999999</v>
      </c>
    </row>
    <row r="472" spans="2:7" ht="12.75" customHeight="1">
      <c r="B472" s="463">
        <v>2033</v>
      </c>
      <c r="C472" s="284">
        <v>1</v>
      </c>
      <c r="D472" s="322"/>
      <c r="E472" s="464">
        <v>0.2036</v>
      </c>
      <c r="F472" s="464">
        <v>0.2036</v>
      </c>
      <c r="G472" s="464">
        <v>0.2036</v>
      </c>
    </row>
    <row r="473" spans="2:7" ht="12.75" customHeight="1">
      <c r="B473" s="463">
        <v>2033</v>
      </c>
      <c r="C473" s="284">
        <v>2</v>
      </c>
      <c r="D473" s="322"/>
      <c r="E473" s="464">
        <v>0.20699999999999999</v>
      </c>
      <c r="F473" s="464">
        <v>0.20699999999999999</v>
      </c>
      <c r="G473" s="464">
        <v>0.20699999999999999</v>
      </c>
    </row>
    <row r="474" spans="2:7" ht="12.75" customHeight="1">
      <c r="B474" s="463">
        <v>2033</v>
      </c>
      <c r="C474" s="284">
        <v>3</v>
      </c>
      <c r="D474" s="322"/>
      <c r="E474" s="464">
        <v>0.21049999999999999</v>
      </c>
      <c r="F474" s="464">
        <v>0.21049999999999999</v>
      </c>
      <c r="G474" s="464">
        <v>0.21049999999999999</v>
      </c>
    </row>
    <row r="475" spans="2:7" ht="12.75" customHeight="1">
      <c r="B475" s="463">
        <v>2033</v>
      </c>
      <c r="C475" s="284">
        <v>4</v>
      </c>
      <c r="D475" s="322"/>
      <c r="E475" s="464">
        <v>0.22439999999999999</v>
      </c>
      <c r="F475" s="464">
        <v>0.22439999999999999</v>
      </c>
      <c r="G475" s="464">
        <v>0.22439999999999999</v>
      </c>
    </row>
    <row r="476" spans="2:7" ht="12.75" customHeight="1">
      <c r="B476" s="463">
        <v>2034</v>
      </c>
      <c r="C476" s="284">
        <v>1</v>
      </c>
      <c r="D476" s="322"/>
      <c r="E476" s="464">
        <v>0.2281</v>
      </c>
      <c r="F476" s="464">
        <v>0.2281</v>
      </c>
      <c r="G476" s="464">
        <v>0.2281</v>
      </c>
    </row>
    <row r="477" spans="2:7" ht="12.75" customHeight="1">
      <c r="B477" s="463">
        <v>2034</v>
      </c>
      <c r="C477" s="284">
        <v>2</v>
      </c>
      <c r="D477" s="322"/>
      <c r="E477" s="464">
        <v>0.2319</v>
      </c>
      <c r="F477" s="464">
        <v>0.2319</v>
      </c>
      <c r="G477" s="464">
        <v>0.2319</v>
      </c>
    </row>
    <row r="478" spans="2:7" ht="12.75" customHeight="1">
      <c r="B478" s="463">
        <v>2034</v>
      </c>
      <c r="C478" s="284">
        <v>3</v>
      </c>
      <c r="D478" s="322"/>
      <c r="E478" s="464">
        <v>0.23569999999999999</v>
      </c>
      <c r="F478" s="464">
        <v>0.23569999999999999</v>
      </c>
      <c r="G478" s="464">
        <v>0.23569999999999999</v>
      </c>
    </row>
    <row r="479" spans="2:7" ht="12.75" customHeight="1">
      <c r="B479" s="463">
        <v>2034</v>
      </c>
      <c r="C479" s="284">
        <v>4</v>
      </c>
      <c r="D479" s="322"/>
      <c r="E479" s="464">
        <v>0.24990000000000001</v>
      </c>
      <c r="F479" s="464">
        <v>0.24990000000000001</v>
      </c>
      <c r="G479" s="464">
        <v>0.24990000000000001</v>
      </c>
    </row>
    <row r="480" spans="2:7" ht="12.75" customHeight="1">
      <c r="B480" s="463">
        <v>2035</v>
      </c>
      <c r="C480" s="284">
        <v>1</v>
      </c>
      <c r="D480" s="322"/>
      <c r="E480" s="464">
        <v>0.254</v>
      </c>
      <c r="F480" s="464">
        <v>0.254</v>
      </c>
      <c r="G480" s="464">
        <v>0.254</v>
      </c>
    </row>
    <row r="481" spans="2:7" ht="12.75" customHeight="1">
      <c r="B481" s="463">
        <v>2035</v>
      </c>
      <c r="C481" s="284">
        <v>2</v>
      </c>
      <c r="D481" s="322"/>
      <c r="E481" s="464">
        <v>0.2581</v>
      </c>
      <c r="F481" s="464">
        <v>0.2581</v>
      </c>
      <c r="G481" s="464">
        <v>0.2581</v>
      </c>
    </row>
    <row r="482" spans="2:7" ht="12.75" customHeight="1">
      <c r="B482" s="463">
        <v>2035</v>
      </c>
      <c r="C482" s="284">
        <v>3</v>
      </c>
      <c r="D482" s="322"/>
      <c r="E482" s="464">
        <v>0.26229999999999998</v>
      </c>
      <c r="F482" s="464">
        <v>0.26229999999999998</v>
      </c>
      <c r="G482" s="464">
        <v>0.26229999999999998</v>
      </c>
    </row>
    <row r="483" spans="2:7" ht="12.75" customHeight="1">
      <c r="B483" s="463">
        <v>2035</v>
      </c>
      <c r="C483" s="284">
        <v>4</v>
      </c>
      <c r="D483" s="322"/>
      <c r="E483" s="464">
        <v>0.2767</v>
      </c>
      <c r="F483" s="464">
        <v>0.2767</v>
      </c>
      <c r="G483" s="464">
        <v>0.2767</v>
      </c>
    </row>
    <row r="484" spans="2:7" ht="12.75" customHeight="1">
      <c r="B484" s="463">
        <v>2036</v>
      </c>
      <c r="C484" s="284">
        <v>1</v>
      </c>
      <c r="D484" s="322"/>
      <c r="E484" s="464">
        <v>0.28089999999999998</v>
      </c>
      <c r="F484" s="464">
        <v>0.28089999999999998</v>
      </c>
      <c r="G484" s="464">
        <v>0.28089999999999998</v>
      </c>
    </row>
    <row r="485" spans="2:7" ht="12.75" customHeight="1">
      <c r="B485" s="463">
        <v>2036</v>
      </c>
      <c r="C485" s="284">
        <v>2</v>
      </c>
      <c r="D485" s="322"/>
      <c r="E485" s="464">
        <v>0.28510000000000002</v>
      </c>
      <c r="F485" s="464">
        <v>0.28510000000000002</v>
      </c>
      <c r="G485" s="464">
        <v>0.28510000000000002</v>
      </c>
    </row>
    <row r="486" spans="2:7" ht="12.75" customHeight="1">
      <c r="B486" s="463">
        <v>2036</v>
      </c>
      <c r="C486" s="284">
        <v>3</v>
      </c>
      <c r="D486" s="322"/>
      <c r="E486" s="464">
        <v>0.28910000000000002</v>
      </c>
      <c r="F486" s="464">
        <v>0.28910000000000002</v>
      </c>
      <c r="G486" s="464">
        <v>0.28910000000000002</v>
      </c>
    </row>
    <row r="487" spans="2:7" ht="12.75" customHeight="1">
      <c r="B487" s="463">
        <v>2036</v>
      </c>
      <c r="C487" s="284">
        <v>4</v>
      </c>
      <c r="D487" s="322"/>
      <c r="E487" s="464">
        <v>0.30259999999999998</v>
      </c>
      <c r="F487" s="464">
        <v>0.30259999999999998</v>
      </c>
      <c r="G487" s="464">
        <v>0.30259999999999998</v>
      </c>
    </row>
    <row r="488" spans="2:7" ht="12.75" customHeight="1">
      <c r="B488" s="463">
        <v>2037</v>
      </c>
      <c r="C488" s="284">
        <v>1</v>
      </c>
      <c r="D488" s="322"/>
      <c r="E488" s="464">
        <v>0.30649999999999999</v>
      </c>
      <c r="F488" s="464">
        <v>0.30649999999999999</v>
      </c>
      <c r="G488" s="464">
        <v>0.30649999999999999</v>
      </c>
    </row>
    <row r="489" spans="2:7" ht="12.75" customHeight="1">
      <c r="B489" s="463">
        <v>2037</v>
      </c>
      <c r="C489" s="284">
        <v>2</v>
      </c>
      <c r="D489" s="322"/>
      <c r="E489" s="464">
        <v>0.31019999999999998</v>
      </c>
      <c r="F489" s="464">
        <v>0.31019999999999998</v>
      </c>
      <c r="G489" s="464">
        <v>0.31019999999999998</v>
      </c>
    </row>
    <row r="490" spans="2:7" ht="12.75" customHeight="1">
      <c r="B490" s="463">
        <v>2037</v>
      </c>
      <c r="C490" s="284">
        <v>3</v>
      </c>
      <c r="D490" s="322"/>
      <c r="E490" s="464">
        <v>0.31359999999999999</v>
      </c>
      <c r="F490" s="464">
        <v>0.31359999999999999</v>
      </c>
      <c r="G490" s="464">
        <v>0.31359999999999999</v>
      </c>
    </row>
    <row r="491" spans="2:7" ht="12.75" customHeight="1">
      <c r="B491" s="463">
        <v>2037</v>
      </c>
      <c r="C491" s="284">
        <v>4</v>
      </c>
      <c r="D491" s="322"/>
      <c r="E491" s="464">
        <v>0.32550000000000001</v>
      </c>
      <c r="F491" s="464">
        <v>0.32550000000000001</v>
      </c>
      <c r="G491" s="464">
        <v>0.32550000000000001</v>
      </c>
    </row>
    <row r="492" spans="2:7" ht="12.75" customHeight="1">
      <c r="B492" s="463">
        <v>2038</v>
      </c>
      <c r="C492" s="284">
        <v>1</v>
      </c>
      <c r="D492" s="322"/>
      <c r="E492" s="464">
        <v>0.32850000000000001</v>
      </c>
      <c r="F492" s="464">
        <v>0.32850000000000001</v>
      </c>
      <c r="G492" s="464">
        <v>0.32850000000000001</v>
      </c>
    </row>
    <row r="493" spans="2:7" ht="12.75" customHeight="1">
      <c r="B493" s="463">
        <v>2038</v>
      </c>
      <c r="C493" s="284">
        <v>2</v>
      </c>
      <c r="D493" s="322"/>
      <c r="E493" s="464">
        <v>0.33129999999999998</v>
      </c>
      <c r="F493" s="464">
        <v>0.33129999999999998</v>
      </c>
      <c r="G493" s="464">
        <v>0.33129999999999998</v>
      </c>
    </row>
    <row r="494" spans="2:7" ht="12.75" customHeight="1">
      <c r="B494" s="463">
        <v>2038</v>
      </c>
      <c r="C494" s="284">
        <v>3</v>
      </c>
      <c r="D494" s="322"/>
      <c r="E494" s="464">
        <v>0.33379999999999999</v>
      </c>
      <c r="F494" s="464">
        <v>0.33379999999999999</v>
      </c>
      <c r="G494" s="464">
        <v>0.33379999999999999</v>
      </c>
    </row>
    <row r="495" spans="2:7" ht="12.75" customHeight="1">
      <c r="B495" s="463">
        <v>2038</v>
      </c>
      <c r="C495" s="284">
        <v>4</v>
      </c>
      <c r="D495" s="322"/>
      <c r="E495" s="464">
        <v>0.34350000000000003</v>
      </c>
      <c r="F495" s="464">
        <v>0.34350000000000003</v>
      </c>
      <c r="G495" s="464">
        <v>0.34350000000000003</v>
      </c>
    </row>
    <row r="496" spans="2:7" ht="12.75" customHeight="1">
      <c r="B496" s="463">
        <v>2039</v>
      </c>
      <c r="C496" s="284">
        <v>1</v>
      </c>
      <c r="D496" s="322"/>
      <c r="E496" s="464">
        <v>0.34539999999999998</v>
      </c>
      <c r="F496" s="464">
        <v>0.34539999999999998</v>
      </c>
      <c r="G496" s="464">
        <v>0.34539999999999998</v>
      </c>
    </row>
    <row r="497" spans="2:7" ht="12.75" customHeight="1">
      <c r="B497" s="463">
        <v>2039</v>
      </c>
      <c r="C497" s="284">
        <v>2</v>
      </c>
      <c r="D497" s="322"/>
      <c r="E497" s="464">
        <v>0.34699999999999998</v>
      </c>
      <c r="F497" s="464">
        <v>0.34699999999999998</v>
      </c>
      <c r="G497" s="464">
        <v>0.34699999999999998</v>
      </c>
    </row>
    <row r="498" spans="2:7" ht="12.75" customHeight="1">
      <c r="B498" s="463">
        <v>2039</v>
      </c>
      <c r="C498" s="284">
        <v>3</v>
      </c>
      <c r="D498" s="322"/>
      <c r="E498" s="464">
        <v>0.34810000000000002</v>
      </c>
      <c r="F498" s="464">
        <v>0.34810000000000002</v>
      </c>
      <c r="G498" s="464">
        <v>0.34810000000000002</v>
      </c>
    </row>
    <row r="499" spans="2:7" ht="12.75" customHeight="1">
      <c r="B499" s="463">
        <v>2039</v>
      </c>
      <c r="C499" s="284">
        <v>4</v>
      </c>
      <c r="D499" s="322"/>
      <c r="E499" s="464">
        <v>0.35510000000000003</v>
      </c>
      <c r="F499" s="464">
        <v>0.35510000000000003</v>
      </c>
      <c r="G499" s="464">
        <v>0.35510000000000003</v>
      </c>
    </row>
    <row r="500" spans="2:7" ht="12.75" customHeight="1">
      <c r="B500" s="463">
        <v>2040</v>
      </c>
      <c r="C500" s="284">
        <v>1</v>
      </c>
      <c r="D500" s="322"/>
      <c r="E500" s="464">
        <v>0.35570000000000002</v>
      </c>
      <c r="F500" s="464">
        <v>0.35570000000000002</v>
      </c>
      <c r="G500" s="464">
        <v>0.35570000000000002</v>
      </c>
    </row>
    <row r="501" spans="2:7" ht="12.75" customHeight="1">
      <c r="B501" s="463">
        <v>2040</v>
      </c>
      <c r="C501" s="284">
        <v>2</v>
      </c>
      <c r="D501" s="322"/>
      <c r="E501" s="464">
        <v>0.35599999999999998</v>
      </c>
      <c r="F501" s="464">
        <v>0.35599999999999998</v>
      </c>
      <c r="G501" s="464">
        <v>0.35599999999999998</v>
      </c>
    </row>
    <row r="502" spans="2:7" ht="12.75" customHeight="1">
      <c r="B502" s="463">
        <v>2040</v>
      </c>
      <c r="C502" s="284">
        <v>3</v>
      </c>
      <c r="D502" s="322"/>
      <c r="E502" s="464">
        <v>0.35580000000000001</v>
      </c>
      <c r="F502" s="464">
        <v>0.35580000000000001</v>
      </c>
      <c r="G502" s="464">
        <v>0.35580000000000001</v>
      </c>
    </row>
    <row r="503" spans="2:7" ht="12.75" customHeight="1">
      <c r="B503" s="463">
        <v>2040</v>
      </c>
      <c r="C503" s="284">
        <v>4</v>
      </c>
      <c r="D503" s="322"/>
      <c r="E503" s="464">
        <v>0.36009999999999998</v>
      </c>
      <c r="F503" s="464">
        <v>0.36009999999999998</v>
      </c>
      <c r="G503" s="464">
        <v>0.36009999999999998</v>
      </c>
    </row>
    <row r="504" spans="2:7" ht="12.75" customHeight="1">
      <c r="B504" s="463">
        <v>2041</v>
      </c>
      <c r="C504" s="284">
        <v>1</v>
      </c>
      <c r="D504" s="322"/>
      <c r="E504" s="464">
        <v>0.3594</v>
      </c>
      <c r="F504" s="464">
        <v>0.3594</v>
      </c>
      <c r="G504" s="464">
        <v>0.3594</v>
      </c>
    </row>
    <row r="505" spans="2:7" ht="12.75" customHeight="1">
      <c r="B505" s="463">
        <v>2041</v>
      </c>
      <c r="C505" s="284">
        <v>2</v>
      </c>
      <c r="D505" s="322"/>
      <c r="E505" s="464">
        <v>0.35830000000000001</v>
      </c>
      <c r="F505" s="464">
        <v>0.35830000000000001</v>
      </c>
      <c r="G505" s="464">
        <v>0.35830000000000001</v>
      </c>
    </row>
    <row r="506" spans="2:7" ht="12.75" customHeight="1">
      <c r="B506" s="463">
        <v>2041</v>
      </c>
      <c r="C506" s="284">
        <v>3</v>
      </c>
      <c r="D506" s="322"/>
      <c r="E506" s="464">
        <v>0.3569</v>
      </c>
      <c r="F506" s="464">
        <v>0.3569</v>
      </c>
      <c r="G506" s="464">
        <v>0.3569</v>
      </c>
    </row>
    <row r="507" spans="2:7" ht="12.75" customHeight="1">
      <c r="B507" s="463">
        <v>2041</v>
      </c>
      <c r="C507" s="284">
        <v>4</v>
      </c>
      <c r="D507" s="322"/>
      <c r="E507" s="464">
        <v>0.35909999999999997</v>
      </c>
      <c r="F507" s="464">
        <v>0.35909999999999997</v>
      </c>
      <c r="G507" s="464">
        <v>0.35909999999999997</v>
      </c>
    </row>
    <row r="508" spans="2:7" ht="12.75" customHeight="1">
      <c r="B508" s="463">
        <v>2042</v>
      </c>
      <c r="C508" s="284">
        <v>1</v>
      </c>
      <c r="D508" s="322"/>
      <c r="E508" s="464">
        <v>0.35759999999999997</v>
      </c>
      <c r="F508" s="464">
        <v>0.35759999999999997</v>
      </c>
      <c r="G508" s="464">
        <v>0.35759999999999997</v>
      </c>
    </row>
    <row r="509" spans="2:7" ht="12.75" customHeight="1">
      <c r="B509" s="463">
        <v>2042</v>
      </c>
      <c r="C509" s="284">
        <v>2</v>
      </c>
      <c r="D509" s="322"/>
      <c r="E509" s="464">
        <v>0.35580000000000001</v>
      </c>
      <c r="F509" s="464">
        <v>0.35580000000000001</v>
      </c>
      <c r="G509" s="464">
        <v>0.35580000000000001</v>
      </c>
    </row>
    <row r="510" spans="2:7" ht="12.75" customHeight="1">
      <c r="B510" s="463">
        <v>2042</v>
      </c>
      <c r="C510" s="284">
        <v>3</v>
      </c>
      <c r="D510" s="322"/>
      <c r="E510" s="464">
        <v>0.3538</v>
      </c>
      <c r="F510" s="464">
        <v>0.3538</v>
      </c>
      <c r="G510" s="464">
        <v>0.3538</v>
      </c>
    </row>
    <row r="511" spans="2:7" ht="12.75" customHeight="1">
      <c r="B511" s="463">
        <v>2042</v>
      </c>
      <c r="C511" s="284">
        <v>4</v>
      </c>
      <c r="D511" s="322"/>
      <c r="E511" s="464">
        <v>0.35470000000000002</v>
      </c>
      <c r="F511" s="464">
        <v>0.35470000000000002</v>
      </c>
      <c r="G511" s="464">
        <v>0.35470000000000002</v>
      </c>
    </row>
    <row r="512" spans="2:7" ht="12.75" customHeight="1">
      <c r="B512" s="463">
        <v>2043</v>
      </c>
      <c r="C512" s="284">
        <v>1</v>
      </c>
      <c r="D512" s="322"/>
      <c r="E512" s="464">
        <v>0.35260000000000002</v>
      </c>
      <c r="F512" s="464">
        <v>0.35260000000000002</v>
      </c>
      <c r="G512" s="464">
        <v>0.35260000000000002</v>
      </c>
    </row>
    <row r="513" spans="2:7" ht="12.75" customHeight="1">
      <c r="B513" s="463">
        <v>2043</v>
      </c>
      <c r="C513" s="284">
        <v>2</v>
      </c>
      <c r="D513" s="322"/>
      <c r="E513" s="464">
        <v>0.3503</v>
      </c>
      <c r="F513" s="464">
        <v>0.3503</v>
      </c>
      <c r="G513" s="464">
        <v>0.3503</v>
      </c>
    </row>
    <row r="514" spans="2:7" ht="12.75" customHeight="1">
      <c r="B514" s="463">
        <v>2043</v>
      </c>
      <c r="C514" s="284">
        <v>3</v>
      </c>
      <c r="D514" s="322"/>
      <c r="E514" s="464">
        <v>0.34770000000000001</v>
      </c>
      <c r="F514" s="464">
        <v>0.34770000000000001</v>
      </c>
      <c r="G514" s="464">
        <v>0.34770000000000001</v>
      </c>
    </row>
    <row r="515" spans="2:7" ht="12.75" customHeight="1">
      <c r="B515" s="463">
        <v>2043</v>
      </c>
      <c r="C515" s="284">
        <v>4</v>
      </c>
      <c r="D515" s="322"/>
      <c r="E515" s="464">
        <v>0.34739999999999999</v>
      </c>
      <c r="F515" s="464">
        <v>0.34739999999999999</v>
      </c>
      <c r="G515" s="464">
        <v>0.34739999999999999</v>
      </c>
    </row>
    <row r="516" spans="2:7" ht="12.75" customHeight="1">
      <c r="B516" s="463">
        <v>2044</v>
      </c>
      <c r="C516" s="284">
        <v>1</v>
      </c>
      <c r="D516" s="322"/>
      <c r="E516" s="464">
        <v>0.3448</v>
      </c>
      <c r="F516" s="464">
        <v>0.3448</v>
      </c>
      <c r="G516" s="464">
        <v>0.3448</v>
      </c>
    </row>
    <row r="517" spans="2:7" ht="12.75" customHeight="1">
      <c r="B517" s="463">
        <v>2044</v>
      </c>
      <c r="C517" s="284">
        <v>2</v>
      </c>
      <c r="D517" s="322"/>
      <c r="E517" s="464">
        <v>0.34189999999999998</v>
      </c>
      <c r="F517" s="464">
        <v>0.34189999999999998</v>
      </c>
      <c r="G517" s="464">
        <v>0.34189999999999998</v>
      </c>
    </row>
    <row r="518" spans="2:7" ht="12.75" customHeight="1">
      <c r="B518" s="463">
        <v>2044</v>
      </c>
      <c r="C518" s="284">
        <v>3</v>
      </c>
      <c r="D518" s="322"/>
      <c r="E518" s="464">
        <v>0.33889999999999998</v>
      </c>
      <c r="F518" s="464">
        <v>0.33889999999999998</v>
      </c>
      <c r="G518" s="464">
        <v>0.33889999999999998</v>
      </c>
    </row>
    <row r="519" spans="2:7" ht="12.75" customHeight="1">
      <c r="B519" s="463">
        <v>2044</v>
      </c>
      <c r="C519" s="284">
        <v>4</v>
      </c>
      <c r="D519" s="322"/>
      <c r="E519" s="464">
        <v>0.33760000000000001</v>
      </c>
      <c r="F519" s="464">
        <v>0.33760000000000001</v>
      </c>
      <c r="G519" s="464">
        <v>0.33760000000000001</v>
      </c>
    </row>
    <row r="520" spans="2:7" ht="12.75" customHeight="1">
      <c r="B520" s="463">
        <v>2045</v>
      </c>
      <c r="C520" s="284">
        <v>1</v>
      </c>
      <c r="D520" s="322"/>
      <c r="E520" s="464">
        <v>0.33460000000000001</v>
      </c>
      <c r="F520" s="464">
        <v>0.33460000000000001</v>
      </c>
      <c r="G520" s="464">
        <v>0.33460000000000001</v>
      </c>
    </row>
    <row r="521" spans="2:7" ht="12.75" customHeight="1">
      <c r="B521" s="463">
        <v>2045</v>
      </c>
      <c r="C521" s="284">
        <v>2</v>
      </c>
      <c r="D521" s="322"/>
      <c r="E521" s="464">
        <v>0.33150000000000002</v>
      </c>
      <c r="F521" s="464">
        <v>0.33150000000000002</v>
      </c>
      <c r="G521" s="464">
        <v>0.33150000000000002</v>
      </c>
    </row>
    <row r="522" spans="2:7" ht="12.75" customHeight="1">
      <c r="B522" s="463">
        <v>2045</v>
      </c>
      <c r="C522" s="284">
        <v>3</v>
      </c>
      <c r="D522" s="322"/>
      <c r="E522" s="464">
        <v>0.32819999999999999</v>
      </c>
      <c r="F522" s="464">
        <v>0.32819999999999999</v>
      </c>
      <c r="G522" s="464">
        <v>0.32819999999999999</v>
      </c>
    </row>
  </sheetData>
  <phoneticPr fontId="54" type="noConversion"/>
  <conditionalFormatting sqref="A82:A86 A95:A99 A51 A207 A89:A92 A202:A204 A101:A104 A43:A44 D181 D57:D63 D66:D67 D89:D92 D43:D44 G43:G44 A47 D47 G47:G48 D51 A200 D246:D257 D30:D33 D200:D207">
    <cfRule type="cellIs" dxfId="2140" priority="5329" operator="equal">
      <formula>""</formula>
    </cfRule>
  </conditionalFormatting>
  <conditionalFormatting sqref="A82:A86 A95:A99 A101:A104 A43:A44 A62 G43:G44 A180:A181 A47 G47:G48 A51 G51 A89:A92 G92">
    <cfRule type="cellIs" dxfId="2139" priority="5350" operator="notEqual">
      <formula>$A43</formula>
    </cfRule>
  </conditionalFormatting>
  <conditionalFormatting sqref="D117:D119">
    <cfRule type="cellIs" dxfId="2138" priority="5064" operator="equal">
      <formula>""</formula>
    </cfRule>
  </conditionalFormatting>
  <conditionalFormatting sqref="D113:D119 D122:D126">
    <cfRule type="cellIs" dxfId="2137" priority="5065" operator="notEqual">
      <formula>$A113</formula>
    </cfRule>
  </conditionalFormatting>
  <conditionalFormatting sqref="D122:D126 D110:D116">
    <cfRule type="cellIs" dxfId="2136" priority="5061" operator="equal">
      <formula>""</formula>
    </cfRule>
  </conditionalFormatting>
  <conditionalFormatting sqref="D110:D112">
    <cfRule type="cellIs" dxfId="2135" priority="5063" operator="notEqual">
      <formula>$A110</formula>
    </cfRule>
  </conditionalFormatting>
  <conditionalFormatting sqref="A58:A59 A61">
    <cfRule type="cellIs" dxfId="2134" priority="4981" operator="notEqual">
      <formula>$A58</formula>
    </cfRule>
  </conditionalFormatting>
  <conditionalFormatting sqref="A70:A71">
    <cfRule type="cellIs" dxfId="2133" priority="4811" operator="notEqual">
      <formula>$A70</formula>
    </cfRule>
  </conditionalFormatting>
  <conditionalFormatting sqref="A60">
    <cfRule type="cellIs" dxfId="2132" priority="3597" operator="notEqual">
      <formula>$A60</formula>
    </cfRule>
  </conditionalFormatting>
  <conditionalFormatting sqref="A57">
    <cfRule type="cellIs" dxfId="2131" priority="3305" operator="notEqual">
      <formula>$A57</formula>
    </cfRule>
  </conditionalFormatting>
  <conditionalFormatting sqref="A67">
    <cfRule type="cellIs" dxfId="2130" priority="2811" operator="notEqual">
      <formula>$A67</formula>
    </cfRule>
  </conditionalFormatting>
  <conditionalFormatting sqref="A63">
    <cfRule type="cellIs" dxfId="2129" priority="2225" operator="notEqual">
      <formula>$A63</formula>
    </cfRule>
  </conditionalFormatting>
  <conditionalFormatting sqref="A66">
    <cfRule type="cellIs" dxfId="2128" priority="2057" operator="notEqual">
      <formula>$A66</formula>
    </cfRule>
  </conditionalFormatting>
  <conditionalFormatting sqref="D22">
    <cfRule type="cellIs" dxfId="2127" priority="1933" operator="equal">
      <formula>""</formula>
    </cfRule>
  </conditionalFormatting>
  <conditionalFormatting sqref="D70:D71">
    <cfRule type="cellIs" dxfId="2126" priority="1927" operator="equal">
      <formula>""</formula>
    </cfRule>
  </conditionalFormatting>
  <conditionalFormatting sqref="D82:D86">
    <cfRule type="cellIs" dxfId="2125" priority="1926" operator="equal">
      <formula>""</formula>
    </cfRule>
  </conditionalFormatting>
  <conditionalFormatting sqref="D95:D104">
    <cfRule type="cellIs" dxfId="2124" priority="1924" operator="equal">
      <formula>""</formula>
    </cfRule>
  </conditionalFormatting>
  <conditionalFormatting sqref="D131:D132">
    <cfRule type="cellIs" dxfId="2123" priority="1923" operator="equal">
      <formula>""</formula>
    </cfRule>
  </conditionalFormatting>
  <conditionalFormatting sqref="D190:D193">
    <cfRule type="cellIs" dxfId="2122" priority="1919" operator="equal">
      <formula>""</formula>
    </cfRule>
  </conditionalFormatting>
  <conditionalFormatting sqref="D196:D197">
    <cfRule type="cellIs" dxfId="2121" priority="1918" operator="equal">
      <formula>""</formula>
    </cfRule>
  </conditionalFormatting>
  <conditionalFormatting sqref="D210">
    <cfRule type="cellIs" dxfId="2120" priority="1914" operator="equal">
      <formula>""</formula>
    </cfRule>
  </conditionalFormatting>
  <conditionalFormatting sqref="D214:D215">
    <cfRule type="cellIs" dxfId="2119" priority="1913" operator="equal">
      <formula>""</formula>
    </cfRule>
  </conditionalFormatting>
  <conditionalFormatting sqref="D219">
    <cfRule type="cellIs" dxfId="2118" priority="1912" operator="equal">
      <formula>""</formula>
    </cfRule>
  </conditionalFormatting>
  <conditionalFormatting sqref="D224:D234">
    <cfRule type="cellIs" dxfId="2117" priority="1911" operator="equal">
      <formula>""</formula>
    </cfRule>
  </conditionalFormatting>
  <conditionalFormatting sqref="D274:D275 D285:D286 D277:D279 D288:D290">
    <cfRule type="cellIs" dxfId="2116" priority="1909" operator="equal">
      <formula>""</formula>
    </cfRule>
  </conditionalFormatting>
  <conditionalFormatting sqref="D386:D394">
    <cfRule type="cellIs" dxfId="2115" priority="1907" operator="equal">
      <formula>""</formula>
    </cfRule>
  </conditionalFormatting>
  <conditionalFormatting sqref="A74">
    <cfRule type="cellIs" dxfId="2114" priority="1801" operator="notEqual">
      <formula>$A74</formula>
    </cfRule>
  </conditionalFormatting>
  <conditionalFormatting sqref="D74">
    <cfRule type="cellIs" dxfId="2113" priority="1791" operator="equal">
      <formula>""</formula>
    </cfRule>
  </conditionalFormatting>
  <conditionalFormatting sqref="D34:D35">
    <cfRule type="cellIs" dxfId="2112" priority="1767" operator="equal">
      <formula>""</formula>
    </cfRule>
  </conditionalFormatting>
  <conditionalFormatting sqref="A170:A172 A174">
    <cfRule type="cellIs" dxfId="2111" priority="1762" operator="notEqual">
      <formula>$A170</formula>
    </cfRule>
  </conditionalFormatting>
  <conditionalFormatting sqref="D346:D349">
    <cfRule type="cellIs" dxfId="2110" priority="1262" operator="equal">
      <formula>""</formula>
    </cfRule>
  </conditionalFormatting>
  <conditionalFormatting sqref="D354:D357">
    <cfRule type="cellIs" dxfId="2109" priority="1260" operator="equal">
      <formula>""</formula>
    </cfRule>
  </conditionalFormatting>
  <conditionalFormatting sqref="D362:D365">
    <cfRule type="cellIs" dxfId="2108" priority="1258" operator="equal">
      <formula>""</formula>
    </cfRule>
  </conditionalFormatting>
  <conditionalFormatting sqref="D370:D373">
    <cfRule type="cellIs" dxfId="2107" priority="1256" operator="equal">
      <formula>""</formula>
    </cfRule>
  </conditionalFormatting>
  <conditionalFormatting sqref="D378:D381">
    <cfRule type="cellIs" dxfId="2106" priority="1255" operator="equal">
      <formula>""</formula>
    </cfRule>
  </conditionalFormatting>
  <conditionalFormatting sqref="A54 D54">
    <cfRule type="cellIs" dxfId="2105" priority="1245" operator="equal">
      <formula>""</formula>
    </cfRule>
  </conditionalFormatting>
  <conditionalFormatting sqref="A54">
    <cfRule type="cellIs" dxfId="2104" priority="1246" operator="notEqual">
      <formula>$A54</formula>
    </cfRule>
  </conditionalFormatting>
  <conditionalFormatting sqref="A181">
    <cfRule type="cellIs" dxfId="2103" priority="895" operator="notEqual">
      <formula>$A181</formula>
    </cfRule>
  </conditionalFormatting>
  <conditionalFormatting sqref="D404:D409">
    <cfRule type="cellIs" dxfId="2102" priority="754" operator="equal">
      <formula>""</formula>
    </cfRule>
  </conditionalFormatting>
  <conditionalFormatting sqref="A107:A108">
    <cfRule type="cellIs" dxfId="2101" priority="752" operator="equal">
      <formula>""</formula>
    </cfRule>
  </conditionalFormatting>
  <conditionalFormatting sqref="A107:A108">
    <cfRule type="cellIs" dxfId="2100" priority="753" operator="notEqual">
      <formula>$A107</formula>
    </cfRule>
  </conditionalFormatting>
  <conditionalFormatting sqref="D107:D108">
    <cfRule type="cellIs" dxfId="2099" priority="751" operator="equal">
      <formula>""</formula>
    </cfRule>
  </conditionalFormatting>
  <conditionalFormatting sqref="D414:D418">
    <cfRule type="cellIs" dxfId="2098" priority="743" operator="equal">
      <formula>""</formula>
    </cfRule>
  </conditionalFormatting>
  <conditionalFormatting sqref="A100">
    <cfRule type="cellIs" dxfId="2097" priority="735" operator="notEqual">
      <formula>$A100</formula>
    </cfRule>
  </conditionalFormatting>
  <conditionalFormatting sqref="A100">
    <cfRule type="cellIs" dxfId="2096" priority="734" operator="notEqual">
      <formula>$A100</formula>
    </cfRule>
  </conditionalFormatting>
  <conditionalFormatting sqref="D280:D284">
    <cfRule type="cellIs" dxfId="2095" priority="722" operator="equal">
      <formula>""</formula>
    </cfRule>
  </conditionalFormatting>
  <conditionalFormatting sqref="D276">
    <cfRule type="cellIs" dxfId="2094" priority="721" operator="equal">
      <formula>""</formula>
    </cfRule>
  </conditionalFormatting>
  <conditionalFormatting sqref="D287">
    <cfRule type="cellIs" dxfId="2093" priority="720" operator="equal">
      <formula>""</formula>
    </cfRule>
  </conditionalFormatting>
  <conditionalFormatting sqref="G248:G249 G254:G255">
    <cfRule type="cellIs" dxfId="2092" priority="710" operator="equal">
      <formula>""</formula>
    </cfRule>
  </conditionalFormatting>
  <conditionalFormatting sqref="G90 G67:G68 G248:G249 G254:G257">
    <cfRule type="cellIs" dxfId="2091" priority="711" operator="notEqual">
      <formula>$A67</formula>
    </cfRule>
  </conditionalFormatting>
  <conditionalFormatting sqref="G110:G119 G122:G126 G131:G132">
    <cfRule type="cellIs" dxfId="2090" priority="709" operator="notEqual">
      <formula>$A110</formula>
    </cfRule>
  </conditionalFormatting>
  <conditionalFormatting sqref="G82:G86 G95:G104">
    <cfRule type="cellIs" dxfId="2089" priority="708" operator="notEqual">
      <formula>$A82</formula>
    </cfRule>
  </conditionalFormatting>
  <conditionalFormatting sqref="G110:G119 G122:G126 G131:G132">
    <cfRule type="cellIs" dxfId="2088" priority="707" operator="equal">
      <formula>""</formula>
    </cfRule>
  </conditionalFormatting>
  <conditionalFormatting sqref="G85">
    <cfRule type="cellIs" dxfId="2087" priority="704" operator="notEqual">
      <formula>$A85</formula>
    </cfRule>
  </conditionalFormatting>
  <conditionalFormatting sqref="G31">
    <cfRule type="cellIs" dxfId="2086" priority="700" operator="notEqual">
      <formula>$A31</formula>
    </cfRule>
  </conditionalFormatting>
  <conditionalFormatting sqref="G67">
    <cfRule type="cellIs" dxfId="2085" priority="687" operator="notEqual">
      <formula>$A67</formula>
    </cfRule>
  </conditionalFormatting>
  <conditionalFormatting sqref="G67">
    <cfRule type="cellIs" dxfId="2084" priority="686" operator="notEqual">
      <formula>$A67</formula>
    </cfRule>
  </conditionalFormatting>
  <conditionalFormatting sqref="G67">
    <cfRule type="cellIs" dxfId="2083" priority="683" operator="notEqual">
      <formula>$A67</formula>
    </cfRule>
  </conditionalFormatting>
  <conditionalFormatting sqref="G386:G394">
    <cfRule type="cellIs" dxfId="2082" priority="682" operator="notEqual">
      <formula>$B386</formula>
    </cfRule>
  </conditionalFormatting>
  <conditionalFormatting sqref="G91">
    <cfRule type="cellIs" dxfId="2081" priority="674" operator="notEqual">
      <formula>$A91</formula>
    </cfRule>
  </conditionalFormatting>
  <conditionalFormatting sqref="G66">
    <cfRule type="cellIs" dxfId="2080" priority="673" operator="notEqual">
      <formula>$A66</formula>
    </cfRule>
  </conditionalFormatting>
  <conditionalFormatting sqref="G66">
    <cfRule type="cellIs" dxfId="2079" priority="672" operator="notEqual">
      <formula>$A66</formula>
    </cfRule>
  </conditionalFormatting>
  <conditionalFormatting sqref="G66">
    <cfRule type="cellIs" dxfId="2078" priority="671" operator="notEqual">
      <formula>$A66</formula>
    </cfRule>
  </conditionalFormatting>
  <conditionalFormatting sqref="G66">
    <cfRule type="cellIs" dxfId="2077" priority="670" operator="notEqual">
      <formula>$A66</formula>
    </cfRule>
  </conditionalFormatting>
  <conditionalFormatting sqref="G67">
    <cfRule type="cellIs" dxfId="2076" priority="669" operator="notEqual">
      <formula>$A67</formula>
    </cfRule>
  </conditionalFormatting>
  <conditionalFormatting sqref="G67">
    <cfRule type="cellIs" dxfId="2075" priority="668" operator="notEqual">
      <formula>$A67</formula>
    </cfRule>
  </conditionalFormatting>
  <conditionalFormatting sqref="G34">
    <cfRule type="cellIs" dxfId="2074" priority="651" operator="notEqual">
      <formula>$A34</formula>
    </cfRule>
  </conditionalFormatting>
  <conditionalFormatting sqref="G346:G349">
    <cfRule type="cellIs" dxfId="2073" priority="597" operator="notEqual">
      <formula>$A346</formula>
    </cfRule>
  </conditionalFormatting>
  <conditionalFormatting sqref="G354:G357">
    <cfRule type="cellIs" dxfId="2072" priority="596" operator="notEqual">
      <formula>$A354</formula>
    </cfRule>
  </conditionalFormatting>
  <conditionalFormatting sqref="G378:G381">
    <cfRule type="cellIs" dxfId="2071" priority="593" operator="notEqual">
      <formula>$A378</formula>
    </cfRule>
  </conditionalFormatting>
  <conditionalFormatting sqref="G362:G365">
    <cfRule type="cellIs" dxfId="2070" priority="595" operator="notEqual">
      <formula>$A362</formula>
    </cfRule>
  </conditionalFormatting>
  <conditionalFormatting sqref="G370:G373">
    <cfRule type="cellIs" dxfId="2069" priority="594" operator="notEqual">
      <formula>$A370</formula>
    </cfRule>
  </conditionalFormatting>
  <conditionalFormatting sqref="G54">
    <cfRule type="cellIs" dxfId="2068" priority="591" operator="equal">
      <formula>""</formula>
    </cfRule>
  </conditionalFormatting>
  <conditionalFormatting sqref="G54">
    <cfRule type="cellIs" dxfId="2067" priority="592" operator="notEqual">
      <formula>$A54</formula>
    </cfRule>
  </conditionalFormatting>
  <conditionalFormatting sqref="G246">
    <cfRule type="cellIs" dxfId="2066" priority="589" operator="equal">
      <formula>""</formula>
    </cfRule>
  </conditionalFormatting>
  <conditionalFormatting sqref="G246:G247">
    <cfRule type="cellIs" dxfId="2065" priority="590" operator="notEqual">
      <formula>$A246</formula>
    </cfRule>
  </conditionalFormatting>
  <conditionalFormatting sqref="G247">
    <cfRule type="cellIs" dxfId="2064" priority="588" operator="notEqual">
      <formula>$A247</formula>
    </cfRule>
  </conditionalFormatting>
  <conditionalFormatting sqref="G108">
    <cfRule type="cellIs" dxfId="2063" priority="564" operator="notEqual">
      <formula>$A108</formula>
    </cfRule>
  </conditionalFormatting>
  <conditionalFormatting sqref="G314:G325">
    <cfRule type="cellIs" dxfId="2062" priority="563" operator="notEqual">
      <formula>$A314</formula>
    </cfRule>
  </conditionalFormatting>
  <conditionalFormatting sqref="G314:G325">
    <cfRule type="cellIs" dxfId="2061" priority="562" operator="notEqual">
      <formula>$A314</formula>
    </cfRule>
  </conditionalFormatting>
  <conditionalFormatting sqref="G414">
    <cfRule type="cellIs" dxfId="2060" priority="561" operator="notEqual">
      <formula>$A414</formula>
    </cfRule>
  </conditionalFormatting>
  <conditionalFormatting sqref="G417:G418">
    <cfRule type="cellIs" dxfId="2059" priority="560" operator="notEqual">
      <formula>$A417</formula>
    </cfRule>
  </conditionalFormatting>
  <conditionalFormatting sqref="G103:G104">
    <cfRule type="cellIs" dxfId="2058" priority="559" operator="notEqual">
      <formula>$A103</formula>
    </cfRule>
  </conditionalFormatting>
  <conditionalFormatting sqref="G99">
    <cfRule type="cellIs" dxfId="2057" priority="558" operator="notEqual">
      <formula>$A99</formula>
    </cfRule>
  </conditionalFormatting>
  <conditionalFormatting sqref="G100:G102">
    <cfRule type="cellIs" dxfId="2056" priority="557" operator="notEqual">
      <formula>$A100</formula>
    </cfRule>
  </conditionalFormatting>
  <conditionalFormatting sqref="G100:G102">
    <cfRule type="cellIs" dxfId="2055" priority="556" operator="notEqual">
      <formula>$A100</formula>
    </cfRule>
  </conditionalFormatting>
  <conditionalFormatting sqref="G415:G416">
    <cfRule type="cellIs" dxfId="2054" priority="555" operator="notEqual">
      <formula>$A415</formula>
    </cfRule>
  </conditionalFormatting>
  <conditionalFormatting sqref="A48 D48">
    <cfRule type="cellIs" dxfId="2053" priority="553" operator="equal">
      <formula>""</formula>
    </cfRule>
  </conditionalFormatting>
  <conditionalFormatting sqref="A48">
    <cfRule type="cellIs" dxfId="2052" priority="554" operator="notEqual">
      <formula>$A48</formula>
    </cfRule>
  </conditionalFormatting>
  <conditionalFormatting sqref="G60 G62">
    <cfRule type="cellIs" dxfId="2051" priority="552" operator="notEqual">
      <formula>$A60</formula>
    </cfRule>
  </conditionalFormatting>
  <conditionalFormatting sqref="G61">
    <cfRule type="cellIs" dxfId="2050" priority="551" operator="notEqual">
      <formula>$A61</formula>
    </cfRule>
  </conditionalFormatting>
  <conditionalFormatting sqref="G58">
    <cfRule type="cellIs" dxfId="2049" priority="550" operator="notEqual">
      <formula>$A58</formula>
    </cfRule>
  </conditionalFormatting>
  <conditionalFormatting sqref="G57">
    <cfRule type="cellIs" dxfId="2048" priority="549" operator="notEqual">
      <formula>$A57</formula>
    </cfRule>
  </conditionalFormatting>
  <conditionalFormatting sqref="G57">
    <cfRule type="cellIs" dxfId="2047" priority="548" operator="notEqual">
      <formula>$A57</formula>
    </cfRule>
  </conditionalFormatting>
  <conditionalFormatting sqref="G59">
    <cfRule type="cellIs" dxfId="2046" priority="547" operator="notEqual">
      <formula>$A59</formula>
    </cfRule>
  </conditionalFormatting>
  <conditionalFormatting sqref="G59">
    <cfRule type="cellIs" dxfId="2045" priority="546" operator="notEqual">
      <formula>$A59</formula>
    </cfRule>
  </conditionalFormatting>
  <conditionalFormatting sqref="G63">
    <cfRule type="cellIs" dxfId="2044" priority="545" operator="notEqual">
      <formula>$A63</formula>
    </cfRule>
  </conditionalFormatting>
  <conditionalFormatting sqref="G63">
    <cfRule type="cellIs" dxfId="2043" priority="544" operator="notEqual">
      <formula>$A63</formula>
    </cfRule>
  </conditionalFormatting>
  <conditionalFormatting sqref="G74">
    <cfRule type="cellIs" dxfId="2042" priority="533" operator="equal">
      <formula>""</formula>
    </cfRule>
  </conditionalFormatting>
  <conditionalFormatting sqref="G74">
    <cfRule type="cellIs" dxfId="2041" priority="534" operator="notEqual">
      <formula>$A74</formula>
    </cfRule>
  </conditionalFormatting>
  <conditionalFormatting sqref="G74">
    <cfRule type="cellIs" dxfId="2040" priority="532" operator="notEqual">
      <formula>$A74</formula>
    </cfRule>
  </conditionalFormatting>
  <conditionalFormatting sqref="G70:G71">
    <cfRule type="cellIs" dxfId="2039" priority="530" operator="equal">
      <formula>""</formula>
    </cfRule>
  </conditionalFormatting>
  <conditionalFormatting sqref="G70:G71">
    <cfRule type="cellIs" dxfId="2038" priority="531" operator="notEqual">
      <formula>$A70</formula>
    </cfRule>
  </conditionalFormatting>
  <conditionalFormatting sqref="G89">
    <cfRule type="cellIs" dxfId="2037" priority="529" operator="notEqual">
      <formula>$A89</formula>
    </cfRule>
  </conditionalFormatting>
  <conditionalFormatting sqref="G89">
    <cfRule type="cellIs" dxfId="2036" priority="528" operator="notEqual">
      <formula>$A89</formula>
    </cfRule>
  </conditionalFormatting>
  <conditionalFormatting sqref="G107">
    <cfRule type="cellIs" dxfId="2035" priority="525" operator="notEqual">
      <formula>$A107</formula>
    </cfRule>
  </conditionalFormatting>
  <conditionalFormatting sqref="G203:G207 G200">
    <cfRule type="cellIs" dxfId="2034" priority="507" operator="equal">
      <formula>""</formula>
    </cfRule>
  </conditionalFormatting>
  <conditionalFormatting sqref="D21">
    <cfRule type="cellIs" dxfId="2033" priority="495" operator="equal">
      <formula>""</formula>
    </cfRule>
  </conditionalFormatting>
  <conditionalFormatting sqref="D138:D151">
    <cfRule type="cellIs" dxfId="2032" priority="493" operator="equal">
      <formula>""</formula>
    </cfRule>
  </conditionalFormatting>
  <conditionalFormatting sqref="D156:D157">
    <cfRule type="cellIs" dxfId="2031" priority="492" operator="equal">
      <formula>""</formula>
    </cfRule>
  </conditionalFormatting>
  <conditionalFormatting sqref="D170:D176">
    <cfRule type="cellIs" dxfId="2030" priority="490" operator="equal">
      <formula>""</formula>
    </cfRule>
  </conditionalFormatting>
  <conditionalFormatting sqref="D180:D181">
    <cfRule type="cellIs" dxfId="2029" priority="486" operator="equal">
      <formula>""</formula>
    </cfRule>
  </conditionalFormatting>
  <conditionalFormatting sqref="A177:A179">
    <cfRule type="cellIs" dxfId="2028" priority="451" operator="notEqual">
      <formula>$A177</formula>
    </cfRule>
  </conditionalFormatting>
  <conditionalFormatting sqref="D177:D179">
    <cfRule type="cellIs" dxfId="2027" priority="448" operator="equal">
      <formula>""</formula>
    </cfRule>
  </conditionalFormatting>
  <conditionalFormatting sqref="A173">
    <cfRule type="cellIs" dxfId="2026" priority="429" operator="notEqual">
      <formula>$A173</formula>
    </cfRule>
  </conditionalFormatting>
  <conditionalFormatting sqref="A173">
    <cfRule type="cellIs" dxfId="2025" priority="428" operator="notEqual">
      <formula>$A173</formula>
    </cfRule>
  </conditionalFormatting>
  <conditionalFormatting sqref="A180">
    <cfRule type="cellIs" dxfId="2024" priority="419" operator="notEqual">
      <formula>$B181</formula>
    </cfRule>
  </conditionalFormatting>
  <conditionalFormatting sqref="A181">
    <cfRule type="cellIs" dxfId="2023" priority="418" operator="notEqual">
      <formula>$A181</formula>
    </cfRule>
  </conditionalFormatting>
  <conditionalFormatting sqref="A172">
    <cfRule type="cellIs" dxfId="2022" priority="416" operator="notEqual">
      <formula>$A172</formula>
    </cfRule>
  </conditionalFormatting>
  <conditionalFormatting sqref="A171">
    <cfRule type="cellIs" dxfId="2021" priority="415" operator="notEqual">
      <formula>$A171</formula>
    </cfRule>
  </conditionalFormatting>
  <conditionalFormatting sqref="A171">
    <cfRule type="cellIs" dxfId="2020" priority="414" operator="notEqual">
      <formula>$A171</formula>
    </cfRule>
  </conditionalFormatting>
  <conditionalFormatting sqref="A170">
    <cfRule type="cellIs" dxfId="2019" priority="413" operator="notEqual">
      <formula>$A170</formula>
    </cfRule>
  </conditionalFormatting>
  <conditionalFormatting sqref="A172">
    <cfRule type="cellIs" dxfId="2018" priority="417" operator="notEqual">
      <formula>$A172</formula>
    </cfRule>
  </conditionalFormatting>
  <conditionalFormatting sqref="A177:A179">
    <cfRule type="cellIs" dxfId="2017" priority="412" operator="notEqual">
      <formula>$A177</formula>
    </cfRule>
  </conditionalFormatting>
  <conditionalFormatting sqref="A174">
    <cfRule type="cellIs" dxfId="2016" priority="411" operator="notEqual">
      <formula>$A174</formula>
    </cfRule>
  </conditionalFormatting>
  <conditionalFormatting sqref="A174">
    <cfRule type="cellIs" dxfId="2015" priority="410" operator="notEqual">
      <formula>$A174</formula>
    </cfRule>
  </conditionalFormatting>
  <conditionalFormatting sqref="A173">
    <cfRule type="cellIs" dxfId="2014" priority="409" operator="notEqual">
      <formula>$A173</formula>
    </cfRule>
  </conditionalFormatting>
  <conditionalFormatting sqref="G180">
    <cfRule type="cellIs" dxfId="2013" priority="382" operator="notEqual">
      <formula>$A180</formula>
    </cfRule>
  </conditionalFormatting>
  <conditionalFormatting sqref="G181">
    <cfRule type="cellIs" dxfId="2012" priority="381" operator="notEqual">
      <formula>$A181</formula>
    </cfRule>
  </conditionalFormatting>
  <conditionalFormatting sqref="G172">
    <cfRule type="cellIs" dxfId="2011" priority="380" operator="notEqual">
      <formula>$A172</formula>
    </cfRule>
  </conditionalFormatting>
  <conditionalFormatting sqref="G172">
    <cfRule type="cellIs" dxfId="2010" priority="379" operator="notEqual">
      <formula>$A172</formula>
    </cfRule>
  </conditionalFormatting>
  <conditionalFormatting sqref="G171:G172">
    <cfRule type="cellIs" dxfId="2009" priority="378" operator="notEqual">
      <formula>$A171</formula>
    </cfRule>
  </conditionalFormatting>
  <conditionalFormatting sqref="G171:G172">
    <cfRule type="cellIs" dxfId="2008" priority="377" operator="notEqual">
      <formula>$A171</formula>
    </cfRule>
  </conditionalFormatting>
  <conditionalFormatting sqref="G170">
    <cfRule type="cellIs" dxfId="2007" priority="376" operator="notEqual">
      <formula>$A170</formula>
    </cfRule>
  </conditionalFormatting>
  <conditionalFormatting sqref="G177:G179">
    <cfRule type="cellIs" dxfId="2006" priority="375" operator="notEqual">
      <formula>$A177</formula>
    </cfRule>
  </conditionalFormatting>
  <conditionalFormatting sqref="G177">
    <cfRule type="cellIs" dxfId="2005" priority="374" operator="equal">
      <formula>""</formula>
    </cfRule>
  </conditionalFormatting>
  <conditionalFormatting sqref="G173">
    <cfRule type="cellIs" dxfId="2004" priority="373" operator="notEqual">
      <formula>$A173</formula>
    </cfRule>
  </conditionalFormatting>
  <conditionalFormatting sqref="G173">
    <cfRule type="cellIs" dxfId="2003" priority="372" operator="notEqual">
      <formula>$A173</formula>
    </cfRule>
  </conditionalFormatting>
  <conditionalFormatting sqref="G174">
    <cfRule type="cellIs" dxfId="2002" priority="371" operator="notEqual">
      <formula>$A174</formula>
    </cfRule>
  </conditionalFormatting>
  <conditionalFormatting sqref="G174">
    <cfRule type="cellIs" dxfId="2001" priority="370" operator="notEqual">
      <formula>$A174</formula>
    </cfRule>
  </conditionalFormatting>
  <conditionalFormatting sqref="E54">
    <cfRule type="cellIs" dxfId="2000" priority="75" operator="equal">
      <formula>""</formula>
    </cfRule>
  </conditionalFormatting>
  <conditionalFormatting sqref="E70:E71 E82:E85 E51 E254:F255 E248:F248 E44">
    <cfRule type="cellIs" dxfId="1999" priority="193" operator="equal">
      <formula>""</formula>
    </cfRule>
  </conditionalFormatting>
  <conditionalFormatting sqref="E82:E85 E67:F68 E62:F62 E70:F70 E51:F51">
    <cfRule type="cellIs" dxfId="1998" priority="194" operator="notEqual">
      <formula>$A55</formula>
    </cfRule>
  </conditionalFormatting>
  <conditionalFormatting sqref="E95:E104">
    <cfRule type="cellIs" dxfId="1997" priority="192" operator="notEqual">
      <formula>$A99</formula>
    </cfRule>
  </conditionalFormatting>
  <conditionalFormatting sqref="E117:E119">
    <cfRule type="cellIs" dxfId="1996" priority="190" operator="equal">
      <formula>""</formula>
    </cfRule>
  </conditionalFormatting>
  <conditionalFormatting sqref="E131:E132 E122:F126 E113:F119">
    <cfRule type="cellIs" dxfId="1995" priority="191" operator="notEqual">
      <formula>$A117</formula>
    </cfRule>
  </conditionalFormatting>
  <conditionalFormatting sqref="E122:E123 E126 E110:E111 E114:E116">
    <cfRule type="cellIs" dxfId="1994" priority="188" operator="equal">
      <formula>""</formula>
    </cfRule>
  </conditionalFormatting>
  <conditionalFormatting sqref="E110:E111">
    <cfRule type="cellIs" dxfId="1993" priority="189" operator="notEqual">
      <formula>$A114</formula>
    </cfRule>
  </conditionalFormatting>
  <conditionalFormatting sqref="E112">
    <cfRule type="cellIs" dxfId="1992" priority="186" operator="equal">
      <formula>""</formula>
    </cfRule>
  </conditionalFormatting>
  <conditionalFormatting sqref="E112">
    <cfRule type="cellIs" dxfId="1991" priority="187" operator="notEqual">
      <formula>$A116</formula>
    </cfRule>
  </conditionalFormatting>
  <conditionalFormatting sqref="E113">
    <cfRule type="cellIs" dxfId="1990" priority="185" operator="equal">
      <formula>""</formula>
    </cfRule>
  </conditionalFormatting>
  <conditionalFormatting sqref="E124">
    <cfRule type="cellIs" dxfId="1989" priority="184" operator="equal">
      <formula>""</formula>
    </cfRule>
  </conditionalFormatting>
  <conditionalFormatting sqref="E125">
    <cfRule type="cellIs" dxfId="1988" priority="183" operator="equal">
      <formula>""</formula>
    </cfRule>
  </conditionalFormatting>
  <conditionalFormatting sqref="E111">
    <cfRule type="cellIs" dxfId="1987" priority="182" operator="notEqual">
      <formula>$A115</formula>
    </cfRule>
  </conditionalFormatting>
  <conditionalFormatting sqref="E131:E132">
    <cfRule type="cellIs" dxfId="1986" priority="181" operator="equal">
      <formula>""</formula>
    </cfRule>
  </conditionalFormatting>
  <conditionalFormatting sqref="E85:F85">
    <cfRule type="cellIs" dxfId="1985" priority="179" operator="notEqual">
      <formula>$A89</formula>
    </cfRule>
  </conditionalFormatting>
  <conditionalFormatting sqref="E254:F257">
    <cfRule type="cellIs" dxfId="1984" priority="178" operator="notEqual">
      <formula>$A286</formula>
    </cfRule>
  </conditionalFormatting>
  <conditionalFormatting sqref="F82:F86">
    <cfRule type="cellIs" dxfId="1983" priority="166" operator="notEqual">
      <formula>$A86</formula>
    </cfRule>
  </conditionalFormatting>
  <conditionalFormatting sqref="F95:F104">
    <cfRule type="cellIs" dxfId="1982" priority="165" operator="notEqual">
      <formula>$A99</formula>
    </cfRule>
  </conditionalFormatting>
  <conditionalFormatting sqref="F117:F119">
    <cfRule type="cellIs" dxfId="1981" priority="163" operator="equal">
      <formula>""</formula>
    </cfRule>
  </conditionalFormatting>
  <conditionalFormatting sqref="F131:F132">
    <cfRule type="cellIs" dxfId="1980" priority="164" operator="notEqual">
      <formula>$A135</formula>
    </cfRule>
  </conditionalFormatting>
  <conditionalFormatting sqref="F122:F123 F126 F110:F111 F114:F116">
    <cfRule type="cellIs" dxfId="1979" priority="161" operator="equal">
      <formula>""</formula>
    </cfRule>
  </conditionalFormatting>
  <conditionalFormatting sqref="F110:F111">
    <cfRule type="cellIs" dxfId="1978" priority="162" operator="notEqual">
      <formula>$A114</formula>
    </cfRule>
  </conditionalFormatting>
  <conditionalFormatting sqref="F112">
    <cfRule type="cellIs" dxfId="1977" priority="159" operator="equal">
      <formula>""</formula>
    </cfRule>
  </conditionalFormatting>
  <conditionalFormatting sqref="F112">
    <cfRule type="cellIs" dxfId="1976" priority="160" operator="notEqual">
      <formula>$A116</formula>
    </cfRule>
  </conditionalFormatting>
  <conditionalFormatting sqref="F113">
    <cfRule type="cellIs" dxfId="1975" priority="158" operator="equal">
      <formula>""</formula>
    </cfRule>
  </conditionalFormatting>
  <conditionalFormatting sqref="F124">
    <cfRule type="cellIs" dxfId="1974" priority="157" operator="equal">
      <formula>""</formula>
    </cfRule>
  </conditionalFormatting>
  <conditionalFormatting sqref="F125">
    <cfRule type="cellIs" dxfId="1973" priority="156" operator="equal">
      <formula>""</formula>
    </cfRule>
  </conditionalFormatting>
  <conditionalFormatting sqref="F111">
    <cfRule type="cellIs" dxfId="1972" priority="155" operator="notEqual">
      <formula>$A115</formula>
    </cfRule>
  </conditionalFormatting>
  <conditionalFormatting sqref="F131:F132">
    <cfRule type="cellIs" dxfId="1971" priority="154" operator="equal">
      <formula>""</formula>
    </cfRule>
  </conditionalFormatting>
  <conditionalFormatting sqref="E92">
    <cfRule type="cellIs" dxfId="1970" priority="144" operator="notEqual">
      <formula>$A94</formula>
    </cfRule>
  </conditionalFormatting>
  <conditionalFormatting sqref="F92">
    <cfRule type="cellIs" dxfId="1969" priority="141" operator="notEqual">
      <formula>$A94</formula>
    </cfRule>
  </conditionalFormatting>
  <conditionalFormatting sqref="E61">
    <cfRule type="cellIs" dxfId="1968" priority="135" operator="notEqual">
      <formula>$A65</formula>
    </cfRule>
  </conditionalFormatting>
  <conditionalFormatting sqref="E58">
    <cfRule type="cellIs" dxfId="1967" priority="134" operator="notEqual">
      <formula>$A62</formula>
    </cfRule>
  </conditionalFormatting>
  <conditionalFormatting sqref="E60">
    <cfRule type="cellIs" dxfId="1966" priority="133" operator="notEqual">
      <formula>$A64</formula>
    </cfRule>
  </conditionalFormatting>
  <conditionalFormatting sqref="E60">
    <cfRule type="cellIs" dxfId="1965" priority="132" operator="notEqual">
      <formula>$A64</formula>
    </cfRule>
  </conditionalFormatting>
  <conditionalFormatting sqref="F61">
    <cfRule type="cellIs" dxfId="1964" priority="131" operator="notEqual">
      <formula>$A65</formula>
    </cfRule>
  </conditionalFormatting>
  <conditionalFormatting sqref="F58">
    <cfRule type="cellIs" dxfId="1963" priority="130" operator="notEqual">
      <formula>$A62</formula>
    </cfRule>
  </conditionalFormatting>
  <conditionalFormatting sqref="F60">
    <cfRule type="cellIs" dxfId="1962" priority="129" operator="notEqual">
      <formula>$A64</formula>
    </cfRule>
  </conditionalFormatting>
  <conditionalFormatting sqref="F60">
    <cfRule type="cellIs" dxfId="1961" priority="128" operator="notEqual">
      <formula>$A64</formula>
    </cfRule>
  </conditionalFormatting>
  <conditionalFormatting sqref="E57">
    <cfRule type="cellIs" dxfId="1960" priority="127" operator="notEqual">
      <formula>$A61</formula>
    </cfRule>
  </conditionalFormatting>
  <conditionalFormatting sqref="E57:F57">
    <cfRule type="cellIs" dxfId="1959" priority="126" operator="notEqual">
      <formula>$A61</formula>
    </cfRule>
  </conditionalFormatting>
  <conditionalFormatting sqref="F57">
    <cfRule type="cellIs" dxfId="1958" priority="125" operator="notEqual">
      <formula>$A61</formula>
    </cfRule>
  </conditionalFormatting>
  <conditionalFormatting sqref="E59:F59">
    <cfRule type="cellIs" dxfId="1957" priority="124" operator="notEqual">
      <formula>$A63</formula>
    </cfRule>
  </conditionalFormatting>
  <conditionalFormatting sqref="E59:F59">
    <cfRule type="cellIs" dxfId="1956" priority="123" operator="notEqual">
      <formula>$A63</formula>
    </cfRule>
  </conditionalFormatting>
  <conditionalFormatting sqref="E67">
    <cfRule type="cellIs" dxfId="1955" priority="122" operator="notEqual">
      <formula>$A71</formula>
    </cfRule>
  </conditionalFormatting>
  <conditionalFormatting sqref="F67">
    <cfRule type="cellIs" dxfId="1954" priority="121" operator="notEqual">
      <formula>$A71</formula>
    </cfRule>
  </conditionalFormatting>
  <conditionalFormatting sqref="E67:F67">
    <cfRule type="cellIs" dxfId="1953" priority="120" operator="notEqual">
      <formula>$A71</formula>
    </cfRule>
  </conditionalFormatting>
  <conditionalFormatting sqref="E386:F394">
    <cfRule type="cellIs" dxfId="1952" priority="119" operator="notEqual">
      <formula>$B418</formula>
    </cfRule>
  </conditionalFormatting>
  <conditionalFormatting sqref="E63">
    <cfRule type="cellIs" dxfId="1951" priority="118" operator="notEqual">
      <formula>$A67</formula>
    </cfRule>
  </conditionalFormatting>
  <conditionalFormatting sqref="E63:F63">
    <cfRule type="cellIs" dxfId="1950" priority="117" operator="notEqual">
      <formula>$A67</formula>
    </cfRule>
  </conditionalFormatting>
  <conditionalFormatting sqref="F63">
    <cfRule type="cellIs" dxfId="1949" priority="116" operator="notEqual">
      <formula>$A67</formula>
    </cfRule>
  </conditionalFormatting>
  <conditionalFormatting sqref="F62">
    <cfRule type="cellIs" dxfId="1948" priority="115" operator="notEqual">
      <formula>$A66</formula>
    </cfRule>
  </conditionalFormatting>
  <conditionalFormatting sqref="E91">
    <cfRule type="cellIs" dxfId="1947" priority="114" operator="notEqual">
      <formula>$A93</formula>
    </cfRule>
  </conditionalFormatting>
  <conditionalFormatting sqref="F91">
    <cfRule type="cellIs" dxfId="1946" priority="113" operator="notEqual">
      <formula>$A93</formula>
    </cfRule>
  </conditionalFormatting>
  <conditionalFormatting sqref="E91:F91">
    <cfRule type="cellIs" dxfId="1945" priority="112" operator="notEqual">
      <formula>$A93</formula>
    </cfRule>
  </conditionalFormatting>
  <conditionalFormatting sqref="E86">
    <cfRule type="cellIs" dxfId="1944" priority="111" operator="notEqual">
      <formula>$A90</formula>
    </cfRule>
  </conditionalFormatting>
  <conditionalFormatting sqref="E66:F66">
    <cfRule type="cellIs" dxfId="1943" priority="110" operator="notEqual">
      <formula>$A70</formula>
    </cfRule>
  </conditionalFormatting>
  <conditionalFormatting sqref="E66">
    <cfRule type="cellIs" dxfId="1942" priority="109" operator="notEqual">
      <formula>$A70</formula>
    </cfRule>
  </conditionalFormatting>
  <conditionalFormatting sqref="F66">
    <cfRule type="cellIs" dxfId="1941" priority="108" operator="notEqual">
      <formula>$A70</formula>
    </cfRule>
  </conditionalFormatting>
  <conditionalFormatting sqref="E66:F66">
    <cfRule type="cellIs" dxfId="1940" priority="107" operator="notEqual">
      <formula>$A70</formula>
    </cfRule>
  </conditionalFormatting>
  <conditionalFormatting sqref="E67:F67">
    <cfRule type="cellIs" dxfId="1939" priority="106" operator="notEqual">
      <formula>$A71</formula>
    </cfRule>
  </conditionalFormatting>
  <conditionalFormatting sqref="E67:F67">
    <cfRule type="cellIs" dxfId="1938" priority="105" operator="notEqual">
      <formula>$A71</formula>
    </cfRule>
  </conditionalFormatting>
  <conditionalFormatting sqref="F67">
    <cfRule type="cellIs" dxfId="1937" priority="104" operator="notEqual">
      <formula>$A71</formula>
    </cfRule>
  </conditionalFormatting>
  <conditionalFormatting sqref="F67">
    <cfRule type="cellIs" dxfId="1936" priority="103" operator="notEqual">
      <formula>$A71</formula>
    </cfRule>
  </conditionalFormatting>
  <conditionalFormatting sqref="F67">
    <cfRule type="cellIs" dxfId="1935" priority="102" operator="notEqual">
      <formula>$A71</formula>
    </cfRule>
  </conditionalFormatting>
  <conditionalFormatting sqref="E74">
    <cfRule type="cellIs" dxfId="1934" priority="100" operator="equal">
      <formula>""</formula>
    </cfRule>
  </conditionalFormatting>
  <conditionalFormatting sqref="E74 E71:F71">
    <cfRule type="cellIs" dxfId="1933" priority="101" operator="notEqual">
      <formula>$A80</formula>
    </cfRule>
  </conditionalFormatting>
  <conditionalFormatting sqref="F74">
    <cfRule type="cellIs" dxfId="1932" priority="99" operator="notEqual">
      <formula>$A83</formula>
    </cfRule>
  </conditionalFormatting>
  <conditionalFormatting sqref="E74:F74">
    <cfRule type="cellIs" dxfId="1931" priority="98" operator="notEqual">
      <formula>$A83</formula>
    </cfRule>
  </conditionalFormatting>
  <conditionalFormatting sqref="E34:F34">
    <cfRule type="cellIs" dxfId="1930" priority="97" operator="notEqual">
      <formula>$A38</formula>
    </cfRule>
  </conditionalFormatting>
  <conditionalFormatting sqref="E171:F171">
    <cfRule type="cellIs" dxfId="1929" priority="94" operator="notEqual">
      <formula>$A193</formula>
    </cfRule>
  </conditionalFormatting>
  <conditionalFormatting sqref="E171:F171">
    <cfRule type="cellIs" dxfId="1928" priority="93" operator="notEqual">
      <formula>$A193</formula>
    </cfRule>
  </conditionalFormatting>
  <conditionalFormatting sqref="E171:F171">
    <cfRule type="cellIs" dxfId="1927" priority="92" operator="notEqual">
      <formula>$A193</formula>
    </cfRule>
  </conditionalFormatting>
  <conditionalFormatting sqref="E171:F171">
    <cfRule type="cellIs" dxfId="1926" priority="91" operator="notEqual">
      <formula>$A193</formula>
    </cfRule>
  </conditionalFormatting>
  <conditionalFormatting sqref="E170">
    <cfRule type="cellIs" dxfId="1925" priority="90" operator="notEqual">
      <formula>$A192</formula>
    </cfRule>
  </conditionalFormatting>
  <conditionalFormatting sqref="F170">
    <cfRule type="cellIs" dxfId="1924" priority="89" operator="notEqual">
      <formula>$A192</formula>
    </cfRule>
  </conditionalFormatting>
  <conditionalFormatting sqref="E174:F174">
    <cfRule type="cellIs" dxfId="1923" priority="88" operator="notEqual">
      <formula>$A196</formula>
    </cfRule>
  </conditionalFormatting>
  <conditionalFormatting sqref="E174:F174">
    <cfRule type="cellIs" dxfId="1922" priority="87" operator="notEqual">
      <formula>$A196</formula>
    </cfRule>
  </conditionalFormatting>
  <conditionalFormatting sqref="E172:F172">
    <cfRule type="cellIs" dxfId="1921" priority="85" operator="notEqual">
      <formula>$A194</formula>
    </cfRule>
  </conditionalFormatting>
  <conditionalFormatting sqref="E172:F172">
    <cfRule type="cellIs" dxfId="1920" priority="84" operator="notEqual">
      <formula>$A194</formula>
    </cfRule>
  </conditionalFormatting>
  <conditionalFormatting sqref="E172:F172">
    <cfRule type="cellIs" dxfId="1919" priority="83" operator="notEqual">
      <formula>$A194</formula>
    </cfRule>
  </conditionalFormatting>
  <conditionalFormatting sqref="E172:F172">
    <cfRule type="cellIs" dxfId="1918" priority="82" operator="notEqual">
      <formula>$A194</formula>
    </cfRule>
  </conditionalFormatting>
  <conditionalFormatting sqref="E346:F349">
    <cfRule type="cellIs" dxfId="1917" priority="81" operator="notEqual">
      <formula>$A378</formula>
    </cfRule>
  </conditionalFormatting>
  <conditionalFormatting sqref="E354:F357">
    <cfRule type="cellIs" dxfId="1916" priority="80" operator="notEqual">
      <formula>$A386</formula>
    </cfRule>
  </conditionalFormatting>
  <conditionalFormatting sqref="E378:F381">
    <cfRule type="cellIs" dxfId="1915" priority="77" operator="notEqual">
      <formula>$A410</formula>
    </cfRule>
  </conditionalFormatting>
  <conditionalFormatting sqref="E362:F365">
    <cfRule type="cellIs" dxfId="1914" priority="79" operator="notEqual">
      <formula>$A394</formula>
    </cfRule>
  </conditionalFormatting>
  <conditionalFormatting sqref="E370:F373">
    <cfRule type="cellIs" dxfId="1913" priority="78" operator="notEqual">
      <formula>$A402</formula>
    </cfRule>
  </conditionalFormatting>
  <conditionalFormatting sqref="E54">
    <cfRule type="cellIs" dxfId="1912" priority="76" operator="notEqual">
      <formula>$A58</formula>
    </cfRule>
  </conditionalFormatting>
  <conditionalFormatting sqref="F54">
    <cfRule type="cellIs" dxfId="1911" priority="74" operator="notEqual">
      <formula>$A58</formula>
    </cfRule>
  </conditionalFormatting>
  <conditionalFormatting sqref="E246:F246 E248:F249">
    <cfRule type="cellIs" dxfId="1910" priority="73" operator="notEqual">
      <formula>$A282</formula>
    </cfRule>
  </conditionalFormatting>
  <conditionalFormatting sqref="E247">
    <cfRule type="cellIs" dxfId="1909" priority="72" operator="notEqual">
      <formula>$A283</formula>
    </cfRule>
  </conditionalFormatting>
  <conditionalFormatting sqref="E247">
    <cfRule type="cellIs" dxfId="1908" priority="71" operator="notEqual">
      <formula>$A283</formula>
    </cfRule>
  </conditionalFormatting>
  <conditionalFormatting sqref="F247">
    <cfRule type="cellIs" dxfId="1907" priority="70" operator="notEqual">
      <formula>$A283</formula>
    </cfRule>
  </conditionalFormatting>
  <conditionalFormatting sqref="F247">
    <cfRule type="cellIs" dxfId="1906" priority="69" operator="notEqual">
      <formula>$A283</formula>
    </cfRule>
  </conditionalFormatting>
  <conditionalFormatting sqref="E173:F173">
    <cfRule type="cellIs" dxfId="1905" priority="68" operator="notEqual">
      <formula>$A195</formula>
    </cfRule>
  </conditionalFormatting>
  <conditionalFormatting sqref="E107:F108">
    <cfRule type="cellIs" dxfId="1904" priority="67" operator="notEqual">
      <formula>$A111</formula>
    </cfRule>
  </conditionalFormatting>
  <conditionalFormatting sqref="E414:F414">
    <cfRule type="cellIs" dxfId="1903" priority="65" operator="notEqual">
      <formula>$A446</formula>
    </cfRule>
  </conditionalFormatting>
  <conditionalFormatting sqref="E417:F418">
    <cfRule type="cellIs" dxfId="1902" priority="64" operator="notEqual">
      <formula>$A449</formula>
    </cfRule>
  </conditionalFormatting>
  <conditionalFormatting sqref="E103:F104">
    <cfRule type="cellIs" dxfId="1901" priority="63" operator="notEqual">
      <formula>$A107</formula>
    </cfRule>
  </conditionalFormatting>
  <conditionalFormatting sqref="E99:F99">
    <cfRule type="cellIs" dxfId="1900" priority="62" operator="notEqual">
      <formula>$A103</formula>
    </cfRule>
  </conditionalFormatting>
  <conditionalFormatting sqref="E100:F102">
    <cfRule type="cellIs" dxfId="1899" priority="61" operator="notEqual">
      <formula>$A104</formula>
    </cfRule>
  </conditionalFormatting>
  <conditionalFormatting sqref="E100:F102">
    <cfRule type="cellIs" dxfId="1898" priority="60" operator="notEqual">
      <formula>$A104</formula>
    </cfRule>
  </conditionalFormatting>
  <conditionalFormatting sqref="E415:F416">
    <cfRule type="cellIs" dxfId="1897" priority="59" operator="notEqual">
      <formula>$A447</formula>
    </cfRule>
  </conditionalFormatting>
  <conditionalFormatting sqref="E48:F48">
    <cfRule type="cellIs" dxfId="1896" priority="58" operator="notEqual">
      <formula>$A51</formula>
    </cfRule>
  </conditionalFormatting>
  <conditionalFormatting sqref="D20">
    <cfRule type="cellIs" dxfId="1895" priority="57" operator="equal">
      <formula>""</formula>
    </cfRule>
  </conditionalFormatting>
  <conditionalFormatting sqref="D19">
    <cfRule type="cellIs" dxfId="1894" priority="56" operator="equal">
      <formula>""</formula>
    </cfRule>
  </conditionalFormatting>
  <conditionalFormatting sqref="E43:F44">
    <cfRule type="cellIs" dxfId="1893" priority="19934" operator="notEqual">
      <formula>$A46</formula>
    </cfRule>
  </conditionalFormatting>
  <conditionalFormatting sqref="A75:A79">
    <cfRule type="cellIs" dxfId="1892" priority="55" operator="notEqual">
      <formula>$A75</formula>
    </cfRule>
  </conditionalFormatting>
  <conditionalFormatting sqref="D75:D79">
    <cfRule type="cellIs" dxfId="1891" priority="54" operator="equal">
      <formula>""</formula>
    </cfRule>
  </conditionalFormatting>
  <conditionalFormatting sqref="G77:G79">
    <cfRule type="cellIs" dxfId="1890" priority="53" operator="notEqual">
      <formula>$A77</formula>
    </cfRule>
  </conditionalFormatting>
  <conditionalFormatting sqref="G79">
    <cfRule type="cellIs" dxfId="1889" priority="52" operator="notEqual">
      <formula>$A79</formula>
    </cfRule>
  </conditionalFormatting>
  <conditionalFormatting sqref="G75">
    <cfRule type="cellIs" dxfId="1888" priority="51" operator="notEqual">
      <formula>$A75</formula>
    </cfRule>
  </conditionalFormatting>
  <conditionalFormatting sqref="G76">
    <cfRule type="cellIs" dxfId="1887" priority="49" operator="notEqual">
      <formula>$A76</formula>
    </cfRule>
  </conditionalFormatting>
  <conditionalFormatting sqref="E75:F79">
    <cfRule type="cellIs" dxfId="1886" priority="47" operator="notEqual">
      <formula>$A75</formula>
    </cfRule>
  </conditionalFormatting>
  <conditionalFormatting sqref="E79:F79">
    <cfRule type="cellIs" dxfId="1885" priority="46" operator="notEqual">
      <formula>$A79</formula>
    </cfRule>
  </conditionalFormatting>
  <conditionalFormatting sqref="E314:F325">
    <cfRule type="cellIs" dxfId="1884" priority="19947" operator="notEqual">
      <formula>$A354</formula>
    </cfRule>
  </conditionalFormatting>
  <conditionalFormatting sqref="F203:F204 F206:F207 F200">
    <cfRule type="cellIs" dxfId="1883" priority="36" operator="equal">
      <formula>""</formula>
    </cfRule>
  </conditionalFormatting>
  <conditionalFormatting sqref="E203:E207 E200">
    <cfRule type="cellIs" dxfId="1882" priority="27" operator="equal">
      <formula>""</formula>
    </cfRule>
  </conditionalFormatting>
  <conditionalFormatting sqref="F205">
    <cfRule type="cellIs" dxfId="1881" priority="20" operator="equal">
      <formula>""</formula>
    </cfRule>
  </conditionalFormatting>
  <conditionalFormatting sqref="E47:F47">
    <cfRule type="cellIs" dxfId="1880" priority="20011" operator="notEqual">
      <formula>#REF!</formula>
    </cfRule>
  </conditionalFormatting>
  <conditionalFormatting sqref="E89:F90">
    <cfRule type="cellIs" dxfId="1879" priority="20108" operator="notEqual">
      <formula>#REF!</formula>
    </cfRule>
  </conditionalFormatting>
  <conditionalFormatting sqref="G253 G250:G251">
    <cfRule type="cellIs" dxfId="1878" priority="15" operator="notEqual">
      <formula>$A250</formula>
    </cfRule>
  </conditionalFormatting>
  <conditionalFormatting sqref="G252">
    <cfRule type="cellIs" dxfId="1877" priority="14" operator="notEqual">
      <formula>$A252</formula>
    </cfRule>
  </conditionalFormatting>
  <conditionalFormatting sqref="G251">
    <cfRule type="cellIs" dxfId="1876" priority="13" operator="notEqual">
      <formula>$A251</formula>
    </cfRule>
  </conditionalFormatting>
  <conditionalFormatting sqref="G250">
    <cfRule type="cellIs" dxfId="1875" priority="12" operator="notEqual">
      <formula>$A250</formula>
    </cfRule>
  </conditionalFormatting>
  <conditionalFormatting sqref="G253">
    <cfRule type="cellIs" dxfId="1874" priority="11" operator="notEqual">
      <formula>$A253</formula>
    </cfRule>
  </conditionalFormatting>
  <conditionalFormatting sqref="F253 F250:F251">
    <cfRule type="cellIs" dxfId="1873" priority="10" operator="notEqual">
      <formula>$A250</formula>
    </cfRule>
  </conditionalFormatting>
  <conditionalFormatting sqref="F252">
    <cfRule type="cellIs" dxfId="1872" priority="9" operator="notEqual">
      <formula>$A252</formula>
    </cfRule>
  </conditionalFormatting>
  <conditionalFormatting sqref="F251">
    <cfRule type="cellIs" dxfId="1871" priority="8" operator="notEqual">
      <formula>$A251</formula>
    </cfRule>
  </conditionalFormatting>
  <conditionalFormatting sqref="F250">
    <cfRule type="cellIs" dxfId="1870" priority="7" operator="notEqual">
      <formula>$A250</formula>
    </cfRule>
  </conditionalFormatting>
  <conditionalFormatting sqref="F253">
    <cfRule type="cellIs" dxfId="1869" priority="6" operator="notEqual">
      <formula>$A253</formula>
    </cfRule>
  </conditionalFormatting>
  <conditionalFormatting sqref="E253 E250:E251">
    <cfRule type="cellIs" dxfId="1868" priority="5" operator="notEqual">
      <formula>$A250</formula>
    </cfRule>
  </conditionalFormatting>
  <conditionalFormatting sqref="E252">
    <cfRule type="cellIs" dxfId="1867" priority="4" operator="notEqual">
      <formula>$A252</formula>
    </cfRule>
  </conditionalFormatting>
  <conditionalFormatting sqref="E251">
    <cfRule type="cellIs" dxfId="1866" priority="3" operator="notEqual">
      <formula>$A251</formula>
    </cfRule>
  </conditionalFormatting>
  <conditionalFormatting sqref="E250">
    <cfRule type="cellIs" dxfId="1865" priority="2" operator="notEqual">
      <formula>$A250</formula>
    </cfRule>
  </conditionalFormatting>
  <conditionalFormatting sqref="E253">
    <cfRule type="cellIs" dxfId="1864" priority="1" operator="notEqual">
      <formula>$A253</formula>
    </cfRule>
  </conditionalFormatting>
  <conditionalFormatting sqref="E180:F181">
    <cfRule type="cellIs" dxfId="1863" priority="20109" operator="notEqual">
      <formula>#REF!</formula>
    </cfRule>
  </conditionalFormatting>
  <conditionalFormatting sqref="E177:F179">
    <cfRule type="cellIs" dxfId="1862" priority="20111" operator="notEqual">
      <formula>#REF!</formula>
    </cfRule>
  </conditionalFormatting>
  <conditionalFormatting sqref="E31:F31">
    <cfRule type="cellIs" dxfId="1861" priority="20112" operator="notEqual">
      <formula>#REF!</formula>
    </cfRule>
  </conditionalFormatting>
  <dataValidations count="33">
    <dataValidation type="list" allowBlank="1" showInputMessage="1" showErrorMessage="1" sqref="A219 A181 E178:G179 A176 E181:G181 E176:G176 E70:G70 E44:G44 E219:G219 A178:A179" xr:uid="{00000000-0002-0000-0300-000000000000}">
      <formula1>"Yes,No"</formula1>
    </dataValidation>
    <dataValidation type="list" allowBlank="1" showInputMessage="1" showErrorMessage="1" sqref="A171:A172 E206:G206 E414:G418 E171:G172" xr:uid="{00000000-0002-0000-0300-000002000000}">
      <formula1>"Yes, No"</formula1>
    </dataValidation>
    <dataValidation type="list" allowBlank="1" showInputMessage="1" showErrorMessage="1" sqref="A173 E173:G173" xr:uid="{00000000-0002-0000-0300-000003000000}">
      <formula1>"Before Surrender Charge,After Surrender Charge"</formula1>
    </dataValidation>
    <dataValidation type="list" allowBlank="1" showInputMessage="1" showErrorMessage="1" sqref="A174 E174:G174" xr:uid="{00000000-0002-0000-0300-000004000000}">
      <formula1>"Continuous,Discrete Annual"</formula1>
    </dataValidation>
    <dataValidation type="list" allowBlank="1" showInputMessage="1" showErrorMessage="1" sqref="A100 E100:G100" xr:uid="{00000000-0002-0000-0300-000005000000}">
      <formula1>"Annually,Quarterly"</formula1>
    </dataValidation>
    <dataValidation type="list" allowBlank="1" showInputMessage="1" showErrorMessage="1" sqref="E71:G71" xr:uid="{00000000-0002-0000-0300-000006000000}">
      <formula1>"FUND_VALUE,INTRINSIC_VALUE"</formula1>
    </dataValidation>
    <dataValidation type="list" allowBlank="1" showInputMessage="1" showErrorMessage="1" sqref="E89:G89" xr:uid="{00000000-0002-0000-0300-000007000000}">
      <formula1>"Fund Value, Premium,Intrinsic Value"</formula1>
    </dataValidation>
    <dataValidation type="list" allowBlank="1" showInputMessage="1" showErrorMessage="1" sqref="E43:G43" xr:uid="{00000000-0002-0000-0300-000008000000}">
      <formula1>"Fund Value, Cash Value, Max Fund and Cash Values, Max Fund Value and MWV,Max Strategy Value and MWV"</formula1>
    </dataValidation>
    <dataValidation type="list" allowBlank="1" showInputMessage="1" showErrorMessage="1" sqref="G33 E30:G30" xr:uid="{00000000-0002-0000-0300-000009000000}">
      <formula1>"Renewal 2018,Renewal 2019,Renewal 2020,Alt Model Crediting NER Input,Alt Model Bond Portfolio,Alt Model Renewal Strategy"</formula1>
    </dataValidation>
    <dataValidation type="list" allowBlank="1" showInputMessage="1" showErrorMessage="1" sqref="E95:G95" xr:uid="{00000000-0002-0000-0300-00000A000000}">
      <formula1>"Not Applicable, Coinsurance"</formula1>
    </dataValidation>
    <dataValidation type="list" allowBlank="1" showInputMessage="1" showErrorMessage="1" sqref="E96:G96" xr:uid="{00000000-0002-0000-0300-00000B000000}">
      <formula1>"Base Only, Rider Only, Base Rider"</formula1>
    </dataValidation>
    <dataValidation type="list" allowBlank="1" showInputMessage="1" showErrorMessage="1" sqref="E114:G114" xr:uid="{00000000-0002-0000-0300-00000C000000}">
      <formula1>"Fixed Rate, Competitor Rate Less Sprd"</formula1>
    </dataValidation>
    <dataValidation type="list" allowBlank="1" showInputMessage="1" showErrorMessage="1" sqref="E35:G35 E32:G32" xr:uid="{00000000-0002-0000-0300-00000D000000}">
      <formula1>"Input Vector, Bond"</formula1>
    </dataValidation>
    <dataValidation type="list" allowBlank="1" showInputMessage="1" showErrorMessage="1" sqref="E196:G197" xr:uid="{00000000-0002-0000-0300-00000E000000}">
      <formula1>"Use missing_val_defn,No Growth, Last Option Cost at Risk Free Rate"</formula1>
    </dataValidation>
    <dataValidation type="list" allowBlank="1" showInputMessage="1" showErrorMessage="1" sqref="E202:G202" xr:uid="{00000000-0002-0000-0300-00000F000000}">
      <formula1>"Input, Proxy Yield, User Input"</formula1>
    </dataValidation>
    <dataValidation type="list" allowBlank="1" showInputMessage="1" showErrorMessage="1" sqref="E192:G192" xr:uid="{00000000-0002-0000-0300-000010000000}">
      <formula1>"Initial Account Value Allocation,Specified Allocation"</formula1>
    </dataValidation>
    <dataValidation type="list" allowBlank="1" showInputMessage="1" showErrorMessage="1" sqref="E191:G191" xr:uid="{00000000-0002-0000-0300-000011000000}">
      <formula1>"Annual,Semi_Annual,Quarterly,Monthly"</formula1>
    </dataValidation>
    <dataValidation type="list" allowBlank="1" showInputMessage="1" showErrorMessage="1" sqref="E190:G190" xr:uid="{00000000-0002-0000-0300-000012000000}">
      <formula1>"Drift,Rebalance"</formula1>
    </dataValidation>
    <dataValidation type="whole" allowBlank="1" showInputMessage="1" showErrorMessage="1" sqref="E247:G247 E251:G251" xr:uid="{00000000-0002-0000-0300-000013000000}">
      <formula1>0</formula1>
      <formula2>9999</formula2>
    </dataValidation>
    <dataValidation type="list" allowBlank="1" showInputMessage="1" showErrorMessage="1" sqref="E31:G31 E34:G34" xr:uid="{00000000-0002-0000-0300-000014000000}">
      <formula1>"Par Yield, Company Yield Plus Matrix Spread"</formula1>
    </dataValidation>
    <dataValidation type="list" allowBlank="1" showInputMessage="1" showErrorMessage="1" sqref="E60:G60" xr:uid="{00000000-0002-0000-0300-000015000000}">
      <formula1>"Monthly,Annual"</formula1>
    </dataValidation>
    <dataValidation type="list" allowBlank="1" showInputMessage="1" showErrorMessage="1" sqref="E57:G57" xr:uid="{00000000-0002-0000-0300-000016000000}">
      <formula1>"Weighted, Maximum"</formula1>
    </dataValidation>
    <dataValidation type="list" allowBlank="1" showInputMessage="1" showErrorMessage="1" sqref="E193:G193" xr:uid="{00000000-0002-0000-0300-000017000000}">
      <formula1>"Index Account Value,EIV"</formula1>
    </dataValidation>
    <dataValidation type="list" allowBlank="1" showInputMessage="1" showErrorMessage="1" sqref="E386:G394" xr:uid="{00000000-0002-0000-0300-000018000000}">
      <formula1>"High,Medium,Low"</formula1>
    </dataValidation>
    <dataValidation type="list" allowBlank="1" showInputMessage="1" showErrorMessage="1" sqref="E62:G62" xr:uid="{00000000-0002-0000-0300-000019000000}">
      <formula1>"Original,Refactor"</formula1>
    </dataValidation>
    <dataValidation type="whole" allowBlank="1" showInputMessage="1" showErrorMessage="1" sqref="E63:G63" xr:uid="{00000000-0002-0000-0300-00001A000000}">
      <formula1>0</formula1>
      <formula2>99999</formula2>
    </dataValidation>
    <dataValidation type="list" allowBlank="1" showInputMessage="1" showErrorMessage="1" sqref="E91:G91" xr:uid="{00000000-0002-0000-0300-00001B000000}">
      <formula1>"ALTERNATE_MWV,REGULAR_MWV,REGULAR_MWV_WITH_GLB_CHG"</formula1>
    </dataValidation>
    <dataValidation type="list" allowBlank="1" showErrorMessage="1" sqref="E67:G67" xr:uid="{00000000-0002-0000-0300-00001C000000}">
      <formula1>"Monthly Life Annuity Factors,Annual Life Annuity Factors"</formula1>
    </dataValidation>
    <dataValidation type="list" allowBlank="1" showInputMessage="1" showErrorMessage="1" sqref="E74:G74" xr:uid="{00000000-0002-0000-0300-00001D000000}">
      <formula1>"ANN,OTHER"</formula1>
    </dataValidation>
    <dataValidation type="list" allowBlank="1" showInputMessage="1" showErrorMessage="1" sqref="E107:G108" xr:uid="{00000000-0002-0000-0300-00001E000000}">
      <formula1>"Not Applicable,Cedant,Reinsurer"</formula1>
    </dataValidation>
    <dataValidation type="list" allowBlank="1" showErrorMessage="1" sqref="E66:G66" xr:uid="{00000000-0002-0000-0300-00001F000000}">
      <formula1>"Yes,No"</formula1>
    </dataValidation>
    <dataValidation type="list" allowBlank="1" showInputMessage="1" showErrorMessage="1" sqref="G47" xr:uid="{00000000-0002-0000-0300-000020000000}">
      <formula1>"Monthly, Annual"</formula1>
    </dataValidation>
    <dataValidation type="list" allowBlank="1" showInputMessage="1" showErrorMessage="1" sqref="E33:F33" xr:uid="{00000000-0002-0000-0300-000021000000}">
      <formula1>"Renewal 2019,Renewal 2020,Alt Model Renewal Strategy"</formula1>
    </dataValidation>
  </dataValidations>
  <hyperlinks>
    <hyperlink ref="B117" location="PurchRateCurrSprd" display="purch_rate_curr_sprd" xr:uid="{00000000-0004-0000-0300-000000000000}"/>
    <hyperlink ref="A128" location="'Table of Contents'!A1" display="Go to TOC" xr:uid="{00000000-0004-0000-0300-000001000000}"/>
    <hyperlink ref="A129" location="Product!B63" display="Back to Main" xr:uid="{00000000-0004-0000-0300-000002000000}"/>
    <hyperlink ref="A134" location="'Table of Contents'!A1" display="Go to TOC" xr:uid="{00000000-0004-0000-0300-000003000000}"/>
    <hyperlink ref="A135" location="Product!B63" display="Back to Main" xr:uid="{00000000-0004-0000-0300-000004000000}"/>
    <hyperlink ref="A185" location="'Table of Contents'!A1" display="Go to TOC" xr:uid="{00000000-0004-0000-0300-000005000000}"/>
    <hyperlink ref="A186" location="Product!B63" display="Back to Main" xr:uid="{00000000-0004-0000-0300-000006000000}"/>
    <hyperlink ref="A221" location="'Table of Contents'!A1" display="Go to TOC" xr:uid="{00000000-0004-0000-0300-000007000000}"/>
    <hyperlink ref="A222" location="Product!B63" display="Back to Main" xr:uid="{00000000-0004-0000-0300-000008000000}"/>
    <hyperlink ref="A153" location="'Table of Contents'!A1" display="Go to TOC" xr:uid="{00000000-0004-0000-0300-000009000000}"/>
    <hyperlink ref="A154" location="Product!B63" display="Back to Main" xr:uid="{00000000-0004-0000-0300-00000A000000}"/>
    <hyperlink ref="A38" location="'Table of Contents'!A1" display="Go to TOC" xr:uid="{00000000-0004-0000-0300-00000B000000}"/>
    <hyperlink ref="A39" location="Product!B63" display="Back to Main" xr:uid="{00000000-0004-0000-0300-00000C000000}"/>
    <hyperlink ref="A1" location="'Table of Contents'!A1" display="Go to TOC" xr:uid="{00000000-0004-0000-0300-00000D000000}"/>
    <hyperlink ref="A13" location="'Table of Contents'!A1" display="Go to TOC" xr:uid="{00000000-0004-0000-0300-00000E000000}"/>
    <hyperlink ref="A14" location="Product!B63" display="Back to Main" xr:uid="{00000000-0004-0000-0300-00000F000000}"/>
    <hyperlink ref="A243" location="'Table of Contents'!A1" display="Go to TOC" xr:uid="{00000000-0004-0000-0300-000010000000}"/>
    <hyperlink ref="A244" location="Product!B63" display="Back to Main" xr:uid="{00000000-0004-0000-0300-000011000000}"/>
    <hyperlink ref="A271" location="'Table of Contents'!A1" display="Go to TOC" xr:uid="{00000000-0004-0000-0300-000012000000}"/>
    <hyperlink ref="A272" location="Product!B63" display="Back to Main" xr:uid="{00000000-0004-0000-0300-000013000000}"/>
    <hyperlink ref="A311" location="'Table of Contents'!A1" display="Go to TOC" xr:uid="{00000000-0004-0000-0300-000014000000}"/>
    <hyperlink ref="A312" location="Product!B63" display="Back to Main" xr:uid="{00000000-0004-0000-0300-000015000000}"/>
    <hyperlink ref="A383" location="'Table of Contents'!A1" display="Go to TOC" xr:uid="{00000000-0004-0000-0300-000016000000}"/>
    <hyperlink ref="A384" location="Product!B63" display="Back to Main" xr:uid="{00000000-0004-0000-0300-000017000000}"/>
    <hyperlink ref="A167" location="Product!B63" display="Back to Main" xr:uid="{00000000-0004-0000-0300-000018000000}"/>
    <hyperlink ref="A159" location="'Table of Contents'!A1" display="Go to TOC" xr:uid="{00000000-0004-0000-0300-000019000000}"/>
    <hyperlink ref="A160" location="Policyholder!B30" display="Back to Main" xr:uid="{00000000-0004-0000-0300-00001A000000}"/>
    <hyperlink ref="A344" location="'Table of Contents'!A1" display="Go to TOC" xr:uid="{00000000-0004-0000-0300-00001B000000}"/>
    <hyperlink ref="A345" location="Product!B63" display="Back to Main" xr:uid="{00000000-0004-0000-0300-00001C000000}"/>
    <hyperlink ref="A352" location="'Table of Contents'!A1" display="Go to TOC" xr:uid="{00000000-0004-0000-0300-00001D000000}"/>
    <hyperlink ref="A353" location="Product!B63" display="Back to Main" xr:uid="{00000000-0004-0000-0300-00001E000000}"/>
    <hyperlink ref="A360" location="'Table of Contents'!A1" display="Go to TOC" xr:uid="{00000000-0004-0000-0300-00001F000000}"/>
    <hyperlink ref="A361" location="Product!B63" display="Back to Main" xr:uid="{00000000-0004-0000-0300-000020000000}"/>
    <hyperlink ref="A368" location="'Table of Contents'!A1" display="Go to TOC" xr:uid="{00000000-0004-0000-0300-000021000000}"/>
    <hyperlink ref="A369" location="Product!B63" display="Back to Main" xr:uid="{00000000-0004-0000-0300-000022000000}"/>
    <hyperlink ref="A376" location="'Table of Contents'!A1" display="Go to TOC" xr:uid="{00000000-0004-0000-0300-000023000000}"/>
    <hyperlink ref="A377" location="Product!B63" display="Back to Main" xr:uid="{00000000-0004-0000-0300-000024000000}"/>
    <hyperlink ref="A259" location="'Table of Contents'!A1" display="Go to TOC" xr:uid="{00000000-0004-0000-0300-000025000000}"/>
    <hyperlink ref="A260" location="Product!B63" display="Back to Main" xr:uid="{00000000-0004-0000-0300-000026000000}"/>
    <hyperlink ref="A236" location="'Table of Contents'!A1" display="Go to TOC" xr:uid="{00000000-0004-0000-0300-000027000000}"/>
    <hyperlink ref="A237" location="Product!B63" display="Back to Main" xr:uid="{00000000-0004-0000-0300-000028000000}"/>
    <hyperlink ref="A292" location="'Table of Contents'!A1" display="Go to TOC" xr:uid="{00000000-0004-0000-0300-000029000000}"/>
    <hyperlink ref="A293" location="Product!B63" display="Back to Main" xr:uid="{00000000-0004-0000-0300-00002A000000}"/>
    <hyperlink ref="A327" location="'Table of Contents'!A1" display="Go to TOC" xr:uid="{00000000-0004-0000-0300-00002B000000}"/>
    <hyperlink ref="A328" location="Product!B63" display="Back to Main" xr:uid="{00000000-0004-0000-0300-00002C000000}"/>
  </hyperlinks>
  <pageMargins left="0.7" right="0.7" top="0.75" bottom="0.75" header="0.3" footer="0.3"/>
  <pageSetup orientation="portrait" r:id="rId1"/>
  <customProperties>
    <customPr name="EpmWorksheetKeyString_GUID" r:id="rId2"/>
  </customPropertie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44" operator="notEqual" id="{9038A724-B82E-4685-84F5-D23F916638DA}">
            <xm:f>Fund!#REF!</xm:f>
            <x14:dxf>
              <font>
                <color rgb="FF0000FF"/>
              </font>
            </x14:dxf>
          </x14:cfRule>
          <xm:sqref>F196:F197</xm:sqref>
        </x14:conditionalFormatting>
        <x14:conditionalFormatting xmlns:xm="http://schemas.microsoft.com/office/excel/2006/main">
          <x14:cfRule type="cellIs" priority="43" operator="notEqual" id="{123F1150-29EB-4ED6-9B0F-FB8799A384A0}">
            <xm:f>Fund!#REF!</xm:f>
            <x14:dxf>
              <font>
                <color rgb="FF0033CC"/>
              </font>
            </x14:dxf>
          </x14:cfRule>
          <xm:sqref>F191</xm:sqref>
        </x14:conditionalFormatting>
        <x14:conditionalFormatting xmlns:xm="http://schemas.microsoft.com/office/excel/2006/main">
          <x14:cfRule type="cellIs" priority="41" operator="notEqual" id="{6FDD1D27-8315-4810-AC26-927A28C785D7}">
            <xm:f>Fund!#REF!</xm:f>
            <x14:dxf>
              <font>
                <color rgb="FF0033CC"/>
              </font>
            </x14:dxf>
          </x14:cfRule>
          <xm:sqref>E191</xm:sqref>
        </x14:conditionalFormatting>
        <x14:conditionalFormatting xmlns:xm="http://schemas.microsoft.com/office/excel/2006/main">
          <x14:cfRule type="cellIs" priority="40" operator="notEqual" id="{83231770-F86E-4F62-97A3-DD6D7203A029}">
            <xm:f>Fund!#REF!</xm:f>
            <x14:dxf>
              <font>
                <color rgb="FF0000FF"/>
              </font>
            </x14:dxf>
          </x14:cfRule>
          <xm:sqref>E196:E197</xm:sqref>
        </x14:conditionalFormatting>
        <x14:conditionalFormatting xmlns:xm="http://schemas.microsoft.com/office/excel/2006/main">
          <x14:cfRule type="cellIs" priority="38" operator="notEqual" id="{9F310F2C-D867-4760-8BBF-012ED5344942}">
            <xm:f>Fund!#REF!</xm:f>
            <x14:dxf>
              <font>
                <color rgb="FF0033CC"/>
              </font>
            </x14:dxf>
          </x14:cfRule>
          <xm:sqref>F203:F204 F200</xm:sqref>
        </x14:conditionalFormatting>
        <x14:conditionalFormatting xmlns:xm="http://schemas.microsoft.com/office/excel/2006/main">
          <x14:cfRule type="cellIs" priority="39" operator="notEqual" id="{DF56FB1E-96C3-47B7-AF16-DCA6A58FC0B3}">
            <xm:f>Fund!#REF!</xm:f>
            <x14:dxf>
              <font>
                <color rgb="FF0033CC"/>
              </font>
            </x14:dxf>
          </x14:cfRule>
          <xm:sqref>F206:F207</xm:sqref>
        </x14:conditionalFormatting>
        <x14:conditionalFormatting xmlns:xm="http://schemas.microsoft.com/office/excel/2006/main">
          <x14:cfRule type="cellIs" priority="29" operator="notEqual" id="{DBDD58B6-57B0-498A-B08F-DBE08916BEF1}">
            <xm:f>Fund!#REF!</xm:f>
            <x14:dxf>
              <font>
                <color rgb="FF0033CC"/>
              </font>
            </x14:dxf>
          </x14:cfRule>
          <xm:sqref>E203:E204 E200</xm:sqref>
        </x14:conditionalFormatting>
        <x14:conditionalFormatting xmlns:xm="http://schemas.microsoft.com/office/excel/2006/main">
          <x14:cfRule type="cellIs" priority="30" operator="notEqual" id="{667A801F-809D-415C-8163-43E2303D0BD9}">
            <xm:f>Fund!#REF!</xm:f>
            <x14:dxf>
              <font>
                <color rgb="FF0033CC"/>
              </font>
            </x14:dxf>
          </x14:cfRule>
          <xm:sqref>E205:E207</xm:sqref>
        </x14:conditionalFormatting>
        <x14:conditionalFormatting xmlns:xm="http://schemas.microsoft.com/office/excel/2006/main">
          <x14:cfRule type="cellIs" priority="21" operator="notEqual" id="{E58099CC-193E-4A7C-B1E7-B8F3EAC9C029}">
            <xm:f>Fund!#REF!</xm:f>
            <x14:dxf>
              <font>
                <color rgb="FF0033CC"/>
              </font>
            </x14:dxf>
          </x14:cfRule>
          <xm:sqref>F205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AL483"/>
  <sheetViews>
    <sheetView showGridLines="0" zoomScale="80" zoomScaleNormal="80" workbookViewId="0">
      <pane xSplit="3" ySplit="5" topLeftCell="M41" activePane="bottomRight" state="frozen"/>
      <selection activeCell="W18" sqref="W18"/>
      <selection pane="topRight" activeCell="W18" sqref="W18"/>
      <selection pane="bottomLeft" activeCell="W18" sqref="W18"/>
      <selection pane="bottomRight" activeCell="V49" sqref="V49"/>
    </sheetView>
  </sheetViews>
  <sheetFormatPr defaultColWidth="15.54296875" defaultRowHeight="12.75" customHeight="1" outlineLevelRow="1" outlineLevelCol="1"/>
  <cols>
    <col min="1" max="1" width="21.453125" customWidth="1"/>
    <col min="2" max="2" width="31.1796875" customWidth="1"/>
    <col min="3" max="3" width="19.54296875" style="164" customWidth="1"/>
    <col min="4" max="4" width="8.453125" customWidth="1"/>
    <col min="5" max="5" width="7.453125" style="164" customWidth="1"/>
    <col min="6" max="6" width="15.54296875" style="167" customWidth="1" outlineLevel="1"/>
    <col min="7" max="11" width="15.54296875" style="167" customWidth="1"/>
    <col min="12" max="12" width="18.81640625" style="167" customWidth="1"/>
    <col min="13" max="13" width="17.54296875" style="167" customWidth="1"/>
    <col min="14" max="14" width="17.54296875" style="167" customWidth="1" collapsed="1"/>
    <col min="15" max="18" width="15.54296875" style="167" hidden="1" customWidth="1" outlineLevel="1"/>
    <col min="19" max="19" width="15.54296875" style="167" customWidth="1" collapsed="1"/>
    <col min="20" max="20" width="15.54296875" style="167" customWidth="1"/>
    <col min="21" max="21" width="17.54296875" style="167" customWidth="1" collapsed="1"/>
    <col min="22" max="23" width="19.7265625" style="167" customWidth="1" collapsed="1"/>
    <col min="24" max="24" width="17.453125" style="167" customWidth="1"/>
    <col min="25" max="25" width="17.54296875" style="167" customWidth="1" collapsed="1"/>
    <col min="26" max="26" width="17.453125" style="167" customWidth="1"/>
    <col min="27" max="27" width="19.54296875" style="167" customWidth="1"/>
    <col min="28" max="33" width="17.453125" style="167" customWidth="1"/>
    <col min="34" max="35" width="15.54296875" style="167" hidden="1" customWidth="1" outlineLevel="1"/>
    <col min="36" max="36" width="18" style="167" hidden="1" customWidth="1" outlineLevel="1"/>
    <col min="37" max="37" width="15.54296875" style="167" hidden="1" customWidth="1" outlineLevel="1"/>
    <col min="38" max="38" width="15.54296875" collapsed="1"/>
  </cols>
  <sheetData>
    <row r="1" spans="1:38" s="27" customFormat="1" ht="15.5">
      <c r="A1" s="29" t="s">
        <v>161</v>
      </c>
      <c r="B1" s="17" t="s">
        <v>134</v>
      </c>
      <c r="C1" s="17"/>
      <c r="D1"/>
      <c r="E1" s="164"/>
      <c r="F1" s="242"/>
      <c r="G1" s="242"/>
      <c r="H1" s="242"/>
      <c r="I1" s="242"/>
      <c r="J1" s="242"/>
      <c r="K1" s="242"/>
      <c r="L1" s="242"/>
      <c r="M1" s="167"/>
      <c r="N1" s="167"/>
      <c r="O1" s="242"/>
      <c r="P1" s="242"/>
      <c r="Q1" s="242"/>
      <c r="R1" s="242"/>
      <c r="S1" s="242"/>
      <c r="T1" s="167"/>
      <c r="U1" s="242"/>
      <c r="V1" s="167"/>
      <c r="W1" s="167"/>
      <c r="X1" s="167"/>
      <c r="Y1" s="167"/>
      <c r="Z1" s="167"/>
      <c r="AA1" s="167"/>
      <c r="AB1" s="167"/>
      <c r="AC1" s="167"/>
      <c r="AD1" s="167"/>
      <c r="AE1" s="167"/>
      <c r="AF1" s="167"/>
      <c r="AG1" s="167"/>
      <c r="AH1" s="242"/>
      <c r="AI1" s="242"/>
      <c r="AJ1" s="242"/>
      <c r="AK1" s="242"/>
    </row>
    <row r="2" spans="1:38" s="27" customFormat="1" ht="12.75" customHeight="1">
      <c r="A2" s="11"/>
      <c r="B2" s="14"/>
      <c r="C2" s="14"/>
      <c r="D2"/>
      <c r="E2" s="164"/>
      <c r="F2" s="242"/>
      <c r="G2" s="242"/>
      <c r="H2" s="242"/>
      <c r="I2" s="242"/>
      <c r="J2" s="242"/>
      <c r="K2" s="242"/>
      <c r="L2" s="242"/>
      <c r="M2" s="167"/>
      <c r="N2" s="167"/>
      <c r="O2" s="242"/>
      <c r="P2" s="242"/>
      <c r="Q2" s="242"/>
      <c r="R2" s="242"/>
      <c r="S2" s="242"/>
      <c r="T2" s="167"/>
      <c r="U2" s="242"/>
      <c r="V2" s="167"/>
      <c r="W2" s="167"/>
      <c r="X2" s="167"/>
      <c r="Y2" s="167"/>
      <c r="Z2" s="167"/>
      <c r="AA2" s="167"/>
      <c r="AB2" s="598"/>
      <c r="AC2" s="598"/>
      <c r="AD2" s="598"/>
      <c r="AE2" s="167"/>
      <c r="AF2" s="167"/>
      <c r="AG2" s="167"/>
      <c r="AH2" s="242"/>
      <c r="AI2" s="242"/>
      <c r="AJ2" s="242"/>
      <c r="AK2" s="242"/>
    </row>
    <row r="3" spans="1:38" s="27" customFormat="1" ht="12.75" customHeight="1">
      <c r="A3" s="42"/>
      <c r="B3" s="18" t="str">
        <f ca="1">GetNameRange(B5)</f>
        <v>FIAFundCred</v>
      </c>
      <c r="C3" s="18"/>
      <c r="D3"/>
      <c r="E3" s="164"/>
      <c r="F3" s="167"/>
      <c r="G3" s="167"/>
      <c r="H3" s="242" t="s">
        <v>675</v>
      </c>
      <c r="I3" s="242" t="s">
        <v>698</v>
      </c>
      <c r="J3" s="242" t="s">
        <v>734</v>
      </c>
      <c r="K3" s="242" t="s">
        <v>675</v>
      </c>
      <c r="L3" s="636" t="s">
        <v>808</v>
      </c>
      <c r="M3" s="242" t="s">
        <v>698</v>
      </c>
      <c r="N3" s="242" t="s">
        <v>699</v>
      </c>
      <c r="O3" s="242" t="s">
        <v>676</v>
      </c>
      <c r="P3" s="242" t="s">
        <v>679</v>
      </c>
      <c r="Q3" s="242" t="s">
        <v>680</v>
      </c>
      <c r="R3" s="242" t="s">
        <v>682</v>
      </c>
      <c r="S3" s="242" t="s">
        <v>675</v>
      </c>
      <c r="T3" s="242" t="s">
        <v>700</v>
      </c>
      <c r="U3" s="242" t="s">
        <v>808</v>
      </c>
      <c r="V3" s="636" t="s">
        <v>817</v>
      </c>
      <c r="W3" s="636" t="s">
        <v>820</v>
      </c>
      <c r="X3" s="242" t="s">
        <v>699</v>
      </c>
      <c r="Y3" s="242" t="s">
        <v>746</v>
      </c>
      <c r="Z3" s="242" t="s">
        <v>709</v>
      </c>
      <c r="AA3" s="657" t="s">
        <v>815</v>
      </c>
      <c r="AB3" s="242" t="s">
        <v>728</v>
      </c>
      <c r="AC3" s="242" t="s">
        <v>731</v>
      </c>
      <c r="AD3" s="242" t="s">
        <v>712</v>
      </c>
      <c r="AE3" s="242" t="s">
        <v>712</v>
      </c>
      <c r="AF3" s="242" t="s">
        <v>732</v>
      </c>
      <c r="AG3" s="242" t="s">
        <v>733</v>
      </c>
      <c r="AH3" s="242" t="s">
        <v>676</v>
      </c>
      <c r="AI3" s="242" t="s">
        <v>679</v>
      </c>
      <c r="AJ3" s="242" t="s">
        <v>686</v>
      </c>
      <c r="AK3" s="242" t="s">
        <v>682</v>
      </c>
    </row>
    <row r="4" spans="1:38" ht="12.75" customHeight="1">
      <c r="A4" s="74" t="s">
        <v>48</v>
      </c>
      <c r="B4" s="168"/>
      <c r="C4" s="75" t="s">
        <v>415</v>
      </c>
      <c r="D4" s="168" t="s">
        <v>49</v>
      </c>
      <c r="E4" s="168"/>
      <c r="F4" s="311" t="s">
        <v>299</v>
      </c>
      <c r="G4" s="311" t="s">
        <v>293</v>
      </c>
      <c r="H4" s="311" t="s">
        <v>703</v>
      </c>
      <c r="I4" s="311" t="s">
        <v>735</v>
      </c>
      <c r="J4" s="311" t="s">
        <v>736</v>
      </c>
      <c r="K4" s="311" t="s">
        <v>673</v>
      </c>
      <c r="L4" s="311" t="s">
        <v>809</v>
      </c>
      <c r="M4" s="311" t="s">
        <v>695</v>
      </c>
      <c r="N4" s="311" t="s">
        <v>696</v>
      </c>
      <c r="O4" s="311" t="s">
        <v>674</v>
      </c>
      <c r="P4" s="311" t="s">
        <v>677</v>
      </c>
      <c r="Q4" s="311" t="s">
        <v>678</v>
      </c>
      <c r="R4" s="311" t="s">
        <v>681</v>
      </c>
      <c r="S4" s="311" t="s">
        <v>683</v>
      </c>
      <c r="T4" s="311" t="s">
        <v>687</v>
      </c>
      <c r="U4" s="311" t="s">
        <v>807</v>
      </c>
      <c r="V4" s="311" t="s">
        <v>818</v>
      </c>
      <c r="W4" s="311" t="s">
        <v>821</v>
      </c>
      <c r="X4" s="311" t="s">
        <v>697</v>
      </c>
      <c r="Y4" s="311" t="s">
        <v>745</v>
      </c>
      <c r="Z4" s="311" t="s">
        <v>711</v>
      </c>
      <c r="AA4" s="311" t="s">
        <v>816</v>
      </c>
      <c r="AB4" s="311" t="s">
        <v>727</v>
      </c>
      <c r="AC4" s="311" t="s">
        <v>729</v>
      </c>
      <c r="AD4" s="311" t="s">
        <v>730</v>
      </c>
      <c r="AE4" s="311" t="s">
        <v>713</v>
      </c>
      <c r="AF4" s="311" t="s">
        <v>738</v>
      </c>
      <c r="AG4" s="311" t="s">
        <v>739</v>
      </c>
      <c r="AH4" s="311" t="s">
        <v>684</v>
      </c>
      <c r="AI4" s="311" t="s">
        <v>685</v>
      </c>
      <c r="AJ4" s="311" t="s">
        <v>689</v>
      </c>
      <c r="AK4" s="311" t="s">
        <v>688</v>
      </c>
    </row>
    <row r="5" spans="1:38" ht="12.75" customHeight="1" thickBot="1">
      <c r="A5" s="85"/>
      <c r="B5" s="84" t="s">
        <v>29</v>
      </c>
      <c r="C5" s="208"/>
      <c r="D5" s="78"/>
      <c r="E5" s="78"/>
      <c r="F5" s="85"/>
      <c r="G5" s="85"/>
      <c r="H5" s="85"/>
      <c r="I5" s="85"/>
      <c r="J5" s="85"/>
      <c r="K5" s="85"/>
      <c r="L5" s="85"/>
      <c r="M5" s="85"/>
      <c r="N5" s="85"/>
      <c r="O5" s="85"/>
      <c r="P5" s="85"/>
      <c r="Q5" s="85"/>
      <c r="R5" s="85"/>
      <c r="S5" s="85"/>
      <c r="T5" s="85"/>
      <c r="U5" s="85"/>
      <c r="V5" s="85"/>
      <c r="W5" s="85"/>
      <c r="X5" s="85"/>
      <c r="Y5" s="85"/>
      <c r="Z5" s="85"/>
      <c r="AA5" s="85"/>
      <c r="AB5" s="85"/>
      <c r="AC5" s="85"/>
      <c r="AD5" s="85"/>
      <c r="AE5" s="85"/>
      <c r="AF5" s="85"/>
      <c r="AG5" s="85"/>
      <c r="AH5" s="85"/>
      <c r="AI5" s="85"/>
      <c r="AJ5" s="85"/>
      <c r="AK5" s="85"/>
    </row>
    <row r="6" spans="1:38" ht="12.75" customHeight="1">
      <c r="A6" s="32"/>
      <c r="B6" s="19"/>
      <c r="C6" s="25"/>
      <c r="D6" s="15"/>
      <c r="E6" s="165"/>
      <c r="F6" s="166"/>
      <c r="G6" s="166"/>
      <c r="H6" s="166"/>
      <c r="I6" s="166"/>
      <c r="J6" s="166"/>
      <c r="K6" s="166"/>
      <c r="L6" s="166"/>
      <c r="O6" s="166"/>
      <c r="P6" s="166"/>
      <c r="Q6" s="166"/>
      <c r="R6" s="166"/>
      <c r="S6" s="166"/>
      <c r="U6" s="166"/>
      <c r="AH6" s="166"/>
      <c r="AI6" s="166"/>
      <c r="AJ6" s="166"/>
      <c r="AK6" s="166"/>
    </row>
    <row r="7" spans="1:38" ht="12.75" customHeight="1">
      <c r="A7" s="32"/>
      <c r="B7" s="290" t="s">
        <v>95</v>
      </c>
      <c r="C7" s="209"/>
      <c r="D7" s="24"/>
      <c r="E7" s="24"/>
      <c r="F7" s="166"/>
      <c r="G7" s="166"/>
      <c r="H7" s="166"/>
      <c r="I7" s="166"/>
      <c r="J7" s="166"/>
      <c r="K7" s="166"/>
      <c r="L7" s="166"/>
      <c r="O7" s="166"/>
      <c r="P7" s="166"/>
      <c r="Q7" s="166"/>
      <c r="R7" s="166"/>
      <c r="S7" s="166"/>
      <c r="U7" s="166"/>
      <c r="AH7" s="166"/>
      <c r="AI7" s="166"/>
      <c r="AJ7" s="166"/>
      <c r="AK7" s="166"/>
    </row>
    <row r="8" spans="1:38" ht="12.75" customHeight="1">
      <c r="A8" s="31" t="s">
        <v>305</v>
      </c>
      <c r="B8" s="282" t="s">
        <v>304</v>
      </c>
      <c r="C8" s="189"/>
      <c r="D8" s="136"/>
      <c r="E8" s="160"/>
      <c r="F8" s="195" t="s">
        <v>661</v>
      </c>
      <c r="G8" s="195" t="s">
        <v>114</v>
      </c>
      <c r="H8" s="195" t="s">
        <v>114</v>
      </c>
      <c r="I8" s="319" t="s">
        <v>693</v>
      </c>
      <c r="J8" s="319" t="s">
        <v>694</v>
      </c>
      <c r="K8" s="195" t="s">
        <v>114</v>
      </c>
      <c r="L8" s="319" t="s">
        <v>822</v>
      </c>
      <c r="M8" s="319" t="s">
        <v>693</v>
      </c>
      <c r="N8" s="319" t="s">
        <v>694</v>
      </c>
      <c r="O8" s="195" t="s">
        <v>114</v>
      </c>
      <c r="P8" s="195" t="s">
        <v>114</v>
      </c>
      <c r="Q8" s="195" t="s">
        <v>248</v>
      </c>
      <c r="R8" s="195" t="s">
        <v>248</v>
      </c>
      <c r="S8" s="195" t="s">
        <v>114</v>
      </c>
      <c r="T8" s="319" t="s">
        <v>248</v>
      </c>
      <c r="U8" s="319" t="s">
        <v>822</v>
      </c>
      <c r="V8" s="319" t="s">
        <v>819</v>
      </c>
      <c r="W8" s="319" t="s">
        <v>819</v>
      </c>
      <c r="X8" s="319" t="s">
        <v>694</v>
      </c>
      <c r="Y8" s="319" t="s">
        <v>694</v>
      </c>
      <c r="Z8" s="319" t="s">
        <v>710</v>
      </c>
      <c r="AA8" s="195" t="s">
        <v>814</v>
      </c>
      <c r="AB8" s="319" t="s">
        <v>714</v>
      </c>
      <c r="AC8" s="319" t="s">
        <v>714</v>
      </c>
      <c r="AD8" s="319" t="s">
        <v>714</v>
      </c>
      <c r="AE8" s="319" t="s">
        <v>714</v>
      </c>
      <c r="AF8" s="319" t="s">
        <v>714</v>
      </c>
      <c r="AG8" s="319" t="s">
        <v>714</v>
      </c>
      <c r="AH8" s="195" t="s">
        <v>114</v>
      </c>
      <c r="AI8" s="195" t="s">
        <v>114</v>
      </c>
      <c r="AJ8" s="195" t="s">
        <v>248</v>
      </c>
      <c r="AK8" s="195" t="s">
        <v>248</v>
      </c>
    </row>
    <row r="9" spans="1:38" s="164" customFormat="1" ht="12.75" customHeight="1">
      <c r="A9" s="31" t="s">
        <v>113</v>
      </c>
      <c r="B9" s="282" t="s">
        <v>117</v>
      </c>
      <c r="C9" s="189"/>
      <c r="D9" s="160"/>
      <c r="E9" s="160"/>
      <c r="F9" s="31" t="s">
        <v>198</v>
      </c>
      <c r="G9" s="31" t="s">
        <v>113</v>
      </c>
      <c r="H9" s="31" t="s">
        <v>113</v>
      </c>
      <c r="I9" s="31" t="s">
        <v>113</v>
      </c>
      <c r="J9" s="31" t="s">
        <v>113</v>
      </c>
      <c r="K9" s="31" t="s">
        <v>113</v>
      </c>
      <c r="L9" s="31" t="s">
        <v>113</v>
      </c>
      <c r="M9" s="319" t="s">
        <v>113</v>
      </c>
      <c r="N9" s="319" t="s">
        <v>113</v>
      </c>
      <c r="O9" s="31" t="s">
        <v>113</v>
      </c>
      <c r="P9" s="31" t="s">
        <v>113</v>
      </c>
      <c r="Q9" s="31" t="s">
        <v>234</v>
      </c>
      <c r="R9" s="31" t="s">
        <v>234</v>
      </c>
      <c r="S9" s="31" t="s">
        <v>113</v>
      </c>
      <c r="T9" s="319" t="s">
        <v>234</v>
      </c>
      <c r="U9" s="31" t="s">
        <v>113</v>
      </c>
      <c r="V9" s="319" t="s">
        <v>113</v>
      </c>
      <c r="W9" s="319" t="s">
        <v>113</v>
      </c>
      <c r="X9" s="319" t="s">
        <v>113</v>
      </c>
      <c r="Y9" s="319" t="s">
        <v>113</v>
      </c>
      <c r="Z9" s="319" t="s">
        <v>113</v>
      </c>
      <c r="AA9" s="319" t="s">
        <v>113</v>
      </c>
      <c r="AB9" s="319" t="s">
        <v>113</v>
      </c>
      <c r="AC9" s="319" t="s">
        <v>113</v>
      </c>
      <c r="AD9" s="319" t="s">
        <v>113</v>
      </c>
      <c r="AE9" s="319" t="s">
        <v>113</v>
      </c>
      <c r="AF9" s="319" t="s">
        <v>113</v>
      </c>
      <c r="AG9" s="319" t="s">
        <v>113</v>
      </c>
      <c r="AH9" s="31" t="s">
        <v>113</v>
      </c>
      <c r="AI9" s="31" t="s">
        <v>113</v>
      </c>
      <c r="AJ9" s="31" t="s">
        <v>234</v>
      </c>
      <c r="AK9" s="31" t="s">
        <v>234</v>
      </c>
    </row>
    <row r="10" spans="1:38" ht="14.25" customHeight="1">
      <c r="A10" s="31" t="s">
        <v>115</v>
      </c>
      <c r="B10" s="282" t="s">
        <v>118</v>
      </c>
      <c r="C10" s="189"/>
      <c r="D10" s="160"/>
      <c r="E10" s="160"/>
      <c r="F10" s="31" t="s">
        <v>295</v>
      </c>
      <c r="G10" s="31" t="s">
        <v>295</v>
      </c>
      <c r="H10" s="31" t="s">
        <v>704</v>
      </c>
      <c r="I10" s="31" t="s">
        <v>704</v>
      </c>
      <c r="J10" s="31" t="s">
        <v>704</v>
      </c>
      <c r="K10" s="31" t="s">
        <v>295</v>
      </c>
      <c r="L10" s="31" t="s">
        <v>295</v>
      </c>
      <c r="M10" s="319" t="s">
        <v>295</v>
      </c>
      <c r="N10" s="319" t="s">
        <v>295</v>
      </c>
      <c r="O10" s="31" t="s">
        <v>295</v>
      </c>
      <c r="P10" s="31" t="s">
        <v>295</v>
      </c>
      <c r="Q10" s="31" t="s">
        <v>295</v>
      </c>
      <c r="R10" s="31" t="s">
        <v>295</v>
      </c>
      <c r="S10" s="31" t="s">
        <v>295</v>
      </c>
      <c r="T10" s="319" t="s">
        <v>295</v>
      </c>
      <c r="U10" s="31" t="s">
        <v>295</v>
      </c>
      <c r="V10" s="319" t="s">
        <v>295</v>
      </c>
      <c r="W10" s="319" t="s">
        <v>295</v>
      </c>
      <c r="X10" s="319" t="s">
        <v>295</v>
      </c>
      <c r="Y10" s="319" t="s">
        <v>295</v>
      </c>
      <c r="Z10" s="319" t="s">
        <v>295</v>
      </c>
      <c r="AA10" s="319" t="s">
        <v>295</v>
      </c>
      <c r="AB10" s="319" t="s">
        <v>295</v>
      </c>
      <c r="AC10" s="319" t="s">
        <v>295</v>
      </c>
      <c r="AD10" s="319" t="s">
        <v>295</v>
      </c>
      <c r="AE10" s="319" t="s">
        <v>295</v>
      </c>
      <c r="AF10" s="319" t="s">
        <v>295</v>
      </c>
      <c r="AG10" s="319" t="s">
        <v>295</v>
      </c>
      <c r="AH10" s="31" t="s">
        <v>295</v>
      </c>
      <c r="AI10" s="31" t="s">
        <v>295</v>
      </c>
      <c r="AJ10" s="31" t="s">
        <v>295</v>
      </c>
      <c r="AK10" s="31" t="s">
        <v>295</v>
      </c>
      <c r="AL10" s="164"/>
    </row>
    <row r="11" spans="1:38" s="164" customFormat="1" ht="14.25" customHeight="1">
      <c r="A11" s="31"/>
      <c r="B11" s="282" t="s">
        <v>691</v>
      </c>
      <c r="C11" s="189"/>
      <c r="D11" s="160"/>
      <c r="E11" s="160"/>
      <c r="F11" s="319" t="s">
        <v>115</v>
      </c>
      <c r="G11" s="319" t="s">
        <v>115</v>
      </c>
      <c r="H11" s="31" t="s">
        <v>704</v>
      </c>
      <c r="I11" s="31" t="s">
        <v>704</v>
      </c>
      <c r="J11" s="31" t="s">
        <v>704</v>
      </c>
      <c r="K11" s="319" t="s">
        <v>115</v>
      </c>
      <c r="L11" s="319" t="s">
        <v>115</v>
      </c>
      <c r="M11" s="319" t="s">
        <v>115</v>
      </c>
      <c r="N11" s="319" t="s">
        <v>115</v>
      </c>
      <c r="O11" s="319" t="s">
        <v>115</v>
      </c>
      <c r="P11" s="319" t="s">
        <v>115</v>
      </c>
      <c r="Q11" s="319" t="s">
        <v>115</v>
      </c>
      <c r="R11" s="319" t="s">
        <v>115</v>
      </c>
      <c r="S11" s="319" t="s">
        <v>115</v>
      </c>
      <c r="T11" s="319" t="s">
        <v>115</v>
      </c>
      <c r="U11" s="319" t="s">
        <v>115</v>
      </c>
      <c r="V11" s="319" t="s">
        <v>115</v>
      </c>
      <c r="W11" s="319" t="s">
        <v>115</v>
      </c>
      <c r="X11" s="319" t="s">
        <v>115</v>
      </c>
      <c r="Y11" s="319" t="s">
        <v>115</v>
      </c>
      <c r="Z11" s="319" t="s">
        <v>115</v>
      </c>
      <c r="AA11" s="319" t="s">
        <v>115</v>
      </c>
      <c r="AB11" s="319" t="s">
        <v>115</v>
      </c>
      <c r="AC11" s="319" t="s">
        <v>115</v>
      </c>
      <c r="AD11" s="319" t="s">
        <v>115</v>
      </c>
      <c r="AE11" s="319" t="s">
        <v>115</v>
      </c>
      <c r="AF11" s="319" t="s">
        <v>115</v>
      </c>
      <c r="AG11" s="319" t="s">
        <v>115</v>
      </c>
      <c r="AH11" s="319" t="s">
        <v>115</v>
      </c>
      <c r="AI11" s="319" t="s">
        <v>115</v>
      </c>
      <c r="AJ11" s="319" t="s">
        <v>115</v>
      </c>
      <c r="AK11" s="319" t="s">
        <v>115</v>
      </c>
    </row>
    <row r="12" spans="1:38" s="164" customFormat="1" ht="12.75" customHeight="1">
      <c r="A12" s="319" t="s">
        <v>630</v>
      </c>
      <c r="B12" s="282" t="s">
        <v>631</v>
      </c>
      <c r="C12" s="322"/>
      <c r="D12" s="320"/>
      <c r="E12" s="320"/>
      <c r="F12" s="319"/>
      <c r="G12" s="319"/>
      <c r="H12" s="319" t="s">
        <v>705</v>
      </c>
      <c r="I12" s="319" t="s">
        <v>705</v>
      </c>
      <c r="J12" s="319" t="s">
        <v>705</v>
      </c>
      <c r="K12" s="319" t="s">
        <v>632</v>
      </c>
      <c r="L12" s="319" t="s">
        <v>632</v>
      </c>
      <c r="M12" s="319" t="s">
        <v>632</v>
      </c>
      <c r="N12" s="319" t="s">
        <v>632</v>
      </c>
      <c r="O12" s="319" t="s">
        <v>632</v>
      </c>
      <c r="P12" s="319" t="s">
        <v>632</v>
      </c>
      <c r="Q12" s="319" t="s">
        <v>632</v>
      </c>
      <c r="R12" s="319" t="s">
        <v>632</v>
      </c>
      <c r="S12" s="319" t="s">
        <v>632</v>
      </c>
      <c r="T12" s="319" t="s">
        <v>632</v>
      </c>
      <c r="U12" s="319" t="s">
        <v>632</v>
      </c>
      <c r="V12" s="319" t="s">
        <v>632</v>
      </c>
      <c r="W12" s="319" t="s">
        <v>632</v>
      </c>
      <c r="X12" s="319" t="s">
        <v>632</v>
      </c>
      <c r="Y12" s="319" t="s">
        <v>632</v>
      </c>
      <c r="Z12" s="319" t="s">
        <v>632</v>
      </c>
      <c r="AA12" s="319" t="s">
        <v>632</v>
      </c>
      <c r="AB12" s="319" t="s">
        <v>632</v>
      </c>
      <c r="AC12" s="319" t="s">
        <v>632</v>
      </c>
      <c r="AD12" s="319" t="s">
        <v>632</v>
      </c>
      <c r="AE12" s="319" t="s">
        <v>632</v>
      </c>
      <c r="AF12" s="319" t="s">
        <v>632</v>
      </c>
      <c r="AG12" s="319" t="s">
        <v>632</v>
      </c>
      <c r="AH12" s="319" t="s">
        <v>632</v>
      </c>
      <c r="AI12" s="319" t="s">
        <v>632</v>
      </c>
      <c r="AJ12" s="319" t="s">
        <v>632</v>
      </c>
      <c r="AK12" s="319" t="s">
        <v>632</v>
      </c>
    </row>
    <row r="13" spans="1:38" s="164" customFormat="1" ht="12.75" customHeight="1">
      <c r="A13" s="31" t="s">
        <v>299</v>
      </c>
      <c r="B13" s="282" t="s">
        <v>390</v>
      </c>
      <c r="C13" s="189"/>
      <c r="D13" s="160"/>
      <c r="E13" s="160"/>
      <c r="F13" s="195" t="str">
        <f t="shared" ref="F13:AK13" si="0">IF(F40="Dynamic Switching OFF",F$4,REPLACE(F$4,3,1,"1"))</f>
        <v>FX1Fix</v>
      </c>
      <c r="G13" s="31" t="str">
        <f t="shared" si="0"/>
        <v>SP1Cap</v>
      </c>
      <c r="H13" s="31" t="str">
        <f t="shared" si="0"/>
        <v>ND1B10Cp</v>
      </c>
      <c r="I13" s="31" t="str">
        <f t="shared" si="0"/>
        <v>ND1B10Tri</v>
      </c>
      <c r="J13" s="31" t="str">
        <f t="shared" si="0"/>
        <v>ND1B10DDCp</v>
      </c>
      <c r="K13" s="31" t="str">
        <f t="shared" ref="K13" si="1">IF(K40="Dynamic Switching OFF",K$4,REPLACE(K$4,3,1,"1"))</f>
        <v>SP1B10Cp</v>
      </c>
      <c r="L13" s="31" t="str">
        <f>IF(L40="Dynamic Switching OFF",L$4,REPLACE(L$4,3,1,"1"))</f>
        <v>SP1B10PC</v>
      </c>
      <c r="M13" s="31" t="str">
        <f t="shared" si="0"/>
        <v>SP1B10Tri</v>
      </c>
      <c r="N13" s="31" t="str">
        <f t="shared" si="0"/>
        <v>SP1B10DDCp</v>
      </c>
      <c r="O13" s="31" t="str">
        <f t="shared" si="0"/>
        <v>SP1B20Cp</v>
      </c>
      <c r="P13" s="31" t="str">
        <f t="shared" si="0"/>
        <v>SP1F10Cp</v>
      </c>
      <c r="Q13" s="31" t="str">
        <f t="shared" si="0"/>
        <v>SP1B10Pr</v>
      </c>
      <c r="R13" s="31" t="str">
        <f t="shared" si="0"/>
        <v>SP1P50Pr</v>
      </c>
      <c r="S13" s="31" t="str">
        <f t="shared" si="0"/>
        <v>SP6B10Cp</v>
      </c>
      <c r="T13" s="31" t="str">
        <f t="shared" si="0"/>
        <v>SP6B10Pr</v>
      </c>
      <c r="U13" s="31" t="str">
        <f t="shared" ref="U13:V13" si="2">IF(U40="Dynamic Switching OFF",U$4,REPLACE(U$4,3,1,"1"))</f>
        <v>SP6B10PC</v>
      </c>
      <c r="V13" s="319" t="str">
        <f t="shared" si="2"/>
        <v>SP6B10EPC</v>
      </c>
      <c r="W13" s="319" t="str">
        <f t="shared" ref="W13" si="3">IF(W40="Dynamic Switching OFF",W$4,REPLACE(W$4,3,1,"1"))</f>
        <v>SP6B20EPC</v>
      </c>
      <c r="X13" s="31" t="str">
        <f t="shared" si="0"/>
        <v>SP6B10DDCp</v>
      </c>
      <c r="Y13" s="31" t="str">
        <f t="shared" si="0"/>
        <v>SP6B20DDCp</v>
      </c>
      <c r="Z13" s="31" t="str">
        <f t="shared" si="0"/>
        <v>SP6B10ScCp</v>
      </c>
      <c r="AA13" s="31" t="str">
        <f t="shared" ref="AA13" si="4">IF(AA40="Dynamic Switching OFF",AA$4,REPLACE(AA$4,3,1,"1"))</f>
        <v>SP6B20DDTriCap</v>
      </c>
      <c r="AB13" s="31" t="str">
        <f t="shared" si="0"/>
        <v>SP3K30DKO</v>
      </c>
      <c r="AC13" s="31" t="str">
        <f t="shared" si="0"/>
        <v>SP3K40DKO</v>
      </c>
      <c r="AD13" s="31" t="str">
        <f t="shared" si="0"/>
        <v>SP3K50DKO</v>
      </c>
      <c r="AE13" s="31" t="str">
        <f t="shared" si="0"/>
        <v>SP6K50DKO</v>
      </c>
      <c r="AF13" s="31" t="str">
        <f t="shared" si="0"/>
        <v>SP6K75DKO</v>
      </c>
      <c r="AG13" s="31" t="str">
        <f t="shared" si="0"/>
        <v>SP6K100DKO</v>
      </c>
      <c r="AH13" s="31" t="str">
        <f t="shared" si="0"/>
        <v>SP6B20Cp</v>
      </c>
      <c r="AI13" s="31" t="str">
        <f t="shared" si="0"/>
        <v>SP610FCp</v>
      </c>
      <c r="AJ13" s="31" t="str">
        <f t="shared" si="0"/>
        <v>SP6B20Pr</v>
      </c>
      <c r="AK13" s="31" t="str">
        <f t="shared" si="0"/>
        <v>SP6P50Pr</v>
      </c>
    </row>
    <row r="14" spans="1:38" ht="12.75" customHeight="1">
      <c r="A14" s="31" t="s">
        <v>93</v>
      </c>
      <c r="B14" s="282" t="s">
        <v>119</v>
      </c>
      <c r="C14" s="189"/>
      <c r="D14" s="160"/>
      <c r="E14" s="160"/>
      <c r="F14" s="195" t="s">
        <v>93</v>
      </c>
      <c r="G14" s="31" t="s">
        <v>93</v>
      </c>
      <c r="H14" s="31" t="s">
        <v>93</v>
      </c>
      <c r="I14" s="31" t="s">
        <v>93</v>
      </c>
      <c r="J14" s="31" t="s">
        <v>93</v>
      </c>
      <c r="K14" s="31" t="s">
        <v>93</v>
      </c>
      <c r="L14" s="31" t="s">
        <v>93</v>
      </c>
      <c r="M14" s="319" t="s">
        <v>93</v>
      </c>
      <c r="N14" s="319" t="s">
        <v>93</v>
      </c>
      <c r="O14" s="31" t="s">
        <v>93</v>
      </c>
      <c r="P14" s="31" t="s">
        <v>93</v>
      </c>
      <c r="Q14" s="31" t="s">
        <v>93</v>
      </c>
      <c r="R14" s="31" t="s">
        <v>93</v>
      </c>
      <c r="S14" s="31" t="s">
        <v>93</v>
      </c>
      <c r="T14" s="319" t="s">
        <v>93</v>
      </c>
      <c r="U14" s="31" t="s">
        <v>93</v>
      </c>
      <c r="V14" s="319" t="s">
        <v>93</v>
      </c>
      <c r="W14" s="319" t="s">
        <v>93</v>
      </c>
      <c r="X14" s="319" t="s">
        <v>93</v>
      </c>
      <c r="Y14" s="319" t="s">
        <v>93</v>
      </c>
      <c r="Z14" s="319" t="s">
        <v>93</v>
      </c>
      <c r="AA14" s="319" t="s">
        <v>93</v>
      </c>
      <c r="AB14" s="319" t="s">
        <v>93</v>
      </c>
      <c r="AC14" s="319" t="s">
        <v>93</v>
      </c>
      <c r="AD14" s="319" t="s">
        <v>93</v>
      </c>
      <c r="AE14" s="319" t="s">
        <v>93</v>
      </c>
      <c r="AF14" s="319" t="s">
        <v>93</v>
      </c>
      <c r="AG14" s="319" t="s">
        <v>93</v>
      </c>
      <c r="AH14" s="31" t="s">
        <v>93</v>
      </c>
      <c r="AI14" s="31" t="s">
        <v>93</v>
      </c>
      <c r="AJ14" s="31" t="s">
        <v>93</v>
      </c>
      <c r="AK14" s="31" t="s">
        <v>93</v>
      </c>
      <c r="AL14" s="164"/>
    </row>
    <row r="15" spans="1:38" ht="12.75" customHeight="1">
      <c r="A15" s="98" t="s">
        <v>34</v>
      </c>
      <c r="B15" s="282" t="s">
        <v>187</v>
      </c>
      <c r="C15" s="189"/>
      <c r="D15" s="160"/>
      <c r="E15" s="160"/>
      <c r="F15" s="547" t="s">
        <v>39</v>
      </c>
      <c r="G15" s="248" t="s">
        <v>39</v>
      </c>
      <c r="H15" s="248" t="s">
        <v>39</v>
      </c>
      <c r="I15" s="248" t="s">
        <v>39</v>
      </c>
      <c r="J15" s="248" t="s">
        <v>39</v>
      </c>
      <c r="K15" s="248" t="s">
        <v>39</v>
      </c>
      <c r="L15" s="248" t="s">
        <v>39</v>
      </c>
      <c r="M15" s="556" t="s">
        <v>39</v>
      </c>
      <c r="N15" s="556" t="s">
        <v>39</v>
      </c>
      <c r="O15" s="248" t="s">
        <v>39</v>
      </c>
      <c r="P15" s="248" t="s">
        <v>39</v>
      </c>
      <c r="Q15" s="248" t="s">
        <v>39</v>
      </c>
      <c r="R15" s="248" t="s">
        <v>39</v>
      </c>
      <c r="S15" s="248" t="s">
        <v>39</v>
      </c>
      <c r="T15" s="556" t="s">
        <v>39</v>
      </c>
      <c r="U15" s="248" t="s">
        <v>39</v>
      </c>
      <c r="V15" s="556" t="s">
        <v>39</v>
      </c>
      <c r="W15" s="556" t="s">
        <v>39</v>
      </c>
      <c r="X15" s="556" t="s">
        <v>39</v>
      </c>
      <c r="Y15" s="556" t="s">
        <v>39</v>
      </c>
      <c r="Z15" s="556" t="s">
        <v>39</v>
      </c>
      <c r="AA15" s="556" t="s">
        <v>39</v>
      </c>
      <c r="AB15" s="556" t="s">
        <v>39</v>
      </c>
      <c r="AC15" s="556" t="s">
        <v>39</v>
      </c>
      <c r="AD15" s="556" t="s">
        <v>39</v>
      </c>
      <c r="AE15" s="556" t="s">
        <v>39</v>
      </c>
      <c r="AF15" s="556" t="s">
        <v>39</v>
      </c>
      <c r="AG15" s="556" t="s">
        <v>39</v>
      </c>
      <c r="AH15" s="248" t="s">
        <v>39</v>
      </c>
      <c r="AI15" s="248" t="s">
        <v>39</v>
      </c>
      <c r="AJ15" s="248" t="s">
        <v>39</v>
      </c>
      <c r="AK15" s="248" t="s">
        <v>39</v>
      </c>
      <c r="AL15" s="164"/>
    </row>
    <row r="16" spans="1:38" ht="12.75" customHeight="1">
      <c r="A16" s="31">
        <v>1000</v>
      </c>
      <c r="B16" s="282" t="s">
        <v>267</v>
      </c>
      <c r="C16" s="189"/>
      <c r="D16" s="160"/>
      <c r="E16" s="160"/>
      <c r="F16" s="241">
        <v>1000</v>
      </c>
      <c r="G16" s="241">
        <v>1000</v>
      </c>
      <c r="H16" s="241">
        <v>1000</v>
      </c>
      <c r="I16" s="241">
        <v>1000</v>
      </c>
      <c r="J16" s="241">
        <v>1000</v>
      </c>
      <c r="K16" s="241">
        <v>1000</v>
      </c>
      <c r="L16" s="241">
        <v>1000</v>
      </c>
      <c r="M16" s="241">
        <v>1000</v>
      </c>
      <c r="N16" s="241">
        <v>1000</v>
      </c>
      <c r="O16" s="241">
        <v>1000</v>
      </c>
      <c r="P16" s="241">
        <v>1000</v>
      </c>
      <c r="Q16" s="241">
        <v>1000</v>
      </c>
      <c r="R16" s="241">
        <v>1000</v>
      </c>
      <c r="S16" s="241">
        <v>1000</v>
      </c>
      <c r="T16" s="241">
        <v>1000</v>
      </c>
      <c r="U16" s="241">
        <v>1000</v>
      </c>
      <c r="V16" s="241">
        <v>1000</v>
      </c>
      <c r="W16" s="241">
        <v>1000</v>
      </c>
      <c r="X16" s="241">
        <v>1000</v>
      </c>
      <c r="Y16" s="241">
        <v>1000</v>
      </c>
      <c r="Z16" s="241">
        <v>1000</v>
      </c>
      <c r="AA16" s="241">
        <v>1000</v>
      </c>
      <c r="AB16" s="241">
        <v>1000</v>
      </c>
      <c r="AC16" s="241">
        <v>1000</v>
      </c>
      <c r="AD16" s="241">
        <v>1000</v>
      </c>
      <c r="AE16" s="241">
        <v>1000</v>
      </c>
      <c r="AF16" s="241">
        <v>1000</v>
      </c>
      <c r="AG16" s="241">
        <v>1000</v>
      </c>
      <c r="AH16" s="241">
        <v>1000</v>
      </c>
      <c r="AI16" s="241">
        <v>1000</v>
      </c>
      <c r="AJ16" s="241">
        <v>1000</v>
      </c>
      <c r="AK16" s="241">
        <v>1000</v>
      </c>
      <c r="AL16" s="164"/>
    </row>
    <row r="17" spans="1:38" ht="12.75" customHeight="1">
      <c r="A17" s="137">
        <v>5.0000000000000003E-10</v>
      </c>
      <c r="B17" s="282" t="s">
        <v>268</v>
      </c>
      <c r="C17" s="189"/>
      <c r="D17" s="160"/>
      <c r="E17" s="160"/>
      <c r="F17" s="249">
        <v>5.0000000000000003E-10</v>
      </c>
      <c r="G17" s="249">
        <v>5.0000000000000003E-10</v>
      </c>
      <c r="H17" s="249">
        <v>5.0000000000000003E-10</v>
      </c>
      <c r="I17" s="249">
        <v>5.0000000000000003E-10</v>
      </c>
      <c r="J17" s="249">
        <v>5.0000000000000003E-10</v>
      </c>
      <c r="K17" s="249">
        <v>5.0000000000000003E-10</v>
      </c>
      <c r="L17" s="249">
        <v>5.0000000000000003E-10</v>
      </c>
      <c r="M17" s="249">
        <v>5.0000000000000003E-10</v>
      </c>
      <c r="N17" s="249">
        <v>5.0000000000000003E-10</v>
      </c>
      <c r="O17" s="249">
        <v>5.0000000000000003E-10</v>
      </c>
      <c r="P17" s="249">
        <v>5.0000000000000003E-10</v>
      </c>
      <c r="Q17" s="249">
        <v>5.0000000000000003E-10</v>
      </c>
      <c r="R17" s="249">
        <v>5.0000000000000003E-10</v>
      </c>
      <c r="S17" s="249">
        <v>5.0000000000000003E-10</v>
      </c>
      <c r="T17" s="249">
        <v>5.0000000000000003E-10</v>
      </c>
      <c r="U17" s="249">
        <v>5.0000000000000003E-10</v>
      </c>
      <c r="V17" s="249">
        <v>5.0000000000000003E-10</v>
      </c>
      <c r="W17" s="249">
        <v>5.0000000000000003E-10</v>
      </c>
      <c r="X17" s="249">
        <v>5.0000000000000003E-10</v>
      </c>
      <c r="Y17" s="249">
        <v>5.0000000000000003E-10</v>
      </c>
      <c r="Z17" s="249">
        <v>5.0000000000000003E-10</v>
      </c>
      <c r="AA17" s="249">
        <v>5.0000000000000003E-10</v>
      </c>
      <c r="AB17" s="249">
        <v>5.0000000000000003E-10</v>
      </c>
      <c r="AC17" s="249">
        <v>5.0000000000000003E-10</v>
      </c>
      <c r="AD17" s="249">
        <v>5.0000000000000003E-10</v>
      </c>
      <c r="AE17" s="249">
        <v>5.0000000000000003E-10</v>
      </c>
      <c r="AF17" s="249">
        <v>5.0000000000000003E-10</v>
      </c>
      <c r="AG17" s="249">
        <v>5.0000000000000003E-10</v>
      </c>
      <c r="AH17" s="249">
        <v>5.0000000000000003E-10</v>
      </c>
      <c r="AI17" s="249">
        <v>5.0000000000000003E-10</v>
      </c>
      <c r="AJ17" s="249">
        <v>5.0000000000000003E-10</v>
      </c>
      <c r="AK17" s="249">
        <v>5.0000000000000003E-10</v>
      </c>
      <c r="AL17" s="164"/>
    </row>
    <row r="18" spans="1:38" ht="12.75" customHeight="1">
      <c r="A18" s="49" t="s">
        <v>39</v>
      </c>
      <c r="B18" s="282" t="s">
        <v>188</v>
      </c>
      <c r="C18" s="189"/>
      <c r="D18" s="160"/>
      <c r="E18" s="160"/>
      <c r="F18" s="195" t="s">
        <v>39</v>
      </c>
      <c r="G18" s="195" t="s">
        <v>34</v>
      </c>
      <c r="H18" s="195" t="s">
        <v>34</v>
      </c>
      <c r="I18" s="195" t="s">
        <v>34</v>
      </c>
      <c r="J18" s="195" t="s">
        <v>34</v>
      </c>
      <c r="K18" s="195" t="s">
        <v>34</v>
      </c>
      <c r="L18" s="195" t="s">
        <v>34</v>
      </c>
      <c r="M18" s="319" t="s">
        <v>34</v>
      </c>
      <c r="N18" s="319" t="s">
        <v>34</v>
      </c>
      <c r="O18" s="195" t="s">
        <v>34</v>
      </c>
      <c r="P18" s="195" t="s">
        <v>34</v>
      </c>
      <c r="Q18" s="195" t="s">
        <v>34</v>
      </c>
      <c r="R18" s="195" t="s">
        <v>34</v>
      </c>
      <c r="S18" s="195" t="s">
        <v>34</v>
      </c>
      <c r="T18" s="319" t="s">
        <v>34</v>
      </c>
      <c r="U18" s="195" t="s">
        <v>34</v>
      </c>
      <c r="V18" s="319" t="s">
        <v>34</v>
      </c>
      <c r="W18" s="319" t="s">
        <v>34</v>
      </c>
      <c r="X18" s="319" t="s">
        <v>34</v>
      </c>
      <c r="Y18" s="319" t="s">
        <v>34</v>
      </c>
      <c r="Z18" s="319" t="s">
        <v>34</v>
      </c>
      <c r="AA18" s="319" t="s">
        <v>34</v>
      </c>
      <c r="AB18" s="319" t="s">
        <v>34</v>
      </c>
      <c r="AC18" s="319" t="s">
        <v>34</v>
      </c>
      <c r="AD18" s="319" t="s">
        <v>34</v>
      </c>
      <c r="AE18" s="319" t="s">
        <v>34</v>
      </c>
      <c r="AF18" s="319" t="s">
        <v>34</v>
      </c>
      <c r="AG18" s="319" t="s">
        <v>34</v>
      </c>
      <c r="AH18" s="195" t="s">
        <v>34</v>
      </c>
      <c r="AI18" s="195" t="s">
        <v>34</v>
      </c>
      <c r="AJ18" s="195" t="s">
        <v>34</v>
      </c>
      <c r="AK18" s="195" t="s">
        <v>34</v>
      </c>
      <c r="AL18" s="164"/>
    </row>
    <row r="19" spans="1:38" ht="12.75" customHeight="1">
      <c r="A19" s="49">
        <v>1</v>
      </c>
      <c r="B19" s="282" t="s">
        <v>102</v>
      </c>
      <c r="C19" s="189"/>
      <c r="D19" s="160"/>
      <c r="E19" s="160"/>
      <c r="F19" s="235">
        <v>0</v>
      </c>
      <c r="G19" s="232">
        <v>1</v>
      </c>
      <c r="H19" s="232">
        <v>1</v>
      </c>
      <c r="I19" s="232">
        <v>1</v>
      </c>
      <c r="J19" s="232">
        <v>1</v>
      </c>
      <c r="K19" s="232">
        <v>1</v>
      </c>
      <c r="L19" s="232">
        <v>1</v>
      </c>
      <c r="M19" s="232">
        <v>1</v>
      </c>
      <c r="N19" s="232">
        <v>1</v>
      </c>
      <c r="O19" s="232">
        <v>1</v>
      </c>
      <c r="P19" s="232">
        <v>1</v>
      </c>
      <c r="Q19" s="232">
        <v>1</v>
      </c>
      <c r="R19" s="232">
        <v>1</v>
      </c>
      <c r="S19" s="232">
        <v>1</v>
      </c>
      <c r="T19" s="232">
        <v>1</v>
      </c>
      <c r="U19" s="232">
        <v>1</v>
      </c>
      <c r="V19" s="232">
        <v>1</v>
      </c>
      <c r="W19" s="232">
        <v>1</v>
      </c>
      <c r="X19" s="232">
        <v>1</v>
      </c>
      <c r="Y19" s="232">
        <v>1</v>
      </c>
      <c r="Z19" s="232">
        <v>1</v>
      </c>
      <c r="AA19" s="232">
        <v>1</v>
      </c>
      <c r="AB19" s="232">
        <v>1</v>
      </c>
      <c r="AC19" s="232">
        <v>1</v>
      </c>
      <c r="AD19" s="232">
        <v>1</v>
      </c>
      <c r="AE19" s="232">
        <v>1</v>
      </c>
      <c r="AF19" s="232">
        <v>1</v>
      </c>
      <c r="AG19" s="232">
        <v>1</v>
      </c>
      <c r="AH19" s="232">
        <v>1</v>
      </c>
      <c r="AI19" s="232">
        <v>1</v>
      </c>
      <c r="AJ19" s="232">
        <v>1</v>
      </c>
      <c r="AK19" s="232">
        <v>1</v>
      </c>
      <c r="AL19" s="164"/>
    </row>
    <row r="20" spans="1:38" s="164" customFormat="1" ht="12.75" customHeight="1">
      <c r="A20" s="240" t="s">
        <v>48</v>
      </c>
      <c r="B20" s="282" t="s">
        <v>329</v>
      </c>
      <c r="C20" s="189"/>
      <c r="D20" s="160"/>
      <c r="E20" s="160"/>
      <c r="F20" s="240" t="s">
        <v>662</v>
      </c>
      <c r="G20" s="240" t="s">
        <v>48</v>
      </c>
      <c r="H20" s="240" t="s">
        <v>48</v>
      </c>
      <c r="I20" s="240" t="s">
        <v>48</v>
      </c>
      <c r="J20" s="240" t="s">
        <v>48</v>
      </c>
      <c r="K20" s="240" t="s">
        <v>48</v>
      </c>
      <c r="L20" s="240" t="s">
        <v>48</v>
      </c>
      <c r="M20" s="455" t="s">
        <v>48</v>
      </c>
      <c r="N20" s="455" t="s">
        <v>48</v>
      </c>
      <c r="O20" s="240" t="s">
        <v>48</v>
      </c>
      <c r="P20" s="240" t="s">
        <v>48</v>
      </c>
      <c r="Q20" s="240" t="s">
        <v>48</v>
      </c>
      <c r="R20" s="240" t="s">
        <v>48</v>
      </c>
      <c r="S20" s="240" t="s">
        <v>48</v>
      </c>
      <c r="T20" s="455" t="s">
        <v>48</v>
      </c>
      <c r="U20" s="240" t="s">
        <v>48</v>
      </c>
      <c r="V20" s="455" t="s">
        <v>48</v>
      </c>
      <c r="W20" s="455" t="s">
        <v>48</v>
      </c>
      <c r="X20" s="455" t="s">
        <v>48</v>
      </c>
      <c r="Y20" s="455" t="s">
        <v>48</v>
      </c>
      <c r="Z20" s="455" t="s">
        <v>48</v>
      </c>
      <c r="AA20" s="455" t="s">
        <v>48</v>
      </c>
      <c r="AB20" s="455" t="s">
        <v>48</v>
      </c>
      <c r="AC20" s="455" t="s">
        <v>48</v>
      </c>
      <c r="AD20" s="455" t="s">
        <v>48</v>
      </c>
      <c r="AE20" s="455" t="s">
        <v>48</v>
      </c>
      <c r="AF20" s="455" t="s">
        <v>48</v>
      </c>
      <c r="AG20" s="455" t="s">
        <v>48</v>
      </c>
      <c r="AH20" s="240" t="s">
        <v>48</v>
      </c>
      <c r="AI20" s="240" t="s">
        <v>48</v>
      </c>
      <c r="AJ20" s="240" t="s">
        <v>48</v>
      </c>
      <c r="AK20" s="240" t="s">
        <v>48</v>
      </c>
    </row>
    <row r="21" spans="1:38" s="164" customFormat="1" ht="12.75" customHeight="1">
      <c r="A21" s="137">
        <v>5.0000000000000003E-10</v>
      </c>
      <c r="B21" s="282" t="s">
        <v>266</v>
      </c>
      <c r="C21" s="189"/>
      <c r="D21" s="160"/>
      <c r="E21" s="160"/>
      <c r="F21" s="312">
        <v>1.1000000000000001E-3</v>
      </c>
      <c r="G21" s="312">
        <v>2.5000000000000001E-3</v>
      </c>
      <c r="H21" s="505">
        <v>2.5000000000000001E-3</v>
      </c>
      <c r="I21" s="505">
        <v>2.5000000000000001E-3</v>
      </c>
      <c r="J21" s="505">
        <v>2.5000000000000001E-3</v>
      </c>
      <c r="K21" s="505">
        <v>2.5000000000000001E-3</v>
      </c>
      <c r="L21" s="543">
        <v>0.05</v>
      </c>
      <c r="M21" s="312">
        <v>2.5000000000000001E-3</v>
      </c>
      <c r="N21" s="312">
        <v>2.5000000000000001E-3</v>
      </c>
      <c r="O21" s="505">
        <v>2.5000000000000001E-3</v>
      </c>
      <c r="P21" s="505">
        <v>2.5000000000000001E-3</v>
      </c>
      <c r="Q21" s="505">
        <v>0.02</v>
      </c>
      <c r="R21" s="505">
        <v>0.02</v>
      </c>
      <c r="S21" s="505">
        <v>2.5000000000000001E-3</v>
      </c>
      <c r="T21" s="543">
        <v>0.05</v>
      </c>
      <c r="U21" s="543">
        <v>0.05</v>
      </c>
      <c r="V21" s="543">
        <v>0.05</v>
      </c>
      <c r="W21" s="543">
        <v>0.05</v>
      </c>
      <c r="X21" s="312">
        <v>2.5000000000000001E-3</v>
      </c>
      <c r="Y21" s="312">
        <v>2.5000000000000001E-3</v>
      </c>
      <c r="Z21" s="312">
        <v>2.5000000000000001E-3</v>
      </c>
      <c r="AA21" s="312">
        <v>2.5000000000000001E-3</v>
      </c>
      <c r="AB21" s="312">
        <v>2.5000000000000001E-3</v>
      </c>
      <c r="AC21" s="312">
        <v>2.5000000000000001E-3</v>
      </c>
      <c r="AD21" s="312">
        <v>2.5000000000000001E-3</v>
      </c>
      <c r="AE21" s="312">
        <v>2.5000000000000001E-3</v>
      </c>
      <c r="AF21" s="312">
        <v>2.5000000000000001E-3</v>
      </c>
      <c r="AG21" s="312">
        <v>2.5000000000000001E-3</v>
      </c>
      <c r="AH21" s="505">
        <v>2.5000000000000001E-3</v>
      </c>
      <c r="AI21" s="505">
        <v>2.5000000000000001E-3</v>
      </c>
      <c r="AJ21" s="543">
        <v>0.05</v>
      </c>
      <c r="AK21" s="543">
        <v>0.05</v>
      </c>
    </row>
    <row r="22" spans="1:38" s="164" customFormat="1" ht="12.75" customHeight="1">
      <c r="A22" s="456">
        <v>5.0000000000000003E-10</v>
      </c>
      <c r="B22" s="282" t="s">
        <v>597</v>
      </c>
      <c r="C22" s="322"/>
      <c r="D22" s="320"/>
      <c r="E22" s="320"/>
      <c r="F22" s="457">
        <v>1.1000000000000001E-3</v>
      </c>
      <c r="G22" s="457">
        <v>2.5000000000000001E-3</v>
      </c>
      <c r="H22" s="457">
        <v>2.5000000000000001E-3</v>
      </c>
      <c r="I22" s="457">
        <v>2.5000000000000001E-3</v>
      </c>
      <c r="J22" s="457">
        <v>2.5000000000000001E-3</v>
      </c>
      <c r="K22" s="457">
        <v>2.5000000000000001E-3</v>
      </c>
      <c r="L22" s="457">
        <v>2.5000000000000001E-3</v>
      </c>
      <c r="M22" s="457">
        <v>2.5000000000000001E-3</v>
      </c>
      <c r="N22" s="457">
        <v>2.5000000000000001E-3</v>
      </c>
      <c r="O22" s="457">
        <v>2.5000000000000001E-3</v>
      </c>
      <c r="P22" s="457">
        <v>2.5000000000000001E-3</v>
      </c>
      <c r="Q22" s="457">
        <v>2.5000000000000001E-3</v>
      </c>
      <c r="R22" s="457">
        <v>2.5000000000000001E-3</v>
      </c>
      <c r="S22" s="457">
        <v>2.5000000000000001E-3</v>
      </c>
      <c r="T22" s="457">
        <v>2.5000000000000001E-3</v>
      </c>
      <c r="U22" s="457">
        <v>2.5000000000000001E-3</v>
      </c>
      <c r="V22" s="457">
        <v>2.5000000000000001E-3</v>
      </c>
      <c r="W22" s="457">
        <v>2.5000000000000001E-3</v>
      </c>
      <c r="X22" s="457">
        <v>2.5000000000000001E-3</v>
      </c>
      <c r="Y22" s="457">
        <v>2.5000000000000001E-3</v>
      </c>
      <c r="Z22" s="457">
        <v>2.5000000000000001E-3</v>
      </c>
      <c r="AA22" s="457">
        <v>2.5000000000000001E-3</v>
      </c>
      <c r="AB22" s="457">
        <v>2.5000000000000001E-3</v>
      </c>
      <c r="AC22" s="457">
        <v>2.5000000000000001E-3</v>
      </c>
      <c r="AD22" s="457">
        <v>2.5000000000000001E-3</v>
      </c>
      <c r="AE22" s="457">
        <v>2.5000000000000001E-3</v>
      </c>
      <c r="AF22" s="457">
        <v>2.5000000000000001E-3</v>
      </c>
      <c r="AG22" s="457">
        <v>2.5000000000000001E-3</v>
      </c>
      <c r="AH22" s="457">
        <v>2.5000000000000001E-3</v>
      </c>
      <c r="AI22" s="457">
        <v>2.5000000000000001E-3</v>
      </c>
      <c r="AJ22" s="457">
        <v>2.5000000000000001E-3</v>
      </c>
      <c r="AK22" s="457">
        <v>2.5000000000000001E-3</v>
      </c>
    </row>
    <row r="23" spans="1:38" s="164" customFormat="1" ht="12.75" customHeight="1">
      <c r="A23" s="456"/>
      <c r="B23" s="282" t="s">
        <v>798</v>
      </c>
      <c r="C23" s="322"/>
      <c r="D23" s="320"/>
      <c r="E23" s="320"/>
      <c r="F23" s="631">
        <v>0.02</v>
      </c>
      <c r="G23" s="457">
        <v>9999.99</v>
      </c>
      <c r="H23" s="631">
        <v>0.05</v>
      </c>
      <c r="I23" s="631">
        <v>0.03</v>
      </c>
      <c r="J23" s="631">
        <v>9999.99</v>
      </c>
      <c r="K23" s="631">
        <v>0.05</v>
      </c>
      <c r="L23" s="457">
        <v>9999.99</v>
      </c>
      <c r="M23" s="631">
        <v>0.05</v>
      </c>
      <c r="N23" s="631">
        <v>0.03</v>
      </c>
      <c r="O23" s="631">
        <v>9999.99</v>
      </c>
      <c r="P23" s="632">
        <v>0.03</v>
      </c>
      <c r="Q23" s="457">
        <v>9999.99</v>
      </c>
      <c r="R23" s="457">
        <v>9999.99</v>
      </c>
      <c r="S23" s="457">
        <v>9999.99</v>
      </c>
      <c r="T23" s="457">
        <v>9999.99</v>
      </c>
      <c r="U23" s="457">
        <v>9999.99</v>
      </c>
      <c r="V23" s="457">
        <v>9999.99</v>
      </c>
      <c r="W23" s="457">
        <v>9999.99</v>
      </c>
      <c r="X23" s="457">
        <v>9999.99</v>
      </c>
      <c r="Y23" s="457">
        <v>9999.99</v>
      </c>
      <c r="Z23" s="457">
        <v>9999.99</v>
      </c>
      <c r="AA23" s="457">
        <v>9999.99</v>
      </c>
      <c r="AB23" s="457">
        <v>9999.99</v>
      </c>
      <c r="AC23" s="457">
        <v>9999.99</v>
      </c>
      <c r="AD23" s="457">
        <v>9999.99</v>
      </c>
      <c r="AE23" s="457">
        <v>9999.99</v>
      </c>
      <c r="AF23" s="457">
        <v>9999.99</v>
      </c>
      <c r="AG23" s="457">
        <v>9999.99</v>
      </c>
      <c r="AH23" s="457">
        <v>9999.99</v>
      </c>
      <c r="AI23" s="457">
        <v>9999.99</v>
      </c>
      <c r="AJ23" s="457">
        <v>9999.99</v>
      </c>
      <c r="AK23" s="457">
        <v>9999.99</v>
      </c>
    </row>
    <row r="24" spans="1:38" s="164" customFormat="1" ht="12.75" customHeight="1">
      <c r="A24" s="456"/>
      <c r="B24" s="282" t="s">
        <v>799</v>
      </c>
      <c r="C24" s="322"/>
      <c r="D24" s="320"/>
      <c r="E24" s="320"/>
      <c r="F24" s="631">
        <v>0.03</v>
      </c>
      <c r="G24" s="457">
        <v>9999.99</v>
      </c>
      <c r="H24" s="631">
        <v>7.4999999999999997E-2</v>
      </c>
      <c r="I24" s="631">
        <v>0.05</v>
      </c>
      <c r="J24" s="631">
        <v>9999.99</v>
      </c>
      <c r="K24" s="631">
        <v>7.4999999999999997E-2</v>
      </c>
      <c r="L24" s="457">
        <v>9999.99</v>
      </c>
      <c r="M24" s="631">
        <v>7.4999999999999997E-2</v>
      </c>
      <c r="N24" s="631">
        <v>0.05</v>
      </c>
      <c r="O24" s="631">
        <v>9999.99</v>
      </c>
      <c r="P24" s="632">
        <v>0.05</v>
      </c>
      <c r="Q24" s="457">
        <v>9999.99</v>
      </c>
      <c r="R24" s="457">
        <v>9999.99</v>
      </c>
      <c r="S24" s="457">
        <v>9999.99</v>
      </c>
      <c r="T24" s="457">
        <v>9999.99</v>
      </c>
      <c r="U24" s="457">
        <v>9999.99</v>
      </c>
      <c r="V24" s="457">
        <v>9999.99</v>
      </c>
      <c r="W24" s="457">
        <v>9999.99</v>
      </c>
      <c r="X24" s="457">
        <v>9999.99</v>
      </c>
      <c r="Y24" s="457">
        <v>9999.99</v>
      </c>
      <c r="Z24" s="457">
        <v>9999.99</v>
      </c>
      <c r="AA24" s="457">
        <v>9999.99</v>
      </c>
      <c r="AB24" s="457">
        <v>9999.99</v>
      </c>
      <c r="AC24" s="457">
        <v>9999.99</v>
      </c>
      <c r="AD24" s="457">
        <v>9999.99</v>
      </c>
      <c r="AE24" s="457">
        <v>9999.99</v>
      </c>
      <c r="AF24" s="457">
        <v>9999.99</v>
      </c>
      <c r="AG24" s="457">
        <v>9999.99</v>
      </c>
      <c r="AH24" s="457">
        <v>9999.99</v>
      </c>
      <c r="AI24" s="457">
        <v>9999.99</v>
      </c>
      <c r="AJ24" s="457">
        <v>9999.99</v>
      </c>
      <c r="AK24" s="457">
        <v>9999.99</v>
      </c>
    </row>
    <row r="25" spans="1:38" s="164" customFormat="1" ht="12.75" customHeight="1">
      <c r="A25" s="31"/>
      <c r="B25" s="367" t="s">
        <v>692</v>
      </c>
      <c r="C25" s="189"/>
      <c r="D25" s="160"/>
      <c r="E25" s="160"/>
      <c r="F25" s="319">
        <v>9999</v>
      </c>
      <c r="G25" s="319">
        <v>9999</v>
      </c>
      <c r="H25" s="319">
        <v>9999</v>
      </c>
      <c r="I25" s="319">
        <v>9999</v>
      </c>
      <c r="J25" s="319">
        <v>9999</v>
      </c>
      <c r="K25" s="319">
        <v>9999</v>
      </c>
      <c r="L25" s="319">
        <v>9999</v>
      </c>
      <c r="M25" s="319">
        <v>9999</v>
      </c>
      <c r="N25" s="319">
        <v>9999</v>
      </c>
      <c r="O25" s="319">
        <v>9999</v>
      </c>
      <c r="P25" s="319">
        <v>9999</v>
      </c>
      <c r="Q25" s="319">
        <v>9999</v>
      </c>
      <c r="R25" s="319">
        <v>9999</v>
      </c>
      <c r="S25" s="319">
        <v>9999</v>
      </c>
      <c r="T25" s="319">
        <v>9999</v>
      </c>
      <c r="U25" s="319">
        <v>9999</v>
      </c>
      <c r="V25" s="319">
        <v>9999</v>
      </c>
      <c r="W25" s="319">
        <v>9999</v>
      </c>
      <c r="X25" s="319">
        <v>9999</v>
      </c>
      <c r="Y25" s="319">
        <v>9999</v>
      </c>
      <c r="Z25" s="319">
        <v>9999</v>
      </c>
      <c r="AA25" s="319">
        <v>9999</v>
      </c>
      <c r="AB25" s="319">
        <v>9999</v>
      </c>
      <c r="AC25" s="319">
        <v>9999</v>
      </c>
      <c r="AD25" s="319">
        <v>9999</v>
      </c>
      <c r="AE25" s="319">
        <v>9999</v>
      </c>
      <c r="AF25" s="319">
        <v>9999</v>
      </c>
      <c r="AG25" s="319">
        <v>9999</v>
      </c>
      <c r="AH25" s="319">
        <v>9999</v>
      </c>
      <c r="AI25" s="319">
        <v>9999</v>
      </c>
      <c r="AJ25" s="319">
        <v>9999</v>
      </c>
      <c r="AK25" s="319">
        <v>9999</v>
      </c>
    </row>
    <row r="26" spans="1:38" s="164" customFormat="1" ht="12.75" customHeight="1">
      <c r="A26" s="319"/>
      <c r="B26" s="367" t="s">
        <v>702</v>
      </c>
      <c r="C26" s="322"/>
      <c r="D26" s="320"/>
      <c r="E26" s="320"/>
      <c r="F26" s="319"/>
      <c r="G26" s="319"/>
      <c r="H26" s="319">
        <v>0</v>
      </c>
      <c r="I26" s="319">
        <v>0</v>
      </c>
      <c r="J26" s="319">
        <v>0</v>
      </c>
      <c r="K26" s="319">
        <v>0</v>
      </c>
      <c r="L26" s="319">
        <v>0</v>
      </c>
      <c r="M26" s="319">
        <v>0</v>
      </c>
      <c r="N26" s="319">
        <v>0</v>
      </c>
      <c r="O26" s="319">
        <v>0</v>
      </c>
      <c r="P26" s="319">
        <v>0</v>
      </c>
      <c r="Q26" s="319">
        <v>0</v>
      </c>
      <c r="R26" s="319">
        <v>0</v>
      </c>
      <c r="S26" s="319">
        <v>0</v>
      </c>
      <c r="T26" s="319">
        <v>0</v>
      </c>
      <c r="U26" s="319">
        <v>0</v>
      </c>
      <c r="V26" s="319">
        <v>0</v>
      </c>
      <c r="W26" s="319">
        <v>0</v>
      </c>
      <c r="X26" s="319">
        <v>0</v>
      </c>
      <c r="Y26" s="319">
        <v>0</v>
      </c>
      <c r="Z26" s="319">
        <v>0</v>
      </c>
      <c r="AA26" s="319">
        <v>0</v>
      </c>
      <c r="AB26" s="319">
        <v>0</v>
      </c>
      <c r="AC26" s="319">
        <v>0</v>
      </c>
      <c r="AD26" s="319">
        <v>0</v>
      </c>
      <c r="AE26" s="319">
        <v>0</v>
      </c>
      <c r="AF26" s="319">
        <v>0</v>
      </c>
      <c r="AG26" s="319">
        <v>0</v>
      </c>
      <c r="AH26" s="319"/>
      <c r="AI26" s="319"/>
      <c r="AJ26" s="319"/>
      <c r="AK26" s="319"/>
    </row>
    <row r="27" spans="1:38" s="164" customFormat="1" ht="12.75" customHeight="1">
      <c r="A27" s="319"/>
      <c r="B27" s="367" t="s">
        <v>716</v>
      </c>
      <c r="C27" s="322"/>
      <c r="D27" s="320"/>
      <c r="E27" s="320"/>
      <c r="F27" s="319"/>
      <c r="G27" s="319"/>
      <c r="H27" s="319"/>
      <c r="I27" s="319"/>
      <c r="J27" s="319"/>
      <c r="K27" s="319"/>
      <c r="L27" s="319"/>
      <c r="M27" s="319"/>
      <c r="N27" s="319"/>
      <c r="O27" s="319"/>
      <c r="P27" s="319"/>
      <c r="Q27" s="319">
        <v>0</v>
      </c>
      <c r="R27" s="319">
        <v>0</v>
      </c>
      <c r="S27" s="319">
        <v>0</v>
      </c>
      <c r="T27" s="319">
        <v>0</v>
      </c>
      <c r="U27" s="319">
        <v>0</v>
      </c>
      <c r="V27" s="319">
        <v>0</v>
      </c>
      <c r="W27" s="319">
        <v>0</v>
      </c>
      <c r="X27" s="319">
        <v>0</v>
      </c>
      <c r="Y27" s="319"/>
      <c r="Z27" s="319">
        <v>0</v>
      </c>
      <c r="AA27" s="319">
        <v>0</v>
      </c>
      <c r="AB27" s="545">
        <v>0.3</v>
      </c>
      <c r="AC27" s="545">
        <v>0.4</v>
      </c>
      <c r="AD27" s="545">
        <v>0.5</v>
      </c>
      <c r="AE27" s="258">
        <v>0.5</v>
      </c>
      <c r="AF27" s="258">
        <v>0.75</v>
      </c>
      <c r="AG27" s="258">
        <v>1</v>
      </c>
      <c r="AH27" s="319"/>
      <c r="AI27" s="319"/>
      <c r="AJ27" s="319"/>
      <c r="AK27" s="319"/>
    </row>
    <row r="28" spans="1:38" s="164" customFormat="1" ht="12.75" customHeight="1">
      <c r="A28" s="319"/>
      <c r="B28" s="367" t="s">
        <v>715</v>
      </c>
      <c r="C28" s="322"/>
      <c r="D28" s="320"/>
      <c r="E28" s="320"/>
      <c r="F28" s="319"/>
      <c r="G28" s="319"/>
      <c r="H28" s="319"/>
      <c r="I28" s="319"/>
      <c r="J28" s="319"/>
      <c r="K28" s="319"/>
      <c r="L28" s="319"/>
      <c r="M28" s="319"/>
      <c r="N28" s="319"/>
      <c r="O28" s="319"/>
      <c r="P28" s="319"/>
      <c r="Q28" s="319">
        <v>0</v>
      </c>
      <c r="R28" s="319">
        <v>0</v>
      </c>
      <c r="S28" s="319">
        <v>0</v>
      </c>
      <c r="T28" s="319">
        <v>0</v>
      </c>
      <c r="U28" s="319">
        <v>0</v>
      </c>
      <c r="V28" s="319">
        <v>0</v>
      </c>
      <c r="W28" s="319">
        <v>0</v>
      </c>
      <c r="X28" s="319">
        <v>0</v>
      </c>
      <c r="Y28" s="319"/>
      <c r="Z28" s="319">
        <v>0</v>
      </c>
      <c r="AA28" s="319">
        <v>0</v>
      </c>
      <c r="AB28" s="593">
        <v>1</v>
      </c>
      <c r="AC28" s="593">
        <v>1</v>
      </c>
      <c r="AD28" s="593">
        <v>1</v>
      </c>
      <c r="AE28" s="319">
        <v>1</v>
      </c>
      <c r="AF28" s="319">
        <v>1</v>
      </c>
      <c r="AG28" s="319">
        <v>1</v>
      </c>
      <c r="AH28" s="319"/>
      <c r="AI28" s="319"/>
      <c r="AJ28" s="319"/>
      <c r="AK28" s="319"/>
    </row>
    <row r="29" spans="1:38" s="164" customFormat="1" ht="12.75" customHeight="1">
      <c r="A29" s="31"/>
      <c r="B29" s="315" t="s">
        <v>615</v>
      </c>
      <c r="C29" s="189"/>
      <c r="D29" s="160"/>
      <c r="E29" s="160"/>
      <c r="F29" s="31">
        <v>0</v>
      </c>
      <c r="G29" s="31">
        <v>0</v>
      </c>
      <c r="H29" s="31">
        <v>1</v>
      </c>
      <c r="I29" s="31">
        <v>1</v>
      </c>
      <c r="J29" s="31">
        <v>1</v>
      </c>
      <c r="K29" s="31">
        <v>1</v>
      </c>
      <c r="L29" s="31">
        <v>1</v>
      </c>
      <c r="M29" s="319">
        <v>1</v>
      </c>
      <c r="N29" s="319">
        <v>1</v>
      </c>
      <c r="O29" s="31">
        <v>1</v>
      </c>
      <c r="P29" s="31">
        <v>1</v>
      </c>
      <c r="Q29" s="31">
        <v>1</v>
      </c>
      <c r="R29" s="31">
        <v>1</v>
      </c>
      <c r="S29" s="31">
        <v>1</v>
      </c>
      <c r="T29" s="319">
        <v>1</v>
      </c>
      <c r="U29" s="31">
        <v>1</v>
      </c>
      <c r="V29" s="319">
        <v>1</v>
      </c>
      <c r="W29" s="319">
        <v>1</v>
      </c>
      <c r="X29" s="319">
        <v>1</v>
      </c>
      <c r="Y29" s="319">
        <v>1</v>
      </c>
      <c r="Z29" s="319">
        <v>1</v>
      </c>
      <c r="AA29" s="319">
        <v>1</v>
      </c>
      <c r="AB29" s="319">
        <v>1</v>
      </c>
      <c r="AC29" s="319">
        <v>1</v>
      </c>
      <c r="AD29" s="319">
        <v>1</v>
      </c>
      <c r="AE29" s="319">
        <v>1</v>
      </c>
      <c r="AF29" s="319">
        <v>1</v>
      </c>
      <c r="AG29" s="319">
        <v>1</v>
      </c>
      <c r="AH29" s="31">
        <v>1</v>
      </c>
      <c r="AI29" s="31">
        <v>1</v>
      </c>
      <c r="AJ29" s="31">
        <v>1</v>
      </c>
      <c r="AK29" s="31">
        <v>1</v>
      </c>
    </row>
    <row r="30" spans="1:38" ht="12.75" customHeight="1">
      <c r="A30" s="42"/>
      <c r="AL30" s="164"/>
    </row>
    <row r="31" spans="1:38" s="164" customFormat="1" ht="12.75" customHeight="1">
      <c r="A31" s="167"/>
      <c r="B31" s="444" t="s">
        <v>591</v>
      </c>
      <c r="F31" s="167"/>
      <c r="G31" s="167"/>
    </row>
    <row r="32" spans="1:38" s="164" customFormat="1" ht="12.75" customHeight="1">
      <c r="A32" s="167"/>
      <c r="B32" s="282" t="s">
        <v>592</v>
      </c>
      <c r="C32" s="322"/>
      <c r="D32" s="320"/>
      <c r="E32" s="320"/>
      <c r="F32" s="167" t="s">
        <v>593</v>
      </c>
      <c r="G32" s="167" t="s">
        <v>593</v>
      </c>
      <c r="H32" s="167" t="s">
        <v>593</v>
      </c>
      <c r="I32" s="167" t="s">
        <v>593</v>
      </c>
      <c r="J32" s="167" t="s">
        <v>593</v>
      </c>
      <c r="K32" s="167" t="s">
        <v>593</v>
      </c>
      <c r="L32" s="167" t="s">
        <v>593</v>
      </c>
      <c r="M32" s="167" t="s">
        <v>593</v>
      </c>
      <c r="N32" s="167" t="s">
        <v>593</v>
      </c>
      <c r="O32" s="167" t="s">
        <v>593</v>
      </c>
      <c r="P32" s="167" t="s">
        <v>593</v>
      </c>
      <c r="Q32" s="167" t="s">
        <v>593</v>
      </c>
      <c r="R32" s="167" t="s">
        <v>593</v>
      </c>
      <c r="S32" s="167" t="s">
        <v>593</v>
      </c>
      <c r="T32" s="167" t="s">
        <v>593</v>
      </c>
      <c r="U32" s="167" t="s">
        <v>593</v>
      </c>
      <c r="V32" s="167" t="s">
        <v>593</v>
      </c>
      <c r="W32" s="167" t="s">
        <v>593</v>
      </c>
      <c r="X32" s="167" t="s">
        <v>593</v>
      </c>
      <c r="Y32" s="167" t="s">
        <v>593</v>
      </c>
      <c r="Z32" s="167" t="s">
        <v>593</v>
      </c>
      <c r="AA32" s="167" t="s">
        <v>593</v>
      </c>
      <c r="AB32" s="167" t="s">
        <v>593</v>
      </c>
      <c r="AC32" s="167" t="s">
        <v>593</v>
      </c>
      <c r="AD32" s="167" t="s">
        <v>593</v>
      </c>
      <c r="AE32" s="167" t="s">
        <v>593</v>
      </c>
      <c r="AF32" s="167" t="s">
        <v>593</v>
      </c>
      <c r="AG32" s="167" t="s">
        <v>593</v>
      </c>
      <c r="AH32" s="167" t="s">
        <v>593</v>
      </c>
      <c r="AI32" s="167" t="s">
        <v>593</v>
      </c>
      <c r="AJ32" s="167" t="s">
        <v>593</v>
      </c>
      <c r="AK32" s="167" t="s">
        <v>593</v>
      </c>
    </row>
    <row r="33" spans="1:38" s="164" customFormat="1" ht="12.75" customHeight="1">
      <c r="A33" s="167"/>
      <c r="B33" s="367" t="s">
        <v>584</v>
      </c>
      <c r="C33" s="322"/>
      <c r="D33" s="320"/>
      <c r="E33" s="320"/>
      <c r="F33" s="241">
        <v>1</v>
      </c>
      <c r="G33" s="241">
        <v>1</v>
      </c>
      <c r="H33" s="241">
        <v>1</v>
      </c>
      <c r="I33" s="241">
        <v>1</v>
      </c>
      <c r="J33" s="241">
        <v>1</v>
      </c>
      <c r="K33" s="241">
        <v>1</v>
      </c>
      <c r="L33" s="241">
        <v>1</v>
      </c>
      <c r="M33" s="241">
        <v>1</v>
      </c>
      <c r="N33" s="241">
        <v>1</v>
      </c>
      <c r="O33" s="241">
        <v>1</v>
      </c>
      <c r="P33" s="241">
        <v>1</v>
      </c>
      <c r="Q33" s="241">
        <v>1</v>
      </c>
      <c r="R33" s="241">
        <v>1</v>
      </c>
      <c r="S33" s="241">
        <v>1</v>
      </c>
      <c r="T33" s="241">
        <v>1</v>
      </c>
      <c r="U33" s="241">
        <v>1</v>
      </c>
      <c r="V33" s="241">
        <v>1</v>
      </c>
      <c r="W33" s="241">
        <v>1</v>
      </c>
      <c r="X33" s="241">
        <v>1</v>
      </c>
      <c r="Y33" s="241">
        <v>1</v>
      </c>
      <c r="Z33" s="241">
        <v>1</v>
      </c>
      <c r="AA33" s="241">
        <v>1</v>
      </c>
      <c r="AB33" s="241">
        <v>1</v>
      </c>
      <c r="AC33" s="241">
        <v>1</v>
      </c>
      <c r="AD33" s="241">
        <v>1</v>
      </c>
      <c r="AE33" s="241">
        <v>1</v>
      </c>
      <c r="AF33" s="241">
        <v>1</v>
      </c>
      <c r="AG33" s="241">
        <v>1</v>
      </c>
      <c r="AH33" s="241">
        <v>1</v>
      </c>
      <c r="AI33" s="241">
        <v>1</v>
      </c>
      <c r="AJ33" s="241">
        <v>1</v>
      </c>
      <c r="AK33" s="241">
        <v>1</v>
      </c>
    </row>
    <row r="34" spans="1:38" s="164" customFormat="1" ht="12.75" customHeight="1">
      <c r="A34" s="167"/>
      <c r="B34" s="367" t="s">
        <v>594</v>
      </c>
      <c r="C34" s="322"/>
      <c r="D34" s="320"/>
      <c r="E34" s="320"/>
      <c r="F34" s="235">
        <v>0.05</v>
      </c>
      <c r="G34" s="235">
        <v>0.05</v>
      </c>
      <c r="H34" s="235">
        <v>0.05</v>
      </c>
      <c r="I34" s="235">
        <v>0.05</v>
      </c>
      <c r="J34" s="235">
        <v>0.05</v>
      </c>
      <c r="K34" s="235">
        <v>0.05</v>
      </c>
      <c r="L34" s="235">
        <v>0.05</v>
      </c>
      <c r="M34" s="235">
        <v>0.05</v>
      </c>
      <c r="N34" s="235">
        <v>0.05</v>
      </c>
      <c r="O34" s="235">
        <v>0.05</v>
      </c>
      <c r="P34" s="235">
        <v>0.05</v>
      </c>
      <c r="Q34" s="235">
        <v>0.05</v>
      </c>
      <c r="R34" s="235">
        <v>0.05</v>
      </c>
      <c r="S34" s="235">
        <v>0.05</v>
      </c>
      <c r="T34" s="235">
        <v>0.05</v>
      </c>
      <c r="U34" s="235">
        <v>0.05</v>
      </c>
      <c r="V34" s="235">
        <v>0.05</v>
      </c>
      <c r="W34" s="235">
        <v>0.05</v>
      </c>
      <c r="X34" s="235">
        <v>0.05</v>
      </c>
      <c r="Y34" s="235">
        <v>0.05</v>
      </c>
      <c r="Z34" s="235">
        <v>0.05</v>
      </c>
      <c r="AA34" s="235">
        <v>0.05</v>
      </c>
      <c r="AB34" s="235">
        <v>0.05</v>
      </c>
      <c r="AC34" s="235">
        <v>0.05</v>
      </c>
      <c r="AD34" s="235">
        <v>0.05</v>
      </c>
      <c r="AE34" s="235">
        <v>0.05</v>
      </c>
      <c r="AF34" s="235">
        <v>0.05</v>
      </c>
      <c r="AG34" s="235">
        <v>0.05</v>
      </c>
      <c r="AH34" s="235">
        <v>0.05</v>
      </c>
      <c r="AI34" s="235">
        <v>0.05</v>
      </c>
      <c r="AJ34" s="235">
        <v>0.05</v>
      </c>
      <c r="AK34" s="235">
        <v>0.05</v>
      </c>
    </row>
    <row r="35" spans="1:38" s="164" customFormat="1" ht="12.75" customHeight="1">
      <c r="A35" s="167"/>
      <c r="F35" s="167"/>
      <c r="G35" s="167"/>
      <c r="H35" s="167"/>
      <c r="I35" s="167"/>
      <c r="J35" s="167"/>
      <c r="K35" s="167"/>
      <c r="L35" s="167"/>
      <c r="M35" s="167"/>
      <c r="N35" s="167"/>
      <c r="O35" s="167"/>
      <c r="P35" s="167"/>
      <c r="Q35" s="167"/>
      <c r="R35" s="167"/>
      <c r="S35" s="167"/>
      <c r="T35" s="167"/>
      <c r="U35" s="167"/>
      <c r="V35" s="167"/>
      <c r="W35" s="167"/>
      <c r="X35" s="167"/>
      <c r="Y35" s="167"/>
      <c r="Z35" s="167"/>
      <c r="AA35" s="167"/>
      <c r="AB35" s="167"/>
      <c r="AC35" s="167"/>
      <c r="AD35" s="167"/>
      <c r="AE35" s="167"/>
      <c r="AF35" s="167"/>
      <c r="AG35" s="167"/>
      <c r="AH35" s="167"/>
      <c r="AI35" s="167"/>
      <c r="AJ35" s="167"/>
      <c r="AK35" s="167"/>
    </row>
    <row r="36" spans="1:38" s="164" customFormat="1" ht="12.75" customHeight="1">
      <c r="A36" s="167"/>
      <c r="B36" s="444" t="s">
        <v>616</v>
      </c>
      <c r="F36" s="167"/>
      <c r="G36" s="167"/>
    </row>
    <row r="37" spans="1:38" s="164" customFormat="1" ht="12.75" customHeight="1">
      <c r="A37" s="167"/>
      <c r="B37" s="282" t="s">
        <v>614</v>
      </c>
      <c r="C37" s="322"/>
      <c r="D37" s="320"/>
      <c r="E37" s="320"/>
      <c r="F37" s="465">
        <v>0</v>
      </c>
      <c r="G37" s="465">
        <v>0</v>
      </c>
      <c r="H37" s="465">
        <v>1</v>
      </c>
      <c r="I37" s="465">
        <v>1</v>
      </c>
      <c r="J37" s="465">
        <v>1</v>
      </c>
      <c r="K37" s="465">
        <v>1</v>
      </c>
      <c r="L37" s="465">
        <v>1</v>
      </c>
      <c r="M37" s="465">
        <v>1</v>
      </c>
      <c r="N37" s="465">
        <v>1</v>
      </c>
      <c r="O37" s="465">
        <v>1</v>
      </c>
      <c r="P37" s="465">
        <v>1</v>
      </c>
      <c r="Q37" s="465">
        <v>1</v>
      </c>
      <c r="R37" s="465">
        <v>0.5</v>
      </c>
      <c r="S37" s="465">
        <v>1</v>
      </c>
      <c r="T37" s="465">
        <v>0.5</v>
      </c>
      <c r="U37" s="465">
        <v>1</v>
      </c>
      <c r="V37" s="465">
        <v>1</v>
      </c>
      <c r="W37" s="465">
        <v>1</v>
      </c>
      <c r="X37" s="465">
        <v>1</v>
      </c>
      <c r="Y37" s="465">
        <v>1</v>
      </c>
      <c r="Z37" s="465">
        <v>1</v>
      </c>
      <c r="AA37" s="465">
        <v>1</v>
      </c>
      <c r="AB37" s="465">
        <v>1</v>
      </c>
      <c r="AC37" s="465">
        <v>1</v>
      </c>
      <c r="AD37" s="465">
        <v>1</v>
      </c>
      <c r="AE37" s="465">
        <v>1</v>
      </c>
      <c r="AF37" s="465">
        <v>1</v>
      </c>
      <c r="AG37" s="465">
        <v>1</v>
      </c>
      <c r="AH37" s="465">
        <v>1</v>
      </c>
      <c r="AI37" s="465">
        <v>1</v>
      </c>
      <c r="AJ37" s="465">
        <v>1</v>
      </c>
      <c r="AK37" s="465">
        <v>0.5</v>
      </c>
    </row>
    <row r="38" spans="1:38" s="164" customFormat="1" ht="12.75" customHeight="1">
      <c r="A38" s="167"/>
      <c r="F38" s="167"/>
      <c r="G38" s="167"/>
      <c r="H38" s="167"/>
      <c r="I38" s="167"/>
      <c r="J38" s="167"/>
      <c r="K38" s="167"/>
      <c r="L38" s="167"/>
      <c r="M38" s="167"/>
      <c r="N38" s="167"/>
      <c r="O38" s="167"/>
      <c r="P38" s="167"/>
      <c r="Q38" s="167"/>
      <c r="R38" s="167"/>
      <c r="S38" s="167"/>
      <c r="T38" s="167"/>
      <c r="U38" s="167"/>
      <c r="V38" s="167"/>
      <c r="W38" s="167"/>
      <c r="X38" s="167"/>
      <c r="Y38" s="167"/>
      <c r="Z38" s="167"/>
      <c r="AA38" s="167"/>
      <c r="AB38" s="167"/>
      <c r="AC38" s="167"/>
      <c r="AD38" s="167"/>
      <c r="AE38" s="167"/>
      <c r="AF38" s="167"/>
      <c r="AG38" s="167"/>
      <c r="AH38" s="167"/>
      <c r="AI38" s="167"/>
      <c r="AJ38" s="167"/>
      <c r="AK38" s="167"/>
    </row>
    <row r="39" spans="1:38" s="164" customFormat="1" ht="12.75" customHeight="1">
      <c r="A39" s="167"/>
      <c r="B39" s="290" t="s">
        <v>411</v>
      </c>
      <c r="F39" s="167"/>
      <c r="G39" s="167"/>
      <c r="H39" s="167"/>
      <c r="I39" s="167"/>
      <c r="J39" s="167"/>
      <c r="K39" s="167"/>
      <c r="L39" s="167"/>
      <c r="M39" s="167"/>
      <c r="N39" s="167"/>
      <c r="O39" s="167"/>
      <c r="P39" s="167"/>
      <c r="Q39" s="167"/>
      <c r="R39" s="167"/>
      <c r="S39" s="167"/>
      <c r="T39" s="167"/>
      <c r="U39" s="167"/>
      <c r="V39" s="167"/>
      <c r="W39" s="167"/>
      <c r="X39" s="167"/>
      <c r="Y39" s="167"/>
      <c r="Z39" s="167"/>
      <c r="AA39" s="167"/>
      <c r="AB39" s="167"/>
      <c r="AC39" s="167"/>
      <c r="AD39" s="167"/>
      <c r="AE39" s="167"/>
      <c r="AF39" s="167"/>
      <c r="AG39" s="167"/>
      <c r="AH39" s="167"/>
      <c r="AI39" s="167"/>
      <c r="AJ39" s="167"/>
      <c r="AK39" s="167"/>
    </row>
    <row r="40" spans="1:38" s="164" customFormat="1" ht="12.75" customHeight="1">
      <c r="A40" s="137" t="s">
        <v>389</v>
      </c>
      <c r="B40" s="282" t="s">
        <v>412</v>
      </c>
      <c r="C40" s="201" t="s">
        <v>479</v>
      </c>
      <c r="D40" s="160"/>
      <c r="E40" s="160"/>
      <c r="F40" s="31" t="s">
        <v>389</v>
      </c>
      <c r="G40" s="31" t="s">
        <v>389</v>
      </c>
      <c r="H40" s="31" t="s">
        <v>389</v>
      </c>
      <c r="I40" s="31" t="s">
        <v>389</v>
      </c>
      <c r="J40" s="31" t="s">
        <v>389</v>
      </c>
      <c r="K40" s="31" t="s">
        <v>389</v>
      </c>
      <c r="L40" s="31" t="s">
        <v>389</v>
      </c>
      <c r="M40" s="319" t="s">
        <v>389</v>
      </c>
      <c r="N40" s="319" t="s">
        <v>389</v>
      </c>
      <c r="O40" s="31" t="s">
        <v>389</v>
      </c>
      <c r="P40" s="31" t="s">
        <v>389</v>
      </c>
      <c r="Q40" s="31" t="s">
        <v>389</v>
      </c>
      <c r="R40" s="31" t="s">
        <v>389</v>
      </c>
      <c r="S40" s="31" t="s">
        <v>389</v>
      </c>
      <c r="T40" s="319" t="s">
        <v>389</v>
      </c>
      <c r="U40" s="31" t="s">
        <v>389</v>
      </c>
      <c r="V40" s="319" t="s">
        <v>389</v>
      </c>
      <c r="W40" s="319" t="s">
        <v>389</v>
      </c>
      <c r="X40" s="319" t="s">
        <v>389</v>
      </c>
      <c r="Y40" s="319" t="s">
        <v>389</v>
      </c>
      <c r="Z40" s="319" t="s">
        <v>389</v>
      </c>
      <c r="AA40" s="319" t="s">
        <v>389</v>
      </c>
      <c r="AB40" s="319" t="s">
        <v>389</v>
      </c>
      <c r="AC40" s="319" t="s">
        <v>389</v>
      </c>
      <c r="AD40" s="319" t="s">
        <v>389</v>
      </c>
      <c r="AE40" s="319" t="s">
        <v>389</v>
      </c>
      <c r="AF40" s="319" t="s">
        <v>389</v>
      </c>
      <c r="AG40" s="319" t="s">
        <v>389</v>
      </c>
      <c r="AH40" s="31" t="s">
        <v>389</v>
      </c>
      <c r="AI40" s="31" t="s">
        <v>389</v>
      </c>
      <c r="AJ40" s="31" t="s">
        <v>389</v>
      </c>
      <c r="AK40" s="31" t="s">
        <v>389</v>
      </c>
    </row>
    <row r="41" spans="1:38" s="164" customFormat="1" ht="12.75" customHeight="1">
      <c r="A41" s="31"/>
      <c r="B41" s="282" t="s">
        <v>413</v>
      </c>
      <c r="C41" s="189"/>
      <c r="D41" s="160"/>
      <c r="E41" s="160"/>
      <c r="F41" s="241">
        <v>5</v>
      </c>
      <c r="G41" s="241">
        <v>5</v>
      </c>
      <c r="H41" s="241">
        <v>5</v>
      </c>
      <c r="I41" s="241">
        <v>5</v>
      </c>
      <c r="J41" s="241">
        <v>5</v>
      </c>
      <c r="K41" s="241">
        <v>5</v>
      </c>
      <c r="L41" s="241">
        <v>5</v>
      </c>
      <c r="M41" s="241">
        <v>5</v>
      </c>
      <c r="N41" s="241">
        <v>5</v>
      </c>
      <c r="O41" s="241">
        <v>5</v>
      </c>
      <c r="P41" s="241">
        <v>5</v>
      </c>
      <c r="Q41" s="241">
        <v>5</v>
      </c>
      <c r="R41" s="241">
        <v>5</v>
      </c>
      <c r="S41" s="241">
        <v>5</v>
      </c>
      <c r="T41" s="241">
        <v>5</v>
      </c>
      <c r="U41" s="241">
        <v>5</v>
      </c>
      <c r="V41" s="241">
        <v>5</v>
      </c>
      <c r="W41" s="241">
        <v>5</v>
      </c>
      <c r="X41" s="241">
        <v>5</v>
      </c>
      <c r="Y41" s="241">
        <v>5</v>
      </c>
      <c r="Z41" s="241">
        <v>5</v>
      </c>
      <c r="AA41" s="241">
        <v>5</v>
      </c>
      <c r="AB41" s="241">
        <v>5</v>
      </c>
      <c r="AC41" s="241">
        <v>5</v>
      </c>
      <c r="AD41" s="241">
        <v>5</v>
      </c>
      <c r="AE41" s="241">
        <v>5</v>
      </c>
      <c r="AF41" s="241">
        <v>5</v>
      </c>
      <c r="AG41" s="241">
        <v>5</v>
      </c>
      <c r="AH41" s="241">
        <v>5</v>
      </c>
      <c r="AI41" s="241">
        <v>5</v>
      </c>
      <c r="AJ41" s="241">
        <v>5</v>
      </c>
      <c r="AK41" s="241">
        <v>5</v>
      </c>
    </row>
    <row r="42" spans="1:38" s="164" customFormat="1" ht="12.75" customHeight="1">
      <c r="A42" s="137"/>
      <c r="B42" s="315" t="s">
        <v>414</v>
      </c>
      <c r="C42" s="189"/>
      <c r="D42" s="160"/>
      <c r="E42" s="160"/>
      <c r="F42" s="31" t="str">
        <f t="shared" ref="F42:G42" si="5">REPLACE(F$4,3,1,"1")</f>
        <v>FX1Fix</v>
      </c>
      <c r="G42" s="31" t="str">
        <f t="shared" si="5"/>
        <v>SP1Cap</v>
      </c>
      <c r="H42" s="31" t="s">
        <v>706</v>
      </c>
      <c r="I42" s="31" t="str">
        <f>I13</f>
        <v>ND1B10Tri</v>
      </c>
      <c r="J42" s="31" t="str">
        <f>J13</f>
        <v>ND1B10DDCp</v>
      </c>
      <c r="K42" s="31" t="s">
        <v>649</v>
      </c>
      <c r="L42" s="31" t="s">
        <v>649</v>
      </c>
      <c r="M42" s="319" t="s">
        <v>695</v>
      </c>
      <c r="N42" s="319" t="s">
        <v>696</v>
      </c>
      <c r="O42" s="31" t="s">
        <v>649</v>
      </c>
      <c r="P42" s="31" t="s">
        <v>650</v>
      </c>
      <c r="Q42" s="31" t="s">
        <v>651</v>
      </c>
      <c r="R42" s="31" t="s">
        <v>652</v>
      </c>
      <c r="S42" s="31" t="s">
        <v>653</v>
      </c>
      <c r="T42" s="319" t="s">
        <v>687</v>
      </c>
      <c r="U42" s="31" t="s">
        <v>653</v>
      </c>
      <c r="V42" s="319" t="s">
        <v>653</v>
      </c>
      <c r="W42" s="319" t="s">
        <v>653</v>
      </c>
      <c r="X42" s="319" t="s">
        <v>697</v>
      </c>
      <c r="Y42" s="319" t="s">
        <v>745</v>
      </c>
      <c r="Z42" s="319" t="s">
        <v>711</v>
      </c>
      <c r="AA42" s="319" t="s">
        <v>711</v>
      </c>
      <c r="AB42" s="319" t="str">
        <f t="shared" ref="AB42:AG42" si="6">AB13</f>
        <v>SP3K30DKO</v>
      </c>
      <c r="AC42" s="319" t="str">
        <f t="shared" si="6"/>
        <v>SP3K40DKO</v>
      </c>
      <c r="AD42" s="319" t="str">
        <f t="shared" si="6"/>
        <v>SP3K50DKO</v>
      </c>
      <c r="AE42" s="319" t="str">
        <f t="shared" si="6"/>
        <v>SP6K50DKO</v>
      </c>
      <c r="AF42" s="319" t="str">
        <f t="shared" si="6"/>
        <v>SP6K75DKO</v>
      </c>
      <c r="AG42" s="319" t="str">
        <f t="shared" si="6"/>
        <v>SP6K100DKO</v>
      </c>
      <c r="AH42" s="31" t="s">
        <v>653</v>
      </c>
      <c r="AI42" s="31" t="s">
        <v>654</v>
      </c>
      <c r="AJ42" s="31" t="s">
        <v>655</v>
      </c>
      <c r="AK42" s="31" t="s">
        <v>656</v>
      </c>
    </row>
    <row r="43" spans="1:38" s="164" customFormat="1" ht="12.75" customHeight="1">
      <c r="A43" s="167"/>
      <c r="F43" s="167"/>
      <c r="G43" s="167"/>
      <c r="H43" s="167"/>
      <c r="I43" s="167"/>
      <c r="J43" s="167"/>
      <c r="K43" s="167"/>
      <c r="L43" s="167"/>
      <c r="M43" s="167"/>
      <c r="N43" s="167"/>
      <c r="O43" s="167"/>
      <c r="P43" s="167"/>
      <c r="Q43" s="167"/>
      <c r="R43" s="167"/>
      <c r="S43" s="167"/>
      <c r="T43" s="167"/>
      <c r="U43" s="167"/>
      <c r="V43" s="167"/>
      <c r="W43" s="167"/>
      <c r="X43" s="167"/>
      <c r="Y43" s="167"/>
      <c r="Z43" s="167"/>
      <c r="AA43" s="167"/>
      <c r="AB43" s="167"/>
      <c r="AC43" s="167"/>
      <c r="AD43" s="167"/>
      <c r="AE43" s="167"/>
      <c r="AF43" s="167"/>
      <c r="AG43" s="167"/>
      <c r="AH43" s="167"/>
      <c r="AI43" s="167"/>
      <c r="AJ43" s="167"/>
      <c r="AK43" s="167"/>
    </row>
    <row r="44" spans="1:38" s="164" customFormat="1" ht="12.75" customHeight="1">
      <c r="A44" s="167"/>
      <c r="B44" s="164" t="str">
        <f ca="1">GetNameRange(B46)</f>
        <v>crediting_dyn_lever</v>
      </c>
      <c r="F44" s="167"/>
      <c r="G44" s="167"/>
      <c r="H44" s="167"/>
      <c r="I44" s="167"/>
      <c r="J44" s="167"/>
      <c r="K44" s="167"/>
      <c r="L44" s="167"/>
      <c r="M44" s="167"/>
      <c r="N44" s="167"/>
      <c r="O44" s="167"/>
      <c r="P44" s="167"/>
      <c r="Q44" s="167"/>
      <c r="R44" s="167"/>
      <c r="S44" s="167"/>
      <c r="T44" s="167"/>
      <c r="U44" s="167"/>
      <c r="V44" s="167"/>
      <c r="W44" s="167"/>
      <c r="X44" s="167"/>
      <c r="Y44" s="167"/>
      <c r="Z44" s="167"/>
      <c r="AA44" s="167"/>
      <c r="AB44" s="167"/>
      <c r="AC44" s="167"/>
      <c r="AD44" s="167"/>
      <c r="AE44" s="167"/>
      <c r="AF44" s="167"/>
      <c r="AG44" s="167"/>
      <c r="AH44" s="167"/>
      <c r="AI44" s="167"/>
      <c r="AJ44" s="167"/>
      <c r="AK44" s="167"/>
    </row>
    <row r="45" spans="1:38" s="164" customFormat="1" ht="12.75" customHeight="1">
      <c r="A45" s="167"/>
      <c r="B45" s="116"/>
      <c r="C45" s="116" t="str">
        <f>C$4</f>
        <v>crediting_type_dyn_aig</v>
      </c>
      <c r="D45" s="220" t="s">
        <v>49</v>
      </c>
      <c r="E45" s="220"/>
      <c r="F45" s="106" t="str">
        <f t="shared" ref="F45:K45" si="7">F$4</f>
        <v>FX1Fix</v>
      </c>
      <c r="G45" s="106" t="str">
        <f t="shared" si="7"/>
        <v>SP1Cap</v>
      </c>
      <c r="H45" s="106" t="str">
        <f t="shared" si="7"/>
        <v>ND1B10Cp</v>
      </c>
      <c r="I45" s="106" t="str">
        <f t="shared" si="7"/>
        <v>ND1B10Tri</v>
      </c>
      <c r="J45" s="106" t="str">
        <f t="shared" si="7"/>
        <v>ND1B10DDCp</v>
      </c>
      <c r="K45" s="106" t="str">
        <f t="shared" si="7"/>
        <v>SP1B10Cp</v>
      </c>
      <c r="L45" s="106" t="str">
        <f>L$4</f>
        <v>SP1B10PC</v>
      </c>
      <c r="M45" s="106" t="str">
        <f t="shared" ref="M45:AG45" si="8">M$4</f>
        <v>SP1B10Tri</v>
      </c>
      <c r="N45" s="106" t="str">
        <f t="shared" si="8"/>
        <v>SP1B10DDCp</v>
      </c>
      <c r="O45" s="106" t="str">
        <f t="shared" si="8"/>
        <v>SP1B20Cp</v>
      </c>
      <c r="P45" s="106" t="str">
        <f t="shared" si="8"/>
        <v>SP1F10Cp</v>
      </c>
      <c r="Q45" s="106" t="str">
        <f t="shared" si="8"/>
        <v>SP1B10Pr</v>
      </c>
      <c r="R45" s="106" t="str">
        <f t="shared" si="8"/>
        <v>SP1P50Pr</v>
      </c>
      <c r="S45" s="106" t="str">
        <f t="shared" si="8"/>
        <v>SP6B10Cp</v>
      </c>
      <c r="T45" s="106" t="str">
        <f t="shared" si="8"/>
        <v>SP6B10Pr</v>
      </c>
      <c r="U45" s="106" t="str">
        <f t="shared" si="8"/>
        <v>SP6B10PC</v>
      </c>
      <c r="V45" s="106" t="str">
        <f t="shared" si="8"/>
        <v>SP6B10EPC</v>
      </c>
      <c r="W45" s="106" t="str">
        <f t="shared" si="8"/>
        <v>SP6B20EPC</v>
      </c>
      <c r="X45" s="106" t="str">
        <f t="shared" si="8"/>
        <v>SP6B10DDCp</v>
      </c>
      <c r="Y45" s="106" t="str">
        <f>Y$4</f>
        <v>SP6B20DDCp</v>
      </c>
      <c r="Z45" s="106" t="str">
        <f t="shared" si="8"/>
        <v>SP6B10ScCp</v>
      </c>
      <c r="AA45" s="106" t="str">
        <f t="shared" si="8"/>
        <v>SP6B20DDTriCap</v>
      </c>
      <c r="AB45" s="106" t="str">
        <f t="shared" si="8"/>
        <v>SP3K30DKO</v>
      </c>
      <c r="AC45" s="106" t="str">
        <f t="shared" si="8"/>
        <v>SP3K40DKO</v>
      </c>
      <c r="AD45" s="106" t="str">
        <f t="shared" si="8"/>
        <v>SP3K50DKO</v>
      </c>
      <c r="AE45" s="106" t="str">
        <f t="shared" si="8"/>
        <v>SP6K50DKO</v>
      </c>
      <c r="AF45" s="106" t="str">
        <f t="shared" si="8"/>
        <v>SP6K75DKO</v>
      </c>
      <c r="AG45" s="106" t="str">
        <f t="shared" si="8"/>
        <v>SP6K100DKO</v>
      </c>
      <c r="AH45" s="106" t="str">
        <f t="shared" ref="AH45:AK45" si="9">AH$4</f>
        <v>SP6B20Cp</v>
      </c>
      <c r="AI45" s="106" t="str">
        <f t="shared" si="9"/>
        <v>SP610FCp</v>
      </c>
      <c r="AJ45" s="106" t="str">
        <f t="shared" si="9"/>
        <v>SP6B20Pr</v>
      </c>
      <c r="AK45" s="106" t="str">
        <f t="shared" si="9"/>
        <v>SP6P50Pr</v>
      </c>
    </row>
    <row r="46" spans="1:38" s="159" customFormat="1" ht="12.75" customHeight="1">
      <c r="A46" s="166"/>
      <c r="B46" s="390" t="s">
        <v>163</v>
      </c>
      <c r="C46" s="103"/>
      <c r="D46" s="300"/>
      <c r="E46" s="300"/>
      <c r="F46" s="90"/>
      <c r="G46" s="90"/>
      <c r="H46" s="90"/>
      <c r="I46" s="90"/>
      <c r="J46" s="90"/>
      <c r="K46" s="90"/>
      <c r="L46" s="90"/>
      <c r="M46" s="347"/>
      <c r="N46" s="347"/>
      <c r="O46" s="90"/>
      <c r="P46" s="90"/>
      <c r="Q46" s="90"/>
      <c r="R46" s="90"/>
      <c r="S46" s="90"/>
      <c r="T46" s="347"/>
      <c r="U46" s="90"/>
      <c r="V46" s="347"/>
      <c r="W46" s="347"/>
      <c r="X46" s="347"/>
      <c r="Y46" s="347"/>
      <c r="Z46" s="347"/>
      <c r="AA46" s="347"/>
      <c r="AB46" s="347"/>
      <c r="AC46" s="347"/>
      <c r="AD46" s="347"/>
      <c r="AE46" s="347"/>
      <c r="AF46" s="347"/>
      <c r="AG46" s="347"/>
      <c r="AH46" s="90"/>
      <c r="AI46" s="90"/>
      <c r="AJ46" s="90"/>
      <c r="AK46" s="90"/>
      <c r="AL46" s="164"/>
    </row>
    <row r="47" spans="1:38" s="164" customFormat="1" ht="12.75" customHeight="1">
      <c r="A47" s="167"/>
      <c r="B47" s="118">
        <v>0</v>
      </c>
      <c r="C47" s="117"/>
      <c r="D47" s="160"/>
      <c r="E47" s="160"/>
      <c r="F47" s="167" t="s">
        <v>248</v>
      </c>
      <c r="G47" s="167" t="s">
        <v>114</v>
      </c>
      <c r="H47" s="167" t="s">
        <v>114</v>
      </c>
      <c r="I47" s="167" t="s">
        <v>693</v>
      </c>
      <c r="J47" s="167" t="s">
        <v>694</v>
      </c>
      <c r="K47" s="167" t="s">
        <v>114</v>
      </c>
      <c r="L47" s="167" t="s">
        <v>822</v>
      </c>
      <c r="M47" s="167" t="s">
        <v>693</v>
      </c>
      <c r="N47" s="167" t="s">
        <v>694</v>
      </c>
      <c r="O47" s="167" t="s">
        <v>114</v>
      </c>
      <c r="P47" s="167" t="s">
        <v>114</v>
      </c>
      <c r="Q47" s="167" t="s">
        <v>248</v>
      </c>
      <c r="R47" s="167" t="s">
        <v>248</v>
      </c>
      <c r="S47" s="167" t="s">
        <v>114</v>
      </c>
      <c r="T47" s="167" t="s">
        <v>248</v>
      </c>
      <c r="U47" s="167" t="s">
        <v>822</v>
      </c>
      <c r="V47" s="167" t="s">
        <v>819</v>
      </c>
      <c r="W47" s="167" t="s">
        <v>819</v>
      </c>
      <c r="X47" s="167" t="s">
        <v>694</v>
      </c>
      <c r="Y47" s="167" t="s">
        <v>694</v>
      </c>
      <c r="Z47" s="167" t="s">
        <v>710</v>
      </c>
      <c r="AA47" s="167" t="s">
        <v>814</v>
      </c>
      <c r="AB47" s="167" t="s">
        <v>714</v>
      </c>
      <c r="AC47" s="167" t="s">
        <v>714</v>
      </c>
      <c r="AD47" s="167" t="s">
        <v>714</v>
      </c>
      <c r="AE47" s="167" t="s">
        <v>714</v>
      </c>
      <c r="AF47" s="167" t="s">
        <v>714</v>
      </c>
      <c r="AG47" s="167" t="s">
        <v>714</v>
      </c>
      <c r="AH47" s="167" t="s">
        <v>114</v>
      </c>
      <c r="AI47" s="167" t="s">
        <v>114</v>
      </c>
      <c r="AJ47" s="167" t="s">
        <v>248</v>
      </c>
      <c r="AK47" s="167" t="s">
        <v>248</v>
      </c>
    </row>
    <row r="48" spans="1:38" s="164" customFormat="1" ht="12.75" customHeight="1">
      <c r="A48" s="167"/>
      <c r="B48" s="600">
        <v>4</v>
      </c>
      <c r="C48" s="117"/>
      <c r="D48" s="160"/>
      <c r="E48" s="160"/>
      <c r="F48" s="167" t="s">
        <v>248</v>
      </c>
      <c r="G48" s="167" t="s">
        <v>114</v>
      </c>
      <c r="H48" s="167" t="s">
        <v>114</v>
      </c>
      <c r="I48" s="167" t="s">
        <v>693</v>
      </c>
      <c r="J48" s="167" t="s">
        <v>694</v>
      </c>
      <c r="K48" s="167" t="s">
        <v>114</v>
      </c>
      <c r="L48" s="167" t="s">
        <v>822</v>
      </c>
      <c r="M48" s="167" t="s">
        <v>693</v>
      </c>
      <c r="N48" s="167" t="s">
        <v>694</v>
      </c>
      <c r="O48" s="167" t="s">
        <v>114</v>
      </c>
      <c r="P48" s="167" t="s">
        <v>114</v>
      </c>
      <c r="Q48" s="167" t="s">
        <v>248</v>
      </c>
      <c r="R48" s="167" t="s">
        <v>248</v>
      </c>
      <c r="S48" s="167" t="s">
        <v>114</v>
      </c>
      <c r="T48" s="167" t="s">
        <v>248</v>
      </c>
      <c r="U48" s="167" t="s">
        <v>822</v>
      </c>
      <c r="V48" s="167" t="s">
        <v>819</v>
      </c>
      <c r="W48" s="167" t="s">
        <v>819</v>
      </c>
      <c r="X48" s="167" t="s">
        <v>694</v>
      </c>
      <c r="Y48" s="167" t="s">
        <v>694</v>
      </c>
      <c r="Z48" s="167" t="s">
        <v>710</v>
      </c>
      <c r="AA48" s="167" t="s">
        <v>814</v>
      </c>
      <c r="AB48" s="599" t="s">
        <v>114</v>
      </c>
      <c r="AC48" s="599" t="s">
        <v>114</v>
      </c>
      <c r="AD48" s="599" t="s">
        <v>114</v>
      </c>
      <c r="AE48" s="167" t="s">
        <v>714</v>
      </c>
      <c r="AF48" s="167" t="s">
        <v>714</v>
      </c>
      <c r="AG48" s="167" t="s">
        <v>714</v>
      </c>
      <c r="AH48" s="167" t="s">
        <v>114</v>
      </c>
      <c r="AI48" s="167" t="s">
        <v>114</v>
      </c>
      <c r="AJ48" s="167" t="s">
        <v>248</v>
      </c>
      <c r="AK48" s="167" t="s">
        <v>248</v>
      </c>
    </row>
    <row r="49" spans="1:38" s="164" customFormat="1" ht="12.75" customHeight="1">
      <c r="A49" s="167"/>
      <c r="B49" s="561">
        <v>7</v>
      </c>
      <c r="C49" s="118"/>
      <c r="D49" s="160"/>
      <c r="E49" s="160"/>
      <c r="F49" s="167" t="s">
        <v>248</v>
      </c>
      <c r="G49" s="167" t="s">
        <v>114</v>
      </c>
      <c r="H49" s="167" t="s">
        <v>114</v>
      </c>
      <c r="I49" s="167" t="s">
        <v>693</v>
      </c>
      <c r="J49" s="167" t="s">
        <v>694</v>
      </c>
      <c r="K49" s="167" t="s">
        <v>114</v>
      </c>
      <c r="L49" s="167" t="s">
        <v>822</v>
      </c>
      <c r="M49" s="167" t="s">
        <v>693</v>
      </c>
      <c r="N49" s="167" t="s">
        <v>694</v>
      </c>
      <c r="O49" s="167" t="s">
        <v>114</v>
      </c>
      <c r="P49" s="167" t="s">
        <v>114</v>
      </c>
      <c r="Q49" s="167" t="s">
        <v>248</v>
      </c>
      <c r="R49" s="167" t="s">
        <v>248</v>
      </c>
      <c r="S49" s="167" t="s">
        <v>114</v>
      </c>
      <c r="T49" s="559" t="s">
        <v>114</v>
      </c>
      <c r="U49" s="167" t="s">
        <v>822</v>
      </c>
      <c r="V49" s="167" t="s">
        <v>819</v>
      </c>
      <c r="W49" s="167" t="s">
        <v>819</v>
      </c>
      <c r="X49" s="167" t="s">
        <v>694</v>
      </c>
      <c r="Y49" s="167" t="s">
        <v>694</v>
      </c>
      <c r="Z49" s="559" t="s">
        <v>114</v>
      </c>
      <c r="AA49" s="167" t="s">
        <v>814</v>
      </c>
      <c r="AB49" s="167" t="s">
        <v>114</v>
      </c>
      <c r="AC49" s="167" t="s">
        <v>114</v>
      </c>
      <c r="AD49" s="167" t="s">
        <v>114</v>
      </c>
      <c r="AE49" s="167" t="s">
        <v>114</v>
      </c>
      <c r="AF49" s="167" t="s">
        <v>114</v>
      </c>
      <c r="AG49" s="167" t="s">
        <v>114</v>
      </c>
      <c r="AH49" s="167" t="s">
        <v>114</v>
      </c>
      <c r="AI49" s="167" t="s">
        <v>114</v>
      </c>
      <c r="AJ49" s="559" t="s">
        <v>114</v>
      </c>
      <c r="AK49" s="167" t="s">
        <v>248</v>
      </c>
    </row>
    <row r="50" spans="1:38" s="164" customFormat="1" ht="12.75" customHeight="1">
      <c r="A50" s="167"/>
      <c r="B50" s="118">
        <v>21</v>
      </c>
      <c r="C50" s="118"/>
      <c r="D50" s="160"/>
      <c r="E50" s="160"/>
      <c r="F50" s="167" t="s">
        <v>248</v>
      </c>
      <c r="G50" s="167" t="s">
        <v>114</v>
      </c>
      <c r="H50" s="167" t="s">
        <v>114</v>
      </c>
      <c r="I50" s="167" t="s">
        <v>693</v>
      </c>
      <c r="J50" s="167" t="s">
        <v>694</v>
      </c>
      <c r="K50" s="167" t="s">
        <v>114</v>
      </c>
      <c r="L50" s="167" t="s">
        <v>822</v>
      </c>
      <c r="M50" s="167" t="s">
        <v>693</v>
      </c>
      <c r="N50" s="167" t="s">
        <v>694</v>
      </c>
      <c r="O50" s="167" t="s">
        <v>114</v>
      </c>
      <c r="P50" s="167" t="s">
        <v>114</v>
      </c>
      <c r="Q50" s="167" t="s">
        <v>248</v>
      </c>
      <c r="R50" s="167" t="s">
        <v>248</v>
      </c>
      <c r="S50" s="167" t="s">
        <v>114</v>
      </c>
      <c r="T50" s="559" t="s">
        <v>114</v>
      </c>
      <c r="U50" s="167" t="s">
        <v>822</v>
      </c>
      <c r="V50" s="167" t="s">
        <v>819</v>
      </c>
      <c r="W50" s="167" t="s">
        <v>819</v>
      </c>
      <c r="X50" s="167" t="s">
        <v>694</v>
      </c>
      <c r="Y50" s="167" t="s">
        <v>694</v>
      </c>
      <c r="Z50" s="559" t="s">
        <v>114</v>
      </c>
      <c r="AA50" s="167" t="s">
        <v>814</v>
      </c>
      <c r="AB50" s="167" t="s">
        <v>114</v>
      </c>
      <c r="AC50" s="167" t="s">
        <v>114</v>
      </c>
      <c r="AD50" s="167" t="s">
        <v>114</v>
      </c>
      <c r="AE50" s="167" t="s">
        <v>114</v>
      </c>
      <c r="AF50" s="167" t="s">
        <v>114</v>
      </c>
      <c r="AG50" s="167" t="s">
        <v>114</v>
      </c>
      <c r="AH50" s="167" t="s">
        <v>114</v>
      </c>
      <c r="AI50" s="167" t="s">
        <v>114</v>
      </c>
      <c r="AJ50" s="559" t="s">
        <v>114</v>
      </c>
      <c r="AK50" s="167" t="s">
        <v>248</v>
      </c>
    </row>
    <row r="51" spans="1:38" ht="12.75" customHeight="1">
      <c r="A51" s="42"/>
      <c r="AL51" s="164"/>
    </row>
    <row r="52" spans="1:38" s="164" customFormat="1" ht="12.75" hidden="1" customHeight="1" outlineLevel="1">
      <c r="B52" s="164" t="str">
        <f ca="1">GetNameRange(B54)</f>
        <v>part_rate_solve_type_aig</v>
      </c>
      <c r="F52" s="167"/>
      <c r="G52" s="167"/>
      <c r="H52" s="167"/>
      <c r="I52" s="167"/>
      <c r="J52" s="167"/>
      <c r="K52" s="167"/>
      <c r="L52" s="167"/>
      <c r="M52" s="167"/>
      <c r="N52" s="167"/>
      <c r="O52" s="167"/>
      <c r="P52" s="167"/>
      <c r="Q52" s="167"/>
      <c r="R52" s="167"/>
      <c r="S52" s="167"/>
      <c r="T52" s="167"/>
      <c r="U52" s="167"/>
      <c r="V52" s="167"/>
      <c r="W52" s="167"/>
      <c r="X52" s="167"/>
      <c r="Y52" s="167"/>
      <c r="Z52" s="167"/>
      <c r="AA52" s="167"/>
      <c r="AB52" s="167"/>
      <c r="AC52" s="167"/>
      <c r="AD52" s="167"/>
      <c r="AE52" s="167"/>
      <c r="AF52" s="167"/>
      <c r="AG52" s="167"/>
      <c r="AH52" s="167"/>
      <c r="AI52" s="167"/>
      <c r="AJ52" s="167"/>
      <c r="AK52" s="167"/>
    </row>
    <row r="53" spans="1:38" s="164" customFormat="1" ht="12.75" hidden="1" customHeight="1" outlineLevel="1">
      <c r="A53" s="116"/>
      <c r="B53" s="116"/>
      <c r="C53" s="116" t="str">
        <f>C$4</f>
        <v>crediting_type_dyn_aig</v>
      </c>
      <c r="D53" s="220" t="s">
        <v>49</v>
      </c>
      <c r="E53" s="220"/>
      <c r="F53" s="106" t="str">
        <f t="shared" ref="F53:K53" si="10">F$4</f>
        <v>FX1Fix</v>
      </c>
      <c r="G53" s="106" t="str">
        <f t="shared" si="10"/>
        <v>SP1Cap</v>
      </c>
      <c r="H53" s="106" t="str">
        <f t="shared" si="10"/>
        <v>ND1B10Cp</v>
      </c>
      <c r="I53" s="106" t="str">
        <f t="shared" si="10"/>
        <v>ND1B10Tri</v>
      </c>
      <c r="J53" s="106" t="str">
        <f t="shared" si="10"/>
        <v>ND1B10DDCp</v>
      </c>
      <c r="K53" s="106" t="str">
        <f t="shared" si="10"/>
        <v>SP1B10Cp</v>
      </c>
      <c r="L53" s="106" t="str">
        <f>L$4</f>
        <v>SP1B10PC</v>
      </c>
      <c r="M53" s="106" t="str">
        <f t="shared" ref="M53:AG53" si="11">M$4</f>
        <v>SP1B10Tri</v>
      </c>
      <c r="N53" s="106" t="str">
        <f t="shared" si="11"/>
        <v>SP1B10DDCp</v>
      </c>
      <c r="O53" s="106" t="str">
        <f t="shared" si="11"/>
        <v>SP1B20Cp</v>
      </c>
      <c r="P53" s="106" t="str">
        <f t="shared" si="11"/>
        <v>SP1F10Cp</v>
      </c>
      <c r="Q53" s="106" t="str">
        <f t="shared" si="11"/>
        <v>SP1B10Pr</v>
      </c>
      <c r="R53" s="106" t="str">
        <f t="shared" si="11"/>
        <v>SP1P50Pr</v>
      </c>
      <c r="S53" s="106" t="str">
        <f t="shared" si="11"/>
        <v>SP6B10Cp</v>
      </c>
      <c r="T53" s="106" t="str">
        <f t="shared" si="11"/>
        <v>SP6B10Pr</v>
      </c>
      <c r="U53" s="106" t="str">
        <f t="shared" si="11"/>
        <v>SP6B10PC</v>
      </c>
      <c r="V53" s="106" t="str">
        <f t="shared" si="11"/>
        <v>SP6B10EPC</v>
      </c>
      <c r="W53" s="106" t="str">
        <f t="shared" si="11"/>
        <v>SP6B20EPC</v>
      </c>
      <c r="X53" s="106" t="str">
        <f t="shared" si="11"/>
        <v>SP6B10DDCp</v>
      </c>
      <c r="Y53" s="106" t="str">
        <f>Y$4</f>
        <v>SP6B20DDCp</v>
      </c>
      <c r="Z53" s="106" t="str">
        <f t="shared" si="11"/>
        <v>SP6B10ScCp</v>
      </c>
      <c r="AA53" s="106" t="str">
        <f t="shared" si="11"/>
        <v>SP6B20DDTriCap</v>
      </c>
      <c r="AB53" s="106" t="str">
        <f t="shared" si="11"/>
        <v>SP3K30DKO</v>
      </c>
      <c r="AC53" s="106" t="str">
        <f t="shared" si="11"/>
        <v>SP3K40DKO</v>
      </c>
      <c r="AD53" s="106" t="str">
        <f t="shared" si="11"/>
        <v>SP3K50DKO</v>
      </c>
      <c r="AE53" s="106" t="str">
        <f t="shared" si="11"/>
        <v>SP6K50DKO</v>
      </c>
      <c r="AF53" s="106" t="str">
        <f t="shared" si="11"/>
        <v>SP6K75DKO</v>
      </c>
      <c r="AG53" s="106" t="str">
        <f t="shared" si="11"/>
        <v>SP6K100DKO</v>
      </c>
      <c r="AH53" s="106" t="str">
        <f t="shared" ref="AH53:AK53" si="12">AH$4</f>
        <v>SP6B20Cp</v>
      </c>
      <c r="AI53" s="106" t="str">
        <f t="shared" si="12"/>
        <v>SP610FCp</v>
      </c>
      <c r="AJ53" s="106" t="str">
        <f t="shared" si="12"/>
        <v>SP6B20Pr</v>
      </c>
      <c r="AK53" s="106" t="str">
        <f t="shared" si="12"/>
        <v>SP6P50Pr</v>
      </c>
    </row>
    <row r="54" spans="1:38" s="164" customFormat="1" ht="12.75" hidden="1" customHeight="1" outlineLevel="1">
      <c r="A54" s="355" t="s">
        <v>412</v>
      </c>
      <c r="B54" s="390" t="s">
        <v>163</v>
      </c>
      <c r="C54" s="103"/>
      <c r="D54" s="300"/>
      <c r="E54" s="300"/>
      <c r="F54" s="90"/>
      <c r="G54" s="90"/>
      <c r="H54" s="90"/>
      <c r="I54" s="90"/>
      <c r="J54" s="90"/>
      <c r="K54" s="90"/>
      <c r="L54" s="90"/>
      <c r="M54" s="347"/>
      <c r="N54" s="347"/>
      <c r="O54" s="90"/>
      <c r="P54" s="90"/>
      <c r="Q54" s="90"/>
      <c r="R54" s="90"/>
      <c r="S54" s="90"/>
      <c r="T54" s="347"/>
      <c r="U54" s="90"/>
      <c r="V54" s="347"/>
      <c r="W54" s="347"/>
      <c r="X54" s="347"/>
      <c r="Y54" s="347"/>
      <c r="Z54" s="347"/>
      <c r="AA54" s="347"/>
      <c r="AB54" s="347"/>
      <c r="AC54" s="347"/>
      <c r="AD54" s="347"/>
      <c r="AE54" s="347"/>
      <c r="AF54" s="347"/>
      <c r="AG54" s="347"/>
      <c r="AH54" s="90"/>
      <c r="AI54" s="90"/>
      <c r="AJ54" s="90"/>
      <c r="AK54" s="90"/>
    </row>
    <row r="55" spans="1:38" s="164" customFormat="1" ht="12.75" hidden="1" customHeight="1" outlineLevel="1">
      <c r="A55" s="118" t="s">
        <v>480</v>
      </c>
      <c r="B55" s="118">
        <v>0</v>
      </c>
      <c r="C55" s="118"/>
      <c r="D55" s="160"/>
      <c r="E55" s="160"/>
      <c r="F55" s="167" t="s">
        <v>404</v>
      </c>
      <c r="G55" s="167" t="s">
        <v>404</v>
      </c>
      <c r="H55" s="167" t="s">
        <v>404</v>
      </c>
      <c r="I55" s="167" t="s">
        <v>404</v>
      </c>
      <c r="J55" s="167" t="s">
        <v>404</v>
      </c>
      <c r="K55" s="167" t="s">
        <v>404</v>
      </c>
      <c r="L55" s="167" t="s">
        <v>404</v>
      </c>
      <c r="M55" s="167" t="s">
        <v>404</v>
      </c>
      <c r="N55" s="167" t="s">
        <v>404</v>
      </c>
      <c r="O55" s="167" t="s">
        <v>404</v>
      </c>
      <c r="P55" s="167" t="s">
        <v>404</v>
      </c>
      <c r="Q55" s="167" t="s">
        <v>404</v>
      </c>
      <c r="R55" s="167" t="s">
        <v>404</v>
      </c>
      <c r="S55" s="167" t="s">
        <v>404</v>
      </c>
      <c r="T55" s="167" t="s">
        <v>404</v>
      </c>
      <c r="U55" s="167" t="s">
        <v>404</v>
      </c>
      <c r="V55" s="167" t="s">
        <v>404</v>
      </c>
      <c r="W55" s="167" t="s">
        <v>404</v>
      </c>
      <c r="X55" s="167" t="s">
        <v>404</v>
      </c>
      <c r="Y55" s="167" t="s">
        <v>404</v>
      </c>
      <c r="Z55" s="167" t="s">
        <v>404</v>
      </c>
      <c r="AA55" s="167" t="s">
        <v>404</v>
      </c>
      <c r="AB55" s="167" t="s">
        <v>404</v>
      </c>
      <c r="AC55" s="167" t="s">
        <v>404</v>
      </c>
      <c r="AD55" s="167" t="s">
        <v>404</v>
      </c>
      <c r="AE55" s="167" t="s">
        <v>404</v>
      </c>
      <c r="AF55" s="167" t="s">
        <v>404</v>
      </c>
      <c r="AG55" s="167" t="s">
        <v>404</v>
      </c>
      <c r="AH55" s="167" t="s">
        <v>404</v>
      </c>
      <c r="AI55" s="167" t="s">
        <v>404</v>
      </c>
      <c r="AJ55" s="167" t="s">
        <v>404</v>
      </c>
      <c r="AK55" s="167" t="s">
        <v>404</v>
      </c>
    </row>
    <row r="56" spans="1:38" s="164" customFormat="1" ht="12.75" hidden="1" customHeight="1" outlineLevel="1">
      <c r="A56" s="118" t="s">
        <v>389</v>
      </c>
      <c r="B56" s="118">
        <v>0</v>
      </c>
      <c r="C56" s="118"/>
      <c r="D56" s="160"/>
      <c r="E56" s="160"/>
      <c r="F56" s="167" t="s">
        <v>404</v>
      </c>
      <c r="G56" s="167" t="s">
        <v>404</v>
      </c>
      <c r="H56" s="167" t="s">
        <v>404</v>
      </c>
      <c r="I56" s="167" t="s">
        <v>404</v>
      </c>
      <c r="J56" s="167" t="s">
        <v>404</v>
      </c>
      <c r="K56" s="167" t="s">
        <v>404</v>
      </c>
      <c r="L56" s="167" t="s">
        <v>404</v>
      </c>
      <c r="M56" s="167" t="s">
        <v>404</v>
      </c>
      <c r="N56" s="167" t="s">
        <v>404</v>
      </c>
      <c r="O56" s="167" t="s">
        <v>404</v>
      </c>
      <c r="P56" s="167" t="s">
        <v>404</v>
      </c>
      <c r="Q56" s="167" t="s">
        <v>404</v>
      </c>
      <c r="R56" s="167" t="s">
        <v>404</v>
      </c>
      <c r="S56" s="167" t="s">
        <v>404</v>
      </c>
      <c r="T56" s="167" t="s">
        <v>404</v>
      </c>
      <c r="U56" s="167" t="s">
        <v>404</v>
      </c>
      <c r="V56" s="167" t="s">
        <v>404</v>
      </c>
      <c r="W56" s="167" t="s">
        <v>404</v>
      </c>
      <c r="X56" s="167" t="s">
        <v>404</v>
      </c>
      <c r="Y56" s="167" t="s">
        <v>404</v>
      </c>
      <c r="Z56" s="167" t="s">
        <v>404</v>
      </c>
      <c r="AA56" s="167" t="s">
        <v>404</v>
      </c>
      <c r="AB56" s="167" t="s">
        <v>404</v>
      </c>
      <c r="AC56" s="167" t="s">
        <v>404</v>
      </c>
      <c r="AD56" s="167" t="s">
        <v>404</v>
      </c>
      <c r="AE56" s="167" t="s">
        <v>404</v>
      </c>
      <c r="AF56" s="167" t="s">
        <v>404</v>
      </c>
      <c r="AG56" s="167" t="s">
        <v>404</v>
      </c>
      <c r="AH56" s="167" t="s">
        <v>404</v>
      </c>
      <c r="AI56" s="167" t="s">
        <v>404</v>
      </c>
      <c r="AJ56" s="167" t="s">
        <v>404</v>
      </c>
      <c r="AK56" s="167" t="s">
        <v>404</v>
      </c>
    </row>
    <row r="57" spans="1:38" s="164" customFormat="1" ht="12.75" hidden="1" customHeight="1" outlineLevel="1">
      <c r="A57" s="118" t="s">
        <v>389</v>
      </c>
      <c r="B57" s="118">
        <v>11</v>
      </c>
      <c r="C57" s="118"/>
      <c r="D57" s="160"/>
      <c r="E57" s="160"/>
      <c r="F57" s="167" t="s">
        <v>404</v>
      </c>
      <c r="G57" s="167" t="s">
        <v>404</v>
      </c>
      <c r="H57" s="167" t="s">
        <v>404</v>
      </c>
      <c r="I57" s="167" t="s">
        <v>404</v>
      </c>
      <c r="J57" s="167" t="s">
        <v>404</v>
      </c>
      <c r="K57" s="167" t="s">
        <v>404</v>
      </c>
      <c r="L57" s="167" t="s">
        <v>404</v>
      </c>
      <c r="M57" s="167" t="s">
        <v>404</v>
      </c>
      <c r="N57" s="167" t="s">
        <v>404</v>
      </c>
      <c r="O57" s="167" t="s">
        <v>404</v>
      </c>
      <c r="P57" s="167" t="s">
        <v>404</v>
      </c>
      <c r="Q57" s="167" t="s">
        <v>404</v>
      </c>
      <c r="R57" s="167" t="s">
        <v>404</v>
      </c>
      <c r="S57" s="167" t="s">
        <v>404</v>
      </c>
      <c r="T57" s="167" t="s">
        <v>404</v>
      </c>
      <c r="U57" s="167" t="s">
        <v>404</v>
      </c>
      <c r="V57" s="167" t="s">
        <v>404</v>
      </c>
      <c r="W57" s="167" t="s">
        <v>404</v>
      </c>
      <c r="X57" s="167" t="s">
        <v>404</v>
      </c>
      <c r="Y57" s="167" t="s">
        <v>404</v>
      </c>
      <c r="Z57" s="167" t="s">
        <v>404</v>
      </c>
      <c r="AA57" s="167" t="s">
        <v>404</v>
      </c>
      <c r="AB57" s="167" t="s">
        <v>404</v>
      </c>
      <c r="AC57" s="167" t="s">
        <v>404</v>
      </c>
      <c r="AD57" s="167" t="s">
        <v>404</v>
      </c>
      <c r="AE57" s="167" t="s">
        <v>404</v>
      </c>
      <c r="AF57" s="167" t="s">
        <v>404</v>
      </c>
      <c r="AG57" s="167" t="s">
        <v>404</v>
      </c>
      <c r="AH57" s="167" t="s">
        <v>404</v>
      </c>
      <c r="AI57" s="167" t="s">
        <v>404</v>
      </c>
      <c r="AJ57" s="167" t="s">
        <v>404</v>
      </c>
      <c r="AK57" s="167" t="s">
        <v>404</v>
      </c>
    </row>
    <row r="58" spans="1:38" s="164" customFormat="1" ht="12.75" hidden="1" customHeight="1" outlineLevel="1">
      <c r="A58" s="118" t="s">
        <v>389</v>
      </c>
      <c r="B58" s="118">
        <v>21</v>
      </c>
      <c r="C58" s="118"/>
      <c r="D58" s="160"/>
      <c r="E58" s="160"/>
      <c r="F58" s="167" t="s">
        <v>404</v>
      </c>
      <c r="G58" s="167" t="s">
        <v>404</v>
      </c>
      <c r="H58" s="167" t="s">
        <v>404</v>
      </c>
      <c r="I58" s="167" t="s">
        <v>404</v>
      </c>
      <c r="J58" s="167" t="s">
        <v>404</v>
      </c>
      <c r="K58" s="167" t="s">
        <v>404</v>
      </c>
      <c r="L58" s="167" t="s">
        <v>404</v>
      </c>
      <c r="M58" s="167" t="s">
        <v>404</v>
      </c>
      <c r="N58" s="167" t="s">
        <v>404</v>
      </c>
      <c r="O58" s="167" t="s">
        <v>404</v>
      </c>
      <c r="P58" s="167" t="s">
        <v>404</v>
      </c>
      <c r="Q58" s="167" t="s">
        <v>404</v>
      </c>
      <c r="R58" s="167" t="s">
        <v>404</v>
      </c>
      <c r="S58" s="167" t="s">
        <v>404</v>
      </c>
      <c r="T58" s="167" t="s">
        <v>404</v>
      </c>
      <c r="U58" s="167" t="s">
        <v>404</v>
      </c>
      <c r="V58" s="167" t="s">
        <v>404</v>
      </c>
      <c r="W58" s="167" t="s">
        <v>404</v>
      </c>
      <c r="X58" s="167" t="s">
        <v>404</v>
      </c>
      <c r="Y58" s="167" t="s">
        <v>404</v>
      </c>
      <c r="Z58" s="167" t="s">
        <v>404</v>
      </c>
      <c r="AA58" s="167" t="s">
        <v>404</v>
      </c>
      <c r="AB58" s="167" t="s">
        <v>404</v>
      </c>
      <c r="AC58" s="167" t="s">
        <v>404</v>
      </c>
      <c r="AD58" s="167" t="s">
        <v>404</v>
      </c>
      <c r="AE58" s="167" t="s">
        <v>404</v>
      </c>
      <c r="AF58" s="167" t="s">
        <v>404</v>
      </c>
      <c r="AG58" s="167" t="s">
        <v>404</v>
      </c>
      <c r="AH58" s="167" t="s">
        <v>404</v>
      </c>
      <c r="AI58" s="167" t="s">
        <v>404</v>
      </c>
      <c r="AJ58" s="167" t="s">
        <v>404</v>
      </c>
      <c r="AK58" s="167" t="s">
        <v>404</v>
      </c>
    </row>
    <row r="59" spans="1:38" s="164" customFormat="1" ht="12.75" hidden="1" customHeight="1" outlineLevel="1">
      <c r="A59" s="167"/>
      <c r="F59" s="167"/>
      <c r="G59" s="167"/>
      <c r="H59" s="167"/>
      <c r="I59" s="167"/>
      <c r="J59" s="167"/>
      <c r="K59" s="167"/>
      <c r="L59" s="167"/>
      <c r="M59" s="167"/>
      <c r="N59" s="167"/>
      <c r="O59" s="167"/>
      <c r="P59" s="167"/>
      <c r="Q59" s="167"/>
      <c r="R59" s="167"/>
      <c r="S59" s="167"/>
      <c r="T59" s="167"/>
      <c r="U59" s="167"/>
      <c r="V59" s="167"/>
      <c r="W59" s="167"/>
      <c r="X59" s="167"/>
      <c r="Y59" s="167"/>
      <c r="Z59" s="167"/>
      <c r="AA59" s="167"/>
      <c r="AB59" s="167"/>
      <c r="AC59" s="167"/>
      <c r="AD59" s="167"/>
      <c r="AE59" s="167"/>
      <c r="AF59" s="167"/>
      <c r="AG59" s="167"/>
      <c r="AH59" s="167"/>
      <c r="AI59" s="167"/>
      <c r="AJ59" s="167"/>
      <c r="AK59" s="167"/>
    </row>
    <row r="60" spans="1:38" s="164" customFormat="1" ht="12.75" hidden="1" customHeight="1" outlineLevel="1">
      <c r="B60" s="18" t="str">
        <f ca="1">GetNameRange(B62)</f>
        <v>hedge_option_val_alpha_aig</v>
      </c>
      <c r="C60" s="18"/>
      <c r="D60" s="27"/>
      <c r="E60" s="27"/>
      <c r="F60" s="242"/>
      <c r="G60" s="242"/>
      <c r="H60" s="242"/>
      <c r="I60" s="242"/>
      <c r="J60" s="242"/>
      <c r="K60" s="242"/>
      <c r="L60" s="242"/>
      <c r="M60" s="167"/>
      <c r="N60" s="167"/>
      <c r="O60" s="242"/>
      <c r="P60" s="242"/>
      <c r="Q60" s="242"/>
      <c r="R60" s="242"/>
      <c r="S60" s="242"/>
      <c r="T60" s="167"/>
      <c r="U60" s="242"/>
      <c r="V60" s="167"/>
      <c r="W60" s="167"/>
      <c r="X60" s="167"/>
      <c r="Y60" s="167"/>
      <c r="Z60" s="167"/>
      <c r="AA60" s="167"/>
      <c r="AB60" s="167"/>
      <c r="AC60" s="167"/>
      <c r="AD60" s="167"/>
      <c r="AE60" s="167"/>
      <c r="AF60" s="167"/>
      <c r="AG60" s="167"/>
      <c r="AH60" s="242"/>
      <c r="AI60" s="242"/>
      <c r="AJ60" s="242"/>
      <c r="AK60" s="242"/>
    </row>
    <row r="61" spans="1:38" s="164" customFormat="1" ht="12.75" hidden="1" customHeight="1" outlineLevel="1">
      <c r="A61" s="116"/>
      <c r="B61" s="116"/>
      <c r="C61" s="116" t="str">
        <f>C$4</f>
        <v>crediting_type_dyn_aig</v>
      </c>
      <c r="D61" s="220" t="s">
        <v>49</v>
      </c>
      <c r="E61" s="220"/>
      <c r="F61" s="106" t="str">
        <f t="shared" ref="F61:G61" si="13">F$4</f>
        <v>FX1Fix</v>
      </c>
      <c r="G61" s="106" t="str">
        <f t="shared" si="13"/>
        <v>SP1Cap</v>
      </c>
      <c r="H61" s="106" t="str">
        <f>H$4</f>
        <v>ND1B10Cp</v>
      </c>
      <c r="I61" s="106" t="str">
        <f>I$4</f>
        <v>ND1B10Tri</v>
      </c>
      <c r="J61" s="106" t="str">
        <f>J$4</f>
        <v>ND1B10DDCp</v>
      </c>
      <c r="K61" s="106" t="str">
        <f>K$4</f>
        <v>SP1B10Cp</v>
      </c>
      <c r="L61" s="106" t="str">
        <f>L$4</f>
        <v>SP1B10PC</v>
      </c>
      <c r="M61" s="106" t="str">
        <f t="shared" ref="M61:AG61" si="14">M$4</f>
        <v>SP1B10Tri</v>
      </c>
      <c r="N61" s="106" t="str">
        <f t="shared" si="14"/>
        <v>SP1B10DDCp</v>
      </c>
      <c r="O61" s="106" t="str">
        <f t="shared" si="14"/>
        <v>SP1B20Cp</v>
      </c>
      <c r="P61" s="106" t="str">
        <f t="shared" si="14"/>
        <v>SP1F10Cp</v>
      </c>
      <c r="Q61" s="106" t="str">
        <f t="shared" si="14"/>
        <v>SP1B10Pr</v>
      </c>
      <c r="R61" s="106" t="str">
        <f t="shared" si="14"/>
        <v>SP1P50Pr</v>
      </c>
      <c r="S61" s="106" t="str">
        <f t="shared" si="14"/>
        <v>SP6B10Cp</v>
      </c>
      <c r="T61" s="106" t="str">
        <f t="shared" si="14"/>
        <v>SP6B10Pr</v>
      </c>
      <c r="U61" s="106" t="str">
        <f t="shared" si="14"/>
        <v>SP6B10PC</v>
      </c>
      <c r="V61" s="106" t="str">
        <f t="shared" si="14"/>
        <v>SP6B10EPC</v>
      </c>
      <c r="W61" s="106" t="str">
        <f t="shared" si="14"/>
        <v>SP6B20EPC</v>
      </c>
      <c r="X61" s="106" t="str">
        <f t="shared" si="14"/>
        <v>SP6B10DDCp</v>
      </c>
      <c r="Y61" s="106" t="str">
        <f>Y$4</f>
        <v>SP6B20DDCp</v>
      </c>
      <c r="Z61" s="106" t="str">
        <f t="shared" si="14"/>
        <v>SP6B10ScCp</v>
      </c>
      <c r="AA61" s="106" t="str">
        <f t="shared" si="14"/>
        <v>SP6B20DDTriCap</v>
      </c>
      <c r="AB61" s="106" t="str">
        <f t="shared" si="14"/>
        <v>SP3K30DKO</v>
      </c>
      <c r="AC61" s="106" t="str">
        <f t="shared" si="14"/>
        <v>SP3K40DKO</v>
      </c>
      <c r="AD61" s="106" t="str">
        <f t="shared" si="14"/>
        <v>SP3K50DKO</v>
      </c>
      <c r="AE61" s="106" t="str">
        <f t="shared" si="14"/>
        <v>SP6K50DKO</v>
      </c>
      <c r="AF61" s="106" t="str">
        <f t="shared" si="14"/>
        <v>SP6K75DKO</v>
      </c>
      <c r="AG61" s="106" t="str">
        <f t="shared" si="14"/>
        <v>SP6K100DKO</v>
      </c>
      <c r="AH61" s="106" t="str">
        <f t="shared" ref="AH61:AK61" si="15">AH$4</f>
        <v>SP6B20Cp</v>
      </c>
      <c r="AI61" s="106" t="str">
        <f t="shared" si="15"/>
        <v>SP610FCp</v>
      </c>
      <c r="AJ61" s="106" t="str">
        <f t="shared" si="15"/>
        <v>SP6B20Pr</v>
      </c>
      <c r="AK61" s="106" t="str">
        <f t="shared" si="15"/>
        <v>SP6P50Pr</v>
      </c>
    </row>
    <row r="62" spans="1:38" s="164" customFormat="1" ht="12.75" hidden="1" customHeight="1" outlineLevel="1">
      <c r="A62" s="355" t="s">
        <v>412</v>
      </c>
      <c r="B62" s="390" t="s">
        <v>163</v>
      </c>
      <c r="C62" s="103"/>
      <c r="D62" s="300"/>
      <c r="E62" s="300"/>
      <c r="F62" s="90"/>
      <c r="G62" s="90"/>
      <c r="H62" s="90"/>
      <c r="I62" s="90"/>
      <c r="J62" s="90"/>
      <c r="K62" s="90"/>
      <c r="L62" s="90"/>
      <c r="M62" s="347"/>
      <c r="N62" s="347"/>
      <c r="O62" s="90"/>
      <c r="P62" s="90"/>
      <c r="Q62" s="90"/>
      <c r="R62" s="90"/>
      <c r="S62" s="90"/>
      <c r="T62" s="347"/>
      <c r="U62" s="90"/>
      <c r="V62" s="347"/>
      <c r="W62" s="347"/>
      <c r="X62" s="347"/>
      <c r="Y62" s="347"/>
      <c r="Z62" s="347"/>
      <c r="AA62" s="347"/>
      <c r="AB62" s="347"/>
      <c r="AC62" s="347"/>
      <c r="AD62" s="347"/>
      <c r="AE62" s="347"/>
      <c r="AF62" s="347"/>
      <c r="AG62" s="347"/>
      <c r="AH62" s="90"/>
      <c r="AI62" s="90"/>
      <c r="AJ62" s="90"/>
      <c r="AK62" s="90"/>
    </row>
    <row r="63" spans="1:38" s="164" customFormat="1" ht="12.75" hidden="1" customHeight="1" outlineLevel="1">
      <c r="A63" s="118" t="s">
        <v>480</v>
      </c>
      <c r="B63" s="118">
        <v>0</v>
      </c>
      <c r="C63" s="118"/>
      <c r="D63" s="160"/>
      <c r="E63" s="160"/>
      <c r="F63" s="249">
        <v>0.5</v>
      </c>
      <c r="G63" s="249">
        <v>0.5</v>
      </c>
      <c r="H63" s="249">
        <v>0.5</v>
      </c>
      <c r="I63" s="249">
        <v>0.5</v>
      </c>
      <c r="J63" s="249">
        <v>0.5</v>
      </c>
      <c r="K63" s="249">
        <v>0.5</v>
      </c>
      <c r="L63" s="249">
        <v>0.5</v>
      </c>
      <c r="M63" s="249">
        <v>0.5</v>
      </c>
      <c r="N63" s="249">
        <v>0.5</v>
      </c>
      <c r="O63" s="249">
        <v>0.5</v>
      </c>
      <c r="P63" s="249">
        <v>0.5</v>
      </c>
      <c r="Q63" s="249">
        <v>0.5</v>
      </c>
      <c r="R63" s="249">
        <v>0.5</v>
      </c>
      <c r="S63" s="249">
        <v>0.5</v>
      </c>
      <c r="T63" s="249">
        <v>0.5</v>
      </c>
      <c r="U63" s="249">
        <v>0.5</v>
      </c>
      <c r="V63" s="249">
        <v>0.5</v>
      </c>
      <c r="W63" s="249">
        <v>0.5</v>
      </c>
      <c r="X63" s="249">
        <v>0.5</v>
      </c>
      <c r="Y63" s="249">
        <v>0.5</v>
      </c>
      <c r="Z63" s="249">
        <v>0.5</v>
      </c>
      <c r="AA63" s="249">
        <v>0.5</v>
      </c>
      <c r="AB63" s="249">
        <v>0.5</v>
      </c>
      <c r="AC63" s="249">
        <v>0.5</v>
      </c>
      <c r="AD63" s="249">
        <v>0.5</v>
      </c>
      <c r="AE63" s="249">
        <v>0.5</v>
      </c>
      <c r="AF63" s="249">
        <v>0.5</v>
      </c>
      <c r="AG63" s="249">
        <v>0.5</v>
      </c>
      <c r="AH63" s="249">
        <v>0.5</v>
      </c>
      <c r="AI63" s="249">
        <v>0.5</v>
      </c>
      <c r="AJ63" s="249">
        <v>0.5</v>
      </c>
      <c r="AK63" s="249">
        <v>0.5</v>
      </c>
    </row>
    <row r="64" spans="1:38" s="164" customFormat="1" ht="12.75" hidden="1" customHeight="1" outlineLevel="1">
      <c r="A64" s="118" t="s">
        <v>389</v>
      </c>
      <c r="B64" s="118">
        <v>0</v>
      </c>
      <c r="C64" s="118"/>
      <c r="D64" s="160"/>
      <c r="E64" s="160"/>
      <c r="F64" s="249">
        <v>0.5</v>
      </c>
      <c r="G64" s="249">
        <v>0.5</v>
      </c>
      <c r="H64" s="249">
        <v>0.5</v>
      </c>
      <c r="I64" s="249">
        <v>0.5</v>
      </c>
      <c r="J64" s="249">
        <v>0.5</v>
      </c>
      <c r="K64" s="249">
        <v>0.5</v>
      </c>
      <c r="L64" s="249">
        <v>0.5</v>
      </c>
      <c r="M64" s="249">
        <v>0.5</v>
      </c>
      <c r="N64" s="249">
        <v>0.5</v>
      </c>
      <c r="O64" s="249">
        <v>0.5</v>
      </c>
      <c r="P64" s="249">
        <v>0.5</v>
      </c>
      <c r="Q64" s="249">
        <v>0.5</v>
      </c>
      <c r="R64" s="249">
        <v>0.5</v>
      </c>
      <c r="S64" s="249">
        <v>0.5</v>
      </c>
      <c r="T64" s="249">
        <v>0.5</v>
      </c>
      <c r="U64" s="249">
        <v>0.5</v>
      </c>
      <c r="V64" s="249">
        <v>0.5</v>
      </c>
      <c r="W64" s="249">
        <v>0.5</v>
      </c>
      <c r="X64" s="249">
        <v>0.5</v>
      </c>
      <c r="Y64" s="249">
        <v>0.5</v>
      </c>
      <c r="Z64" s="249">
        <v>0.5</v>
      </c>
      <c r="AA64" s="249">
        <v>0.5</v>
      </c>
      <c r="AB64" s="249">
        <v>0.5</v>
      </c>
      <c r="AC64" s="249">
        <v>0.5</v>
      </c>
      <c r="AD64" s="249">
        <v>0.5</v>
      </c>
      <c r="AE64" s="249">
        <v>0.5</v>
      </c>
      <c r="AF64" s="249">
        <v>0.5</v>
      </c>
      <c r="AG64" s="249">
        <v>0.5</v>
      </c>
      <c r="AH64" s="249">
        <v>0.5</v>
      </c>
      <c r="AI64" s="249">
        <v>0.5</v>
      </c>
      <c r="AJ64" s="249">
        <v>0.5</v>
      </c>
      <c r="AK64" s="249">
        <v>0.5</v>
      </c>
    </row>
    <row r="65" spans="1:38" s="164" customFormat="1" ht="12.75" hidden="1" customHeight="1" outlineLevel="1">
      <c r="A65" s="118" t="s">
        <v>389</v>
      </c>
      <c r="B65" s="118">
        <v>11</v>
      </c>
      <c r="C65" s="118"/>
      <c r="D65" s="160"/>
      <c r="E65" s="160"/>
      <c r="F65" s="249">
        <v>0.5</v>
      </c>
      <c r="G65" s="249">
        <v>0.5</v>
      </c>
      <c r="H65" s="249">
        <v>0.5</v>
      </c>
      <c r="I65" s="249">
        <v>0.5</v>
      </c>
      <c r="J65" s="249">
        <v>0.5</v>
      </c>
      <c r="K65" s="249">
        <v>0.5</v>
      </c>
      <c r="L65" s="249">
        <v>0.5</v>
      </c>
      <c r="M65" s="249">
        <v>0.5</v>
      </c>
      <c r="N65" s="249">
        <v>0.5</v>
      </c>
      <c r="O65" s="249">
        <v>0.5</v>
      </c>
      <c r="P65" s="249">
        <v>0.5</v>
      </c>
      <c r="Q65" s="249">
        <v>0.5</v>
      </c>
      <c r="R65" s="249">
        <v>0.5</v>
      </c>
      <c r="S65" s="249">
        <v>0.5</v>
      </c>
      <c r="T65" s="249">
        <v>0.5</v>
      </c>
      <c r="U65" s="249">
        <v>0.5</v>
      </c>
      <c r="V65" s="249">
        <v>0.5</v>
      </c>
      <c r="W65" s="249">
        <v>0.5</v>
      </c>
      <c r="X65" s="249">
        <v>0.5</v>
      </c>
      <c r="Y65" s="249">
        <v>0.5</v>
      </c>
      <c r="Z65" s="249">
        <v>0.5</v>
      </c>
      <c r="AA65" s="249">
        <v>0.5</v>
      </c>
      <c r="AB65" s="249">
        <v>0.5</v>
      </c>
      <c r="AC65" s="249">
        <v>0.5</v>
      </c>
      <c r="AD65" s="249">
        <v>0.5</v>
      </c>
      <c r="AE65" s="249">
        <v>0.5</v>
      </c>
      <c r="AF65" s="249">
        <v>0.5</v>
      </c>
      <c r="AG65" s="249">
        <v>0.5</v>
      </c>
      <c r="AH65" s="249">
        <v>0.5</v>
      </c>
      <c r="AI65" s="249">
        <v>0.5</v>
      </c>
      <c r="AJ65" s="249">
        <v>0.5</v>
      </c>
      <c r="AK65" s="249">
        <v>0.5</v>
      </c>
    </row>
    <row r="66" spans="1:38" s="164" customFormat="1" ht="12.75" hidden="1" customHeight="1" outlineLevel="1">
      <c r="A66" s="118" t="s">
        <v>389</v>
      </c>
      <c r="B66" s="118">
        <v>21</v>
      </c>
      <c r="C66" s="118"/>
      <c r="D66" s="160"/>
      <c r="E66" s="160"/>
      <c r="F66" s="249">
        <v>0.5</v>
      </c>
      <c r="G66" s="249">
        <v>0.5</v>
      </c>
      <c r="H66" s="249">
        <v>0.5</v>
      </c>
      <c r="I66" s="249">
        <v>0.5</v>
      </c>
      <c r="J66" s="249">
        <v>0.5</v>
      </c>
      <c r="K66" s="249">
        <v>0.5</v>
      </c>
      <c r="L66" s="249">
        <v>0.5</v>
      </c>
      <c r="M66" s="249">
        <v>0.5</v>
      </c>
      <c r="N66" s="249">
        <v>0.5</v>
      </c>
      <c r="O66" s="249">
        <v>0.5</v>
      </c>
      <c r="P66" s="249">
        <v>0.5</v>
      </c>
      <c r="Q66" s="249">
        <v>0.5</v>
      </c>
      <c r="R66" s="249">
        <v>0.5</v>
      </c>
      <c r="S66" s="249">
        <v>0.5</v>
      </c>
      <c r="T66" s="249">
        <v>0.5</v>
      </c>
      <c r="U66" s="249">
        <v>0.5</v>
      </c>
      <c r="V66" s="249">
        <v>0.5</v>
      </c>
      <c r="W66" s="249">
        <v>0.5</v>
      </c>
      <c r="X66" s="249">
        <v>0.5</v>
      </c>
      <c r="Y66" s="249">
        <v>0.5</v>
      </c>
      <c r="Z66" s="249">
        <v>0.5</v>
      </c>
      <c r="AA66" s="249">
        <v>0.5</v>
      </c>
      <c r="AB66" s="249">
        <v>0.5</v>
      </c>
      <c r="AC66" s="249">
        <v>0.5</v>
      </c>
      <c r="AD66" s="249">
        <v>0.5</v>
      </c>
      <c r="AE66" s="249">
        <v>0.5</v>
      </c>
      <c r="AF66" s="249">
        <v>0.5</v>
      </c>
      <c r="AG66" s="249">
        <v>0.5</v>
      </c>
      <c r="AH66" s="249">
        <v>0.5</v>
      </c>
      <c r="AI66" s="249">
        <v>0.5</v>
      </c>
      <c r="AJ66" s="249">
        <v>0.5</v>
      </c>
      <c r="AK66" s="249">
        <v>0.5</v>
      </c>
    </row>
    <row r="67" spans="1:38" s="164" customFormat="1" ht="12.75" customHeight="1" collapsed="1">
      <c r="F67" s="167"/>
      <c r="G67" s="167"/>
      <c r="H67" s="167"/>
      <c r="I67" s="167"/>
      <c r="J67" s="167"/>
      <c r="K67" s="167"/>
      <c r="L67" s="167"/>
      <c r="M67" s="167"/>
      <c r="N67" s="167"/>
      <c r="O67" s="167"/>
      <c r="P67" s="167"/>
      <c r="Q67" s="167"/>
      <c r="R67" s="167"/>
      <c r="S67" s="167"/>
      <c r="T67" s="167"/>
      <c r="U67" s="167"/>
      <c r="V67" s="167"/>
      <c r="W67" s="167"/>
      <c r="X67" s="167"/>
      <c r="Y67" s="167"/>
      <c r="Z67" s="167"/>
      <c r="AA67" s="167"/>
      <c r="AB67" s="167"/>
      <c r="AC67" s="167"/>
      <c r="AD67" s="167"/>
      <c r="AE67" s="167"/>
      <c r="AF67" s="167"/>
      <c r="AG67" s="167"/>
      <c r="AH67" s="167"/>
      <c r="AI67" s="167"/>
      <c r="AJ67" s="167"/>
      <c r="AK67" s="167"/>
    </row>
    <row r="68" spans="1:38" ht="12.75" customHeight="1">
      <c r="B68" s="18" t="str">
        <f ca="1">GetNameRange(B70)</f>
        <v>strategy_term_duration_aig</v>
      </c>
      <c r="C68" s="18"/>
      <c r="D68" s="27"/>
      <c r="E68" s="27"/>
      <c r="F68" s="242"/>
      <c r="G68" s="242"/>
      <c r="H68" s="242"/>
      <c r="I68" s="242"/>
      <c r="J68" s="242"/>
      <c r="K68" s="242"/>
      <c r="L68" s="242"/>
      <c r="O68" s="242"/>
      <c r="P68" s="242"/>
      <c r="Q68" s="242"/>
      <c r="R68" s="242"/>
      <c r="S68" s="242"/>
      <c r="U68" s="242"/>
      <c r="AH68" s="242"/>
      <c r="AI68" s="242"/>
      <c r="AJ68" s="242"/>
      <c r="AK68" s="242"/>
      <c r="AL68" s="164"/>
    </row>
    <row r="69" spans="1:38" ht="12.75" customHeight="1">
      <c r="A69" s="116"/>
      <c r="B69" s="116"/>
      <c r="C69" s="116" t="str">
        <f>C$4</f>
        <v>crediting_type_dyn_aig</v>
      </c>
      <c r="D69" s="220" t="s">
        <v>49</v>
      </c>
      <c r="E69" s="220"/>
      <c r="F69" s="106" t="str">
        <f t="shared" ref="F69:K69" si="16">F$4</f>
        <v>FX1Fix</v>
      </c>
      <c r="G69" s="106" t="str">
        <f t="shared" si="16"/>
        <v>SP1Cap</v>
      </c>
      <c r="H69" s="106" t="str">
        <f t="shared" si="16"/>
        <v>ND1B10Cp</v>
      </c>
      <c r="I69" s="106" t="str">
        <f t="shared" si="16"/>
        <v>ND1B10Tri</v>
      </c>
      <c r="J69" s="106" t="str">
        <f t="shared" si="16"/>
        <v>ND1B10DDCp</v>
      </c>
      <c r="K69" s="106" t="str">
        <f t="shared" si="16"/>
        <v>SP1B10Cp</v>
      </c>
      <c r="L69" s="106" t="str">
        <f>L$4</f>
        <v>SP1B10PC</v>
      </c>
      <c r="M69" s="106" t="str">
        <f t="shared" ref="M69:AK69" si="17">M$4</f>
        <v>SP1B10Tri</v>
      </c>
      <c r="N69" s="106" t="str">
        <f t="shared" si="17"/>
        <v>SP1B10DDCp</v>
      </c>
      <c r="O69" s="106" t="str">
        <f t="shared" si="17"/>
        <v>SP1B20Cp</v>
      </c>
      <c r="P69" s="106" t="str">
        <f t="shared" si="17"/>
        <v>SP1F10Cp</v>
      </c>
      <c r="Q69" s="106" t="str">
        <f t="shared" si="17"/>
        <v>SP1B10Pr</v>
      </c>
      <c r="R69" s="106" t="str">
        <f t="shared" si="17"/>
        <v>SP1P50Pr</v>
      </c>
      <c r="S69" s="106" t="str">
        <f t="shared" si="17"/>
        <v>SP6B10Cp</v>
      </c>
      <c r="T69" s="106" t="str">
        <f t="shared" si="17"/>
        <v>SP6B10Pr</v>
      </c>
      <c r="U69" s="106" t="str">
        <f t="shared" si="17"/>
        <v>SP6B10PC</v>
      </c>
      <c r="V69" s="106" t="str">
        <f t="shared" si="17"/>
        <v>SP6B10EPC</v>
      </c>
      <c r="W69" s="106" t="str">
        <f t="shared" si="17"/>
        <v>SP6B20EPC</v>
      </c>
      <c r="X69" s="106" t="str">
        <f t="shared" si="17"/>
        <v>SP6B10DDCp</v>
      </c>
      <c r="Y69" s="106" t="str">
        <f>Y$4</f>
        <v>SP6B20DDCp</v>
      </c>
      <c r="Z69" s="106" t="str">
        <f t="shared" si="17"/>
        <v>SP6B10ScCp</v>
      </c>
      <c r="AA69" s="106" t="str">
        <f t="shared" si="17"/>
        <v>SP6B20DDTriCap</v>
      </c>
      <c r="AB69" s="106" t="str">
        <f t="shared" si="17"/>
        <v>SP3K30DKO</v>
      </c>
      <c r="AC69" s="106" t="str">
        <f t="shared" si="17"/>
        <v>SP3K40DKO</v>
      </c>
      <c r="AD69" s="106" t="str">
        <f t="shared" si="17"/>
        <v>SP3K50DKO</v>
      </c>
      <c r="AE69" s="106" t="str">
        <f t="shared" si="17"/>
        <v>SP6K50DKO</v>
      </c>
      <c r="AF69" s="106" t="str">
        <f t="shared" si="17"/>
        <v>SP6K75DKO</v>
      </c>
      <c r="AG69" s="106" t="str">
        <f t="shared" si="17"/>
        <v>SP6K100DKO</v>
      </c>
      <c r="AH69" s="106" t="str">
        <f t="shared" si="17"/>
        <v>SP6B20Cp</v>
      </c>
      <c r="AI69" s="106" t="str">
        <f t="shared" si="17"/>
        <v>SP610FCp</v>
      </c>
      <c r="AJ69" s="106" t="str">
        <f t="shared" si="17"/>
        <v>SP6B20Pr</v>
      </c>
      <c r="AK69" s="106" t="str">
        <f t="shared" si="17"/>
        <v>SP6P50Pr</v>
      </c>
      <c r="AL69" s="164"/>
    </row>
    <row r="70" spans="1:38" ht="12.75" customHeight="1">
      <c r="A70" s="355" t="s">
        <v>412</v>
      </c>
      <c r="B70" s="390" t="s">
        <v>163</v>
      </c>
      <c r="C70" s="103"/>
      <c r="D70" s="300"/>
      <c r="E70" s="300"/>
      <c r="F70" s="90"/>
      <c r="G70" s="90"/>
      <c r="H70" s="90"/>
      <c r="I70" s="90"/>
      <c r="J70" s="90"/>
      <c r="K70" s="90"/>
      <c r="L70" s="90"/>
      <c r="M70" s="347"/>
      <c r="N70" s="347"/>
      <c r="O70" s="90"/>
      <c r="P70" s="90"/>
      <c r="Q70" s="90"/>
      <c r="R70" s="90"/>
      <c r="S70" s="90"/>
      <c r="T70" s="347"/>
      <c r="U70" s="90"/>
      <c r="V70" s="347"/>
      <c r="W70" s="347"/>
      <c r="X70" s="347"/>
      <c r="Y70" s="347"/>
      <c r="Z70" s="347"/>
      <c r="AA70" s="347"/>
      <c r="AB70" s="347"/>
      <c r="AC70" s="347"/>
      <c r="AD70" s="347"/>
      <c r="AE70" s="347"/>
      <c r="AF70" s="347"/>
      <c r="AG70" s="347"/>
      <c r="AH70" s="90"/>
      <c r="AI70" s="90"/>
      <c r="AJ70" s="90"/>
      <c r="AK70" s="90"/>
      <c r="AL70" s="164"/>
    </row>
    <row r="71" spans="1:38" s="164" customFormat="1" ht="12.75" hidden="1" customHeight="1">
      <c r="A71" s="118" t="s">
        <v>480</v>
      </c>
      <c r="B71" s="118">
        <v>0</v>
      </c>
      <c r="C71" s="118"/>
      <c r="D71" s="160"/>
      <c r="E71" s="160"/>
      <c r="F71" s="167">
        <v>1</v>
      </c>
      <c r="G71" s="167">
        <v>1</v>
      </c>
      <c r="H71" s="167">
        <v>1</v>
      </c>
      <c r="I71" s="167">
        <v>1</v>
      </c>
      <c r="J71" s="167">
        <v>1</v>
      </c>
      <c r="K71" s="167">
        <v>1</v>
      </c>
      <c r="L71" s="167">
        <v>1</v>
      </c>
      <c r="M71" s="167">
        <v>1</v>
      </c>
      <c r="N71" s="167">
        <v>1</v>
      </c>
      <c r="O71" s="167">
        <v>1</v>
      </c>
      <c r="P71" s="167">
        <v>1</v>
      </c>
      <c r="Q71" s="167">
        <v>1</v>
      </c>
      <c r="R71" s="167">
        <v>1</v>
      </c>
      <c r="S71" s="167">
        <v>6</v>
      </c>
      <c r="T71" s="167">
        <v>6</v>
      </c>
      <c r="U71" s="167">
        <v>6</v>
      </c>
      <c r="V71" s="167">
        <v>6</v>
      </c>
      <c r="W71" s="167">
        <v>6</v>
      </c>
      <c r="X71" s="167">
        <v>6</v>
      </c>
      <c r="Y71" s="167">
        <v>6</v>
      </c>
      <c r="Z71" s="167">
        <v>6</v>
      </c>
      <c r="AA71" s="167">
        <v>6</v>
      </c>
      <c r="AB71" s="167">
        <v>3</v>
      </c>
      <c r="AC71" s="167">
        <v>3</v>
      </c>
      <c r="AD71" s="167">
        <v>3</v>
      </c>
      <c r="AE71" s="167">
        <v>6</v>
      </c>
      <c r="AF71" s="167">
        <v>6</v>
      </c>
      <c r="AG71" s="167">
        <v>6</v>
      </c>
      <c r="AH71" s="167">
        <v>6</v>
      </c>
      <c r="AI71" s="167">
        <v>6</v>
      </c>
      <c r="AJ71" s="167">
        <v>6</v>
      </c>
      <c r="AK71" s="167">
        <v>6</v>
      </c>
    </row>
    <row r="72" spans="1:38" s="164" customFormat="1" ht="12.75" hidden="1" customHeight="1">
      <c r="A72" s="118" t="s">
        <v>480</v>
      </c>
      <c r="B72" s="118">
        <v>11</v>
      </c>
      <c r="C72" s="118"/>
      <c r="D72" s="160"/>
      <c r="E72" s="160"/>
      <c r="F72" s="167">
        <v>1</v>
      </c>
      <c r="G72" s="167">
        <v>1</v>
      </c>
      <c r="H72" s="167">
        <v>1</v>
      </c>
      <c r="I72" s="167">
        <v>1</v>
      </c>
      <c r="J72" s="167">
        <v>1</v>
      </c>
      <c r="K72" s="167">
        <v>1</v>
      </c>
      <c r="L72" s="167">
        <v>1</v>
      </c>
      <c r="M72" s="167">
        <v>1</v>
      </c>
      <c r="N72" s="167">
        <v>1</v>
      </c>
      <c r="O72" s="167">
        <v>1</v>
      </c>
      <c r="P72" s="167">
        <v>1</v>
      </c>
      <c r="Q72" s="167">
        <v>1</v>
      </c>
      <c r="R72" s="167">
        <v>1</v>
      </c>
      <c r="S72" s="167">
        <v>6</v>
      </c>
      <c r="T72" s="167">
        <v>6</v>
      </c>
      <c r="U72" s="167">
        <v>6</v>
      </c>
      <c r="V72" s="167">
        <v>6</v>
      </c>
      <c r="W72" s="167">
        <v>6</v>
      </c>
      <c r="X72" s="167">
        <v>6</v>
      </c>
      <c r="Y72" s="167">
        <v>6</v>
      </c>
      <c r="Z72" s="167">
        <v>6</v>
      </c>
      <c r="AA72" s="167">
        <v>6</v>
      </c>
      <c r="AB72" s="167">
        <v>3</v>
      </c>
      <c r="AC72" s="167">
        <v>3</v>
      </c>
      <c r="AD72" s="167">
        <v>3</v>
      </c>
      <c r="AE72" s="167">
        <v>6</v>
      </c>
      <c r="AF72" s="167">
        <v>6</v>
      </c>
      <c r="AG72" s="167">
        <v>6</v>
      </c>
      <c r="AH72" s="167">
        <v>6</v>
      </c>
      <c r="AI72" s="167">
        <v>6</v>
      </c>
      <c r="AJ72" s="167">
        <v>6</v>
      </c>
      <c r="AK72" s="167">
        <v>6</v>
      </c>
    </row>
    <row r="73" spans="1:38" s="164" customFormat="1" ht="12.75" customHeight="1">
      <c r="A73" s="118" t="s">
        <v>389</v>
      </c>
      <c r="B73" s="118">
        <v>0</v>
      </c>
      <c r="C73" s="118"/>
      <c r="D73" s="160"/>
      <c r="E73" s="160"/>
      <c r="F73" s="167">
        <v>1</v>
      </c>
      <c r="G73" s="167">
        <v>1</v>
      </c>
      <c r="H73" s="167">
        <v>1</v>
      </c>
      <c r="I73" s="167">
        <v>1</v>
      </c>
      <c r="J73" s="167">
        <v>1</v>
      </c>
      <c r="K73" s="167">
        <v>1</v>
      </c>
      <c r="L73" s="167">
        <v>1</v>
      </c>
      <c r="M73" s="167">
        <v>1</v>
      </c>
      <c r="N73" s="167">
        <v>1</v>
      </c>
      <c r="O73" s="167">
        <v>1</v>
      </c>
      <c r="P73" s="167">
        <v>1</v>
      </c>
      <c r="Q73" s="167">
        <v>1</v>
      </c>
      <c r="R73" s="167">
        <v>1</v>
      </c>
      <c r="S73" s="167">
        <v>6</v>
      </c>
      <c r="T73" s="167">
        <v>6</v>
      </c>
      <c r="U73" s="167">
        <v>6</v>
      </c>
      <c r="V73" s="167">
        <v>6</v>
      </c>
      <c r="W73" s="167">
        <v>6</v>
      </c>
      <c r="X73" s="167">
        <v>6</v>
      </c>
      <c r="Y73" s="167">
        <v>6</v>
      </c>
      <c r="Z73" s="167">
        <v>6</v>
      </c>
      <c r="AA73" s="167">
        <v>6</v>
      </c>
      <c r="AB73" s="167">
        <v>3</v>
      </c>
      <c r="AC73" s="167">
        <v>3</v>
      </c>
      <c r="AD73" s="167">
        <v>3</v>
      </c>
      <c r="AE73" s="167">
        <v>6</v>
      </c>
      <c r="AF73" s="167">
        <v>6</v>
      </c>
      <c r="AG73" s="167">
        <v>6</v>
      </c>
      <c r="AH73" s="167">
        <v>6</v>
      </c>
      <c r="AI73" s="167">
        <v>6</v>
      </c>
      <c r="AJ73" s="167">
        <v>6</v>
      </c>
      <c r="AK73" s="167">
        <v>6</v>
      </c>
    </row>
    <row r="74" spans="1:38" s="164" customFormat="1" ht="12.75" customHeight="1">
      <c r="A74" s="118" t="s">
        <v>389</v>
      </c>
      <c r="B74" s="118">
        <v>4</v>
      </c>
      <c r="C74" s="118"/>
      <c r="D74" s="160"/>
      <c r="E74" s="160"/>
      <c r="F74" s="167">
        <v>1</v>
      </c>
      <c r="G74" s="167">
        <v>1</v>
      </c>
      <c r="H74" s="167">
        <v>1</v>
      </c>
      <c r="I74" s="167">
        <v>1</v>
      </c>
      <c r="J74" s="167">
        <v>1</v>
      </c>
      <c r="K74" s="167">
        <v>1</v>
      </c>
      <c r="L74" s="167">
        <v>1</v>
      </c>
      <c r="M74" s="167">
        <v>1</v>
      </c>
      <c r="N74" s="167">
        <v>1</v>
      </c>
      <c r="O74" s="167">
        <v>1</v>
      </c>
      <c r="P74" s="167">
        <v>1</v>
      </c>
      <c r="Q74" s="167">
        <v>1</v>
      </c>
      <c r="R74" s="167">
        <v>1</v>
      </c>
      <c r="S74" s="167">
        <v>6</v>
      </c>
      <c r="T74" s="167">
        <v>6</v>
      </c>
      <c r="U74" s="167">
        <v>6</v>
      </c>
      <c r="V74" s="167">
        <v>6</v>
      </c>
      <c r="W74" s="167">
        <v>6</v>
      </c>
      <c r="X74" s="167">
        <v>6</v>
      </c>
      <c r="Y74" s="167">
        <v>6</v>
      </c>
      <c r="Z74" s="167">
        <v>6</v>
      </c>
      <c r="AA74" s="167">
        <v>6</v>
      </c>
      <c r="AB74" s="599">
        <v>1</v>
      </c>
      <c r="AC74" s="599">
        <v>1</v>
      </c>
      <c r="AD74" s="599">
        <v>1</v>
      </c>
      <c r="AE74" s="167">
        <v>6</v>
      </c>
      <c r="AF74" s="167">
        <v>6</v>
      </c>
      <c r="AG74" s="167">
        <v>6</v>
      </c>
      <c r="AH74" s="167">
        <v>6</v>
      </c>
      <c r="AI74" s="167">
        <v>6</v>
      </c>
      <c r="AJ74" s="167">
        <v>6</v>
      </c>
      <c r="AK74" s="167">
        <v>6</v>
      </c>
    </row>
    <row r="75" spans="1:38" s="164" customFormat="1" ht="12.75" customHeight="1">
      <c r="A75" s="118" t="s">
        <v>389</v>
      </c>
      <c r="B75" s="561">
        <v>7</v>
      </c>
      <c r="C75" s="118"/>
      <c r="D75" s="160"/>
      <c r="E75" s="160"/>
      <c r="F75" s="167">
        <v>1</v>
      </c>
      <c r="G75" s="167">
        <v>1</v>
      </c>
      <c r="H75" s="167">
        <v>1</v>
      </c>
      <c r="I75" s="167">
        <v>1</v>
      </c>
      <c r="J75" s="167">
        <v>1</v>
      </c>
      <c r="K75" s="167">
        <v>1</v>
      </c>
      <c r="L75" s="167">
        <v>1</v>
      </c>
      <c r="M75" s="167">
        <v>1</v>
      </c>
      <c r="N75" s="167">
        <v>1</v>
      </c>
      <c r="O75" s="167">
        <v>1</v>
      </c>
      <c r="P75" s="167">
        <v>1</v>
      </c>
      <c r="Q75" s="167">
        <v>1</v>
      </c>
      <c r="R75" s="167">
        <v>1</v>
      </c>
      <c r="S75" s="559">
        <v>1</v>
      </c>
      <c r="T75" s="559">
        <v>1</v>
      </c>
      <c r="U75" s="559">
        <v>6</v>
      </c>
      <c r="V75" s="559">
        <v>6</v>
      </c>
      <c r="W75" s="559">
        <v>6</v>
      </c>
      <c r="X75" s="559">
        <v>1</v>
      </c>
      <c r="Y75" s="559">
        <v>1</v>
      </c>
      <c r="Z75" s="559">
        <v>1</v>
      </c>
      <c r="AA75" s="167">
        <v>6</v>
      </c>
      <c r="AB75" s="559">
        <v>1</v>
      </c>
      <c r="AC75" s="559">
        <v>1</v>
      </c>
      <c r="AD75" s="559">
        <v>1</v>
      </c>
      <c r="AE75" s="559">
        <v>1</v>
      </c>
      <c r="AF75" s="559">
        <v>1</v>
      </c>
      <c r="AG75" s="559">
        <v>1</v>
      </c>
      <c r="AH75" s="559">
        <v>1</v>
      </c>
      <c r="AI75" s="167">
        <v>6</v>
      </c>
      <c r="AJ75" s="559">
        <v>1</v>
      </c>
      <c r="AK75" s="167">
        <v>6</v>
      </c>
    </row>
    <row r="76" spans="1:38" ht="12.75" customHeight="1">
      <c r="A76" s="118" t="s">
        <v>389</v>
      </c>
      <c r="B76" s="118">
        <v>21</v>
      </c>
      <c r="C76" s="118"/>
      <c r="D76" s="160"/>
      <c r="E76" s="160"/>
      <c r="F76" s="167">
        <v>1</v>
      </c>
      <c r="G76" s="167">
        <v>1</v>
      </c>
      <c r="H76" s="167">
        <v>1</v>
      </c>
      <c r="I76" s="167">
        <v>1</v>
      </c>
      <c r="J76" s="167">
        <v>1</v>
      </c>
      <c r="K76" s="167">
        <v>1</v>
      </c>
      <c r="L76" s="167">
        <v>1</v>
      </c>
      <c r="M76" s="167">
        <v>1</v>
      </c>
      <c r="N76" s="167">
        <v>1</v>
      </c>
      <c r="O76" s="167">
        <v>1</v>
      </c>
      <c r="P76" s="167">
        <v>1</v>
      </c>
      <c r="Q76" s="167">
        <v>1</v>
      </c>
      <c r="R76" s="167">
        <v>1</v>
      </c>
      <c r="S76" s="559">
        <v>1</v>
      </c>
      <c r="T76" s="559">
        <v>1</v>
      </c>
      <c r="U76" s="559">
        <v>6</v>
      </c>
      <c r="V76" s="559">
        <v>6</v>
      </c>
      <c r="W76" s="559">
        <v>6</v>
      </c>
      <c r="X76" s="559">
        <v>1</v>
      </c>
      <c r="Y76" s="559">
        <v>1</v>
      </c>
      <c r="Z76" s="559">
        <v>1</v>
      </c>
      <c r="AA76" s="167">
        <v>6</v>
      </c>
      <c r="AB76" s="559">
        <v>1</v>
      </c>
      <c r="AC76" s="559">
        <v>1</v>
      </c>
      <c r="AD76" s="559">
        <v>1</v>
      </c>
      <c r="AE76" s="559">
        <v>1</v>
      </c>
      <c r="AF76" s="559">
        <v>1</v>
      </c>
      <c r="AG76" s="559">
        <v>1</v>
      </c>
      <c r="AH76" s="559">
        <v>1</v>
      </c>
      <c r="AI76" s="167">
        <v>6</v>
      </c>
      <c r="AJ76" s="559">
        <v>1</v>
      </c>
      <c r="AK76" s="167">
        <v>6</v>
      </c>
      <c r="AL76" s="164"/>
    </row>
    <row r="77" spans="1:38" ht="12.75" customHeight="1">
      <c r="AL77" s="164"/>
    </row>
    <row r="78" spans="1:38" ht="12.75" customHeight="1">
      <c r="B78" s="33" t="str">
        <f ca="1">GetNameRange(B79)</f>
        <v>strategy_term_duration_mths_aig</v>
      </c>
      <c r="C78" s="33"/>
      <c r="D78" s="27"/>
      <c r="E78" s="27"/>
      <c r="F78" s="242"/>
      <c r="G78" s="242"/>
      <c r="H78" s="242"/>
      <c r="I78" s="242"/>
      <c r="J78" s="242"/>
      <c r="K78" s="242"/>
      <c r="L78" s="242"/>
      <c r="O78" s="242"/>
      <c r="P78" s="242"/>
      <c r="Q78" s="242"/>
      <c r="R78" s="242"/>
      <c r="S78" s="242"/>
      <c r="U78" s="242"/>
      <c r="AH78" s="242"/>
      <c r="AI78" s="242"/>
      <c r="AJ78" s="242"/>
      <c r="AK78" s="242"/>
      <c r="AL78" s="164"/>
    </row>
    <row r="79" spans="1:38" s="27" customFormat="1" ht="12.75" customHeight="1">
      <c r="A79" s="116"/>
      <c r="B79" s="116"/>
      <c r="C79" s="116" t="str">
        <f>C$4</f>
        <v>crediting_type_dyn_aig</v>
      </c>
      <c r="D79" s="185"/>
      <c r="E79" s="185"/>
      <c r="F79" s="250" t="str">
        <f t="shared" ref="F79:K79" si="18">F$4</f>
        <v>FX1Fix</v>
      </c>
      <c r="G79" s="250" t="str">
        <f t="shared" si="18"/>
        <v>SP1Cap</v>
      </c>
      <c r="H79" s="106" t="str">
        <f t="shared" si="18"/>
        <v>ND1B10Cp</v>
      </c>
      <c r="I79" s="106" t="str">
        <f t="shared" si="18"/>
        <v>ND1B10Tri</v>
      </c>
      <c r="J79" s="106" t="str">
        <f t="shared" si="18"/>
        <v>ND1B10DDCp</v>
      </c>
      <c r="K79" s="106" t="str">
        <f t="shared" si="18"/>
        <v>SP1B10Cp</v>
      </c>
      <c r="L79" s="106" t="str">
        <f>L$4</f>
        <v>SP1B10PC</v>
      </c>
      <c r="M79" s="106" t="str">
        <f t="shared" ref="M79:AK79" si="19">M$4</f>
        <v>SP1B10Tri</v>
      </c>
      <c r="N79" s="106" t="str">
        <f t="shared" si="19"/>
        <v>SP1B10DDCp</v>
      </c>
      <c r="O79" s="106" t="str">
        <f t="shared" si="19"/>
        <v>SP1B20Cp</v>
      </c>
      <c r="P79" s="106" t="str">
        <f t="shared" si="19"/>
        <v>SP1F10Cp</v>
      </c>
      <c r="Q79" s="106" t="str">
        <f t="shared" si="19"/>
        <v>SP1B10Pr</v>
      </c>
      <c r="R79" s="106" t="str">
        <f t="shared" si="19"/>
        <v>SP1P50Pr</v>
      </c>
      <c r="S79" s="106" t="str">
        <f t="shared" si="19"/>
        <v>SP6B10Cp</v>
      </c>
      <c r="T79" s="106" t="str">
        <f t="shared" si="19"/>
        <v>SP6B10Pr</v>
      </c>
      <c r="U79" s="106" t="str">
        <f t="shared" si="19"/>
        <v>SP6B10PC</v>
      </c>
      <c r="V79" s="106" t="str">
        <f t="shared" si="19"/>
        <v>SP6B10EPC</v>
      </c>
      <c r="W79" s="106" t="str">
        <f t="shared" si="19"/>
        <v>SP6B20EPC</v>
      </c>
      <c r="X79" s="106" t="str">
        <f t="shared" si="19"/>
        <v>SP6B10DDCp</v>
      </c>
      <c r="Y79" s="106" t="str">
        <f>Y$4</f>
        <v>SP6B20DDCp</v>
      </c>
      <c r="Z79" s="106" t="str">
        <f t="shared" si="19"/>
        <v>SP6B10ScCp</v>
      </c>
      <c r="AA79" s="106" t="str">
        <f t="shared" si="19"/>
        <v>SP6B20DDTriCap</v>
      </c>
      <c r="AB79" s="106" t="str">
        <f t="shared" si="19"/>
        <v>SP3K30DKO</v>
      </c>
      <c r="AC79" s="106" t="str">
        <f t="shared" si="19"/>
        <v>SP3K40DKO</v>
      </c>
      <c r="AD79" s="106" t="str">
        <f t="shared" si="19"/>
        <v>SP3K50DKO</v>
      </c>
      <c r="AE79" s="106" t="str">
        <f t="shared" si="19"/>
        <v>SP6K50DKO</v>
      </c>
      <c r="AF79" s="106" t="str">
        <f t="shared" si="19"/>
        <v>SP6K75DKO</v>
      </c>
      <c r="AG79" s="106" t="str">
        <f t="shared" si="19"/>
        <v>SP6K100DKO</v>
      </c>
      <c r="AH79" s="106" t="str">
        <f t="shared" si="19"/>
        <v>SP6B20Cp</v>
      </c>
      <c r="AI79" s="106" t="str">
        <f t="shared" si="19"/>
        <v>SP610FCp</v>
      </c>
      <c r="AJ79" s="106" t="str">
        <f t="shared" si="19"/>
        <v>SP6B20Pr</v>
      </c>
      <c r="AK79" s="106" t="str">
        <f t="shared" si="19"/>
        <v>SP6P50Pr</v>
      </c>
      <c r="AL79" s="164"/>
    </row>
    <row r="80" spans="1:38" s="27" customFormat="1" ht="12.75" customHeight="1">
      <c r="A80" s="355" t="s">
        <v>412</v>
      </c>
      <c r="B80" s="390" t="s">
        <v>163</v>
      </c>
      <c r="C80" s="103"/>
      <c r="D80" s="300"/>
      <c r="E80" s="300"/>
      <c r="F80" s="90"/>
      <c r="G80" s="90"/>
      <c r="H80" s="90"/>
      <c r="I80" s="90"/>
      <c r="J80" s="90"/>
      <c r="K80" s="90"/>
      <c r="L80" s="90"/>
      <c r="M80" s="347"/>
      <c r="N80" s="347"/>
      <c r="O80" s="90"/>
      <c r="P80" s="90"/>
      <c r="Q80" s="90"/>
      <c r="R80" s="90"/>
      <c r="S80" s="90"/>
      <c r="T80" s="347"/>
      <c r="U80" s="90"/>
      <c r="V80" s="347"/>
      <c r="W80" s="347"/>
      <c r="X80" s="347"/>
      <c r="Y80" s="347"/>
      <c r="Z80" s="347"/>
      <c r="AA80" s="347"/>
      <c r="AB80" s="347"/>
      <c r="AC80" s="347"/>
      <c r="AD80" s="347"/>
      <c r="AE80" s="347"/>
      <c r="AF80" s="347"/>
      <c r="AG80" s="347"/>
      <c r="AH80" s="90"/>
      <c r="AI80" s="90"/>
      <c r="AJ80" s="90"/>
      <c r="AK80" s="90"/>
      <c r="AL80" s="164"/>
    </row>
    <row r="81" spans="1:38" s="27" customFormat="1" ht="12.75" hidden="1" customHeight="1">
      <c r="A81" s="118" t="s">
        <v>480</v>
      </c>
      <c r="B81" s="118">
        <v>0</v>
      </c>
      <c r="C81" s="118"/>
      <c r="D81" s="160"/>
      <c r="E81" s="160"/>
      <c r="F81" s="332">
        <f t="shared" ref="F81:G81" si="20">F71*12</f>
        <v>12</v>
      </c>
      <c r="G81" s="332">
        <f t="shared" si="20"/>
        <v>12</v>
      </c>
      <c r="H81" s="332">
        <v>12</v>
      </c>
      <c r="I81" s="332">
        <v>12</v>
      </c>
      <c r="J81" s="332">
        <v>12</v>
      </c>
      <c r="K81" s="332">
        <v>12</v>
      </c>
      <c r="L81" s="332">
        <v>12</v>
      </c>
      <c r="M81" s="319">
        <v>12</v>
      </c>
      <c r="N81" s="319">
        <v>12</v>
      </c>
      <c r="O81" s="332">
        <v>12</v>
      </c>
      <c r="P81" s="332">
        <v>12</v>
      </c>
      <c r="Q81" s="332">
        <v>12</v>
      </c>
      <c r="R81" s="332">
        <v>12</v>
      </c>
      <c r="S81" s="332">
        <v>72</v>
      </c>
      <c r="T81" s="319">
        <v>72</v>
      </c>
      <c r="U81" s="332">
        <v>72</v>
      </c>
      <c r="V81" s="319">
        <v>72</v>
      </c>
      <c r="W81" s="319">
        <v>72</v>
      </c>
      <c r="X81" s="319">
        <v>72</v>
      </c>
      <c r="Y81" s="319">
        <v>72</v>
      </c>
      <c r="Z81" s="319">
        <v>72</v>
      </c>
      <c r="AA81" s="319">
        <v>72</v>
      </c>
      <c r="AB81" s="319">
        <v>36</v>
      </c>
      <c r="AC81" s="319">
        <v>36</v>
      </c>
      <c r="AD81" s="319">
        <v>36</v>
      </c>
      <c r="AE81" s="319">
        <v>72</v>
      </c>
      <c r="AF81" s="319">
        <v>72</v>
      </c>
      <c r="AG81" s="319">
        <v>72</v>
      </c>
      <c r="AH81" s="332">
        <v>72</v>
      </c>
      <c r="AI81" s="332">
        <v>72</v>
      </c>
      <c r="AJ81" s="332">
        <v>72</v>
      </c>
      <c r="AK81" s="332">
        <v>72</v>
      </c>
      <c r="AL81" s="164"/>
    </row>
    <row r="82" spans="1:38" s="27" customFormat="1" ht="12.75" hidden="1" customHeight="1">
      <c r="A82" s="118" t="s">
        <v>480</v>
      </c>
      <c r="B82" s="118">
        <v>11</v>
      </c>
      <c r="C82" s="118"/>
      <c r="D82" s="160"/>
      <c r="E82" s="160"/>
      <c r="F82" s="332">
        <f t="shared" ref="F82:G82" si="21">F72*12</f>
        <v>12</v>
      </c>
      <c r="G82" s="332">
        <f t="shared" si="21"/>
        <v>12</v>
      </c>
      <c r="H82" s="332">
        <v>12</v>
      </c>
      <c r="I82" s="332">
        <v>12</v>
      </c>
      <c r="J82" s="332">
        <v>12</v>
      </c>
      <c r="K82" s="332">
        <v>12</v>
      </c>
      <c r="L82" s="332">
        <v>12</v>
      </c>
      <c r="M82" s="319">
        <v>12</v>
      </c>
      <c r="N82" s="319">
        <v>12</v>
      </c>
      <c r="O82" s="332">
        <v>12</v>
      </c>
      <c r="P82" s="332">
        <v>12</v>
      </c>
      <c r="Q82" s="332">
        <v>12</v>
      </c>
      <c r="R82" s="332">
        <v>12</v>
      </c>
      <c r="S82" s="332">
        <v>72</v>
      </c>
      <c r="T82" s="319">
        <v>72</v>
      </c>
      <c r="U82" s="332">
        <v>72</v>
      </c>
      <c r="V82" s="319">
        <v>72</v>
      </c>
      <c r="W82" s="319">
        <v>72</v>
      </c>
      <c r="X82" s="319">
        <v>72</v>
      </c>
      <c r="Y82" s="319">
        <v>72</v>
      </c>
      <c r="Z82" s="319">
        <v>72</v>
      </c>
      <c r="AA82" s="319">
        <v>72</v>
      </c>
      <c r="AB82" s="319">
        <v>36</v>
      </c>
      <c r="AC82" s="319">
        <v>36</v>
      </c>
      <c r="AD82" s="319">
        <v>36</v>
      </c>
      <c r="AE82" s="319">
        <v>72</v>
      </c>
      <c r="AF82" s="319">
        <v>72</v>
      </c>
      <c r="AG82" s="319">
        <v>72</v>
      </c>
      <c r="AH82" s="332">
        <v>72</v>
      </c>
      <c r="AI82" s="332">
        <v>72</v>
      </c>
      <c r="AJ82" s="332">
        <v>72</v>
      </c>
      <c r="AK82" s="332">
        <v>72</v>
      </c>
      <c r="AL82" s="164"/>
    </row>
    <row r="83" spans="1:38" s="27" customFormat="1" ht="12.75" customHeight="1">
      <c r="A83" s="118" t="s">
        <v>389</v>
      </c>
      <c r="B83" s="118">
        <v>0</v>
      </c>
      <c r="C83" s="118"/>
      <c r="D83" s="160"/>
      <c r="E83" s="160"/>
      <c r="F83" s="332">
        <f t="shared" ref="F83:G84" si="22">F73*12</f>
        <v>12</v>
      </c>
      <c r="G83" s="332">
        <f t="shared" si="22"/>
        <v>12</v>
      </c>
      <c r="H83" s="332">
        <v>12</v>
      </c>
      <c r="I83" s="332">
        <v>12</v>
      </c>
      <c r="J83" s="332">
        <v>12</v>
      </c>
      <c r="K83" s="332">
        <v>12</v>
      </c>
      <c r="L83" s="332">
        <v>12</v>
      </c>
      <c r="M83" s="319">
        <v>12</v>
      </c>
      <c r="N83" s="319">
        <v>12</v>
      </c>
      <c r="O83" s="332">
        <v>12</v>
      </c>
      <c r="P83" s="332">
        <v>12</v>
      </c>
      <c r="Q83" s="332">
        <v>12</v>
      </c>
      <c r="R83" s="332">
        <v>12</v>
      </c>
      <c r="S83" s="332">
        <v>72</v>
      </c>
      <c r="T83" s="319">
        <v>72</v>
      </c>
      <c r="U83" s="332">
        <v>72</v>
      </c>
      <c r="V83" s="319">
        <v>72</v>
      </c>
      <c r="W83" s="319">
        <v>72</v>
      </c>
      <c r="X83" s="319">
        <v>72</v>
      </c>
      <c r="Y83" s="319">
        <v>72</v>
      </c>
      <c r="Z83" s="319">
        <v>72</v>
      </c>
      <c r="AA83" s="319">
        <v>72</v>
      </c>
      <c r="AB83" s="319">
        <v>36</v>
      </c>
      <c r="AC83" s="319">
        <v>36</v>
      </c>
      <c r="AD83" s="319">
        <v>36</v>
      </c>
      <c r="AE83" s="319">
        <v>72</v>
      </c>
      <c r="AF83" s="319">
        <v>72</v>
      </c>
      <c r="AG83" s="319">
        <v>72</v>
      </c>
      <c r="AH83" s="332">
        <v>72</v>
      </c>
      <c r="AI83" s="332">
        <v>72</v>
      </c>
      <c r="AJ83" s="332">
        <v>72</v>
      </c>
      <c r="AK83" s="332">
        <v>72</v>
      </c>
      <c r="AL83" s="164"/>
    </row>
    <row r="84" spans="1:38" s="27" customFormat="1" ht="12.75" customHeight="1">
      <c r="A84" s="118" t="s">
        <v>389</v>
      </c>
      <c r="B84" s="118">
        <v>4</v>
      </c>
      <c r="C84" s="118"/>
      <c r="D84" s="160"/>
      <c r="E84" s="160"/>
      <c r="F84" s="332">
        <f t="shared" si="22"/>
        <v>12</v>
      </c>
      <c r="G84" s="332">
        <f t="shared" si="22"/>
        <v>12</v>
      </c>
      <c r="H84" s="332">
        <v>12</v>
      </c>
      <c r="I84" s="332">
        <v>12</v>
      </c>
      <c r="J84" s="332">
        <v>12</v>
      </c>
      <c r="K84" s="332">
        <v>12</v>
      </c>
      <c r="L84" s="332">
        <v>12</v>
      </c>
      <c r="M84" s="319">
        <v>12</v>
      </c>
      <c r="N84" s="319">
        <v>12</v>
      </c>
      <c r="O84" s="332">
        <v>12</v>
      </c>
      <c r="P84" s="332">
        <v>12</v>
      </c>
      <c r="Q84" s="332">
        <v>12</v>
      </c>
      <c r="R84" s="332">
        <v>12</v>
      </c>
      <c r="S84" s="332">
        <v>72</v>
      </c>
      <c r="T84" s="319">
        <v>72</v>
      </c>
      <c r="U84" s="332">
        <v>72</v>
      </c>
      <c r="V84" s="319">
        <v>72</v>
      </c>
      <c r="W84" s="319">
        <v>72</v>
      </c>
      <c r="X84" s="319">
        <v>72</v>
      </c>
      <c r="Y84" s="319">
        <v>72</v>
      </c>
      <c r="Z84" s="319">
        <v>72</v>
      </c>
      <c r="AA84" s="319">
        <v>72</v>
      </c>
      <c r="AB84" s="593">
        <v>12</v>
      </c>
      <c r="AC84" s="593">
        <v>12</v>
      </c>
      <c r="AD84" s="593">
        <v>12</v>
      </c>
      <c r="AE84" s="319">
        <v>72</v>
      </c>
      <c r="AF84" s="319">
        <v>72</v>
      </c>
      <c r="AG84" s="319">
        <v>72</v>
      </c>
      <c r="AH84" s="332">
        <v>72</v>
      </c>
      <c r="AI84" s="332">
        <v>72</v>
      </c>
      <c r="AJ84" s="332">
        <v>72</v>
      </c>
      <c r="AK84" s="332">
        <v>72</v>
      </c>
      <c r="AL84" s="164"/>
    </row>
    <row r="85" spans="1:38" s="27" customFormat="1" ht="12.75" customHeight="1">
      <c r="A85" s="118" t="s">
        <v>389</v>
      </c>
      <c r="B85" s="561">
        <v>7</v>
      </c>
      <c r="C85" s="118"/>
      <c r="D85" s="160"/>
      <c r="E85" s="160"/>
      <c r="F85" s="332">
        <f t="shared" ref="F85:G85" si="23">F75*12</f>
        <v>12</v>
      </c>
      <c r="G85" s="332">
        <f t="shared" si="23"/>
        <v>12</v>
      </c>
      <c r="H85" s="332">
        <v>12</v>
      </c>
      <c r="I85" s="332">
        <v>12</v>
      </c>
      <c r="J85" s="332">
        <v>12</v>
      </c>
      <c r="K85" s="332">
        <v>12</v>
      </c>
      <c r="L85" s="332">
        <v>12</v>
      </c>
      <c r="M85" s="319">
        <v>12</v>
      </c>
      <c r="N85" s="319">
        <v>12</v>
      </c>
      <c r="O85" s="332">
        <v>12</v>
      </c>
      <c r="P85" s="332">
        <v>12</v>
      </c>
      <c r="Q85" s="332">
        <v>12</v>
      </c>
      <c r="R85" s="332">
        <v>12</v>
      </c>
      <c r="S85" s="560">
        <v>12</v>
      </c>
      <c r="T85" s="560">
        <v>12</v>
      </c>
      <c r="U85" s="560">
        <v>72</v>
      </c>
      <c r="V85" s="560">
        <v>72</v>
      </c>
      <c r="W85" s="560">
        <v>72</v>
      </c>
      <c r="X85" s="560">
        <v>12</v>
      </c>
      <c r="Y85" s="560">
        <v>12</v>
      </c>
      <c r="Z85" s="560">
        <v>12</v>
      </c>
      <c r="AA85" s="319">
        <v>72</v>
      </c>
      <c r="AB85" s="560">
        <v>12</v>
      </c>
      <c r="AC85" s="560">
        <v>12</v>
      </c>
      <c r="AD85" s="560">
        <v>12</v>
      </c>
      <c r="AE85" s="560">
        <v>12</v>
      </c>
      <c r="AF85" s="560">
        <v>12</v>
      </c>
      <c r="AG85" s="560">
        <v>12</v>
      </c>
      <c r="AH85" s="560">
        <v>12</v>
      </c>
      <c r="AI85" s="332">
        <v>72</v>
      </c>
      <c r="AJ85" s="560">
        <v>12</v>
      </c>
      <c r="AK85" s="332">
        <v>72</v>
      </c>
      <c r="AL85" s="164"/>
    </row>
    <row r="86" spans="1:38" s="27" customFormat="1" ht="12.75" customHeight="1">
      <c r="A86" s="118" t="s">
        <v>389</v>
      </c>
      <c r="B86" s="118">
        <v>21</v>
      </c>
      <c r="C86" s="118"/>
      <c r="D86" s="160"/>
      <c r="E86" s="160"/>
      <c r="F86" s="332">
        <f t="shared" ref="F86:G86" si="24">F76*12</f>
        <v>12</v>
      </c>
      <c r="G86" s="332">
        <f t="shared" si="24"/>
        <v>12</v>
      </c>
      <c r="H86" s="332">
        <v>12</v>
      </c>
      <c r="I86" s="332">
        <v>12</v>
      </c>
      <c r="J86" s="332">
        <v>12</v>
      </c>
      <c r="K86" s="332">
        <v>12</v>
      </c>
      <c r="L86" s="332">
        <v>12</v>
      </c>
      <c r="M86" s="319">
        <v>12</v>
      </c>
      <c r="N86" s="319">
        <v>12</v>
      </c>
      <c r="O86" s="332">
        <v>12</v>
      </c>
      <c r="P86" s="332">
        <v>12</v>
      </c>
      <c r="Q86" s="332">
        <v>12</v>
      </c>
      <c r="R86" s="332">
        <v>12</v>
      </c>
      <c r="S86" s="560">
        <v>12</v>
      </c>
      <c r="T86" s="560">
        <v>12</v>
      </c>
      <c r="U86" s="560">
        <v>72</v>
      </c>
      <c r="V86" s="560">
        <v>72</v>
      </c>
      <c r="W86" s="560">
        <v>72</v>
      </c>
      <c r="X86" s="560">
        <v>12</v>
      </c>
      <c r="Y86" s="560">
        <v>12</v>
      </c>
      <c r="Z86" s="560">
        <v>12</v>
      </c>
      <c r="AA86" s="319">
        <v>72</v>
      </c>
      <c r="AB86" s="560">
        <v>12</v>
      </c>
      <c r="AC86" s="560">
        <v>12</v>
      </c>
      <c r="AD86" s="560">
        <v>12</v>
      </c>
      <c r="AE86" s="560">
        <v>12</v>
      </c>
      <c r="AF86" s="560">
        <v>12</v>
      </c>
      <c r="AG86" s="560">
        <v>12</v>
      </c>
      <c r="AH86" s="560">
        <v>12</v>
      </c>
      <c r="AI86" s="332">
        <v>72</v>
      </c>
      <c r="AJ86" s="560">
        <v>12</v>
      </c>
      <c r="AK86" s="332">
        <v>72</v>
      </c>
      <c r="AL86" s="164"/>
    </row>
    <row r="87" spans="1:38" ht="12.75" customHeight="1">
      <c r="AL87" s="164"/>
    </row>
    <row r="88" spans="1:38" ht="12.75" customHeight="1">
      <c r="AL88" s="164"/>
    </row>
    <row r="89" spans="1:38" ht="12.75" customHeight="1">
      <c r="B89" s="33" t="str">
        <f ca="1">GetNameRange(B90)</f>
        <v>index_term_duration_aig</v>
      </c>
      <c r="C89" s="33"/>
      <c r="D89" s="18"/>
      <c r="E89" s="18"/>
      <c r="F89" s="242"/>
      <c r="G89" s="242"/>
      <c r="H89" s="242"/>
      <c r="I89" s="242"/>
      <c r="J89" s="242"/>
      <c r="K89" s="242"/>
      <c r="L89" s="242"/>
      <c r="O89" s="242"/>
      <c r="P89" s="242"/>
      <c r="Q89" s="242"/>
      <c r="R89" s="242"/>
      <c r="S89" s="242"/>
      <c r="U89" s="242"/>
      <c r="AH89" s="242"/>
      <c r="AI89" s="242"/>
      <c r="AJ89" s="242"/>
      <c r="AK89" s="242"/>
      <c r="AL89" s="164"/>
    </row>
    <row r="90" spans="1:38" ht="12.75" customHeight="1">
      <c r="A90" s="116"/>
      <c r="B90" s="116"/>
      <c r="C90" s="116" t="str">
        <f>C$4</f>
        <v>crediting_type_dyn_aig</v>
      </c>
      <c r="D90" s="116"/>
      <c r="E90" s="116"/>
      <c r="F90" s="106" t="str">
        <f t="shared" ref="F90:K90" si="25">F$4</f>
        <v>FX1Fix</v>
      </c>
      <c r="G90" s="106" t="str">
        <f t="shared" si="25"/>
        <v>SP1Cap</v>
      </c>
      <c r="H90" s="106" t="str">
        <f t="shared" si="25"/>
        <v>ND1B10Cp</v>
      </c>
      <c r="I90" s="106" t="str">
        <f t="shared" si="25"/>
        <v>ND1B10Tri</v>
      </c>
      <c r="J90" s="106" t="str">
        <f t="shared" si="25"/>
        <v>ND1B10DDCp</v>
      </c>
      <c r="K90" s="106" t="str">
        <f t="shared" si="25"/>
        <v>SP1B10Cp</v>
      </c>
      <c r="L90" s="106" t="str">
        <f>L$4</f>
        <v>SP1B10PC</v>
      </c>
      <c r="M90" s="106" t="str">
        <f t="shared" ref="M90:AG90" si="26">M$4</f>
        <v>SP1B10Tri</v>
      </c>
      <c r="N90" s="106" t="str">
        <f t="shared" si="26"/>
        <v>SP1B10DDCp</v>
      </c>
      <c r="O90" s="106" t="str">
        <f t="shared" si="26"/>
        <v>SP1B20Cp</v>
      </c>
      <c r="P90" s="106" t="str">
        <f t="shared" si="26"/>
        <v>SP1F10Cp</v>
      </c>
      <c r="Q90" s="106" t="str">
        <f t="shared" si="26"/>
        <v>SP1B10Pr</v>
      </c>
      <c r="R90" s="106" t="str">
        <f t="shared" si="26"/>
        <v>SP1P50Pr</v>
      </c>
      <c r="S90" s="106" t="str">
        <f t="shared" si="26"/>
        <v>SP6B10Cp</v>
      </c>
      <c r="T90" s="106" t="str">
        <f t="shared" si="26"/>
        <v>SP6B10Pr</v>
      </c>
      <c r="U90" s="106" t="str">
        <f t="shared" si="26"/>
        <v>SP6B10PC</v>
      </c>
      <c r="V90" s="106" t="str">
        <f t="shared" si="26"/>
        <v>SP6B10EPC</v>
      </c>
      <c r="W90" s="106" t="str">
        <f t="shared" si="26"/>
        <v>SP6B20EPC</v>
      </c>
      <c r="X90" s="106" t="str">
        <f t="shared" si="26"/>
        <v>SP6B10DDCp</v>
      </c>
      <c r="Y90" s="106" t="str">
        <f>Y$4</f>
        <v>SP6B20DDCp</v>
      </c>
      <c r="Z90" s="106" t="str">
        <f t="shared" si="26"/>
        <v>SP6B10ScCp</v>
      </c>
      <c r="AA90" s="106" t="str">
        <f t="shared" si="26"/>
        <v>SP6B20DDTriCap</v>
      </c>
      <c r="AB90" s="106" t="str">
        <f>AB$4</f>
        <v>SP3K30DKO</v>
      </c>
      <c r="AC90" s="106" t="str">
        <f>AC$4</f>
        <v>SP3K40DKO</v>
      </c>
      <c r="AD90" s="106" t="str">
        <f>AD$4</f>
        <v>SP3K50DKO</v>
      </c>
      <c r="AE90" s="106" t="str">
        <f t="shared" si="26"/>
        <v>SP6K50DKO</v>
      </c>
      <c r="AF90" s="106" t="str">
        <f t="shared" si="26"/>
        <v>SP6K75DKO</v>
      </c>
      <c r="AG90" s="106" t="str">
        <f t="shared" si="26"/>
        <v>SP6K100DKO</v>
      </c>
      <c r="AH90" s="106" t="str">
        <f t="shared" ref="AH90:AK90" si="27">AH$4</f>
        <v>SP6B20Cp</v>
      </c>
      <c r="AI90" s="106" t="str">
        <f t="shared" si="27"/>
        <v>SP610FCp</v>
      </c>
      <c r="AJ90" s="106" t="str">
        <f t="shared" si="27"/>
        <v>SP6B20Pr</v>
      </c>
      <c r="AK90" s="106" t="str">
        <f t="shared" si="27"/>
        <v>SP6P50Pr</v>
      </c>
      <c r="AL90" s="164"/>
    </row>
    <row r="91" spans="1:38" ht="12.75" customHeight="1">
      <c r="A91" s="355" t="s">
        <v>412</v>
      </c>
      <c r="B91" s="390" t="s">
        <v>163</v>
      </c>
      <c r="C91" s="103"/>
      <c r="D91" s="300"/>
      <c r="E91" s="300"/>
      <c r="F91" s="90"/>
      <c r="G91" s="90"/>
      <c r="H91" s="90"/>
      <c r="I91" s="90"/>
      <c r="J91" s="90"/>
      <c r="K91" s="90"/>
      <c r="L91" s="90"/>
      <c r="M91" s="347"/>
      <c r="N91" s="347"/>
      <c r="O91" s="90"/>
      <c r="P91" s="90"/>
      <c r="Q91" s="90"/>
      <c r="R91" s="90"/>
      <c r="S91" s="90"/>
      <c r="T91" s="347"/>
      <c r="U91" s="90"/>
      <c r="V91" s="347"/>
      <c r="W91" s="347"/>
      <c r="X91" s="347"/>
      <c r="Y91" s="347"/>
      <c r="Z91" s="347"/>
      <c r="AA91" s="347"/>
      <c r="AB91" s="347"/>
      <c r="AC91" s="347"/>
      <c r="AD91" s="347"/>
      <c r="AE91" s="347"/>
      <c r="AF91" s="347"/>
      <c r="AG91" s="347"/>
      <c r="AH91" s="90"/>
      <c r="AI91" s="90"/>
      <c r="AJ91" s="90"/>
      <c r="AK91" s="90"/>
      <c r="AL91" s="164"/>
    </row>
    <row r="92" spans="1:38" s="164" customFormat="1" ht="12.75" hidden="1" customHeight="1">
      <c r="A92" s="118" t="s">
        <v>480</v>
      </c>
      <c r="B92" s="118">
        <v>0</v>
      </c>
      <c r="C92" s="118"/>
      <c r="D92" s="160"/>
      <c r="E92" s="160"/>
      <c r="F92" s="167">
        <v>1</v>
      </c>
      <c r="G92" s="167">
        <v>1</v>
      </c>
      <c r="H92" s="167">
        <v>1</v>
      </c>
      <c r="I92" s="167">
        <v>1</v>
      </c>
      <c r="J92" s="167">
        <v>1</v>
      </c>
      <c r="K92" s="167">
        <v>1</v>
      </c>
      <c r="L92" s="167">
        <v>1</v>
      </c>
      <c r="M92" s="167">
        <v>1</v>
      </c>
      <c r="N92" s="167">
        <v>1</v>
      </c>
      <c r="O92" s="167">
        <v>1</v>
      </c>
      <c r="P92" s="167">
        <v>1</v>
      </c>
      <c r="Q92" s="167">
        <v>1</v>
      </c>
      <c r="R92" s="167">
        <v>1</v>
      </c>
      <c r="S92" s="167">
        <v>6</v>
      </c>
      <c r="T92" s="167">
        <v>6</v>
      </c>
      <c r="U92" s="167">
        <v>6</v>
      </c>
      <c r="V92" s="167">
        <v>6</v>
      </c>
      <c r="W92" s="167">
        <v>6</v>
      </c>
      <c r="X92" s="167">
        <v>6</v>
      </c>
      <c r="Y92" s="167">
        <v>6</v>
      </c>
      <c r="Z92" s="565">
        <v>1</v>
      </c>
      <c r="AA92" s="565">
        <v>1</v>
      </c>
      <c r="AB92" s="167">
        <v>3</v>
      </c>
      <c r="AC92" s="167">
        <v>3</v>
      </c>
      <c r="AD92" s="167">
        <v>3</v>
      </c>
      <c r="AE92" s="167">
        <v>6</v>
      </c>
      <c r="AF92" s="167">
        <v>6</v>
      </c>
      <c r="AG92" s="167">
        <v>6</v>
      </c>
      <c r="AH92" s="167">
        <v>6</v>
      </c>
      <c r="AI92" s="167">
        <v>6</v>
      </c>
      <c r="AJ92" s="167">
        <v>6</v>
      </c>
      <c r="AK92" s="167">
        <v>6</v>
      </c>
    </row>
    <row r="93" spans="1:38" s="164" customFormat="1" ht="12.75" hidden="1" customHeight="1">
      <c r="A93" s="118" t="s">
        <v>480</v>
      </c>
      <c r="B93" s="118">
        <v>11</v>
      </c>
      <c r="C93" s="118"/>
      <c r="D93" s="160"/>
      <c r="E93" s="160"/>
      <c r="F93" s="167">
        <v>1</v>
      </c>
      <c r="G93" s="167">
        <v>1</v>
      </c>
      <c r="H93" s="167">
        <v>1</v>
      </c>
      <c r="I93" s="167">
        <v>1</v>
      </c>
      <c r="J93" s="167">
        <v>1</v>
      </c>
      <c r="K93" s="167">
        <v>1</v>
      </c>
      <c r="L93" s="167">
        <v>1</v>
      </c>
      <c r="M93" s="167">
        <v>1</v>
      </c>
      <c r="N93" s="167">
        <v>1</v>
      </c>
      <c r="O93" s="167">
        <v>1</v>
      </c>
      <c r="P93" s="167">
        <v>1</v>
      </c>
      <c r="Q93" s="167">
        <v>1</v>
      </c>
      <c r="R93" s="167">
        <v>1</v>
      </c>
      <c r="S93" s="167">
        <v>6</v>
      </c>
      <c r="T93" s="167">
        <v>6</v>
      </c>
      <c r="U93" s="167">
        <v>6</v>
      </c>
      <c r="V93" s="167">
        <v>6</v>
      </c>
      <c r="W93" s="167">
        <v>6</v>
      </c>
      <c r="X93" s="167">
        <v>6</v>
      </c>
      <c r="Y93" s="167">
        <v>6</v>
      </c>
      <c r="Z93" s="565">
        <v>1</v>
      </c>
      <c r="AA93" s="565">
        <v>1</v>
      </c>
      <c r="AB93" s="167">
        <v>3</v>
      </c>
      <c r="AC93" s="167">
        <v>3</v>
      </c>
      <c r="AD93" s="167">
        <v>3</v>
      </c>
      <c r="AE93" s="167">
        <v>6</v>
      </c>
      <c r="AF93" s="167">
        <v>6</v>
      </c>
      <c r="AG93" s="167">
        <v>6</v>
      </c>
      <c r="AH93" s="167">
        <v>6</v>
      </c>
      <c r="AI93" s="167">
        <v>6</v>
      </c>
      <c r="AJ93" s="167">
        <v>6</v>
      </c>
      <c r="AK93" s="167">
        <v>6</v>
      </c>
    </row>
    <row r="94" spans="1:38" s="164" customFormat="1" ht="12.75" customHeight="1">
      <c r="A94" s="118" t="s">
        <v>389</v>
      </c>
      <c r="B94" s="118">
        <v>0</v>
      </c>
      <c r="C94" s="118"/>
      <c r="D94" s="160"/>
      <c r="E94" s="160"/>
      <c r="F94" s="167">
        <v>1</v>
      </c>
      <c r="G94" s="167">
        <v>1</v>
      </c>
      <c r="H94" s="167">
        <v>1</v>
      </c>
      <c r="I94" s="167">
        <v>1</v>
      </c>
      <c r="J94" s="167">
        <v>1</v>
      </c>
      <c r="K94" s="167">
        <v>1</v>
      </c>
      <c r="L94" s="167">
        <v>1</v>
      </c>
      <c r="M94" s="167">
        <v>1</v>
      </c>
      <c r="N94" s="167">
        <v>1</v>
      </c>
      <c r="O94" s="167">
        <v>1</v>
      </c>
      <c r="P94" s="167">
        <v>1</v>
      </c>
      <c r="Q94" s="167">
        <v>1</v>
      </c>
      <c r="R94" s="167">
        <v>1</v>
      </c>
      <c r="S94" s="167">
        <v>6</v>
      </c>
      <c r="T94" s="167">
        <v>6</v>
      </c>
      <c r="U94" s="167">
        <v>6</v>
      </c>
      <c r="V94" s="167">
        <v>6</v>
      </c>
      <c r="W94" s="167">
        <v>6</v>
      </c>
      <c r="X94" s="167">
        <v>6</v>
      </c>
      <c r="Y94" s="167">
        <v>6</v>
      </c>
      <c r="Z94" s="565">
        <v>1</v>
      </c>
      <c r="AA94" s="167">
        <v>6</v>
      </c>
      <c r="AB94" s="167">
        <v>3</v>
      </c>
      <c r="AC94" s="167">
        <v>3</v>
      </c>
      <c r="AD94" s="167">
        <v>3</v>
      </c>
      <c r="AE94" s="167">
        <v>6</v>
      </c>
      <c r="AF94" s="167">
        <v>6</v>
      </c>
      <c r="AG94" s="167">
        <v>6</v>
      </c>
      <c r="AH94" s="167">
        <v>6</v>
      </c>
      <c r="AI94" s="167">
        <v>6</v>
      </c>
      <c r="AJ94" s="167">
        <v>6</v>
      </c>
      <c r="AK94" s="167">
        <v>6</v>
      </c>
    </row>
    <row r="95" spans="1:38" s="164" customFormat="1" ht="12.75" customHeight="1">
      <c r="A95" s="118" t="s">
        <v>389</v>
      </c>
      <c r="B95" s="118">
        <v>4</v>
      </c>
      <c r="C95" s="118"/>
      <c r="D95" s="160"/>
      <c r="E95" s="160"/>
      <c r="F95" s="167">
        <v>1</v>
      </c>
      <c r="G95" s="167">
        <v>1</v>
      </c>
      <c r="H95" s="167">
        <v>1</v>
      </c>
      <c r="I95" s="167">
        <v>1</v>
      </c>
      <c r="J95" s="167">
        <v>1</v>
      </c>
      <c r="K95" s="167">
        <v>1</v>
      </c>
      <c r="L95" s="167">
        <v>1</v>
      </c>
      <c r="M95" s="167">
        <v>1</v>
      </c>
      <c r="N95" s="167">
        <v>1</v>
      </c>
      <c r="O95" s="167">
        <v>1</v>
      </c>
      <c r="P95" s="167">
        <v>1</v>
      </c>
      <c r="Q95" s="167">
        <v>1</v>
      </c>
      <c r="R95" s="167">
        <v>1</v>
      </c>
      <c r="S95" s="167">
        <v>6</v>
      </c>
      <c r="T95" s="167">
        <v>6</v>
      </c>
      <c r="U95" s="167">
        <v>6</v>
      </c>
      <c r="V95" s="167">
        <v>6</v>
      </c>
      <c r="W95" s="167">
        <v>6</v>
      </c>
      <c r="X95" s="167">
        <v>6</v>
      </c>
      <c r="Y95" s="167">
        <v>6</v>
      </c>
      <c r="Z95" s="565">
        <v>1</v>
      </c>
      <c r="AA95" s="167">
        <v>6</v>
      </c>
      <c r="AB95" s="599">
        <v>1</v>
      </c>
      <c r="AC95" s="599">
        <v>1</v>
      </c>
      <c r="AD95" s="599">
        <v>1</v>
      </c>
      <c r="AE95" s="167">
        <v>6</v>
      </c>
      <c r="AF95" s="167">
        <v>6</v>
      </c>
      <c r="AG95" s="167">
        <v>6</v>
      </c>
      <c r="AH95" s="167">
        <v>6</v>
      </c>
      <c r="AI95" s="167">
        <v>6</v>
      </c>
      <c r="AJ95" s="167">
        <v>6</v>
      </c>
      <c r="AK95" s="167">
        <v>6</v>
      </c>
    </row>
    <row r="96" spans="1:38" s="164" customFormat="1" ht="12.75" customHeight="1">
      <c r="A96" s="118" t="s">
        <v>389</v>
      </c>
      <c r="B96" s="561">
        <v>7</v>
      </c>
      <c r="C96" s="118"/>
      <c r="D96" s="160"/>
      <c r="E96" s="160"/>
      <c r="F96" s="167">
        <v>1</v>
      </c>
      <c r="G96" s="167">
        <v>1</v>
      </c>
      <c r="H96" s="167">
        <v>1</v>
      </c>
      <c r="I96" s="167">
        <v>1</v>
      </c>
      <c r="J96" s="167">
        <v>1</v>
      </c>
      <c r="K96" s="167">
        <v>1</v>
      </c>
      <c r="L96" s="167">
        <v>1</v>
      </c>
      <c r="M96" s="167">
        <v>1</v>
      </c>
      <c r="N96" s="167">
        <v>1</v>
      </c>
      <c r="O96" s="167">
        <v>1</v>
      </c>
      <c r="P96" s="167">
        <v>1</v>
      </c>
      <c r="Q96" s="167">
        <v>1</v>
      </c>
      <c r="R96" s="167">
        <v>1</v>
      </c>
      <c r="S96" s="559">
        <v>1</v>
      </c>
      <c r="T96" s="559">
        <v>1</v>
      </c>
      <c r="U96" s="559">
        <v>6</v>
      </c>
      <c r="V96" s="559">
        <v>6</v>
      </c>
      <c r="W96" s="559">
        <v>6</v>
      </c>
      <c r="X96" s="559">
        <v>1</v>
      </c>
      <c r="Y96" s="559">
        <v>1</v>
      </c>
      <c r="Z96" s="565">
        <v>1</v>
      </c>
      <c r="AA96" s="167">
        <v>6</v>
      </c>
      <c r="AB96" s="559">
        <v>1</v>
      </c>
      <c r="AC96" s="559">
        <v>1</v>
      </c>
      <c r="AD96" s="559">
        <v>1</v>
      </c>
      <c r="AE96" s="559">
        <v>1</v>
      </c>
      <c r="AF96" s="559">
        <v>1</v>
      </c>
      <c r="AG96" s="559">
        <v>1</v>
      </c>
      <c r="AH96" s="559">
        <v>1</v>
      </c>
      <c r="AI96" s="167">
        <v>6</v>
      </c>
      <c r="AJ96" s="559">
        <v>1</v>
      </c>
      <c r="AK96" s="167">
        <v>6</v>
      </c>
    </row>
    <row r="97" spans="1:38" ht="12.75" customHeight="1">
      <c r="A97" s="118" t="s">
        <v>389</v>
      </c>
      <c r="B97" s="118">
        <v>21</v>
      </c>
      <c r="C97" s="118"/>
      <c r="D97" s="160"/>
      <c r="E97" s="160"/>
      <c r="F97" s="167">
        <v>1</v>
      </c>
      <c r="G97" s="167">
        <v>1</v>
      </c>
      <c r="H97" s="167">
        <v>1</v>
      </c>
      <c r="I97" s="167">
        <v>1</v>
      </c>
      <c r="J97" s="167">
        <v>1</v>
      </c>
      <c r="K97" s="167">
        <v>1</v>
      </c>
      <c r="L97" s="167">
        <v>1</v>
      </c>
      <c r="M97" s="167">
        <v>1</v>
      </c>
      <c r="N97" s="167">
        <v>1</v>
      </c>
      <c r="O97" s="167">
        <v>1</v>
      </c>
      <c r="P97" s="167">
        <v>1</v>
      </c>
      <c r="Q97" s="167">
        <v>1</v>
      </c>
      <c r="R97" s="167">
        <v>1</v>
      </c>
      <c r="S97" s="559">
        <v>1</v>
      </c>
      <c r="T97" s="559">
        <v>1</v>
      </c>
      <c r="U97" s="559">
        <v>6</v>
      </c>
      <c r="V97" s="559">
        <v>6</v>
      </c>
      <c r="W97" s="559">
        <v>6</v>
      </c>
      <c r="X97" s="559">
        <v>1</v>
      </c>
      <c r="Y97" s="559">
        <v>1</v>
      </c>
      <c r="Z97" s="565">
        <v>1</v>
      </c>
      <c r="AA97" s="167">
        <v>6</v>
      </c>
      <c r="AB97" s="559">
        <v>1</v>
      </c>
      <c r="AC97" s="559">
        <v>1</v>
      </c>
      <c r="AD97" s="559">
        <v>1</v>
      </c>
      <c r="AE97" s="559">
        <v>1</v>
      </c>
      <c r="AF97" s="559">
        <v>1</v>
      </c>
      <c r="AG97" s="559">
        <v>1</v>
      </c>
      <c r="AH97" s="559">
        <v>1</v>
      </c>
      <c r="AI97" s="167">
        <v>6</v>
      </c>
      <c r="AJ97" s="559">
        <v>1</v>
      </c>
      <c r="AK97" s="167">
        <v>6</v>
      </c>
      <c r="AL97" s="164"/>
    </row>
    <row r="98" spans="1:38" ht="12.75" customHeight="1">
      <c r="AL98" s="164"/>
    </row>
    <row r="99" spans="1:38" ht="12.75" customHeight="1">
      <c r="AL99" s="164"/>
    </row>
    <row r="100" spans="1:38" ht="12.75" customHeight="1">
      <c r="A100" s="33" t="str">
        <f ca="1">GetNameRange(B101)</f>
        <v>strategy_term_floor_aig</v>
      </c>
      <c r="C100" s="33"/>
      <c r="D100" s="18"/>
      <c r="E100" s="18"/>
      <c r="F100" s="242"/>
      <c r="G100" s="242"/>
      <c r="H100" s="242"/>
      <c r="I100" s="242"/>
      <c r="J100" s="242"/>
      <c r="K100" s="242"/>
      <c r="L100" s="242"/>
      <c r="O100" s="242"/>
      <c r="P100" s="242"/>
      <c r="Q100" s="242"/>
      <c r="R100" s="242"/>
      <c r="S100" s="242"/>
      <c r="U100" s="242"/>
      <c r="AH100" s="242"/>
      <c r="AI100" s="242"/>
      <c r="AJ100" s="242"/>
      <c r="AK100" s="242"/>
      <c r="AL100" s="164"/>
    </row>
    <row r="101" spans="1:38" ht="12.75" customHeight="1">
      <c r="A101" s="116" t="str">
        <f>C$4</f>
        <v>crediting_type_dyn_aig</v>
      </c>
      <c r="B101" s="116"/>
      <c r="C101" s="116"/>
      <c r="D101" s="116"/>
      <c r="E101" s="116"/>
      <c r="F101" s="106" t="str">
        <f t="shared" ref="F101:K101" si="28">F$4</f>
        <v>FX1Fix</v>
      </c>
      <c r="G101" s="106" t="str">
        <f t="shared" si="28"/>
        <v>SP1Cap</v>
      </c>
      <c r="H101" s="106" t="str">
        <f t="shared" si="28"/>
        <v>ND1B10Cp</v>
      </c>
      <c r="I101" s="106" t="str">
        <f t="shared" si="28"/>
        <v>ND1B10Tri</v>
      </c>
      <c r="J101" s="106" t="str">
        <f t="shared" si="28"/>
        <v>ND1B10DDCp</v>
      </c>
      <c r="K101" s="106" t="str">
        <f t="shared" si="28"/>
        <v>SP1B10Cp</v>
      </c>
      <c r="L101" s="106" t="str">
        <f>L$4</f>
        <v>SP1B10PC</v>
      </c>
      <c r="M101" s="106" t="str">
        <f t="shared" ref="M101:AG101" si="29">M$4</f>
        <v>SP1B10Tri</v>
      </c>
      <c r="N101" s="106" t="str">
        <f t="shared" si="29"/>
        <v>SP1B10DDCp</v>
      </c>
      <c r="O101" s="106" t="str">
        <f t="shared" si="29"/>
        <v>SP1B20Cp</v>
      </c>
      <c r="P101" s="106" t="str">
        <f t="shared" si="29"/>
        <v>SP1F10Cp</v>
      </c>
      <c r="Q101" s="106" t="str">
        <f t="shared" si="29"/>
        <v>SP1B10Pr</v>
      </c>
      <c r="R101" s="106" t="str">
        <f t="shared" si="29"/>
        <v>SP1P50Pr</v>
      </c>
      <c r="S101" s="106" t="str">
        <f t="shared" si="29"/>
        <v>SP6B10Cp</v>
      </c>
      <c r="T101" s="106" t="str">
        <f t="shared" si="29"/>
        <v>SP6B10Pr</v>
      </c>
      <c r="U101" s="106" t="str">
        <f t="shared" si="29"/>
        <v>SP6B10PC</v>
      </c>
      <c r="V101" s="106" t="str">
        <f t="shared" si="29"/>
        <v>SP6B10EPC</v>
      </c>
      <c r="W101" s="106" t="str">
        <f t="shared" si="29"/>
        <v>SP6B20EPC</v>
      </c>
      <c r="X101" s="106" t="str">
        <f t="shared" si="29"/>
        <v>SP6B10DDCp</v>
      </c>
      <c r="Y101" s="106" t="str">
        <f>Y$4</f>
        <v>SP6B20DDCp</v>
      </c>
      <c r="Z101" s="106" t="str">
        <f t="shared" si="29"/>
        <v>SP6B10ScCp</v>
      </c>
      <c r="AA101" s="106" t="str">
        <f t="shared" si="29"/>
        <v>SP6B20DDTriCap</v>
      </c>
      <c r="AB101" s="106" t="str">
        <f t="shared" si="29"/>
        <v>SP3K30DKO</v>
      </c>
      <c r="AC101" s="106" t="str">
        <f t="shared" si="29"/>
        <v>SP3K40DKO</v>
      </c>
      <c r="AD101" s="106" t="str">
        <f t="shared" si="29"/>
        <v>SP3K50DKO</v>
      </c>
      <c r="AE101" s="106" t="str">
        <f t="shared" si="29"/>
        <v>SP6K50DKO</v>
      </c>
      <c r="AF101" s="106" t="str">
        <f t="shared" si="29"/>
        <v>SP6K75DKO</v>
      </c>
      <c r="AG101" s="106" t="str">
        <f t="shared" si="29"/>
        <v>SP6K100DKO</v>
      </c>
      <c r="AH101" s="106" t="str">
        <f t="shared" ref="AH101:AK101" si="30">AH$4</f>
        <v>SP6B20Cp</v>
      </c>
      <c r="AI101" s="106" t="str">
        <f t="shared" si="30"/>
        <v>SP610FCp</v>
      </c>
      <c r="AJ101" s="106" t="str">
        <f t="shared" si="30"/>
        <v>SP6B20Pr</v>
      </c>
      <c r="AK101" s="106" t="str">
        <f t="shared" si="30"/>
        <v>SP6P50Pr</v>
      </c>
      <c r="AL101" s="164"/>
    </row>
    <row r="102" spans="1:38" ht="12.75" customHeight="1">
      <c r="A102" s="117" t="s">
        <v>332</v>
      </c>
      <c r="B102" s="390" t="s">
        <v>163</v>
      </c>
      <c r="C102" s="390"/>
      <c r="D102" s="300"/>
      <c r="E102" s="300"/>
      <c r="F102" s="90"/>
      <c r="G102" s="90"/>
      <c r="H102" s="90"/>
      <c r="I102" s="90"/>
      <c r="J102" s="90"/>
      <c r="K102" s="90"/>
      <c r="L102" s="90"/>
      <c r="M102" s="347"/>
      <c r="N102" s="347"/>
      <c r="O102" s="90"/>
      <c r="P102" s="90"/>
      <c r="Q102" s="90"/>
      <c r="R102" s="90"/>
      <c r="S102" s="90"/>
      <c r="T102" s="347"/>
      <c r="U102" s="90"/>
      <c r="V102" s="347"/>
      <c r="W102" s="347"/>
      <c r="X102" s="347"/>
      <c r="Y102" s="347"/>
      <c r="Z102" s="347"/>
      <c r="AA102" s="347"/>
      <c r="AB102" s="347"/>
      <c r="AC102" s="347"/>
      <c r="AD102" s="347"/>
      <c r="AE102" s="347"/>
      <c r="AF102" s="347"/>
      <c r="AG102" s="347"/>
      <c r="AH102" s="90"/>
      <c r="AI102" s="90"/>
      <c r="AJ102" s="90"/>
      <c r="AK102" s="90"/>
      <c r="AL102" s="164"/>
    </row>
    <row r="103" spans="1:38" s="164" customFormat="1" ht="12.75" customHeight="1">
      <c r="A103" s="261" t="s">
        <v>636</v>
      </c>
      <c r="B103" s="118">
        <v>0</v>
      </c>
      <c r="C103" s="118"/>
      <c r="D103" s="160"/>
      <c r="E103" s="160"/>
      <c r="F103" s="251">
        <v>0</v>
      </c>
      <c r="G103" s="251">
        <v>0</v>
      </c>
      <c r="H103" s="251">
        <v>-9.99</v>
      </c>
      <c r="I103" s="251">
        <v>-9.99</v>
      </c>
      <c r="J103" s="251">
        <v>-9.99</v>
      </c>
      <c r="K103" s="251">
        <v>-9.99</v>
      </c>
      <c r="L103" s="251">
        <v>-9.99</v>
      </c>
      <c r="M103" s="251">
        <v>-9.99</v>
      </c>
      <c r="N103" s="251">
        <v>-9.99</v>
      </c>
      <c r="O103" s="251">
        <v>-9.99</v>
      </c>
      <c r="P103" s="544">
        <v>-9.99</v>
      </c>
      <c r="Q103" s="251">
        <v>-9.99</v>
      </c>
      <c r="R103" s="544">
        <v>-9.99</v>
      </c>
      <c r="S103" s="251">
        <v>-9.99</v>
      </c>
      <c r="T103" s="251">
        <v>-9.99</v>
      </c>
      <c r="U103" s="251">
        <v>-9.99</v>
      </c>
      <c r="V103" s="251">
        <v>-9.99</v>
      </c>
      <c r="W103" s="251">
        <v>-9.99</v>
      </c>
      <c r="X103" s="251">
        <v>-9.99</v>
      </c>
      <c r="Y103" s="251">
        <v>-9.99</v>
      </c>
      <c r="Z103" s="251">
        <v>-9.99</v>
      </c>
      <c r="AA103" s="251">
        <v>-9.99</v>
      </c>
      <c r="AB103" s="251">
        <v>-9.99</v>
      </c>
      <c r="AC103" s="251">
        <v>-9.99</v>
      </c>
      <c r="AD103" s="251">
        <v>-9.99</v>
      </c>
      <c r="AE103" s="251">
        <v>-9.99</v>
      </c>
      <c r="AF103" s="251">
        <v>-9.99</v>
      </c>
      <c r="AG103" s="251">
        <v>-9.99</v>
      </c>
      <c r="AH103" s="251">
        <v>-9.99</v>
      </c>
      <c r="AI103" s="544">
        <v>-9.99</v>
      </c>
      <c r="AJ103" s="251">
        <v>-9.99</v>
      </c>
      <c r="AK103" s="544">
        <v>-9.99</v>
      </c>
    </row>
    <row r="104" spans="1:38" s="164" customFormat="1" ht="12.75" customHeight="1">
      <c r="A104" s="261" t="s">
        <v>636</v>
      </c>
      <c r="B104" s="118">
        <v>6</v>
      </c>
      <c r="C104" s="118"/>
      <c r="D104" s="160"/>
      <c r="E104" s="160"/>
      <c r="F104" s="251">
        <v>0</v>
      </c>
      <c r="G104" s="251">
        <v>0</v>
      </c>
      <c r="H104" s="251">
        <v>-9.99</v>
      </c>
      <c r="I104" s="251">
        <v>-9.99</v>
      </c>
      <c r="J104" s="251">
        <v>-9.99</v>
      </c>
      <c r="K104" s="251">
        <v>-9.99</v>
      </c>
      <c r="L104" s="251">
        <v>-9.99</v>
      </c>
      <c r="M104" s="251">
        <v>-9.99</v>
      </c>
      <c r="N104" s="251">
        <v>-9.99</v>
      </c>
      <c r="O104" s="251">
        <v>-9.99</v>
      </c>
      <c r="P104" s="544">
        <v>-9.99</v>
      </c>
      <c r="Q104" s="251">
        <v>-9.99</v>
      </c>
      <c r="R104" s="544">
        <v>-9.99</v>
      </c>
      <c r="S104" s="251">
        <v>-9.99</v>
      </c>
      <c r="T104" s="251">
        <v>-9.99</v>
      </c>
      <c r="U104" s="251">
        <v>-9.99</v>
      </c>
      <c r="V104" s="251">
        <v>-9.99</v>
      </c>
      <c r="W104" s="251">
        <v>-9.99</v>
      </c>
      <c r="X104" s="251">
        <v>-9.99</v>
      </c>
      <c r="Y104" s="251">
        <v>-9.99</v>
      </c>
      <c r="Z104" s="251">
        <v>-9.99</v>
      </c>
      <c r="AA104" s="251">
        <v>-9.99</v>
      </c>
      <c r="AB104" s="251">
        <v>-9.99</v>
      </c>
      <c r="AC104" s="251">
        <v>-9.99</v>
      </c>
      <c r="AD104" s="251">
        <v>-9.99</v>
      </c>
      <c r="AE104" s="251">
        <v>-9.99</v>
      </c>
      <c r="AF104" s="251">
        <v>-9.99</v>
      </c>
      <c r="AG104" s="251">
        <v>-9.99</v>
      </c>
      <c r="AH104" s="251">
        <v>-9.99</v>
      </c>
      <c r="AI104" s="544">
        <v>-9.99</v>
      </c>
      <c r="AJ104" s="251">
        <v>-9.99</v>
      </c>
      <c r="AK104" s="544">
        <v>-9.99</v>
      </c>
    </row>
    <row r="105" spans="1:38" s="164" customFormat="1" ht="12.75" customHeight="1">
      <c r="A105" s="261" t="s">
        <v>636</v>
      </c>
      <c r="B105" s="118">
        <v>8</v>
      </c>
      <c r="C105" s="118"/>
      <c r="D105" s="160"/>
      <c r="E105" s="160"/>
      <c r="F105" s="251">
        <v>0</v>
      </c>
      <c r="G105" s="251">
        <v>0</v>
      </c>
      <c r="H105" s="251">
        <v>-9.99</v>
      </c>
      <c r="I105" s="251">
        <v>-9.99</v>
      </c>
      <c r="J105" s="251">
        <v>-9.99</v>
      </c>
      <c r="K105" s="251">
        <v>-9.99</v>
      </c>
      <c r="L105" s="251">
        <v>-9.99</v>
      </c>
      <c r="M105" s="251">
        <v>-9.99</v>
      </c>
      <c r="N105" s="251">
        <v>-9.99</v>
      </c>
      <c r="O105" s="251">
        <v>-9.99</v>
      </c>
      <c r="P105" s="544">
        <v>-9.99</v>
      </c>
      <c r="Q105" s="251">
        <v>-9.99</v>
      </c>
      <c r="R105" s="544">
        <v>-9.99</v>
      </c>
      <c r="S105" s="251">
        <v>-9.99</v>
      </c>
      <c r="T105" s="251">
        <v>-9.99</v>
      </c>
      <c r="U105" s="251">
        <v>-9.99</v>
      </c>
      <c r="V105" s="251">
        <v>-9.99</v>
      </c>
      <c r="W105" s="251">
        <v>-9.99</v>
      </c>
      <c r="X105" s="251">
        <v>-9.99</v>
      </c>
      <c r="Y105" s="251">
        <v>-9.99</v>
      </c>
      <c r="Z105" s="251">
        <v>-9.99</v>
      </c>
      <c r="AA105" s="251">
        <v>-9.99</v>
      </c>
      <c r="AB105" s="251">
        <v>-9.99</v>
      </c>
      <c r="AC105" s="251">
        <v>-9.99</v>
      </c>
      <c r="AD105" s="251">
        <v>-9.99</v>
      </c>
      <c r="AE105" s="251">
        <v>-9.99</v>
      </c>
      <c r="AF105" s="251">
        <v>-9.99</v>
      </c>
      <c r="AG105" s="251">
        <v>-9.99</v>
      </c>
      <c r="AH105" s="251">
        <v>-9.99</v>
      </c>
      <c r="AI105" s="544">
        <v>-9.99</v>
      </c>
      <c r="AJ105" s="251">
        <v>-9.99</v>
      </c>
      <c r="AK105" s="544">
        <v>-9.99</v>
      </c>
    </row>
    <row r="106" spans="1:38" s="164" customFormat="1" ht="12.75" customHeight="1">
      <c r="A106" s="261" t="s">
        <v>636</v>
      </c>
      <c r="B106" s="118">
        <v>11</v>
      </c>
      <c r="C106" s="118"/>
      <c r="D106" s="160"/>
      <c r="E106" s="160"/>
      <c r="F106" s="251">
        <v>0</v>
      </c>
      <c r="G106" s="251">
        <v>0</v>
      </c>
      <c r="H106" s="251">
        <v>-9.99</v>
      </c>
      <c r="I106" s="251">
        <v>-9.99</v>
      </c>
      <c r="J106" s="251">
        <v>-9.99</v>
      </c>
      <c r="K106" s="251">
        <v>-9.99</v>
      </c>
      <c r="L106" s="251">
        <v>-9.99</v>
      </c>
      <c r="M106" s="251">
        <v>-9.99</v>
      </c>
      <c r="N106" s="251">
        <v>-9.99</v>
      </c>
      <c r="O106" s="251">
        <v>-9.99</v>
      </c>
      <c r="P106" s="544">
        <v>-9.99</v>
      </c>
      <c r="Q106" s="251">
        <v>-9.99</v>
      </c>
      <c r="R106" s="544">
        <v>-9.99</v>
      </c>
      <c r="S106" s="251">
        <v>-9.99</v>
      </c>
      <c r="T106" s="251">
        <v>-9.99</v>
      </c>
      <c r="U106" s="251">
        <v>-9.99</v>
      </c>
      <c r="V106" s="251">
        <v>-9.99</v>
      </c>
      <c r="W106" s="251">
        <v>-9.99</v>
      </c>
      <c r="X106" s="251">
        <v>-9.99</v>
      </c>
      <c r="Y106" s="251">
        <v>-9.99</v>
      </c>
      <c r="Z106" s="251">
        <v>-9.99</v>
      </c>
      <c r="AA106" s="251">
        <v>-9.99</v>
      </c>
      <c r="AB106" s="251">
        <v>-9.99</v>
      </c>
      <c r="AC106" s="251">
        <v>-9.99</v>
      </c>
      <c r="AD106" s="251">
        <v>-9.99</v>
      </c>
      <c r="AE106" s="251">
        <v>-9.99</v>
      </c>
      <c r="AF106" s="251">
        <v>-9.99</v>
      </c>
      <c r="AG106" s="251">
        <v>-9.99</v>
      </c>
      <c r="AH106" s="251">
        <v>-9.99</v>
      </c>
      <c r="AI106" s="544">
        <v>-9.99</v>
      </c>
      <c r="AJ106" s="251">
        <v>-9.99</v>
      </c>
      <c r="AK106" s="544">
        <v>-9.99</v>
      </c>
    </row>
    <row r="107" spans="1:38" ht="12.75" customHeight="1">
      <c r="A107" s="261" t="s">
        <v>636</v>
      </c>
      <c r="B107" s="118">
        <v>21</v>
      </c>
      <c r="C107" s="118"/>
      <c r="D107" s="160"/>
      <c r="E107" s="160"/>
      <c r="F107" s="251">
        <v>0</v>
      </c>
      <c r="G107" s="251">
        <v>0</v>
      </c>
      <c r="H107" s="251">
        <v>-9.99</v>
      </c>
      <c r="I107" s="251">
        <v>-9.99</v>
      </c>
      <c r="J107" s="251">
        <v>-9.99</v>
      </c>
      <c r="K107" s="251">
        <v>-9.99</v>
      </c>
      <c r="L107" s="251">
        <v>-9.99</v>
      </c>
      <c r="M107" s="251">
        <v>-9.99</v>
      </c>
      <c r="N107" s="251">
        <v>-9.99</v>
      </c>
      <c r="O107" s="251">
        <v>-9.99</v>
      </c>
      <c r="P107" s="544">
        <v>-9.99</v>
      </c>
      <c r="Q107" s="251">
        <v>-9.99</v>
      </c>
      <c r="R107" s="544">
        <v>-9.99</v>
      </c>
      <c r="S107" s="251">
        <v>-9.99</v>
      </c>
      <c r="T107" s="251">
        <v>-9.99</v>
      </c>
      <c r="U107" s="251">
        <v>-9.99</v>
      </c>
      <c r="V107" s="251">
        <v>-9.99</v>
      </c>
      <c r="W107" s="251">
        <v>-9.99</v>
      </c>
      <c r="X107" s="251">
        <v>-9.99</v>
      </c>
      <c r="Y107" s="251">
        <v>-9.99</v>
      </c>
      <c r="Z107" s="251">
        <v>-9.99</v>
      </c>
      <c r="AA107" s="251">
        <v>-9.99</v>
      </c>
      <c r="AB107" s="251">
        <v>-9.99</v>
      </c>
      <c r="AC107" s="251">
        <v>-9.99</v>
      </c>
      <c r="AD107" s="251">
        <v>-9.99</v>
      </c>
      <c r="AE107" s="251">
        <v>-9.99</v>
      </c>
      <c r="AF107" s="251">
        <v>-9.99</v>
      </c>
      <c r="AG107" s="251">
        <v>-9.99</v>
      </c>
      <c r="AH107" s="251">
        <v>-9.99</v>
      </c>
      <c r="AI107" s="544">
        <v>-9.99</v>
      </c>
      <c r="AJ107" s="251">
        <v>-9.99</v>
      </c>
      <c r="AK107" s="544">
        <v>-9.99</v>
      </c>
      <c r="AL107" s="164"/>
    </row>
    <row r="108" spans="1:38" ht="12.75" customHeight="1">
      <c r="M108" s="251"/>
      <c r="N108" s="251"/>
      <c r="T108" s="251"/>
      <c r="X108" s="251"/>
      <c r="Y108" s="251"/>
      <c r="Z108" s="251"/>
      <c r="AA108" s="251"/>
      <c r="AB108" s="251"/>
      <c r="AC108" s="251"/>
      <c r="AD108" s="251"/>
      <c r="AE108" s="251"/>
      <c r="AF108" s="251"/>
      <c r="AG108" s="251"/>
      <c r="AL108" s="164"/>
    </row>
    <row r="109" spans="1:38" ht="12.75" customHeight="1">
      <c r="M109" s="251"/>
      <c r="N109" s="251"/>
      <c r="T109" s="251"/>
      <c r="X109" s="251"/>
      <c r="Y109" s="251"/>
      <c r="Z109" s="251"/>
      <c r="AA109" s="251"/>
      <c r="AB109" s="251"/>
      <c r="AC109" s="251"/>
      <c r="AD109" s="251"/>
      <c r="AE109" s="251"/>
      <c r="AF109" s="251"/>
      <c r="AG109" s="251"/>
      <c r="AL109" s="164"/>
    </row>
    <row r="110" spans="1:38" ht="12.75" customHeight="1">
      <c r="A110" s="33" t="str">
        <f ca="1">GetNameRange(B111)</f>
        <v>index_term_floor_aig</v>
      </c>
      <c r="C110" s="33"/>
      <c r="D110" s="18"/>
      <c r="E110" s="18"/>
      <c r="F110" s="242"/>
      <c r="G110" s="242"/>
      <c r="H110" s="242"/>
      <c r="I110" s="242"/>
      <c r="J110" s="242"/>
      <c r="K110" s="242"/>
      <c r="L110" s="242"/>
      <c r="M110" s="251"/>
      <c r="N110" s="251"/>
      <c r="O110" s="242"/>
      <c r="P110" s="242"/>
      <c r="Q110" s="242"/>
      <c r="R110" s="242"/>
      <c r="S110" s="242"/>
      <c r="T110" s="251"/>
      <c r="U110" s="242"/>
      <c r="X110" s="251"/>
      <c r="Y110" s="251"/>
      <c r="Z110" s="251"/>
      <c r="AA110" s="251"/>
      <c r="AB110" s="251"/>
      <c r="AC110" s="251"/>
      <c r="AD110" s="251"/>
      <c r="AE110" s="251"/>
      <c r="AF110" s="251"/>
      <c r="AG110" s="251"/>
      <c r="AH110" s="242"/>
      <c r="AI110" s="242"/>
      <c r="AJ110" s="242"/>
      <c r="AK110" s="242"/>
      <c r="AL110" s="164"/>
    </row>
    <row r="111" spans="1:38" ht="12.75" customHeight="1">
      <c r="A111" s="116"/>
      <c r="B111" s="116"/>
      <c r="C111" s="116" t="str">
        <f>C$4</f>
        <v>crediting_type_dyn_aig</v>
      </c>
      <c r="D111" s="116"/>
      <c r="E111" s="116"/>
      <c r="F111" s="106" t="str">
        <f t="shared" ref="F111:K111" si="31">F$4</f>
        <v>FX1Fix</v>
      </c>
      <c r="G111" s="106" t="str">
        <f t="shared" si="31"/>
        <v>SP1Cap</v>
      </c>
      <c r="H111" s="106" t="str">
        <f t="shared" si="31"/>
        <v>ND1B10Cp</v>
      </c>
      <c r="I111" s="106" t="str">
        <f t="shared" si="31"/>
        <v>ND1B10Tri</v>
      </c>
      <c r="J111" s="106" t="str">
        <f t="shared" si="31"/>
        <v>ND1B10DDCp</v>
      </c>
      <c r="K111" s="106" t="str">
        <f t="shared" si="31"/>
        <v>SP1B10Cp</v>
      </c>
      <c r="L111" s="106" t="str">
        <f>L$4</f>
        <v>SP1B10PC</v>
      </c>
      <c r="M111" s="106" t="str">
        <f t="shared" ref="M111:AK111" si="32">M$4</f>
        <v>SP1B10Tri</v>
      </c>
      <c r="N111" s="106" t="str">
        <f t="shared" si="32"/>
        <v>SP1B10DDCp</v>
      </c>
      <c r="O111" s="106" t="str">
        <f t="shared" si="32"/>
        <v>SP1B20Cp</v>
      </c>
      <c r="P111" s="106" t="str">
        <f t="shared" si="32"/>
        <v>SP1F10Cp</v>
      </c>
      <c r="Q111" s="106" t="str">
        <f t="shared" si="32"/>
        <v>SP1B10Pr</v>
      </c>
      <c r="R111" s="106" t="str">
        <f t="shared" si="32"/>
        <v>SP1P50Pr</v>
      </c>
      <c r="S111" s="106" t="str">
        <f t="shared" si="32"/>
        <v>SP6B10Cp</v>
      </c>
      <c r="T111" s="106" t="str">
        <f t="shared" si="32"/>
        <v>SP6B10Pr</v>
      </c>
      <c r="U111" s="106" t="str">
        <f t="shared" si="32"/>
        <v>SP6B10PC</v>
      </c>
      <c r="V111" s="106" t="str">
        <f t="shared" si="32"/>
        <v>SP6B10EPC</v>
      </c>
      <c r="W111" s="106" t="str">
        <f t="shared" si="32"/>
        <v>SP6B20EPC</v>
      </c>
      <c r="X111" s="106" t="str">
        <f t="shared" si="32"/>
        <v>SP6B10DDCp</v>
      </c>
      <c r="Y111" s="106" t="str">
        <f>Y$4</f>
        <v>SP6B20DDCp</v>
      </c>
      <c r="Z111" s="106" t="str">
        <f t="shared" si="32"/>
        <v>SP6B10ScCp</v>
      </c>
      <c r="AA111" s="106" t="str">
        <f t="shared" si="32"/>
        <v>SP6B20DDTriCap</v>
      </c>
      <c r="AB111" s="106" t="str">
        <f t="shared" si="32"/>
        <v>SP3K30DKO</v>
      </c>
      <c r="AC111" s="106" t="str">
        <f t="shared" si="32"/>
        <v>SP3K40DKO</v>
      </c>
      <c r="AD111" s="106" t="str">
        <f t="shared" si="32"/>
        <v>SP3K50DKO</v>
      </c>
      <c r="AE111" s="106" t="str">
        <f t="shared" si="32"/>
        <v>SP6K50DKO</v>
      </c>
      <c r="AF111" s="106" t="str">
        <f t="shared" si="32"/>
        <v>SP6K75DKO</v>
      </c>
      <c r="AG111" s="106" t="str">
        <f t="shared" si="32"/>
        <v>SP6K100DKO</v>
      </c>
      <c r="AH111" s="106" t="str">
        <f t="shared" si="32"/>
        <v>SP6B20Cp</v>
      </c>
      <c r="AI111" s="106" t="str">
        <f t="shared" si="32"/>
        <v>SP610FCp</v>
      </c>
      <c r="AJ111" s="106" t="str">
        <f t="shared" si="32"/>
        <v>SP6B20Pr</v>
      </c>
      <c r="AK111" s="106" t="str">
        <f t="shared" si="32"/>
        <v>SP6P50Pr</v>
      </c>
      <c r="AL111" s="164"/>
    </row>
    <row r="112" spans="1:38" ht="12.75" customHeight="1">
      <c r="A112" s="355" t="s">
        <v>412</v>
      </c>
      <c r="B112" s="390" t="s">
        <v>163</v>
      </c>
      <c r="C112" s="103" t="s">
        <v>332</v>
      </c>
      <c r="D112" s="300"/>
      <c r="E112" s="300"/>
      <c r="F112" s="90"/>
      <c r="G112" s="90"/>
      <c r="H112" s="90"/>
      <c r="I112" s="90"/>
      <c r="J112" s="90"/>
      <c r="K112" s="90"/>
      <c r="L112" s="90"/>
      <c r="M112" s="90"/>
      <c r="N112" s="90"/>
      <c r="O112" s="90"/>
      <c r="P112" s="90"/>
      <c r="Q112" s="90"/>
      <c r="R112" s="90"/>
      <c r="S112" s="90"/>
      <c r="T112" s="90"/>
      <c r="U112" s="90"/>
      <c r="V112" s="347"/>
      <c r="W112" s="347"/>
      <c r="X112" s="90"/>
      <c r="Y112" s="90"/>
      <c r="Z112" s="90"/>
      <c r="AA112" s="90"/>
      <c r="AB112" s="90"/>
      <c r="AC112" s="90"/>
      <c r="AD112" s="90"/>
      <c r="AE112" s="90"/>
      <c r="AF112" s="90"/>
      <c r="AG112" s="90"/>
      <c r="AH112" s="90"/>
      <c r="AI112" s="90"/>
      <c r="AJ112" s="90"/>
      <c r="AK112" s="90"/>
      <c r="AL112" s="164"/>
    </row>
    <row r="113" spans="1:38" s="164" customFormat="1" ht="12.75" hidden="1" customHeight="1">
      <c r="A113" s="118" t="s">
        <v>480</v>
      </c>
      <c r="B113" s="118">
        <v>0</v>
      </c>
      <c r="C113" s="261" t="s">
        <v>636</v>
      </c>
      <c r="D113" s="160"/>
      <c r="E113" s="160"/>
      <c r="F113" s="251">
        <v>0</v>
      </c>
      <c r="G113" s="251">
        <v>0</v>
      </c>
      <c r="H113" s="251">
        <v>-9.99</v>
      </c>
      <c r="I113" s="251">
        <v>-9.99</v>
      </c>
      <c r="J113" s="251">
        <v>-9.99</v>
      </c>
      <c r="K113" s="251">
        <v>-9.99</v>
      </c>
      <c r="L113" s="251">
        <v>-9.99</v>
      </c>
      <c r="M113" s="251">
        <v>-9.99</v>
      </c>
      <c r="N113" s="251">
        <v>-9.99</v>
      </c>
      <c r="O113" s="251">
        <v>-9.99</v>
      </c>
      <c r="P113" s="251">
        <v>-0.1</v>
      </c>
      <c r="Q113" s="251">
        <v>-9.99</v>
      </c>
      <c r="R113" s="544">
        <v>-9.99</v>
      </c>
      <c r="S113" s="251">
        <v>-9.99</v>
      </c>
      <c r="T113" s="251">
        <v>-9.99</v>
      </c>
      <c r="U113" s="251">
        <v>-9.99</v>
      </c>
      <c r="V113" s="251">
        <v>-9.99</v>
      </c>
      <c r="W113" s="251">
        <v>-9.99</v>
      </c>
      <c r="X113" s="251">
        <v>-9.99</v>
      </c>
      <c r="Y113" s="251">
        <v>-9.99</v>
      </c>
      <c r="Z113" s="251">
        <v>-9.99</v>
      </c>
      <c r="AA113" s="251">
        <v>-9.99</v>
      </c>
      <c r="AB113" s="251">
        <v>-9.99</v>
      </c>
      <c r="AC113" s="251">
        <v>-9.99</v>
      </c>
      <c r="AD113" s="251">
        <v>-9.99</v>
      </c>
      <c r="AE113" s="251">
        <v>-9.99</v>
      </c>
      <c r="AF113" s="251">
        <v>-9.99</v>
      </c>
      <c r="AG113" s="251">
        <v>-9.99</v>
      </c>
      <c r="AH113" s="251">
        <v>-9.99</v>
      </c>
      <c r="AI113" s="251">
        <v>-0.1</v>
      </c>
      <c r="AJ113" s="251">
        <v>-9.99</v>
      </c>
      <c r="AK113" s="544">
        <v>-9.99</v>
      </c>
    </row>
    <row r="114" spans="1:38" s="164" customFormat="1" ht="12.75" hidden="1" customHeight="1">
      <c r="A114" s="118" t="s">
        <v>480</v>
      </c>
      <c r="B114" s="118">
        <v>11</v>
      </c>
      <c r="C114" s="261" t="s">
        <v>636</v>
      </c>
      <c r="D114" s="160"/>
      <c r="E114" s="160"/>
      <c r="F114" s="251">
        <v>0</v>
      </c>
      <c r="G114" s="251">
        <v>0</v>
      </c>
      <c r="H114" s="251">
        <v>-9.99</v>
      </c>
      <c r="I114" s="251">
        <v>-9.99</v>
      </c>
      <c r="J114" s="251">
        <v>-9.99</v>
      </c>
      <c r="K114" s="251">
        <v>-9.99</v>
      </c>
      <c r="L114" s="251">
        <v>-9.99</v>
      </c>
      <c r="M114" s="251">
        <v>-9.99</v>
      </c>
      <c r="N114" s="251">
        <v>-9.99</v>
      </c>
      <c r="O114" s="251">
        <v>-9.99</v>
      </c>
      <c r="P114" s="251">
        <v>-0.1</v>
      </c>
      <c r="Q114" s="251">
        <v>-9.99</v>
      </c>
      <c r="R114" s="544">
        <v>-9.99</v>
      </c>
      <c r="S114" s="251">
        <v>-9.99</v>
      </c>
      <c r="T114" s="251">
        <v>-9.99</v>
      </c>
      <c r="U114" s="251">
        <v>-9.99</v>
      </c>
      <c r="V114" s="251">
        <v>-9.99</v>
      </c>
      <c r="W114" s="251">
        <v>-9.99</v>
      </c>
      <c r="X114" s="251">
        <v>-9.99</v>
      </c>
      <c r="Y114" s="251">
        <v>-9.99</v>
      </c>
      <c r="Z114" s="251">
        <v>-9.99</v>
      </c>
      <c r="AA114" s="251">
        <v>-9.99</v>
      </c>
      <c r="AB114" s="251">
        <v>-9.99</v>
      </c>
      <c r="AC114" s="251">
        <v>-9.99</v>
      </c>
      <c r="AD114" s="251">
        <v>-9.99</v>
      </c>
      <c r="AE114" s="251">
        <v>-9.99</v>
      </c>
      <c r="AF114" s="251">
        <v>-9.99</v>
      </c>
      <c r="AG114" s="251">
        <v>-9.99</v>
      </c>
      <c r="AH114" s="251">
        <v>-9.99</v>
      </c>
      <c r="AI114" s="251">
        <v>-0.1</v>
      </c>
      <c r="AJ114" s="251">
        <v>-9.99</v>
      </c>
      <c r="AK114" s="544">
        <v>-9.99</v>
      </c>
    </row>
    <row r="115" spans="1:38" s="164" customFormat="1" ht="12.75" customHeight="1">
      <c r="A115" s="118" t="s">
        <v>389</v>
      </c>
      <c r="B115" s="118">
        <v>0</v>
      </c>
      <c r="C115" s="261" t="s">
        <v>636</v>
      </c>
      <c r="D115" s="160"/>
      <c r="E115" s="160"/>
      <c r="F115" s="251">
        <v>0</v>
      </c>
      <c r="G115" s="251">
        <v>0</v>
      </c>
      <c r="H115" s="251">
        <v>-9.99</v>
      </c>
      <c r="I115" s="251">
        <v>-9.99</v>
      </c>
      <c r="J115" s="251">
        <v>-9.99</v>
      </c>
      <c r="K115" s="251">
        <v>-9.99</v>
      </c>
      <c r="L115" s="251">
        <v>-9.99</v>
      </c>
      <c r="M115" s="251">
        <v>-9.99</v>
      </c>
      <c r="N115" s="251">
        <v>-9.99</v>
      </c>
      <c r="O115" s="251">
        <v>-9.99</v>
      </c>
      <c r="P115" s="251">
        <v>-0.1</v>
      </c>
      <c r="Q115" s="251">
        <v>-9.99</v>
      </c>
      <c r="R115" s="544">
        <v>-9.99</v>
      </c>
      <c r="S115" s="251">
        <v>-9.99</v>
      </c>
      <c r="T115" s="251">
        <v>-9.99</v>
      </c>
      <c r="U115" s="251">
        <v>-9.99</v>
      </c>
      <c r="V115" s="251">
        <v>-9.99</v>
      </c>
      <c r="W115" s="251">
        <v>-9.99</v>
      </c>
      <c r="X115" s="251">
        <v>-9.99</v>
      </c>
      <c r="Y115" s="251">
        <v>-9.99</v>
      </c>
      <c r="Z115" s="251">
        <v>-9.99</v>
      </c>
      <c r="AA115" s="251">
        <v>-9.99</v>
      </c>
      <c r="AB115" s="251">
        <v>-9.99</v>
      </c>
      <c r="AC115" s="251">
        <v>-9.99</v>
      </c>
      <c r="AD115" s="251">
        <v>-9.99</v>
      </c>
      <c r="AE115" s="251">
        <v>-9.99</v>
      </c>
      <c r="AF115" s="251">
        <v>-9.99</v>
      </c>
      <c r="AG115" s="251">
        <v>-9.99</v>
      </c>
      <c r="AH115" s="251">
        <v>-9.99</v>
      </c>
      <c r="AI115" s="251">
        <v>-0.1</v>
      </c>
      <c r="AJ115" s="251">
        <v>-9.99</v>
      </c>
      <c r="AK115" s="544">
        <v>-9.99</v>
      </c>
    </row>
    <row r="116" spans="1:38" s="164" customFormat="1" ht="12.75" customHeight="1">
      <c r="A116" s="118" t="s">
        <v>389</v>
      </c>
      <c r="B116" s="118">
        <v>11</v>
      </c>
      <c r="C116" s="261" t="s">
        <v>636</v>
      </c>
      <c r="D116" s="160"/>
      <c r="E116" s="160"/>
      <c r="F116" s="251">
        <v>0</v>
      </c>
      <c r="G116" s="251">
        <v>0</v>
      </c>
      <c r="H116" s="251">
        <v>-9.99</v>
      </c>
      <c r="I116" s="251">
        <v>-9.99</v>
      </c>
      <c r="J116" s="251">
        <v>-9.99</v>
      </c>
      <c r="K116" s="251">
        <v>-9.99</v>
      </c>
      <c r="L116" s="251">
        <v>-9.99</v>
      </c>
      <c r="M116" s="251">
        <v>-9.99</v>
      </c>
      <c r="N116" s="251">
        <v>-9.99</v>
      </c>
      <c r="O116" s="251">
        <v>-9.99</v>
      </c>
      <c r="P116" s="251">
        <v>-0.1</v>
      </c>
      <c r="Q116" s="251">
        <v>-9.99</v>
      </c>
      <c r="R116" s="544">
        <v>-9.99</v>
      </c>
      <c r="S116" s="251">
        <v>-9.99</v>
      </c>
      <c r="T116" s="251">
        <v>-9.99</v>
      </c>
      <c r="U116" s="251">
        <v>-9.99</v>
      </c>
      <c r="V116" s="251">
        <v>-9.99</v>
      </c>
      <c r="W116" s="251">
        <v>-9.99</v>
      </c>
      <c r="X116" s="251">
        <v>-9.99</v>
      </c>
      <c r="Y116" s="251">
        <v>-9.99</v>
      </c>
      <c r="Z116" s="251">
        <v>-9.99</v>
      </c>
      <c r="AA116" s="251">
        <v>-9.99</v>
      </c>
      <c r="AB116" s="251">
        <v>-9.99</v>
      </c>
      <c r="AC116" s="251">
        <v>-9.99</v>
      </c>
      <c r="AD116" s="251">
        <v>-9.99</v>
      </c>
      <c r="AE116" s="251">
        <v>-9.99</v>
      </c>
      <c r="AF116" s="251">
        <v>-9.99</v>
      </c>
      <c r="AG116" s="251">
        <v>-9.99</v>
      </c>
      <c r="AH116" s="251">
        <v>-9.99</v>
      </c>
      <c r="AI116" s="251">
        <v>-0.1</v>
      </c>
      <c r="AJ116" s="251">
        <v>-9.99</v>
      </c>
      <c r="AK116" s="544">
        <v>-9.99</v>
      </c>
    </row>
    <row r="117" spans="1:38" s="164" customFormat="1" ht="12.75" customHeight="1">
      <c r="A117" s="118" t="s">
        <v>389</v>
      </c>
      <c r="B117" s="118">
        <v>21</v>
      </c>
      <c r="C117" s="261" t="s">
        <v>636</v>
      </c>
      <c r="D117" s="160"/>
      <c r="E117" s="160"/>
      <c r="F117" s="251">
        <v>0</v>
      </c>
      <c r="G117" s="251">
        <v>0</v>
      </c>
      <c r="H117" s="251">
        <v>-9.99</v>
      </c>
      <c r="I117" s="251">
        <v>-9.99</v>
      </c>
      <c r="J117" s="251">
        <v>-9.99</v>
      </c>
      <c r="K117" s="251">
        <v>-9.99</v>
      </c>
      <c r="L117" s="251">
        <v>-9.99</v>
      </c>
      <c r="M117" s="251">
        <v>-9.99</v>
      </c>
      <c r="N117" s="251">
        <v>-9.99</v>
      </c>
      <c r="O117" s="251">
        <v>-9.99</v>
      </c>
      <c r="P117" s="251">
        <v>-0.1</v>
      </c>
      <c r="Q117" s="251">
        <v>-9.99</v>
      </c>
      <c r="R117" s="544">
        <v>-9.99</v>
      </c>
      <c r="S117" s="251">
        <v>-9.99</v>
      </c>
      <c r="T117" s="251">
        <v>-9.99</v>
      </c>
      <c r="U117" s="251">
        <v>-9.99</v>
      </c>
      <c r="V117" s="251">
        <v>-9.99</v>
      </c>
      <c r="W117" s="251">
        <v>-9.99</v>
      </c>
      <c r="X117" s="251">
        <v>-9.99</v>
      </c>
      <c r="Y117" s="251">
        <v>-9.99</v>
      </c>
      <c r="Z117" s="251">
        <v>-9.99</v>
      </c>
      <c r="AA117" s="251">
        <v>-9.99</v>
      </c>
      <c r="AB117" s="251">
        <v>-9.99</v>
      </c>
      <c r="AC117" s="251">
        <v>-9.99</v>
      </c>
      <c r="AD117" s="251">
        <v>-9.99</v>
      </c>
      <c r="AE117" s="251">
        <v>-9.99</v>
      </c>
      <c r="AF117" s="251">
        <v>-9.99</v>
      </c>
      <c r="AG117" s="251">
        <v>-9.99</v>
      </c>
      <c r="AH117" s="251">
        <v>-9.99</v>
      </c>
      <c r="AI117" s="251">
        <v>-0.1</v>
      </c>
      <c r="AJ117" s="251">
        <v>-9.99</v>
      </c>
      <c r="AK117" s="544">
        <v>-9.99</v>
      </c>
    </row>
    <row r="118" spans="1:38" ht="12.75" customHeight="1">
      <c r="AL118" s="164"/>
    </row>
    <row r="119" spans="1:38" s="164" customFormat="1" ht="12.75" customHeight="1">
      <c r="A119" s="33" t="str">
        <f ca="1">GetNameRange(B120)</f>
        <v>index_term_buffer_aig</v>
      </c>
      <c r="C119" s="33"/>
      <c r="D119" s="18"/>
      <c r="E119" s="18"/>
      <c r="F119" s="242"/>
      <c r="G119" s="242"/>
      <c r="H119" s="242"/>
      <c r="I119" s="242"/>
      <c r="J119" s="242"/>
      <c r="K119" s="242"/>
      <c r="L119" s="242"/>
      <c r="M119" s="167"/>
      <c r="N119" s="167"/>
      <c r="O119" s="242"/>
      <c r="P119" s="242"/>
      <c r="Q119" s="242"/>
      <c r="R119" s="242"/>
      <c r="S119" s="242"/>
      <c r="T119" s="167"/>
      <c r="U119" s="242"/>
      <c r="V119" s="167"/>
      <c r="W119" s="167"/>
      <c r="X119" s="167"/>
      <c r="Y119" s="167"/>
      <c r="Z119" s="167"/>
      <c r="AA119" s="167"/>
      <c r="AB119" s="167"/>
      <c r="AC119" s="167"/>
      <c r="AD119" s="167"/>
      <c r="AE119" s="167"/>
      <c r="AF119" s="167"/>
      <c r="AG119" s="167"/>
      <c r="AH119" s="242"/>
      <c r="AI119" s="242"/>
      <c r="AJ119" s="242"/>
      <c r="AK119" s="242"/>
    </row>
    <row r="120" spans="1:38" s="164" customFormat="1" ht="12.75" customHeight="1">
      <c r="A120" s="116"/>
      <c r="B120" s="116"/>
      <c r="C120" s="116" t="str">
        <f>C$4</f>
        <v>crediting_type_dyn_aig</v>
      </c>
      <c r="D120" s="116"/>
      <c r="E120" s="116"/>
      <c r="F120" s="106" t="str">
        <f t="shared" ref="F120:O120" si="33">F$4</f>
        <v>FX1Fix</v>
      </c>
      <c r="G120" s="106" t="str">
        <f t="shared" si="33"/>
        <v>SP1Cap</v>
      </c>
      <c r="H120" s="106" t="str">
        <f t="shared" si="33"/>
        <v>ND1B10Cp</v>
      </c>
      <c r="I120" s="106" t="str">
        <f t="shared" si="33"/>
        <v>ND1B10Tri</v>
      </c>
      <c r="J120" s="106" t="str">
        <f t="shared" si="33"/>
        <v>ND1B10DDCp</v>
      </c>
      <c r="K120" s="106" t="str">
        <f t="shared" si="33"/>
        <v>SP1B10Cp</v>
      </c>
      <c r="L120" s="106" t="str">
        <f>L$4</f>
        <v>SP1B10PC</v>
      </c>
      <c r="M120" s="106" t="str">
        <f t="shared" si="33"/>
        <v>SP1B10Tri</v>
      </c>
      <c r="N120" s="106" t="str">
        <f t="shared" si="33"/>
        <v>SP1B10DDCp</v>
      </c>
      <c r="O120" s="106" t="str">
        <f t="shared" si="33"/>
        <v>SP1B20Cp</v>
      </c>
      <c r="P120" s="106" t="str">
        <f t="shared" ref="P120:AK120" si="34">P$4</f>
        <v>SP1F10Cp</v>
      </c>
      <c r="Q120" s="106" t="str">
        <f t="shared" si="34"/>
        <v>SP1B10Pr</v>
      </c>
      <c r="R120" s="106" t="str">
        <f t="shared" si="34"/>
        <v>SP1P50Pr</v>
      </c>
      <c r="S120" s="106" t="str">
        <f t="shared" si="34"/>
        <v>SP6B10Cp</v>
      </c>
      <c r="T120" s="106" t="str">
        <f t="shared" si="34"/>
        <v>SP6B10Pr</v>
      </c>
      <c r="U120" s="106" t="str">
        <f t="shared" si="34"/>
        <v>SP6B10PC</v>
      </c>
      <c r="V120" s="106" t="str">
        <f t="shared" si="34"/>
        <v>SP6B10EPC</v>
      </c>
      <c r="W120" s="106" t="str">
        <f t="shared" si="34"/>
        <v>SP6B20EPC</v>
      </c>
      <c r="X120" s="106" t="str">
        <f t="shared" si="34"/>
        <v>SP6B10DDCp</v>
      </c>
      <c r="Y120" s="106" t="str">
        <f>Y$4</f>
        <v>SP6B20DDCp</v>
      </c>
      <c r="Z120" s="106" t="str">
        <f t="shared" si="34"/>
        <v>SP6B10ScCp</v>
      </c>
      <c r="AA120" s="106" t="str">
        <f t="shared" si="34"/>
        <v>SP6B20DDTriCap</v>
      </c>
      <c r="AB120" s="106" t="str">
        <f t="shared" si="34"/>
        <v>SP3K30DKO</v>
      </c>
      <c r="AC120" s="106" t="str">
        <f t="shared" si="34"/>
        <v>SP3K40DKO</v>
      </c>
      <c r="AD120" s="106" t="str">
        <f t="shared" si="34"/>
        <v>SP3K50DKO</v>
      </c>
      <c r="AE120" s="106" t="str">
        <f t="shared" si="34"/>
        <v>SP6K50DKO</v>
      </c>
      <c r="AF120" s="106" t="str">
        <f t="shared" si="34"/>
        <v>SP6K75DKO</v>
      </c>
      <c r="AG120" s="106" t="str">
        <f t="shared" si="34"/>
        <v>SP6K100DKO</v>
      </c>
      <c r="AH120" s="106" t="str">
        <f t="shared" si="34"/>
        <v>SP6B20Cp</v>
      </c>
      <c r="AI120" s="106" t="str">
        <f t="shared" si="34"/>
        <v>SP610FCp</v>
      </c>
      <c r="AJ120" s="106" t="str">
        <f t="shared" si="34"/>
        <v>SP6B20Pr</v>
      </c>
      <c r="AK120" s="106" t="str">
        <f t="shared" si="34"/>
        <v>SP6P50Pr</v>
      </c>
    </row>
    <row r="121" spans="1:38" s="164" customFormat="1" ht="12.75" customHeight="1">
      <c r="A121" s="355" t="s">
        <v>412</v>
      </c>
      <c r="B121" s="390" t="s">
        <v>163</v>
      </c>
      <c r="C121" s="103" t="s">
        <v>332</v>
      </c>
      <c r="D121" s="300"/>
      <c r="E121" s="300"/>
      <c r="F121" s="90"/>
      <c r="G121" s="90"/>
      <c r="H121" s="90"/>
      <c r="I121" s="90"/>
      <c r="J121" s="90"/>
      <c r="K121" s="90"/>
      <c r="L121" s="90"/>
      <c r="M121" s="90"/>
      <c r="N121" s="90"/>
      <c r="O121" s="90"/>
      <c r="P121" s="90"/>
      <c r="Q121" s="90"/>
      <c r="R121" s="90"/>
      <c r="S121" s="90"/>
      <c r="T121" s="90"/>
      <c r="U121" s="90"/>
      <c r="V121" s="347"/>
      <c r="W121" s="347"/>
      <c r="X121" s="90"/>
      <c r="Y121" s="90"/>
      <c r="Z121" s="90"/>
      <c r="AA121" s="90"/>
      <c r="AB121" s="90"/>
      <c r="AC121" s="90"/>
      <c r="AD121" s="90"/>
      <c r="AE121" s="90"/>
      <c r="AF121" s="90"/>
      <c r="AG121" s="90"/>
      <c r="AH121" s="90"/>
      <c r="AI121" s="90"/>
      <c r="AJ121" s="90"/>
      <c r="AK121" s="90"/>
    </row>
    <row r="122" spans="1:38" s="164" customFormat="1" ht="12.75" hidden="1" customHeight="1">
      <c r="A122" s="118" t="s">
        <v>480</v>
      </c>
      <c r="B122" s="118">
        <v>0</v>
      </c>
      <c r="C122" s="261" t="s">
        <v>636</v>
      </c>
      <c r="D122" s="160"/>
      <c r="E122" s="160"/>
      <c r="F122" s="251">
        <v>0</v>
      </c>
      <c r="G122" s="251">
        <v>0</v>
      </c>
      <c r="H122" s="251">
        <v>0.1</v>
      </c>
      <c r="I122" s="251">
        <v>0.1</v>
      </c>
      <c r="J122" s="251">
        <v>0.1</v>
      </c>
      <c r="K122" s="251">
        <v>0.1</v>
      </c>
      <c r="L122" s="251">
        <v>0.1</v>
      </c>
      <c r="M122" s="251">
        <v>0.1</v>
      </c>
      <c r="N122" s="251">
        <v>0.1</v>
      </c>
      <c r="O122" s="251">
        <v>0.2</v>
      </c>
      <c r="P122" s="251">
        <v>0</v>
      </c>
      <c r="Q122" s="251">
        <v>0.1</v>
      </c>
      <c r="R122" s="251">
        <v>0</v>
      </c>
      <c r="S122" s="251">
        <v>0.1</v>
      </c>
      <c r="T122" s="251">
        <v>0.1</v>
      </c>
      <c r="U122" s="251">
        <v>0.1</v>
      </c>
      <c r="V122" s="251">
        <v>0.1</v>
      </c>
      <c r="W122" s="251">
        <v>0.1</v>
      </c>
      <c r="X122" s="251">
        <v>0.1</v>
      </c>
      <c r="Y122" s="251">
        <v>0.2</v>
      </c>
      <c r="Z122" s="251">
        <v>0.1</v>
      </c>
      <c r="AA122" s="251">
        <v>0.1</v>
      </c>
      <c r="AB122" s="251">
        <v>0.1</v>
      </c>
      <c r="AC122" s="251">
        <v>0.1</v>
      </c>
      <c r="AD122" s="251">
        <v>0.1</v>
      </c>
      <c r="AE122" s="251">
        <v>0.1</v>
      </c>
      <c r="AF122" s="251">
        <v>0.1</v>
      </c>
      <c r="AG122" s="251">
        <v>0.1</v>
      </c>
      <c r="AH122" s="597">
        <v>0.2</v>
      </c>
      <c r="AI122" s="251">
        <v>0.1</v>
      </c>
      <c r="AJ122" s="597">
        <v>0.2</v>
      </c>
      <c r="AK122" s="251">
        <v>0.1</v>
      </c>
    </row>
    <row r="123" spans="1:38" s="164" customFormat="1" ht="12.75" hidden="1" customHeight="1">
      <c r="A123" s="118" t="s">
        <v>480</v>
      </c>
      <c r="B123" s="118">
        <v>11</v>
      </c>
      <c r="C123" s="261" t="s">
        <v>636</v>
      </c>
      <c r="D123" s="160"/>
      <c r="E123" s="160"/>
      <c r="F123" s="251">
        <v>0</v>
      </c>
      <c r="G123" s="251">
        <v>0</v>
      </c>
      <c r="H123" s="251">
        <v>0.1</v>
      </c>
      <c r="I123" s="251">
        <v>0.1</v>
      </c>
      <c r="J123" s="251">
        <v>0.1</v>
      </c>
      <c r="K123" s="251">
        <v>0.1</v>
      </c>
      <c r="L123" s="251">
        <v>0.1</v>
      </c>
      <c r="M123" s="251">
        <v>0.1</v>
      </c>
      <c r="N123" s="251">
        <v>0.1</v>
      </c>
      <c r="O123" s="251">
        <v>0.2</v>
      </c>
      <c r="P123" s="251">
        <v>0</v>
      </c>
      <c r="Q123" s="251">
        <v>0.1</v>
      </c>
      <c r="R123" s="251">
        <v>0</v>
      </c>
      <c r="S123" s="251">
        <v>0.1</v>
      </c>
      <c r="T123" s="251">
        <v>0.1</v>
      </c>
      <c r="U123" s="251">
        <v>0.1</v>
      </c>
      <c r="V123" s="251">
        <v>0.1</v>
      </c>
      <c r="W123" s="251">
        <v>0.1</v>
      </c>
      <c r="X123" s="251">
        <v>0.1</v>
      </c>
      <c r="Y123" s="251">
        <v>0.2</v>
      </c>
      <c r="Z123" s="251">
        <v>0.1</v>
      </c>
      <c r="AA123" s="251">
        <v>0.1</v>
      </c>
      <c r="AB123" s="251">
        <v>0.1</v>
      </c>
      <c r="AC123" s="251">
        <v>0.1</v>
      </c>
      <c r="AD123" s="251">
        <v>0.1</v>
      </c>
      <c r="AE123" s="251">
        <v>0.1</v>
      </c>
      <c r="AF123" s="251">
        <v>0.1</v>
      </c>
      <c r="AG123" s="251">
        <v>0.1</v>
      </c>
      <c r="AH123" s="597">
        <v>0.2</v>
      </c>
      <c r="AI123" s="251">
        <v>0.1</v>
      </c>
      <c r="AJ123" s="597">
        <v>0.2</v>
      </c>
      <c r="AK123" s="251">
        <v>0.1</v>
      </c>
    </row>
    <row r="124" spans="1:38" s="164" customFormat="1" ht="12.75" customHeight="1">
      <c r="A124" s="118" t="s">
        <v>389</v>
      </c>
      <c r="B124" s="118">
        <v>0</v>
      </c>
      <c r="C124" s="261" t="s">
        <v>636</v>
      </c>
      <c r="D124" s="160"/>
      <c r="E124" s="160"/>
      <c r="F124" s="251">
        <v>0</v>
      </c>
      <c r="G124" s="251">
        <v>0</v>
      </c>
      <c r="H124" s="251">
        <v>0.1</v>
      </c>
      <c r="I124" s="251">
        <v>0.1</v>
      </c>
      <c r="J124" s="251">
        <v>0.1</v>
      </c>
      <c r="K124" s="251">
        <v>0.1</v>
      </c>
      <c r="L124" s="251">
        <v>0.1</v>
      </c>
      <c r="M124" s="251">
        <v>0.1</v>
      </c>
      <c r="N124" s="251">
        <v>0.1</v>
      </c>
      <c r="O124" s="251">
        <v>0.2</v>
      </c>
      <c r="P124" s="251">
        <v>0</v>
      </c>
      <c r="Q124" s="251">
        <v>0.1</v>
      </c>
      <c r="R124" s="251">
        <v>0</v>
      </c>
      <c r="S124" s="251">
        <v>0.1</v>
      </c>
      <c r="T124" s="251">
        <v>0.1</v>
      </c>
      <c r="U124" s="251">
        <v>0.1</v>
      </c>
      <c r="V124" s="251">
        <v>0.1</v>
      </c>
      <c r="W124" s="251">
        <v>0.2</v>
      </c>
      <c r="X124" s="251">
        <v>0.1</v>
      </c>
      <c r="Y124" s="251">
        <v>0.2</v>
      </c>
      <c r="Z124" s="251">
        <v>0.1</v>
      </c>
      <c r="AA124" s="251">
        <v>0.2</v>
      </c>
      <c r="AB124" s="251">
        <v>0.1</v>
      </c>
      <c r="AC124" s="251">
        <v>0.1</v>
      </c>
      <c r="AD124" s="251">
        <v>0.1</v>
      </c>
      <c r="AE124" s="251">
        <v>0.1</v>
      </c>
      <c r="AF124" s="251">
        <v>0.1</v>
      </c>
      <c r="AG124" s="251">
        <v>0.1</v>
      </c>
      <c r="AH124" s="597">
        <v>0.2</v>
      </c>
      <c r="AI124" s="251">
        <v>0.1</v>
      </c>
      <c r="AJ124" s="597">
        <v>0.2</v>
      </c>
      <c r="AK124" s="251">
        <v>0.1</v>
      </c>
    </row>
    <row r="125" spans="1:38" s="164" customFormat="1" ht="12.75" customHeight="1">
      <c r="A125" s="118" t="s">
        <v>389</v>
      </c>
      <c r="B125" s="118">
        <v>11</v>
      </c>
      <c r="C125" s="261" t="s">
        <v>636</v>
      </c>
      <c r="D125" s="160"/>
      <c r="E125" s="160"/>
      <c r="F125" s="251">
        <v>0</v>
      </c>
      <c r="G125" s="251">
        <v>0</v>
      </c>
      <c r="H125" s="251">
        <v>0.1</v>
      </c>
      <c r="I125" s="251">
        <v>0.1</v>
      </c>
      <c r="J125" s="251">
        <v>0.1</v>
      </c>
      <c r="K125" s="251">
        <v>0.1</v>
      </c>
      <c r="L125" s="251">
        <v>0.1</v>
      </c>
      <c r="M125" s="251">
        <v>0.1</v>
      </c>
      <c r="N125" s="251">
        <v>0.1</v>
      </c>
      <c r="O125" s="251">
        <v>0.2</v>
      </c>
      <c r="P125" s="251">
        <v>0</v>
      </c>
      <c r="Q125" s="251">
        <v>0.1</v>
      </c>
      <c r="R125" s="251">
        <v>0</v>
      </c>
      <c r="S125" s="251">
        <v>0.1</v>
      </c>
      <c r="T125" s="251">
        <v>0.1</v>
      </c>
      <c r="U125" s="251">
        <v>0.1</v>
      </c>
      <c r="V125" s="251">
        <v>0.1</v>
      </c>
      <c r="W125" s="251">
        <v>0.2</v>
      </c>
      <c r="X125" s="251">
        <v>0.1</v>
      </c>
      <c r="Y125" s="251">
        <v>0.2</v>
      </c>
      <c r="Z125" s="251">
        <v>0.1</v>
      </c>
      <c r="AA125" s="251">
        <v>0.2</v>
      </c>
      <c r="AB125" s="251">
        <v>0.1</v>
      </c>
      <c r="AC125" s="251">
        <v>0.1</v>
      </c>
      <c r="AD125" s="251">
        <v>0.1</v>
      </c>
      <c r="AE125" s="251">
        <v>0.1</v>
      </c>
      <c r="AF125" s="251">
        <v>0.1</v>
      </c>
      <c r="AG125" s="251">
        <v>0.1</v>
      </c>
      <c r="AH125" s="597">
        <v>0.2</v>
      </c>
      <c r="AI125" s="251">
        <v>0.1</v>
      </c>
      <c r="AJ125" s="597">
        <v>0.2</v>
      </c>
      <c r="AK125" s="251">
        <v>0.1</v>
      </c>
    </row>
    <row r="126" spans="1:38" s="164" customFormat="1" ht="12.75" customHeight="1">
      <c r="A126" s="118" t="s">
        <v>389</v>
      </c>
      <c r="B126" s="118">
        <v>21</v>
      </c>
      <c r="C126" s="261" t="s">
        <v>636</v>
      </c>
      <c r="D126" s="160"/>
      <c r="E126" s="160"/>
      <c r="F126" s="251">
        <v>0</v>
      </c>
      <c r="G126" s="251">
        <v>0</v>
      </c>
      <c r="H126" s="251">
        <v>0.1</v>
      </c>
      <c r="I126" s="251">
        <v>0.1</v>
      </c>
      <c r="J126" s="251">
        <v>0.1</v>
      </c>
      <c r="K126" s="251">
        <v>0.1</v>
      </c>
      <c r="L126" s="251">
        <v>0.1</v>
      </c>
      <c r="M126" s="251">
        <v>0.1</v>
      </c>
      <c r="N126" s="251">
        <v>0.1</v>
      </c>
      <c r="O126" s="251">
        <v>0.2</v>
      </c>
      <c r="P126" s="251">
        <v>0</v>
      </c>
      <c r="Q126" s="251">
        <v>0.1</v>
      </c>
      <c r="R126" s="251">
        <v>0</v>
      </c>
      <c r="S126" s="251">
        <v>0.1</v>
      </c>
      <c r="T126" s="251">
        <v>0.1</v>
      </c>
      <c r="U126" s="251">
        <v>0.1</v>
      </c>
      <c r="V126" s="251">
        <v>0.1</v>
      </c>
      <c r="W126" s="251">
        <v>0.2</v>
      </c>
      <c r="X126" s="251">
        <v>0.1</v>
      </c>
      <c r="Y126" s="251">
        <v>0.2</v>
      </c>
      <c r="Z126" s="251">
        <v>0.1</v>
      </c>
      <c r="AA126" s="251">
        <v>0.2</v>
      </c>
      <c r="AB126" s="251">
        <v>0.1</v>
      </c>
      <c r="AC126" s="251">
        <v>0.1</v>
      </c>
      <c r="AD126" s="251">
        <v>0.1</v>
      </c>
      <c r="AE126" s="251">
        <v>0.1</v>
      </c>
      <c r="AF126" s="251">
        <v>0.1</v>
      </c>
      <c r="AG126" s="251">
        <v>0.1</v>
      </c>
      <c r="AH126" s="597">
        <v>0.2</v>
      </c>
      <c r="AI126" s="251">
        <v>0.1</v>
      </c>
      <c r="AJ126" s="597">
        <v>0.2</v>
      </c>
      <c r="AK126" s="251">
        <v>0.1</v>
      </c>
    </row>
    <row r="127" spans="1:38" s="164" customFormat="1" ht="12.75" customHeight="1">
      <c r="F127" s="167"/>
      <c r="G127" s="167"/>
      <c r="H127" s="167"/>
      <c r="I127" s="167"/>
      <c r="J127" s="167"/>
      <c r="K127" s="167"/>
      <c r="L127" s="167"/>
      <c r="M127" s="251"/>
      <c r="N127" s="251"/>
      <c r="O127" s="167"/>
      <c r="P127" s="167"/>
      <c r="Q127" s="167"/>
      <c r="R127" s="167"/>
      <c r="S127" s="167"/>
      <c r="T127" s="251"/>
      <c r="U127" s="167"/>
      <c r="V127" s="167"/>
      <c r="W127" s="167"/>
      <c r="X127" s="251"/>
      <c r="Y127" s="251"/>
      <c r="Z127" s="251"/>
      <c r="AA127" s="251"/>
      <c r="AB127" s="251"/>
      <c r="AC127" s="251"/>
      <c r="AD127" s="251"/>
      <c r="AE127" s="251"/>
      <c r="AF127" s="251"/>
      <c r="AG127" s="251"/>
      <c r="AH127" s="167"/>
      <c r="AI127" s="167"/>
      <c r="AJ127" s="167"/>
      <c r="AK127" s="167"/>
    </row>
    <row r="128" spans="1:38" ht="12.75" customHeight="1">
      <c r="B128" s="508"/>
      <c r="M128" s="251"/>
      <c r="N128" s="251"/>
      <c r="T128" s="251"/>
      <c r="X128" s="251"/>
      <c r="Y128" s="251"/>
      <c r="Z128" s="251"/>
      <c r="AA128" s="251"/>
      <c r="AB128" s="251"/>
      <c r="AC128" s="251"/>
      <c r="AD128" s="251"/>
      <c r="AE128" s="251"/>
      <c r="AF128" s="251"/>
      <c r="AG128" s="251"/>
      <c r="AL128" s="164"/>
    </row>
    <row r="129" spans="1:38" s="164" customFormat="1" ht="12.75" customHeight="1">
      <c r="A129" s="33" t="str">
        <f ca="1">GetNameRange(C130)</f>
        <v>crediting_rate_min_table_aig</v>
      </c>
      <c r="C129" s="509" t="s">
        <v>635</v>
      </c>
      <c r="D129" s="184"/>
      <c r="E129" s="184"/>
      <c r="F129" s="252"/>
      <c r="G129" s="252"/>
      <c r="H129" s="252"/>
      <c r="I129" s="252"/>
      <c r="J129" s="252"/>
      <c r="K129" s="252"/>
      <c r="L129" s="252"/>
      <c r="M129" s="251"/>
      <c r="N129" s="251"/>
      <c r="O129" s="252"/>
      <c r="P129" s="252"/>
      <c r="Q129" s="252"/>
      <c r="R129" s="252"/>
      <c r="S129" s="252"/>
      <c r="T129" s="251"/>
      <c r="U129" s="252"/>
      <c r="V129" s="537"/>
      <c r="W129" s="537"/>
      <c r="X129" s="251"/>
      <c r="Y129" s="251"/>
      <c r="Z129" s="251"/>
      <c r="AA129" s="251"/>
      <c r="AB129" s="251"/>
      <c r="AC129" s="251"/>
      <c r="AD129" s="251"/>
      <c r="AE129" s="251"/>
      <c r="AF129" s="251"/>
      <c r="AG129" s="251"/>
      <c r="AH129" s="252"/>
      <c r="AI129" s="252"/>
      <c r="AJ129" s="252"/>
      <c r="AK129" s="252"/>
    </row>
    <row r="130" spans="1:38" s="186" customFormat="1" ht="12.75" customHeight="1">
      <c r="A130" s="185"/>
      <c r="B130" s="116"/>
      <c r="C130" s="116" t="str">
        <f>C$4</f>
        <v>crediting_type_dyn_aig</v>
      </c>
      <c r="D130" s="276" t="str">
        <f>D$4</f>
        <v>Value</v>
      </c>
      <c r="E130" s="250"/>
      <c r="F130" s="276" t="str">
        <f t="shared" ref="F130:G130" si="35">F$4</f>
        <v>FX1Fix</v>
      </c>
      <c r="G130" s="276" t="str">
        <f t="shared" si="35"/>
        <v>SP1Cap</v>
      </c>
      <c r="H130" s="106" t="str">
        <f>H$4</f>
        <v>ND1B10Cp</v>
      </c>
      <c r="I130" s="106" t="str">
        <f>I$4</f>
        <v>ND1B10Tri</v>
      </c>
      <c r="J130" s="106" t="str">
        <f>J$4</f>
        <v>ND1B10DDCp</v>
      </c>
      <c r="K130" s="106" t="str">
        <f>K$4</f>
        <v>SP1B10Cp</v>
      </c>
      <c r="L130" s="106" t="str">
        <f>L$4</f>
        <v>SP1B10PC</v>
      </c>
      <c r="M130" s="106" t="str">
        <f t="shared" ref="M130:N130" si="36">M$4</f>
        <v>SP1B10Tri</v>
      </c>
      <c r="N130" s="106" t="str">
        <f t="shared" si="36"/>
        <v>SP1B10DDCp</v>
      </c>
      <c r="O130" s="106" t="str">
        <f>O$4</f>
        <v>SP1B20Cp</v>
      </c>
      <c r="P130" s="106" t="str">
        <f t="shared" ref="P130:AK130" si="37">P$4</f>
        <v>SP1F10Cp</v>
      </c>
      <c r="Q130" s="106" t="str">
        <f t="shared" si="37"/>
        <v>SP1B10Pr</v>
      </c>
      <c r="R130" s="106" t="str">
        <f t="shared" si="37"/>
        <v>SP1P50Pr</v>
      </c>
      <c r="S130" s="106" t="str">
        <f t="shared" si="37"/>
        <v>SP6B10Cp</v>
      </c>
      <c r="T130" s="106" t="str">
        <f t="shared" si="37"/>
        <v>SP6B10Pr</v>
      </c>
      <c r="U130" s="106" t="str">
        <f t="shared" si="37"/>
        <v>SP6B10PC</v>
      </c>
      <c r="V130" s="106" t="str">
        <f t="shared" si="37"/>
        <v>SP6B10EPC</v>
      </c>
      <c r="W130" s="106" t="str">
        <f t="shared" si="37"/>
        <v>SP6B20EPC</v>
      </c>
      <c r="X130" s="106" t="str">
        <f t="shared" si="37"/>
        <v>SP6B10DDCp</v>
      </c>
      <c r="Y130" s="106" t="str">
        <f>Y$4</f>
        <v>SP6B20DDCp</v>
      </c>
      <c r="Z130" s="106" t="str">
        <f t="shared" si="37"/>
        <v>SP6B10ScCp</v>
      </c>
      <c r="AA130" s="106" t="str">
        <f t="shared" si="37"/>
        <v>SP6B20DDTriCap</v>
      </c>
      <c r="AB130" s="106" t="str">
        <f t="shared" si="37"/>
        <v>SP3K30DKO</v>
      </c>
      <c r="AC130" s="106" t="str">
        <f t="shared" si="37"/>
        <v>SP3K40DKO</v>
      </c>
      <c r="AD130" s="106" t="str">
        <f t="shared" si="37"/>
        <v>SP3K50DKO</v>
      </c>
      <c r="AE130" s="106" t="str">
        <f t="shared" si="37"/>
        <v>SP6K50DKO</v>
      </c>
      <c r="AF130" s="106" t="str">
        <f t="shared" si="37"/>
        <v>SP6K75DKO</v>
      </c>
      <c r="AG130" s="106" t="str">
        <f t="shared" si="37"/>
        <v>SP6K100DKO</v>
      </c>
      <c r="AH130" s="106" t="str">
        <f t="shared" si="37"/>
        <v>SP6B20Cp</v>
      </c>
      <c r="AI130" s="106" t="str">
        <f t="shared" si="37"/>
        <v>SP610FCp</v>
      </c>
      <c r="AJ130" s="106" t="str">
        <f t="shared" si="37"/>
        <v>SP6B20Pr</v>
      </c>
      <c r="AK130" s="106" t="str">
        <f t="shared" si="37"/>
        <v>SP6P50Pr</v>
      </c>
      <c r="AL130" s="164"/>
    </row>
    <row r="131" spans="1:38" s="164" customFormat="1" ht="23.5" customHeight="1">
      <c r="A131" s="117" t="s">
        <v>332</v>
      </c>
      <c r="B131" s="391" t="s">
        <v>349</v>
      </c>
      <c r="C131" s="103" t="s">
        <v>472</v>
      </c>
      <c r="D131" s="300"/>
      <c r="E131" s="300"/>
      <c r="F131" s="90"/>
      <c r="G131" s="90"/>
      <c r="H131" s="90"/>
      <c r="I131" s="90"/>
      <c r="J131" s="90"/>
      <c r="K131" s="90"/>
      <c r="L131" s="90"/>
      <c r="M131" s="90"/>
      <c r="N131" s="90"/>
      <c r="O131" s="90"/>
      <c r="P131" s="90"/>
      <c r="Q131" s="90"/>
      <c r="R131" s="90"/>
      <c r="S131" s="90"/>
      <c r="T131" s="90"/>
      <c r="U131" s="90"/>
      <c r="V131" s="347"/>
      <c r="W131" s="347"/>
      <c r="X131" s="90"/>
      <c r="Y131" s="90"/>
      <c r="Z131" s="90"/>
      <c r="AA131" s="90"/>
      <c r="AB131" s="90"/>
      <c r="AC131" s="90"/>
      <c r="AD131" s="90"/>
      <c r="AE131" s="90"/>
      <c r="AF131" s="90"/>
      <c r="AG131" s="90"/>
      <c r="AH131" s="90"/>
      <c r="AI131" s="90"/>
      <c r="AJ131" s="90"/>
      <c r="AK131" s="90"/>
    </row>
    <row r="132" spans="1:38" s="164" customFormat="1" ht="12.75" customHeight="1">
      <c r="A132" s="261" t="s">
        <v>636</v>
      </c>
      <c r="B132" s="118">
        <v>0</v>
      </c>
      <c r="C132" s="261">
        <v>5</v>
      </c>
      <c r="D132" s="160"/>
      <c r="E132" s="160"/>
      <c r="F132" s="545" t="s">
        <v>337</v>
      </c>
      <c r="G132" s="258" t="s">
        <v>350</v>
      </c>
      <c r="H132" s="258" t="s">
        <v>350</v>
      </c>
      <c r="I132" s="258" t="s">
        <v>350</v>
      </c>
      <c r="J132" s="258" t="s">
        <v>350</v>
      </c>
      <c r="K132" s="258" t="s">
        <v>350</v>
      </c>
      <c r="L132" s="258" t="s">
        <v>350</v>
      </c>
      <c r="M132" s="258" t="s">
        <v>350</v>
      </c>
      <c r="N132" s="258" t="s">
        <v>350</v>
      </c>
      <c r="O132" s="258" t="s">
        <v>350</v>
      </c>
      <c r="P132" s="258" t="s">
        <v>350</v>
      </c>
      <c r="Q132" s="258" t="s">
        <v>350</v>
      </c>
      <c r="R132" s="258" t="s">
        <v>350</v>
      </c>
      <c r="S132" s="258" t="s">
        <v>350</v>
      </c>
      <c r="T132" s="258" t="s">
        <v>350</v>
      </c>
      <c r="U132" s="258" t="s">
        <v>350</v>
      </c>
      <c r="V132" s="258" t="s">
        <v>350</v>
      </c>
      <c r="W132" s="258" t="s">
        <v>350</v>
      </c>
      <c r="X132" s="258" t="s">
        <v>350</v>
      </c>
      <c r="Y132" s="258" t="s">
        <v>350</v>
      </c>
      <c r="Z132" s="258" t="s">
        <v>350</v>
      </c>
      <c r="AA132" s="258" t="s">
        <v>350</v>
      </c>
      <c r="AB132" s="258" t="s">
        <v>350</v>
      </c>
      <c r="AC132" s="258" t="s">
        <v>350</v>
      </c>
      <c r="AD132" s="258" t="s">
        <v>350</v>
      </c>
      <c r="AE132" s="258" t="s">
        <v>350</v>
      </c>
      <c r="AF132" s="258" t="s">
        <v>350</v>
      </c>
      <c r="AG132" s="258" t="s">
        <v>350</v>
      </c>
      <c r="AH132" s="258" t="s">
        <v>350</v>
      </c>
      <c r="AI132" s="258" t="s">
        <v>350</v>
      </c>
      <c r="AJ132" s="258" t="s">
        <v>350</v>
      </c>
      <c r="AK132" s="258" t="s">
        <v>350</v>
      </c>
    </row>
    <row r="133" spans="1:38" s="164" customFormat="1" ht="12.75" customHeight="1">
      <c r="A133" s="261" t="s">
        <v>636</v>
      </c>
      <c r="B133" s="118">
        <v>0</v>
      </c>
      <c r="C133" s="261">
        <v>6</v>
      </c>
      <c r="D133" s="160"/>
      <c r="E133" s="160"/>
      <c r="F133" s="545" t="s">
        <v>337</v>
      </c>
      <c r="G133" s="258" t="s">
        <v>350</v>
      </c>
      <c r="H133" s="258" t="s">
        <v>350</v>
      </c>
      <c r="I133" s="258" t="s">
        <v>350</v>
      </c>
      <c r="J133" s="258" t="s">
        <v>350</v>
      </c>
      <c r="K133" s="258" t="s">
        <v>350</v>
      </c>
      <c r="L133" s="258" t="s">
        <v>350</v>
      </c>
      <c r="M133" s="258" t="s">
        <v>350</v>
      </c>
      <c r="N133" s="258" t="s">
        <v>350</v>
      </c>
      <c r="O133" s="258" t="s">
        <v>350</v>
      </c>
      <c r="P133" s="258" t="s">
        <v>350</v>
      </c>
      <c r="Q133" s="258" t="s">
        <v>350</v>
      </c>
      <c r="R133" s="258" t="s">
        <v>350</v>
      </c>
      <c r="S133" s="258" t="s">
        <v>350</v>
      </c>
      <c r="T133" s="258" t="s">
        <v>350</v>
      </c>
      <c r="U133" s="258" t="s">
        <v>350</v>
      </c>
      <c r="V133" s="258" t="s">
        <v>350</v>
      </c>
      <c r="W133" s="258" t="s">
        <v>350</v>
      </c>
      <c r="X133" s="258" t="s">
        <v>350</v>
      </c>
      <c r="Y133" s="258" t="s">
        <v>350</v>
      </c>
      <c r="Z133" s="258" t="s">
        <v>350</v>
      </c>
      <c r="AA133" s="258" t="s">
        <v>350</v>
      </c>
      <c r="AB133" s="258" t="s">
        <v>350</v>
      </c>
      <c r="AC133" s="258" t="s">
        <v>350</v>
      </c>
      <c r="AD133" s="258" t="s">
        <v>350</v>
      </c>
      <c r="AE133" s="258" t="s">
        <v>350</v>
      </c>
      <c r="AF133" s="258" t="s">
        <v>350</v>
      </c>
      <c r="AG133" s="258" t="s">
        <v>350</v>
      </c>
      <c r="AH133" s="258" t="s">
        <v>350</v>
      </c>
      <c r="AI133" s="258" t="s">
        <v>350</v>
      </c>
      <c r="AJ133" s="258" t="s">
        <v>350</v>
      </c>
      <c r="AK133" s="258" t="s">
        <v>350</v>
      </c>
    </row>
    <row r="134" spans="1:38" s="164" customFormat="1" ht="12.75" customHeight="1">
      <c r="A134" s="261" t="s">
        <v>636</v>
      </c>
      <c r="B134" s="118">
        <v>0</v>
      </c>
      <c r="C134" s="261">
        <v>7</v>
      </c>
      <c r="D134" s="160"/>
      <c r="E134" s="160"/>
      <c r="F134" s="545" t="s">
        <v>337</v>
      </c>
      <c r="G134" s="258" t="s">
        <v>350</v>
      </c>
      <c r="H134" s="258" t="s">
        <v>350</v>
      </c>
      <c r="I134" s="258" t="s">
        <v>350</v>
      </c>
      <c r="J134" s="258" t="s">
        <v>350</v>
      </c>
      <c r="K134" s="258" t="s">
        <v>350</v>
      </c>
      <c r="L134" s="258" t="s">
        <v>350</v>
      </c>
      <c r="M134" s="258" t="s">
        <v>350</v>
      </c>
      <c r="N134" s="258" t="s">
        <v>350</v>
      </c>
      <c r="O134" s="258" t="s">
        <v>350</v>
      </c>
      <c r="P134" s="258" t="s">
        <v>350</v>
      </c>
      <c r="Q134" s="258" t="s">
        <v>350</v>
      </c>
      <c r="R134" s="258" t="s">
        <v>350</v>
      </c>
      <c r="S134" s="258" t="s">
        <v>350</v>
      </c>
      <c r="T134" s="258" t="s">
        <v>350</v>
      </c>
      <c r="U134" s="258" t="s">
        <v>350</v>
      </c>
      <c r="V134" s="258" t="s">
        <v>350</v>
      </c>
      <c r="W134" s="258" t="s">
        <v>350</v>
      </c>
      <c r="X134" s="258" t="s">
        <v>350</v>
      </c>
      <c r="Y134" s="258" t="s">
        <v>350</v>
      </c>
      <c r="Z134" s="258" t="s">
        <v>350</v>
      </c>
      <c r="AA134" s="258" t="s">
        <v>350</v>
      </c>
      <c r="AB134" s="258" t="s">
        <v>350</v>
      </c>
      <c r="AC134" s="258" t="s">
        <v>350</v>
      </c>
      <c r="AD134" s="258" t="s">
        <v>350</v>
      </c>
      <c r="AE134" s="258" t="s">
        <v>350</v>
      </c>
      <c r="AF134" s="258" t="s">
        <v>350</v>
      </c>
      <c r="AG134" s="258" t="s">
        <v>350</v>
      </c>
      <c r="AH134" s="258" t="s">
        <v>350</v>
      </c>
      <c r="AI134" s="258" t="s">
        <v>350</v>
      </c>
      <c r="AJ134" s="258" t="s">
        <v>350</v>
      </c>
      <c r="AK134" s="258" t="s">
        <v>350</v>
      </c>
    </row>
    <row r="135" spans="1:38" s="164" customFormat="1" ht="12.75" customHeight="1">
      <c r="A135" s="261" t="s">
        <v>636</v>
      </c>
      <c r="B135" s="118">
        <v>0</v>
      </c>
      <c r="C135" s="261">
        <v>8</v>
      </c>
      <c r="D135" s="160"/>
      <c r="E135" s="160"/>
      <c r="F135" s="545" t="s">
        <v>337</v>
      </c>
      <c r="G135" s="258" t="s">
        <v>350</v>
      </c>
      <c r="H135" s="258" t="s">
        <v>350</v>
      </c>
      <c r="I135" s="258" t="s">
        <v>350</v>
      </c>
      <c r="J135" s="258" t="s">
        <v>350</v>
      </c>
      <c r="K135" s="258" t="s">
        <v>350</v>
      </c>
      <c r="L135" s="258" t="s">
        <v>350</v>
      </c>
      <c r="M135" s="258" t="s">
        <v>350</v>
      </c>
      <c r="N135" s="258" t="s">
        <v>350</v>
      </c>
      <c r="O135" s="258" t="s">
        <v>350</v>
      </c>
      <c r="P135" s="258" t="s">
        <v>350</v>
      </c>
      <c r="Q135" s="258" t="s">
        <v>350</v>
      </c>
      <c r="R135" s="258" t="s">
        <v>350</v>
      </c>
      <c r="S135" s="258" t="s">
        <v>350</v>
      </c>
      <c r="T135" s="258" t="s">
        <v>350</v>
      </c>
      <c r="U135" s="258" t="s">
        <v>350</v>
      </c>
      <c r="V135" s="258" t="s">
        <v>350</v>
      </c>
      <c r="W135" s="258" t="s">
        <v>350</v>
      </c>
      <c r="X135" s="258" t="s">
        <v>350</v>
      </c>
      <c r="Y135" s="258" t="s">
        <v>350</v>
      </c>
      <c r="Z135" s="258" t="s">
        <v>350</v>
      </c>
      <c r="AA135" s="258" t="s">
        <v>350</v>
      </c>
      <c r="AB135" s="258" t="s">
        <v>350</v>
      </c>
      <c r="AC135" s="258" t="s">
        <v>350</v>
      </c>
      <c r="AD135" s="258" t="s">
        <v>350</v>
      </c>
      <c r="AE135" s="258" t="s">
        <v>350</v>
      </c>
      <c r="AF135" s="258" t="s">
        <v>350</v>
      </c>
      <c r="AG135" s="258" t="s">
        <v>350</v>
      </c>
      <c r="AH135" s="258" t="s">
        <v>350</v>
      </c>
      <c r="AI135" s="258" t="s">
        <v>350</v>
      </c>
      <c r="AJ135" s="258" t="s">
        <v>350</v>
      </c>
      <c r="AK135" s="258" t="s">
        <v>350</v>
      </c>
    </row>
    <row r="136" spans="1:38" s="164" customFormat="1" ht="12.75" customHeight="1">
      <c r="A136" s="261" t="s">
        <v>636</v>
      </c>
      <c r="B136" s="118">
        <v>0</v>
      </c>
      <c r="C136" s="261">
        <v>10</v>
      </c>
      <c r="D136" s="160"/>
      <c r="E136" s="160"/>
      <c r="F136" s="545" t="s">
        <v>337</v>
      </c>
      <c r="G136" s="258" t="s">
        <v>350</v>
      </c>
      <c r="H136" s="258" t="s">
        <v>350</v>
      </c>
      <c r="I136" s="258" t="s">
        <v>350</v>
      </c>
      <c r="J136" s="258" t="s">
        <v>350</v>
      </c>
      <c r="K136" s="258" t="s">
        <v>350</v>
      </c>
      <c r="L136" s="258" t="s">
        <v>350</v>
      </c>
      <c r="M136" s="258" t="s">
        <v>350</v>
      </c>
      <c r="N136" s="258" t="s">
        <v>350</v>
      </c>
      <c r="O136" s="258" t="s">
        <v>350</v>
      </c>
      <c r="P136" s="258" t="s">
        <v>350</v>
      </c>
      <c r="Q136" s="258" t="s">
        <v>350</v>
      </c>
      <c r="R136" s="258" t="s">
        <v>350</v>
      </c>
      <c r="S136" s="258" t="s">
        <v>350</v>
      </c>
      <c r="T136" s="258" t="s">
        <v>350</v>
      </c>
      <c r="U136" s="258" t="s">
        <v>350</v>
      </c>
      <c r="V136" s="258" t="s">
        <v>350</v>
      </c>
      <c r="W136" s="258" t="s">
        <v>350</v>
      </c>
      <c r="X136" s="258" t="s">
        <v>350</v>
      </c>
      <c r="Y136" s="258" t="s">
        <v>350</v>
      </c>
      <c r="Z136" s="258" t="s">
        <v>350</v>
      </c>
      <c r="AA136" s="258" t="s">
        <v>350</v>
      </c>
      <c r="AB136" s="258" t="s">
        <v>350</v>
      </c>
      <c r="AC136" s="258" t="s">
        <v>350</v>
      </c>
      <c r="AD136" s="258" t="s">
        <v>350</v>
      </c>
      <c r="AE136" s="258" t="s">
        <v>350</v>
      </c>
      <c r="AF136" s="258" t="s">
        <v>350</v>
      </c>
      <c r="AG136" s="258" t="s">
        <v>350</v>
      </c>
      <c r="AH136" s="258" t="s">
        <v>350</v>
      </c>
      <c r="AI136" s="258" t="s">
        <v>350</v>
      </c>
      <c r="AJ136" s="258" t="s">
        <v>350</v>
      </c>
      <c r="AK136" s="258" t="s">
        <v>350</v>
      </c>
    </row>
    <row r="137" spans="1:38" s="164" customFormat="1" ht="12.75" customHeight="1">
      <c r="A137" s="261" t="s">
        <v>636</v>
      </c>
      <c r="B137" s="118">
        <v>1</v>
      </c>
      <c r="C137" s="261">
        <v>5</v>
      </c>
      <c r="D137" s="160"/>
      <c r="E137" s="160"/>
      <c r="F137" s="545" t="s">
        <v>337</v>
      </c>
      <c r="G137" s="258" t="s">
        <v>350</v>
      </c>
      <c r="H137" s="258" t="s">
        <v>350</v>
      </c>
      <c r="I137" s="258" t="s">
        <v>350</v>
      </c>
      <c r="J137" s="258" t="s">
        <v>350</v>
      </c>
      <c r="K137" s="258" t="s">
        <v>350</v>
      </c>
      <c r="L137" s="258" t="s">
        <v>350</v>
      </c>
      <c r="M137" s="258" t="s">
        <v>350</v>
      </c>
      <c r="N137" s="258" t="s">
        <v>350</v>
      </c>
      <c r="O137" s="258" t="s">
        <v>350</v>
      </c>
      <c r="P137" s="258" t="s">
        <v>350</v>
      </c>
      <c r="Q137" s="258" t="s">
        <v>350</v>
      </c>
      <c r="R137" s="258" t="s">
        <v>350</v>
      </c>
      <c r="S137" s="258" t="s">
        <v>350</v>
      </c>
      <c r="T137" s="258" t="s">
        <v>350</v>
      </c>
      <c r="U137" s="258" t="s">
        <v>350</v>
      </c>
      <c r="V137" s="258" t="s">
        <v>350</v>
      </c>
      <c r="W137" s="258" t="s">
        <v>350</v>
      </c>
      <c r="X137" s="258" t="s">
        <v>350</v>
      </c>
      <c r="Y137" s="258" t="s">
        <v>350</v>
      </c>
      <c r="Z137" s="258" t="s">
        <v>350</v>
      </c>
      <c r="AA137" s="258" t="s">
        <v>350</v>
      </c>
      <c r="AB137" s="258" t="s">
        <v>350</v>
      </c>
      <c r="AC137" s="258" t="s">
        <v>350</v>
      </c>
      <c r="AD137" s="258" t="s">
        <v>350</v>
      </c>
      <c r="AE137" s="258" t="s">
        <v>350</v>
      </c>
      <c r="AF137" s="258" t="s">
        <v>350</v>
      </c>
      <c r="AG137" s="258" t="s">
        <v>350</v>
      </c>
      <c r="AH137" s="258" t="s">
        <v>350</v>
      </c>
      <c r="AI137" s="258" t="s">
        <v>350</v>
      </c>
      <c r="AJ137" s="258" t="s">
        <v>350</v>
      </c>
      <c r="AK137" s="258" t="s">
        <v>350</v>
      </c>
    </row>
    <row r="138" spans="1:38" s="164" customFormat="1" ht="12.75" customHeight="1">
      <c r="A138" s="261" t="s">
        <v>636</v>
      </c>
      <c r="B138" s="118">
        <v>1</v>
      </c>
      <c r="C138" s="261">
        <v>6</v>
      </c>
      <c r="D138" s="160"/>
      <c r="E138" s="160"/>
      <c r="F138" s="545" t="s">
        <v>337</v>
      </c>
      <c r="G138" s="258" t="s">
        <v>350</v>
      </c>
      <c r="H138" s="258" t="s">
        <v>350</v>
      </c>
      <c r="I138" s="258" t="s">
        <v>350</v>
      </c>
      <c r="J138" s="258" t="s">
        <v>350</v>
      </c>
      <c r="K138" s="258" t="s">
        <v>350</v>
      </c>
      <c r="L138" s="258" t="s">
        <v>350</v>
      </c>
      <c r="M138" s="258" t="s">
        <v>350</v>
      </c>
      <c r="N138" s="258" t="s">
        <v>350</v>
      </c>
      <c r="O138" s="258" t="s">
        <v>350</v>
      </c>
      <c r="P138" s="258" t="s">
        <v>350</v>
      </c>
      <c r="Q138" s="258" t="s">
        <v>350</v>
      </c>
      <c r="R138" s="258" t="s">
        <v>350</v>
      </c>
      <c r="S138" s="258" t="s">
        <v>350</v>
      </c>
      <c r="T138" s="258" t="s">
        <v>350</v>
      </c>
      <c r="U138" s="258" t="s">
        <v>350</v>
      </c>
      <c r="V138" s="258" t="s">
        <v>350</v>
      </c>
      <c r="W138" s="258" t="s">
        <v>350</v>
      </c>
      <c r="X138" s="258" t="s">
        <v>350</v>
      </c>
      <c r="Y138" s="258" t="s">
        <v>350</v>
      </c>
      <c r="Z138" s="258" t="s">
        <v>350</v>
      </c>
      <c r="AA138" s="258" t="s">
        <v>350</v>
      </c>
      <c r="AB138" s="258" t="s">
        <v>350</v>
      </c>
      <c r="AC138" s="258" t="s">
        <v>350</v>
      </c>
      <c r="AD138" s="258" t="s">
        <v>350</v>
      </c>
      <c r="AE138" s="258" t="s">
        <v>350</v>
      </c>
      <c r="AF138" s="258" t="s">
        <v>350</v>
      </c>
      <c r="AG138" s="258" t="s">
        <v>350</v>
      </c>
      <c r="AH138" s="258" t="s">
        <v>350</v>
      </c>
      <c r="AI138" s="258" t="s">
        <v>350</v>
      </c>
      <c r="AJ138" s="258" t="s">
        <v>350</v>
      </c>
      <c r="AK138" s="258" t="s">
        <v>350</v>
      </c>
    </row>
    <row r="139" spans="1:38" s="164" customFormat="1" ht="12.75" customHeight="1">
      <c r="A139" s="261" t="s">
        <v>636</v>
      </c>
      <c r="B139" s="118">
        <v>1</v>
      </c>
      <c r="C139" s="261">
        <v>7</v>
      </c>
      <c r="D139" s="160"/>
      <c r="E139" s="160"/>
      <c r="F139" s="545" t="s">
        <v>337</v>
      </c>
      <c r="G139" s="258" t="s">
        <v>350</v>
      </c>
      <c r="H139" s="258" t="s">
        <v>350</v>
      </c>
      <c r="I139" s="258" t="s">
        <v>350</v>
      </c>
      <c r="J139" s="258" t="s">
        <v>350</v>
      </c>
      <c r="K139" s="258" t="s">
        <v>350</v>
      </c>
      <c r="L139" s="258" t="s">
        <v>350</v>
      </c>
      <c r="M139" s="258" t="s">
        <v>350</v>
      </c>
      <c r="N139" s="258" t="s">
        <v>350</v>
      </c>
      <c r="O139" s="258" t="s">
        <v>350</v>
      </c>
      <c r="P139" s="258" t="s">
        <v>350</v>
      </c>
      <c r="Q139" s="258" t="s">
        <v>350</v>
      </c>
      <c r="R139" s="258" t="s">
        <v>350</v>
      </c>
      <c r="S139" s="258" t="s">
        <v>350</v>
      </c>
      <c r="T139" s="258" t="s">
        <v>350</v>
      </c>
      <c r="U139" s="258" t="s">
        <v>350</v>
      </c>
      <c r="V139" s="258" t="s">
        <v>350</v>
      </c>
      <c r="W139" s="258" t="s">
        <v>350</v>
      </c>
      <c r="X139" s="258" t="s">
        <v>350</v>
      </c>
      <c r="Y139" s="258" t="s">
        <v>350</v>
      </c>
      <c r="Z139" s="258" t="s">
        <v>350</v>
      </c>
      <c r="AA139" s="258" t="s">
        <v>350</v>
      </c>
      <c r="AB139" s="258" t="s">
        <v>350</v>
      </c>
      <c r="AC139" s="258" t="s">
        <v>350</v>
      </c>
      <c r="AD139" s="258" t="s">
        <v>350</v>
      </c>
      <c r="AE139" s="258" t="s">
        <v>350</v>
      </c>
      <c r="AF139" s="258" t="s">
        <v>350</v>
      </c>
      <c r="AG139" s="258" t="s">
        <v>350</v>
      </c>
      <c r="AH139" s="258" t="s">
        <v>350</v>
      </c>
      <c r="AI139" s="258" t="s">
        <v>350</v>
      </c>
      <c r="AJ139" s="258" t="s">
        <v>350</v>
      </c>
      <c r="AK139" s="258" t="s">
        <v>350</v>
      </c>
    </row>
    <row r="140" spans="1:38" s="164" customFormat="1" ht="12.75" customHeight="1">
      <c r="A140" s="261" t="s">
        <v>636</v>
      </c>
      <c r="B140" s="118">
        <v>1</v>
      </c>
      <c r="C140" s="261">
        <v>8</v>
      </c>
      <c r="D140" s="160"/>
      <c r="E140" s="160"/>
      <c r="F140" s="545" t="s">
        <v>337</v>
      </c>
      <c r="G140" s="258" t="s">
        <v>350</v>
      </c>
      <c r="H140" s="258" t="s">
        <v>350</v>
      </c>
      <c r="I140" s="258" t="s">
        <v>350</v>
      </c>
      <c r="J140" s="258" t="s">
        <v>350</v>
      </c>
      <c r="K140" s="258" t="s">
        <v>350</v>
      </c>
      <c r="L140" s="258" t="s">
        <v>350</v>
      </c>
      <c r="M140" s="258" t="s">
        <v>350</v>
      </c>
      <c r="N140" s="258" t="s">
        <v>350</v>
      </c>
      <c r="O140" s="258" t="s">
        <v>350</v>
      </c>
      <c r="P140" s="258" t="s">
        <v>350</v>
      </c>
      <c r="Q140" s="258" t="s">
        <v>350</v>
      </c>
      <c r="R140" s="258" t="s">
        <v>350</v>
      </c>
      <c r="S140" s="258" t="s">
        <v>350</v>
      </c>
      <c r="T140" s="258" t="s">
        <v>350</v>
      </c>
      <c r="U140" s="258" t="s">
        <v>350</v>
      </c>
      <c r="V140" s="258" t="s">
        <v>350</v>
      </c>
      <c r="W140" s="258" t="s">
        <v>350</v>
      </c>
      <c r="X140" s="258" t="s">
        <v>350</v>
      </c>
      <c r="Y140" s="258" t="s">
        <v>350</v>
      </c>
      <c r="Z140" s="258" t="s">
        <v>350</v>
      </c>
      <c r="AA140" s="258" t="s">
        <v>350</v>
      </c>
      <c r="AB140" s="258" t="s">
        <v>350</v>
      </c>
      <c r="AC140" s="258" t="s">
        <v>350</v>
      </c>
      <c r="AD140" s="258" t="s">
        <v>350</v>
      </c>
      <c r="AE140" s="258" t="s">
        <v>350</v>
      </c>
      <c r="AF140" s="258" t="s">
        <v>350</v>
      </c>
      <c r="AG140" s="258" t="s">
        <v>350</v>
      </c>
      <c r="AH140" s="258" t="s">
        <v>350</v>
      </c>
      <c r="AI140" s="258" t="s">
        <v>350</v>
      </c>
      <c r="AJ140" s="258" t="s">
        <v>350</v>
      </c>
      <c r="AK140" s="258" t="s">
        <v>350</v>
      </c>
    </row>
    <row r="141" spans="1:38" s="164" customFormat="1" ht="12.75" customHeight="1">
      <c r="A141" s="261" t="s">
        <v>636</v>
      </c>
      <c r="B141" s="118">
        <v>1</v>
      </c>
      <c r="C141" s="261">
        <v>10</v>
      </c>
      <c r="D141" s="160"/>
      <c r="E141" s="160"/>
      <c r="F141" s="545" t="s">
        <v>337</v>
      </c>
      <c r="G141" s="258" t="s">
        <v>350</v>
      </c>
      <c r="H141" s="258" t="s">
        <v>350</v>
      </c>
      <c r="I141" s="258" t="s">
        <v>350</v>
      </c>
      <c r="J141" s="258" t="s">
        <v>350</v>
      </c>
      <c r="K141" s="258" t="s">
        <v>350</v>
      </c>
      <c r="L141" s="258" t="s">
        <v>350</v>
      </c>
      <c r="M141" s="258" t="s">
        <v>350</v>
      </c>
      <c r="N141" s="258" t="s">
        <v>350</v>
      </c>
      <c r="O141" s="258" t="s">
        <v>350</v>
      </c>
      <c r="P141" s="258" t="s">
        <v>350</v>
      </c>
      <c r="Q141" s="258" t="s">
        <v>350</v>
      </c>
      <c r="R141" s="258" t="s">
        <v>350</v>
      </c>
      <c r="S141" s="258" t="s">
        <v>350</v>
      </c>
      <c r="T141" s="258" t="s">
        <v>350</v>
      </c>
      <c r="U141" s="258" t="s">
        <v>350</v>
      </c>
      <c r="V141" s="258" t="s">
        <v>350</v>
      </c>
      <c r="W141" s="258" t="s">
        <v>350</v>
      </c>
      <c r="X141" s="258" t="s">
        <v>350</v>
      </c>
      <c r="Y141" s="258" t="s">
        <v>350</v>
      </c>
      <c r="Z141" s="258" t="s">
        <v>350</v>
      </c>
      <c r="AA141" s="258" t="s">
        <v>350</v>
      </c>
      <c r="AB141" s="258" t="s">
        <v>350</v>
      </c>
      <c r="AC141" s="258" t="s">
        <v>350</v>
      </c>
      <c r="AD141" s="258" t="s">
        <v>350</v>
      </c>
      <c r="AE141" s="258" t="s">
        <v>350</v>
      </c>
      <c r="AF141" s="258" t="s">
        <v>350</v>
      </c>
      <c r="AG141" s="258" t="s">
        <v>350</v>
      </c>
      <c r="AH141" s="258" t="s">
        <v>350</v>
      </c>
      <c r="AI141" s="258" t="s">
        <v>350</v>
      </c>
      <c r="AJ141" s="258" t="s">
        <v>350</v>
      </c>
      <c r="AK141" s="258" t="s">
        <v>350</v>
      </c>
    </row>
    <row r="142" spans="1:38" s="164" customFormat="1" ht="12.75" customHeight="1">
      <c r="F142" s="167"/>
      <c r="G142" s="167"/>
      <c r="H142" s="167"/>
      <c r="I142" s="167"/>
      <c r="J142" s="167"/>
      <c r="K142" s="167"/>
      <c r="L142" s="167"/>
      <c r="M142" s="167"/>
      <c r="N142" s="167"/>
      <c r="O142" s="167"/>
      <c r="P142" s="167"/>
      <c r="Q142" s="167"/>
      <c r="R142" s="167"/>
      <c r="S142" s="167"/>
      <c r="T142" s="167"/>
      <c r="U142" s="167"/>
      <c r="V142" s="167"/>
      <c r="W142" s="167"/>
      <c r="X142" s="167"/>
      <c r="Y142" s="167"/>
      <c r="Z142" s="167"/>
      <c r="AA142" s="167"/>
      <c r="AB142" s="167"/>
      <c r="AC142" s="167"/>
      <c r="AD142" s="167"/>
      <c r="AE142" s="167"/>
      <c r="AF142" s="167"/>
      <c r="AG142" s="167"/>
      <c r="AH142" s="167"/>
      <c r="AI142" s="167"/>
      <c r="AJ142" s="167"/>
      <c r="AK142" s="167"/>
    </row>
    <row r="143" spans="1:38" s="164" customFormat="1" ht="12.75" customHeight="1">
      <c r="A143" s="164" t="s">
        <v>588</v>
      </c>
      <c r="F143" s="167"/>
      <c r="G143" s="167"/>
      <c r="H143" s="167"/>
      <c r="I143" s="167"/>
      <c r="J143" s="167"/>
      <c r="K143" s="167"/>
      <c r="L143" s="167"/>
      <c r="M143" s="167"/>
      <c r="N143" s="167"/>
      <c r="O143" s="167"/>
      <c r="P143" s="167"/>
      <c r="Q143" s="167"/>
      <c r="R143" s="167"/>
      <c r="S143" s="167"/>
      <c r="T143" s="167"/>
      <c r="U143" s="167"/>
      <c r="V143" s="167"/>
      <c r="W143" s="167"/>
      <c r="X143" s="167"/>
      <c r="Y143" s="167"/>
      <c r="Z143" s="167"/>
      <c r="AA143" s="167"/>
      <c r="AB143" s="167"/>
      <c r="AC143" s="167"/>
      <c r="AD143" s="167"/>
      <c r="AE143" s="167"/>
      <c r="AF143" s="167"/>
      <c r="AG143" s="167"/>
      <c r="AH143" s="167"/>
      <c r="AI143" s="167"/>
      <c r="AJ143" s="167"/>
      <c r="AK143" s="167"/>
    </row>
    <row r="144" spans="1:38" s="164" customFormat="1" ht="12.75" customHeight="1">
      <c r="A144" s="185"/>
      <c r="B144" s="116"/>
      <c r="C144" s="116" t="str">
        <f>C$4</f>
        <v>crediting_type_dyn_aig</v>
      </c>
      <c r="D144" s="276" t="str">
        <f>D$4</f>
        <v>Value</v>
      </c>
      <c r="E144" s="250"/>
      <c r="F144" s="276" t="str">
        <f t="shared" ref="F144:G144" si="38">F$4</f>
        <v>FX1Fix</v>
      </c>
      <c r="G144" s="276" t="str">
        <f t="shared" si="38"/>
        <v>SP1Cap</v>
      </c>
      <c r="H144" s="106" t="str">
        <f>H$4</f>
        <v>ND1B10Cp</v>
      </c>
      <c r="I144" s="106" t="str">
        <f>I$4</f>
        <v>ND1B10Tri</v>
      </c>
      <c r="J144" s="106" t="str">
        <f>J$4</f>
        <v>ND1B10DDCp</v>
      </c>
      <c r="K144" s="106" t="str">
        <f>K$4</f>
        <v>SP1B10Cp</v>
      </c>
      <c r="L144" s="106" t="str">
        <f>L$4</f>
        <v>SP1B10PC</v>
      </c>
      <c r="M144" s="106" t="str">
        <f t="shared" ref="M144:N144" si="39">M$4</f>
        <v>SP1B10Tri</v>
      </c>
      <c r="N144" s="106" t="str">
        <f t="shared" si="39"/>
        <v>SP1B10DDCp</v>
      </c>
      <c r="O144" s="106" t="str">
        <f>O$4</f>
        <v>SP1B20Cp</v>
      </c>
      <c r="P144" s="106" t="str">
        <f t="shared" ref="P144:AK144" si="40">P$4</f>
        <v>SP1F10Cp</v>
      </c>
      <c r="Q144" s="106" t="str">
        <f t="shared" si="40"/>
        <v>SP1B10Pr</v>
      </c>
      <c r="R144" s="106" t="str">
        <f t="shared" si="40"/>
        <v>SP1P50Pr</v>
      </c>
      <c r="S144" s="106" t="str">
        <f t="shared" si="40"/>
        <v>SP6B10Cp</v>
      </c>
      <c r="T144" s="106" t="str">
        <f t="shared" si="40"/>
        <v>SP6B10Pr</v>
      </c>
      <c r="U144" s="106" t="str">
        <f t="shared" si="40"/>
        <v>SP6B10PC</v>
      </c>
      <c r="V144" s="106" t="str">
        <f t="shared" si="40"/>
        <v>SP6B10EPC</v>
      </c>
      <c r="W144" s="106" t="str">
        <f t="shared" si="40"/>
        <v>SP6B20EPC</v>
      </c>
      <c r="X144" s="106" t="str">
        <f t="shared" si="40"/>
        <v>SP6B10DDCp</v>
      </c>
      <c r="Y144" s="106" t="str">
        <f>Y$4</f>
        <v>SP6B20DDCp</v>
      </c>
      <c r="Z144" s="106" t="str">
        <f t="shared" si="40"/>
        <v>SP6B10ScCp</v>
      </c>
      <c r="AA144" s="106" t="str">
        <f t="shared" si="40"/>
        <v>SP6B20DDTriCap</v>
      </c>
      <c r="AB144" s="106" t="str">
        <f t="shared" si="40"/>
        <v>SP3K30DKO</v>
      </c>
      <c r="AC144" s="106" t="str">
        <f t="shared" si="40"/>
        <v>SP3K40DKO</v>
      </c>
      <c r="AD144" s="106" t="str">
        <f t="shared" si="40"/>
        <v>SP3K50DKO</v>
      </c>
      <c r="AE144" s="106" t="str">
        <f t="shared" si="40"/>
        <v>SP6K50DKO</v>
      </c>
      <c r="AF144" s="106" t="str">
        <f t="shared" si="40"/>
        <v>SP6K75DKO</v>
      </c>
      <c r="AG144" s="106" t="str">
        <f t="shared" si="40"/>
        <v>SP6K100DKO</v>
      </c>
      <c r="AH144" s="106" t="str">
        <f t="shared" si="40"/>
        <v>SP6B20Cp</v>
      </c>
      <c r="AI144" s="106" t="str">
        <f t="shared" si="40"/>
        <v>SP610FCp</v>
      </c>
      <c r="AJ144" s="106" t="str">
        <f t="shared" si="40"/>
        <v>SP6B20Pr</v>
      </c>
      <c r="AK144" s="106" t="str">
        <f t="shared" si="40"/>
        <v>SP6P50Pr</v>
      </c>
    </row>
    <row r="145" spans="1:37" s="164" customFormat="1" ht="12.75" customHeight="1">
      <c r="A145" s="117" t="s">
        <v>332</v>
      </c>
      <c r="B145" s="451" t="s">
        <v>412</v>
      </c>
      <c r="C145" s="452" t="s">
        <v>349</v>
      </c>
      <c r="D145" s="453" t="s">
        <v>163</v>
      </c>
      <c r="E145" s="453"/>
      <c r="F145" s="454"/>
      <c r="G145" s="454"/>
      <c r="H145" s="454"/>
      <c r="I145" s="454"/>
      <c r="J145" s="454"/>
      <c r="K145" s="454"/>
      <c r="L145" s="454"/>
      <c r="M145" s="454"/>
      <c r="N145" s="454"/>
      <c r="O145" s="454"/>
      <c r="P145" s="454"/>
      <c r="Q145" s="454"/>
      <c r="R145" s="454"/>
      <c r="S145" s="454"/>
      <c r="T145" s="454"/>
      <c r="U145" s="454"/>
      <c r="V145" s="454"/>
      <c r="W145" s="454"/>
      <c r="X145" s="454"/>
      <c r="Y145" s="454"/>
      <c r="Z145" s="454"/>
      <c r="AA145" s="454"/>
      <c r="AB145" s="454"/>
      <c r="AC145" s="454"/>
      <c r="AD145" s="454"/>
      <c r="AE145" s="454"/>
      <c r="AF145" s="454"/>
      <c r="AG145" s="454"/>
      <c r="AH145" s="454"/>
      <c r="AI145" s="454"/>
      <c r="AJ145" s="454"/>
      <c r="AK145" s="454"/>
    </row>
    <row r="146" spans="1:37" s="164" customFormat="1" ht="12.75" customHeight="1">
      <c r="A146" s="261" t="s">
        <v>636</v>
      </c>
      <c r="B146" s="106" t="s">
        <v>389</v>
      </c>
      <c r="C146" s="118">
        <v>0</v>
      </c>
      <c r="D146" s="118">
        <v>0</v>
      </c>
      <c r="E146" s="258"/>
      <c r="F146" s="258">
        <v>0</v>
      </c>
      <c r="G146" s="258">
        <v>1</v>
      </c>
      <c r="H146" s="258">
        <v>0</v>
      </c>
      <c r="I146" s="258">
        <v>0</v>
      </c>
      <c r="J146" s="258">
        <v>0</v>
      </c>
      <c r="K146" s="258">
        <v>0</v>
      </c>
      <c r="L146" s="258">
        <v>0</v>
      </c>
      <c r="M146" s="258">
        <v>0</v>
      </c>
      <c r="N146" s="258">
        <v>0</v>
      </c>
      <c r="O146" s="258">
        <v>0</v>
      </c>
      <c r="P146" s="258">
        <v>0</v>
      </c>
      <c r="Q146" s="258">
        <v>1</v>
      </c>
      <c r="R146" s="258">
        <v>1</v>
      </c>
      <c r="S146" s="258">
        <v>0</v>
      </c>
      <c r="T146" s="258">
        <v>0</v>
      </c>
      <c r="U146" s="258">
        <v>0</v>
      </c>
      <c r="V146" s="258">
        <v>0</v>
      </c>
      <c r="W146" s="258">
        <v>0</v>
      </c>
      <c r="X146" s="258">
        <v>0</v>
      </c>
      <c r="Y146" s="258">
        <v>0</v>
      </c>
      <c r="Z146" s="258">
        <v>0</v>
      </c>
      <c r="AA146" s="258">
        <v>0</v>
      </c>
      <c r="AB146" s="258">
        <v>0</v>
      </c>
      <c r="AC146" s="258">
        <v>0</v>
      </c>
      <c r="AD146" s="258">
        <v>0</v>
      </c>
      <c r="AE146" s="258">
        <v>0</v>
      </c>
      <c r="AF146" s="258">
        <v>0</v>
      </c>
      <c r="AG146" s="258">
        <v>0</v>
      </c>
      <c r="AH146" s="258">
        <v>0</v>
      </c>
      <c r="AI146" s="258">
        <v>0</v>
      </c>
      <c r="AJ146" s="258">
        <v>1</v>
      </c>
      <c r="AK146" s="258">
        <v>1</v>
      </c>
    </row>
    <row r="147" spans="1:37" s="164" customFormat="1" ht="12.75" customHeight="1">
      <c r="A147" s="261" t="s">
        <v>636</v>
      </c>
      <c r="B147" s="106" t="s">
        <v>389</v>
      </c>
      <c r="C147" s="118">
        <v>1</v>
      </c>
      <c r="D147" s="118">
        <v>0</v>
      </c>
      <c r="E147" s="258"/>
      <c r="F147" s="258">
        <v>0</v>
      </c>
      <c r="G147" s="258">
        <v>1</v>
      </c>
      <c r="H147" s="258">
        <v>0</v>
      </c>
      <c r="I147" s="258">
        <v>0</v>
      </c>
      <c r="J147" s="258">
        <v>0</v>
      </c>
      <c r="K147" s="258">
        <v>0</v>
      </c>
      <c r="L147" s="258">
        <v>0</v>
      </c>
      <c r="M147" s="258">
        <v>0</v>
      </c>
      <c r="N147" s="258">
        <v>0</v>
      </c>
      <c r="O147" s="258">
        <v>0</v>
      </c>
      <c r="P147" s="258">
        <v>0</v>
      </c>
      <c r="Q147" s="258">
        <v>1</v>
      </c>
      <c r="R147" s="258">
        <v>1</v>
      </c>
      <c r="S147" s="258">
        <v>0</v>
      </c>
      <c r="T147" s="258">
        <v>0</v>
      </c>
      <c r="U147" s="258">
        <v>0</v>
      </c>
      <c r="V147" s="258">
        <v>0</v>
      </c>
      <c r="W147" s="258">
        <v>0</v>
      </c>
      <c r="X147" s="258">
        <v>0</v>
      </c>
      <c r="Y147" s="258">
        <v>0</v>
      </c>
      <c r="Z147" s="258">
        <v>0</v>
      </c>
      <c r="AA147" s="258">
        <v>0</v>
      </c>
      <c r="AB147" s="258">
        <v>0</v>
      </c>
      <c r="AC147" s="258">
        <v>0</v>
      </c>
      <c r="AD147" s="258">
        <v>0</v>
      </c>
      <c r="AE147" s="258">
        <v>0</v>
      </c>
      <c r="AF147" s="258">
        <v>0</v>
      </c>
      <c r="AG147" s="258">
        <v>0</v>
      </c>
      <c r="AH147" s="258">
        <v>0</v>
      </c>
      <c r="AI147" s="258">
        <v>0</v>
      </c>
      <c r="AJ147" s="258">
        <v>1</v>
      </c>
      <c r="AK147" s="258">
        <v>1</v>
      </c>
    </row>
    <row r="148" spans="1:37" s="164" customFormat="1" ht="12.75" customHeight="1">
      <c r="A148" s="261" t="s">
        <v>636</v>
      </c>
      <c r="B148" s="106" t="s">
        <v>389</v>
      </c>
      <c r="C148" s="118">
        <v>1</v>
      </c>
      <c r="D148" s="118">
        <v>11</v>
      </c>
      <c r="E148" s="258"/>
      <c r="F148" s="258">
        <v>0</v>
      </c>
      <c r="G148" s="258">
        <v>1</v>
      </c>
      <c r="H148" s="258">
        <v>0</v>
      </c>
      <c r="I148" s="258">
        <v>0</v>
      </c>
      <c r="J148" s="258">
        <v>0</v>
      </c>
      <c r="K148" s="258">
        <v>0</v>
      </c>
      <c r="L148" s="258">
        <v>0</v>
      </c>
      <c r="M148" s="258">
        <v>0</v>
      </c>
      <c r="N148" s="258">
        <v>0</v>
      </c>
      <c r="O148" s="258">
        <v>0</v>
      </c>
      <c r="P148" s="258">
        <v>0</v>
      </c>
      <c r="Q148" s="258">
        <v>1</v>
      </c>
      <c r="R148" s="258">
        <v>1</v>
      </c>
      <c r="S148" s="258">
        <v>0</v>
      </c>
      <c r="T148" s="258">
        <v>0</v>
      </c>
      <c r="U148" s="258">
        <v>0</v>
      </c>
      <c r="V148" s="258">
        <v>0</v>
      </c>
      <c r="W148" s="258">
        <v>0</v>
      </c>
      <c r="X148" s="258">
        <v>0</v>
      </c>
      <c r="Y148" s="258">
        <v>0</v>
      </c>
      <c r="Z148" s="258">
        <v>0</v>
      </c>
      <c r="AA148" s="258">
        <v>0</v>
      </c>
      <c r="AB148" s="258">
        <v>0</v>
      </c>
      <c r="AC148" s="258">
        <v>0</v>
      </c>
      <c r="AD148" s="258">
        <v>0</v>
      </c>
      <c r="AE148" s="258">
        <v>0</v>
      </c>
      <c r="AF148" s="258">
        <v>0</v>
      </c>
      <c r="AG148" s="258">
        <v>0</v>
      </c>
      <c r="AH148" s="258">
        <v>0</v>
      </c>
      <c r="AI148" s="258">
        <v>0</v>
      </c>
      <c r="AJ148" s="258">
        <v>1</v>
      </c>
      <c r="AK148" s="258">
        <v>1</v>
      </c>
    </row>
    <row r="149" spans="1:37" s="164" customFormat="1" ht="12.75" customHeight="1">
      <c r="A149" s="261" t="s">
        <v>636</v>
      </c>
      <c r="B149" s="106" t="s">
        <v>389</v>
      </c>
      <c r="C149" s="118">
        <v>1</v>
      </c>
      <c r="D149" s="118">
        <v>21</v>
      </c>
      <c r="E149" s="258"/>
      <c r="F149" s="258">
        <v>0</v>
      </c>
      <c r="G149" s="258">
        <v>1</v>
      </c>
      <c r="H149" s="258">
        <v>0</v>
      </c>
      <c r="I149" s="258">
        <v>0</v>
      </c>
      <c r="J149" s="258">
        <v>0</v>
      </c>
      <c r="K149" s="258">
        <v>0</v>
      </c>
      <c r="L149" s="258">
        <v>0</v>
      </c>
      <c r="M149" s="258">
        <v>0</v>
      </c>
      <c r="N149" s="258">
        <v>0</v>
      </c>
      <c r="O149" s="258">
        <v>0</v>
      </c>
      <c r="P149" s="258">
        <v>0</v>
      </c>
      <c r="Q149" s="258">
        <v>1</v>
      </c>
      <c r="R149" s="258">
        <v>1</v>
      </c>
      <c r="S149" s="258">
        <v>0</v>
      </c>
      <c r="T149" s="258">
        <v>0</v>
      </c>
      <c r="U149" s="258">
        <v>0</v>
      </c>
      <c r="V149" s="258">
        <v>0</v>
      </c>
      <c r="W149" s="258">
        <v>0</v>
      </c>
      <c r="X149" s="258">
        <v>0</v>
      </c>
      <c r="Y149" s="258">
        <v>0</v>
      </c>
      <c r="Z149" s="258">
        <v>0</v>
      </c>
      <c r="AA149" s="258">
        <v>0</v>
      </c>
      <c r="AB149" s="258">
        <v>0</v>
      </c>
      <c r="AC149" s="258">
        <v>0</v>
      </c>
      <c r="AD149" s="258">
        <v>0</v>
      </c>
      <c r="AE149" s="258">
        <v>0</v>
      </c>
      <c r="AF149" s="258">
        <v>0</v>
      </c>
      <c r="AG149" s="258">
        <v>0</v>
      </c>
      <c r="AH149" s="258">
        <v>0</v>
      </c>
      <c r="AI149" s="258">
        <v>0</v>
      </c>
      <c r="AJ149" s="258">
        <v>1</v>
      </c>
      <c r="AK149" s="258">
        <v>1</v>
      </c>
    </row>
    <row r="150" spans="1:37" s="164" customFormat="1" ht="12.75" customHeight="1">
      <c r="B150" s="164" t="s">
        <v>586</v>
      </c>
      <c r="F150" s="167"/>
      <c r="G150" s="167"/>
      <c r="H150" s="167"/>
      <c r="I150" s="167"/>
      <c r="J150" s="167"/>
      <c r="K150" s="167"/>
      <c r="L150" s="167"/>
      <c r="M150" s="167"/>
      <c r="N150" s="167"/>
      <c r="O150" s="167"/>
      <c r="P150" s="167"/>
      <c r="Q150" s="167"/>
      <c r="R150" s="167"/>
      <c r="S150" s="167"/>
      <c r="T150" s="167"/>
      <c r="U150" s="167"/>
      <c r="V150" s="167"/>
      <c r="W150" s="167"/>
      <c r="X150" s="167"/>
      <c r="Y150" s="167"/>
      <c r="Z150" s="167"/>
      <c r="AA150" s="167"/>
      <c r="AB150" s="167"/>
      <c r="AC150" s="167"/>
      <c r="AD150" s="167"/>
      <c r="AE150" s="167"/>
      <c r="AF150" s="167"/>
      <c r="AG150" s="167"/>
      <c r="AH150" s="167"/>
      <c r="AI150" s="167"/>
      <c r="AJ150" s="167"/>
      <c r="AK150" s="167"/>
    </row>
    <row r="151" spans="1:37" s="164" customFormat="1" ht="12.75" customHeight="1">
      <c r="B151" s="116"/>
      <c r="C151" s="116" t="str">
        <f>C$4</f>
        <v>crediting_type_dyn_aig</v>
      </c>
      <c r="D151" s="106" t="str">
        <f>D$4</f>
        <v>Value</v>
      </c>
      <c r="E151" s="106"/>
      <c r="F151" s="106" t="str">
        <f t="shared" ref="F151:G151" si="41">F$4</f>
        <v>FX1Fix</v>
      </c>
      <c r="G151" s="106" t="str">
        <f t="shared" si="41"/>
        <v>SP1Cap</v>
      </c>
      <c r="H151" s="106" t="str">
        <f>H$4</f>
        <v>ND1B10Cp</v>
      </c>
      <c r="I151" s="106" t="str">
        <f>I$4</f>
        <v>ND1B10Tri</v>
      </c>
      <c r="J151" s="106" t="str">
        <f>J$4</f>
        <v>ND1B10DDCp</v>
      </c>
      <c r="K151" s="106" t="str">
        <f>K$4</f>
        <v>SP1B10Cp</v>
      </c>
      <c r="L151" s="106" t="str">
        <f>L$4</f>
        <v>SP1B10PC</v>
      </c>
      <c r="M151" s="106" t="str">
        <f t="shared" ref="M151:N151" si="42">M$4</f>
        <v>SP1B10Tri</v>
      </c>
      <c r="N151" s="106" t="str">
        <f t="shared" si="42"/>
        <v>SP1B10DDCp</v>
      </c>
      <c r="O151" s="106" t="str">
        <f>O$4</f>
        <v>SP1B20Cp</v>
      </c>
      <c r="P151" s="106" t="str">
        <f t="shared" ref="P151:AK151" si="43">P$4</f>
        <v>SP1F10Cp</v>
      </c>
      <c r="Q151" s="106" t="str">
        <f t="shared" si="43"/>
        <v>SP1B10Pr</v>
      </c>
      <c r="R151" s="106" t="str">
        <f t="shared" si="43"/>
        <v>SP1P50Pr</v>
      </c>
      <c r="S151" s="106" t="str">
        <f t="shared" si="43"/>
        <v>SP6B10Cp</v>
      </c>
      <c r="T151" s="106" t="str">
        <f t="shared" si="43"/>
        <v>SP6B10Pr</v>
      </c>
      <c r="U151" s="106" t="str">
        <f t="shared" si="43"/>
        <v>SP6B10PC</v>
      </c>
      <c r="V151" s="106" t="str">
        <f t="shared" si="43"/>
        <v>SP6B10EPC</v>
      </c>
      <c r="W151" s="106" t="str">
        <f t="shared" si="43"/>
        <v>SP6B20EPC</v>
      </c>
      <c r="X151" s="106" t="str">
        <f t="shared" si="43"/>
        <v>SP6B10DDCp</v>
      </c>
      <c r="Y151" s="106" t="str">
        <f>Y$4</f>
        <v>SP6B20DDCp</v>
      </c>
      <c r="Z151" s="106" t="str">
        <f t="shared" si="43"/>
        <v>SP6B10ScCp</v>
      </c>
      <c r="AA151" s="106" t="str">
        <f t="shared" si="43"/>
        <v>SP6B20DDTriCap</v>
      </c>
      <c r="AB151" s="106" t="str">
        <f t="shared" si="43"/>
        <v>SP3K30DKO</v>
      </c>
      <c r="AC151" s="106" t="str">
        <f t="shared" si="43"/>
        <v>SP3K40DKO</v>
      </c>
      <c r="AD151" s="106" t="str">
        <f t="shared" si="43"/>
        <v>SP3K50DKO</v>
      </c>
      <c r="AE151" s="106" t="str">
        <f t="shared" si="43"/>
        <v>SP6K50DKO</v>
      </c>
      <c r="AF151" s="106" t="str">
        <f t="shared" si="43"/>
        <v>SP6K75DKO</v>
      </c>
      <c r="AG151" s="106" t="str">
        <f t="shared" si="43"/>
        <v>SP6K100DKO</v>
      </c>
      <c r="AH151" s="106" t="str">
        <f t="shared" si="43"/>
        <v>SP6B20Cp</v>
      </c>
      <c r="AI151" s="106" t="str">
        <f t="shared" si="43"/>
        <v>SP610FCp</v>
      </c>
      <c r="AJ151" s="106" t="str">
        <f t="shared" si="43"/>
        <v>SP6B20Pr</v>
      </c>
      <c r="AK151" s="106" t="str">
        <f t="shared" si="43"/>
        <v>SP6P50Pr</v>
      </c>
    </row>
    <row r="152" spans="1:37" s="164" customFormat="1" ht="12.75" customHeight="1">
      <c r="B152" s="118" t="s">
        <v>586</v>
      </c>
      <c r="C152" s="118"/>
      <c r="D152" s="320"/>
      <c r="E152" s="320"/>
      <c r="F152" s="167">
        <v>0</v>
      </c>
      <c r="G152" s="167">
        <v>0</v>
      </c>
      <c r="H152" s="167">
        <v>0</v>
      </c>
      <c r="I152" s="167">
        <v>0</v>
      </c>
      <c r="J152" s="167">
        <v>0</v>
      </c>
      <c r="K152" s="167">
        <v>0</v>
      </c>
      <c r="L152" s="167">
        <v>0</v>
      </c>
      <c r="M152" s="167">
        <v>0</v>
      </c>
      <c r="N152" s="167">
        <v>0</v>
      </c>
      <c r="O152" s="167">
        <v>0</v>
      </c>
      <c r="P152" s="167">
        <v>0</v>
      </c>
      <c r="Q152" s="167">
        <v>0</v>
      </c>
      <c r="R152" s="167">
        <v>0</v>
      </c>
      <c r="S152" s="167">
        <v>0</v>
      </c>
      <c r="T152" s="167">
        <v>0</v>
      </c>
      <c r="U152" s="167">
        <v>0</v>
      </c>
      <c r="V152" s="167">
        <v>0</v>
      </c>
      <c r="W152" s="167">
        <v>0</v>
      </c>
      <c r="X152" s="167">
        <v>0</v>
      </c>
      <c r="Y152" s="167">
        <v>0</v>
      </c>
      <c r="Z152" s="167">
        <v>0</v>
      </c>
      <c r="AA152" s="167">
        <v>0</v>
      </c>
      <c r="AB152" s="167">
        <v>0</v>
      </c>
      <c r="AC152" s="167">
        <v>0</v>
      </c>
      <c r="AD152" s="167">
        <v>0</v>
      </c>
      <c r="AE152" s="167">
        <v>0</v>
      </c>
      <c r="AF152" s="167">
        <v>0</v>
      </c>
      <c r="AG152" s="167">
        <v>0</v>
      </c>
      <c r="AH152" s="167">
        <v>0</v>
      </c>
      <c r="AI152" s="167">
        <v>0</v>
      </c>
      <c r="AJ152" s="167">
        <v>0</v>
      </c>
      <c r="AK152" s="167">
        <v>0</v>
      </c>
    </row>
    <row r="153" spans="1:37" s="164" customFormat="1" ht="12.75" customHeight="1">
      <c r="F153" s="167"/>
      <c r="G153" s="167"/>
      <c r="H153" s="167"/>
      <c r="I153" s="167"/>
      <c r="J153" s="167"/>
      <c r="K153" s="167"/>
      <c r="L153" s="167"/>
      <c r="M153" s="167"/>
      <c r="N153" s="167"/>
      <c r="O153" s="167"/>
      <c r="P153" s="167"/>
      <c r="Q153" s="167"/>
      <c r="R153" s="167"/>
      <c r="S153" s="167"/>
      <c r="T153" s="167"/>
      <c r="U153" s="167"/>
      <c r="V153" s="167"/>
      <c r="W153" s="167"/>
      <c r="X153" s="167"/>
      <c r="Y153" s="167"/>
      <c r="Z153" s="167"/>
      <c r="AA153" s="167"/>
      <c r="AB153" s="167"/>
      <c r="AC153" s="167"/>
      <c r="AD153" s="167"/>
      <c r="AE153" s="167"/>
      <c r="AF153" s="167"/>
      <c r="AG153" s="167"/>
      <c r="AH153" s="167"/>
      <c r="AI153" s="167"/>
      <c r="AJ153" s="167"/>
      <c r="AK153" s="167"/>
    </row>
    <row r="154" spans="1:37" s="164" customFormat="1" ht="12.75" customHeight="1">
      <c r="A154" s="33" t="str">
        <f ca="1">GetNameRange(C155)</f>
        <v>index_term_part_rate_min_aig</v>
      </c>
      <c r="B154"/>
      <c r="C154" s="33"/>
      <c r="D154" s="184"/>
      <c r="E154" s="184"/>
      <c r="F154" s="252"/>
      <c r="G154" s="252"/>
      <c r="H154" s="252"/>
      <c r="I154" s="252"/>
      <c r="J154" s="252"/>
      <c r="K154" s="252"/>
      <c r="L154" s="252"/>
      <c r="M154" s="252"/>
      <c r="N154" s="252"/>
      <c r="O154" s="252"/>
      <c r="P154" s="252"/>
      <c r="Q154" s="252"/>
      <c r="R154" s="252"/>
      <c r="S154" s="252"/>
      <c r="T154" s="252"/>
      <c r="U154" s="252"/>
      <c r="V154" s="537"/>
      <c r="W154" s="537"/>
      <c r="X154" s="252"/>
      <c r="Y154" s="252"/>
      <c r="Z154" s="252"/>
      <c r="AA154" s="252"/>
      <c r="AB154" s="252"/>
      <c r="AC154" s="252"/>
      <c r="AD154" s="252"/>
      <c r="AE154" s="252"/>
      <c r="AF154" s="252"/>
      <c r="AG154" s="252"/>
      <c r="AH154" s="252"/>
      <c r="AI154" s="252"/>
      <c r="AJ154" s="252"/>
      <c r="AK154" s="252"/>
    </row>
    <row r="155" spans="1:37" s="164" customFormat="1" ht="12.75" customHeight="1">
      <c r="A155" s="185"/>
      <c r="B155" s="116"/>
      <c r="C155" s="116" t="str">
        <f>C$4</f>
        <v>crediting_type_dyn_aig</v>
      </c>
      <c r="D155" s="276" t="str">
        <f>D$4</f>
        <v>Value</v>
      </c>
      <c r="E155" s="250"/>
      <c r="F155" s="276" t="str">
        <f t="shared" ref="F155:G155" si="44">F$4</f>
        <v>FX1Fix</v>
      </c>
      <c r="G155" s="276" t="str">
        <f t="shared" si="44"/>
        <v>SP1Cap</v>
      </c>
      <c r="H155" s="106" t="str">
        <f>H$4</f>
        <v>ND1B10Cp</v>
      </c>
      <c r="I155" s="106" t="str">
        <f>I$4</f>
        <v>ND1B10Tri</v>
      </c>
      <c r="J155" s="106" t="str">
        <f>J$4</f>
        <v>ND1B10DDCp</v>
      </c>
      <c r="K155" s="106" t="str">
        <f>K$4</f>
        <v>SP1B10Cp</v>
      </c>
      <c r="L155" s="106" t="str">
        <f>L$4</f>
        <v>SP1B10PC</v>
      </c>
      <c r="M155" s="106" t="str">
        <f t="shared" ref="M155:N155" si="45">M$4</f>
        <v>SP1B10Tri</v>
      </c>
      <c r="N155" s="106" t="str">
        <f t="shared" si="45"/>
        <v>SP1B10DDCp</v>
      </c>
      <c r="O155" s="106" t="str">
        <f>O$4</f>
        <v>SP1B20Cp</v>
      </c>
      <c r="P155" s="106" t="str">
        <f t="shared" ref="P155:AK155" si="46">P$4</f>
        <v>SP1F10Cp</v>
      </c>
      <c r="Q155" s="106" t="str">
        <f t="shared" si="46"/>
        <v>SP1B10Pr</v>
      </c>
      <c r="R155" s="106" t="str">
        <f t="shared" si="46"/>
        <v>SP1P50Pr</v>
      </c>
      <c r="S155" s="106" t="str">
        <f t="shared" si="46"/>
        <v>SP6B10Cp</v>
      </c>
      <c r="T155" s="106" t="str">
        <f t="shared" si="46"/>
        <v>SP6B10Pr</v>
      </c>
      <c r="U155" s="106" t="str">
        <f t="shared" si="46"/>
        <v>SP6B10PC</v>
      </c>
      <c r="V155" s="106" t="str">
        <f t="shared" si="46"/>
        <v>SP6B10EPC</v>
      </c>
      <c r="W155" s="106" t="str">
        <f t="shared" si="46"/>
        <v>SP6B20EPC</v>
      </c>
      <c r="X155" s="106" t="str">
        <f t="shared" si="46"/>
        <v>SP6B10DDCp</v>
      </c>
      <c r="Y155" s="106" t="str">
        <f>Y$4</f>
        <v>SP6B20DDCp</v>
      </c>
      <c r="Z155" s="106" t="str">
        <f t="shared" si="46"/>
        <v>SP6B10ScCp</v>
      </c>
      <c r="AA155" s="106" t="str">
        <f t="shared" si="46"/>
        <v>SP6B20DDTriCap</v>
      </c>
      <c r="AB155" s="106" t="str">
        <f t="shared" si="46"/>
        <v>SP3K30DKO</v>
      </c>
      <c r="AC155" s="106" t="str">
        <f t="shared" si="46"/>
        <v>SP3K40DKO</v>
      </c>
      <c r="AD155" s="106" t="str">
        <f t="shared" si="46"/>
        <v>SP3K50DKO</v>
      </c>
      <c r="AE155" s="106" t="str">
        <f t="shared" si="46"/>
        <v>SP6K50DKO</v>
      </c>
      <c r="AF155" s="106" t="str">
        <f t="shared" si="46"/>
        <v>SP6K75DKO</v>
      </c>
      <c r="AG155" s="106" t="str">
        <f t="shared" si="46"/>
        <v>SP6K100DKO</v>
      </c>
      <c r="AH155" s="106" t="str">
        <f t="shared" si="46"/>
        <v>SP6B20Cp</v>
      </c>
      <c r="AI155" s="106" t="str">
        <f t="shared" si="46"/>
        <v>SP610FCp</v>
      </c>
      <c r="AJ155" s="106" t="str">
        <f t="shared" si="46"/>
        <v>SP6B20Pr</v>
      </c>
      <c r="AK155" s="106" t="str">
        <f t="shared" si="46"/>
        <v>SP6P50Pr</v>
      </c>
    </row>
    <row r="156" spans="1:37" s="164" customFormat="1" ht="12.75" customHeight="1">
      <c r="A156" s="117" t="s">
        <v>332</v>
      </c>
      <c r="B156" s="391" t="s">
        <v>412</v>
      </c>
      <c r="C156" s="392" t="s">
        <v>349</v>
      </c>
      <c r="D156" s="393" t="s">
        <v>163</v>
      </c>
      <c r="E156" s="393"/>
      <c r="F156" s="394"/>
      <c r="G156" s="394"/>
      <c r="H156" s="394"/>
      <c r="I156" s="394"/>
      <c r="J156" s="394"/>
      <c r="K156" s="394"/>
      <c r="L156" s="394"/>
      <c r="M156" s="394"/>
      <c r="N156" s="394"/>
      <c r="O156" s="394"/>
      <c r="P156" s="394"/>
      <c r="Q156" s="394"/>
      <c r="R156" s="394"/>
      <c r="S156" s="394"/>
      <c r="T156" s="394"/>
      <c r="U156" s="394"/>
      <c r="V156" s="454"/>
      <c r="W156" s="454"/>
      <c r="X156" s="394"/>
      <c r="Y156" s="394"/>
      <c r="Z156" s="394"/>
      <c r="AA156" s="394"/>
      <c r="AB156" s="394"/>
      <c r="AC156" s="394"/>
      <c r="AD156" s="394"/>
      <c r="AE156" s="394"/>
      <c r="AF156" s="394"/>
      <c r="AG156" s="394"/>
      <c r="AH156" s="394"/>
      <c r="AI156" s="394"/>
      <c r="AJ156" s="394"/>
      <c r="AK156" s="394"/>
    </row>
    <row r="157" spans="1:37" s="164" customFormat="1" ht="12.75" hidden="1" customHeight="1">
      <c r="A157" s="261" t="s">
        <v>636</v>
      </c>
      <c r="B157" s="106" t="s">
        <v>480</v>
      </c>
      <c r="C157" s="118">
        <v>0</v>
      </c>
      <c r="D157" s="118">
        <v>0</v>
      </c>
      <c r="E157" s="258"/>
      <c r="F157" s="258">
        <v>0</v>
      </c>
      <c r="G157" s="258">
        <v>1</v>
      </c>
      <c r="H157" s="258">
        <v>0</v>
      </c>
      <c r="I157" s="258">
        <v>0</v>
      </c>
      <c r="J157" s="258">
        <v>0</v>
      </c>
      <c r="K157" s="258">
        <v>0</v>
      </c>
      <c r="L157" s="258">
        <v>0</v>
      </c>
      <c r="M157" s="258">
        <v>0</v>
      </c>
      <c r="N157" s="258">
        <v>0</v>
      </c>
      <c r="O157" s="258">
        <v>0</v>
      </c>
      <c r="P157" s="258">
        <v>0</v>
      </c>
      <c r="Q157" s="545">
        <v>0.05</v>
      </c>
      <c r="R157" s="545">
        <v>0.05</v>
      </c>
      <c r="S157" s="258">
        <v>0</v>
      </c>
      <c r="T157" s="258">
        <v>0.1</v>
      </c>
      <c r="U157" s="258">
        <v>0</v>
      </c>
      <c r="V157" s="258">
        <v>0</v>
      </c>
      <c r="W157" s="258">
        <v>0</v>
      </c>
      <c r="X157" s="258">
        <v>0</v>
      </c>
      <c r="Y157" s="258">
        <v>0</v>
      </c>
      <c r="Z157" s="258">
        <v>0</v>
      </c>
      <c r="AA157" s="258">
        <v>0</v>
      </c>
      <c r="AB157" s="258">
        <v>0</v>
      </c>
      <c r="AC157" s="258">
        <v>0</v>
      </c>
      <c r="AD157" s="258">
        <v>0</v>
      </c>
      <c r="AE157" s="258">
        <v>0</v>
      </c>
      <c r="AF157" s="258">
        <v>0</v>
      </c>
      <c r="AG157" s="258">
        <v>0</v>
      </c>
      <c r="AH157" s="258">
        <v>0</v>
      </c>
      <c r="AI157" s="258">
        <v>0</v>
      </c>
      <c r="AJ157" s="545">
        <v>0.1</v>
      </c>
      <c r="AK157" s="545">
        <v>0.1</v>
      </c>
    </row>
    <row r="158" spans="1:37" s="164" customFormat="1" ht="12.75" hidden="1" customHeight="1">
      <c r="A158" s="261" t="s">
        <v>636</v>
      </c>
      <c r="B158" s="106" t="s">
        <v>480</v>
      </c>
      <c r="C158" s="118">
        <v>1</v>
      </c>
      <c r="D158" s="118">
        <v>0</v>
      </c>
      <c r="E158" s="258"/>
      <c r="F158" s="258">
        <v>0</v>
      </c>
      <c r="G158" s="258">
        <v>1</v>
      </c>
      <c r="H158" s="258">
        <v>0</v>
      </c>
      <c r="I158" s="258">
        <v>0</v>
      </c>
      <c r="J158" s="258">
        <v>0</v>
      </c>
      <c r="K158" s="258">
        <v>0</v>
      </c>
      <c r="L158" s="258">
        <v>0</v>
      </c>
      <c r="M158" s="258">
        <v>0</v>
      </c>
      <c r="N158" s="258">
        <v>0</v>
      </c>
      <c r="O158" s="258">
        <v>0</v>
      </c>
      <c r="P158" s="258">
        <v>0</v>
      </c>
      <c r="Q158" s="545">
        <v>0.05</v>
      </c>
      <c r="R158" s="545">
        <v>0.05</v>
      </c>
      <c r="S158" s="258">
        <v>0</v>
      </c>
      <c r="T158" s="258">
        <v>0.1</v>
      </c>
      <c r="U158" s="258">
        <v>0</v>
      </c>
      <c r="V158" s="258">
        <v>0</v>
      </c>
      <c r="W158" s="258">
        <v>0</v>
      </c>
      <c r="X158" s="258">
        <v>0</v>
      </c>
      <c r="Y158" s="258">
        <v>0</v>
      </c>
      <c r="Z158" s="258">
        <v>0</v>
      </c>
      <c r="AA158" s="258">
        <v>0</v>
      </c>
      <c r="AB158" s="258">
        <v>0</v>
      </c>
      <c r="AC158" s="258">
        <v>0</v>
      </c>
      <c r="AD158" s="258">
        <v>0</v>
      </c>
      <c r="AE158" s="258">
        <v>0</v>
      </c>
      <c r="AF158" s="258">
        <v>0</v>
      </c>
      <c r="AG158" s="258">
        <v>0</v>
      </c>
      <c r="AH158" s="258">
        <v>0</v>
      </c>
      <c r="AI158" s="258">
        <v>0</v>
      </c>
      <c r="AJ158" s="545">
        <v>0.1</v>
      </c>
      <c r="AK158" s="545">
        <v>0.1</v>
      </c>
    </row>
    <row r="159" spans="1:37" s="164" customFormat="1" ht="12.75" customHeight="1">
      <c r="A159" s="261" t="s">
        <v>636</v>
      </c>
      <c r="B159" s="106" t="s">
        <v>389</v>
      </c>
      <c r="C159" s="118">
        <v>0</v>
      </c>
      <c r="D159" s="118">
        <v>0</v>
      </c>
      <c r="E159" s="258"/>
      <c r="F159" s="258">
        <v>0</v>
      </c>
      <c r="G159" s="258">
        <v>1</v>
      </c>
      <c r="H159" s="258">
        <v>0</v>
      </c>
      <c r="I159" s="258">
        <v>0</v>
      </c>
      <c r="J159" s="258">
        <v>0</v>
      </c>
      <c r="K159" s="258">
        <v>0</v>
      </c>
      <c r="L159" s="258">
        <v>0.1</v>
      </c>
      <c r="M159" s="258">
        <v>0</v>
      </c>
      <c r="N159" s="258">
        <v>0</v>
      </c>
      <c r="O159" s="258">
        <v>0</v>
      </c>
      <c r="P159" s="258">
        <v>0</v>
      </c>
      <c r="Q159" s="545">
        <v>0.05</v>
      </c>
      <c r="R159" s="545">
        <v>0.05</v>
      </c>
      <c r="S159" s="258">
        <v>0</v>
      </c>
      <c r="T159" s="258">
        <v>0.1</v>
      </c>
      <c r="U159" s="258">
        <v>0.1</v>
      </c>
      <c r="V159" s="258">
        <v>0.1</v>
      </c>
      <c r="W159" s="258">
        <v>0.1</v>
      </c>
      <c r="X159" s="258">
        <v>0</v>
      </c>
      <c r="Y159" s="258">
        <v>0</v>
      </c>
      <c r="Z159" s="258">
        <v>0</v>
      </c>
      <c r="AA159" s="258">
        <v>0</v>
      </c>
      <c r="AB159" s="258">
        <v>0</v>
      </c>
      <c r="AC159" s="258">
        <v>0</v>
      </c>
      <c r="AD159" s="258">
        <v>0</v>
      </c>
      <c r="AE159" s="258">
        <v>0</v>
      </c>
      <c r="AF159" s="258">
        <v>0</v>
      </c>
      <c r="AG159" s="258">
        <v>0</v>
      </c>
      <c r="AH159" s="258">
        <v>0</v>
      </c>
      <c r="AI159" s="258">
        <v>0</v>
      </c>
      <c r="AJ159" s="545">
        <v>0.1</v>
      </c>
      <c r="AK159" s="545">
        <v>0.1</v>
      </c>
    </row>
    <row r="160" spans="1:37" s="164" customFormat="1" ht="12.75" customHeight="1">
      <c r="A160" s="261" t="s">
        <v>636</v>
      </c>
      <c r="B160" s="106" t="s">
        <v>389</v>
      </c>
      <c r="C160" s="118">
        <v>1</v>
      </c>
      <c r="D160" s="118">
        <v>0</v>
      </c>
      <c r="E160" s="258"/>
      <c r="F160" s="258">
        <v>0</v>
      </c>
      <c r="G160" s="258">
        <v>1</v>
      </c>
      <c r="H160" s="258">
        <v>0</v>
      </c>
      <c r="I160" s="258">
        <v>0</v>
      </c>
      <c r="J160" s="258">
        <v>0</v>
      </c>
      <c r="K160" s="258">
        <v>0</v>
      </c>
      <c r="L160" s="258">
        <v>0.1</v>
      </c>
      <c r="M160" s="258">
        <v>0</v>
      </c>
      <c r="N160" s="258">
        <v>0</v>
      </c>
      <c r="O160" s="258">
        <v>0</v>
      </c>
      <c r="P160" s="258">
        <v>0</v>
      </c>
      <c r="Q160" s="545">
        <v>0.05</v>
      </c>
      <c r="R160" s="545">
        <v>0.05</v>
      </c>
      <c r="S160" s="258">
        <v>0</v>
      </c>
      <c r="T160" s="258">
        <v>0.1</v>
      </c>
      <c r="U160" s="258">
        <v>0.1</v>
      </c>
      <c r="V160" s="258">
        <v>0.1</v>
      </c>
      <c r="W160" s="258">
        <v>0.1</v>
      </c>
      <c r="X160" s="258">
        <v>0</v>
      </c>
      <c r="Y160" s="258">
        <v>0</v>
      </c>
      <c r="Z160" s="258">
        <v>0</v>
      </c>
      <c r="AA160" s="258">
        <v>0</v>
      </c>
      <c r="AB160" s="258">
        <v>0</v>
      </c>
      <c r="AC160" s="258">
        <v>0</v>
      </c>
      <c r="AD160" s="258">
        <v>0</v>
      </c>
      <c r="AE160" s="258">
        <v>0</v>
      </c>
      <c r="AF160" s="258">
        <v>0</v>
      </c>
      <c r="AG160" s="258">
        <v>0</v>
      </c>
      <c r="AH160" s="258">
        <v>0</v>
      </c>
      <c r="AI160" s="258">
        <v>0</v>
      </c>
      <c r="AJ160" s="545">
        <v>0.1</v>
      </c>
      <c r="AK160" s="545">
        <v>0.1</v>
      </c>
    </row>
    <row r="161" spans="1:37" s="164" customFormat="1" ht="12.75" customHeight="1">
      <c r="A161" s="261" t="s">
        <v>636</v>
      </c>
      <c r="B161" s="106" t="s">
        <v>389</v>
      </c>
      <c r="C161" s="118">
        <v>1</v>
      </c>
      <c r="D161" s="118">
        <v>11</v>
      </c>
      <c r="E161" s="258"/>
      <c r="F161" s="258">
        <v>0</v>
      </c>
      <c r="G161" s="258">
        <v>1</v>
      </c>
      <c r="H161" s="258">
        <v>0</v>
      </c>
      <c r="I161" s="258">
        <v>0</v>
      </c>
      <c r="J161" s="258">
        <v>0</v>
      </c>
      <c r="K161" s="258">
        <v>0</v>
      </c>
      <c r="L161" s="258">
        <v>0.1</v>
      </c>
      <c r="M161" s="258">
        <v>0</v>
      </c>
      <c r="N161" s="258">
        <v>0</v>
      </c>
      <c r="O161" s="258">
        <v>0</v>
      </c>
      <c r="P161" s="258">
        <v>0</v>
      </c>
      <c r="Q161" s="545">
        <v>0.05</v>
      </c>
      <c r="R161" s="545">
        <v>0.05</v>
      </c>
      <c r="S161" s="258">
        <v>0</v>
      </c>
      <c r="T161" s="258">
        <v>0.1</v>
      </c>
      <c r="U161" s="258">
        <v>0.1</v>
      </c>
      <c r="V161" s="258">
        <v>0.1</v>
      </c>
      <c r="W161" s="258">
        <v>0.1</v>
      </c>
      <c r="X161" s="258">
        <v>0</v>
      </c>
      <c r="Y161" s="258">
        <v>0</v>
      </c>
      <c r="Z161" s="258">
        <v>0</v>
      </c>
      <c r="AA161" s="258">
        <v>0</v>
      </c>
      <c r="AB161" s="258">
        <v>0</v>
      </c>
      <c r="AC161" s="258">
        <v>0</v>
      </c>
      <c r="AD161" s="258">
        <v>0</v>
      </c>
      <c r="AE161" s="258">
        <v>0</v>
      </c>
      <c r="AF161" s="258">
        <v>0</v>
      </c>
      <c r="AG161" s="258">
        <v>0</v>
      </c>
      <c r="AH161" s="258">
        <v>0</v>
      </c>
      <c r="AI161" s="258">
        <v>0</v>
      </c>
      <c r="AJ161" s="545">
        <v>0.1</v>
      </c>
      <c r="AK161" s="545">
        <v>0.1</v>
      </c>
    </row>
    <row r="162" spans="1:37" s="164" customFormat="1" ht="12.75" customHeight="1">
      <c r="A162" s="261" t="s">
        <v>636</v>
      </c>
      <c r="B162" s="106" t="s">
        <v>389</v>
      </c>
      <c r="C162" s="118">
        <v>1</v>
      </c>
      <c r="D162" s="118">
        <v>21</v>
      </c>
      <c r="E162" s="258"/>
      <c r="F162" s="258">
        <v>0</v>
      </c>
      <c r="G162" s="258">
        <v>1</v>
      </c>
      <c r="H162" s="258">
        <v>0</v>
      </c>
      <c r="I162" s="258">
        <v>0</v>
      </c>
      <c r="J162" s="258">
        <v>0</v>
      </c>
      <c r="K162" s="258">
        <v>0</v>
      </c>
      <c r="L162" s="258">
        <v>0.1</v>
      </c>
      <c r="M162" s="258">
        <v>0</v>
      </c>
      <c r="N162" s="258">
        <v>0</v>
      </c>
      <c r="O162" s="258">
        <v>0</v>
      </c>
      <c r="P162" s="258">
        <v>0</v>
      </c>
      <c r="Q162" s="545">
        <v>0.05</v>
      </c>
      <c r="R162" s="545">
        <v>0.05</v>
      </c>
      <c r="S162" s="258">
        <v>0</v>
      </c>
      <c r="T162" s="258">
        <v>0.1</v>
      </c>
      <c r="U162" s="258">
        <v>0.1</v>
      </c>
      <c r="V162" s="258">
        <v>0.1</v>
      </c>
      <c r="W162" s="258">
        <v>0.1</v>
      </c>
      <c r="X162" s="258">
        <v>0</v>
      </c>
      <c r="Y162" s="258">
        <v>0</v>
      </c>
      <c r="Z162" s="258">
        <v>0</v>
      </c>
      <c r="AA162" s="258">
        <v>0</v>
      </c>
      <c r="AB162" s="258">
        <v>0</v>
      </c>
      <c r="AC162" s="258">
        <v>0</v>
      </c>
      <c r="AD162" s="258">
        <v>0</v>
      </c>
      <c r="AE162" s="258">
        <v>0</v>
      </c>
      <c r="AF162" s="258">
        <v>0</v>
      </c>
      <c r="AG162" s="258">
        <v>0</v>
      </c>
      <c r="AH162" s="258">
        <v>0</v>
      </c>
      <c r="AI162" s="258">
        <v>0</v>
      </c>
      <c r="AJ162" s="545">
        <v>0.1</v>
      </c>
      <c r="AK162" s="545">
        <v>0.1</v>
      </c>
    </row>
    <row r="163" spans="1:37" s="164" customFormat="1" ht="12.75" customHeight="1">
      <c r="A163"/>
      <c r="B163"/>
      <c r="D163"/>
      <c r="F163" s="167"/>
      <c r="G163" s="167"/>
      <c r="H163" s="167"/>
      <c r="I163" s="167"/>
      <c r="J163" s="167"/>
      <c r="K163" s="167"/>
      <c r="L163" s="167"/>
      <c r="M163" s="167"/>
      <c r="N163" s="167"/>
      <c r="O163" s="167"/>
      <c r="P163" s="167"/>
      <c r="Q163" s="167"/>
      <c r="R163" s="167"/>
      <c r="S163" s="167"/>
      <c r="T163" s="167"/>
      <c r="U163" s="167"/>
      <c r="V163" s="167"/>
      <c r="W163" s="167"/>
      <c r="X163" s="167"/>
      <c r="Y163" s="167"/>
      <c r="Z163" s="167"/>
      <c r="AA163" s="167"/>
      <c r="AB163" s="167"/>
      <c r="AC163" s="167"/>
      <c r="AD163" s="167"/>
      <c r="AE163" s="167"/>
      <c r="AF163" s="167"/>
      <c r="AG163" s="167"/>
      <c r="AH163" s="167"/>
      <c r="AI163" s="167"/>
      <c r="AJ163" s="167"/>
      <c r="AK163" s="167"/>
    </row>
    <row r="164" spans="1:37" s="164" customFormat="1" ht="12.75" customHeight="1">
      <c r="B164" s="18" t="s">
        <v>587</v>
      </c>
      <c r="D164" s="18"/>
      <c r="E164" s="18"/>
      <c r="F164" s="167"/>
      <c r="G164" s="167"/>
    </row>
    <row r="165" spans="1:37" s="164" customFormat="1" ht="12.75" customHeight="1">
      <c r="B165" s="116"/>
      <c r="C165" s="116" t="str">
        <f>C$4</f>
        <v>crediting_type_dyn_aig</v>
      </c>
      <c r="D165" s="106" t="str">
        <f>D$4</f>
        <v>Value</v>
      </c>
      <c r="E165" s="106"/>
      <c r="F165" s="106" t="str">
        <f t="shared" ref="F165:G165" si="47">F$4</f>
        <v>FX1Fix</v>
      </c>
      <c r="G165" s="106" t="str">
        <f t="shared" si="47"/>
        <v>SP1Cap</v>
      </c>
      <c r="H165" s="106" t="str">
        <f>H$4</f>
        <v>ND1B10Cp</v>
      </c>
      <c r="I165" s="106" t="str">
        <f>I$4</f>
        <v>ND1B10Tri</v>
      </c>
      <c r="J165" s="106" t="str">
        <f>J$4</f>
        <v>ND1B10DDCp</v>
      </c>
      <c r="K165" s="106" t="str">
        <f>K$4</f>
        <v>SP1B10Cp</v>
      </c>
      <c r="L165" s="106" t="str">
        <f>L$4</f>
        <v>SP1B10PC</v>
      </c>
      <c r="M165" s="106" t="str">
        <f t="shared" ref="M165:N165" si="48">M$4</f>
        <v>SP1B10Tri</v>
      </c>
      <c r="N165" s="106" t="str">
        <f t="shared" si="48"/>
        <v>SP1B10DDCp</v>
      </c>
      <c r="O165" s="106" t="str">
        <f>O$4</f>
        <v>SP1B20Cp</v>
      </c>
      <c r="P165" s="106" t="str">
        <f t="shared" ref="P165:AK165" si="49">P$4</f>
        <v>SP1F10Cp</v>
      </c>
      <c r="Q165" s="106" t="str">
        <f t="shared" si="49"/>
        <v>SP1B10Pr</v>
      </c>
      <c r="R165" s="106" t="str">
        <f t="shared" si="49"/>
        <v>SP1P50Pr</v>
      </c>
      <c r="S165" s="106" t="str">
        <f t="shared" si="49"/>
        <v>SP6B10Cp</v>
      </c>
      <c r="T165" s="106" t="str">
        <f t="shared" si="49"/>
        <v>SP6B10Pr</v>
      </c>
      <c r="U165" s="106" t="str">
        <f t="shared" si="49"/>
        <v>SP6B10PC</v>
      </c>
      <c r="V165" s="106" t="str">
        <f t="shared" si="49"/>
        <v>SP6B10EPC</v>
      </c>
      <c r="W165" s="106" t="str">
        <f t="shared" si="49"/>
        <v>SP6B20EPC</v>
      </c>
      <c r="X165" s="106" t="str">
        <f t="shared" si="49"/>
        <v>SP6B10DDCp</v>
      </c>
      <c r="Y165" s="106" t="str">
        <f>Y$4</f>
        <v>SP6B20DDCp</v>
      </c>
      <c r="Z165" s="106" t="str">
        <f t="shared" si="49"/>
        <v>SP6B10ScCp</v>
      </c>
      <c r="AA165" s="106" t="str">
        <f t="shared" si="49"/>
        <v>SP6B20DDTriCap</v>
      </c>
      <c r="AB165" s="106" t="str">
        <f t="shared" si="49"/>
        <v>SP3K30DKO</v>
      </c>
      <c r="AC165" s="106" t="str">
        <f t="shared" si="49"/>
        <v>SP3K40DKO</v>
      </c>
      <c r="AD165" s="106" t="str">
        <f t="shared" si="49"/>
        <v>SP3K50DKO</v>
      </c>
      <c r="AE165" s="106" t="str">
        <f t="shared" si="49"/>
        <v>SP6K50DKO</v>
      </c>
      <c r="AF165" s="106" t="str">
        <f t="shared" si="49"/>
        <v>SP6K75DKO</v>
      </c>
      <c r="AG165" s="106" t="str">
        <f t="shared" si="49"/>
        <v>SP6K100DKO</v>
      </c>
      <c r="AH165" s="106" t="str">
        <f t="shared" si="49"/>
        <v>SP6B20Cp</v>
      </c>
      <c r="AI165" s="106" t="str">
        <f t="shared" si="49"/>
        <v>SP610FCp</v>
      </c>
      <c r="AJ165" s="106" t="str">
        <f t="shared" si="49"/>
        <v>SP6B20Pr</v>
      </c>
      <c r="AK165" s="106" t="str">
        <f t="shared" si="49"/>
        <v>SP6P50Pr</v>
      </c>
    </row>
    <row r="166" spans="1:37" s="164" customFormat="1" ht="12.75" customHeight="1">
      <c r="B166" s="118" t="s">
        <v>587</v>
      </c>
      <c r="C166" s="118"/>
      <c r="D166" s="320"/>
      <c r="E166" s="320"/>
      <c r="F166" s="167">
        <v>0</v>
      </c>
      <c r="G166" s="167">
        <v>9999</v>
      </c>
      <c r="H166" s="167">
        <v>9999</v>
      </c>
      <c r="I166" s="167">
        <v>9999</v>
      </c>
      <c r="J166" s="167">
        <v>9999</v>
      </c>
      <c r="K166" s="167">
        <v>9999</v>
      </c>
      <c r="L166" s="167">
        <v>9999</v>
      </c>
      <c r="M166" s="167">
        <v>9999</v>
      </c>
      <c r="N166" s="167">
        <v>9999</v>
      </c>
      <c r="O166" s="167">
        <v>9999</v>
      </c>
      <c r="P166" s="167">
        <v>9999</v>
      </c>
      <c r="Q166" s="167">
        <v>9999</v>
      </c>
      <c r="R166" s="167">
        <v>9999</v>
      </c>
      <c r="S166" s="167">
        <v>9999</v>
      </c>
      <c r="T166" s="167">
        <v>9999</v>
      </c>
      <c r="U166" s="167">
        <v>9999</v>
      </c>
      <c r="V166" s="167">
        <v>9999</v>
      </c>
      <c r="W166" s="167">
        <v>9999</v>
      </c>
      <c r="X166" s="167">
        <v>9999</v>
      </c>
      <c r="Y166" s="167">
        <v>9999</v>
      </c>
      <c r="Z166" s="167">
        <v>9999</v>
      </c>
      <c r="AA166" s="167">
        <v>9999</v>
      </c>
      <c r="AB166" s="167">
        <v>9999</v>
      </c>
      <c r="AC166" s="167">
        <v>9999</v>
      </c>
      <c r="AD166" s="167">
        <v>9999</v>
      </c>
      <c r="AE166" s="167">
        <v>9999</v>
      </c>
      <c r="AF166" s="167">
        <v>9999</v>
      </c>
      <c r="AG166" s="167">
        <v>9999</v>
      </c>
      <c r="AH166" s="167">
        <v>9999</v>
      </c>
      <c r="AI166" s="167">
        <v>9999</v>
      </c>
      <c r="AJ166" s="167">
        <v>9999</v>
      </c>
      <c r="AK166" s="167">
        <v>9999</v>
      </c>
    </row>
    <row r="167" spans="1:37" s="164" customFormat="1" ht="12.75" customHeight="1">
      <c r="A167"/>
      <c r="B167"/>
      <c r="D167"/>
      <c r="F167" s="167"/>
      <c r="G167" s="167"/>
      <c r="H167" s="167"/>
      <c r="I167" s="167"/>
      <c r="J167" s="167"/>
      <c r="K167" s="167"/>
      <c r="L167" s="167"/>
      <c r="M167" s="167"/>
      <c r="N167" s="167"/>
      <c r="O167" s="167"/>
      <c r="P167" s="167"/>
      <c r="Q167" s="167"/>
      <c r="R167" s="167"/>
      <c r="S167" s="167"/>
      <c r="T167" s="167"/>
      <c r="U167" s="167"/>
      <c r="V167" s="167"/>
      <c r="W167" s="167"/>
      <c r="X167" s="167"/>
      <c r="Y167" s="167"/>
      <c r="Z167" s="167"/>
      <c r="AA167" s="167"/>
      <c r="AB167" s="167"/>
      <c r="AC167" s="167"/>
      <c r="AD167" s="167"/>
      <c r="AE167" s="167"/>
      <c r="AF167" s="167"/>
      <c r="AG167" s="167"/>
      <c r="AH167" s="167"/>
      <c r="AI167" s="167"/>
      <c r="AJ167" s="167"/>
      <c r="AK167" s="167"/>
    </row>
    <row r="168" spans="1:37" s="164" customFormat="1" ht="12.75" customHeight="1">
      <c r="A168" s="33" t="str">
        <f ca="1">GetNameRange(A169)</f>
        <v>index_term_part_rate_max_aig</v>
      </c>
      <c r="B168"/>
      <c r="C168"/>
      <c r="D168" s="18"/>
      <c r="E168" s="18"/>
      <c r="F168" s="242"/>
      <c r="G168" s="242"/>
      <c r="H168" s="242"/>
      <c r="I168" s="242"/>
      <c r="J168" s="242"/>
      <c r="K168" s="242"/>
      <c r="L168" s="242"/>
      <c r="M168" s="242"/>
      <c r="N168" s="242"/>
      <c r="O168" s="242"/>
      <c r="P168" s="242"/>
      <c r="Q168" s="242"/>
      <c r="R168" s="242"/>
      <c r="S168" s="242"/>
      <c r="T168" s="242"/>
      <c r="U168" s="242"/>
      <c r="V168" s="167"/>
      <c r="W168" s="167"/>
      <c r="X168" s="242"/>
      <c r="Y168" s="242"/>
      <c r="Z168" s="242"/>
      <c r="AA168" s="242"/>
      <c r="AB168" s="242"/>
      <c r="AC168" s="242"/>
      <c r="AD168" s="242"/>
      <c r="AE168" s="242"/>
      <c r="AF168" s="242"/>
      <c r="AG168" s="242"/>
      <c r="AH168" s="242"/>
      <c r="AI168" s="242"/>
      <c r="AJ168" s="242"/>
      <c r="AK168" s="242"/>
    </row>
    <row r="169" spans="1:37" s="164" customFormat="1" ht="12.75" customHeight="1">
      <c r="A169" s="116"/>
      <c r="B169" s="116"/>
      <c r="C169" s="116" t="str">
        <f>C$4</f>
        <v>crediting_type_dyn_aig</v>
      </c>
      <c r="D169" s="106" t="str">
        <f>D$4</f>
        <v>Value</v>
      </c>
      <c r="E169" s="106"/>
      <c r="F169" s="106" t="str">
        <f t="shared" ref="F169:G169" si="50">F$4</f>
        <v>FX1Fix</v>
      </c>
      <c r="G169" s="106" t="str">
        <f t="shared" si="50"/>
        <v>SP1Cap</v>
      </c>
      <c r="H169" s="106" t="str">
        <f>H$4</f>
        <v>ND1B10Cp</v>
      </c>
      <c r="I169" s="106" t="str">
        <f>I$4</f>
        <v>ND1B10Tri</v>
      </c>
      <c r="J169" s="106" t="str">
        <f>J$4</f>
        <v>ND1B10DDCp</v>
      </c>
      <c r="K169" s="106" t="str">
        <f>K$4</f>
        <v>SP1B10Cp</v>
      </c>
      <c r="L169" s="106" t="str">
        <f>L$4</f>
        <v>SP1B10PC</v>
      </c>
      <c r="M169" s="106" t="str">
        <f t="shared" ref="M169:N169" si="51">M$4</f>
        <v>SP1B10Tri</v>
      </c>
      <c r="N169" s="106" t="str">
        <f t="shared" si="51"/>
        <v>SP1B10DDCp</v>
      </c>
      <c r="O169" s="106" t="str">
        <f>O$4</f>
        <v>SP1B20Cp</v>
      </c>
      <c r="P169" s="106" t="str">
        <f t="shared" ref="P169:AK169" si="52">P$4</f>
        <v>SP1F10Cp</v>
      </c>
      <c r="Q169" s="106" t="str">
        <f t="shared" si="52"/>
        <v>SP1B10Pr</v>
      </c>
      <c r="R169" s="106" t="str">
        <f t="shared" si="52"/>
        <v>SP1P50Pr</v>
      </c>
      <c r="S169" s="106" t="str">
        <f t="shared" si="52"/>
        <v>SP6B10Cp</v>
      </c>
      <c r="T169" s="106" t="str">
        <f t="shared" si="52"/>
        <v>SP6B10Pr</v>
      </c>
      <c r="U169" s="106" t="str">
        <f t="shared" si="52"/>
        <v>SP6B10PC</v>
      </c>
      <c r="V169" s="106" t="str">
        <f t="shared" si="52"/>
        <v>SP6B10EPC</v>
      </c>
      <c r="W169" s="106" t="str">
        <f t="shared" si="52"/>
        <v>SP6B20EPC</v>
      </c>
      <c r="X169" s="106" t="str">
        <f t="shared" si="52"/>
        <v>SP6B10DDCp</v>
      </c>
      <c r="Y169" s="106" t="str">
        <f>Y$4</f>
        <v>SP6B20DDCp</v>
      </c>
      <c r="Z169" s="106" t="str">
        <f t="shared" si="52"/>
        <v>SP6B10ScCp</v>
      </c>
      <c r="AA169" s="106" t="str">
        <f t="shared" si="52"/>
        <v>SP6B20DDTriCap</v>
      </c>
      <c r="AB169" s="106" t="str">
        <f t="shared" si="52"/>
        <v>SP3K30DKO</v>
      </c>
      <c r="AC169" s="106" t="str">
        <f t="shared" si="52"/>
        <v>SP3K40DKO</v>
      </c>
      <c r="AD169" s="106" t="str">
        <f t="shared" si="52"/>
        <v>SP3K50DKO</v>
      </c>
      <c r="AE169" s="106" t="str">
        <f t="shared" si="52"/>
        <v>SP6K50DKO</v>
      </c>
      <c r="AF169" s="106" t="str">
        <f t="shared" si="52"/>
        <v>SP6K75DKO</v>
      </c>
      <c r="AG169" s="106" t="str">
        <f t="shared" si="52"/>
        <v>SP6K100DKO</v>
      </c>
      <c r="AH169" s="106" t="str">
        <f t="shared" si="52"/>
        <v>SP6B20Cp</v>
      </c>
      <c r="AI169" s="106" t="str">
        <f t="shared" si="52"/>
        <v>SP610FCp</v>
      </c>
      <c r="AJ169" s="106" t="str">
        <f t="shared" si="52"/>
        <v>SP6B20Pr</v>
      </c>
      <c r="AK169" s="106" t="str">
        <f t="shared" si="52"/>
        <v>SP6P50Pr</v>
      </c>
    </row>
    <row r="170" spans="1:37" s="164" customFormat="1" ht="12.75" customHeight="1">
      <c r="A170" s="347" t="s">
        <v>412</v>
      </c>
      <c r="B170" s="347" t="s">
        <v>412</v>
      </c>
      <c r="C170" s="391" t="s">
        <v>163</v>
      </c>
      <c r="D170" s="393"/>
      <c r="E170" s="393"/>
      <c r="F170" s="394"/>
      <c r="G170" s="394"/>
      <c r="H170" s="394"/>
      <c r="I170" s="394"/>
      <c r="J170" s="394"/>
      <c r="K170" s="394"/>
      <c r="L170" s="394"/>
      <c r="M170" s="394"/>
      <c r="N170" s="394"/>
      <c r="O170" s="394"/>
      <c r="P170" s="394"/>
      <c r="Q170" s="394"/>
      <c r="R170" s="394"/>
      <c r="S170" s="394"/>
      <c r="T170" s="394"/>
      <c r="U170" s="394"/>
      <c r="V170" s="454"/>
      <c r="W170" s="454"/>
      <c r="X170" s="394"/>
      <c r="Y170" s="394"/>
      <c r="Z170" s="394"/>
      <c r="AA170" s="394"/>
      <c r="AB170" s="394"/>
      <c r="AC170" s="394"/>
      <c r="AD170" s="394"/>
      <c r="AE170" s="394"/>
      <c r="AF170" s="394"/>
      <c r="AG170" s="394"/>
      <c r="AH170" s="394"/>
      <c r="AI170" s="394"/>
      <c r="AJ170" s="394"/>
      <c r="AK170" s="394"/>
    </row>
    <row r="171" spans="1:37" s="164" customFormat="1" ht="12.75" hidden="1" customHeight="1">
      <c r="A171" s="261" t="s">
        <v>636</v>
      </c>
      <c r="B171" s="106" t="s">
        <v>480</v>
      </c>
      <c r="C171" s="118">
        <v>0</v>
      </c>
      <c r="D171" s="160"/>
      <c r="E171" s="160"/>
      <c r="F171" s="259">
        <v>0</v>
      </c>
      <c r="G171" s="259">
        <v>9999</v>
      </c>
      <c r="H171" s="259">
        <v>9999</v>
      </c>
      <c r="I171" s="259">
        <v>9999</v>
      </c>
      <c r="J171" s="259">
        <v>9999</v>
      </c>
      <c r="K171" s="259">
        <v>9999</v>
      </c>
      <c r="L171" s="259">
        <v>9999</v>
      </c>
      <c r="M171" s="259">
        <v>9999</v>
      </c>
      <c r="N171" s="259">
        <v>9999</v>
      </c>
      <c r="O171" s="259">
        <v>9999</v>
      </c>
      <c r="P171" s="259">
        <v>9999</v>
      </c>
      <c r="Q171" s="259">
        <v>9999</v>
      </c>
      <c r="R171" s="259">
        <v>9999</v>
      </c>
      <c r="S171" s="259">
        <v>9999</v>
      </c>
      <c r="T171" s="259">
        <v>9999</v>
      </c>
      <c r="U171" s="259">
        <v>9999</v>
      </c>
      <c r="V171" s="167">
        <v>9999</v>
      </c>
      <c r="W171" s="167">
        <v>9999</v>
      </c>
      <c r="X171" s="259">
        <v>9999</v>
      </c>
      <c r="Y171" s="259">
        <v>9999</v>
      </c>
      <c r="Z171" s="259">
        <v>9999</v>
      </c>
      <c r="AA171" s="259">
        <v>9999</v>
      </c>
      <c r="AB171" s="259">
        <v>9999</v>
      </c>
      <c r="AC171" s="259">
        <v>9999</v>
      </c>
      <c r="AD171" s="259">
        <v>9999</v>
      </c>
      <c r="AE171" s="259">
        <v>9999</v>
      </c>
      <c r="AF171" s="259">
        <v>9999</v>
      </c>
      <c r="AG171" s="259">
        <v>9999</v>
      </c>
      <c r="AH171" s="259">
        <v>9999</v>
      </c>
      <c r="AI171" s="259">
        <v>9999</v>
      </c>
      <c r="AJ171" s="259">
        <v>9999</v>
      </c>
      <c r="AK171" s="259">
        <v>9999</v>
      </c>
    </row>
    <row r="172" spans="1:37" s="164" customFormat="1" ht="12.75" hidden="1" customHeight="1">
      <c r="A172" s="261" t="s">
        <v>636</v>
      </c>
      <c r="B172" s="106" t="s">
        <v>480</v>
      </c>
      <c r="C172" s="118">
        <v>11</v>
      </c>
      <c r="D172" s="160"/>
      <c r="E172" s="160"/>
      <c r="F172" s="259">
        <v>0</v>
      </c>
      <c r="G172" s="259">
        <v>9999</v>
      </c>
      <c r="H172" s="259">
        <v>9999</v>
      </c>
      <c r="I172" s="259">
        <v>9999</v>
      </c>
      <c r="J172" s="259">
        <v>9999</v>
      </c>
      <c r="K172" s="259">
        <v>9999</v>
      </c>
      <c r="L172" s="259">
        <v>9999</v>
      </c>
      <c r="M172" s="259">
        <v>9999</v>
      </c>
      <c r="N172" s="259">
        <v>9999</v>
      </c>
      <c r="O172" s="259">
        <v>9999</v>
      </c>
      <c r="P172" s="259">
        <v>9999</v>
      </c>
      <c r="Q172" s="259">
        <v>9999</v>
      </c>
      <c r="R172" s="259">
        <v>9999</v>
      </c>
      <c r="S172" s="259">
        <v>9999</v>
      </c>
      <c r="T172" s="259">
        <v>9999</v>
      </c>
      <c r="U172" s="259">
        <v>9999</v>
      </c>
      <c r="V172" s="167">
        <v>9999</v>
      </c>
      <c r="W172" s="167">
        <v>9999</v>
      </c>
      <c r="X172" s="259">
        <v>9999</v>
      </c>
      <c r="Y172" s="259">
        <v>9999</v>
      </c>
      <c r="Z172" s="259">
        <v>9999</v>
      </c>
      <c r="AA172" s="259">
        <v>9999</v>
      </c>
      <c r="AB172" s="259">
        <v>9999</v>
      </c>
      <c r="AC172" s="259">
        <v>9999</v>
      </c>
      <c r="AD172" s="259">
        <v>9999</v>
      </c>
      <c r="AE172" s="259">
        <v>9999</v>
      </c>
      <c r="AF172" s="259">
        <v>9999</v>
      </c>
      <c r="AG172" s="259">
        <v>9999</v>
      </c>
      <c r="AH172" s="259">
        <v>9999</v>
      </c>
      <c r="AI172" s="259">
        <v>9999</v>
      </c>
      <c r="AJ172" s="259">
        <v>9999</v>
      </c>
      <c r="AK172" s="259">
        <v>9999</v>
      </c>
    </row>
    <row r="173" spans="1:37" s="164" customFormat="1" ht="12.75" customHeight="1">
      <c r="A173" s="261" t="s">
        <v>636</v>
      </c>
      <c r="B173" s="106" t="s">
        <v>389</v>
      </c>
      <c r="C173" s="118">
        <v>0</v>
      </c>
      <c r="D173" s="160"/>
      <c r="E173" s="160"/>
      <c r="F173" s="259">
        <v>0</v>
      </c>
      <c r="G173" s="259">
        <v>9999</v>
      </c>
      <c r="H173" s="259">
        <v>9999</v>
      </c>
      <c r="I173" s="259">
        <v>9999</v>
      </c>
      <c r="J173" s="259">
        <v>9999</v>
      </c>
      <c r="K173" s="259">
        <v>9999</v>
      </c>
      <c r="L173" s="259">
        <v>9999</v>
      </c>
      <c r="M173" s="259">
        <v>9999</v>
      </c>
      <c r="N173" s="259">
        <v>9999</v>
      </c>
      <c r="O173" s="259">
        <v>9999</v>
      </c>
      <c r="P173" s="259">
        <v>9999</v>
      </c>
      <c r="Q173" s="259">
        <v>9999</v>
      </c>
      <c r="R173" s="259">
        <v>9999</v>
      </c>
      <c r="S173" s="259">
        <v>9999</v>
      </c>
      <c r="T173" s="259">
        <v>9999</v>
      </c>
      <c r="U173" s="259">
        <v>9999</v>
      </c>
      <c r="V173" s="167">
        <v>9999</v>
      </c>
      <c r="W173" s="167">
        <v>9999</v>
      </c>
      <c r="X173" s="259">
        <v>9999</v>
      </c>
      <c r="Y173" s="259">
        <v>9999</v>
      </c>
      <c r="Z173" s="259">
        <v>9999</v>
      </c>
      <c r="AA173" s="259">
        <v>9999</v>
      </c>
      <c r="AB173" s="259">
        <v>9999</v>
      </c>
      <c r="AC173" s="259">
        <v>9999</v>
      </c>
      <c r="AD173" s="259">
        <v>9999</v>
      </c>
      <c r="AE173" s="259">
        <v>9999</v>
      </c>
      <c r="AF173" s="259">
        <v>9999</v>
      </c>
      <c r="AG173" s="259">
        <v>9999</v>
      </c>
      <c r="AH173" s="259">
        <v>9999</v>
      </c>
      <c r="AI173" s="259">
        <v>9999</v>
      </c>
      <c r="AJ173" s="259">
        <v>9999</v>
      </c>
      <c r="AK173" s="259">
        <v>9999</v>
      </c>
    </row>
    <row r="174" spans="1:37" s="164" customFormat="1" ht="12.75" customHeight="1">
      <c r="A174" s="261" t="s">
        <v>636</v>
      </c>
      <c r="B174" s="106" t="s">
        <v>389</v>
      </c>
      <c r="C174" s="118">
        <v>11</v>
      </c>
      <c r="D174" s="160"/>
      <c r="E174" s="160"/>
      <c r="F174" s="259">
        <v>0</v>
      </c>
      <c r="G174" s="259">
        <v>9999</v>
      </c>
      <c r="H174" s="259">
        <v>9999</v>
      </c>
      <c r="I174" s="259">
        <v>9999</v>
      </c>
      <c r="J174" s="259">
        <v>9999</v>
      </c>
      <c r="K174" s="259">
        <v>9999</v>
      </c>
      <c r="L174" s="259">
        <v>9999</v>
      </c>
      <c r="M174" s="259">
        <v>9999</v>
      </c>
      <c r="N174" s="259">
        <v>9999</v>
      </c>
      <c r="O174" s="259">
        <v>9999</v>
      </c>
      <c r="P174" s="259">
        <v>9999</v>
      </c>
      <c r="Q174" s="259">
        <v>9999</v>
      </c>
      <c r="R174" s="259">
        <v>9999</v>
      </c>
      <c r="S174" s="259">
        <v>9999</v>
      </c>
      <c r="T174" s="259">
        <v>9999</v>
      </c>
      <c r="U174" s="259">
        <v>9999</v>
      </c>
      <c r="V174" s="167">
        <v>9999</v>
      </c>
      <c r="W174" s="167">
        <v>9999</v>
      </c>
      <c r="X174" s="259">
        <v>9999</v>
      </c>
      <c r="Y174" s="259">
        <v>9999</v>
      </c>
      <c r="Z174" s="259">
        <v>9999</v>
      </c>
      <c r="AA174" s="259">
        <v>9999</v>
      </c>
      <c r="AB174" s="259">
        <v>9999</v>
      </c>
      <c r="AC174" s="259">
        <v>9999</v>
      </c>
      <c r="AD174" s="259">
        <v>9999</v>
      </c>
      <c r="AE174" s="259">
        <v>9999</v>
      </c>
      <c r="AF174" s="259">
        <v>9999</v>
      </c>
      <c r="AG174" s="259">
        <v>9999</v>
      </c>
      <c r="AH174" s="259">
        <v>9999</v>
      </c>
      <c r="AI174" s="259">
        <v>9999</v>
      </c>
      <c r="AJ174" s="259">
        <v>9999</v>
      </c>
      <c r="AK174" s="259">
        <v>9999</v>
      </c>
    </row>
    <row r="175" spans="1:37" s="164" customFormat="1" ht="12.75" customHeight="1">
      <c r="A175" s="261" t="s">
        <v>636</v>
      </c>
      <c r="B175" s="106" t="s">
        <v>389</v>
      </c>
      <c r="C175" s="118">
        <v>21</v>
      </c>
      <c r="D175" s="160"/>
      <c r="E175" s="160"/>
      <c r="F175" s="259">
        <v>0</v>
      </c>
      <c r="G175" s="259">
        <v>9999</v>
      </c>
      <c r="H175" s="259">
        <v>9999</v>
      </c>
      <c r="I175" s="259">
        <v>9999</v>
      </c>
      <c r="J175" s="259">
        <v>9999</v>
      </c>
      <c r="K175" s="259">
        <v>9999</v>
      </c>
      <c r="L175" s="259">
        <v>9999</v>
      </c>
      <c r="M175" s="259">
        <v>9999</v>
      </c>
      <c r="N175" s="259">
        <v>9999</v>
      </c>
      <c r="O175" s="259">
        <v>9999</v>
      </c>
      <c r="P175" s="259">
        <v>9999</v>
      </c>
      <c r="Q175" s="259">
        <v>9999</v>
      </c>
      <c r="R175" s="259">
        <v>9999</v>
      </c>
      <c r="S175" s="259">
        <v>9999</v>
      </c>
      <c r="T175" s="259">
        <v>9999</v>
      </c>
      <c r="U175" s="259">
        <v>9999</v>
      </c>
      <c r="V175" s="167">
        <v>9999</v>
      </c>
      <c r="W175" s="167">
        <v>9999</v>
      </c>
      <c r="X175" s="259">
        <v>9999</v>
      </c>
      <c r="Y175" s="259">
        <v>9999</v>
      </c>
      <c r="Z175" s="259">
        <v>9999</v>
      </c>
      <c r="AA175" s="259">
        <v>9999</v>
      </c>
      <c r="AB175" s="259">
        <v>9999</v>
      </c>
      <c r="AC175" s="259">
        <v>9999</v>
      </c>
      <c r="AD175" s="259">
        <v>9999</v>
      </c>
      <c r="AE175" s="259">
        <v>9999</v>
      </c>
      <c r="AF175" s="259">
        <v>9999</v>
      </c>
      <c r="AG175" s="259">
        <v>9999</v>
      </c>
      <c r="AH175" s="259">
        <v>9999</v>
      </c>
      <c r="AI175" s="259">
        <v>9999</v>
      </c>
      <c r="AJ175" s="259">
        <v>9999</v>
      </c>
      <c r="AK175" s="259">
        <v>9999</v>
      </c>
    </row>
    <row r="176" spans="1:37" s="164" customFormat="1" ht="12.75" customHeight="1">
      <c r="A176"/>
      <c r="B176"/>
      <c r="C176"/>
      <c r="D176"/>
      <c r="F176" s="253"/>
      <c r="G176" s="253"/>
      <c r="H176" s="253"/>
      <c r="I176" s="253"/>
      <c r="J176" s="253"/>
      <c r="K176" s="253"/>
      <c r="L176" s="253"/>
      <c r="M176" s="253"/>
      <c r="N176" s="253"/>
      <c r="O176" s="253"/>
      <c r="P176" s="253"/>
      <c r="Q176" s="253"/>
      <c r="R176" s="253"/>
      <c r="S176" s="253"/>
      <c r="T176" s="253"/>
      <c r="U176" s="253"/>
      <c r="V176" s="253"/>
      <c r="W176" s="253"/>
      <c r="X176" s="253"/>
      <c r="Y176" s="253"/>
      <c r="Z176" s="253"/>
      <c r="AA176" s="253"/>
      <c r="AB176" s="253"/>
      <c r="AC176" s="253"/>
      <c r="AD176" s="253"/>
      <c r="AE176" s="253"/>
      <c r="AF176" s="253"/>
      <c r="AG176" s="253"/>
      <c r="AH176" s="253"/>
      <c r="AI176" s="253"/>
      <c r="AJ176" s="253"/>
      <c r="AK176" s="253"/>
    </row>
    <row r="177" spans="1:37" s="164" customFormat="1" ht="12.75" customHeight="1">
      <c r="A177"/>
      <c r="B177"/>
      <c r="C177"/>
      <c r="D177"/>
      <c r="F177" s="167"/>
      <c r="G177" s="167"/>
      <c r="H177" s="167"/>
      <c r="I177" s="167"/>
      <c r="J177" s="167"/>
      <c r="K177" s="167"/>
      <c r="L177" s="167"/>
      <c r="M177" s="167"/>
      <c r="N177" s="167"/>
      <c r="O177" s="167"/>
      <c r="P177" s="167"/>
      <c r="Q177" s="167"/>
      <c r="R177" s="167"/>
      <c r="S177" s="167"/>
      <c r="T177" s="167"/>
      <c r="U177" s="167"/>
      <c r="V177" s="167"/>
      <c r="W177" s="167"/>
      <c r="X177" s="167"/>
      <c r="Y177" s="167"/>
      <c r="Z177" s="167"/>
      <c r="AA177" s="167"/>
      <c r="AB177" s="167"/>
      <c r="AC177" s="167"/>
      <c r="AD177" s="167"/>
      <c r="AE177" s="167"/>
      <c r="AF177" s="167"/>
      <c r="AG177" s="167"/>
      <c r="AH177" s="167"/>
      <c r="AI177" s="167"/>
      <c r="AJ177" s="167"/>
      <c r="AK177" s="167"/>
    </row>
    <row r="178" spans="1:37" s="164" customFormat="1" ht="12.75" customHeight="1">
      <c r="A178"/>
      <c r="B178" s="33" t="str">
        <f ca="1">GetNameRange(B179)</f>
        <v>index_term_sprd_rate_min_aig</v>
      </c>
      <c r="C178"/>
      <c r="D178" s="18"/>
      <c r="E178" s="18"/>
      <c r="F178" s="242"/>
      <c r="G178" s="242"/>
      <c r="H178" s="242"/>
      <c r="I178" s="242"/>
      <c r="J178" s="242"/>
      <c r="K178" s="242"/>
      <c r="L178" s="242"/>
      <c r="M178" s="242"/>
      <c r="N178" s="242"/>
      <c r="O178" s="242"/>
      <c r="P178" s="242"/>
      <c r="Q178" s="242"/>
      <c r="R178" s="242"/>
      <c r="S178" s="242"/>
      <c r="T178" s="242"/>
      <c r="U178" s="242"/>
      <c r="V178" s="167"/>
      <c r="W178" s="167"/>
      <c r="X178" s="242"/>
      <c r="Y178" s="242"/>
      <c r="Z178" s="242"/>
      <c r="AA178" s="242"/>
      <c r="AB178" s="242"/>
      <c r="AC178" s="242"/>
      <c r="AD178" s="242"/>
      <c r="AE178" s="242"/>
      <c r="AF178" s="242"/>
      <c r="AG178" s="242"/>
      <c r="AH178" s="242"/>
      <c r="AI178" s="242"/>
      <c r="AJ178" s="242"/>
      <c r="AK178" s="242"/>
    </row>
    <row r="179" spans="1:37" s="164" customFormat="1" ht="12.75" customHeight="1">
      <c r="A179"/>
      <c r="B179" s="116"/>
      <c r="C179" s="116" t="str">
        <f>C$4</f>
        <v>crediting_type_dyn_aig</v>
      </c>
      <c r="D179" s="116"/>
      <c r="E179" s="116"/>
      <c r="F179" s="106" t="str">
        <f t="shared" ref="F179:K179" si="53">F$4</f>
        <v>FX1Fix</v>
      </c>
      <c r="G179" s="106" t="str">
        <f t="shared" si="53"/>
        <v>SP1Cap</v>
      </c>
      <c r="H179" s="106" t="str">
        <f t="shared" si="53"/>
        <v>ND1B10Cp</v>
      </c>
      <c r="I179" s="106" t="str">
        <f t="shared" si="53"/>
        <v>ND1B10Tri</v>
      </c>
      <c r="J179" s="106" t="str">
        <f t="shared" si="53"/>
        <v>ND1B10DDCp</v>
      </c>
      <c r="K179" s="106" t="str">
        <f t="shared" si="53"/>
        <v>SP1B10Cp</v>
      </c>
      <c r="L179" s="106" t="str">
        <f>L$4</f>
        <v>SP1B10PC</v>
      </c>
      <c r="M179" s="106" t="str">
        <f t="shared" ref="M179:N179" si="54">M$4</f>
        <v>SP1B10Tri</v>
      </c>
      <c r="N179" s="106" t="str">
        <f t="shared" si="54"/>
        <v>SP1B10DDCp</v>
      </c>
      <c r="O179" s="106" t="str">
        <f>O$4</f>
        <v>SP1B20Cp</v>
      </c>
      <c r="P179" s="106" t="str">
        <f t="shared" ref="P179:AK179" si="55">P$4</f>
        <v>SP1F10Cp</v>
      </c>
      <c r="Q179" s="106" t="str">
        <f t="shared" si="55"/>
        <v>SP1B10Pr</v>
      </c>
      <c r="R179" s="106" t="str">
        <f t="shared" si="55"/>
        <v>SP1P50Pr</v>
      </c>
      <c r="S179" s="106" t="str">
        <f t="shared" si="55"/>
        <v>SP6B10Cp</v>
      </c>
      <c r="T179" s="106" t="str">
        <f t="shared" si="55"/>
        <v>SP6B10Pr</v>
      </c>
      <c r="U179" s="106" t="str">
        <f t="shared" si="55"/>
        <v>SP6B10PC</v>
      </c>
      <c r="V179" s="106" t="str">
        <f t="shared" si="55"/>
        <v>SP6B10EPC</v>
      </c>
      <c r="W179" s="106" t="str">
        <f t="shared" si="55"/>
        <v>SP6B20EPC</v>
      </c>
      <c r="X179" s="106" t="str">
        <f t="shared" si="55"/>
        <v>SP6B10DDCp</v>
      </c>
      <c r="Y179" s="106" t="str">
        <f>Y$4</f>
        <v>SP6B20DDCp</v>
      </c>
      <c r="Z179" s="106" t="str">
        <f t="shared" si="55"/>
        <v>SP6B10ScCp</v>
      </c>
      <c r="AA179" s="106" t="str">
        <f t="shared" si="55"/>
        <v>SP6B20DDTriCap</v>
      </c>
      <c r="AB179" s="106" t="str">
        <f t="shared" si="55"/>
        <v>SP3K30DKO</v>
      </c>
      <c r="AC179" s="106" t="str">
        <f t="shared" si="55"/>
        <v>SP3K40DKO</v>
      </c>
      <c r="AD179" s="106" t="str">
        <f t="shared" si="55"/>
        <v>SP3K50DKO</v>
      </c>
      <c r="AE179" s="106" t="str">
        <f t="shared" si="55"/>
        <v>SP6K50DKO</v>
      </c>
      <c r="AF179" s="106" t="str">
        <f t="shared" si="55"/>
        <v>SP6K75DKO</v>
      </c>
      <c r="AG179" s="106" t="str">
        <f t="shared" si="55"/>
        <v>SP6K100DKO</v>
      </c>
      <c r="AH179" s="106" t="str">
        <f t="shared" si="55"/>
        <v>SP6B20Cp</v>
      </c>
      <c r="AI179" s="106" t="str">
        <f t="shared" si="55"/>
        <v>SP610FCp</v>
      </c>
      <c r="AJ179" s="106" t="str">
        <f t="shared" si="55"/>
        <v>SP6B20Pr</v>
      </c>
      <c r="AK179" s="106" t="str">
        <f t="shared" si="55"/>
        <v>SP6P50Pr</v>
      </c>
    </row>
    <row r="180" spans="1:37" s="164" customFormat="1" ht="12.75" customHeight="1">
      <c r="A180"/>
      <c r="B180" s="117" t="s">
        <v>163</v>
      </c>
      <c r="C180" s="117"/>
      <c r="D180" s="117"/>
      <c r="E180" s="117"/>
      <c r="F180" s="251"/>
      <c r="G180" s="251"/>
      <c r="H180" s="251"/>
      <c r="I180" s="251"/>
      <c r="J180" s="251"/>
      <c r="K180" s="251"/>
      <c r="L180" s="251"/>
      <c r="M180" s="251"/>
      <c r="N180" s="251"/>
      <c r="O180" s="251"/>
      <c r="P180" s="251"/>
      <c r="Q180" s="251"/>
      <c r="R180" s="251"/>
      <c r="S180" s="251"/>
      <c r="T180" s="251"/>
      <c r="U180" s="251"/>
      <c r="V180" s="251"/>
      <c r="W180" s="251"/>
      <c r="X180" s="251"/>
      <c r="Y180" s="251"/>
      <c r="Z180" s="251"/>
      <c r="AA180" s="251"/>
      <c r="AB180" s="251"/>
      <c r="AC180" s="251"/>
      <c r="AD180" s="251"/>
      <c r="AE180" s="251"/>
      <c r="AF180" s="251"/>
      <c r="AG180" s="251"/>
      <c r="AH180" s="251"/>
      <c r="AI180" s="251"/>
      <c r="AJ180" s="251"/>
      <c r="AK180" s="251"/>
    </row>
    <row r="181" spans="1:37" s="164" customFormat="1" ht="12.75" customHeight="1">
      <c r="B181" s="118">
        <v>0</v>
      </c>
      <c r="C181" s="261"/>
      <c r="D181" s="160"/>
      <c r="E181" s="160"/>
      <c r="F181" s="251">
        <v>0</v>
      </c>
      <c r="G181" s="251">
        <v>0</v>
      </c>
      <c r="H181" s="251">
        <v>0</v>
      </c>
      <c r="I181" s="251">
        <v>0</v>
      </c>
      <c r="J181" s="251">
        <v>0</v>
      </c>
      <c r="K181" s="251">
        <v>0</v>
      </c>
      <c r="L181" s="251">
        <v>0</v>
      </c>
      <c r="M181" s="251">
        <v>0</v>
      </c>
      <c r="N181" s="251">
        <v>0</v>
      </c>
      <c r="O181" s="251">
        <v>0</v>
      </c>
      <c r="P181" s="251">
        <v>0</v>
      </c>
      <c r="Q181" s="251">
        <v>0</v>
      </c>
      <c r="R181" s="251">
        <v>0</v>
      </c>
      <c r="S181" s="251">
        <v>0</v>
      </c>
      <c r="T181" s="251">
        <v>0</v>
      </c>
      <c r="U181" s="251">
        <v>0</v>
      </c>
      <c r="V181" s="251">
        <v>0</v>
      </c>
      <c r="W181" s="251">
        <v>0</v>
      </c>
      <c r="X181" s="251">
        <v>0</v>
      </c>
      <c r="Y181" s="251">
        <v>0</v>
      </c>
      <c r="Z181" s="251">
        <v>0</v>
      </c>
      <c r="AA181" s="251">
        <v>0</v>
      </c>
      <c r="AB181" s="251">
        <v>0</v>
      </c>
      <c r="AC181" s="251">
        <v>0</v>
      </c>
      <c r="AD181" s="251">
        <v>0</v>
      </c>
      <c r="AE181" s="251">
        <v>0</v>
      </c>
      <c r="AF181" s="251">
        <v>0</v>
      </c>
      <c r="AG181" s="251">
        <v>0</v>
      </c>
      <c r="AH181" s="251">
        <v>0</v>
      </c>
      <c r="AI181" s="251">
        <v>0</v>
      </c>
      <c r="AJ181" s="251">
        <v>0</v>
      </c>
      <c r="AK181" s="251">
        <v>0</v>
      </c>
    </row>
    <row r="182" spans="1:37" s="164" customFormat="1" ht="12.75" customHeight="1">
      <c r="B182" s="118">
        <v>11</v>
      </c>
      <c r="C182" s="261"/>
      <c r="D182" s="160"/>
      <c r="E182" s="160"/>
      <c r="F182" s="251">
        <v>0</v>
      </c>
      <c r="G182" s="251">
        <v>0</v>
      </c>
      <c r="H182" s="251">
        <v>0</v>
      </c>
      <c r="I182" s="251">
        <v>0</v>
      </c>
      <c r="J182" s="251">
        <v>0</v>
      </c>
      <c r="K182" s="251">
        <v>0</v>
      </c>
      <c r="L182" s="251">
        <v>0</v>
      </c>
      <c r="M182" s="251">
        <v>0</v>
      </c>
      <c r="N182" s="251">
        <v>0</v>
      </c>
      <c r="O182" s="251">
        <v>0</v>
      </c>
      <c r="P182" s="251">
        <v>0</v>
      </c>
      <c r="Q182" s="251">
        <v>0</v>
      </c>
      <c r="R182" s="251">
        <v>0</v>
      </c>
      <c r="S182" s="251">
        <v>0</v>
      </c>
      <c r="T182" s="251">
        <v>0</v>
      </c>
      <c r="U182" s="251">
        <v>0</v>
      </c>
      <c r="V182" s="251">
        <v>0</v>
      </c>
      <c r="W182" s="251">
        <v>0</v>
      </c>
      <c r="X182" s="251">
        <v>0</v>
      </c>
      <c r="Y182" s="251">
        <v>0</v>
      </c>
      <c r="Z182" s="251">
        <v>0</v>
      </c>
      <c r="AA182" s="251">
        <v>0</v>
      </c>
      <c r="AB182" s="251">
        <v>0</v>
      </c>
      <c r="AC182" s="251">
        <v>0</v>
      </c>
      <c r="AD182" s="251">
        <v>0</v>
      </c>
      <c r="AE182" s="251">
        <v>0</v>
      </c>
      <c r="AF182" s="251">
        <v>0</v>
      </c>
      <c r="AG182" s="251">
        <v>0</v>
      </c>
      <c r="AH182" s="251">
        <v>0</v>
      </c>
      <c r="AI182" s="251">
        <v>0</v>
      </c>
      <c r="AJ182" s="251">
        <v>0</v>
      </c>
      <c r="AK182" s="251">
        <v>0</v>
      </c>
    </row>
    <row r="183" spans="1:37" s="164" customFormat="1" ht="12.75" customHeight="1">
      <c r="A183"/>
      <c r="B183" s="118">
        <v>21</v>
      </c>
      <c r="C183" s="261"/>
      <c r="D183" s="160"/>
      <c r="E183" s="160"/>
      <c r="F183" s="251">
        <v>0</v>
      </c>
      <c r="G183" s="251">
        <v>0</v>
      </c>
      <c r="H183" s="251">
        <v>0</v>
      </c>
      <c r="I183" s="251">
        <v>0</v>
      </c>
      <c r="J183" s="251">
        <v>0</v>
      </c>
      <c r="K183" s="251">
        <v>0</v>
      </c>
      <c r="L183" s="251">
        <v>0</v>
      </c>
      <c r="M183" s="251">
        <v>0</v>
      </c>
      <c r="N183" s="251">
        <v>0</v>
      </c>
      <c r="O183" s="251">
        <v>0</v>
      </c>
      <c r="P183" s="251">
        <v>0</v>
      </c>
      <c r="Q183" s="251">
        <v>0</v>
      </c>
      <c r="R183" s="251">
        <v>0</v>
      </c>
      <c r="S183" s="251">
        <v>0</v>
      </c>
      <c r="T183" s="251">
        <v>0</v>
      </c>
      <c r="U183" s="251">
        <v>0</v>
      </c>
      <c r="V183" s="251">
        <v>0</v>
      </c>
      <c r="W183" s="251">
        <v>0</v>
      </c>
      <c r="X183" s="251">
        <v>0</v>
      </c>
      <c r="Y183" s="251">
        <v>0</v>
      </c>
      <c r="Z183" s="251">
        <v>0</v>
      </c>
      <c r="AA183" s="251">
        <v>0</v>
      </c>
      <c r="AB183" s="251">
        <v>0</v>
      </c>
      <c r="AC183" s="251">
        <v>0</v>
      </c>
      <c r="AD183" s="251">
        <v>0</v>
      </c>
      <c r="AE183" s="251">
        <v>0</v>
      </c>
      <c r="AF183" s="251">
        <v>0</v>
      </c>
      <c r="AG183" s="251">
        <v>0</v>
      </c>
      <c r="AH183" s="251">
        <v>0</v>
      </c>
      <c r="AI183" s="251">
        <v>0</v>
      </c>
      <c r="AJ183" s="251">
        <v>0</v>
      </c>
      <c r="AK183" s="251">
        <v>0</v>
      </c>
    </row>
    <row r="184" spans="1:37" s="164" customFormat="1" ht="12.75" customHeight="1">
      <c r="A184"/>
      <c r="B184"/>
      <c r="D184"/>
      <c r="F184" s="167"/>
      <c r="G184" s="167"/>
      <c r="H184" s="167"/>
      <c r="I184" s="167"/>
      <c r="J184" s="167"/>
      <c r="K184" s="167"/>
      <c r="L184" s="167"/>
      <c r="M184" s="167"/>
      <c r="N184" s="167"/>
      <c r="O184" s="167"/>
      <c r="P184" s="167"/>
      <c r="Q184" s="167"/>
      <c r="R184" s="167"/>
      <c r="S184" s="167"/>
      <c r="T184" s="167"/>
      <c r="U184" s="167"/>
      <c r="V184" s="167"/>
      <c r="W184" s="167"/>
      <c r="X184" s="167"/>
      <c r="Y184" s="167"/>
      <c r="Z184" s="167"/>
      <c r="AA184" s="167"/>
      <c r="AB184" s="167"/>
      <c r="AC184" s="167"/>
      <c r="AD184" s="167"/>
      <c r="AE184" s="167"/>
      <c r="AF184" s="167"/>
      <c r="AG184" s="167"/>
      <c r="AH184" s="167"/>
      <c r="AI184" s="167"/>
      <c r="AJ184" s="167"/>
      <c r="AK184" s="167"/>
    </row>
    <row r="185" spans="1:37" s="164" customFormat="1" ht="12.75" customHeight="1">
      <c r="A185"/>
      <c r="B185"/>
      <c r="D185"/>
      <c r="F185" s="167"/>
      <c r="G185" s="167"/>
      <c r="H185" s="167"/>
      <c r="I185" s="167"/>
      <c r="J185" s="167"/>
      <c r="K185" s="167"/>
      <c r="L185" s="167"/>
      <c r="M185" s="167"/>
      <c r="N185" s="167"/>
      <c r="O185" s="167"/>
      <c r="P185" s="167"/>
      <c r="Q185" s="167"/>
      <c r="R185" s="167"/>
      <c r="S185" s="167"/>
      <c r="T185" s="167"/>
      <c r="U185" s="167"/>
      <c r="V185" s="167"/>
      <c r="W185" s="167"/>
      <c r="X185" s="167"/>
      <c r="Y185" s="167"/>
      <c r="Z185" s="167"/>
      <c r="AA185" s="167"/>
      <c r="AB185" s="167"/>
      <c r="AC185" s="167"/>
      <c r="AD185" s="167"/>
      <c r="AE185" s="167"/>
      <c r="AF185" s="167"/>
      <c r="AG185" s="167"/>
      <c r="AH185" s="167"/>
      <c r="AI185" s="167"/>
      <c r="AJ185" s="167"/>
      <c r="AK185" s="167"/>
    </row>
    <row r="186" spans="1:37" s="164" customFormat="1" ht="12.75" customHeight="1">
      <c r="A186" s="33" t="str">
        <f ca="1">GetNameRange(B187)</f>
        <v>index_term_sprd_rate_max_aig</v>
      </c>
      <c r="C186" s="18"/>
      <c r="D186" s="242"/>
      <c r="E186" s="242"/>
      <c r="F186" s="242"/>
      <c r="G186" s="242"/>
      <c r="H186" s="27"/>
      <c r="I186" s="27"/>
      <c r="J186" s="27"/>
      <c r="K186" s="27"/>
      <c r="L186" s="27"/>
      <c r="M186" s="27"/>
      <c r="N186" s="27"/>
      <c r="O186" s="27"/>
      <c r="P186" s="27"/>
      <c r="Q186" s="27"/>
      <c r="R186" s="27"/>
      <c r="S186" s="27"/>
      <c r="T186" s="27"/>
      <c r="U186" s="27"/>
      <c r="X186" s="27"/>
      <c r="Y186" s="27"/>
      <c r="Z186" s="27"/>
      <c r="AA186" s="27"/>
      <c r="AB186" s="27"/>
      <c r="AC186" s="27"/>
      <c r="AD186" s="27"/>
      <c r="AE186" s="27"/>
      <c r="AF186" s="27"/>
      <c r="AG186" s="27"/>
      <c r="AH186" s="27"/>
      <c r="AI186" s="27"/>
      <c r="AJ186" s="27"/>
      <c r="AK186" s="27"/>
    </row>
    <row r="187" spans="1:37" s="164" customFormat="1" ht="12.75" customHeight="1">
      <c r="A187" s="116"/>
      <c r="B187" s="116"/>
      <c r="C187" s="116" t="str">
        <f>C$4</f>
        <v>crediting_type_dyn_aig</v>
      </c>
      <c r="D187" s="347" t="str">
        <f>D$4</f>
        <v>Value</v>
      </c>
      <c r="E187" s="347"/>
      <c r="F187" s="347" t="str">
        <f t="shared" ref="F187:G187" si="56">F$4</f>
        <v>FX1Fix</v>
      </c>
      <c r="G187" s="347" t="str">
        <f t="shared" si="56"/>
        <v>SP1Cap</v>
      </c>
      <c r="H187" s="106" t="str">
        <f>H$4</f>
        <v>ND1B10Cp</v>
      </c>
      <c r="I187" s="106" t="str">
        <f>I$4</f>
        <v>ND1B10Tri</v>
      </c>
      <c r="J187" s="106" t="str">
        <f>J$4</f>
        <v>ND1B10DDCp</v>
      </c>
      <c r="K187" s="106" t="str">
        <f>K$4</f>
        <v>SP1B10Cp</v>
      </c>
      <c r="L187" s="106" t="str">
        <f>L$4</f>
        <v>SP1B10PC</v>
      </c>
      <c r="M187" s="106" t="str">
        <f t="shared" ref="M187:N187" si="57">M$4</f>
        <v>SP1B10Tri</v>
      </c>
      <c r="N187" s="106" t="str">
        <f t="shared" si="57"/>
        <v>SP1B10DDCp</v>
      </c>
      <c r="O187" s="106" t="str">
        <f>O$4</f>
        <v>SP1B20Cp</v>
      </c>
      <c r="P187" s="106" t="str">
        <f t="shared" ref="P187:AK187" si="58">P$4</f>
        <v>SP1F10Cp</v>
      </c>
      <c r="Q187" s="106" t="str">
        <f t="shared" si="58"/>
        <v>SP1B10Pr</v>
      </c>
      <c r="R187" s="106" t="str">
        <f t="shared" si="58"/>
        <v>SP1P50Pr</v>
      </c>
      <c r="S187" s="106" t="str">
        <f t="shared" si="58"/>
        <v>SP6B10Cp</v>
      </c>
      <c r="T187" s="106" t="str">
        <f t="shared" si="58"/>
        <v>SP6B10Pr</v>
      </c>
      <c r="U187" s="106" t="str">
        <f t="shared" si="58"/>
        <v>SP6B10PC</v>
      </c>
      <c r="V187" s="106" t="str">
        <f t="shared" si="58"/>
        <v>SP6B10EPC</v>
      </c>
      <c r="W187" s="106" t="str">
        <f t="shared" si="58"/>
        <v>SP6B20EPC</v>
      </c>
      <c r="X187" s="106" t="str">
        <f t="shared" si="58"/>
        <v>SP6B10DDCp</v>
      </c>
      <c r="Y187" s="106" t="str">
        <f>Y$4</f>
        <v>SP6B20DDCp</v>
      </c>
      <c r="Z187" s="106" t="str">
        <f t="shared" si="58"/>
        <v>SP6B10ScCp</v>
      </c>
      <c r="AA187" s="106" t="str">
        <f t="shared" si="58"/>
        <v>SP6B20DDTriCap</v>
      </c>
      <c r="AB187" s="106" t="str">
        <f t="shared" si="58"/>
        <v>SP3K30DKO</v>
      </c>
      <c r="AC187" s="106" t="str">
        <f t="shared" si="58"/>
        <v>SP3K40DKO</v>
      </c>
      <c r="AD187" s="106" t="str">
        <f t="shared" si="58"/>
        <v>SP3K50DKO</v>
      </c>
      <c r="AE187" s="106" t="str">
        <f t="shared" si="58"/>
        <v>SP6K50DKO</v>
      </c>
      <c r="AF187" s="106" t="str">
        <f t="shared" si="58"/>
        <v>SP6K75DKO</v>
      </c>
      <c r="AG187" s="106" t="str">
        <f t="shared" si="58"/>
        <v>SP6K100DKO</v>
      </c>
      <c r="AH187" s="106" t="str">
        <f t="shared" si="58"/>
        <v>SP6B20Cp</v>
      </c>
      <c r="AI187" s="106" t="str">
        <f t="shared" si="58"/>
        <v>SP610FCp</v>
      </c>
      <c r="AJ187" s="106" t="str">
        <f t="shared" si="58"/>
        <v>SP6B20Pr</v>
      </c>
      <c r="AK187" s="106" t="str">
        <f t="shared" si="58"/>
        <v>SP6P50Pr</v>
      </c>
    </row>
    <row r="188" spans="1:37" s="164" customFormat="1" ht="12.75" customHeight="1">
      <c r="A188" s="117" t="s">
        <v>332</v>
      </c>
      <c r="B188" s="391" t="s">
        <v>349</v>
      </c>
      <c r="C188" s="392" t="s">
        <v>47</v>
      </c>
      <c r="D188" s="393"/>
      <c r="E188" s="393"/>
      <c r="F188" s="394"/>
      <c r="G188" s="394"/>
      <c r="H188" s="394"/>
      <c r="I188" s="394"/>
      <c r="J188" s="394"/>
      <c r="K188" s="394"/>
      <c r="L188" s="394"/>
      <c r="M188" s="394"/>
      <c r="N188" s="394"/>
      <c r="O188" s="394"/>
      <c r="P188" s="394"/>
      <c r="Q188" s="394"/>
      <c r="R188" s="394"/>
      <c r="S188" s="394"/>
      <c r="T188" s="394"/>
      <c r="U188" s="394"/>
      <c r="V188" s="454"/>
      <c r="W188" s="454"/>
      <c r="X188" s="394"/>
      <c r="Y188" s="394"/>
      <c r="Z188" s="394"/>
      <c r="AA188" s="394"/>
      <c r="AB188" s="394"/>
      <c r="AC188" s="394"/>
      <c r="AD188" s="394"/>
      <c r="AE188" s="394"/>
      <c r="AF188" s="394"/>
      <c r="AG188" s="394"/>
      <c r="AH188" s="394"/>
      <c r="AI188" s="394"/>
      <c r="AJ188" s="394"/>
      <c r="AK188" s="394"/>
    </row>
    <row r="189" spans="1:37" s="164" customFormat="1" ht="12.75" customHeight="1">
      <c r="A189" s="261" t="s">
        <v>636</v>
      </c>
      <c r="B189" s="275">
        <v>0</v>
      </c>
      <c r="C189" s="118" t="s">
        <v>612</v>
      </c>
      <c r="D189" s="160"/>
      <c r="E189" s="160"/>
      <c r="F189" s="259">
        <v>9999</v>
      </c>
      <c r="G189" s="259">
        <v>0</v>
      </c>
      <c r="H189" s="259">
        <v>0</v>
      </c>
      <c r="I189" s="259">
        <v>0</v>
      </c>
      <c r="J189" s="259">
        <v>0</v>
      </c>
      <c r="K189" s="259">
        <v>0</v>
      </c>
      <c r="L189" s="259">
        <v>0</v>
      </c>
      <c r="M189" s="259">
        <v>0</v>
      </c>
      <c r="N189" s="259">
        <v>0</v>
      </c>
      <c r="O189" s="259">
        <v>0</v>
      </c>
      <c r="P189" s="259">
        <v>0</v>
      </c>
      <c r="Q189" s="259">
        <v>0</v>
      </c>
      <c r="R189" s="259">
        <v>0</v>
      </c>
      <c r="S189" s="259">
        <v>0</v>
      </c>
      <c r="T189" s="259">
        <v>0</v>
      </c>
      <c r="U189" s="259">
        <v>0</v>
      </c>
      <c r="V189" s="167">
        <v>0</v>
      </c>
      <c r="W189" s="167">
        <v>0</v>
      </c>
      <c r="X189" s="259">
        <v>0</v>
      </c>
      <c r="Y189" s="259">
        <v>0</v>
      </c>
      <c r="Z189" s="259">
        <v>0</v>
      </c>
      <c r="AA189" s="259">
        <v>0</v>
      </c>
      <c r="AB189" s="259">
        <v>0</v>
      </c>
      <c r="AC189" s="259">
        <v>0</v>
      </c>
      <c r="AD189" s="259">
        <v>0</v>
      </c>
      <c r="AE189" s="259">
        <v>0</v>
      </c>
      <c r="AF189" s="259">
        <v>0</v>
      </c>
      <c r="AG189" s="259">
        <v>0</v>
      </c>
      <c r="AH189" s="259">
        <v>0</v>
      </c>
      <c r="AI189" s="259">
        <v>0</v>
      </c>
      <c r="AJ189" s="259">
        <v>0</v>
      </c>
      <c r="AK189" s="259">
        <v>0</v>
      </c>
    </row>
    <row r="190" spans="1:37" s="164" customFormat="1" ht="12.75" customHeight="1">
      <c r="A190" s="261" t="s">
        <v>636</v>
      </c>
      <c r="B190" s="275">
        <v>0</v>
      </c>
      <c r="C190" s="118" t="s">
        <v>613</v>
      </c>
      <c r="D190" s="160"/>
      <c r="E190" s="160"/>
      <c r="F190" s="259">
        <v>9999</v>
      </c>
      <c r="G190" s="259">
        <v>0</v>
      </c>
      <c r="H190" s="259">
        <v>0</v>
      </c>
      <c r="I190" s="259">
        <v>0</v>
      </c>
      <c r="J190" s="259">
        <v>0</v>
      </c>
      <c r="K190" s="259">
        <v>0</v>
      </c>
      <c r="L190" s="259">
        <v>0</v>
      </c>
      <c r="M190" s="259">
        <v>0</v>
      </c>
      <c r="N190" s="259">
        <v>0</v>
      </c>
      <c r="O190" s="259">
        <v>0</v>
      </c>
      <c r="P190" s="259">
        <v>0</v>
      </c>
      <c r="Q190" s="259">
        <v>0</v>
      </c>
      <c r="R190" s="259">
        <v>0</v>
      </c>
      <c r="S190" s="259">
        <v>0</v>
      </c>
      <c r="T190" s="259">
        <v>0</v>
      </c>
      <c r="U190" s="259">
        <v>0</v>
      </c>
      <c r="V190" s="167">
        <v>0</v>
      </c>
      <c r="W190" s="167">
        <v>0</v>
      </c>
      <c r="X190" s="259">
        <v>0</v>
      </c>
      <c r="Y190" s="259">
        <v>0</v>
      </c>
      <c r="Z190" s="259">
        <v>0</v>
      </c>
      <c r="AA190" s="259">
        <v>0</v>
      </c>
      <c r="AB190" s="259">
        <v>0</v>
      </c>
      <c r="AC190" s="259">
        <v>0</v>
      </c>
      <c r="AD190" s="259">
        <v>0</v>
      </c>
      <c r="AE190" s="259">
        <v>0</v>
      </c>
      <c r="AF190" s="259">
        <v>0</v>
      </c>
      <c r="AG190" s="259">
        <v>0</v>
      </c>
      <c r="AH190" s="259">
        <v>0</v>
      </c>
      <c r="AI190" s="259">
        <v>0</v>
      </c>
      <c r="AJ190" s="259">
        <v>0</v>
      </c>
      <c r="AK190" s="259">
        <v>0</v>
      </c>
    </row>
    <row r="191" spans="1:37" s="164" customFormat="1" ht="12.75" customHeight="1">
      <c r="A191" s="261" t="s">
        <v>636</v>
      </c>
      <c r="B191" s="275">
        <v>0</v>
      </c>
      <c r="C191" s="548" t="s">
        <v>642</v>
      </c>
      <c r="D191" s="160"/>
      <c r="E191" s="160"/>
      <c r="F191" s="259">
        <v>9999</v>
      </c>
      <c r="G191" s="259">
        <v>0</v>
      </c>
      <c r="H191" s="259">
        <v>0</v>
      </c>
      <c r="I191" s="259">
        <v>0</v>
      </c>
      <c r="J191" s="259">
        <v>0</v>
      </c>
      <c r="K191" s="259">
        <v>0</v>
      </c>
      <c r="L191" s="259">
        <v>0</v>
      </c>
      <c r="M191" s="259">
        <v>0</v>
      </c>
      <c r="N191" s="259">
        <v>0</v>
      </c>
      <c r="O191" s="259">
        <v>0</v>
      </c>
      <c r="P191" s="259">
        <v>0</v>
      </c>
      <c r="Q191" s="259">
        <v>0</v>
      </c>
      <c r="R191" s="259">
        <v>0</v>
      </c>
      <c r="S191" s="259">
        <v>0</v>
      </c>
      <c r="T191" s="259">
        <v>0</v>
      </c>
      <c r="U191" s="259">
        <v>0</v>
      </c>
      <c r="V191" s="167">
        <v>0</v>
      </c>
      <c r="W191" s="167">
        <v>0</v>
      </c>
      <c r="X191" s="259">
        <v>0</v>
      </c>
      <c r="Y191" s="259">
        <v>0</v>
      </c>
      <c r="Z191" s="259">
        <v>0</v>
      </c>
      <c r="AA191" s="259">
        <v>0</v>
      </c>
      <c r="AB191" s="259">
        <v>0</v>
      </c>
      <c r="AC191" s="259">
        <v>0</v>
      </c>
      <c r="AD191" s="259">
        <v>0</v>
      </c>
      <c r="AE191" s="259">
        <v>0</v>
      </c>
      <c r="AF191" s="259">
        <v>0</v>
      </c>
      <c r="AG191" s="259">
        <v>0</v>
      </c>
      <c r="AH191" s="259">
        <v>0</v>
      </c>
      <c r="AI191" s="259">
        <v>0</v>
      </c>
      <c r="AJ191" s="259">
        <v>0</v>
      </c>
      <c r="AK191" s="259">
        <v>0</v>
      </c>
    </row>
    <row r="192" spans="1:37" s="164" customFormat="1" ht="12.75" customHeight="1">
      <c r="A192" s="261" t="s">
        <v>636</v>
      </c>
      <c r="B192" s="275">
        <v>0</v>
      </c>
      <c r="C192" s="548" t="s">
        <v>643</v>
      </c>
      <c r="D192" s="160"/>
      <c r="E192" s="160"/>
      <c r="F192" s="259">
        <v>9999</v>
      </c>
      <c r="G192" s="259">
        <v>0</v>
      </c>
      <c r="H192" s="259">
        <v>0</v>
      </c>
      <c r="I192" s="259">
        <v>0</v>
      </c>
      <c r="J192" s="259">
        <v>0</v>
      </c>
      <c r="K192" s="259">
        <v>0</v>
      </c>
      <c r="L192" s="259">
        <v>0</v>
      </c>
      <c r="M192" s="259">
        <v>0</v>
      </c>
      <c r="N192" s="259">
        <v>0</v>
      </c>
      <c r="O192" s="259">
        <v>0</v>
      </c>
      <c r="P192" s="259">
        <v>0</v>
      </c>
      <c r="Q192" s="259">
        <v>0</v>
      </c>
      <c r="R192" s="259">
        <v>0</v>
      </c>
      <c r="S192" s="259">
        <v>0</v>
      </c>
      <c r="T192" s="259">
        <v>0</v>
      </c>
      <c r="U192" s="259">
        <v>0</v>
      </c>
      <c r="V192" s="167">
        <v>0</v>
      </c>
      <c r="W192" s="167">
        <v>0</v>
      </c>
      <c r="X192" s="259">
        <v>0</v>
      </c>
      <c r="Y192" s="259">
        <v>0</v>
      </c>
      <c r="Z192" s="259">
        <v>0</v>
      </c>
      <c r="AA192" s="259">
        <v>0</v>
      </c>
      <c r="AB192" s="259">
        <v>0</v>
      </c>
      <c r="AC192" s="259">
        <v>0</v>
      </c>
      <c r="AD192" s="259">
        <v>0</v>
      </c>
      <c r="AE192" s="259">
        <v>0</v>
      </c>
      <c r="AF192" s="259">
        <v>0</v>
      </c>
      <c r="AG192" s="259">
        <v>0</v>
      </c>
      <c r="AH192" s="259">
        <v>0</v>
      </c>
      <c r="AI192" s="259">
        <v>0</v>
      </c>
      <c r="AJ192" s="259">
        <v>0</v>
      </c>
      <c r="AK192" s="259">
        <v>0</v>
      </c>
    </row>
    <row r="193" spans="1:38" s="164" customFormat="1" ht="12.75" customHeight="1">
      <c r="A193"/>
      <c r="B193"/>
      <c r="D193"/>
      <c r="F193" s="167"/>
      <c r="G193" s="167"/>
      <c r="H193" s="167"/>
      <c r="I193" s="167"/>
      <c r="J193" s="167"/>
      <c r="K193" s="167"/>
      <c r="L193" s="167"/>
      <c r="M193" s="167"/>
      <c r="N193" s="167"/>
      <c r="O193" s="167"/>
      <c r="P193" s="167"/>
      <c r="Q193" s="167"/>
      <c r="R193" s="167"/>
      <c r="S193" s="167"/>
      <c r="T193" s="167"/>
      <c r="U193" s="167"/>
      <c r="V193" s="167"/>
      <c r="W193" s="167"/>
      <c r="X193" s="167"/>
      <c r="Y193" s="167"/>
      <c r="Z193" s="167"/>
      <c r="AA193" s="167"/>
      <c r="AB193" s="167"/>
      <c r="AC193" s="167"/>
      <c r="AD193" s="167"/>
      <c r="AE193" s="167"/>
      <c r="AF193" s="167"/>
      <c r="AG193" s="167"/>
      <c r="AH193" s="167"/>
      <c r="AI193" s="167"/>
      <c r="AJ193" s="167"/>
      <c r="AK193" s="167"/>
    </row>
    <row r="194" spans="1:38" s="164" customFormat="1" ht="12.75" customHeight="1">
      <c r="A194" s="33" t="str">
        <f ca="1">GetNameRange(A195)</f>
        <v>index_term_cap_rate_min_table_aig</v>
      </c>
      <c r="B194" s="33"/>
      <c r="D194" s="18"/>
      <c r="E194" s="18"/>
      <c r="F194" s="242"/>
      <c r="G194" s="242"/>
      <c r="H194" s="242"/>
      <c r="I194" s="242"/>
      <c r="J194" s="242"/>
      <c r="K194" s="242"/>
      <c r="L194" s="242"/>
      <c r="M194" s="242"/>
      <c r="N194" s="242"/>
      <c r="O194" s="242"/>
      <c r="P194" s="242"/>
      <c r="Q194" s="242"/>
      <c r="R194" s="242"/>
      <c r="S194" s="242"/>
      <c r="T194" s="242"/>
      <c r="U194" s="242"/>
      <c r="V194" s="167"/>
      <c r="W194" s="167"/>
      <c r="X194" s="242"/>
      <c r="Y194" s="242"/>
      <c r="Z194" s="242"/>
      <c r="AA194" s="242"/>
      <c r="AB194" s="242"/>
      <c r="AC194" s="242"/>
      <c r="AD194" s="242"/>
      <c r="AE194" s="242"/>
      <c r="AF194" s="242"/>
      <c r="AG194" s="242"/>
      <c r="AH194" s="242"/>
      <c r="AI194" s="242"/>
      <c r="AJ194" s="242"/>
      <c r="AK194" s="242"/>
    </row>
    <row r="195" spans="1:38" s="164" customFormat="1" ht="12.75" customHeight="1">
      <c r="A195" s="116"/>
      <c r="B195" s="116"/>
      <c r="C195" s="116" t="str">
        <f>C$4</f>
        <v>crediting_type_dyn_aig</v>
      </c>
      <c r="D195" s="106" t="str">
        <f>D$4</f>
        <v>Value</v>
      </c>
      <c r="E195" s="106"/>
      <c r="F195" s="276" t="str">
        <f t="shared" ref="F195:G195" si="59">F$4</f>
        <v>FX1Fix</v>
      </c>
      <c r="G195" s="276" t="str">
        <f t="shared" si="59"/>
        <v>SP1Cap</v>
      </c>
      <c r="H195" s="106" t="str">
        <f>H$4</f>
        <v>ND1B10Cp</v>
      </c>
      <c r="I195" s="106" t="str">
        <f>I$4</f>
        <v>ND1B10Tri</v>
      </c>
      <c r="J195" s="106" t="str">
        <f>J$4</f>
        <v>ND1B10DDCp</v>
      </c>
      <c r="K195" s="106" t="str">
        <f>K$4</f>
        <v>SP1B10Cp</v>
      </c>
      <c r="L195" s="106" t="str">
        <f>L$4</f>
        <v>SP1B10PC</v>
      </c>
      <c r="M195" s="106" t="str">
        <f t="shared" ref="M195:N195" si="60">M$4</f>
        <v>SP1B10Tri</v>
      </c>
      <c r="N195" s="106" t="str">
        <f t="shared" si="60"/>
        <v>SP1B10DDCp</v>
      </c>
      <c r="O195" s="106" t="str">
        <f>O$4</f>
        <v>SP1B20Cp</v>
      </c>
      <c r="P195" s="106" t="str">
        <f t="shared" ref="P195:AK195" si="61">P$4</f>
        <v>SP1F10Cp</v>
      </c>
      <c r="Q195" s="106" t="str">
        <f t="shared" si="61"/>
        <v>SP1B10Pr</v>
      </c>
      <c r="R195" s="106" t="str">
        <f t="shared" si="61"/>
        <v>SP1P50Pr</v>
      </c>
      <c r="S195" s="106" t="str">
        <f t="shared" si="61"/>
        <v>SP6B10Cp</v>
      </c>
      <c r="T195" s="106" t="str">
        <f t="shared" si="61"/>
        <v>SP6B10Pr</v>
      </c>
      <c r="U195" s="106" t="str">
        <f t="shared" si="61"/>
        <v>SP6B10PC</v>
      </c>
      <c r="V195" s="106" t="str">
        <f t="shared" si="61"/>
        <v>SP6B10EPC</v>
      </c>
      <c r="W195" s="106" t="str">
        <f t="shared" si="61"/>
        <v>SP6B20EPC</v>
      </c>
      <c r="X195" s="106" t="str">
        <f t="shared" si="61"/>
        <v>SP6B10DDCp</v>
      </c>
      <c r="Y195" s="106" t="str">
        <f>Y$4</f>
        <v>SP6B20DDCp</v>
      </c>
      <c r="Z195" s="106" t="str">
        <f t="shared" si="61"/>
        <v>SP6B10ScCp</v>
      </c>
      <c r="AA195" s="106" t="str">
        <f t="shared" si="61"/>
        <v>SP6B20DDTriCap</v>
      </c>
      <c r="AB195" s="106" t="str">
        <f t="shared" si="61"/>
        <v>SP3K30DKO</v>
      </c>
      <c r="AC195" s="106" t="str">
        <f t="shared" si="61"/>
        <v>SP3K40DKO</v>
      </c>
      <c r="AD195" s="106" t="str">
        <f t="shared" si="61"/>
        <v>SP3K50DKO</v>
      </c>
      <c r="AE195" s="106" t="str">
        <f t="shared" si="61"/>
        <v>SP6K50DKO</v>
      </c>
      <c r="AF195" s="106" t="str">
        <f t="shared" si="61"/>
        <v>SP6K75DKO</v>
      </c>
      <c r="AG195" s="106" t="str">
        <f t="shared" si="61"/>
        <v>SP6K100DKO</v>
      </c>
      <c r="AH195" s="106" t="str">
        <f t="shared" si="61"/>
        <v>SP6B20Cp</v>
      </c>
      <c r="AI195" s="106" t="str">
        <f t="shared" si="61"/>
        <v>SP610FCp</v>
      </c>
      <c r="AJ195" s="106" t="str">
        <f t="shared" si="61"/>
        <v>SP6B20Pr</v>
      </c>
      <c r="AK195" s="106" t="str">
        <f t="shared" si="61"/>
        <v>SP6P50Pr</v>
      </c>
    </row>
    <row r="196" spans="1:38" s="164" customFormat="1" ht="12.75" customHeight="1">
      <c r="A196" s="117" t="s">
        <v>332</v>
      </c>
      <c r="B196" s="391" t="s">
        <v>349</v>
      </c>
      <c r="C196" s="392" t="s">
        <v>47</v>
      </c>
      <c r="D196" s="393"/>
      <c r="E196" s="393"/>
      <c r="F196" s="394"/>
      <c r="G196" s="394"/>
      <c r="H196" s="394"/>
      <c r="I196" s="394"/>
      <c r="J196" s="394"/>
      <c r="K196" s="394"/>
      <c r="L196" s="394"/>
      <c r="M196" s="394"/>
      <c r="N196" s="394"/>
      <c r="O196" s="394"/>
      <c r="P196" s="394"/>
      <c r="Q196" s="394"/>
      <c r="R196" s="394"/>
      <c r="S196" s="394"/>
      <c r="T196" s="394"/>
      <c r="U196" s="394"/>
      <c r="V196" s="454"/>
      <c r="W196" s="454"/>
      <c r="X196" s="394"/>
      <c r="Y196" s="394"/>
      <c r="Z196" s="394"/>
      <c r="AA196" s="394"/>
      <c r="AB196" s="394"/>
      <c r="AC196" s="394"/>
      <c r="AD196" s="394"/>
      <c r="AE196" s="394"/>
      <c r="AF196" s="394"/>
      <c r="AG196" s="394"/>
      <c r="AH196" s="394"/>
      <c r="AI196" s="394"/>
      <c r="AJ196" s="394"/>
      <c r="AK196" s="394"/>
    </row>
    <row r="197" spans="1:38" s="164" customFormat="1" ht="12.75" customHeight="1">
      <c r="A197" s="118">
        <v>20230822</v>
      </c>
      <c r="B197" s="118">
        <v>0</v>
      </c>
      <c r="C197" s="118" t="s">
        <v>612</v>
      </c>
      <c r="D197" s="160"/>
      <c r="E197" s="160"/>
      <c r="F197" s="251" t="s">
        <v>350</v>
      </c>
      <c r="G197" s="251" t="s">
        <v>335</v>
      </c>
      <c r="H197" s="544" t="s">
        <v>337</v>
      </c>
      <c r="I197" s="544" t="s">
        <v>337</v>
      </c>
      <c r="J197" s="544" t="s">
        <v>337</v>
      </c>
      <c r="K197" s="544" t="s">
        <v>337</v>
      </c>
      <c r="L197" s="544" t="s">
        <v>337</v>
      </c>
      <c r="M197" s="544" t="s">
        <v>337</v>
      </c>
      <c r="N197" s="544" t="s">
        <v>337</v>
      </c>
      <c r="O197" s="544" t="s">
        <v>337</v>
      </c>
      <c r="P197" s="544" t="s">
        <v>337</v>
      </c>
      <c r="Q197" s="251" t="s">
        <v>352</v>
      </c>
      <c r="R197" s="251" t="s">
        <v>352</v>
      </c>
      <c r="S197" s="544" t="s">
        <v>658</v>
      </c>
      <c r="T197" s="251" t="s">
        <v>352</v>
      </c>
      <c r="U197" s="544" t="s">
        <v>658</v>
      </c>
      <c r="V197" s="544" t="s">
        <v>658</v>
      </c>
      <c r="W197" s="544" t="s">
        <v>658</v>
      </c>
      <c r="X197" s="544" t="s">
        <v>658</v>
      </c>
      <c r="Y197" s="544" t="s">
        <v>337</v>
      </c>
      <c r="Z197" s="544" t="s">
        <v>658</v>
      </c>
      <c r="AA197" s="544" t="s">
        <v>658</v>
      </c>
      <c r="AB197" s="251" t="s">
        <v>352</v>
      </c>
      <c r="AC197" s="251" t="s">
        <v>352</v>
      </c>
      <c r="AD197" s="251" t="s">
        <v>352</v>
      </c>
      <c r="AE197" s="251" t="s">
        <v>352</v>
      </c>
      <c r="AF197" s="251" t="s">
        <v>352</v>
      </c>
      <c r="AG197" s="251" t="s">
        <v>352</v>
      </c>
      <c r="AH197" s="544" t="s">
        <v>658</v>
      </c>
      <c r="AI197" s="544" t="s">
        <v>658</v>
      </c>
      <c r="AJ197" s="251" t="s">
        <v>352</v>
      </c>
      <c r="AK197" s="251" t="s">
        <v>352</v>
      </c>
    </row>
    <row r="198" spans="1:38" s="164" customFormat="1" ht="12.75" customHeight="1">
      <c r="A198" s="118">
        <v>20230822</v>
      </c>
      <c r="B198" s="118">
        <v>0</v>
      </c>
      <c r="C198" s="118" t="s">
        <v>613</v>
      </c>
      <c r="D198" s="160"/>
      <c r="E198" s="160"/>
      <c r="F198" s="251" t="s">
        <v>350</v>
      </c>
      <c r="G198" s="251" t="s">
        <v>335</v>
      </c>
      <c r="H198" s="544" t="s">
        <v>337</v>
      </c>
      <c r="I198" s="544" t="s">
        <v>337</v>
      </c>
      <c r="J198" s="544" t="s">
        <v>337</v>
      </c>
      <c r="K198" s="544" t="s">
        <v>337</v>
      </c>
      <c r="L198" s="544" t="s">
        <v>337</v>
      </c>
      <c r="M198" s="544" t="s">
        <v>337</v>
      </c>
      <c r="N198" s="544" t="s">
        <v>337</v>
      </c>
      <c r="O198" s="544" t="s">
        <v>337</v>
      </c>
      <c r="P198" s="544" t="s">
        <v>337</v>
      </c>
      <c r="Q198" s="251" t="s">
        <v>352</v>
      </c>
      <c r="R198" s="251" t="s">
        <v>352</v>
      </c>
      <c r="S198" s="544" t="s">
        <v>658</v>
      </c>
      <c r="T198" s="251" t="s">
        <v>352</v>
      </c>
      <c r="U198" s="544" t="s">
        <v>658</v>
      </c>
      <c r="V198" s="544" t="s">
        <v>658</v>
      </c>
      <c r="W198" s="544" t="s">
        <v>658</v>
      </c>
      <c r="X198" s="544" t="s">
        <v>658</v>
      </c>
      <c r="Y198" s="544" t="s">
        <v>337</v>
      </c>
      <c r="Z198" s="544" t="s">
        <v>658</v>
      </c>
      <c r="AA198" s="544" t="s">
        <v>658</v>
      </c>
      <c r="AB198" s="251" t="s">
        <v>352</v>
      </c>
      <c r="AC198" s="251" t="s">
        <v>352</v>
      </c>
      <c r="AD198" s="251" t="s">
        <v>352</v>
      </c>
      <c r="AE198" s="251" t="s">
        <v>352</v>
      </c>
      <c r="AF198" s="251" t="s">
        <v>352</v>
      </c>
      <c r="AG198" s="251" t="s">
        <v>352</v>
      </c>
      <c r="AH198" s="544" t="s">
        <v>658</v>
      </c>
      <c r="AI198" s="544" t="s">
        <v>658</v>
      </c>
      <c r="AJ198" s="251" t="s">
        <v>352</v>
      </c>
      <c r="AK198" s="251" t="s">
        <v>352</v>
      </c>
    </row>
    <row r="199" spans="1:38" s="164" customFormat="1" ht="12.75" customHeight="1">
      <c r="A199" s="118">
        <v>20230822</v>
      </c>
      <c r="B199" s="118">
        <v>0</v>
      </c>
      <c r="C199" s="548" t="s">
        <v>642</v>
      </c>
      <c r="D199" s="160"/>
      <c r="E199" s="160"/>
      <c r="F199" s="251"/>
      <c r="G199" s="549" t="s">
        <v>465</v>
      </c>
      <c r="H199" s="544"/>
      <c r="I199" s="544"/>
      <c r="J199" s="544"/>
      <c r="K199" s="544"/>
      <c r="L199" s="544"/>
      <c r="M199" s="544"/>
      <c r="N199" s="544"/>
      <c r="O199" s="544"/>
      <c r="P199" s="544"/>
      <c r="Q199" s="251"/>
      <c r="R199" s="251"/>
      <c r="S199" s="544"/>
      <c r="T199" s="544"/>
      <c r="U199" s="544"/>
      <c r="V199" s="544"/>
      <c r="W199" s="544"/>
      <c r="X199" s="544"/>
      <c r="Y199" s="544"/>
      <c r="Z199" s="544"/>
      <c r="AA199" s="544"/>
      <c r="AB199" s="544"/>
      <c r="AC199" s="544"/>
      <c r="AD199" s="544"/>
      <c r="AE199" s="544"/>
      <c r="AF199" s="544"/>
      <c r="AG199" s="544"/>
      <c r="AH199" s="544"/>
      <c r="AI199" s="544"/>
      <c r="AJ199" s="251"/>
      <c r="AK199" s="251"/>
    </row>
    <row r="200" spans="1:38" s="164" customFormat="1" ht="12.75" customHeight="1">
      <c r="A200" s="118">
        <v>20230822</v>
      </c>
      <c r="B200" s="118">
        <v>0</v>
      </c>
      <c r="C200" s="548" t="s">
        <v>643</v>
      </c>
      <c r="D200" s="160"/>
      <c r="E200" s="160"/>
      <c r="F200" s="251"/>
      <c r="G200" s="549" t="s">
        <v>465</v>
      </c>
      <c r="H200" s="544"/>
      <c r="I200" s="544"/>
      <c r="J200" s="544"/>
      <c r="K200" s="544"/>
      <c r="L200" s="544"/>
      <c r="M200" s="544"/>
      <c r="N200" s="544"/>
      <c r="O200" s="544"/>
      <c r="P200" s="544"/>
      <c r="Q200" s="251"/>
      <c r="R200" s="251"/>
      <c r="S200" s="544"/>
      <c r="T200" s="544"/>
      <c r="U200" s="544"/>
      <c r="V200" s="544"/>
      <c r="W200" s="544"/>
      <c r="X200" s="544"/>
      <c r="Y200" s="544"/>
      <c r="Z200" s="544"/>
      <c r="AA200" s="544"/>
      <c r="AB200" s="544"/>
      <c r="AC200" s="544"/>
      <c r="AD200" s="544"/>
      <c r="AE200" s="544"/>
      <c r="AF200" s="544"/>
      <c r="AG200" s="544"/>
      <c r="AH200" s="544"/>
      <c r="AI200" s="544"/>
      <c r="AJ200" s="251"/>
      <c r="AK200" s="251"/>
    </row>
    <row r="201" spans="1:38" ht="12.75" customHeight="1">
      <c r="AL201" s="164"/>
    </row>
    <row r="202" spans="1:38" ht="12.75" customHeight="1">
      <c r="AL202" s="164"/>
    </row>
    <row r="203" spans="1:38" ht="12.75" customHeight="1">
      <c r="A203" s="33" t="str">
        <f ca="1">GetNameRange(A204)</f>
        <v>index_term_cap_rate_max_aig</v>
      </c>
      <c r="C203" s="33"/>
      <c r="D203" s="18"/>
      <c r="E203" s="18"/>
      <c r="F203" s="242"/>
      <c r="G203" s="242"/>
      <c r="H203" s="242"/>
      <c r="I203" s="242"/>
      <c r="J203" s="242"/>
      <c r="K203" s="242"/>
      <c r="L203" s="242"/>
      <c r="M203" s="242"/>
      <c r="N203" s="242"/>
      <c r="O203" s="242"/>
      <c r="P203" s="242"/>
      <c r="Q203" s="242"/>
      <c r="R203" s="242"/>
      <c r="S203" s="242"/>
      <c r="T203" s="242"/>
      <c r="U203" s="242"/>
      <c r="X203" s="242"/>
      <c r="Y203" s="242"/>
      <c r="Z203" s="242"/>
      <c r="AA203" s="242"/>
      <c r="AB203" s="242"/>
      <c r="AC203" s="242"/>
      <c r="AD203" s="242"/>
      <c r="AE203" s="242"/>
      <c r="AF203" s="242"/>
      <c r="AG203" s="242"/>
      <c r="AH203" s="242"/>
      <c r="AI203" s="242"/>
      <c r="AJ203" s="242"/>
      <c r="AK203" s="242"/>
      <c r="AL203" s="164"/>
    </row>
    <row r="204" spans="1:38" ht="12.75" customHeight="1">
      <c r="A204" s="116"/>
      <c r="B204" s="116"/>
      <c r="C204" s="116" t="str">
        <f>C$4</f>
        <v>crediting_type_dyn_aig</v>
      </c>
      <c r="D204" s="106" t="str">
        <f>D$4</f>
        <v>Value</v>
      </c>
      <c r="E204" s="106"/>
      <c r="F204" s="106" t="str">
        <f t="shared" ref="F204:G204" si="62">F$4</f>
        <v>FX1Fix</v>
      </c>
      <c r="G204" s="106" t="str">
        <f t="shared" si="62"/>
        <v>SP1Cap</v>
      </c>
      <c r="H204" s="106" t="str">
        <f>H$4</f>
        <v>ND1B10Cp</v>
      </c>
      <c r="I204" s="106" t="str">
        <f>I$4</f>
        <v>ND1B10Tri</v>
      </c>
      <c r="J204" s="106" t="str">
        <f>J$4</f>
        <v>ND1B10DDCp</v>
      </c>
      <c r="K204" s="106" t="str">
        <f>K$4</f>
        <v>SP1B10Cp</v>
      </c>
      <c r="L204" s="106" t="str">
        <f>L$4</f>
        <v>SP1B10PC</v>
      </c>
      <c r="M204" s="106" t="str">
        <f t="shared" ref="M204:N204" si="63">M$4</f>
        <v>SP1B10Tri</v>
      </c>
      <c r="N204" s="106" t="str">
        <f t="shared" si="63"/>
        <v>SP1B10DDCp</v>
      </c>
      <c r="O204" s="106" t="str">
        <f>O$4</f>
        <v>SP1B20Cp</v>
      </c>
      <c r="P204" s="106" t="str">
        <f t="shared" ref="P204:AK204" si="64">P$4</f>
        <v>SP1F10Cp</v>
      </c>
      <c r="Q204" s="106" t="str">
        <f t="shared" si="64"/>
        <v>SP1B10Pr</v>
      </c>
      <c r="R204" s="106" t="str">
        <f t="shared" si="64"/>
        <v>SP1P50Pr</v>
      </c>
      <c r="S204" s="106" t="str">
        <f t="shared" si="64"/>
        <v>SP6B10Cp</v>
      </c>
      <c r="T204" s="106" t="str">
        <f t="shared" si="64"/>
        <v>SP6B10Pr</v>
      </c>
      <c r="U204" s="106" t="str">
        <f t="shared" si="64"/>
        <v>SP6B10PC</v>
      </c>
      <c r="V204" s="106" t="str">
        <f t="shared" si="64"/>
        <v>SP6B10EPC</v>
      </c>
      <c r="W204" s="106" t="str">
        <f t="shared" si="64"/>
        <v>SP6B20EPC</v>
      </c>
      <c r="X204" s="106" t="str">
        <f t="shared" si="64"/>
        <v>SP6B10DDCp</v>
      </c>
      <c r="Y204" s="106" t="str">
        <f>Y$4</f>
        <v>SP6B20DDCp</v>
      </c>
      <c r="Z204" s="106" t="str">
        <f t="shared" si="64"/>
        <v>SP6B10ScCp</v>
      </c>
      <c r="AA204" s="106" t="str">
        <f t="shared" si="64"/>
        <v>SP6B20DDTriCap</v>
      </c>
      <c r="AB204" s="106" t="str">
        <f t="shared" si="64"/>
        <v>SP3K30DKO</v>
      </c>
      <c r="AC204" s="106" t="str">
        <f t="shared" si="64"/>
        <v>SP3K40DKO</v>
      </c>
      <c r="AD204" s="106" t="str">
        <f t="shared" si="64"/>
        <v>SP3K50DKO</v>
      </c>
      <c r="AE204" s="106" t="str">
        <f t="shared" si="64"/>
        <v>SP6K50DKO</v>
      </c>
      <c r="AF204" s="106" t="str">
        <f t="shared" si="64"/>
        <v>SP6K75DKO</v>
      </c>
      <c r="AG204" s="106" t="str">
        <f t="shared" si="64"/>
        <v>SP6K100DKO</v>
      </c>
      <c r="AH204" s="106" t="str">
        <f t="shared" si="64"/>
        <v>SP6B20Cp</v>
      </c>
      <c r="AI204" s="106" t="str">
        <f t="shared" si="64"/>
        <v>SP610FCp</v>
      </c>
      <c r="AJ204" s="106" t="str">
        <f t="shared" si="64"/>
        <v>SP6B20Pr</v>
      </c>
      <c r="AK204" s="106" t="str">
        <f t="shared" si="64"/>
        <v>SP6P50Pr</v>
      </c>
      <c r="AL204" s="164"/>
    </row>
    <row r="205" spans="1:38" ht="12.75" customHeight="1">
      <c r="A205" s="117" t="s">
        <v>332</v>
      </c>
      <c r="B205" s="391" t="s">
        <v>163</v>
      </c>
      <c r="C205" s="392"/>
      <c r="D205" s="393"/>
      <c r="E205" s="393"/>
      <c r="F205" s="394"/>
      <c r="G205" s="394"/>
      <c r="H205" s="394"/>
      <c r="I205" s="394"/>
      <c r="J205" s="394"/>
      <c r="K205" s="394"/>
      <c r="L205" s="394"/>
      <c r="M205" s="394"/>
      <c r="N205" s="394"/>
      <c r="O205" s="394"/>
      <c r="P205" s="394"/>
      <c r="Q205" s="394"/>
      <c r="R205" s="394"/>
      <c r="S205" s="394"/>
      <c r="T205" s="394"/>
      <c r="U205" s="394"/>
      <c r="V205" s="454"/>
      <c r="W205" s="454"/>
      <c r="X205" s="394"/>
      <c r="Y205" s="394"/>
      <c r="Z205" s="394"/>
      <c r="AA205" s="394"/>
      <c r="AB205" s="394"/>
      <c r="AC205" s="394"/>
      <c r="AD205" s="394"/>
      <c r="AE205" s="394"/>
      <c r="AF205" s="394"/>
      <c r="AG205" s="394"/>
      <c r="AH205" s="394"/>
      <c r="AI205" s="394"/>
      <c r="AJ205" s="394"/>
      <c r="AK205" s="394"/>
      <c r="AL205" s="164"/>
    </row>
    <row r="206" spans="1:38" s="164" customFormat="1" ht="12.75" customHeight="1">
      <c r="A206" s="118">
        <v>20230822</v>
      </c>
      <c r="B206" s="118">
        <v>0</v>
      </c>
      <c r="C206" s="118"/>
      <c r="D206" s="320"/>
      <c r="E206" s="320"/>
      <c r="F206" s="167">
        <v>0</v>
      </c>
      <c r="G206" s="167">
        <v>6.3333000000000004</v>
      </c>
      <c r="H206" s="167">
        <v>6.3333000000000004</v>
      </c>
      <c r="I206" s="167">
        <v>6.3333000000000004</v>
      </c>
      <c r="J206" s="167">
        <v>6.3333000000000004</v>
      </c>
      <c r="K206" s="167">
        <v>6.3333000000000004</v>
      </c>
      <c r="L206" s="167">
        <v>6.3333000000000004</v>
      </c>
      <c r="M206" s="167">
        <v>6.3333000000000004</v>
      </c>
      <c r="N206" s="167">
        <v>6.3333000000000004</v>
      </c>
      <c r="O206" s="167">
        <v>6.3333000000000004</v>
      </c>
      <c r="P206" s="167">
        <v>6.3333000000000004</v>
      </c>
      <c r="Q206" s="167">
        <v>6.3333000000000004</v>
      </c>
      <c r="R206" s="167">
        <v>6.3333000000000004</v>
      </c>
      <c r="S206" s="167">
        <v>6.3333000000000004</v>
      </c>
      <c r="T206" s="167">
        <v>6.3333000000000004</v>
      </c>
      <c r="U206" s="167">
        <v>6.3333000000000004</v>
      </c>
      <c r="V206" s="167">
        <v>6.3333000000000004</v>
      </c>
      <c r="W206" s="167">
        <v>6.3333000000000004</v>
      </c>
      <c r="X206" s="167">
        <v>6.3333000000000004</v>
      </c>
      <c r="Y206" s="167">
        <v>6.3333000000000004</v>
      </c>
      <c r="Z206" s="167">
        <v>6.3333000000000004</v>
      </c>
      <c r="AA206" s="167">
        <v>6.3333000000000004</v>
      </c>
      <c r="AB206" s="167">
        <v>6.3333000000000004</v>
      </c>
      <c r="AC206" s="167">
        <v>6.3333000000000004</v>
      </c>
      <c r="AD206" s="167">
        <v>6.3333000000000004</v>
      </c>
      <c r="AE206" s="167">
        <v>6.3333000000000004</v>
      </c>
      <c r="AF206" s="167">
        <v>6.3333000000000004</v>
      </c>
      <c r="AG206" s="167">
        <v>6.3333000000000004</v>
      </c>
      <c r="AH206" s="167">
        <v>6.3333000000000004</v>
      </c>
      <c r="AI206" s="167">
        <v>6.3333000000000004</v>
      </c>
      <c r="AJ206" s="167">
        <v>6.3333000000000004</v>
      </c>
      <c r="AK206" s="167">
        <v>6.3333000000000004</v>
      </c>
    </row>
    <row r="207" spans="1:38" s="164" customFormat="1" ht="12.75" customHeight="1">
      <c r="A207" s="118">
        <v>20230822</v>
      </c>
      <c r="B207" s="118">
        <v>1</v>
      </c>
      <c r="C207" s="118"/>
      <c r="D207" s="320"/>
      <c r="E207" s="320"/>
      <c r="F207" s="167">
        <v>0</v>
      </c>
      <c r="G207" s="167">
        <v>6.3333000000000004</v>
      </c>
      <c r="H207" s="167">
        <v>6.3333000000000004</v>
      </c>
      <c r="I207" s="167">
        <v>6.3333000000000004</v>
      </c>
      <c r="J207" s="167">
        <v>6.3333000000000004</v>
      </c>
      <c r="K207" s="167">
        <v>6.3333000000000004</v>
      </c>
      <c r="L207" s="167">
        <v>6.3333000000000004</v>
      </c>
      <c r="M207" s="167">
        <v>6.3333000000000004</v>
      </c>
      <c r="N207" s="167">
        <v>6.3333000000000004</v>
      </c>
      <c r="O207" s="167">
        <v>6.3333000000000004</v>
      </c>
      <c r="P207" s="167">
        <v>6.3333000000000004</v>
      </c>
      <c r="Q207" s="167">
        <v>6.3333000000000004</v>
      </c>
      <c r="R207" s="167">
        <v>6.3333000000000004</v>
      </c>
      <c r="S207" s="167">
        <v>6.3333000000000004</v>
      </c>
      <c r="T207" s="167">
        <v>6.3333000000000004</v>
      </c>
      <c r="U207" s="167">
        <v>6.3333000000000004</v>
      </c>
      <c r="V207" s="167">
        <v>6.3333000000000004</v>
      </c>
      <c r="W207" s="167">
        <v>6.3333000000000004</v>
      </c>
      <c r="X207" s="167">
        <v>6.3333000000000004</v>
      </c>
      <c r="Y207" s="167">
        <v>6.3333000000000004</v>
      </c>
      <c r="Z207" s="167">
        <v>6.3333000000000004</v>
      </c>
      <c r="AA207" s="167">
        <v>6.3333000000000004</v>
      </c>
      <c r="AB207" s="167">
        <v>6.3333000000000004</v>
      </c>
      <c r="AC207" s="167">
        <v>6.3333000000000004</v>
      </c>
      <c r="AD207" s="167">
        <v>6.3333000000000004</v>
      </c>
      <c r="AE207" s="167">
        <v>6.3333000000000004</v>
      </c>
      <c r="AF207" s="167">
        <v>6.3333000000000004</v>
      </c>
      <c r="AG207" s="167">
        <v>6.3333000000000004</v>
      </c>
      <c r="AH207" s="167">
        <v>6.3333000000000004</v>
      </c>
      <c r="AI207" s="167">
        <v>6.3333000000000004</v>
      </c>
      <c r="AJ207" s="167">
        <v>6.3333000000000004</v>
      </c>
      <c r="AK207" s="167">
        <v>6.3333000000000004</v>
      </c>
    </row>
    <row r="208" spans="1:38" ht="12.75" customHeight="1">
      <c r="AL208" s="164"/>
    </row>
    <row r="209" spans="1:38" ht="12.75" customHeight="1">
      <c r="AL209" s="164"/>
    </row>
    <row r="210" spans="1:38" s="164" customFormat="1" ht="12.75" customHeight="1">
      <c r="A210" s="18" t="str">
        <f ca="1">GetNameRange(A211)</f>
        <v>index_term_trigger_rate_max_aig</v>
      </c>
      <c r="F210" s="167"/>
      <c r="G210" s="167"/>
      <c r="H210" s="167"/>
      <c r="I210" s="167"/>
      <c r="J210" s="167"/>
      <c r="K210" s="167"/>
      <c r="L210" s="167"/>
      <c r="M210" s="167"/>
      <c r="N210" s="167"/>
      <c r="O210" s="167"/>
      <c r="P210" s="167"/>
      <c r="Q210" s="167"/>
      <c r="R210" s="167"/>
      <c r="S210" s="167"/>
      <c r="T210" s="167"/>
      <c r="U210" s="167"/>
      <c r="V210" s="167"/>
      <c r="W210" s="167"/>
      <c r="X210" s="167"/>
      <c r="Y210" s="167"/>
      <c r="Z210" s="167"/>
      <c r="AA210" s="167"/>
      <c r="AB210" s="167"/>
      <c r="AC210" s="167"/>
      <c r="AD210" s="167"/>
      <c r="AE210" s="167"/>
      <c r="AF210" s="167"/>
      <c r="AG210" s="167"/>
      <c r="AH210" s="167"/>
      <c r="AI210" s="167"/>
      <c r="AJ210" s="167"/>
      <c r="AK210" s="167"/>
    </row>
    <row r="211" spans="1:38" s="164" customFormat="1" ht="12.75" customHeight="1">
      <c r="A211" s="116"/>
      <c r="B211" s="116"/>
      <c r="C211" s="116" t="str">
        <f>C$4</f>
        <v>crediting_type_dyn_aig</v>
      </c>
      <c r="D211" s="106" t="str">
        <f>D$4</f>
        <v>Value</v>
      </c>
      <c r="E211" s="106"/>
      <c r="F211" s="106" t="str">
        <f t="shared" ref="F211:G211" si="65">F$4</f>
        <v>FX1Fix</v>
      </c>
      <c r="G211" s="106" t="str">
        <f t="shared" si="65"/>
        <v>SP1Cap</v>
      </c>
      <c r="H211" s="106" t="str">
        <f>H$4</f>
        <v>ND1B10Cp</v>
      </c>
      <c r="I211" s="106" t="str">
        <f>I$4</f>
        <v>ND1B10Tri</v>
      </c>
      <c r="J211" s="106" t="str">
        <f>J$4</f>
        <v>ND1B10DDCp</v>
      </c>
      <c r="K211" s="106" t="str">
        <f>K$4</f>
        <v>SP1B10Cp</v>
      </c>
      <c r="L211" s="106" t="str">
        <f>L$4</f>
        <v>SP1B10PC</v>
      </c>
      <c r="M211" s="106" t="str">
        <f t="shared" ref="M211:N211" si="66">M$4</f>
        <v>SP1B10Tri</v>
      </c>
      <c r="N211" s="106" t="str">
        <f t="shared" si="66"/>
        <v>SP1B10DDCp</v>
      </c>
      <c r="O211" s="106" t="str">
        <f>O$4</f>
        <v>SP1B20Cp</v>
      </c>
      <c r="P211" s="106" t="str">
        <f t="shared" ref="P211:AK211" si="67">P$4</f>
        <v>SP1F10Cp</v>
      </c>
      <c r="Q211" s="106" t="str">
        <f t="shared" si="67"/>
        <v>SP1B10Pr</v>
      </c>
      <c r="R211" s="106" t="str">
        <f t="shared" si="67"/>
        <v>SP1P50Pr</v>
      </c>
      <c r="S211" s="106" t="str">
        <f t="shared" si="67"/>
        <v>SP6B10Cp</v>
      </c>
      <c r="T211" s="106" t="str">
        <f t="shared" si="67"/>
        <v>SP6B10Pr</v>
      </c>
      <c r="U211" s="106" t="str">
        <f t="shared" si="67"/>
        <v>SP6B10PC</v>
      </c>
      <c r="V211" s="106" t="str">
        <f t="shared" si="67"/>
        <v>SP6B10EPC</v>
      </c>
      <c r="W211" s="106" t="str">
        <f t="shared" si="67"/>
        <v>SP6B20EPC</v>
      </c>
      <c r="X211" s="106" t="str">
        <f t="shared" si="67"/>
        <v>SP6B10DDCp</v>
      </c>
      <c r="Y211" s="106" t="str">
        <f>Y$4</f>
        <v>SP6B20DDCp</v>
      </c>
      <c r="Z211" s="106" t="str">
        <f t="shared" si="67"/>
        <v>SP6B10ScCp</v>
      </c>
      <c r="AA211" s="106" t="str">
        <f t="shared" si="67"/>
        <v>SP6B20DDTriCap</v>
      </c>
      <c r="AB211" s="106" t="str">
        <f t="shared" si="67"/>
        <v>SP3K30DKO</v>
      </c>
      <c r="AC211" s="106" t="str">
        <f t="shared" si="67"/>
        <v>SP3K40DKO</v>
      </c>
      <c r="AD211" s="106" t="str">
        <f t="shared" si="67"/>
        <v>SP3K50DKO</v>
      </c>
      <c r="AE211" s="106" t="str">
        <f t="shared" si="67"/>
        <v>SP6K50DKO</v>
      </c>
      <c r="AF211" s="106" t="str">
        <f t="shared" si="67"/>
        <v>SP6K75DKO</v>
      </c>
      <c r="AG211" s="106" t="str">
        <f t="shared" si="67"/>
        <v>SP6K100DKO</v>
      </c>
      <c r="AH211" s="106" t="str">
        <f t="shared" si="67"/>
        <v>SP6B20Cp</v>
      </c>
      <c r="AI211" s="106" t="str">
        <f t="shared" si="67"/>
        <v>SP610FCp</v>
      </c>
      <c r="AJ211" s="106" t="str">
        <f t="shared" si="67"/>
        <v>SP6B20Pr</v>
      </c>
      <c r="AK211" s="106" t="str">
        <f t="shared" si="67"/>
        <v>SP6P50Pr</v>
      </c>
    </row>
    <row r="212" spans="1:38" s="164" customFormat="1" ht="12.75" customHeight="1">
      <c r="A212" s="117" t="s">
        <v>332</v>
      </c>
      <c r="B212" s="451" t="s">
        <v>163</v>
      </c>
      <c r="C212" s="452"/>
      <c r="D212" s="453"/>
      <c r="E212" s="453"/>
      <c r="F212" s="454"/>
      <c r="G212" s="454"/>
      <c r="H212" s="454"/>
      <c r="I212" s="454"/>
      <c r="J212" s="454"/>
      <c r="K212" s="454"/>
      <c r="L212" s="454"/>
      <c r="M212" s="454"/>
      <c r="N212" s="454"/>
      <c r="O212" s="454"/>
      <c r="P212" s="454"/>
      <c r="Q212" s="454"/>
      <c r="R212" s="454"/>
      <c r="S212" s="454"/>
      <c r="T212" s="454"/>
      <c r="U212" s="454"/>
      <c r="V212" s="454"/>
      <c r="W212" s="454"/>
      <c r="X212" s="454"/>
      <c r="Y212" s="454"/>
      <c r="Z212" s="454"/>
      <c r="AA212" s="454"/>
      <c r="AB212" s="454"/>
      <c r="AC212" s="454"/>
      <c r="AD212" s="454"/>
      <c r="AE212" s="454"/>
      <c r="AF212" s="454"/>
      <c r="AG212" s="454"/>
      <c r="AH212" s="454"/>
      <c r="AI212" s="454"/>
      <c r="AJ212" s="454"/>
      <c r="AK212" s="454"/>
    </row>
    <row r="213" spans="1:38" s="164" customFormat="1" ht="12.75" customHeight="1">
      <c r="A213" s="118">
        <v>20230822</v>
      </c>
      <c r="B213" s="118">
        <v>0</v>
      </c>
      <c r="C213" s="118"/>
      <c r="D213" s="320"/>
      <c r="E213" s="320"/>
      <c r="F213" s="167"/>
      <c r="G213" s="167"/>
      <c r="H213" s="167"/>
      <c r="I213" s="167">
        <v>1</v>
      </c>
      <c r="J213" s="167"/>
      <c r="K213" s="167"/>
      <c r="L213" s="167"/>
      <c r="M213" s="167">
        <v>1</v>
      </c>
      <c r="N213" s="167"/>
      <c r="O213" s="167"/>
      <c r="P213" s="167"/>
      <c r="Q213" s="167"/>
      <c r="R213" s="167"/>
      <c r="S213" s="167"/>
      <c r="T213" s="167"/>
      <c r="U213" s="167"/>
      <c r="V213" s="167"/>
      <c r="W213" s="167"/>
      <c r="X213" s="167"/>
      <c r="Y213" s="167"/>
      <c r="Z213" s="167"/>
      <c r="AA213" s="167">
        <v>1</v>
      </c>
      <c r="AB213" s="167"/>
      <c r="AC213" s="167"/>
      <c r="AD213" s="167"/>
      <c r="AE213" s="167"/>
      <c r="AF213" s="167"/>
      <c r="AG213" s="167"/>
      <c r="AH213" s="167"/>
      <c r="AI213" s="167"/>
      <c r="AJ213" s="167"/>
      <c r="AK213" s="167"/>
    </row>
    <row r="214" spans="1:38" s="164" customFormat="1" ht="12.75" customHeight="1">
      <c r="A214" s="118">
        <v>20230822</v>
      </c>
      <c r="B214" s="118">
        <v>1</v>
      </c>
      <c r="C214" s="118"/>
      <c r="D214" s="320"/>
      <c r="E214" s="320"/>
      <c r="F214" s="167"/>
      <c r="G214" s="167"/>
      <c r="H214" s="167"/>
      <c r="I214" s="167">
        <v>1</v>
      </c>
      <c r="J214" s="167"/>
      <c r="K214" s="167"/>
      <c r="L214" s="167"/>
      <c r="M214" s="167">
        <v>1</v>
      </c>
      <c r="N214" s="167"/>
      <c r="O214" s="167"/>
      <c r="P214" s="167"/>
      <c r="Q214" s="167"/>
      <c r="R214" s="167"/>
      <c r="S214" s="167"/>
      <c r="T214" s="167"/>
      <c r="U214" s="167"/>
      <c r="V214" s="167"/>
      <c r="W214" s="167"/>
      <c r="X214" s="167"/>
      <c r="Y214" s="167"/>
      <c r="Z214" s="167"/>
      <c r="AA214" s="167">
        <v>1</v>
      </c>
      <c r="AB214" s="167"/>
      <c r="AC214" s="167"/>
      <c r="AD214" s="167"/>
      <c r="AE214" s="167"/>
      <c r="AF214" s="167"/>
      <c r="AG214" s="167"/>
      <c r="AH214" s="167"/>
      <c r="AI214" s="167"/>
      <c r="AJ214" s="167"/>
      <c r="AK214" s="167"/>
    </row>
    <row r="215" spans="1:38" s="164" customFormat="1" ht="12.75" customHeight="1">
      <c r="F215" s="167"/>
      <c r="G215" s="167"/>
      <c r="H215" s="167"/>
      <c r="I215" s="167"/>
      <c r="J215" s="167"/>
      <c r="K215" s="167"/>
      <c r="L215" s="167"/>
      <c r="M215" s="167"/>
      <c r="N215" s="167"/>
      <c r="O215" s="167"/>
      <c r="P215" s="167"/>
      <c r="Q215" s="167"/>
      <c r="R215" s="167"/>
      <c r="S215" s="167"/>
      <c r="T215" s="167"/>
      <c r="U215" s="167"/>
      <c r="V215" s="167"/>
      <c r="W215" s="167"/>
      <c r="X215" s="167"/>
      <c r="Y215" s="167"/>
      <c r="Z215" s="167"/>
      <c r="AA215" s="167"/>
      <c r="AB215" s="167"/>
      <c r="AC215" s="167"/>
      <c r="AD215" s="167"/>
      <c r="AE215" s="167"/>
      <c r="AF215" s="167"/>
      <c r="AG215" s="167"/>
      <c r="AH215" s="167"/>
      <c r="AI215" s="167"/>
      <c r="AJ215" s="167"/>
      <c r="AK215" s="167"/>
    </row>
    <row r="216" spans="1:38" s="164" customFormat="1" ht="12.75" customHeight="1">
      <c r="F216" s="167"/>
      <c r="G216" s="167"/>
      <c r="H216" s="167"/>
      <c r="I216" s="167"/>
      <c r="J216" s="167"/>
      <c r="K216" s="167"/>
      <c r="L216" s="167"/>
      <c r="M216" s="167"/>
      <c r="N216" s="167"/>
      <c r="O216" s="167"/>
      <c r="P216" s="167"/>
      <c r="Q216" s="167"/>
      <c r="R216" s="167"/>
      <c r="S216" s="167"/>
      <c r="T216" s="167"/>
      <c r="U216" s="167"/>
      <c r="V216" s="167"/>
      <c r="W216" s="167"/>
      <c r="X216" s="167"/>
      <c r="Y216" s="167"/>
      <c r="Z216" s="167"/>
      <c r="AA216" s="167"/>
      <c r="AB216" s="167"/>
      <c r="AC216" s="167"/>
      <c r="AD216" s="167"/>
      <c r="AE216" s="167"/>
      <c r="AF216" s="167"/>
      <c r="AG216" s="167"/>
      <c r="AH216" s="167"/>
      <c r="AI216" s="167"/>
      <c r="AJ216" s="167"/>
      <c r="AK216" s="167"/>
    </row>
    <row r="217" spans="1:38" s="164" customFormat="1" ht="12.75" customHeight="1">
      <c r="A217" s="18" t="str">
        <f ca="1">GetNameRange(A218)</f>
        <v>index_term_trigger_rate_min_aig</v>
      </c>
      <c r="F217" s="167"/>
      <c r="G217" s="167"/>
      <c r="H217" s="167"/>
      <c r="I217" s="167"/>
      <c r="J217" s="167"/>
      <c r="K217" s="167"/>
      <c r="L217" s="167"/>
      <c r="M217" s="167"/>
      <c r="N217" s="167"/>
      <c r="O217" s="167"/>
      <c r="P217" s="167"/>
      <c r="Q217" s="167"/>
      <c r="R217" s="167"/>
      <c r="S217" s="167"/>
      <c r="T217" s="167"/>
      <c r="U217" s="167"/>
      <c r="V217" s="167"/>
      <c r="W217" s="167"/>
      <c r="X217" s="167"/>
      <c r="Y217" s="167"/>
      <c r="Z217" s="167"/>
      <c r="AA217" s="167"/>
      <c r="AB217" s="167"/>
      <c r="AC217" s="167"/>
      <c r="AD217" s="167"/>
      <c r="AE217" s="167"/>
      <c r="AF217" s="167"/>
      <c r="AG217" s="167"/>
      <c r="AH217" s="167"/>
      <c r="AI217" s="167"/>
      <c r="AJ217" s="167"/>
      <c r="AK217" s="167"/>
    </row>
    <row r="218" spans="1:38" s="164" customFormat="1" ht="12.75" customHeight="1">
      <c r="A218" s="116"/>
      <c r="B218" s="116"/>
      <c r="C218" s="116" t="str">
        <f>C$4</f>
        <v>crediting_type_dyn_aig</v>
      </c>
      <c r="D218" s="106" t="str">
        <f>D$4</f>
        <v>Value</v>
      </c>
      <c r="E218" s="106"/>
      <c r="F218" s="106" t="str">
        <f t="shared" ref="F218:G218" si="68">F$4</f>
        <v>FX1Fix</v>
      </c>
      <c r="G218" s="106" t="str">
        <f t="shared" si="68"/>
        <v>SP1Cap</v>
      </c>
      <c r="H218" s="106" t="str">
        <f>H$4</f>
        <v>ND1B10Cp</v>
      </c>
      <c r="I218" s="106" t="str">
        <f>I$4</f>
        <v>ND1B10Tri</v>
      </c>
      <c r="J218" s="106" t="str">
        <f>J$4</f>
        <v>ND1B10DDCp</v>
      </c>
      <c r="K218" s="106" t="str">
        <f>K$4</f>
        <v>SP1B10Cp</v>
      </c>
      <c r="L218" s="106" t="str">
        <f>L$4</f>
        <v>SP1B10PC</v>
      </c>
      <c r="M218" s="106" t="str">
        <f t="shared" ref="M218:N218" si="69">M$4</f>
        <v>SP1B10Tri</v>
      </c>
      <c r="N218" s="106" t="str">
        <f t="shared" si="69"/>
        <v>SP1B10DDCp</v>
      </c>
      <c r="O218" s="106" t="str">
        <f>O$4</f>
        <v>SP1B20Cp</v>
      </c>
      <c r="P218" s="106" t="str">
        <f t="shared" ref="P218:AK218" si="70">P$4</f>
        <v>SP1F10Cp</v>
      </c>
      <c r="Q218" s="106" t="str">
        <f t="shared" si="70"/>
        <v>SP1B10Pr</v>
      </c>
      <c r="R218" s="106" t="str">
        <f t="shared" si="70"/>
        <v>SP1P50Pr</v>
      </c>
      <c r="S218" s="106" t="str">
        <f t="shared" si="70"/>
        <v>SP6B10Cp</v>
      </c>
      <c r="T218" s="106" t="str">
        <f t="shared" si="70"/>
        <v>SP6B10Pr</v>
      </c>
      <c r="U218" s="106" t="str">
        <f t="shared" si="70"/>
        <v>SP6B10PC</v>
      </c>
      <c r="V218" s="106" t="str">
        <f t="shared" si="70"/>
        <v>SP6B10EPC</v>
      </c>
      <c r="W218" s="106" t="str">
        <f t="shared" si="70"/>
        <v>SP6B20EPC</v>
      </c>
      <c r="X218" s="106" t="str">
        <f t="shared" si="70"/>
        <v>SP6B10DDCp</v>
      </c>
      <c r="Y218" s="106" t="str">
        <f>Y$4</f>
        <v>SP6B20DDCp</v>
      </c>
      <c r="Z218" s="106" t="str">
        <f t="shared" si="70"/>
        <v>SP6B10ScCp</v>
      </c>
      <c r="AA218" s="106" t="str">
        <f t="shared" si="70"/>
        <v>SP6B20DDTriCap</v>
      </c>
      <c r="AB218" s="106" t="str">
        <f t="shared" si="70"/>
        <v>SP3K30DKO</v>
      </c>
      <c r="AC218" s="106" t="str">
        <f t="shared" si="70"/>
        <v>SP3K40DKO</v>
      </c>
      <c r="AD218" s="106" t="str">
        <f t="shared" si="70"/>
        <v>SP3K50DKO</v>
      </c>
      <c r="AE218" s="106" t="str">
        <f t="shared" si="70"/>
        <v>SP6K50DKO</v>
      </c>
      <c r="AF218" s="106" t="str">
        <f t="shared" si="70"/>
        <v>SP6K75DKO</v>
      </c>
      <c r="AG218" s="106" t="str">
        <f t="shared" si="70"/>
        <v>SP6K100DKO</v>
      </c>
      <c r="AH218" s="106" t="str">
        <f t="shared" si="70"/>
        <v>SP6B20Cp</v>
      </c>
      <c r="AI218" s="106" t="str">
        <f t="shared" si="70"/>
        <v>SP610FCp</v>
      </c>
      <c r="AJ218" s="106" t="str">
        <f t="shared" si="70"/>
        <v>SP6B20Pr</v>
      </c>
      <c r="AK218" s="106" t="str">
        <f t="shared" si="70"/>
        <v>SP6P50Pr</v>
      </c>
    </row>
    <row r="219" spans="1:38" s="164" customFormat="1" ht="12.75" customHeight="1">
      <c r="A219" s="117" t="s">
        <v>332</v>
      </c>
      <c r="B219" s="451" t="s">
        <v>163</v>
      </c>
      <c r="C219" s="452"/>
      <c r="D219" s="453"/>
      <c r="E219" s="453"/>
      <c r="F219" s="454"/>
      <c r="G219" s="454"/>
      <c r="H219" s="454"/>
      <c r="I219" s="454"/>
      <c r="J219" s="454"/>
      <c r="K219" s="454"/>
      <c r="L219" s="454"/>
      <c r="M219" s="454"/>
      <c r="N219" s="454"/>
      <c r="O219" s="454"/>
      <c r="P219" s="454"/>
      <c r="Q219" s="454"/>
      <c r="R219" s="454"/>
      <c r="S219" s="454"/>
      <c r="T219" s="454"/>
      <c r="U219" s="454"/>
      <c r="V219" s="454"/>
      <c r="W219" s="454"/>
      <c r="X219" s="454"/>
      <c r="Y219" s="454"/>
      <c r="Z219" s="454"/>
      <c r="AA219" s="454"/>
      <c r="AB219" s="454"/>
      <c r="AC219" s="454"/>
      <c r="AD219" s="454"/>
      <c r="AE219" s="454"/>
      <c r="AF219" s="454"/>
      <c r="AG219" s="454"/>
      <c r="AH219" s="454"/>
      <c r="AI219" s="454"/>
      <c r="AJ219" s="454"/>
      <c r="AK219" s="454"/>
    </row>
    <row r="220" spans="1:38" s="164" customFormat="1" ht="12.75" customHeight="1">
      <c r="A220" s="118">
        <v>20230822</v>
      </c>
      <c r="B220" s="118">
        <v>0</v>
      </c>
      <c r="C220" s="118"/>
      <c r="D220" s="320"/>
      <c r="E220" s="320"/>
      <c r="F220" s="167"/>
      <c r="G220" s="167"/>
      <c r="H220" s="167"/>
      <c r="I220" s="167">
        <v>0</v>
      </c>
      <c r="J220" s="167"/>
      <c r="K220" s="167"/>
      <c r="L220" s="167"/>
      <c r="M220" s="167">
        <v>0</v>
      </c>
      <c r="N220" s="167"/>
      <c r="O220" s="167"/>
      <c r="P220" s="167"/>
      <c r="Q220" s="167"/>
      <c r="R220" s="167"/>
      <c r="S220" s="167"/>
      <c r="T220" s="167"/>
      <c r="U220" s="167"/>
      <c r="V220" s="167"/>
      <c r="W220" s="167"/>
      <c r="X220" s="167"/>
      <c r="Y220" s="167"/>
      <c r="Z220" s="167"/>
      <c r="AA220" s="167">
        <v>0</v>
      </c>
      <c r="AB220" s="167"/>
      <c r="AC220" s="167"/>
      <c r="AD220" s="167"/>
      <c r="AE220" s="167"/>
      <c r="AF220" s="167"/>
      <c r="AG220" s="167"/>
      <c r="AH220" s="167"/>
      <c r="AI220" s="167"/>
      <c r="AJ220" s="167"/>
      <c r="AK220" s="167"/>
    </row>
    <row r="221" spans="1:38" s="164" customFormat="1" ht="12.75" customHeight="1">
      <c r="A221" s="118">
        <v>20230822</v>
      </c>
      <c r="B221" s="118">
        <v>1</v>
      </c>
      <c r="C221" s="118"/>
      <c r="D221" s="320"/>
      <c r="E221" s="320"/>
      <c r="F221" s="167"/>
      <c r="G221" s="167"/>
      <c r="H221" s="167"/>
      <c r="I221" s="167">
        <v>0</v>
      </c>
      <c r="J221" s="167"/>
      <c r="K221" s="167"/>
      <c r="L221" s="167"/>
      <c r="M221" s="167">
        <v>0</v>
      </c>
      <c r="N221" s="167"/>
      <c r="O221" s="167"/>
      <c r="P221" s="167"/>
      <c r="Q221" s="167"/>
      <c r="R221" s="167"/>
      <c r="S221" s="167"/>
      <c r="T221" s="167"/>
      <c r="U221" s="167"/>
      <c r="V221" s="167"/>
      <c r="W221" s="167"/>
      <c r="X221" s="167"/>
      <c r="Y221" s="167"/>
      <c r="Z221" s="167"/>
      <c r="AA221" s="167">
        <v>0</v>
      </c>
      <c r="AB221" s="167"/>
      <c r="AC221" s="167"/>
      <c r="AD221" s="167"/>
      <c r="AE221" s="167"/>
      <c r="AF221" s="167"/>
      <c r="AG221" s="167"/>
      <c r="AH221" s="167"/>
      <c r="AI221" s="167"/>
      <c r="AJ221" s="167"/>
      <c r="AK221" s="167"/>
    </row>
    <row r="222" spans="1:38" ht="12.75" customHeight="1">
      <c r="AL222" s="164"/>
    </row>
    <row r="223" spans="1:38" ht="12.75" customHeight="1">
      <c r="AL223" s="164"/>
    </row>
    <row r="224" spans="1:38" ht="12.75" customHeight="1">
      <c r="AL224" s="164"/>
    </row>
    <row r="225" spans="38:38" ht="12.75" customHeight="1">
      <c r="AL225" s="164"/>
    </row>
    <row r="226" spans="38:38" ht="12.75" customHeight="1">
      <c r="AL226" s="164"/>
    </row>
    <row r="227" spans="38:38" ht="12.75" customHeight="1">
      <c r="AL227" s="164"/>
    </row>
    <row r="228" spans="38:38" ht="12.75" customHeight="1">
      <c r="AL228" s="164"/>
    </row>
    <row r="229" spans="38:38" ht="12.75" customHeight="1">
      <c r="AL229" s="164"/>
    </row>
    <row r="230" spans="38:38" ht="12.75" customHeight="1">
      <c r="AL230" s="164"/>
    </row>
    <row r="231" spans="38:38" ht="12.75" customHeight="1">
      <c r="AL231" s="164"/>
    </row>
    <row r="232" spans="38:38" ht="12.75" customHeight="1">
      <c r="AL232" s="164"/>
    </row>
    <row r="233" spans="38:38" ht="12.75" customHeight="1">
      <c r="AL233" s="164"/>
    </row>
    <row r="234" spans="38:38" ht="12.75" customHeight="1">
      <c r="AL234" s="164"/>
    </row>
    <row r="235" spans="38:38" ht="12.75" customHeight="1">
      <c r="AL235" s="164"/>
    </row>
    <row r="236" spans="38:38" ht="12.75" customHeight="1">
      <c r="AL236" s="164"/>
    </row>
    <row r="237" spans="38:38" ht="12.75" customHeight="1">
      <c r="AL237" s="164"/>
    </row>
    <row r="238" spans="38:38" ht="12.75" customHeight="1">
      <c r="AL238" s="164"/>
    </row>
    <row r="239" spans="38:38" ht="12.75" customHeight="1">
      <c r="AL239" s="164"/>
    </row>
    <row r="240" spans="38:38" ht="12.75" customHeight="1">
      <c r="AL240" s="164"/>
    </row>
    <row r="241" spans="38:38" ht="12.75" customHeight="1">
      <c r="AL241" s="164"/>
    </row>
    <row r="242" spans="38:38" ht="12.75" customHeight="1">
      <c r="AL242" s="164"/>
    </row>
    <row r="243" spans="38:38" ht="12.75" customHeight="1">
      <c r="AL243" s="164"/>
    </row>
    <row r="244" spans="38:38" ht="12.75" customHeight="1">
      <c r="AL244" s="164"/>
    </row>
    <row r="245" spans="38:38" ht="12.75" customHeight="1">
      <c r="AL245" s="164"/>
    </row>
    <row r="246" spans="38:38" ht="12.75" customHeight="1">
      <c r="AL246" s="164"/>
    </row>
    <row r="247" spans="38:38" ht="12.75" customHeight="1">
      <c r="AL247" s="164"/>
    </row>
    <row r="248" spans="38:38" ht="12.75" customHeight="1">
      <c r="AL248" s="164"/>
    </row>
    <row r="347" spans="13:33" ht="12.75" customHeight="1">
      <c r="M347" s="557"/>
      <c r="N347" s="557"/>
      <c r="T347" s="557"/>
      <c r="X347" s="557"/>
      <c r="Y347" s="557"/>
      <c r="Z347" s="557"/>
      <c r="AA347" s="557"/>
      <c r="AB347" s="557"/>
      <c r="AC347" s="557"/>
      <c r="AD347" s="557"/>
      <c r="AE347" s="557"/>
      <c r="AF347" s="557"/>
      <c r="AG347" s="557"/>
    </row>
    <row r="348" spans="13:33" ht="12.75" customHeight="1">
      <c r="M348" s="454"/>
      <c r="N348" s="454"/>
      <c r="T348" s="454"/>
      <c r="X348" s="454"/>
      <c r="Y348" s="454"/>
      <c r="Z348" s="454"/>
      <c r="AA348" s="454"/>
      <c r="AB348" s="454"/>
      <c r="AC348" s="454"/>
      <c r="AD348" s="454"/>
      <c r="AE348" s="454"/>
      <c r="AF348" s="454"/>
      <c r="AG348" s="454"/>
    </row>
    <row r="349" spans="13:33" ht="12.75" customHeight="1">
      <c r="M349" s="251"/>
      <c r="N349" s="251"/>
      <c r="T349" s="251"/>
      <c r="X349" s="251"/>
      <c r="Y349" s="251"/>
      <c r="Z349" s="251"/>
      <c r="AA349" s="251"/>
      <c r="AB349" s="251"/>
      <c r="AC349" s="251"/>
      <c r="AD349" s="251"/>
      <c r="AE349" s="251"/>
      <c r="AF349" s="251"/>
      <c r="AG349" s="251"/>
    </row>
    <row r="350" spans="13:33" ht="12.75" customHeight="1">
      <c r="M350" s="251"/>
      <c r="N350" s="251"/>
      <c r="T350" s="251"/>
      <c r="X350" s="251"/>
      <c r="Y350" s="251"/>
      <c r="Z350" s="251"/>
      <c r="AA350" s="251"/>
      <c r="AB350" s="251"/>
      <c r="AC350" s="251"/>
      <c r="AD350" s="251"/>
      <c r="AE350" s="251"/>
      <c r="AF350" s="251"/>
      <c r="AG350" s="251"/>
    </row>
    <row r="351" spans="13:33" ht="12.75" customHeight="1">
      <c r="M351" s="251"/>
      <c r="N351" s="251"/>
      <c r="T351" s="251"/>
      <c r="X351" s="251"/>
      <c r="Y351" s="251"/>
      <c r="Z351" s="251"/>
      <c r="AA351" s="251"/>
      <c r="AB351" s="251"/>
      <c r="AC351" s="251"/>
      <c r="AD351" s="251"/>
      <c r="AE351" s="251"/>
      <c r="AF351" s="251"/>
      <c r="AG351" s="251"/>
    </row>
    <row r="352" spans="13:33" ht="12.75" customHeight="1">
      <c r="M352" s="251"/>
      <c r="N352" s="251"/>
      <c r="T352" s="251"/>
      <c r="X352" s="251"/>
      <c r="Y352" s="251"/>
      <c r="Z352" s="251"/>
      <c r="AA352" s="251"/>
      <c r="AB352" s="251"/>
      <c r="AC352" s="251"/>
      <c r="AD352" s="251"/>
      <c r="AE352" s="251"/>
      <c r="AF352" s="251"/>
      <c r="AG352" s="251"/>
    </row>
    <row r="353" spans="13:33" ht="12.75" customHeight="1">
      <c r="M353" s="251"/>
      <c r="N353" s="251"/>
      <c r="T353" s="251"/>
      <c r="X353" s="251"/>
      <c r="Y353" s="251"/>
      <c r="Z353" s="251"/>
      <c r="AA353" s="251"/>
      <c r="AB353" s="251"/>
      <c r="AC353" s="251"/>
      <c r="AD353" s="251"/>
      <c r="AE353" s="251"/>
      <c r="AF353" s="251"/>
      <c r="AG353" s="251"/>
    </row>
    <row r="354" spans="13:33" ht="12.75" customHeight="1">
      <c r="M354" s="251"/>
      <c r="N354" s="251"/>
      <c r="T354" s="251"/>
      <c r="X354" s="251"/>
      <c r="Y354" s="251"/>
      <c r="Z354" s="251"/>
      <c r="AA354" s="251"/>
      <c r="AB354" s="251"/>
      <c r="AC354" s="251"/>
      <c r="AD354" s="251"/>
      <c r="AE354" s="251"/>
      <c r="AF354" s="251"/>
      <c r="AG354" s="251"/>
    </row>
    <row r="355" spans="13:33" ht="12.75" customHeight="1">
      <c r="M355" s="251"/>
      <c r="N355" s="251"/>
      <c r="T355" s="251"/>
      <c r="X355" s="251"/>
      <c r="Y355" s="251"/>
      <c r="Z355" s="251"/>
      <c r="AA355" s="251"/>
      <c r="AB355" s="251"/>
      <c r="AC355" s="251"/>
      <c r="AD355" s="251"/>
      <c r="AE355" s="251"/>
      <c r="AF355" s="251"/>
      <c r="AG355" s="251"/>
    </row>
    <row r="356" spans="13:33" ht="12.75" customHeight="1">
      <c r="M356" s="251"/>
      <c r="N356" s="251"/>
      <c r="T356" s="251"/>
      <c r="X356" s="251"/>
      <c r="Y356" s="251"/>
      <c r="Z356" s="251"/>
      <c r="AA356" s="251"/>
      <c r="AB356" s="251"/>
      <c r="AC356" s="251"/>
      <c r="AD356" s="251"/>
      <c r="AE356" s="251"/>
      <c r="AF356" s="251"/>
      <c r="AG356" s="251"/>
    </row>
    <row r="357" spans="13:33" ht="12.75" customHeight="1">
      <c r="M357" s="251"/>
      <c r="N357" s="251"/>
      <c r="T357" s="251"/>
      <c r="X357" s="251"/>
      <c r="Y357" s="251"/>
      <c r="Z357" s="251"/>
      <c r="AA357" s="251"/>
      <c r="AB357" s="251"/>
      <c r="AC357" s="251"/>
      <c r="AD357" s="251"/>
      <c r="AE357" s="251"/>
      <c r="AF357" s="251"/>
      <c r="AG357" s="251"/>
    </row>
    <row r="358" spans="13:33" ht="12.75" customHeight="1">
      <c r="M358" s="251"/>
      <c r="N358" s="251"/>
      <c r="T358" s="251"/>
      <c r="X358" s="251"/>
      <c r="Y358" s="251"/>
      <c r="Z358" s="251"/>
      <c r="AA358" s="251"/>
      <c r="AB358" s="251"/>
      <c r="AC358" s="251"/>
      <c r="AD358" s="251"/>
      <c r="AE358" s="251"/>
      <c r="AF358" s="251"/>
      <c r="AG358" s="251"/>
    </row>
    <row r="359" spans="13:33" ht="12.75" customHeight="1">
      <c r="M359" s="251"/>
      <c r="N359" s="251"/>
      <c r="T359" s="251"/>
      <c r="X359" s="251"/>
      <c r="Y359" s="251"/>
      <c r="Z359" s="251"/>
      <c r="AA359" s="251"/>
      <c r="AB359" s="251"/>
      <c r="AC359" s="251"/>
      <c r="AD359" s="251"/>
      <c r="AE359" s="251"/>
      <c r="AF359" s="251"/>
      <c r="AG359" s="251"/>
    </row>
    <row r="360" spans="13:33" ht="12.75" customHeight="1">
      <c r="M360" s="251"/>
      <c r="N360" s="251"/>
      <c r="T360" s="251"/>
      <c r="X360" s="251"/>
      <c r="Y360" s="251"/>
      <c r="Z360" s="251"/>
      <c r="AA360" s="251"/>
      <c r="AB360" s="251"/>
      <c r="AC360" s="251"/>
      <c r="AD360" s="251"/>
      <c r="AE360" s="251"/>
      <c r="AF360" s="251"/>
      <c r="AG360" s="251"/>
    </row>
    <row r="361" spans="13:33" ht="12.75" customHeight="1">
      <c r="M361" s="251"/>
      <c r="N361" s="251"/>
      <c r="T361" s="251"/>
      <c r="X361" s="251"/>
      <c r="Y361" s="251"/>
      <c r="Z361" s="251"/>
      <c r="AA361" s="251"/>
      <c r="AB361" s="251"/>
      <c r="AC361" s="251"/>
      <c r="AD361" s="251"/>
      <c r="AE361" s="251"/>
      <c r="AF361" s="251"/>
      <c r="AG361" s="251"/>
    </row>
    <row r="362" spans="13:33" ht="12.75" customHeight="1">
      <c r="M362" s="251"/>
      <c r="N362" s="251"/>
      <c r="T362" s="251"/>
      <c r="X362" s="251"/>
      <c r="Y362" s="251"/>
      <c r="Z362" s="251"/>
      <c r="AA362" s="251"/>
      <c r="AB362" s="251"/>
      <c r="AC362" s="251"/>
      <c r="AD362" s="251"/>
      <c r="AE362" s="251"/>
      <c r="AF362" s="251"/>
      <c r="AG362" s="251"/>
    </row>
    <row r="363" spans="13:33" ht="12.75" customHeight="1">
      <c r="M363" s="251"/>
      <c r="N363" s="251"/>
      <c r="T363" s="251"/>
      <c r="X363" s="251"/>
      <c r="Y363" s="251"/>
      <c r="Z363" s="251"/>
      <c r="AA363" s="251"/>
      <c r="AB363" s="251"/>
      <c r="AC363" s="251"/>
      <c r="AD363" s="251"/>
      <c r="AE363" s="251"/>
      <c r="AF363" s="251"/>
      <c r="AG363" s="251"/>
    </row>
    <row r="364" spans="13:33" ht="12.75" customHeight="1">
      <c r="M364" s="251"/>
      <c r="N364" s="251"/>
      <c r="T364" s="251"/>
      <c r="X364" s="251"/>
      <c r="Y364" s="251"/>
      <c r="Z364" s="251"/>
      <c r="AA364" s="251"/>
      <c r="AB364" s="251"/>
      <c r="AC364" s="251"/>
      <c r="AD364" s="251"/>
      <c r="AE364" s="251"/>
      <c r="AF364" s="251"/>
      <c r="AG364" s="251"/>
    </row>
    <row r="365" spans="13:33" ht="12.75" customHeight="1">
      <c r="M365" s="251"/>
      <c r="N365" s="251"/>
      <c r="T365" s="251"/>
      <c r="X365" s="251"/>
      <c r="Y365" s="251"/>
      <c r="Z365" s="251"/>
      <c r="AA365" s="251"/>
      <c r="AB365" s="251"/>
      <c r="AC365" s="251"/>
      <c r="AD365" s="251"/>
      <c r="AE365" s="251"/>
      <c r="AF365" s="251"/>
      <c r="AG365" s="251"/>
    </row>
    <row r="366" spans="13:33" ht="12.75" customHeight="1">
      <c r="M366" s="558"/>
      <c r="N366" s="558"/>
      <c r="T366" s="558"/>
      <c r="X366" s="558"/>
      <c r="Y366" s="558"/>
      <c r="Z366" s="558"/>
      <c r="AA366" s="558"/>
      <c r="AB366" s="558"/>
      <c r="AC366" s="558"/>
      <c r="AD366" s="558"/>
      <c r="AE366" s="558"/>
      <c r="AF366" s="558"/>
      <c r="AG366" s="558"/>
    </row>
    <row r="367" spans="13:33" ht="12.75" customHeight="1">
      <c r="M367" s="251"/>
      <c r="N367" s="251"/>
      <c r="T367" s="251"/>
      <c r="X367" s="251"/>
      <c r="Y367" s="251"/>
      <c r="Z367" s="251"/>
      <c r="AA367" s="251"/>
      <c r="AB367" s="251"/>
      <c r="AC367" s="251"/>
      <c r="AD367" s="251"/>
      <c r="AE367" s="251"/>
      <c r="AF367" s="251"/>
      <c r="AG367" s="251"/>
    </row>
    <row r="368" spans="13:33" ht="12.75" customHeight="1">
      <c r="M368" s="251"/>
      <c r="N368" s="251"/>
      <c r="T368" s="251"/>
      <c r="X368" s="251"/>
      <c r="Y368" s="251"/>
      <c r="Z368" s="251"/>
      <c r="AA368" s="251"/>
      <c r="AB368" s="251"/>
      <c r="AC368" s="251"/>
      <c r="AD368" s="251"/>
      <c r="AE368" s="251"/>
      <c r="AF368" s="251"/>
      <c r="AG368" s="251"/>
    </row>
    <row r="369" spans="13:33" ht="12.75" customHeight="1">
      <c r="M369" s="251"/>
      <c r="N369" s="251"/>
      <c r="T369" s="251"/>
      <c r="X369" s="251"/>
      <c r="Y369" s="251"/>
      <c r="Z369" s="251"/>
      <c r="AA369" s="251"/>
      <c r="AB369" s="251"/>
      <c r="AC369" s="251"/>
      <c r="AD369" s="251"/>
      <c r="AE369" s="251"/>
      <c r="AF369" s="251"/>
      <c r="AG369" s="251"/>
    </row>
    <row r="370" spans="13:33" ht="12.75" customHeight="1">
      <c r="M370" s="251"/>
      <c r="N370" s="251"/>
      <c r="T370" s="251"/>
      <c r="X370" s="251"/>
      <c r="Y370" s="251"/>
      <c r="Z370" s="251"/>
      <c r="AA370" s="251"/>
      <c r="AB370" s="251"/>
      <c r="AC370" s="251"/>
      <c r="AD370" s="251"/>
      <c r="AE370" s="251"/>
      <c r="AF370" s="251"/>
      <c r="AG370" s="251"/>
    </row>
    <row r="371" spans="13:33" ht="12.75" customHeight="1">
      <c r="M371" s="251"/>
      <c r="N371" s="251"/>
      <c r="T371" s="251"/>
      <c r="X371" s="251"/>
      <c r="Y371" s="251"/>
      <c r="Z371" s="251"/>
      <c r="AA371" s="251"/>
      <c r="AB371" s="251"/>
      <c r="AC371" s="251"/>
      <c r="AD371" s="251"/>
      <c r="AE371" s="251"/>
      <c r="AF371" s="251"/>
      <c r="AG371" s="251"/>
    </row>
    <row r="372" spans="13:33" ht="12.75" customHeight="1">
      <c r="M372" s="251"/>
      <c r="N372" s="251"/>
      <c r="T372" s="251"/>
      <c r="X372" s="251"/>
      <c r="Y372" s="251"/>
      <c r="Z372" s="251"/>
      <c r="AA372" s="251"/>
      <c r="AB372" s="251"/>
      <c r="AC372" s="251"/>
      <c r="AD372" s="251"/>
      <c r="AE372" s="251"/>
      <c r="AF372" s="251"/>
      <c r="AG372" s="251"/>
    </row>
    <row r="373" spans="13:33" ht="12.75" customHeight="1">
      <c r="M373" s="251"/>
      <c r="N373" s="251"/>
      <c r="T373" s="251"/>
      <c r="X373" s="251"/>
      <c r="Y373" s="251"/>
      <c r="Z373" s="251"/>
      <c r="AA373" s="251"/>
      <c r="AB373" s="251"/>
      <c r="AC373" s="251"/>
      <c r="AD373" s="251"/>
      <c r="AE373" s="251"/>
      <c r="AF373" s="251"/>
      <c r="AG373" s="251"/>
    </row>
    <row r="374" spans="13:33" ht="12.75" customHeight="1">
      <c r="M374" s="251"/>
      <c r="N374" s="251"/>
      <c r="T374" s="251"/>
      <c r="X374" s="251"/>
      <c r="Y374" s="251"/>
      <c r="Z374" s="251"/>
      <c r="AA374" s="251"/>
      <c r="AB374" s="251"/>
      <c r="AC374" s="251"/>
      <c r="AD374" s="251"/>
      <c r="AE374" s="251"/>
      <c r="AF374" s="251"/>
      <c r="AG374" s="251"/>
    </row>
    <row r="375" spans="13:33" ht="12.75" customHeight="1">
      <c r="M375" s="251"/>
      <c r="N375" s="251"/>
      <c r="T375" s="251"/>
      <c r="X375" s="251"/>
      <c r="Y375" s="251"/>
      <c r="Z375" s="251"/>
      <c r="AA375" s="251"/>
      <c r="AB375" s="251"/>
      <c r="AC375" s="251"/>
      <c r="AD375" s="251"/>
      <c r="AE375" s="251"/>
      <c r="AF375" s="251"/>
      <c r="AG375" s="251"/>
    </row>
    <row r="376" spans="13:33" ht="12.75" customHeight="1">
      <c r="M376" s="251"/>
      <c r="N376" s="251"/>
      <c r="T376" s="251"/>
      <c r="X376" s="251"/>
      <c r="Y376" s="251"/>
      <c r="Z376" s="251"/>
      <c r="AA376" s="251"/>
      <c r="AB376" s="251"/>
      <c r="AC376" s="251"/>
      <c r="AD376" s="251"/>
      <c r="AE376" s="251"/>
      <c r="AF376" s="251"/>
      <c r="AG376" s="251"/>
    </row>
    <row r="377" spans="13:33" ht="12.75" customHeight="1">
      <c r="M377" s="251"/>
      <c r="N377" s="251"/>
      <c r="T377" s="251"/>
      <c r="X377" s="251"/>
      <c r="Y377" s="251"/>
      <c r="Z377" s="251"/>
      <c r="AA377" s="251"/>
      <c r="AB377" s="251"/>
      <c r="AC377" s="251"/>
      <c r="AD377" s="251"/>
      <c r="AE377" s="251"/>
      <c r="AF377" s="251"/>
      <c r="AG377" s="251"/>
    </row>
    <row r="378" spans="13:33" ht="12.75" customHeight="1">
      <c r="M378" s="251"/>
      <c r="N378" s="251"/>
      <c r="T378" s="251"/>
      <c r="X378" s="251"/>
      <c r="Y378" s="251"/>
      <c r="Z378" s="251"/>
      <c r="AA378" s="251"/>
      <c r="AB378" s="251"/>
      <c r="AC378" s="251"/>
      <c r="AD378" s="251"/>
      <c r="AE378" s="251"/>
      <c r="AF378" s="251"/>
      <c r="AG378" s="251"/>
    </row>
    <row r="379" spans="13:33" ht="12.75" customHeight="1">
      <c r="M379" s="251"/>
      <c r="N379" s="251"/>
      <c r="T379" s="251"/>
      <c r="X379" s="251"/>
      <c r="Y379" s="251"/>
      <c r="Z379" s="251"/>
      <c r="AA379" s="251"/>
      <c r="AB379" s="251"/>
      <c r="AC379" s="251"/>
      <c r="AD379" s="251"/>
      <c r="AE379" s="251"/>
      <c r="AF379" s="251"/>
      <c r="AG379" s="251"/>
    </row>
    <row r="380" spans="13:33" ht="12.75" customHeight="1">
      <c r="M380" s="251"/>
      <c r="N380" s="251"/>
      <c r="T380" s="251"/>
      <c r="X380" s="251"/>
      <c r="Y380" s="251"/>
      <c r="Z380" s="251"/>
      <c r="AA380" s="251"/>
      <c r="AB380" s="251"/>
      <c r="AC380" s="251"/>
      <c r="AD380" s="251"/>
      <c r="AE380" s="251"/>
      <c r="AF380" s="251"/>
      <c r="AG380" s="251"/>
    </row>
    <row r="381" spans="13:33" ht="12.75" customHeight="1">
      <c r="M381" s="251"/>
      <c r="N381" s="251"/>
      <c r="T381" s="251"/>
      <c r="X381" s="251"/>
      <c r="Y381" s="251"/>
      <c r="Z381" s="251"/>
      <c r="AA381" s="251"/>
      <c r="AB381" s="251"/>
      <c r="AC381" s="251"/>
      <c r="AD381" s="251"/>
      <c r="AE381" s="251"/>
      <c r="AF381" s="251"/>
      <c r="AG381" s="251"/>
    </row>
    <row r="382" spans="13:33" ht="12.75" customHeight="1">
      <c r="M382" s="251"/>
      <c r="N382" s="251"/>
      <c r="T382" s="251"/>
      <c r="X382" s="251"/>
      <c r="Y382" s="251"/>
      <c r="Z382" s="251"/>
      <c r="AA382" s="251"/>
      <c r="AB382" s="251"/>
      <c r="AC382" s="251"/>
      <c r="AD382" s="251"/>
      <c r="AE382" s="251"/>
      <c r="AF382" s="251"/>
      <c r="AG382" s="251"/>
    </row>
    <row r="383" spans="13:33" ht="12.75" customHeight="1">
      <c r="M383" s="251"/>
      <c r="N383" s="251"/>
      <c r="T383" s="251"/>
      <c r="X383" s="251"/>
      <c r="Y383" s="251"/>
      <c r="Z383" s="251"/>
      <c r="AA383" s="251"/>
      <c r="AB383" s="251"/>
      <c r="AC383" s="251"/>
      <c r="AD383" s="251"/>
      <c r="AE383" s="251"/>
      <c r="AF383" s="251"/>
      <c r="AG383" s="251"/>
    </row>
    <row r="384" spans="13:33" ht="12.75" customHeight="1">
      <c r="M384" s="251"/>
      <c r="N384" s="251"/>
      <c r="T384" s="251"/>
      <c r="X384" s="251"/>
      <c r="Y384" s="251"/>
      <c r="Z384" s="251"/>
      <c r="AA384" s="251"/>
      <c r="AB384" s="251"/>
      <c r="AC384" s="251"/>
      <c r="AD384" s="251"/>
      <c r="AE384" s="251"/>
      <c r="AF384" s="251"/>
      <c r="AG384" s="251"/>
    </row>
    <row r="385" spans="13:33" ht="12.75" customHeight="1">
      <c r="M385" s="251"/>
      <c r="N385" s="251"/>
      <c r="T385" s="251"/>
      <c r="X385" s="251"/>
      <c r="Y385" s="251"/>
      <c r="Z385" s="251"/>
      <c r="AA385" s="251"/>
      <c r="AB385" s="251"/>
      <c r="AC385" s="251"/>
      <c r="AD385" s="251"/>
      <c r="AE385" s="251"/>
      <c r="AF385" s="251"/>
      <c r="AG385" s="251"/>
    </row>
    <row r="386" spans="13:33" ht="12.75" customHeight="1">
      <c r="M386" s="251"/>
      <c r="N386" s="251"/>
      <c r="T386" s="251"/>
      <c r="X386" s="251"/>
      <c r="Y386" s="251"/>
      <c r="Z386" s="251"/>
      <c r="AA386" s="251"/>
      <c r="AB386" s="251"/>
      <c r="AC386" s="251"/>
      <c r="AD386" s="251"/>
      <c r="AE386" s="251"/>
      <c r="AF386" s="251"/>
      <c r="AG386" s="251"/>
    </row>
    <row r="387" spans="13:33" ht="12.75" customHeight="1">
      <c r="M387" s="251"/>
      <c r="N387" s="251"/>
      <c r="T387" s="251"/>
      <c r="X387" s="251"/>
      <c r="Y387" s="251"/>
      <c r="Z387" s="251"/>
      <c r="AA387" s="251"/>
      <c r="AB387" s="251"/>
      <c r="AC387" s="251"/>
      <c r="AD387" s="251"/>
      <c r="AE387" s="251"/>
      <c r="AF387" s="251"/>
      <c r="AG387" s="251"/>
    </row>
    <row r="388" spans="13:33" ht="12.75" customHeight="1">
      <c r="M388" s="251"/>
      <c r="N388" s="251"/>
      <c r="T388" s="251"/>
      <c r="X388" s="251"/>
      <c r="Y388" s="251"/>
      <c r="Z388" s="251"/>
      <c r="AA388" s="251"/>
      <c r="AB388" s="251"/>
      <c r="AC388" s="251"/>
      <c r="AD388" s="251"/>
      <c r="AE388" s="251"/>
      <c r="AF388" s="251"/>
      <c r="AG388" s="251"/>
    </row>
    <row r="389" spans="13:33" ht="12.75" customHeight="1">
      <c r="M389" s="251"/>
      <c r="N389" s="251"/>
      <c r="T389" s="251"/>
      <c r="X389" s="251"/>
      <c r="Y389" s="251"/>
      <c r="Z389" s="251"/>
      <c r="AA389" s="251"/>
      <c r="AB389" s="251"/>
      <c r="AC389" s="251"/>
      <c r="AD389" s="251"/>
      <c r="AE389" s="251"/>
      <c r="AF389" s="251"/>
      <c r="AG389" s="251"/>
    </row>
    <row r="390" spans="13:33" ht="12.75" customHeight="1">
      <c r="M390" s="251"/>
      <c r="N390" s="251"/>
      <c r="T390" s="251"/>
      <c r="X390" s="251"/>
      <c r="Y390" s="251"/>
      <c r="Z390" s="251"/>
      <c r="AA390" s="251"/>
      <c r="AB390" s="251"/>
      <c r="AC390" s="251"/>
      <c r="AD390" s="251"/>
      <c r="AE390" s="251"/>
      <c r="AF390" s="251"/>
      <c r="AG390" s="251"/>
    </row>
    <row r="391" spans="13:33" ht="12.75" customHeight="1">
      <c r="M391" s="251"/>
      <c r="N391" s="251"/>
      <c r="T391" s="251"/>
      <c r="X391" s="251"/>
      <c r="Y391" s="251"/>
      <c r="Z391" s="251"/>
      <c r="AA391" s="251"/>
      <c r="AB391" s="251"/>
      <c r="AC391" s="251"/>
      <c r="AD391" s="251"/>
      <c r="AE391" s="251"/>
      <c r="AF391" s="251"/>
      <c r="AG391" s="251"/>
    </row>
    <row r="392" spans="13:33" ht="12.75" customHeight="1">
      <c r="M392" s="251"/>
      <c r="N392" s="251"/>
      <c r="T392" s="251"/>
      <c r="X392" s="251"/>
      <c r="Y392" s="251"/>
      <c r="Z392" s="251"/>
      <c r="AA392" s="251"/>
      <c r="AB392" s="251"/>
      <c r="AC392" s="251"/>
      <c r="AD392" s="251"/>
      <c r="AE392" s="251"/>
      <c r="AF392" s="251"/>
      <c r="AG392" s="251"/>
    </row>
    <row r="393" spans="13:33" ht="12.75" customHeight="1">
      <c r="M393" s="251"/>
      <c r="N393" s="251"/>
      <c r="T393" s="251"/>
      <c r="X393" s="251"/>
      <c r="Y393" s="251"/>
      <c r="Z393" s="251"/>
      <c r="AA393" s="251"/>
      <c r="AB393" s="251"/>
      <c r="AC393" s="251"/>
      <c r="AD393" s="251"/>
      <c r="AE393" s="251"/>
      <c r="AF393" s="251"/>
      <c r="AG393" s="251"/>
    </row>
    <row r="394" spans="13:33" ht="12.75" customHeight="1">
      <c r="M394" s="251"/>
      <c r="N394" s="251"/>
      <c r="T394" s="251"/>
      <c r="X394" s="251"/>
      <c r="Y394" s="251"/>
      <c r="Z394" s="251"/>
      <c r="AA394" s="251"/>
      <c r="AB394" s="251"/>
      <c r="AC394" s="251"/>
      <c r="AD394" s="251"/>
      <c r="AE394" s="251"/>
      <c r="AF394" s="251"/>
      <c r="AG394" s="251"/>
    </row>
    <row r="395" spans="13:33" ht="12.75" customHeight="1">
      <c r="M395" s="251"/>
      <c r="N395" s="251"/>
      <c r="T395" s="251"/>
      <c r="X395" s="251"/>
      <c r="Y395" s="251"/>
      <c r="Z395" s="251"/>
      <c r="AA395" s="251"/>
      <c r="AB395" s="251"/>
      <c r="AC395" s="251"/>
      <c r="AD395" s="251"/>
      <c r="AE395" s="251"/>
      <c r="AF395" s="251"/>
      <c r="AG395" s="251"/>
    </row>
    <row r="396" spans="13:33" ht="12.75" customHeight="1">
      <c r="M396" s="251"/>
      <c r="N396" s="251"/>
      <c r="T396" s="251"/>
      <c r="X396" s="251"/>
      <c r="Y396" s="251"/>
      <c r="Z396" s="251"/>
      <c r="AA396" s="251"/>
      <c r="AB396" s="251"/>
      <c r="AC396" s="251"/>
      <c r="AD396" s="251"/>
      <c r="AE396" s="251"/>
      <c r="AF396" s="251"/>
      <c r="AG396" s="251"/>
    </row>
    <row r="397" spans="13:33" ht="12.75" customHeight="1">
      <c r="M397" s="251"/>
      <c r="N397" s="251"/>
      <c r="T397" s="251"/>
      <c r="X397" s="251"/>
      <c r="Y397" s="251"/>
      <c r="Z397" s="251"/>
      <c r="AA397" s="251"/>
      <c r="AB397" s="251"/>
      <c r="AC397" s="251"/>
      <c r="AD397" s="251"/>
      <c r="AE397" s="251"/>
      <c r="AF397" s="251"/>
      <c r="AG397" s="251"/>
    </row>
    <row r="398" spans="13:33" ht="12.75" customHeight="1">
      <c r="M398" s="251"/>
      <c r="N398" s="251"/>
      <c r="T398" s="251"/>
      <c r="X398" s="251"/>
      <c r="Y398" s="251"/>
      <c r="Z398" s="251"/>
      <c r="AA398" s="251"/>
      <c r="AB398" s="251"/>
      <c r="AC398" s="251"/>
      <c r="AD398" s="251"/>
      <c r="AE398" s="251"/>
      <c r="AF398" s="251"/>
      <c r="AG398" s="251"/>
    </row>
    <row r="399" spans="13:33" ht="12.75" customHeight="1">
      <c r="M399" s="251"/>
      <c r="N399" s="251"/>
      <c r="T399" s="251"/>
      <c r="X399" s="251"/>
      <c r="Y399" s="251"/>
      <c r="Z399" s="251"/>
      <c r="AA399" s="251"/>
      <c r="AB399" s="251"/>
      <c r="AC399" s="251"/>
      <c r="AD399" s="251"/>
      <c r="AE399" s="251"/>
      <c r="AF399" s="251"/>
      <c r="AG399" s="251"/>
    </row>
    <row r="400" spans="13:33" ht="12.75" customHeight="1">
      <c r="M400" s="251"/>
      <c r="N400" s="251"/>
      <c r="T400" s="251"/>
      <c r="X400" s="251"/>
      <c r="Y400" s="251"/>
      <c r="Z400" s="251"/>
      <c r="AA400" s="251"/>
      <c r="AB400" s="251"/>
      <c r="AC400" s="251"/>
      <c r="AD400" s="251"/>
      <c r="AE400" s="251"/>
      <c r="AF400" s="251"/>
      <c r="AG400" s="251"/>
    </row>
    <row r="401" spans="13:33" ht="12.75" customHeight="1">
      <c r="M401" s="251"/>
      <c r="N401" s="251"/>
      <c r="T401" s="251"/>
      <c r="X401" s="251"/>
      <c r="Y401" s="251"/>
      <c r="Z401" s="251"/>
      <c r="AA401" s="251"/>
      <c r="AB401" s="251"/>
      <c r="AC401" s="251"/>
      <c r="AD401" s="251"/>
      <c r="AE401" s="251"/>
      <c r="AF401" s="251"/>
      <c r="AG401" s="251"/>
    </row>
    <row r="402" spans="13:33" ht="12.75" customHeight="1">
      <c r="M402" s="251"/>
      <c r="N402" s="251"/>
      <c r="T402" s="251"/>
      <c r="X402" s="251"/>
      <c r="Y402" s="251"/>
      <c r="Z402" s="251"/>
      <c r="AA402" s="251"/>
      <c r="AB402" s="251"/>
      <c r="AC402" s="251"/>
      <c r="AD402" s="251"/>
      <c r="AE402" s="251"/>
      <c r="AF402" s="251"/>
      <c r="AG402" s="251"/>
    </row>
    <row r="403" spans="13:33" ht="12.75" customHeight="1">
      <c r="M403" s="251" t="s">
        <v>335</v>
      </c>
      <c r="N403" s="251" t="s">
        <v>335</v>
      </c>
      <c r="T403" s="251" t="s">
        <v>352</v>
      </c>
      <c r="X403" s="251" t="s">
        <v>335</v>
      </c>
      <c r="Y403" s="251" t="s">
        <v>335</v>
      </c>
      <c r="Z403" s="251" t="s">
        <v>335</v>
      </c>
      <c r="AA403" s="251" t="s">
        <v>335</v>
      </c>
      <c r="AB403" s="251" t="s">
        <v>335</v>
      </c>
      <c r="AC403" s="251" t="s">
        <v>335</v>
      </c>
      <c r="AD403" s="251" t="s">
        <v>335</v>
      </c>
      <c r="AE403" s="251" t="s">
        <v>335</v>
      </c>
      <c r="AF403" s="251" t="s">
        <v>335</v>
      </c>
      <c r="AG403" s="251" t="s">
        <v>335</v>
      </c>
    </row>
    <row r="404" spans="13:33" ht="12.75" customHeight="1">
      <c r="M404" s="251" t="s">
        <v>335</v>
      </c>
      <c r="N404" s="251" t="s">
        <v>335</v>
      </c>
      <c r="T404" s="251" t="s">
        <v>352</v>
      </c>
      <c r="X404" s="251" t="s">
        <v>335</v>
      </c>
      <c r="Y404" s="251" t="s">
        <v>335</v>
      </c>
      <c r="Z404" s="251" t="s">
        <v>335</v>
      </c>
      <c r="AA404" s="251" t="s">
        <v>335</v>
      </c>
      <c r="AB404" s="251" t="s">
        <v>335</v>
      </c>
      <c r="AC404" s="251" t="s">
        <v>335</v>
      </c>
      <c r="AD404" s="251" t="s">
        <v>335</v>
      </c>
      <c r="AE404" s="251" t="s">
        <v>335</v>
      </c>
      <c r="AF404" s="251" t="s">
        <v>335</v>
      </c>
      <c r="AG404" s="251" t="s">
        <v>335</v>
      </c>
    </row>
    <row r="405" spans="13:33" ht="12.75" customHeight="1">
      <c r="M405" s="251"/>
      <c r="N405" s="251"/>
      <c r="T405" s="251"/>
      <c r="X405" s="251"/>
      <c r="Y405" s="251"/>
      <c r="Z405" s="251"/>
      <c r="AA405" s="251"/>
      <c r="AB405" s="251"/>
      <c r="AC405" s="251"/>
      <c r="AD405" s="251"/>
      <c r="AE405" s="251"/>
      <c r="AF405" s="251"/>
      <c r="AG405" s="251"/>
    </row>
    <row r="406" spans="13:33" ht="12.75" customHeight="1">
      <c r="M406" s="251"/>
      <c r="N406" s="251"/>
      <c r="T406" s="251"/>
      <c r="X406" s="251"/>
      <c r="Y406" s="251"/>
      <c r="Z406" s="251"/>
      <c r="AA406" s="251"/>
      <c r="AB406" s="251"/>
      <c r="AC406" s="251"/>
      <c r="AD406" s="251"/>
      <c r="AE406" s="251"/>
      <c r="AF406" s="251"/>
      <c r="AG406" s="251"/>
    </row>
    <row r="407" spans="13:33" ht="12.75" customHeight="1">
      <c r="M407" s="251"/>
      <c r="N407" s="251"/>
      <c r="T407" s="251"/>
      <c r="X407" s="251"/>
      <c r="Y407" s="251"/>
      <c r="Z407" s="251"/>
      <c r="AA407" s="251"/>
      <c r="AB407" s="251"/>
      <c r="AC407" s="251"/>
      <c r="AD407" s="251"/>
      <c r="AE407" s="251"/>
      <c r="AF407" s="251"/>
      <c r="AG407" s="251"/>
    </row>
    <row r="408" spans="13:33" ht="12.75" customHeight="1">
      <c r="M408" s="251"/>
      <c r="N408" s="251"/>
      <c r="T408" s="251"/>
      <c r="X408" s="251"/>
      <c r="Y408" s="251"/>
      <c r="Z408" s="251"/>
      <c r="AA408" s="251"/>
      <c r="AB408" s="251"/>
      <c r="AC408" s="251"/>
      <c r="AD408" s="251"/>
      <c r="AE408" s="251"/>
      <c r="AF408" s="251"/>
      <c r="AG408" s="251"/>
    </row>
    <row r="409" spans="13:33" ht="12.75" customHeight="1">
      <c r="M409" s="251"/>
      <c r="N409" s="251"/>
      <c r="T409" s="251"/>
      <c r="X409" s="251"/>
      <c r="Y409" s="251"/>
      <c r="Z409" s="251"/>
      <c r="AA409" s="251"/>
      <c r="AB409" s="251"/>
      <c r="AC409" s="251"/>
      <c r="AD409" s="251"/>
      <c r="AE409" s="251"/>
      <c r="AF409" s="251"/>
      <c r="AG409" s="251"/>
    </row>
    <row r="410" spans="13:33" ht="12.75" customHeight="1">
      <c r="M410" s="251"/>
      <c r="N410" s="251"/>
      <c r="T410" s="251"/>
      <c r="X410" s="251"/>
      <c r="Y410" s="251"/>
      <c r="Z410" s="251"/>
      <c r="AA410" s="251"/>
      <c r="AB410" s="251"/>
      <c r="AC410" s="251"/>
      <c r="AD410" s="251"/>
      <c r="AE410" s="251"/>
      <c r="AF410" s="251"/>
      <c r="AG410" s="251"/>
    </row>
    <row r="411" spans="13:33" ht="12.75" customHeight="1">
      <c r="M411" s="251"/>
      <c r="N411" s="251"/>
      <c r="T411" s="251"/>
      <c r="X411" s="251"/>
      <c r="Y411" s="251"/>
      <c r="Z411" s="251"/>
      <c r="AA411" s="251"/>
      <c r="AB411" s="251"/>
      <c r="AC411" s="251"/>
      <c r="AD411" s="251"/>
      <c r="AE411" s="251"/>
      <c r="AF411" s="251"/>
      <c r="AG411" s="251"/>
    </row>
    <row r="412" spans="13:33" ht="12.75" customHeight="1">
      <c r="M412" s="251"/>
      <c r="N412" s="251"/>
      <c r="T412" s="251"/>
      <c r="X412" s="251"/>
      <c r="Y412" s="251"/>
      <c r="Z412" s="251"/>
      <c r="AA412" s="251"/>
      <c r="AB412" s="251"/>
      <c r="AC412" s="251"/>
      <c r="AD412" s="251"/>
      <c r="AE412" s="251"/>
      <c r="AF412" s="251"/>
      <c r="AG412" s="251"/>
    </row>
    <row r="413" spans="13:33" ht="12.75" customHeight="1">
      <c r="M413" s="251"/>
      <c r="N413" s="251"/>
      <c r="T413" s="251"/>
      <c r="X413" s="251"/>
      <c r="Y413" s="251"/>
      <c r="Z413" s="251"/>
      <c r="AA413" s="251"/>
      <c r="AB413" s="251"/>
      <c r="AC413" s="251"/>
      <c r="AD413" s="251"/>
      <c r="AE413" s="251"/>
      <c r="AF413" s="251"/>
      <c r="AG413" s="251"/>
    </row>
    <row r="414" spans="13:33" ht="12.75" customHeight="1">
      <c r="M414" s="251"/>
      <c r="N414" s="251"/>
      <c r="T414" s="251"/>
      <c r="X414" s="251"/>
      <c r="Y414" s="251"/>
      <c r="Z414" s="251"/>
      <c r="AA414" s="251"/>
      <c r="AB414" s="251"/>
      <c r="AC414" s="251"/>
      <c r="AD414" s="251"/>
      <c r="AE414" s="251"/>
      <c r="AF414" s="251"/>
      <c r="AG414" s="251"/>
    </row>
    <row r="415" spans="13:33" ht="12.75" customHeight="1">
      <c r="M415" s="251"/>
      <c r="N415" s="251"/>
      <c r="T415" s="251"/>
      <c r="X415" s="251"/>
      <c r="Y415" s="251"/>
      <c r="Z415" s="251"/>
      <c r="AA415" s="251"/>
      <c r="AB415" s="251"/>
      <c r="AC415" s="251"/>
      <c r="AD415" s="251"/>
      <c r="AE415" s="251"/>
      <c r="AF415" s="251"/>
      <c r="AG415" s="251"/>
    </row>
    <row r="416" spans="13:33" ht="12.75" customHeight="1">
      <c r="M416" s="251"/>
      <c r="N416" s="251"/>
      <c r="T416" s="251"/>
      <c r="X416" s="251"/>
      <c r="Y416" s="251"/>
      <c r="Z416" s="251"/>
      <c r="AA416" s="251"/>
      <c r="AB416" s="251"/>
      <c r="AC416" s="251"/>
      <c r="AD416" s="251"/>
      <c r="AE416" s="251"/>
      <c r="AF416" s="251"/>
      <c r="AG416" s="251"/>
    </row>
    <row r="417" spans="13:33" ht="12.75" customHeight="1">
      <c r="M417" s="251"/>
      <c r="N417" s="251"/>
      <c r="T417" s="251"/>
      <c r="X417" s="251"/>
      <c r="Y417" s="251"/>
      <c r="Z417" s="251"/>
      <c r="AA417" s="251"/>
      <c r="AB417" s="251"/>
      <c r="AC417" s="251"/>
      <c r="AD417" s="251"/>
      <c r="AE417" s="251"/>
      <c r="AF417" s="251"/>
      <c r="AG417" s="251"/>
    </row>
    <row r="418" spans="13:33" ht="12.75" customHeight="1">
      <c r="M418" s="251"/>
      <c r="N418" s="251"/>
      <c r="T418" s="251"/>
      <c r="X418" s="251"/>
      <c r="Y418" s="251"/>
      <c r="Z418" s="251"/>
      <c r="AA418" s="251"/>
      <c r="AB418" s="251"/>
      <c r="AC418" s="251"/>
      <c r="AD418" s="251"/>
      <c r="AE418" s="251"/>
      <c r="AF418" s="251"/>
      <c r="AG418" s="251"/>
    </row>
    <row r="419" spans="13:33" ht="12.75" customHeight="1">
      <c r="M419" s="251"/>
      <c r="N419" s="251"/>
      <c r="T419" s="251"/>
      <c r="X419" s="251"/>
      <c r="Y419" s="251"/>
      <c r="Z419" s="251"/>
      <c r="AA419" s="251"/>
      <c r="AB419" s="251"/>
      <c r="AC419" s="251"/>
      <c r="AD419" s="251"/>
      <c r="AE419" s="251"/>
      <c r="AF419" s="251"/>
      <c r="AG419" s="251"/>
    </row>
    <row r="420" spans="13:33" ht="12.75" customHeight="1">
      <c r="M420" s="251"/>
      <c r="N420" s="251"/>
      <c r="T420" s="251"/>
      <c r="X420" s="251"/>
      <c r="Y420" s="251"/>
      <c r="Z420" s="251"/>
      <c r="AA420" s="251"/>
      <c r="AB420" s="251"/>
      <c r="AC420" s="251"/>
      <c r="AD420" s="251"/>
      <c r="AE420" s="251"/>
      <c r="AF420" s="251"/>
      <c r="AG420" s="251"/>
    </row>
    <row r="421" spans="13:33" ht="12.75" customHeight="1">
      <c r="M421" s="251"/>
      <c r="N421" s="251"/>
      <c r="T421" s="251"/>
      <c r="X421" s="251"/>
      <c r="Y421" s="251"/>
      <c r="Z421" s="251"/>
      <c r="AA421" s="251"/>
      <c r="AB421" s="251"/>
      <c r="AC421" s="251"/>
      <c r="AD421" s="251"/>
      <c r="AE421" s="251"/>
      <c r="AF421" s="251"/>
      <c r="AG421" s="251"/>
    </row>
    <row r="422" spans="13:33" ht="12.75" customHeight="1">
      <c r="M422" s="251"/>
      <c r="N422" s="251"/>
      <c r="T422" s="251"/>
      <c r="X422" s="251"/>
      <c r="Y422" s="251"/>
      <c r="Z422" s="251"/>
      <c r="AA422" s="251"/>
      <c r="AB422" s="251"/>
      <c r="AC422" s="251"/>
      <c r="AD422" s="251"/>
      <c r="AE422" s="251"/>
      <c r="AF422" s="251"/>
      <c r="AG422" s="251"/>
    </row>
    <row r="423" spans="13:33" ht="12.75" customHeight="1">
      <c r="M423" s="251"/>
      <c r="N423" s="251"/>
      <c r="T423" s="251"/>
      <c r="X423" s="251"/>
      <c r="Y423" s="251"/>
      <c r="Z423" s="251"/>
      <c r="AA423" s="251"/>
      <c r="AB423" s="251"/>
      <c r="AC423" s="251"/>
      <c r="AD423" s="251"/>
      <c r="AE423" s="251"/>
      <c r="AF423" s="251"/>
      <c r="AG423" s="251"/>
    </row>
    <row r="424" spans="13:33" ht="12.75" customHeight="1">
      <c r="M424" s="251"/>
      <c r="N424" s="251"/>
      <c r="T424" s="251"/>
      <c r="X424" s="251"/>
      <c r="Y424" s="251"/>
      <c r="Z424" s="251"/>
      <c r="AA424" s="251"/>
      <c r="AB424" s="251"/>
      <c r="AC424" s="251"/>
      <c r="AD424" s="251"/>
      <c r="AE424" s="251"/>
      <c r="AF424" s="251"/>
      <c r="AG424" s="251"/>
    </row>
    <row r="425" spans="13:33" ht="12.75" customHeight="1">
      <c r="M425" s="251"/>
      <c r="N425" s="251"/>
      <c r="T425" s="251"/>
      <c r="X425" s="251"/>
      <c r="Y425" s="251"/>
      <c r="Z425" s="251"/>
      <c r="AA425" s="251"/>
      <c r="AB425" s="251"/>
      <c r="AC425" s="251"/>
      <c r="AD425" s="251"/>
      <c r="AE425" s="251"/>
      <c r="AF425" s="251"/>
      <c r="AG425" s="251"/>
    </row>
    <row r="426" spans="13:33" ht="12.75" customHeight="1">
      <c r="M426" s="251"/>
      <c r="N426" s="251"/>
      <c r="T426" s="251"/>
      <c r="X426" s="251"/>
      <c r="Y426" s="251"/>
      <c r="Z426" s="251"/>
      <c r="AA426" s="251"/>
      <c r="AB426" s="251"/>
      <c r="AC426" s="251"/>
      <c r="AD426" s="251"/>
      <c r="AE426" s="251"/>
      <c r="AF426" s="251"/>
      <c r="AG426" s="251"/>
    </row>
    <row r="427" spans="13:33" ht="12.75" customHeight="1">
      <c r="M427" s="251"/>
      <c r="N427" s="251"/>
      <c r="T427" s="251"/>
      <c r="X427" s="251"/>
      <c r="Y427" s="251"/>
      <c r="Z427" s="251"/>
      <c r="AA427" s="251"/>
      <c r="AB427" s="251"/>
      <c r="AC427" s="251"/>
      <c r="AD427" s="251"/>
      <c r="AE427" s="251"/>
      <c r="AF427" s="251"/>
      <c r="AG427" s="251"/>
    </row>
    <row r="428" spans="13:33" ht="12.75" customHeight="1">
      <c r="M428" s="251"/>
      <c r="N428" s="251"/>
      <c r="T428" s="251"/>
      <c r="X428" s="251"/>
      <c r="Y428" s="251"/>
      <c r="Z428" s="251"/>
      <c r="AA428" s="251"/>
      <c r="AB428" s="251"/>
      <c r="AC428" s="251"/>
      <c r="AD428" s="251"/>
      <c r="AE428" s="251"/>
      <c r="AF428" s="251"/>
      <c r="AG428" s="251"/>
    </row>
    <row r="429" spans="13:33" ht="12.75" customHeight="1">
      <c r="M429" s="251"/>
      <c r="N429" s="251"/>
      <c r="T429" s="251"/>
      <c r="X429" s="251"/>
      <c r="Y429" s="251"/>
      <c r="Z429" s="251"/>
      <c r="AA429" s="251"/>
      <c r="AB429" s="251"/>
      <c r="AC429" s="251"/>
      <c r="AD429" s="251"/>
      <c r="AE429" s="251"/>
      <c r="AF429" s="251"/>
      <c r="AG429" s="251"/>
    </row>
    <row r="430" spans="13:33" ht="12.75" customHeight="1">
      <c r="M430" s="251"/>
      <c r="N430" s="251"/>
      <c r="T430" s="251"/>
      <c r="X430" s="251"/>
      <c r="Y430" s="251"/>
      <c r="Z430" s="251"/>
      <c r="AA430" s="251"/>
      <c r="AB430" s="251"/>
      <c r="AC430" s="251"/>
      <c r="AD430" s="251"/>
      <c r="AE430" s="251"/>
      <c r="AF430" s="251"/>
      <c r="AG430" s="251"/>
    </row>
    <row r="431" spans="13:33" ht="12.75" customHeight="1">
      <c r="M431" s="251"/>
      <c r="N431" s="251"/>
      <c r="T431" s="251"/>
      <c r="X431" s="251"/>
      <c r="Y431" s="251"/>
      <c r="Z431" s="251"/>
      <c r="AA431" s="251"/>
      <c r="AB431" s="251"/>
      <c r="AC431" s="251"/>
      <c r="AD431" s="251"/>
      <c r="AE431" s="251"/>
      <c r="AF431" s="251"/>
      <c r="AG431" s="251"/>
    </row>
    <row r="432" spans="13:33" ht="12.75" customHeight="1">
      <c r="M432" s="251"/>
      <c r="N432" s="251"/>
      <c r="T432" s="251"/>
      <c r="X432" s="251"/>
      <c r="Y432" s="251"/>
      <c r="Z432" s="251"/>
      <c r="AA432" s="251"/>
      <c r="AB432" s="251"/>
      <c r="AC432" s="251"/>
      <c r="AD432" s="251"/>
      <c r="AE432" s="251"/>
      <c r="AF432" s="251"/>
      <c r="AG432" s="251"/>
    </row>
    <row r="433" spans="13:33" ht="12.75" customHeight="1">
      <c r="M433" s="251"/>
      <c r="N433" s="251"/>
      <c r="T433" s="251"/>
      <c r="X433" s="251"/>
      <c r="Y433" s="251"/>
      <c r="Z433" s="251"/>
      <c r="AA433" s="251"/>
      <c r="AB433" s="251"/>
      <c r="AC433" s="251"/>
      <c r="AD433" s="251"/>
      <c r="AE433" s="251"/>
      <c r="AF433" s="251"/>
      <c r="AG433" s="251"/>
    </row>
    <row r="434" spans="13:33" ht="12.75" customHeight="1">
      <c r="M434" s="251"/>
      <c r="N434" s="251"/>
      <c r="T434" s="251"/>
      <c r="X434" s="251"/>
      <c r="Y434" s="251"/>
      <c r="Z434" s="251"/>
      <c r="AA434" s="251"/>
      <c r="AB434" s="251"/>
      <c r="AC434" s="251"/>
      <c r="AD434" s="251"/>
      <c r="AE434" s="251"/>
      <c r="AF434" s="251"/>
      <c r="AG434" s="251"/>
    </row>
    <row r="435" spans="13:33" ht="12.75" customHeight="1">
      <c r="M435" s="251"/>
      <c r="N435" s="251"/>
      <c r="T435" s="251"/>
      <c r="X435" s="251"/>
      <c r="Y435" s="251"/>
      <c r="Z435" s="251"/>
      <c r="AA435" s="251"/>
      <c r="AB435" s="251"/>
      <c r="AC435" s="251"/>
      <c r="AD435" s="251"/>
      <c r="AE435" s="251"/>
      <c r="AF435" s="251"/>
      <c r="AG435" s="251"/>
    </row>
    <row r="436" spans="13:33" ht="12.75" customHeight="1">
      <c r="M436" s="251"/>
      <c r="N436" s="251"/>
      <c r="T436" s="251"/>
      <c r="X436" s="251"/>
      <c r="Y436" s="251"/>
      <c r="Z436" s="251"/>
      <c r="AA436" s="251"/>
      <c r="AB436" s="251"/>
      <c r="AC436" s="251"/>
      <c r="AD436" s="251"/>
      <c r="AE436" s="251"/>
      <c r="AF436" s="251"/>
      <c r="AG436" s="251"/>
    </row>
    <row r="437" spans="13:33" ht="12.75" customHeight="1">
      <c r="M437" s="251"/>
      <c r="N437" s="251"/>
      <c r="T437" s="251"/>
      <c r="X437" s="251"/>
      <c r="Y437" s="251"/>
      <c r="Z437" s="251"/>
      <c r="AA437" s="251"/>
      <c r="AB437" s="251"/>
      <c r="AC437" s="251"/>
      <c r="AD437" s="251"/>
      <c r="AE437" s="251"/>
      <c r="AF437" s="251"/>
      <c r="AG437" s="251"/>
    </row>
    <row r="438" spans="13:33" ht="12.75" customHeight="1">
      <c r="M438" s="251"/>
      <c r="N438" s="251"/>
      <c r="T438" s="251"/>
      <c r="X438" s="251"/>
      <c r="Y438" s="251"/>
      <c r="Z438" s="251"/>
      <c r="AA438" s="251"/>
      <c r="AB438" s="251"/>
      <c r="AC438" s="251"/>
      <c r="AD438" s="251"/>
      <c r="AE438" s="251"/>
      <c r="AF438" s="251"/>
      <c r="AG438" s="251"/>
    </row>
    <row r="439" spans="13:33" ht="12.75" customHeight="1">
      <c r="M439" s="251"/>
      <c r="N439" s="251"/>
      <c r="T439" s="251"/>
      <c r="X439" s="251"/>
      <c r="Y439" s="251"/>
      <c r="Z439" s="251"/>
      <c r="AA439" s="251"/>
      <c r="AB439" s="251"/>
      <c r="AC439" s="251"/>
      <c r="AD439" s="251"/>
      <c r="AE439" s="251"/>
      <c r="AF439" s="251"/>
      <c r="AG439" s="251"/>
    </row>
    <row r="440" spans="13:33" ht="12.75" customHeight="1">
      <c r="M440" s="251"/>
      <c r="N440" s="251"/>
      <c r="T440" s="251"/>
      <c r="X440" s="251"/>
      <c r="Y440" s="251"/>
      <c r="Z440" s="251"/>
      <c r="AA440" s="251"/>
      <c r="AB440" s="251"/>
      <c r="AC440" s="251"/>
      <c r="AD440" s="251"/>
      <c r="AE440" s="251"/>
      <c r="AF440" s="251"/>
      <c r="AG440" s="251"/>
    </row>
    <row r="441" spans="13:33" ht="12.75" customHeight="1">
      <c r="M441" s="251"/>
      <c r="N441" s="251"/>
      <c r="T441" s="251"/>
      <c r="X441" s="251"/>
      <c r="Y441" s="251"/>
      <c r="Z441" s="251"/>
      <c r="AA441" s="251"/>
      <c r="AB441" s="251"/>
      <c r="AC441" s="251"/>
      <c r="AD441" s="251"/>
      <c r="AE441" s="251"/>
      <c r="AF441" s="251"/>
      <c r="AG441" s="251"/>
    </row>
    <row r="442" spans="13:33" ht="12.75" customHeight="1">
      <c r="M442" s="251"/>
      <c r="N442" s="251"/>
      <c r="T442" s="251"/>
      <c r="X442" s="251"/>
      <c r="Y442" s="251"/>
      <c r="Z442" s="251"/>
      <c r="AA442" s="251"/>
      <c r="AB442" s="251"/>
      <c r="AC442" s="251"/>
      <c r="AD442" s="251"/>
      <c r="AE442" s="251"/>
      <c r="AF442" s="251"/>
      <c r="AG442" s="251"/>
    </row>
    <row r="443" spans="13:33" ht="12.75" customHeight="1">
      <c r="M443" s="251"/>
      <c r="N443" s="251"/>
      <c r="T443" s="251"/>
      <c r="X443" s="251"/>
      <c r="Y443" s="251"/>
      <c r="Z443" s="251"/>
      <c r="AA443" s="251"/>
      <c r="AB443" s="251"/>
      <c r="AC443" s="251"/>
      <c r="AD443" s="251"/>
      <c r="AE443" s="251"/>
      <c r="AF443" s="251"/>
      <c r="AG443" s="251"/>
    </row>
    <row r="444" spans="13:33" ht="12.75" customHeight="1">
      <c r="M444" s="251"/>
      <c r="N444" s="251"/>
      <c r="T444" s="251"/>
      <c r="X444" s="251"/>
      <c r="Y444" s="251"/>
      <c r="Z444" s="251"/>
      <c r="AA444" s="251"/>
      <c r="AB444" s="251"/>
      <c r="AC444" s="251"/>
      <c r="AD444" s="251"/>
      <c r="AE444" s="251"/>
      <c r="AF444" s="251"/>
      <c r="AG444" s="251"/>
    </row>
    <row r="445" spans="13:33" ht="12.75" customHeight="1">
      <c r="M445" s="251"/>
      <c r="N445" s="251"/>
      <c r="T445" s="251"/>
      <c r="X445" s="251"/>
      <c r="Y445" s="251"/>
      <c r="Z445" s="251"/>
      <c r="AA445" s="251"/>
      <c r="AB445" s="251"/>
      <c r="AC445" s="251"/>
      <c r="AD445" s="251"/>
      <c r="AE445" s="251"/>
      <c r="AF445" s="251"/>
      <c r="AG445" s="251"/>
    </row>
    <row r="446" spans="13:33" ht="12.75" customHeight="1">
      <c r="M446" s="251"/>
      <c r="N446" s="251"/>
      <c r="T446" s="251"/>
      <c r="X446" s="251"/>
      <c r="Y446" s="251"/>
      <c r="Z446" s="251"/>
      <c r="AA446" s="251"/>
      <c r="AB446" s="251"/>
      <c r="AC446" s="251"/>
      <c r="AD446" s="251"/>
      <c r="AE446" s="251"/>
      <c r="AF446" s="251"/>
      <c r="AG446" s="251"/>
    </row>
    <row r="447" spans="13:33" ht="12.75" customHeight="1">
      <c r="M447" s="251"/>
      <c r="N447" s="251"/>
      <c r="T447" s="251"/>
      <c r="X447" s="251"/>
      <c r="Y447" s="251"/>
      <c r="Z447" s="251"/>
      <c r="AA447" s="251"/>
      <c r="AB447" s="251"/>
      <c r="AC447" s="251"/>
      <c r="AD447" s="251"/>
      <c r="AE447" s="251"/>
      <c r="AF447" s="251"/>
      <c r="AG447" s="251"/>
    </row>
    <row r="448" spans="13:33" ht="12.75" customHeight="1">
      <c r="M448" s="251"/>
      <c r="N448" s="251"/>
      <c r="T448" s="251"/>
      <c r="X448" s="251"/>
      <c r="Y448" s="251"/>
      <c r="Z448" s="251"/>
      <c r="AA448" s="251"/>
      <c r="AB448" s="251"/>
      <c r="AC448" s="251"/>
      <c r="AD448" s="251"/>
      <c r="AE448" s="251"/>
      <c r="AF448" s="251"/>
      <c r="AG448" s="251"/>
    </row>
    <row r="449" spans="13:33" ht="12.75" customHeight="1">
      <c r="M449" s="251"/>
      <c r="N449" s="251"/>
      <c r="T449" s="251"/>
      <c r="X449" s="251"/>
      <c r="Y449" s="251"/>
      <c r="Z449" s="251"/>
      <c r="AA449" s="251"/>
      <c r="AB449" s="251"/>
      <c r="AC449" s="251"/>
      <c r="AD449" s="251"/>
      <c r="AE449" s="251"/>
      <c r="AF449" s="251"/>
      <c r="AG449" s="251"/>
    </row>
    <row r="450" spans="13:33" ht="12.75" customHeight="1">
      <c r="M450" s="251"/>
      <c r="N450" s="251"/>
      <c r="T450" s="251"/>
      <c r="X450" s="251"/>
      <c r="Y450" s="251"/>
      <c r="Z450" s="251"/>
      <c r="AA450" s="251"/>
      <c r="AB450" s="251"/>
      <c r="AC450" s="251"/>
      <c r="AD450" s="251"/>
      <c r="AE450" s="251"/>
      <c r="AF450" s="251"/>
      <c r="AG450" s="251"/>
    </row>
    <row r="451" spans="13:33" ht="12.75" customHeight="1">
      <c r="M451" s="251"/>
      <c r="N451" s="251"/>
      <c r="T451" s="251"/>
      <c r="X451" s="251"/>
      <c r="Y451" s="251"/>
      <c r="Z451" s="251"/>
      <c r="AA451" s="251"/>
      <c r="AB451" s="251"/>
      <c r="AC451" s="251"/>
      <c r="AD451" s="251"/>
      <c r="AE451" s="251"/>
      <c r="AF451" s="251"/>
      <c r="AG451" s="251"/>
    </row>
    <row r="452" spans="13:33" ht="12.75" customHeight="1">
      <c r="M452" s="251"/>
      <c r="N452" s="251"/>
      <c r="T452" s="251"/>
      <c r="X452" s="251"/>
      <c r="Y452" s="251"/>
      <c r="Z452" s="251"/>
      <c r="AA452" s="251"/>
      <c r="AB452" s="251"/>
      <c r="AC452" s="251"/>
      <c r="AD452" s="251"/>
      <c r="AE452" s="251"/>
      <c r="AF452" s="251"/>
      <c r="AG452" s="251"/>
    </row>
    <row r="453" spans="13:33" ht="12.75" customHeight="1">
      <c r="M453" s="251"/>
      <c r="N453" s="251"/>
      <c r="T453" s="251"/>
      <c r="X453" s="251"/>
      <c r="Y453" s="251"/>
      <c r="Z453" s="251"/>
      <c r="AA453" s="251"/>
      <c r="AB453" s="251"/>
      <c r="AC453" s="251"/>
      <c r="AD453" s="251"/>
      <c r="AE453" s="251"/>
      <c r="AF453" s="251"/>
      <c r="AG453" s="251"/>
    </row>
    <row r="454" spans="13:33" ht="12.75" customHeight="1">
      <c r="M454" s="251"/>
      <c r="N454" s="251"/>
      <c r="T454" s="251"/>
      <c r="X454" s="251"/>
      <c r="Y454" s="251"/>
      <c r="Z454" s="251"/>
      <c r="AA454" s="251"/>
      <c r="AB454" s="251"/>
      <c r="AC454" s="251"/>
      <c r="AD454" s="251"/>
      <c r="AE454" s="251"/>
      <c r="AF454" s="251"/>
      <c r="AG454" s="251"/>
    </row>
    <row r="458" spans="13:33" ht="12.75" customHeight="1">
      <c r="M458" s="106"/>
      <c r="N458" s="106"/>
      <c r="T458" s="106"/>
      <c r="X458" s="106"/>
      <c r="Y458" s="106"/>
      <c r="Z458" s="106"/>
      <c r="AA458" s="106"/>
      <c r="AB458" s="106"/>
      <c r="AC458" s="106"/>
      <c r="AD458" s="106"/>
      <c r="AE458" s="106"/>
      <c r="AF458" s="106"/>
      <c r="AG458" s="106"/>
    </row>
    <row r="459" spans="13:33" ht="12.75" customHeight="1">
      <c r="M459" s="454"/>
      <c r="N459" s="454"/>
      <c r="T459" s="454"/>
      <c r="X459" s="454"/>
      <c r="Y459" s="454"/>
      <c r="Z459" s="454"/>
      <c r="AA459" s="454"/>
      <c r="AB459" s="454"/>
      <c r="AC459" s="454"/>
      <c r="AD459" s="454"/>
      <c r="AE459" s="454"/>
      <c r="AF459" s="454"/>
      <c r="AG459" s="454"/>
    </row>
    <row r="462" spans="13:33" ht="12.75" customHeight="1">
      <c r="M462" s="167">
        <v>1</v>
      </c>
      <c r="N462" s="167">
        <v>1</v>
      </c>
      <c r="T462" s="167">
        <v>1</v>
      </c>
      <c r="X462" s="167">
        <v>1</v>
      </c>
      <c r="Y462" s="167">
        <v>1</v>
      </c>
      <c r="Z462" s="167">
        <v>1</v>
      </c>
      <c r="AA462" s="167">
        <v>1</v>
      </c>
      <c r="AB462" s="167">
        <v>1</v>
      </c>
      <c r="AC462" s="167">
        <v>1</v>
      </c>
      <c r="AD462" s="167">
        <v>1</v>
      </c>
      <c r="AE462" s="167">
        <v>1</v>
      </c>
      <c r="AF462" s="167">
        <v>1</v>
      </c>
      <c r="AG462" s="167">
        <v>1</v>
      </c>
    </row>
    <row r="463" spans="13:33" ht="12.75" customHeight="1">
      <c r="M463" s="167">
        <v>1</v>
      </c>
      <c r="N463" s="167">
        <v>1</v>
      </c>
      <c r="T463" s="167">
        <v>1</v>
      </c>
      <c r="X463" s="167">
        <v>1</v>
      </c>
      <c r="Y463" s="167">
        <v>1</v>
      </c>
      <c r="Z463" s="167">
        <v>1</v>
      </c>
      <c r="AA463" s="167">
        <v>1</v>
      </c>
      <c r="AB463" s="167">
        <v>1</v>
      </c>
      <c r="AC463" s="167">
        <v>1</v>
      </c>
      <c r="AD463" s="167">
        <v>1</v>
      </c>
      <c r="AE463" s="167">
        <v>1</v>
      </c>
      <c r="AF463" s="167">
        <v>1</v>
      </c>
      <c r="AG463" s="167">
        <v>1</v>
      </c>
    </row>
    <row r="467" spans="13:33" ht="12.75" customHeight="1">
      <c r="M467" s="106"/>
      <c r="N467" s="106"/>
      <c r="T467" s="106"/>
      <c r="X467" s="106"/>
      <c r="Y467" s="106"/>
      <c r="Z467" s="106"/>
      <c r="AA467" s="106"/>
      <c r="AB467" s="106"/>
      <c r="AC467" s="106"/>
      <c r="AD467" s="106"/>
      <c r="AE467" s="106"/>
      <c r="AF467" s="106"/>
      <c r="AG467" s="106"/>
    </row>
    <row r="468" spans="13:33" ht="12.75" customHeight="1">
      <c r="M468" s="454"/>
      <c r="N468" s="454"/>
      <c r="T468" s="454"/>
      <c r="X468" s="454"/>
      <c r="Y468" s="454"/>
      <c r="Z468" s="454"/>
      <c r="AA468" s="454"/>
      <c r="AB468" s="454"/>
      <c r="AC468" s="454"/>
      <c r="AD468" s="454"/>
      <c r="AE468" s="454"/>
      <c r="AF468" s="454"/>
      <c r="AG468" s="454"/>
    </row>
    <row r="471" spans="13:33" ht="12.75" customHeight="1">
      <c r="M471" s="167">
        <v>1</v>
      </c>
      <c r="N471" s="167">
        <v>1</v>
      </c>
      <c r="T471" s="167">
        <v>1</v>
      </c>
      <c r="X471" s="167">
        <v>1</v>
      </c>
      <c r="Y471" s="167">
        <v>1</v>
      </c>
      <c r="Z471" s="167">
        <v>1</v>
      </c>
      <c r="AA471" s="167">
        <v>1</v>
      </c>
      <c r="AB471" s="167">
        <v>1</v>
      </c>
      <c r="AC471" s="167">
        <v>1</v>
      </c>
      <c r="AD471" s="167">
        <v>1</v>
      </c>
      <c r="AE471" s="167">
        <v>1</v>
      </c>
      <c r="AF471" s="167">
        <v>1</v>
      </c>
      <c r="AG471" s="167">
        <v>1</v>
      </c>
    </row>
    <row r="472" spans="13:33" ht="12.75" customHeight="1">
      <c r="M472" s="167">
        <v>1</v>
      </c>
      <c r="N472" s="167">
        <v>1</v>
      </c>
      <c r="T472" s="167">
        <v>1</v>
      </c>
      <c r="X472" s="167">
        <v>1</v>
      </c>
      <c r="Y472" s="167">
        <v>1</v>
      </c>
      <c r="Z472" s="167">
        <v>1</v>
      </c>
      <c r="AA472" s="167">
        <v>1</v>
      </c>
      <c r="AB472" s="167">
        <v>1</v>
      </c>
      <c r="AC472" s="167">
        <v>1</v>
      </c>
      <c r="AD472" s="167">
        <v>1</v>
      </c>
      <c r="AE472" s="167">
        <v>1</v>
      </c>
      <c r="AF472" s="167">
        <v>1</v>
      </c>
      <c r="AG472" s="167">
        <v>1</v>
      </c>
    </row>
    <row r="473" spans="13:33" ht="12.75" customHeight="1">
      <c r="M473" s="167">
        <v>1</v>
      </c>
      <c r="N473" s="167">
        <v>1</v>
      </c>
      <c r="T473" s="167">
        <v>1</v>
      </c>
      <c r="X473" s="167">
        <v>1</v>
      </c>
      <c r="Y473" s="167">
        <v>1</v>
      </c>
      <c r="Z473" s="167">
        <v>1</v>
      </c>
      <c r="AA473" s="167">
        <v>1</v>
      </c>
      <c r="AB473" s="167">
        <v>1</v>
      </c>
      <c r="AC473" s="167">
        <v>1</v>
      </c>
      <c r="AD473" s="167">
        <v>1</v>
      </c>
      <c r="AE473" s="167">
        <v>1</v>
      </c>
      <c r="AF473" s="167">
        <v>1</v>
      </c>
      <c r="AG473" s="167">
        <v>1</v>
      </c>
    </row>
    <row r="474" spans="13:33" ht="12.75" customHeight="1">
      <c r="M474" s="167">
        <v>1</v>
      </c>
      <c r="N474" s="167">
        <v>1</v>
      </c>
      <c r="T474" s="167">
        <v>1</v>
      </c>
      <c r="X474" s="167">
        <v>1</v>
      </c>
      <c r="Y474" s="167">
        <v>1</v>
      </c>
      <c r="Z474" s="167">
        <v>1</v>
      </c>
      <c r="AA474" s="167">
        <v>1</v>
      </c>
      <c r="AB474" s="167">
        <v>1</v>
      </c>
      <c r="AC474" s="167">
        <v>1</v>
      </c>
      <c r="AD474" s="167">
        <v>1</v>
      </c>
      <c r="AE474" s="167">
        <v>1</v>
      </c>
      <c r="AF474" s="167">
        <v>1</v>
      </c>
      <c r="AG474" s="167">
        <v>1</v>
      </c>
    </row>
    <row r="478" spans="13:33" ht="12.75" customHeight="1">
      <c r="M478" s="106"/>
      <c r="N478" s="106"/>
      <c r="T478" s="106"/>
      <c r="X478" s="106"/>
      <c r="Y478" s="106"/>
      <c r="Z478" s="106"/>
      <c r="AA478" s="106"/>
      <c r="AB478" s="106"/>
      <c r="AC478" s="106"/>
      <c r="AD478" s="106"/>
      <c r="AE478" s="106"/>
      <c r="AF478" s="106"/>
      <c r="AG478" s="106"/>
    </row>
    <row r="479" spans="13:33" ht="12.75" customHeight="1">
      <c r="M479" s="454"/>
      <c r="N479" s="454"/>
      <c r="T479" s="454"/>
      <c r="X479" s="454"/>
      <c r="Y479" s="454"/>
      <c r="Z479" s="454"/>
      <c r="AA479" s="454"/>
      <c r="AB479" s="454"/>
      <c r="AC479" s="454"/>
      <c r="AD479" s="454"/>
      <c r="AE479" s="454"/>
      <c r="AF479" s="454"/>
      <c r="AG479" s="454"/>
    </row>
    <row r="482" spans="13:33" ht="12.75" customHeight="1">
      <c r="M482" s="167">
        <v>0</v>
      </c>
      <c r="N482" s="167">
        <v>0</v>
      </c>
      <c r="T482" s="167">
        <v>0</v>
      </c>
      <c r="X482" s="167">
        <v>0</v>
      </c>
      <c r="Y482" s="167">
        <v>0</v>
      </c>
      <c r="Z482" s="167">
        <v>0</v>
      </c>
      <c r="AA482" s="167">
        <v>0</v>
      </c>
      <c r="AB482" s="167">
        <v>0</v>
      </c>
      <c r="AC482" s="167">
        <v>0</v>
      </c>
      <c r="AD482" s="167">
        <v>0</v>
      </c>
      <c r="AE482" s="167">
        <v>0</v>
      </c>
      <c r="AF482" s="167">
        <v>0</v>
      </c>
      <c r="AG482" s="167">
        <v>0</v>
      </c>
    </row>
    <row r="483" spans="13:33" ht="12.75" customHeight="1">
      <c r="M483" s="167">
        <v>0</v>
      </c>
      <c r="N483" s="167">
        <v>0</v>
      </c>
      <c r="T483" s="167">
        <v>0</v>
      </c>
      <c r="X483" s="167">
        <v>0</v>
      </c>
      <c r="Y483" s="167">
        <v>0</v>
      </c>
      <c r="Z483" s="167">
        <v>0</v>
      </c>
      <c r="AA483" s="167">
        <v>0</v>
      </c>
      <c r="AB483" s="167">
        <v>0</v>
      </c>
      <c r="AC483" s="167">
        <v>0</v>
      </c>
      <c r="AD483" s="167">
        <v>0</v>
      </c>
      <c r="AE483" s="167">
        <v>0</v>
      </c>
      <c r="AF483" s="167">
        <v>0</v>
      </c>
      <c r="AG483" s="167">
        <v>0</v>
      </c>
    </row>
  </sheetData>
  <conditionalFormatting sqref="A18:A19 A8 A14 A10:A11 G9:G10 D8:E11 AK10 D13:E21 D132:E132 AH11:AK11 A25 D25:E25 K10:L11">
    <cfRule type="cellIs" dxfId="1851" priority="4201" operator="equal">
      <formula>""</formula>
    </cfRule>
  </conditionalFormatting>
  <conditionalFormatting sqref="A18:A19 A8 A10:A11 AK42 AK20 AK63:AK66 A13:A14 G64:G66 G42 G33:G34 G8:G10 AH11:AK11 G12:G13 H13 AE13 AH13:AK13 AH25:AK28 AE25:AG25 A25:A28 T25 K63:L66 K41:L42 K9:L14 K16:L20 K33:L34 K22:L22 K29:L29 K26:U28 K25:N25 K23:K24 AB25 M13:U13 X13:AA13 X25:AA28">
    <cfRule type="cellIs" dxfId="1850" priority="4202" operator="notEqual">
      <formula>$A8</formula>
    </cfRule>
  </conditionalFormatting>
  <conditionalFormatting sqref="B15:C17">
    <cfRule type="containsText" dxfId="1849" priority="4054" operator="containsText" text="&lt;*">
      <formula>NOT(ISERROR(SEARCH("&lt;*",B15)))</formula>
    </cfRule>
  </conditionalFormatting>
  <conditionalFormatting sqref="A16">
    <cfRule type="cellIs" dxfId="1848" priority="3847" operator="notEqual">
      <formula>$A16</formula>
    </cfRule>
  </conditionalFormatting>
  <conditionalFormatting sqref="A17">
    <cfRule type="cellIs" dxfId="1847" priority="3845" operator="notEqual">
      <formula>$A17</formula>
    </cfRule>
  </conditionalFormatting>
  <conditionalFormatting sqref="A21">
    <cfRule type="cellIs" dxfId="1846" priority="3792" operator="notEqual">
      <formula>$A21</formula>
    </cfRule>
  </conditionalFormatting>
  <conditionalFormatting sqref="A9">
    <cfRule type="cellIs" dxfId="1845" priority="3646" operator="notEqual">
      <formula>$A9</formula>
    </cfRule>
  </conditionalFormatting>
  <conditionalFormatting sqref="A20">
    <cfRule type="cellIs" dxfId="1844" priority="3452" operator="notEqual">
      <formula>$A20</formula>
    </cfRule>
  </conditionalFormatting>
  <conditionalFormatting sqref="A40 A42">
    <cfRule type="cellIs" dxfId="1843" priority="2826" operator="notEqual">
      <formula>$A40</formula>
    </cfRule>
  </conditionalFormatting>
  <conditionalFormatting sqref="G40 K40:L40">
    <cfRule type="cellIs" dxfId="1842" priority="3083" operator="notEqual">
      <formula>#REF!</formula>
    </cfRule>
  </conditionalFormatting>
  <conditionalFormatting sqref="AK40">
    <cfRule type="cellIs" dxfId="1841" priority="3059" operator="notEqual">
      <formula>#REF!</formula>
    </cfRule>
  </conditionalFormatting>
  <conditionalFormatting sqref="B40 B42:C42">
    <cfRule type="containsText" dxfId="1840" priority="2823" operator="containsText" text="&lt;*">
      <formula>NOT(ISERROR(SEARCH("&lt;*",B40)))</formula>
    </cfRule>
  </conditionalFormatting>
  <conditionalFormatting sqref="G41">
    <cfRule type="cellIs" dxfId="1839" priority="2725" operator="notEqual">
      <formula>$A41</formula>
    </cfRule>
  </conditionalFormatting>
  <conditionalFormatting sqref="B41:C41">
    <cfRule type="containsText" dxfId="1838" priority="2723" operator="containsText" text="&lt;*">
      <formula>NOT(ISERROR(SEARCH("&lt;*",B41)))</formula>
    </cfRule>
  </conditionalFormatting>
  <conditionalFormatting sqref="G41 AK63:AK66 G64:G66 K63:L66 K41:L41 K15:L17 K20:L20 K22:L22 K23:K24">
    <cfRule type="cellIs" dxfId="1837" priority="2722" operator="notEqual">
      <formula>$A15</formula>
    </cfRule>
  </conditionalFormatting>
  <conditionalFormatting sqref="A41">
    <cfRule type="cellIs" dxfId="1836" priority="2717" operator="notEqual">
      <formula>$A41</formula>
    </cfRule>
  </conditionalFormatting>
  <conditionalFormatting sqref="AK41">
    <cfRule type="cellIs" dxfId="1835" priority="2667" operator="notEqual">
      <formula>$A41</formula>
    </cfRule>
  </conditionalFormatting>
  <conditionalFormatting sqref="AK41">
    <cfRule type="cellIs" dxfId="1834" priority="2665" operator="notEqual">
      <formula>$A41</formula>
    </cfRule>
  </conditionalFormatting>
  <conditionalFormatting sqref="AK63 G63 K63:L63">
    <cfRule type="cellIs" dxfId="1833" priority="2630" operator="notEqual">
      <formula>$A65</formula>
    </cfRule>
  </conditionalFormatting>
  <conditionalFormatting sqref="G16:G19 G14 AK10 AK13">
    <cfRule type="cellIs" dxfId="1832" priority="2265" operator="notEqual">
      <formula>$A10</formula>
    </cfRule>
  </conditionalFormatting>
  <conditionalFormatting sqref="G15:G17">
    <cfRule type="cellIs" dxfId="1831" priority="2263" operator="notEqual">
      <formula>$A15</formula>
    </cfRule>
  </conditionalFormatting>
  <conditionalFormatting sqref="AK16:AK19 AK14">
    <cfRule type="cellIs" dxfId="1830" priority="2230" operator="notEqual">
      <formula>$A14</formula>
    </cfRule>
  </conditionalFormatting>
  <conditionalFormatting sqref="AK15:AK17">
    <cfRule type="cellIs" dxfId="1829" priority="2229" operator="notEqual">
      <formula>$A15</formula>
    </cfRule>
  </conditionalFormatting>
  <conditionalFormatting sqref="G20">
    <cfRule type="cellIs" dxfId="1828" priority="2156" operator="notEqual">
      <formula>$A20</formula>
    </cfRule>
  </conditionalFormatting>
  <conditionalFormatting sqref="AK8">
    <cfRule type="cellIs" dxfId="1827" priority="2207" operator="notEqual">
      <formula>$A8</formula>
    </cfRule>
  </conditionalFormatting>
  <conditionalFormatting sqref="G8">
    <cfRule type="cellIs" dxfId="1826" priority="2204" operator="notEqual">
      <formula>$A8</formula>
    </cfRule>
  </conditionalFormatting>
  <conditionalFormatting sqref="G20">
    <cfRule type="cellIs" dxfId="1825" priority="2187" operator="notEqual">
      <formula>$A20</formula>
    </cfRule>
  </conditionalFormatting>
  <conditionalFormatting sqref="G20">
    <cfRule type="cellIs" dxfId="1824" priority="2186" operator="notEqual">
      <formula>$A20</formula>
    </cfRule>
  </conditionalFormatting>
  <conditionalFormatting sqref="AK20">
    <cfRule type="cellIs" dxfId="1823" priority="2161" operator="notEqual">
      <formula>$A20</formula>
    </cfRule>
  </conditionalFormatting>
  <conditionalFormatting sqref="AK20">
    <cfRule type="cellIs" dxfId="1822" priority="2160" operator="notEqual">
      <formula>$A20</formula>
    </cfRule>
  </conditionalFormatting>
  <conditionalFormatting sqref="G21">
    <cfRule type="cellIs" dxfId="1821" priority="2155" operator="notEqual">
      <formula>$A21</formula>
    </cfRule>
  </conditionalFormatting>
  <conditionalFormatting sqref="G21">
    <cfRule type="cellIs" dxfId="1820" priority="2154" operator="notEqual">
      <formula>$A21</formula>
    </cfRule>
  </conditionalFormatting>
  <conditionalFormatting sqref="AK64:AK66 G64:G66 K64:L66">
    <cfRule type="cellIs" dxfId="1819" priority="2066" operator="notEqual">
      <formula>$A67</formula>
    </cfRule>
  </conditionalFormatting>
  <conditionalFormatting sqref="AK63 G63 K63:L63">
    <cfRule type="cellIs" dxfId="1818" priority="2064" operator="notEqual">
      <formula>$A65</formula>
    </cfRule>
  </conditionalFormatting>
  <conditionalFormatting sqref="G64:G66 K64:L66">
    <cfRule type="cellIs" dxfId="1817" priority="2061" operator="notEqual">
      <formula>$A67</formula>
    </cfRule>
  </conditionalFormatting>
  <conditionalFormatting sqref="AK64:AK66">
    <cfRule type="cellIs" dxfId="1816" priority="2058" operator="notEqual">
      <formula>$A67</formula>
    </cfRule>
  </conditionalFormatting>
  <conditionalFormatting sqref="C40">
    <cfRule type="containsText" dxfId="1815" priority="1661" operator="containsText" text="&lt;*">
      <formula>NOT(ISERROR(SEARCH("&lt;*",C40)))</formula>
    </cfRule>
  </conditionalFormatting>
  <conditionalFormatting sqref="A54">
    <cfRule type="containsText" dxfId="1814" priority="1657" operator="containsText" text="&lt;*">
      <formula>NOT(ISERROR(SEARCH("&lt;*",A54)))</formula>
    </cfRule>
  </conditionalFormatting>
  <conditionalFormatting sqref="G63">
    <cfRule type="cellIs" dxfId="1813" priority="1652" operator="notEqual">
      <formula>$A63</formula>
    </cfRule>
  </conditionalFormatting>
  <conditionalFormatting sqref="G63">
    <cfRule type="cellIs" dxfId="1812" priority="1651" operator="notEqual">
      <formula>$A63</formula>
    </cfRule>
  </conditionalFormatting>
  <conditionalFormatting sqref="A112">
    <cfRule type="containsText" dxfId="1811" priority="1604" operator="containsText" text="&lt;*">
      <formula>NOT(ISERROR(SEARCH("&lt;*",A112)))</formula>
    </cfRule>
  </conditionalFormatting>
  <conditionalFormatting sqref="A62">
    <cfRule type="containsText" dxfId="1810" priority="1602" operator="containsText" text="&lt;*">
      <formula>NOT(ISERROR(SEARCH("&lt;*",A62)))</formula>
    </cfRule>
  </conditionalFormatting>
  <conditionalFormatting sqref="A70">
    <cfRule type="containsText" dxfId="1809" priority="1601" operator="containsText" text="&lt;*">
      <formula>NOT(ISERROR(SEARCH("&lt;*",A70)))</formula>
    </cfRule>
  </conditionalFormatting>
  <conditionalFormatting sqref="A80">
    <cfRule type="containsText" dxfId="1808" priority="1600" operator="containsText" text="&lt;*">
      <formula>NOT(ISERROR(SEARCH("&lt;*",A80)))</formula>
    </cfRule>
  </conditionalFormatting>
  <conditionalFormatting sqref="A91">
    <cfRule type="containsText" dxfId="1807" priority="1599" operator="containsText" text="&lt;*">
      <formula>NOT(ISERROR(SEARCH("&lt;*",A91)))</formula>
    </cfRule>
  </conditionalFormatting>
  <conditionalFormatting sqref="D40:E42">
    <cfRule type="cellIs" dxfId="1806" priority="1522" operator="equal">
      <formula>""</formula>
    </cfRule>
  </conditionalFormatting>
  <conditionalFormatting sqref="D47:E47 D49:E50">
    <cfRule type="cellIs" dxfId="1805" priority="1521" operator="equal">
      <formula>""</formula>
    </cfRule>
  </conditionalFormatting>
  <conditionalFormatting sqref="D55:E58">
    <cfRule type="cellIs" dxfId="1804" priority="1520" operator="equal">
      <formula>""</formula>
    </cfRule>
  </conditionalFormatting>
  <conditionalFormatting sqref="D63:E66">
    <cfRule type="cellIs" dxfId="1803" priority="1519" operator="equal">
      <formula>""</formula>
    </cfRule>
  </conditionalFormatting>
  <conditionalFormatting sqref="D71:E73 D75:E76">
    <cfRule type="cellIs" dxfId="1802" priority="1518" operator="equal">
      <formula>""</formula>
    </cfRule>
  </conditionalFormatting>
  <conditionalFormatting sqref="D81:E83 D85:E86">
    <cfRule type="cellIs" dxfId="1801" priority="1517" operator="equal">
      <formula>""</formula>
    </cfRule>
  </conditionalFormatting>
  <conditionalFormatting sqref="D103:E103 D105:E107">
    <cfRule type="cellIs" dxfId="1800" priority="1516" operator="equal">
      <formula>""</formula>
    </cfRule>
  </conditionalFormatting>
  <conditionalFormatting sqref="D92:E94 D96:E97">
    <cfRule type="cellIs" dxfId="1799" priority="1515" operator="equal">
      <formula>""</formula>
    </cfRule>
  </conditionalFormatting>
  <conditionalFormatting sqref="D115:E117">
    <cfRule type="cellIs" dxfId="1798" priority="1514" operator="equal">
      <formula>""</formula>
    </cfRule>
  </conditionalFormatting>
  <conditionalFormatting sqref="D134:E137 D139:E141">
    <cfRule type="cellIs" dxfId="1797" priority="1513" operator="equal">
      <formula>""</formula>
    </cfRule>
  </conditionalFormatting>
  <conditionalFormatting sqref="D171:E175">
    <cfRule type="cellIs" dxfId="1796" priority="1512" operator="equal">
      <formula>""</formula>
    </cfRule>
  </conditionalFormatting>
  <conditionalFormatting sqref="D181:E183">
    <cfRule type="cellIs" dxfId="1795" priority="1511" operator="equal">
      <formula>""</formula>
    </cfRule>
  </conditionalFormatting>
  <conditionalFormatting sqref="D104:E104">
    <cfRule type="cellIs" dxfId="1794" priority="1435" operator="equal">
      <formula>""</formula>
    </cfRule>
  </conditionalFormatting>
  <conditionalFormatting sqref="D152:E152">
    <cfRule type="cellIs" dxfId="1793" priority="1188" operator="equal">
      <formula>""</formula>
    </cfRule>
  </conditionalFormatting>
  <conditionalFormatting sqref="D166:E166">
    <cfRule type="cellIs" dxfId="1792" priority="1187" operator="equal">
      <formula>""</formula>
    </cfRule>
  </conditionalFormatting>
  <conditionalFormatting sqref="D32:E34">
    <cfRule type="cellIs" dxfId="1791" priority="1182" operator="equal">
      <formula>""</formula>
    </cfRule>
  </conditionalFormatting>
  <conditionalFormatting sqref="AK34">
    <cfRule type="cellIs" dxfId="1790" priority="1179" operator="notEqual">
      <formula>$A34</formula>
    </cfRule>
  </conditionalFormatting>
  <conditionalFormatting sqref="AK33">
    <cfRule type="cellIs" dxfId="1789" priority="1178" operator="notEqual">
      <formula>$A33</formula>
    </cfRule>
  </conditionalFormatting>
  <conditionalFormatting sqref="D22:E24">
    <cfRule type="cellIs" dxfId="1788" priority="1177" operator="equal">
      <formula>""</formula>
    </cfRule>
  </conditionalFormatting>
  <conditionalFormatting sqref="A22">
    <cfRule type="cellIs" dxfId="1787" priority="1176" operator="notEqual">
      <formula>$A22</formula>
    </cfRule>
  </conditionalFormatting>
  <conditionalFormatting sqref="AK22">
    <cfRule type="cellIs" dxfId="1786" priority="1157" operator="notEqual">
      <formula>$A22</formula>
    </cfRule>
  </conditionalFormatting>
  <conditionalFormatting sqref="AK22">
    <cfRule type="cellIs" dxfId="1785" priority="1156" operator="notEqual">
      <formula>$A22</formula>
    </cfRule>
  </conditionalFormatting>
  <conditionalFormatting sqref="G22">
    <cfRule type="cellIs" dxfId="1784" priority="1103" operator="notEqual">
      <formula>$A22</formula>
    </cfRule>
  </conditionalFormatting>
  <conditionalFormatting sqref="G22">
    <cfRule type="cellIs" dxfId="1783" priority="1102" operator="notEqual">
      <formula>$A22</formula>
    </cfRule>
  </conditionalFormatting>
  <conditionalFormatting sqref="D206:E207">
    <cfRule type="cellIs" dxfId="1782" priority="1093" operator="equal">
      <formula>""</formula>
    </cfRule>
  </conditionalFormatting>
  <conditionalFormatting sqref="D113:E114">
    <cfRule type="cellIs" dxfId="1781" priority="1092" operator="equal">
      <formula>""</formula>
    </cfRule>
  </conditionalFormatting>
  <conditionalFormatting sqref="D213:E214">
    <cfRule type="cellIs" dxfId="1780" priority="1062" operator="equal">
      <formula>""</formula>
    </cfRule>
  </conditionalFormatting>
  <conditionalFormatting sqref="D220:E221">
    <cfRule type="cellIs" dxfId="1779" priority="1057" operator="equal">
      <formula>""</formula>
    </cfRule>
  </conditionalFormatting>
  <conditionalFormatting sqref="AI10">
    <cfRule type="cellIs" dxfId="1778" priority="1030" operator="equal">
      <formula>""</formula>
    </cfRule>
  </conditionalFormatting>
  <conditionalFormatting sqref="AI42 AI20 AI63:AI66">
    <cfRule type="cellIs" dxfId="1777" priority="1031" operator="notEqual">
      <formula>$A20</formula>
    </cfRule>
  </conditionalFormatting>
  <conditionalFormatting sqref="AI40">
    <cfRule type="cellIs" dxfId="1776" priority="1029" operator="notEqual">
      <formula>#REF!</formula>
    </cfRule>
  </conditionalFormatting>
  <conditionalFormatting sqref="AI63:AI66">
    <cfRule type="cellIs" dxfId="1775" priority="1028" operator="notEqual">
      <formula>$A63</formula>
    </cfRule>
  </conditionalFormatting>
  <conditionalFormatting sqref="AI41">
    <cfRule type="cellIs" dxfId="1774" priority="1027" operator="notEqual">
      <formula>$A41</formula>
    </cfRule>
  </conditionalFormatting>
  <conditionalFormatting sqref="AI41">
    <cfRule type="cellIs" dxfId="1773" priority="1026" operator="notEqual">
      <formula>$A41</formula>
    </cfRule>
  </conditionalFormatting>
  <conditionalFormatting sqref="AI63">
    <cfRule type="cellIs" dxfId="1772" priority="1025" operator="notEqual">
      <formula>$A65</formula>
    </cfRule>
  </conditionalFormatting>
  <conditionalFormatting sqref="AI10 AI13">
    <cfRule type="cellIs" dxfId="1771" priority="1024" operator="notEqual">
      <formula>$A10</formula>
    </cfRule>
  </conditionalFormatting>
  <conditionalFormatting sqref="AI16:AI19 AI14">
    <cfRule type="cellIs" dxfId="1770" priority="1023" operator="notEqual">
      <formula>$A14</formula>
    </cfRule>
  </conditionalFormatting>
  <conditionalFormatting sqref="AI15:AI17">
    <cfRule type="cellIs" dxfId="1769" priority="1022" operator="notEqual">
      <formula>$A15</formula>
    </cfRule>
  </conditionalFormatting>
  <conditionalFormatting sqref="AI9">
    <cfRule type="cellIs" dxfId="1768" priority="1021" operator="notEqual">
      <formula>$A9</formula>
    </cfRule>
  </conditionalFormatting>
  <conditionalFormatting sqref="AI8">
    <cfRule type="cellIs" dxfId="1767" priority="1020" operator="notEqual">
      <formula>$A8</formula>
    </cfRule>
  </conditionalFormatting>
  <conditionalFormatting sqref="AI20">
    <cfRule type="cellIs" dxfId="1766" priority="1019" operator="notEqual">
      <formula>$A20</formula>
    </cfRule>
  </conditionalFormatting>
  <conditionalFormatting sqref="AI20">
    <cfRule type="cellIs" dxfId="1765" priority="1018" operator="notEqual">
      <formula>$A20</formula>
    </cfRule>
  </conditionalFormatting>
  <conditionalFormatting sqref="AI21">
    <cfRule type="cellIs" dxfId="1764" priority="1017" operator="notEqual">
      <formula>$A21</formula>
    </cfRule>
  </conditionalFormatting>
  <conditionalFormatting sqref="AI21">
    <cfRule type="cellIs" dxfId="1763" priority="1016" operator="notEqual">
      <formula>$A21</formula>
    </cfRule>
  </conditionalFormatting>
  <conditionalFormatting sqref="AI64:AI66">
    <cfRule type="cellIs" dxfId="1762" priority="1015" operator="notEqual">
      <formula>$A67</formula>
    </cfRule>
  </conditionalFormatting>
  <conditionalFormatting sqref="AI63">
    <cfRule type="cellIs" dxfId="1761" priority="1014" operator="notEqual">
      <formula>$A65</formula>
    </cfRule>
  </conditionalFormatting>
  <conditionalFormatting sqref="AI64:AI66">
    <cfRule type="cellIs" dxfId="1760" priority="1013" operator="notEqual">
      <formula>$A67</formula>
    </cfRule>
  </conditionalFormatting>
  <conditionalFormatting sqref="AI34">
    <cfRule type="cellIs" dxfId="1759" priority="1010" operator="notEqual">
      <formula>$A34</formula>
    </cfRule>
  </conditionalFormatting>
  <conditionalFormatting sqref="AI33">
    <cfRule type="cellIs" dxfId="1758" priority="1009" operator="notEqual">
      <formula>$A33</formula>
    </cfRule>
  </conditionalFormatting>
  <conditionalFormatting sqref="AI22">
    <cfRule type="cellIs" dxfId="1757" priority="1008" operator="notEqual">
      <formula>$A22</formula>
    </cfRule>
  </conditionalFormatting>
  <conditionalFormatting sqref="AI22">
    <cfRule type="cellIs" dxfId="1756" priority="1007" operator="notEqual">
      <formula>$A22</formula>
    </cfRule>
  </conditionalFormatting>
  <conditionalFormatting sqref="S10">
    <cfRule type="cellIs" dxfId="1755" priority="980" operator="equal">
      <formula>""</formula>
    </cfRule>
  </conditionalFormatting>
  <conditionalFormatting sqref="S42 S20 S63:S66">
    <cfRule type="cellIs" dxfId="1754" priority="981" operator="notEqual">
      <formula>$A20</formula>
    </cfRule>
  </conditionalFormatting>
  <conditionalFormatting sqref="S40">
    <cfRule type="cellIs" dxfId="1753" priority="979" operator="notEqual">
      <formula>#REF!</formula>
    </cfRule>
  </conditionalFormatting>
  <conditionalFormatting sqref="S63:S66">
    <cfRule type="cellIs" dxfId="1752" priority="978" operator="notEqual">
      <formula>$A63</formula>
    </cfRule>
  </conditionalFormatting>
  <conditionalFormatting sqref="S41">
    <cfRule type="cellIs" dxfId="1751" priority="977" operator="notEqual">
      <formula>$A41</formula>
    </cfRule>
  </conditionalFormatting>
  <conditionalFormatting sqref="S41">
    <cfRule type="cellIs" dxfId="1750" priority="976" operator="notEqual">
      <formula>$A41</formula>
    </cfRule>
  </conditionalFormatting>
  <conditionalFormatting sqref="S63">
    <cfRule type="cellIs" dxfId="1749" priority="975" operator="notEqual">
      <formula>$A65</formula>
    </cfRule>
  </conditionalFormatting>
  <conditionalFormatting sqref="S10 AE13 U10 S13:U13 X13:AA13">
    <cfRule type="cellIs" dxfId="1748" priority="974" operator="notEqual">
      <formula>$A10</formula>
    </cfRule>
  </conditionalFormatting>
  <conditionalFormatting sqref="S16:S19 S14">
    <cfRule type="cellIs" dxfId="1747" priority="973" operator="notEqual">
      <formula>$A14</formula>
    </cfRule>
  </conditionalFormatting>
  <conditionalFormatting sqref="S15:S17">
    <cfRule type="cellIs" dxfId="1746" priority="972" operator="notEqual">
      <formula>$A15</formula>
    </cfRule>
  </conditionalFormatting>
  <conditionalFormatting sqref="S9">
    <cfRule type="cellIs" dxfId="1745" priority="971" operator="notEqual">
      <formula>$A9</formula>
    </cfRule>
  </conditionalFormatting>
  <conditionalFormatting sqref="S8">
    <cfRule type="cellIs" dxfId="1744" priority="970" operator="notEqual">
      <formula>$A8</formula>
    </cfRule>
  </conditionalFormatting>
  <conditionalFormatting sqref="S20">
    <cfRule type="cellIs" dxfId="1743" priority="969" operator="notEqual">
      <formula>$A20</formula>
    </cfRule>
  </conditionalFormatting>
  <conditionalFormatting sqref="S20">
    <cfRule type="cellIs" dxfId="1742" priority="968" operator="notEqual">
      <formula>$A20</formula>
    </cfRule>
  </conditionalFormatting>
  <conditionalFormatting sqref="S21">
    <cfRule type="cellIs" dxfId="1741" priority="967" operator="notEqual">
      <formula>$A21</formula>
    </cfRule>
  </conditionalFormatting>
  <conditionalFormatting sqref="S21">
    <cfRule type="cellIs" dxfId="1740" priority="966" operator="notEqual">
      <formula>$A21</formula>
    </cfRule>
  </conditionalFormatting>
  <conditionalFormatting sqref="S64:S66">
    <cfRule type="cellIs" dxfId="1739" priority="965" operator="notEqual">
      <formula>$A67</formula>
    </cfRule>
  </conditionalFormatting>
  <conditionalFormatting sqref="S63">
    <cfRule type="cellIs" dxfId="1738" priority="964" operator="notEqual">
      <formula>$A65</formula>
    </cfRule>
  </conditionalFormatting>
  <conditionalFormatting sqref="S64:S66">
    <cfRule type="cellIs" dxfId="1737" priority="963" operator="notEqual">
      <formula>$A67</formula>
    </cfRule>
  </conditionalFormatting>
  <conditionalFormatting sqref="S34">
    <cfRule type="cellIs" dxfId="1736" priority="960" operator="notEqual">
      <formula>$A34</formula>
    </cfRule>
  </conditionalFormatting>
  <conditionalFormatting sqref="S33">
    <cfRule type="cellIs" dxfId="1735" priority="959" operator="notEqual">
      <formula>$A33</formula>
    </cfRule>
  </conditionalFormatting>
  <conditionalFormatting sqref="S22">
    <cfRule type="cellIs" dxfId="1734" priority="958" operator="notEqual">
      <formula>$A22</formula>
    </cfRule>
  </conditionalFormatting>
  <conditionalFormatting sqref="S22">
    <cfRule type="cellIs" dxfId="1733" priority="957" operator="notEqual">
      <formula>$A22</formula>
    </cfRule>
  </conditionalFormatting>
  <conditionalFormatting sqref="R10">
    <cfRule type="cellIs" dxfId="1732" priority="955" operator="equal">
      <formula>""</formula>
    </cfRule>
  </conditionalFormatting>
  <conditionalFormatting sqref="R42 R20 R63:R66">
    <cfRule type="cellIs" dxfId="1731" priority="956" operator="notEqual">
      <formula>$A20</formula>
    </cfRule>
  </conditionalFormatting>
  <conditionalFormatting sqref="R40">
    <cfRule type="cellIs" dxfId="1730" priority="954" operator="notEqual">
      <formula>#REF!</formula>
    </cfRule>
  </conditionalFormatting>
  <conditionalFormatting sqref="R63:R66">
    <cfRule type="cellIs" dxfId="1729" priority="953" operator="notEqual">
      <formula>$A63</formula>
    </cfRule>
  </conditionalFormatting>
  <conditionalFormatting sqref="R41">
    <cfRule type="cellIs" dxfId="1728" priority="952" operator="notEqual">
      <formula>$A41</formula>
    </cfRule>
  </conditionalFormatting>
  <conditionalFormatting sqref="R41">
    <cfRule type="cellIs" dxfId="1727" priority="951" operator="notEqual">
      <formula>$A41</formula>
    </cfRule>
  </conditionalFormatting>
  <conditionalFormatting sqref="R63">
    <cfRule type="cellIs" dxfId="1726" priority="950" operator="notEqual">
      <formula>$A65</formula>
    </cfRule>
  </conditionalFormatting>
  <conditionalFormatting sqref="R10 R13">
    <cfRule type="cellIs" dxfId="1725" priority="949" operator="notEqual">
      <formula>$A10</formula>
    </cfRule>
  </conditionalFormatting>
  <conditionalFormatting sqref="R16:R19 R14">
    <cfRule type="cellIs" dxfId="1724" priority="948" operator="notEqual">
      <formula>$A14</formula>
    </cfRule>
  </conditionalFormatting>
  <conditionalFormatting sqref="R15:R17">
    <cfRule type="cellIs" dxfId="1723" priority="947" operator="notEqual">
      <formula>$A15</formula>
    </cfRule>
  </conditionalFormatting>
  <conditionalFormatting sqref="R8">
    <cfRule type="cellIs" dxfId="1722" priority="945" operator="notEqual">
      <formula>$A8</formula>
    </cfRule>
  </conditionalFormatting>
  <conditionalFormatting sqref="R20">
    <cfRule type="cellIs" dxfId="1721" priority="944" operator="notEqual">
      <formula>$A20</formula>
    </cfRule>
  </conditionalFormatting>
  <conditionalFormatting sqref="R20">
    <cfRule type="cellIs" dxfId="1720" priority="943" operator="notEqual">
      <formula>$A20</formula>
    </cfRule>
  </conditionalFormatting>
  <conditionalFormatting sqref="R64:R66">
    <cfRule type="cellIs" dxfId="1719" priority="940" operator="notEqual">
      <formula>$A67</formula>
    </cfRule>
  </conditionalFormatting>
  <conditionalFormatting sqref="R63">
    <cfRule type="cellIs" dxfId="1718" priority="939" operator="notEqual">
      <formula>$A65</formula>
    </cfRule>
  </conditionalFormatting>
  <conditionalFormatting sqref="R64:R66">
    <cfRule type="cellIs" dxfId="1717" priority="938" operator="notEqual">
      <formula>$A67</formula>
    </cfRule>
  </conditionalFormatting>
  <conditionalFormatting sqref="R34">
    <cfRule type="cellIs" dxfId="1716" priority="935" operator="notEqual">
      <formula>$A34</formula>
    </cfRule>
  </conditionalFormatting>
  <conditionalFormatting sqref="R33">
    <cfRule type="cellIs" dxfId="1715" priority="934" operator="notEqual">
      <formula>$A33</formula>
    </cfRule>
  </conditionalFormatting>
  <conditionalFormatting sqref="R22">
    <cfRule type="cellIs" dxfId="1714" priority="933" operator="notEqual">
      <formula>$A22</formula>
    </cfRule>
  </conditionalFormatting>
  <conditionalFormatting sqref="R22">
    <cfRule type="cellIs" dxfId="1713" priority="932" operator="notEqual">
      <formula>$A22</formula>
    </cfRule>
  </conditionalFormatting>
  <conditionalFormatting sqref="Q10">
    <cfRule type="cellIs" dxfId="1712" priority="930" operator="equal">
      <formula>""</formula>
    </cfRule>
  </conditionalFormatting>
  <conditionalFormatting sqref="Q42 Q20 Q63:Q66">
    <cfRule type="cellIs" dxfId="1711" priority="931" operator="notEqual">
      <formula>$A20</formula>
    </cfRule>
  </conditionalFormatting>
  <conditionalFormatting sqref="Q40">
    <cfRule type="cellIs" dxfId="1710" priority="929" operator="notEqual">
      <formula>#REF!</formula>
    </cfRule>
  </conditionalFormatting>
  <conditionalFormatting sqref="Q63:Q66">
    <cfRule type="cellIs" dxfId="1709" priority="928" operator="notEqual">
      <formula>$A63</formula>
    </cfRule>
  </conditionalFormatting>
  <conditionalFormatting sqref="Q41">
    <cfRule type="cellIs" dxfId="1708" priority="927" operator="notEqual">
      <formula>$A41</formula>
    </cfRule>
  </conditionalFormatting>
  <conditionalFormatting sqref="Q41">
    <cfRule type="cellIs" dxfId="1707" priority="926" operator="notEqual">
      <formula>$A41</formula>
    </cfRule>
  </conditionalFormatting>
  <conditionalFormatting sqref="Q63">
    <cfRule type="cellIs" dxfId="1706" priority="925" operator="notEqual">
      <formula>$A65</formula>
    </cfRule>
  </conditionalFormatting>
  <conditionalFormatting sqref="Q10 Q13">
    <cfRule type="cellIs" dxfId="1705" priority="924" operator="notEqual">
      <formula>$A10</formula>
    </cfRule>
  </conditionalFormatting>
  <conditionalFormatting sqref="Q16:Q19 Q14">
    <cfRule type="cellIs" dxfId="1704" priority="923" operator="notEqual">
      <formula>$A14</formula>
    </cfRule>
  </conditionalFormatting>
  <conditionalFormatting sqref="Q15:Q17">
    <cfRule type="cellIs" dxfId="1703" priority="922" operator="notEqual">
      <formula>$A15</formula>
    </cfRule>
  </conditionalFormatting>
  <conditionalFormatting sqref="S9 P9 AI9 H9">
    <cfRule type="cellIs" dxfId="1702" priority="921" operator="notEqual">
      <formula>$A9</formula>
    </cfRule>
  </conditionalFormatting>
  <conditionalFormatting sqref="Q8">
    <cfRule type="cellIs" dxfId="1701" priority="920" operator="notEqual">
      <formula>$A8</formula>
    </cfRule>
  </conditionalFormatting>
  <conditionalFormatting sqref="Q20">
    <cfRule type="cellIs" dxfId="1700" priority="919" operator="notEqual">
      <formula>$A20</formula>
    </cfRule>
  </conditionalFormatting>
  <conditionalFormatting sqref="Q20">
    <cfRule type="cellIs" dxfId="1699" priority="918" operator="notEqual">
      <formula>$A20</formula>
    </cfRule>
  </conditionalFormatting>
  <conditionalFormatting sqref="Q21">
    <cfRule type="cellIs" dxfId="1698" priority="917" operator="notEqual">
      <formula>$A21</formula>
    </cfRule>
  </conditionalFormatting>
  <conditionalFormatting sqref="Q21">
    <cfRule type="cellIs" dxfId="1697" priority="916" operator="notEqual">
      <formula>$A21</formula>
    </cfRule>
  </conditionalFormatting>
  <conditionalFormatting sqref="Q64:Q66">
    <cfRule type="cellIs" dxfId="1696" priority="915" operator="notEqual">
      <formula>$A67</formula>
    </cfRule>
  </conditionalFormatting>
  <conditionalFormatting sqref="Q63">
    <cfRule type="cellIs" dxfId="1695" priority="914" operator="notEqual">
      <formula>$A65</formula>
    </cfRule>
  </conditionalFormatting>
  <conditionalFormatting sqref="Q64:Q66">
    <cfRule type="cellIs" dxfId="1694" priority="913" operator="notEqual">
      <formula>$A67</formula>
    </cfRule>
  </conditionalFormatting>
  <conditionalFormatting sqref="Q34">
    <cfRule type="cellIs" dxfId="1693" priority="910" operator="notEqual">
      <formula>$A34</formula>
    </cfRule>
  </conditionalFormatting>
  <conditionalFormatting sqref="Q33">
    <cfRule type="cellIs" dxfId="1692" priority="909" operator="notEqual">
      <formula>$A33</formula>
    </cfRule>
  </conditionalFormatting>
  <conditionalFormatting sqref="Q22">
    <cfRule type="cellIs" dxfId="1691" priority="908" operator="notEqual">
      <formula>$A22</formula>
    </cfRule>
  </conditionalFormatting>
  <conditionalFormatting sqref="Q22">
    <cfRule type="cellIs" dxfId="1690" priority="907" operator="notEqual">
      <formula>$A22</formula>
    </cfRule>
  </conditionalFormatting>
  <conditionalFormatting sqref="P10">
    <cfRule type="cellIs" dxfId="1689" priority="905" operator="equal">
      <formula>""</formula>
    </cfRule>
  </conditionalFormatting>
  <conditionalFormatting sqref="P42 P20 P63:P66">
    <cfRule type="cellIs" dxfId="1688" priority="906" operator="notEqual">
      <formula>$A20</formula>
    </cfRule>
  </conditionalFormatting>
  <conditionalFormatting sqref="P40">
    <cfRule type="cellIs" dxfId="1687" priority="904" operator="notEqual">
      <formula>#REF!</formula>
    </cfRule>
  </conditionalFormatting>
  <conditionalFormatting sqref="P63:P66">
    <cfRule type="cellIs" dxfId="1686" priority="903" operator="notEqual">
      <formula>$A63</formula>
    </cfRule>
  </conditionalFormatting>
  <conditionalFormatting sqref="P41">
    <cfRule type="cellIs" dxfId="1685" priority="902" operator="notEqual">
      <formula>$A41</formula>
    </cfRule>
  </conditionalFormatting>
  <conditionalFormatting sqref="P41">
    <cfRule type="cellIs" dxfId="1684" priority="901" operator="notEqual">
      <formula>$A41</formula>
    </cfRule>
  </conditionalFormatting>
  <conditionalFormatting sqref="P63">
    <cfRule type="cellIs" dxfId="1683" priority="900" operator="notEqual">
      <formula>$A65</formula>
    </cfRule>
  </conditionalFormatting>
  <conditionalFormatting sqref="P10 P13">
    <cfRule type="cellIs" dxfId="1682" priority="899" operator="notEqual">
      <formula>$A10</formula>
    </cfRule>
  </conditionalFormatting>
  <conditionalFormatting sqref="P16:P19 P14">
    <cfRule type="cellIs" dxfId="1681" priority="898" operator="notEqual">
      <formula>$A14</formula>
    </cfRule>
  </conditionalFormatting>
  <conditionalFormatting sqref="P15:P17">
    <cfRule type="cellIs" dxfId="1680" priority="897" operator="notEqual">
      <formula>$A15</formula>
    </cfRule>
  </conditionalFormatting>
  <conditionalFormatting sqref="P9">
    <cfRule type="cellIs" dxfId="1679" priority="896" operator="notEqual">
      <formula>$A9</formula>
    </cfRule>
  </conditionalFormatting>
  <conditionalFormatting sqref="P8">
    <cfRule type="cellIs" dxfId="1678" priority="895" operator="notEqual">
      <formula>$A8</formula>
    </cfRule>
  </conditionalFormatting>
  <conditionalFormatting sqref="P20">
    <cfRule type="cellIs" dxfId="1677" priority="894" operator="notEqual">
      <formula>$A20</formula>
    </cfRule>
  </conditionalFormatting>
  <conditionalFormatting sqref="P20">
    <cfRule type="cellIs" dxfId="1676" priority="893" operator="notEqual">
      <formula>$A20</formula>
    </cfRule>
  </conditionalFormatting>
  <conditionalFormatting sqref="P21">
    <cfRule type="cellIs" dxfId="1675" priority="892" operator="notEqual">
      <formula>$A21</formula>
    </cfRule>
  </conditionalFormatting>
  <conditionalFormatting sqref="P21">
    <cfRule type="cellIs" dxfId="1674" priority="891" operator="notEqual">
      <formula>$A21</formula>
    </cfRule>
  </conditionalFormatting>
  <conditionalFormatting sqref="P64:P66">
    <cfRule type="cellIs" dxfId="1673" priority="890" operator="notEqual">
      <formula>$A67</formula>
    </cfRule>
  </conditionalFormatting>
  <conditionalFormatting sqref="P63">
    <cfRule type="cellIs" dxfId="1672" priority="889" operator="notEqual">
      <formula>$A65</formula>
    </cfRule>
  </conditionalFormatting>
  <conditionalFormatting sqref="P64:P66">
    <cfRule type="cellIs" dxfId="1671" priority="888" operator="notEqual">
      <formula>$A67</formula>
    </cfRule>
  </conditionalFormatting>
  <conditionalFormatting sqref="P34">
    <cfRule type="cellIs" dxfId="1670" priority="885" operator="notEqual">
      <formula>$A34</formula>
    </cfRule>
  </conditionalFormatting>
  <conditionalFormatting sqref="P33">
    <cfRule type="cellIs" dxfId="1669" priority="884" operator="notEqual">
      <formula>$A33</formula>
    </cfRule>
  </conditionalFormatting>
  <conditionalFormatting sqref="P22">
    <cfRule type="cellIs" dxfId="1668" priority="883" operator="notEqual">
      <formula>$A22</formula>
    </cfRule>
  </conditionalFormatting>
  <conditionalFormatting sqref="P22">
    <cfRule type="cellIs" dxfId="1667" priority="882" operator="notEqual">
      <formula>$A22</formula>
    </cfRule>
  </conditionalFormatting>
  <conditionalFormatting sqref="P10:S10 AI10 AK10 H10:H11">
    <cfRule type="cellIs" dxfId="1666" priority="880" operator="equal">
      <formula>""</formula>
    </cfRule>
  </conditionalFormatting>
  <conditionalFormatting sqref="H42 H20 H63:H66">
    <cfRule type="cellIs" dxfId="1665" priority="881" operator="notEqual">
      <formula>$A20</formula>
    </cfRule>
  </conditionalFormatting>
  <conditionalFormatting sqref="H40">
    <cfRule type="cellIs" dxfId="1664" priority="879" operator="notEqual">
      <formula>#REF!</formula>
    </cfRule>
  </conditionalFormatting>
  <conditionalFormatting sqref="H41">
    <cfRule type="cellIs" dxfId="1663" priority="877" operator="notEqual">
      <formula>$A41</formula>
    </cfRule>
  </conditionalFormatting>
  <conditionalFormatting sqref="H41">
    <cfRule type="cellIs" dxfId="1662" priority="876" operator="notEqual">
      <formula>$A41</formula>
    </cfRule>
  </conditionalFormatting>
  <conditionalFormatting sqref="H63">
    <cfRule type="cellIs" dxfId="1661" priority="875" operator="notEqual">
      <formula>$A65</formula>
    </cfRule>
  </conditionalFormatting>
  <conditionalFormatting sqref="P10:S10 AI10 AK10 H13 H10:H11">
    <cfRule type="cellIs" dxfId="1660" priority="874" operator="notEqual">
      <formula>$A10</formula>
    </cfRule>
  </conditionalFormatting>
  <conditionalFormatting sqref="H16:H19 H14">
    <cfRule type="cellIs" dxfId="1659" priority="873" operator="notEqual">
      <formula>$A14</formula>
    </cfRule>
  </conditionalFormatting>
  <conditionalFormatting sqref="H9">
    <cfRule type="cellIs" dxfId="1658" priority="871" operator="notEqual">
      <formula>$A9</formula>
    </cfRule>
  </conditionalFormatting>
  <conditionalFormatting sqref="H8 K8">
    <cfRule type="cellIs" dxfId="1657" priority="870" operator="notEqual">
      <formula>$A8</formula>
    </cfRule>
  </conditionalFormatting>
  <conditionalFormatting sqref="H20">
    <cfRule type="cellIs" dxfId="1656" priority="869" operator="notEqual">
      <formula>$A20</formula>
    </cfRule>
  </conditionalFormatting>
  <conditionalFormatting sqref="H20">
    <cfRule type="cellIs" dxfId="1655" priority="868" operator="notEqual">
      <formula>$A20</formula>
    </cfRule>
  </conditionalFormatting>
  <conditionalFormatting sqref="H21 K21:L21">
    <cfRule type="cellIs" dxfId="1654" priority="867" operator="notEqual">
      <formula>$A21</formula>
    </cfRule>
  </conditionalFormatting>
  <conditionalFormatting sqref="H21 K21:L21">
    <cfRule type="cellIs" dxfId="1653" priority="866" operator="notEqual">
      <formula>$A21</formula>
    </cfRule>
  </conditionalFormatting>
  <conditionalFormatting sqref="H63">
    <cfRule type="cellIs" dxfId="1652" priority="864" operator="notEqual">
      <formula>$A65</formula>
    </cfRule>
  </conditionalFormatting>
  <conditionalFormatting sqref="H34">
    <cfRule type="cellIs" dxfId="1651" priority="860" operator="notEqual">
      <formula>$A34</formula>
    </cfRule>
  </conditionalFormatting>
  <conditionalFormatting sqref="H33">
    <cfRule type="cellIs" dxfId="1650" priority="859" operator="notEqual">
      <formula>$A33</formula>
    </cfRule>
  </conditionalFormatting>
  <conditionalFormatting sqref="H22">
    <cfRule type="cellIs" dxfId="1649" priority="858" operator="notEqual">
      <formula>$A22</formula>
    </cfRule>
  </conditionalFormatting>
  <conditionalFormatting sqref="H22">
    <cfRule type="cellIs" dxfId="1648" priority="857" operator="notEqual">
      <formula>$A22</formula>
    </cfRule>
  </conditionalFormatting>
  <conditionalFormatting sqref="Q9:R9 AK9">
    <cfRule type="cellIs" dxfId="1647" priority="835" operator="notEqual">
      <formula>$A9</formula>
    </cfRule>
  </conditionalFormatting>
  <conditionalFormatting sqref="A121">
    <cfRule type="containsText" dxfId="1646" priority="834" operator="containsText" text="&lt;*">
      <formula>NOT(ISERROR(SEARCH("&lt;*",A121)))</formula>
    </cfRule>
  </conditionalFormatting>
  <conditionalFormatting sqref="D124:E126">
    <cfRule type="cellIs" dxfId="1645" priority="833" operator="equal">
      <formula>""</formula>
    </cfRule>
  </conditionalFormatting>
  <conditionalFormatting sqref="D122:E123">
    <cfRule type="cellIs" dxfId="1644" priority="829" operator="equal">
      <formula>""</formula>
    </cfRule>
  </conditionalFormatting>
  <conditionalFormatting sqref="D37:E37">
    <cfRule type="cellIs" dxfId="1643" priority="822" operator="equal">
      <formula>""</formula>
    </cfRule>
  </conditionalFormatting>
  <conditionalFormatting sqref="D189:E189">
    <cfRule type="cellIs" dxfId="1642" priority="819" operator="equal">
      <formula>""</formula>
    </cfRule>
  </conditionalFormatting>
  <conditionalFormatting sqref="D197:E197">
    <cfRule type="cellIs" dxfId="1641" priority="818" operator="equal">
      <formula>""</formula>
    </cfRule>
  </conditionalFormatting>
  <conditionalFormatting sqref="D198:E200">
    <cfRule type="cellIs" dxfId="1640" priority="811" operator="equal">
      <formula>""</formula>
    </cfRule>
  </conditionalFormatting>
  <conditionalFormatting sqref="D190:E190">
    <cfRule type="cellIs" dxfId="1639" priority="810" operator="equal">
      <formula>""</formula>
    </cfRule>
  </conditionalFormatting>
  <conditionalFormatting sqref="A29 D29:E29">
    <cfRule type="cellIs" dxfId="1638" priority="808" operator="equal">
      <formula>""</formula>
    </cfRule>
  </conditionalFormatting>
  <conditionalFormatting sqref="A29">
    <cfRule type="cellIs" dxfId="1637" priority="809" operator="notEqual">
      <formula>$A29</formula>
    </cfRule>
  </conditionalFormatting>
  <conditionalFormatting sqref="G29">
    <cfRule type="cellIs" dxfId="1636" priority="807" operator="notEqual">
      <formula>$A29</formula>
    </cfRule>
  </conditionalFormatting>
  <conditionalFormatting sqref="AK29">
    <cfRule type="cellIs" dxfId="1635" priority="794" operator="notEqual">
      <formula>$A29</formula>
    </cfRule>
  </conditionalFormatting>
  <conditionalFormatting sqref="AI29">
    <cfRule type="cellIs" dxfId="1634" priority="763" operator="notEqual">
      <formula>$A29</formula>
    </cfRule>
  </conditionalFormatting>
  <conditionalFormatting sqref="S29">
    <cfRule type="cellIs" dxfId="1633" priority="761" operator="notEqual">
      <formula>$A29</formula>
    </cfRule>
  </conditionalFormatting>
  <conditionalFormatting sqref="R29">
    <cfRule type="cellIs" dxfId="1632" priority="760" operator="notEqual">
      <formula>$A29</formula>
    </cfRule>
  </conditionalFormatting>
  <conditionalFormatting sqref="Q29">
    <cfRule type="cellIs" dxfId="1631" priority="759" operator="notEqual">
      <formula>$A29</formula>
    </cfRule>
  </conditionalFormatting>
  <conditionalFormatting sqref="P29">
    <cfRule type="cellIs" dxfId="1630" priority="758" operator="notEqual">
      <formula>$A29</formula>
    </cfRule>
  </conditionalFormatting>
  <conditionalFormatting sqref="H29">
    <cfRule type="cellIs" dxfId="1629" priority="757" operator="notEqual">
      <formula>$A29</formula>
    </cfRule>
  </conditionalFormatting>
  <conditionalFormatting sqref="D133:E133">
    <cfRule type="cellIs" dxfId="1628" priority="756" operator="equal">
      <formula>""</formula>
    </cfRule>
  </conditionalFormatting>
  <conditionalFormatting sqref="D138:E138">
    <cfRule type="cellIs" dxfId="1627" priority="755" operator="equal">
      <formula>""</formula>
    </cfRule>
  </conditionalFormatting>
  <conditionalFormatting sqref="R21">
    <cfRule type="cellIs" dxfId="1626" priority="751" operator="notEqual">
      <formula>$A21</formula>
    </cfRule>
  </conditionalFormatting>
  <conditionalFormatting sqref="R21">
    <cfRule type="cellIs" dxfId="1625" priority="750" operator="notEqual">
      <formula>$A21</formula>
    </cfRule>
  </conditionalFormatting>
  <conditionalFormatting sqref="AK21">
    <cfRule type="cellIs" dxfId="1624" priority="747" operator="notEqual">
      <formula>$A21</formula>
    </cfRule>
  </conditionalFormatting>
  <conditionalFormatting sqref="AK21">
    <cfRule type="cellIs" dxfId="1623" priority="746" operator="notEqual">
      <formula>$A21</formula>
    </cfRule>
  </conditionalFormatting>
  <conditionalFormatting sqref="A12 D12:E12">
    <cfRule type="cellIs" dxfId="1622" priority="744" operator="equal">
      <formula>""</formula>
    </cfRule>
  </conditionalFormatting>
  <conditionalFormatting sqref="A12">
    <cfRule type="cellIs" dxfId="1621" priority="745" operator="notEqual">
      <formula>$A12</formula>
    </cfRule>
  </conditionalFormatting>
  <conditionalFormatting sqref="AK12">
    <cfRule type="cellIs" dxfId="1620" priority="736" operator="notEqual">
      <formula>$A12</formula>
    </cfRule>
  </conditionalFormatting>
  <conditionalFormatting sqref="G12">
    <cfRule type="cellIs" dxfId="1619" priority="733" operator="notEqual">
      <formula>$A12</formula>
    </cfRule>
  </conditionalFormatting>
  <conditionalFormatting sqref="AI12">
    <cfRule type="cellIs" dxfId="1618" priority="684" operator="notEqual">
      <formula>$A12</formula>
    </cfRule>
  </conditionalFormatting>
  <conditionalFormatting sqref="S12">
    <cfRule type="cellIs" dxfId="1617" priority="682" operator="notEqual">
      <formula>$A12</formula>
    </cfRule>
  </conditionalFormatting>
  <conditionalFormatting sqref="R12">
    <cfRule type="cellIs" dxfId="1616" priority="681" operator="notEqual">
      <formula>$A12</formula>
    </cfRule>
  </conditionalFormatting>
  <conditionalFormatting sqref="Q12">
    <cfRule type="cellIs" dxfId="1615" priority="680" operator="notEqual">
      <formula>$A12</formula>
    </cfRule>
  </conditionalFormatting>
  <conditionalFormatting sqref="P12">
    <cfRule type="cellIs" dxfId="1614" priority="679" operator="notEqual">
      <formula>$A12</formula>
    </cfRule>
  </conditionalFormatting>
  <conditionalFormatting sqref="H12">
    <cfRule type="cellIs" dxfId="1613" priority="678" operator="notEqual">
      <formula>$A12</formula>
    </cfRule>
  </conditionalFormatting>
  <conditionalFormatting sqref="F64:F66 F42 F33:F34">
    <cfRule type="cellIs" dxfId="1612" priority="675" operator="notEqual">
      <formula>$A33</formula>
    </cfRule>
  </conditionalFormatting>
  <conditionalFormatting sqref="F40">
    <cfRule type="cellIs" dxfId="1611" priority="673" operator="notEqual">
      <formula>#REF!</formula>
    </cfRule>
  </conditionalFormatting>
  <conditionalFormatting sqref="F41">
    <cfRule type="cellIs" dxfId="1610" priority="672" operator="notEqual">
      <formula>$A41</formula>
    </cfRule>
  </conditionalFormatting>
  <conditionalFormatting sqref="F41 F64:F66">
    <cfRule type="cellIs" dxfId="1609" priority="671" operator="notEqual">
      <formula>$A41</formula>
    </cfRule>
  </conditionalFormatting>
  <conditionalFormatting sqref="F63">
    <cfRule type="cellIs" dxfId="1608" priority="670" operator="notEqual">
      <formula>$A65</formula>
    </cfRule>
  </conditionalFormatting>
  <conditionalFormatting sqref="F64:F66">
    <cfRule type="cellIs" dxfId="1607" priority="661" operator="notEqual">
      <formula>$A67</formula>
    </cfRule>
  </conditionalFormatting>
  <conditionalFormatting sqref="F63">
    <cfRule type="cellIs" dxfId="1606" priority="660" operator="notEqual">
      <formula>$A65</formula>
    </cfRule>
  </conditionalFormatting>
  <conditionalFormatting sqref="F64:F66">
    <cfRule type="cellIs" dxfId="1605" priority="659" operator="notEqual">
      <formula>$A67</formula>
    </cfRule>
  </conditionalFormatting>
  <conditionalFormatting sqref="F63">
    <cfRule type="cellIs" dxfId="1604" priority="656" operator="notEqual">
      <formula>$A63</formula>
    </cfRule>
  </conditionalFormatting>
  <conditionalFormatting sqref="F63">
    <cfRule type="cellIs" dxfId="1603" priority="655" operator="notEqual">
      <formula>$A63</formula>
    </cfRule>
  </conditionalFormatting>
  <conditionalFormatting sqref="F13">
    <cfRule type="cellIs" dxfId="1602" priority="650" operator="notEqual">
      <formula>$A13</formula>
    </cfRule>
  </conditionalFormatting>
  <conditionalFormatting sqref="F16:F18 F8 F14">
    <cfRule type="cellIs" dxfId="1601" priority="649" operator="notEqual">
      <formula>$A8</formula>
    </cfRule>
  </conditionalFormatting>
  <conditionalFormatting sqref="F15">
    <cfRule type="cellIs" dxfId="1600" priority="648" operator="notEqual">
      <formula>$A15</formula>
    </cfRule>
  </conditionalFormatting>
  <conditionalFormatting sqref="F19">
    <cfRule type="cellIs" dxfId="1599" priority="647" operator="notEqual">
      <formula>$A19</formula>
    </cfRule>
  </conditionalFormatting>
  <conditionalFormatting sqref="F9">
    <cfRule type="cellIs" dxfId="1598" priority="646" operator="notEqual">
      <formula>$A9</formula>
    </cfRule>
  </conditionalFormatting>
  <conditionalFormatting sqref="F8">
    <cfRule type="cellIs" dxfId="1597" priority="645" operator="notEqual">
      <formula>$A8</formula>
    </cfRule>
  </conditionalFormatting>
  <conditionalFormatting sqref="F20">
    <cfRule type="cellIs" dxfId="1596" priority="644" operator="notEqual">
      <formula>$A20</formula>
    </cfRule>
  </conditionalFormatting>
  <conditionalFormatting sqref="F21">
    <cfRule type="cellIs" dxfId="1595" priority="643" operator="notEqual">
      <formula>$A21</formula>
    </cfRule>
  </conditionalFormatting>
  <conditionalFormatting sqref="F22">
    <cfRule type="cellIs" dxfId="1594" priority="638" operator="notEqual">
      <formula>$A22</formula>
    </cfRule>
  </conditionalFormatting>
  <conditionalFormatting sqref="F29">
    <cfRule type="cellIs" dxfId="1593" priority="637" operator="notEqual">
      <formula>$A29</formula>
    </cfRule>
  </conditionalFormatting>
  <conditionalFormatting sqref="F12">
    <cfRule type="cellIs" dxfId="1592" priority="636" operator="notEqual">
      <formula>$A12</formula>
    </cfRule>
  </conditionalFormatting>
  <conditionalFormatting sqref="F12">
    <cfRule type="cellIs" dxfId="1591" priority="635" operator="notEqual">
      <formula>$A12</formula>
    </cfRule>
  </conditionalFormatting>
  <conditionalFormatting sqref="D191:E191">
    <cfRule type="cellIs" dxfId="1590" priority="634" operator="equal">
      <formula>""</formula>
    </cfRule>
  </conditionalFormatting>
  <conditionalFormatting sqref="D192:E192">
    <cfRule type="cellIs" dxfId="1589" priority="633" operator="equal">
      <formula>""</formula>
    </cfRule>
  </conditionalFormatting>
  <conditionalFormatting sqref="O9">
    <cfRule type="cellIs" dxfId="1588" priority="631" operator="notEqual">
      <formula>$A9</formula>
    </cfRule>
  </conditionalFormatting>
  <conditionalFormatting sqref="O10">
    <cfRule type="cellIs" dxfId="1587" priority="629" operator="equal">
      <formula>""</formula>
    </cfRule>
  </conditionalFormatting>
  <conditionalFormatting sqref="O42 O20 O63:O66">
    <cfRule type="cellIs" dxfId="1586" priority="630" operator="notEqual">
      <formula>$A20</formula>
    </cfRule>
  </conditionalFormatting>
  <conditionalFormatting sqref="O40">
    <cfRule type="cellIs" dxfId="1585" priority="628" operator="notEqual">
      <formula>#REF!</formula>
    </cfRule>
  </conditionalFormatting>
  <conditionalFormatting sqref="O63:O66">
    <cfRule type="cellIs" dxfId="1584" priority="627" operator="notEqual">
      <formula>$A63</formula>
    </cfRule>
  </conditionalFormatting>
  <conditionalFormatting sqref="O41">
    <cfRule type="cellIs" dxfId="1583" priority="626" operator="notEqual">
      <formula>$A41</formula>
    </cfRule>
  </conditionalFormatting>
  <conditionalFormatting sqref="O41">
    <cfRule type="cellIs" dxfId="1582" priority="625" operator="notEqual">
      <formula>$A41</formula>
    </cfRule>
  </conditionalFormatting>
  <conditionalFormatting sqref="O63">
    <cfRule type="cellIs" dxfId="1581" priority="624" operator="notEqual">
      <formula>$A65</formula>
    </cfRule>
  </conditionalFormatting>
  <conditionalFormatting sqref="O10 O13">
    <cfRule type="cellIs" dxfId="1580" priority="623" operator="notEqual">
      <formula>$A10</formula>
    </cfRule>
  </conditionalFormatting>
  <conditionalFormatting sqref="O16:O19 O14">
    <cfRule type="cellIs" dxfId="1579" priority="622" operator="notEqual">
      <formula>$A14</formula>
    </cfRule>
  </conditionalFormatting>
  <conditionalFormatting sqref="O15:O17">
    <cfRule type="cellIs" dxfId="1578" priority="621" operator="notEqual">
      <formula>$A15</formula>
    </cfRule>
  </conditionalFormatting>
  <conditionalFormatting sqref="O9">
    <cfRule type="cellIs" dxfId="1577" priority="620" operator="notEqual">
      <formula>$A9</formula>
    </cfRule>
  </conditionalFormatting>
  <conditionalFormatting sqref="O8">
    <cfRule type="cellIs" dxfId="1576" priority="619" operator="notEqual">
      <formula>$A8</formula>
    </cfRule>
  </conditionalFormatting>
  <conditionalFormatting sqref="O20">
    <cfRule type="cellIs" dxfId="1575" priority="618" operator="notEqual">
      <formula>$A20</formula>
    </cfRule>
  </conditionalFormatting>
  <conditionalFormatting sqref="O20">
    <cfRule type="cellIs" dxfId="1574" priority="617" operator="notEqual">
      <formula>$A20</formula>
    </cfRule>
  </conditionalFormatting>
  <conditionalFormatting sqref="O21">
    <cfRule type="cellIs" dxfId="1573" priority="616" operator="notEqual">
      <formula>$A21</formula>
    </cfRule>
  </conditionalFormatting>
  <conditionalFormatting sqref="O21">
    <cfRule type="cellIs" dxfId="1572" priority="615" operator="notEqual">
      <formula>$A21</formula>
    </cfRule>
  </conditionalFormatting>
  <conditionalFormatting sqref="O64:O66">
    <cfRule type="cellIs" dxfId="1571" priority="614" operator="notEqual">
      <formula>$A67</formula>
    </cfRule>
  </conditionalFormatting>
  <conditionalFormatting sqref="O63">
    <cfRule type="cellIs" dxfId="1570" priority="613" operator="notEqual">
      <formula>$A65</formula>
    </cfRule>
  </conditionalFormatting>
  <conditionalFormatting sqref="O64:O66">
    <cfRule type="cellIs" dxfId="1569" priority="612" operator="notEqual">
      <formula>$A67</formula>
    </cfRule>
  </conditionalFormatting>
  <conditionalFormatting sqref="O34">
    <cfRule type="cellIs" dxfId="1568" priority="609" operator="notEqual">
      <formula>$A34</formula>
    </cfRule>
  </conditionalFormatting>
  <conditionalFormatting sqref="O33">
    <cfRule type="cellIs" dxfId="1567" priority="608" operator="notEqual">
      <formula>$A33</formula>
    </cfRule>
  </conditionalFormatting>
  <conditionalFormatting sqref="O22">
    <cfRule type="cellIs" dxfId="1566" priority="607" operator="notEqual">
      <formula>$A22</formula>
    </cfRule>
  </conditionalFormatting>
  <conditionalFormatting sqref="O22">
    <cfRule type="cellIs" dxfId="1565" priority="606" operator="notEqual">
      <formula>$A22</formula>
    </cfRule>
  </conditionalFormatting>
  <conditionalFormatting sqref="O29">
    <cfRule type="cellIs" dxfId="1564" priority="605" operator="notEqual">
      <formula>$A29</formula>
    </cfRule>
  </conditionalFormatting>
  <conditionalFormatting sqref="O12">
    <cfRule type="cellIs" dxfId="1563" priority="604" operator="notEqual">
      <formula>$A12</formula>
    </cfRule>
  </conditionalFormatting>
  <conditionalFormatting sqref="AH10">
    <cfRule type="cellIs" dxfId="1562" priority="601" operator="equal">
      <formula>""</formula>
    </cfRule>
  </conditionalFormatting>
  <conditionalFormatting sqref="AH42 AH20 AH63:AH66">
    <cfRule type="cellIs" dxfId="1561" priority="602" operator="notEqual">
      <formula>$A20</formula>
    </cfRule>
  </conditionalFormatting>
  <conditionalFormatting sqref="AH40">
    <cfRule type="cellIs" dxfId="1560" priority="600" operator="notEqual">
      <formula>#REF!</formula>
    </cfRule>
  </conditionalFormatting>
  <conditionalFormatting sqref="AH63:AH66">
    <cfRule type="cellIs" dxfId="1559" priority="599" operator="notEqual">
      <formula>$A63</formula>
    </cfRule>
  </conditionalFormatting>
  <conditionalFormatting sqref="AH41">
    <cfRule type="cellIs" dxfId="1558" priority="598" operator="notEqual">
      <formula>$A41</formula>
    </cfRule>
  </conditionalFormatting>
  <conditionalFormatting sqref="AH41">
    <cfRule type="cellIs" dxfId="1557" priority="597" operator="notEqual">
      <formula>$A41</formula>
    </cfRule>
  </conditionalFormatting>
  <conditionalFormatting sqref="AH63">
    <cfRule type="cellIs" dxfId="1556" priority="596" operator="notEqual">
      <formula>$A65</formula>
    </cfRule>
  </conditionalFormatting>
  <conditionalFormatting sqref="AH10 AH13">
    <cfRule type="cellIs" dxfId="1555" priority="595" operator="notEqual">
      <formula>$A10</formula>
    </cfRule>
  </conditionalFormatting>
  <conditionalFormatting sqref="AH16:AH19 AH14">
    <cfRule type="cellIs" dxfId="1554" priority="594" operator="notEqual">
      <formula>$A14</formula>
    </cfRule>
  </conditionalFormatting>
  <conditionalFormatting sqref="AH15:AH17">
    <cfRule type="cellIs" dxfId="1553" priority="593" operator="notEqual">
      <formula>$A15</formula>
    </cfRule>
  </conditionalFormatting>
  <conditionalFormatting sqref="AH9">
    <cfRule type="cellIs" dxfId="1552" priority="592" operator="notEqual">
      <formula>$A9</formula>
    </cfRule>
  </conditionalFormatting>
  <conditionalFormatting sqref="AH8">
    <cfRule type="cellIs" dxfId="1551" priority="591" operator="notEqual">
      <formula>$A8</formula>
    </cfRule>
  </conditionalFormatting>
  <conditionalFormatting sqref="AH20">
    <cfRule type="cellIs" dxfId="1550" priority="590" operator="notEqual">
      <formula>$A20</formula>
    </cfRule>
  </conditionalFormatting>
  <conditionalFormatting sqref="AH20">
    <cfRule type="cellIs" dxfId="1549" priority="589" operator="notEqual">
      <formula>$A20</formula>
    </cfRule>
  </conditionalFormatting>
  <conditionalFormatting sqref="AH21">
    <cfRule type="cellIs" dxfId="1548" priority="588" operator="notEqual">
      <formula>$A21</formula>
    </cfRule>
  </conditionalFormatting>
  <conditionalFormatting sqref="AH21">
    <cfRule type="cellIs" dxfId="1547" priority="587" operator="notEqual">
      <formula>$A21</formula>
    </cfRule>
  </conditionalFormatting>
  <conditionalFormatting sqref="AH64:AH66">
    <cfRule type="cellIs" dxfId="1546" priority="586" operator="notEqual">
      <formula>$A67</formula>
    </cfRule>
  </conditionalFormatting>
  <conditionalFormatting sqref="AH63">
    <cfRule type="cellIs" dxfId="1545" priority="585" operator="notEqual">
      <formula>$A65</formula>
    </cfRule>
  </conditionalFormatting>
  <conditionalFormatting sqref="AH64:AH66">
    <cfRule type="cellIs" dxfId="1544" priority="584" operator="notEqual">
      <formula>$A67</formula>
    </cfRule>
  </conditionalFormatting>
  <conditionalFormatting sqref="AH34">
    <cfRule type="cellIs" dxfId="1543" priority="581" operator="notEqual">
      <formula>$A34</formula>
    </cfRule>
  </conditionalFormatting>
  <conditionalFormatting sqref="AH33">
    <cfRule type="cellIs" dxfId="1542" priority="580" operator="notEqual">
      <formula>$A33</formula>
    </cfRule>
  </conditionalFormatting>
  <conditionalFormatting sqref="AH22">
    <cfRule type="cellIs" dxfId="1541" priority="579" operator="notEqual">
      <formula>$A22</formula>
    </cfRule>
  </conditionalFormatting>
  <conditionalFormatting sqref="AH22">
    <cfRule type="cellIs" dxfId="1540" priority="578" operator="notEqual">
      <formula>$A22</formula>
    </cfRule>
  </conditionalFormatting>
  <conditionalFormatting sqref="AH9">
    <cfRule type="cellIs" dxfId="1539" priority="577" operator="notEqual">
      <formula>$A9</formula>
    </cfRule>
  </conditionalFormatting>
  <conditionalFormatting sqref="AH10">
    <cfRule type="cellIs" dxfId="1538" priority="576" operator="equal">
      <formula>""</formula>
    </cfRule>
  </conditionalFormatting>
  <conditionalFormatting sqref="AH10">
    <cfRule type="cellIs" dxfId="1537" priority="575" operator="notEqual">
      <formula>$A10</formula>
    </cfRule>
  </conditionalFormatting>
  <conditionalFormatting sqref="AH29">
    <cfRule type="cellIs" dxfId="1536" priority="573" operator="notEqual">
      <formula>$A29</formula>
    </cfRule>
  </conditionalFormatting>
  <conditionalFormatting sqref="AH12">
    <cfRule type="cellIs" dxfId="1535" priority="572" operator="notEqual">
      <formula>$A12</formula>
    </cfRule>
  </conditionalFormatting>
  <conditionalFormatting sqref="AJ10">
    <cfRule type="cellIs" dxfId="1534" priority="569" operator="equal">
      <formula>""</formula>
    </cfRule>
  </conditionalFormatting>
  <conditionalFormatting sqref="AJ42 AJ20 AJ63:AJ66">
    <cfRule type="cellIs" dxfId="1533" priority="570" operator="notEqual">
      <formula>$A20</formula>
    </cfRule>
  </conditionalFormatting>
  <conditionalFormatting sqref="AJ40">
    <cfRule type="cellIs" dxfId="1532" priority="568" operator="notEqual">
      <formula>#REF!</formula>
    </cfRule>
  </conditionalFormatting>
  <conditionalFormatting sqref="AJ63:AJ66">
    <cfRule type="cellIs" dxfId="1531" priority="567" operator="notEqual">
      <formula>$A63</formula>
    </cfRule>
  </conditionalFormatting>
  <conditionalFormatting sqref="AJ41">
    <cfRule type="cellIs" dxfId="1530" priority="566" operator="notEqual">
      <formula>$A41</formula>
    </cfRule>
  </conditionalFormatting>
  <conditionalFormatting sqref="AJ41">
    <cfRule type="cellIs" dxfId="1529" priority="565" operator="notEqual">
      <formula>$A41</formula>
    </cfRule>
  </conditionalFormatting>
  <conditionalFormatting sqref="AJ63">
    <cfRule type="cellIs" dxfId="1528" priority="564" operator="notEqual">
      <formula>$A65</formula>
    </cfRule>
  </conditionalFormatting>
  <conditionalFormatting sqref="AJ10 AJ13">
    <cfRule type="cellIs" dxfId="1527" priority="563" operator="notEqual">
      <formula>$A10</formula>
    </cfRule>
  </conditionalFormatting>
  <conditionalFormatting sqref="AJ16:AJ19 AJ14">
    <cfRule type="cellIs" dxfId="1526" priority="562" operator="notEqual">
      <formula>$A14</formula>
    </cfRule>
  </conditionalFormatting>
  <conditionalFormatting sqref="AJ15:AJ17">
    <cfRule type="cellIs" dxfId="1525" priority="561" operator="notEqual">
      <formula>$A15</formula>
    </cfRule>
  </conditionalFormatting>
  <conditionalFormatting sqref="AJ8">
    <cfRule type="cellIs" dxfId="1524" priority="560" operator="notEqual">
      <formula>$A8</formula>
    </cfRule>
  </conditionalFormatting>
  <conditionalFormatting sqref="AJ20">
    <cfRule type="cellIs" dxfId="1523" priority="559" operator="notEqual">
      <formula>$A20</formula>
    </cfRule>
  </conditionalFormatting>
  <conditionalFormatting sqref="AJ20">
    <cfRule type="cellIs" dxfId="1522" priority="558" operator="notEqual">
      <formula>$A20</formula>
    </cfRule>
  </conditionalFormatting>
  <conditionalFormatting sqref="AJ64:AJ66">
    <cfRule type="cellIs" dxfId="1521" priority="557" operator="notEqual">
      <formula>$A67</formula>
    </cfRule>
  </conditionalFormatting>
  <conditionalFormatting sqref="AJ63">
    <cfRule type="cellIs" dxfId="1520" priority="556" operator="notEqual">
      <formula>$A65</formula>
    </cfRule>
  </conditionalFormatting>
  <conditionalFormatting sqref="AJ64:AJ66">
    <cfRule type="cellIs" dxfId="1519" priority="555" operator="notEqual">
      <formula>$A67</formula>
    </cfRule>
  </conditionalFormatting>
  <conditionalFormatting sqref="AJ34">
    <cfRule type="cellIs" dxfId="1518" priority="552" operator="notEqual">
      <formula>$A34</formula>
    </cfRule>
  </conditionalFormatting>
  <conditionalFormatting sqref="AJ33">
    <cfRule type="cellIs" dxfId="1517" priority="551" operator="notEqual">
      <formula>$A33</formula>
    </cfRule>
  </conditionalFormatting>
  <conditionalFormatting sqref="AJ22">
    <cfRule type="cellIs" dxfId="1516" priority="550" operator="notEqual">
      <formula>$A22</formula>
    </cfRule>
  </conditionalFormatting>
  <conditionalFormatting sqref="AJ22">
    <cfRule type="cellIs" dxfId="1515" priority="549" operator="notEqual">
      <formula>$A22</formula>
    </cfRule>
  </conditionalFormatting>
  <conditionalFormatting sqref="AJ10">
    <cfRule type="cellIs" dxfId="1514" priority="548" operator="equal">
      <formula>""</formula>
    </cfRule>
  </conditionalFormatting>
  <conditionalFormatting sqref="AJ10">
    <cfRule type="cellIs" dxfId="1513" priority="547" operator="notEqual">
      <formula>$A10</formula>
    </cfRule>
  </conditionalFormatting>
  <conditionalFormatting sqref="AJ9">
    <cfRule type="cellIs" dxfId="1512" priority="545" operator="notEqual">
      <formula>$A9</formula>
    </cfRule>
  </conditionalFormatting>
  <conditionalFormatting sqref="AJ29">
    <cfRule type="cellIs" dxfId="1511" priority="544" operator="notEqual">
      <formula>$A29</formula>
    </cfRule>
  </conditionalFormatting>
  <conditionalFormatting sqref="AJ21">
    <cfRule type="cellIs" dxfId="1510" priority="543" operator="notEqual">
      <formula>$A21</formula>
    </cfRule>
  </conditionalFormatting>
  <conditionalFormatting sqref="AJ21">
    <cfRule type="cellIs" dxfId="1509" priority="542" operator="notEqual">
      <formula>$A21</formula>
    </cfRule>
  </conditionalFormatting>
  <conditionalFormatting sqref="AJ12">
    <cfRule type="cellIs" dxfId="1508" priority="541" operator="notEqual">
      <formula>$A12</formula>
    </cfRule>
  </conditionalFormatting>
  <conditionalFormatting sqref="F10">
    <cfRule type="cellIs" dxfId="1507" priority="539" operator="equal">
      <formula>""</formula>
    </cfRule>
  </conditionalFormatting>
  <conditionalFormatting sqref="F10">
    <cfRule type="cellIs" dxfId="1506" priority="540" operator="notEqual">
      <formula>$A10</formula>
    </cfRule>
  </conditionalFormatting>
  <conditionalFormatting sqref="O11:S11 F11:G11">
    <cfRule type="cellIs" dxfId="1505" priority="538" operator="equal">
      <formula>""</formula>
    </cfRule>
  </conditionalFormatting>
  <conditionalFormatting sqref="O11:S11 F11:G11">
    <cfRule type="cellIs" dxfId="1504" priority="537" operator="notEqual">
      <formula>$A11</formula>
    </cfRule>
  </conditionalFormatting>
  <conditionalFormatting sqref="O25:S25 F25:H25">
    <cfRule type="cellIs" dxfId="1503" priority="536" operator="notEqual">
      <formula>$A25</formula>
    </cfRule>
  </conditionalFormatting>
  <conditionalFormatting sqref="N9">
    <cfRule type="cellIs" dxfId="1502" priority="534" operator="notEqual">
      <formula>$A9</formula>
    </cfRule>
  </conditionalFormatting>
  <conditionalFormatting sqref="M16:N19 M14:N14">
    <cfRule type="cellIs" dxfId="1501" priority="533" operator="notEqual">
      <formula>$A14</formula>
    </cfRule>
  </conditionalFormatting>
  <conditionalFormatting sqref="M11:N11">
    <cfRule type="cellIs" dxfId="1500" priority="532" operator="equal">
      <formula>""</formula>
    </cfRule>
  </conditionalFormatting>
  <conditionalFormatting sqref="M11:N11">
    <cfRule type="cellIs" dxfId="1499" priority="531" operator="notEqual">
      <formula>$A11</formula>
    </cfRule>
  </conditionalFormatting>
  <conditionalFormatting sqref="M9">
    <cfRule type="cellIs" dxfId="1498" priority="530" operator="notEqual">
      <formula>$A9</formula>
    </cfRule>
  </conditionalFormatting>
  <conditionalFormatting sqref="M42 M20 M63:M66">
    <cfRule type="cellIs" dxfId="1497" priority="529" operator="notEqual">
      <formula>$A20</formula>
    </cfRule>
  </conditionalFormatting>
  <conditionalFormatting sqref="M40">
    <cfRule type="cellIs" dxfId="1496" priority="528" operator="notEqual">
      <formula>#REF!</formula>
    </cfRule>
  </conditionalFormatting>
  <conditionalFormatting sqref="M63:M66">
    <cfRule type="cellIs" dxfId="1495" priority="527" operator="notEqual">
      <formula>$A63</formula>
    </cfRule>
  </conditionalFormatting>
  <conditionalFormatting sqref="M41">
    <cfRule type="cellIs" dxfId="1494" priority="526" operator="notEqual">
      <formula>$A41</formula>
    </cfRule>
  </conditionalFormatting>
  <conditionalFormatting sqref="M41">
    <cfRule type="cellIs" dxfId="1493" priority="525" operator="notEqual">
      <formula>$A41</formula>
    </cfRule>
  </conditionalFormatting>
  <conditionalFormatting sqref="M63">
    <cfRule type="cellIs" dxfId="1492" priority="524" operator="notEqual">
      <formula>$A65</formula>
    </cfRule>
  </conditionalFormatting>
  <conditionalFormatting sqref="M15:M17">
    <cfRule type="cellIs" dxfId="1491" priority="522" operator="notEqual">
      <formula>$A15</formula>
    </cfRule>
  </conditionalFormatting>
  <conditionalFormatting sqref="M9">
    <cfRule type="cellIs" dxfId="1490" priority="521" operator="notEqual">
      <formula>$A9</formula>
    </cfRule>
  </conditionalFormatting>
  <conditionalFormatting sqref="M8">
    <cfRule type="cellIs" dxfId="1489" priority="520" operator="notEqual">
      <formula>$A8</formula>
    </cfRule>
  </conditionalFormatting>
  <conditionalFormatting sqref="M20">
    <cfRule type="cellIs" dxfId="1488" priority="519" operator="notEqual">
      <formula>$A20</formula>
    </cfRule>
  </conditionalFormatting>
  <conditionalFormatting sqref="M20">
    <cfRule type="cellIs" dxfId="1487" priority="518" operator="notEqual">
      <formula>$A20</formula>
    </cfRule>
  </conditionalFormatting>
  <conditionalFormatting sqref="M21">
    <cfRule type="cellIs" dxfId="1486" priority="517" operator="notEqual">
      <formula>$A21</formula>
    </cfRule>
  </conditionalFormatting>
  <conditionalFormatting sqref="M21">
    <cfRule type="cellIs" dxfId="1485" priority="516" operator="notEqual">
      <formula>$A21</formula>
    </cfRule>
  </conditionalFormatting>
  <conditionalFormatting sqref="M64:M66">
    <cfRule type="cellIs" dxfId="1484" priority="515" operator="notEqual">
      <formula>$A67</formula>
    </cfRule>
  </conditionalFormatting>
  <conditionalFormatting sqref="M63">
    <cfRule type="cellIs" dxfId="1483" priority="514" operator="notEqual">
      <formula>$A65</formula>
    </cfRule>
  </conditionalFormatting>
  <conditionalFormatting sqref="M64:M66">
    <cfRule type="cellIs" dxfId="1482" priority="513" operator="notEqual">
      <formula>$A67</formula>
    </cfRule>
  </conditionalFormatting>
  <conditionalFormatting sqref="M34">
    <cfRule type="cellIs" dxfId="1481" priority="510" operator="notEqual">
      <formula>$A34</formula>
    </cfRule>
  </conditionalFormatting>
  <conditionalFormatting sqref="M33">
    <cfRule type="cellIs" dxfId="1480" priority="509" operator="notEqual">
      <formula>$A33</formula>
    </cfRule>
  </conditionalFormatting>
  <conditionalFormatting sqref="M22">
    <cfRule type="cellIs" dxfId="1479" priority="508" operator="notEqual">
      <formula>$A22</formula>
    </cfRule>
  </conditionalFormatting>
  <conditionalFormatting sqref="M22">
    <cfRule type="cellIs" dxfId="1478" priority="507" operator="notEqual">
      <formula>$A22</formula>
    </cfRule>
  </conditionalFormatting>
  <conditionalFormatting sqref="M29">
    <cfRule type="cellIs" dxfId="1477" priority="506" operator="notEqual">
      <formula>$A29</formula>
    </cfRule>
  </conditionalFormatting>
  <conditionalFormatting sqref="M10 M12">
    <cfRule type="cellIs" dxfId="1476" priority="505" operator="notEqual">
      <formula>$A10</formula>
    </cfRule>
  </conditionalFormatting>
  <conditionalFormatting sqref="N20 N63:N66">
    <cfRule type="cellIs" dxfId="1475" priority="504" operator="notEqual">
      <formula>$A20</formula>
    </cfRule>
  </conditionalFormatting>
  <conditionalFormatting sqref="N40">
    <cfRule type="cellIs" dxfId="1474" priority="503" operator="notEqual">
      <formula>#REF!</formula>
    </cfRule>
  </conditionalFormatting>
  <conditionalFormatting sqref="N63:N66">
    <cfRule type="cellIs" dxfId="1473" priority="502" operator="notEqual">
      <formula>$A63</formula>
    </cfRule>
  </conditionalFormatting>
  <conditionalFormatting sqref="N41">
    <cfRule type="cellIs" dxfId="1472" priority="501" operator="notEqual">
      <formula>$A41</formula>
    </cfRule>
  </conditionalFormatting>
  <conditionalFormatting sqref="N41">
    <cfRule type="cellIs" dxfId="1471" priority="500" operator="notEqual">
      <formula>$A41</formula>
    </cfRule>
  </conditionalFormatting>
  <conditionalFormatting sqref="N63">
    <cfRule type="cellIs" dxfId="1470" priority="499" operator="notEqual">
      <formula>$A65</formula>
    </cfRule>
  </conditionalFormatting>
  <conditionalFormatting sqref="N15:N17">
    <cfRule type="cellIs" dxfId="1469" priority="497" operator="notEqual">
      <formula>$A15</formula>
    </cfRule>
  </conditionalFormatting>
  <conditionalFormatting sqref="N9">
    <cfRule type="cellIs" dxfId="1468" priority="496" operator="notEqual">
      <formula>$A9</formula>
    </cfRule>
  </conditionalFormatting>
  <conditionalFormatting sqref="N8">
    <cfRule type="cellIs" dxfId="1467" priority="495" operator="notEqual">
      <formula>$A8</formula>
    </cfRule>
  </conditionalFormatting>
  <conditionalFormatting sqref="N20">
    <cfRule type="cellIs" dxfId="1466" priority="494" operator="notEqual">
      <formula>$A20</formula>
    </cfRule>
  </conditionalFormatting>
  <conditionalFormatting sqref="N20">
    <cfRule type="cellIs" dxfId="1465" priority="493" operator="notEqual">
      <formula>$A20</formula>
    </cfRule>
  </conditionalFormatting>
  <conditionalFormatting sqref="N21">
    <cfRule type="cellIs" dxfId="1464" priority="492" operator="notEqual">
      <formula>$A21</formula>
    </cfRule>
  </conditionalFormatting>
  <conditionalFormatting sqref="N21">
    <cfRule type="cellIs" dxfId="1463" priority="491" operator="notEqual">
      <formula>$A21</formula>
    </cfRule>
  </conditionalFormatting>
  <conditionalFormatting sqref="N64:N66">
    <cfRule type="cellIs" dxfId="1462" priority="490" operator="notEqual">
      <formula>$A67</formula>
    </cfRule>
  </conditionalFormatting>
  <conditionalFormatting sqref="N63">
    <cfRule type="cellIs" dxfId="1461" priority="489" operator="notEqual">
      <formula>$A65</formula>
    </cfRule>
  </conditionalFormatting>
  <conditionalFormatting sqref="N64:N66">
    <cfRule type="cellIs" dxfId="1460" priority="488" operator="notEqual">
      <formula>$A67</formula>
    </cfRule>
  </conditionalFormatting>
  <conditionalFormatting sqref="N34">
    <cfRule type="cellIs" dxfId="1459" priority="485" operator="notEqual">
      <formula>$A34</formula>
    </cfRule>
  </conditionalFormatting>
  <conditionalFormatting sqref="N33">
    <cfRule type="cellIs" dxfId="1458" priority="484" operator="notEqual">
      <formula>$A33</formula>
    </cfRule>
  </conditionalFormatting>
  <conditionalFormatting sqref="N22">
    <cfRule type="cellIs" dxfId="1457" priority="483" operator="notEqual">
      <formula>$A22</formula>
    </cfRule>
  </conditionalFormatting>
  <conditionalFormatting sqref="N22">
    <cfRule type="cellIs" dxfId="1456" priority="482" operator="notEqual">
      <formula>$A22</formula>
    </cfRule>
  </conditionalFormatting>
  <conditionalFormatting sqref="N29">
    <cfRule type="cellIs" dxfId="1455" priority="481" operator="notEqual">
      <formula>$A29</formula>
    </cfRule>
  </conditionalFormatting>
  <conditionalFormatting sqref="N10 N12">
    <cfRule type="cellIs" dxfId="1454" priority="480" operator="notEqual">
      <formula>$A10</formula>
    </cfRule>
  </conditionalFormatting>
  <conditionalFormatting sqref="N42">
    <cfRule type="cellIs" dxfId="1453" priority="479" operator="notEqual">
      <formula>$A42</formula>
    </cfRule>
  </conditionalFormatting>
  <conditionalFormatting sqref="T20 T63:T66">
    <cfRule type="cellIs" dxfId="1452" priority="477" operator="notEqual">
      <formula>$A20</formula>
    </cfRule>
  </conditionalFormatting>
  <conditionalFormatting sqref="T40">
    <cfRule type="cellIs" dxfId="1451" priority="476" operator="notEqual">
      <formula>#REF!</formula>
    </cfRule>
  </conditionalFormatting>
  <conditionalFormatting sqref="T63:T66">
    <cfRule type="cellIs" dxfId="1450" priority="475" operator="notEqual">
      <formula>$A63</formula>
    </cfRule>
  </conditionalFormatting>
  <conditionalFormatting sqref="T41">
    <cfRule type="cellIs" dxfId="1449" priority="474" operator="notEqual">
      <formula>$A41</formula>
    </cfRule>
  </conditionalFormatting>
  <conditionalFormatting sqref="T41">
    <cfRule type="cellIs" dxfId="1448" priority="473" operator="notEqual">
      <formula>$A41</formula>
    </cfRule>
  </conditionalFormatting>
  <conditionalFormatting sqref="T63">
    <cfRule type="cellIs" dxfId="1447" priority="472" operator="notEqual">
      <formula>$A65</formula>
    </cfRule>
  </conditionalFormatting>
  <conditionalFormatting sqref="T16:T19 T14">
    <cfRule type="cellIs" dxfId="1446" priority="470" operator="notEqual">
      <formula>$A14</formula>
    </cfRule>
  </conditionalFormatting>
  <conditionalFormatting sqref="T15:T17">
    <cfRule type="cellIs" dxfId="1445" priority="469" operator="notEqual">
      <formula>$A15</formula>
    </cfRule>
  </conditionalFormatting>
  <conditionalFormatting sqref="T8">
    <cfRule type="cellIs" dxfId="1444" priority="468" operator="notEqual">
      <formula>$A8</formula>
    </cfRule>
  </conditionalFormatting>
  <conditionalFormatting sqref="T20">
    <cfRule type="cellIs" dxfId="1443" priority="467" operator="notEqual">
      <formula>$A20</formula>
    </cfRule>
  </conditionalFormatting>
  <conditionalFormatting sqref="T20">
    <cfRule type="cellIs" dxfId="1442" priority="466" operator="notEqual">
      <formula>$A20</formula>
    </cfRule>
  </conditionalFormatting>
  <conditionalFormatting sqref="T64:T66">
    <cfRule type="cellIs" dxfId="1441" priority="463" operator="notEqual">
      <formula>$A67</formula>
    </cfRule>
  </conditionalFormatting>
  <conditionalFormatting sqref="T63">
    <cfRule type="cellIs" dxfId="1440" priority="462" operator="notEqual">
      <formula>$A65</formula>
    </cfRule>
  </conditionalFormatting>
  <conditionalFormatting sqref="T64:T66">
    <cfRule type="cellIs" dxfId="1439" priority="461" operator="notEqual">
      <formula>$A67</formula>
    </cfRule>
  </conditionalFormatting>
  <conditionalFormatting sqref="T34">
    <cfRule type="cellIs" dxfId="1438" priority="458" operator="notEqual">
      <formula>$A34</formula>
    </cfRule>
  </conditionalFormatting>
  <conditionalFormatting sqref="T33">
    <cfRule type="cellIs" dxfId="1437" priority="457" operator="notEqual">
      <formula>$A33</formula>
    </cfRule>
  </conditionalFormatting>
  <conditionalFormatting sqref="T22">
    <cfRule type="cellIs" dxfId="1436" priority="456" operator="notEqual">
      <formula>$A22</formula>
    </cfRule>
  </conditionalFormatting>
  <conditionalFormatting sqref="T22">
    <cfRule type="cellIs" dxfId="1435" priority="455" operator="notEqual">
      <formula>$A22</formula>
    </cfRule>
  </conditionalFormatting>
  <conditionalFormatting sqref="T9">
    <cfRule type="cellIs" dxfId="1434" priority="453" operator="notEqual">
      <formula>$A9</formula>
    </cfRule>
  </conditionalFormatting>
  <conditionalFormatting sqref="T29">
    <cfRule type="cellIs" dxfId="1433" priority="452" operator="notEqual">
      <formula>$A29</formula>
    </cfRule>
  </conditionalFormatting>
  <conditionalFormatting sqref="T10 T12">
    <cfRule type="cellIs" dxfId="1432" priority="451" operator="notEqual">
      <formula>$A10</formula>
    </cfRule>
  </conditionalFormatting>
  <conditionalFormatting sqref="T11">
    <cfRule type="cellIs" dxfId="1431" priority="450" operator="equal">
      <formula>""</formula>
    </cfRule>
  </conditionalFormatting>
  <conditionalFormatting sqref="T11">
    <cfRule type="cellIs" dxfId="1430" priority="449" operator="notEqual">
      <formula>$A11</formula>
    </cfRule>
  </conditionalFormatting>
  <conditionalFormatting sqref="T11">
    <cfRule type="cellIs" dxfId="1429" priority="448" operator="equal">
      <formula>""</formula>
    </cfRule>
  </conditionalFormatting>
  <conditionalFormatting sqref="T11">
    <cfRule type="cellIs" dxfId="1428" priority="447" operator="notEqual">
      <formula>$A11</formula>
    </cfRule>
  </conditionalFormatting>
  <conditionalFormatting sqref="T42">
    <cfRule type="cellIs" dxfId="1427" priority="446" operator="notEqual">
      <formula>$A42</formula>
    </cfRule>
  </conditionalFormatting>
  <conditionalFormatting sqref="AE63:AE66 AE20 X20:AA20 X63:AA66">
    <cfRule type="cellIs" dxfId="1426" priority="445" operator="notEqual">
      <formula>$A20</formula>
    </cfRule>
  </conditionalFormatting>
  <conditionalFormatting sqref="AE40 X40:AA40">
    <cfRule type="cellIs" dxfId="1425" priority="444" operator="notEqual">
      <formula>#REF!</formula>
    </cfRule>
  </conditionalFormatting>
  <conditionalFormatting sqref="AE63:AE66 X63:AA66">
    <cfRule type="cellIs" dxfId="1424" priority="443" operator="notEqual">
      <formula>$A63</formula>
    </cfRule>
  </conditionalFormatting>
  <conditionalFormatting sqref="AE41 X41:AA41">
    <cfRule type="cellIs" dxfId="1423" priority="442" operator="notEqual">
      <formula>$A41</formula>
    </cfRule>
  </conditionalFormatting>
  <conditionalFormatting sqref="AE41 X41:AA41">
    <cfRule type="cellIs" dxfId="1422" priority="441" operator="notEqual">
      <formula>$A41</formula>
    </cfRule>
  </conditionalFormatting>
  <conditionalFormatting sqref="AE63 X63:AA63">
    <cfRule type="cellIs" dxfId="1421" priority="440" operator="notEqual">
      <formula>$A65</formula>
    </cfRule>
  </conditionalFormatting>
  <conditionalFormatting sqref="AE14 AE16:AE19 X16:AA19 X14:AA14">
    <cfRule type="cellIs" dxfId="1420" priority="438" operator="notEqual">
      <formula>$A14</formula>
    </cfRule>
  </conditionalFormatting>
  <conditionalFormatting sqref="AE15:AE17 X15:AA17">
    <cfRule type="cellIs" dxfId="1419" priority="437" operator="notEqual">
      <formula>$A15</formula>
    </cfRule>
  </conditionalFormatting>
  <conditionalFormatting sqref="AE20 X20:AA20">
    <cfRule type="cellIs" dxfId="1418" priority="436" operator="notEqual">
      <formula>$A20</formula>
    </cfRule>
  </conditionalFormatting>
  <conditionalFormatting sqref="AE20 X20:AA20">
    <cfRule type="cellIs" dxfId="1417" priority="435" operator="notEqual">
      <formula>$A20</formula>
    </cfRule>
  </conditionalFormatting>
  <conditionalFormatting sqref="AE21 X21:AA21">
    <cfRule type="cellIs" dxfId="1416" priority="434" operator="notEqual">
      <formula>$A21</formula>
    </cfRule>
  </conditionalFormatting>
  <conditionalFormatting sqref="AE21 X21:AA21">
    <cfRule type="cellIs" dxfId="1415" priority="433" operator="notEqual">
      <formula>$A21</formula>
    </cfRule>
  </conditionalFormatting>
  <conditionalFormatting sqref="AE64:AE66 X64:AA66">
    <cfRule type="cellIs" dxfId="1414" priority="432" operator="notEqual">
      <formula>$A67</formula>
    </cfRule>
  </conditionalFormatting>
  <conditionalFormatting sqref="AE63 X63:AA63">
    <cfRule type="cellIs" dxfId="1413" priority="431" operator="notEqual">
      <formula>$A65</formula>
    </cfRule>
  </conditionalFormatting>
  <conditionalFormatting sqref="AE64:AE66 X64:AA66">
    <cfRule type="cellIs" dxfId="1412" priority="430" operator="notEqual">
      <formula>$A67</formula>
    </cfRule>
  </conditionalFormatting>
  <conditionalFormatting sqref="AE34 X34:AA34">
    <cfRule type="cellIs" dxfId="1411" priority="427" operator="notEqual">
      <formula>$A34</formula>
    </cfRule>
  </conditionalFormatting>
  <conditionalFormatting sqref="AE33 X33:AA33">
    <cfRule type="cellIs" dxfId="1410" priority="426" operator="notEqual">
      <formula>$A33</formula>
    </cfRule>
  </conditionalFormatting>
  <conditionalFormatting sqref="AE22 X22:AA22">
    <cfRule type="cellIs" dxfId="1409" priority="425" operator="notEqual">
      <formula>$A22</formula>
    </cfRule>
  </conditionalFormatting>
  <conditionalFormatting sqref="AE22 X22:AA22">
    <cfRule type="cellIs" dxfId="1408" priority="424" operator="notEqual">
      <formula>$A22</formula>
    </cfRule>
  </conditionalFormatting>
  <conditionalFormatting sqref="AE9 X9:AA9">
    <cfRule type="cellIs" dxfId="1407" priority="422" operator="notEqual">
      <formula>$A9</formula>
    </cfRule>
  </conditionalFormatting>
  <conditionalFormatting sqref="AE29 X29:AA29">
    <cfRule type="cellIs" dxfId="1406" priority="421" operator="notEqual">
      <formula>$A29</formula>
    </cfRule>
  </conditionalFormatting>
  <conditionalFormatting sqref="AE12 AE10 X10:AA10 X12:AA12">
    <cfRule type="cellIs" dxfId="1405" priority="420" operator="notEqual">
      <formula>$A10</formula>
    </cfRule>
  </conditionalFormatting>
  <conditionalFormatting sqref="AE11 X11:AA11">
    <cfRule type="cellIs" dxfId="1404" priority="419" operator="equal">
      <formula>""</formula>
    </cfRule>
  </conditionalFormatting>
  <conditionalFormatting sqref="AE11 X11:AA11">
    <cfRule type="cellIs" dxfId="1403" priority="418" operator="notEqual">
      <formula>$A11</formula>
    </cfRule>
  </conditionalFormatting>
  <conditionalFormatting sqref="AE11 X11:AA11">
    <cfRule type="cellIs" dxfId="1402" priority="417" operator="equal">
      <formula>""</formula>
    </cfRule>
  </conditionalFormatting>
  <conditionalFormatting sqref="AE11 X11:AA11">
    <cfRule type="cellIs" dxfId="1401" priority="416" operator="notEqual">
      <formula>$A11</formula>
    </cfRule>
  </conditionalFormatting>
  <conditionalFormatting sqref="AE8 X8:Z8">
    <cfRule type="cellIs" dxfId="1400" priority="415" operator="notEqual">
      <formula>$A8</formula>
    </cfRule>
  </conditionalFormatting>
  <conditionalFormatting sqref="X42:AA42">
    <cfRule type="cellIs" dxfId="1399" priority="414" operator="notEqual">
      <formula>$A42</formula>
    </cfRule>
  </conditionalFormatting>
  <conditionalFormatting sqref="T21:U21">
    <cfRule type="cellIs" dxfId="1398" priority="413" operator="notEqual">
      <formula>$A21</formula>
    </cfRule>
  </conditionalFormatting>
  <conditionalFormatting sqref="T21:U21">
    <cfRule type="cellIs" dxfId="1397" priority="412" operator="notEqual">
      <formula>$A21</formula>
    </cfRule>
  </conditionalFormatting>
  <conditionalFormatting sqref="A26:A28 D26:E28">
    <cfRule type="cellIs" dxfId="1396" priority="410" operator="equal">
      <formula>""</formula>
    </cfRule>
  </conditionalFormatting>
  <conditionalFormatting sqref="F26:G28">
    <cfRule type="cellIs" dxfId="1395" priority="409" operator="notEqual">
      <formula>$A26</formula>
    </cfRule>
  </conditionalFormatting>
  <conditionalFormatting sqref="H26:H28 AE26:AE28">
    <cfRule type="cellIs" dxfId="1394" priority="408" operator="notEqual">
      <formula>$A26</formula>
    </cfRule>
  </conditionalFormatting>
  <conditionalFormatting sqref="H63:H66">
    <cfRule type="cellIs" dxfId="1393" priority="407" operator="notEqual">
      <formula>$A63</formula>
    </cfRule>
  </conditionalFormatting>
  <conditionalFormatting sqref="H15:H17">
    <cfRule type="cellIs" dxfId="1392" priority="406" operator="notEqual">
      <formula>$A15</formula>
    </cfRule>
  </conditionalFormatting>
  <conditionalFormatting sqref="H64:H66">
    <cfRule type="cellIs" dxfId="1391" priority="405" operator="notEqual">
      <formula>$A67</formula>
    </cfRule>
  </conditionalFormatting>
  <conditionalFormatting sqref="H64:H66">
    <cfRule type="cellIs" dxfId="1390" priority="404" operator="notEqual">
      <formula>$A67</formula>
    </cfRule>
  </conditionalFormatting>
  <conditionalFormatting sqref="AB13">
    <cfRule type="cellIs" dxfId="1389" priority="403" operator="notEqual">
      <formula>$A13</formula>
    </cfRule>
  </conditionalFormatting>
  <conditionalFormatting sqref="AB13">
    <cfRule type="cellIs" dxfId="1388" priority="402" operator="notEqual">
      <formula>$A13</formula>
    </cfRule>
  </conditionalFormatting>
  <conditionalFormatting sqref="AB63:AB66 AB20">
    <cfRule type="cellIs" dxfId="1387" priority="400" operator="notEqual">
      <formula>$A20</formula>
    </cfRule>
  </conditionalFormatting>
  <conditionalFormatting sqref="AB40">
    <cfRule type="cellIs" dxfId="1386" priority="399" operator="notEqual">
      <formula>#REF!</formula>
    </cfRule>
  </conditionalFormatting>
  <conditionalFormatting sqref="AB63:AB66">
    <cfRule type="cellIs" dxfId="1385" priority="398" operator="notEqual">
      <formula>$A63</formula>
    </cfRule>
  </conditionalFormatting>
  <conditionalFormatting sqref="AB41">
    <cfRule type="cellIs" dxfId="1384" priority="397" operator="notEqual">
      <formula>$A41</formula>
    </cfRule>
  </conditionalFormatting>
  <conditionalFormatting sqref="AB41">
    <cfRule type="cellIs" dxfId="1383" priority="396" operator="notEqual">
      <formula>$A41</formula>
    </cfRule>
  </conditionalFormatting>
  <conditionalFormatting sqref="AB63">
    <cfRule type="cellIs" dxfId="1382" priority="395" operator="notEqual">
      <formula>$A65</formula>
    </cfRule>
  </conditionalFormatting>
  <conditionalFormatting sqref="AB14 AB16:AB19">
    <cfRule type="cellIs" dxfId="1381" priority="394" operator="notEqual">
      <formula>$A14</formula>
    </cfRule>
  </conditionalFormatting>
  <conditionalFormatting sqref="AB15:AB17">
    <cfRule type="cellIs" dxfId="1380" priority="393" operator="notEqual">
      <formula>$A15</formula>
    </cfRule>
  </conditionalFormatting>
  <conditionalFormatting sqref="AB20">
    <cfRule type="cellIs" dxfId="1379" priority="392" operator="notEqual">
      <formula>$A20</formula>
    </cfRule>
  </conditionalFormatting>
  <conditionalFormatting sqref="AB20">
    <cfRule type="cellIs" dxfId="1378" priority="391" operator="notEqual">
      <formula>$A20</formula>
    </cfRule>
  </conditionalFormatting>
  <conditionalFormatting sqref="AB21">
    <cfRule type="cellIs" dxfId="1377" priority="390" operator="notEqual">
      <formula>$A21</formula>
    </cfRule>
  </conditionalFormatting>
  <conditionalFormatting sqref="AB21">
    <cfRule type="cellIs" dxfId="1376" priority="389" operator="notEqual">
      <formula>$A21</formula>
    </cfRule>
  </conditionalFormatting>
  <conditionalFormatting sqref="AB64:AB66">
    <cfRule type="cellIs" dxfId="1375" priority="388" operator="notEqual">
      <formula>$A67</formula>
    </cfRule>
  </conditionalFormatting>
  <conditionalFormatting sqref="AB63">
    <cfRule type="cellIs" dxfId="1374" priority="387" operator="notEqual">
      <formula>$A65</formula>
    </cfRule>
  </conditionalFormatting>
  <conditionalFormatting sqref="AB64:AB66">
    <cfRule type="cellIs" dxfId="1373" priority="386" operator="notEqual">
      <formula>$A67</formula>
    </cfRule>
  </conditionalFormatting>
  <conditionalFormatting sqref="AB34">
    <cfRule type="cellIs" dxfId="1372" priority="383" operator="notEqual">
      <formula>$A34</formula>
    </cfRule>
  </conditionalFormatting>
  <conditionalFormatting sqref="AB33">
    <cfRule type="cellIs" dxfId="1371" priority="382" operator="notEqual">
      <formula>$A33</formula>
    </cfRule>
  </conditionalFormatting>
  <conditionalFormatting sqref="AB22">
    <cfRule type="cellIs" dxfId="1370" priority="381" operator="notEqual">
      <formula>$A22</formula>
    </cfRule>
  </conditionalFormatting>
  <conditionalFormatting sqref="AB22">
    <cfRule type="cellIs" dxfId="1369" priority="380" operator="notEqual">
      <formula>$A22</formula>
    </cfRule>
  </conditionalFormatting>
  <conditionalFormatting sqref="AB9">
    <cfRule type="cellIs" dxfId="1368" priority="379" operator="notEqual">
      <formula>$A9</formula>
    </cfRule>
  </conditionalFormatting>
  <conditionalFormatting sqref="AB29">
    <cfRule type="cellIs" dxfId="1367" priority="378" operator="notEqual">
      <formula>$A29</formula>
    </cfRule>
  </conditionalFormatting>
  <conditionalFormatting sqref="AB12 AB10">
    <cfRule type="cellIs" dxfId="1366" priority="377" operator="notEqual">
      <formula>$A10</formula>
    </cfRule>
  </conditionalFormatting>
  <conditionalFormatting sqref="AB11">
    <cfRule type="cellIs" dxfId="1365" priority="376" operator="equal">
      <formula>""</formula>
    </cfRule>
  </conditionalFormatting>
  <conditionalFormatting sqref="AB11">
    <cfRule type="cellIs" dxfId="1364" priority="375" operator="notEqual">
      <formula>$A11</formula>
    </cfRule>
  </conditionalFormatting>
  <conditionalFormatting sqref="AB11">
    <cfRule type="cellIs" dxfId="1363" priority="374" operator="equal">
      <formula>""</formula>
    </cfRule>
  </conditionalFormatting>
  <conditionalFormatting sqref="AB11">
    <cfRule type="cellIs" dxfId="1362" priority="373" operator="notEqual">
      <formula>$A11</formula>
    </cfRule>
  </conditionalFormatting>
  <conditionalFormatting sqref="AB8">
    <cfRule type="cellIs" dxfId="1361" priority="372" operator="notEqual">
      <formula>$A8</formula>
    </cfRule>
  </conditionalFormatting>
  <conditionalFormatting sqref="AB42">
    <cfRule type="cellIs" dxfId="1360" priority="371" operator="notEqual">
      <formula>$A42</formula>
    </cfRule>
  </conditionalFormatting>
  <conditionalFormatting sqref="AB26:AB28">
    <cfRule type="cellIs" dxfId="1359" priority="370" operator="notEqual">
      <formula>$A26</formula>
    </cfRule>
  </conditionalFormatting>
  <conditionalFormatting sqref="D48:E48">
    <cfRule type="cellIs" dxfId="1358" priority="369" operator="equal">
      <formula>""</formula>
    </cfRule>
  </conditionalFormatting>
  <conditionalFormatting sqref="D74:E74">
    <cfRule type="cellIs" dxfId="1357" priority="368" operator="equal">
      <formula>""</formula>
    </cfRule>
  </conditionalFormatting>
  <conditionalFormatting sqref="D84:E84">
    <cfRule type="cellIs" dxfId="1356" priority="367" operator="equal">
      <formula>""</formula>
    </cfRule>
  </conditionalFormatting>
  <conditionalFormatting sqref="D95:E95">
    <cfRule type="cellIs" dxfId="1355" priority="366" operator="equal">
      <formula>""</formula>
    </cfRule>
  </conditionalFormatting>
  <conditionalFormatting sqref="AC13">
    <cfRule type="cellIs" dxfId="1354" priority="365" operator="notEqual">
      <formula>$A13</formula>
    </cfRule>
  </conditionalFormatting>
  <conditionalFormatting sqref="AC13">
    <cfRule type="cellIs" dxfId="1353" priority="364" operator="notEqual">
      <formula>$A13</formula>
    </cfRule>
  </conditionalFormatting>
  <conditionalFormatting sqref="AC63:AC66 AC20 AC25">
    <cfRule type="cellIs" dxfId="1352" priority="362" operator="notEqual">
      <formula>$A20</formula>
    </cfRule>
  </conditionalFormatting>
  <conditionalFormatting sqref="AC40">
    <cfRule type="cellIs" dxfId="1351" priority="361" operator="notEqual">
      <formula>#REF!</formula>
    </cfRule>
  </conditionalFormatting>
  <conditionalFormatting sqref="AC63:AC66">
    <cfRule type="cellIs" dxfId="1350" priority="360" operator="notEqual">
      <formula>$A63</formula>
    </cfRule>
  </conditionalFormatting>
  <conditionalFormatting sqref="AC41">
    <cfRule type="cellIs" dxfId="1349" priority="359" operator="notEqual">
      <formula>$A41</formula>
    </cfRule>
  </conditionalFormatting>
  <conditionalFormatting sqref="AC41">
    <cfRule type="cellIs" dxfId="1348" priority="358" operator="notEqual">
      <formula>$A41</formula>
    </cfRule>
  </conditionalFormatting>
  <conditionalFormatting sqref="AC63">
    <cfRule type="cellIs" dxfId="1347" priority="357" operator="notEqual">
      <formula>$A65</formula>
    </cfRule>
  </conditionalFormatting>
  <conditionalFormatting sqref="AC14 AC16:AC19">
    <cfRule type="cellIs" dxfId="1346" priority="356" operator="notEqual">
      <formula>$A14</formula>
    </cfRule>
  </conditionalFormatting>
  <conditionalFormatting sqref="AC15:AC17">
    <cfRule type="cellIs" dxfId="1345" priority="355" operator="notEqual">
      <formula>$A15</formula>
    </cfRule>
  </conditionalFormatting>
  <conditionalFormatting sqref="AC20">
    <cfRule type="cellIs" dxfId="1344" priority="354" operator="notEqual">
      <formula>$A20</formula>
    </cfRule>
  </conditionalFormatting>
  <conditionalFormatting sqref="AC20">
    <cfRule type="cellIs" dxfId="1343" priority="353" operator="notEqual">
      <formula>$A20</formula>
    </cfRule>
  </conditionalFormatting>
  <conditionalFormatting sqref="AC21">
    <cfRule type="cellIs" dxfId="1342" priority="352" operator="notEqual">
      <formula>$A21</formula>
    </cfRule>
  </conditionalFormatting>
  <conditionalFormatting sqref="AC21">
    <cfRule type="cellIs" dxfId="1341" priority="351" operator="notEqual">
      <formula>$A21</formula>
    </cfRule>
  </conditionalFormatting>
  <conditionalFormatting sqref="AC64:AC66">
    <cfRule type="cellIs" dxfId="1340" priority="350" operator="notEqual">
      <formula>$A67</formula>
    </cfRule>
  </conditionalFormatting>
  <conditionalFormatting sqref="AC63">
    <cfRule type="cellIs" dxfId="1339" priority="349" operator="notEqual">
      <formula>$A65</formula>
    </cfRule>
  </conditionalFormatting>
  <conditionalFormatting sqref="AC64:AC66">
    <cfRule type="cellIs" dxfId="1338" priority="348" operator="notEqual">
      <formula>$A67</formula>
    </cfRule>
  </conditionalFormatting>
  <conditionalFormatting sqref="AC34">
    <cfRule type="cellIs" dxfId="1337" priority="345" operator="notEqual">
      <formula>$A34</formula>
    </cfRule>
  </conditionalFormatting>
  <conditionalFormatting sqref="AC33">
    <cfRule type="cellIs" dxfId="1336" priority="344" operator="notEqual">
      <formula>$A33</formula>
    </cfRule>
  </conditionalFormatting>
  <conditionalFormatting sqref="AC22">
    <cfRule type="cellIs" dxfId="1335" priority="343" operator="notEqual">
      <formula>$A22</formula>
    </cfRule>
  </conditionalFormatting>
  <conditionalFormatting sqref="AC22">
    <cfRule type="cellIs" dxfId="1334" priority="342" operator="notEqual">
      <formula>$A22</formula>
    </cfRule>
  </conditionalFormatting>
  <conditionalFormatting sqref="AC9">
    <cfRule type="cellIs" dxfId="1333" priority="341" operator="notEqual">
      <formula>$A9</formula>
    </cfRule>
  </conditionalFormatting>
  <conditionalFormatting sqref="AC29">
    <cfRule type="cellIs" dxfId="1332" priority="340" operator="notEqual">
      <formula>$A29</formula>
    </cfRule>
  </conditionalFormatting>
  <conditionalFormatting sqref="AC12 AC10">
    <cfRule type="cellIs" dxfId="1331" priority="339" operator="notEqual">
      <formula>$A10</formula>
    </cfRule>
  </conditionalFormatting>
  <conditionalFormatting sqref="AC11">
    <cfRule type="cellIs" dxfId="1330" priority="338" operator="equal">
      <formula>""</formula>
    </cfRule>
  </conditionalFormatting>
  <conditionalFormatting sqref="AC11">
    <cfRule type="cellIs" dxfId="1329" priority="337" operator="notEqual">
      <formula>$A11</formula>
    </cfRule>
  </conditionalFormatting>
  <conditionalFormatting sqref="AC11">
    <cfRule type="cellIs" dxfId="1328" priority="336" operator="equal">
      <formula>""</formula>
    </cfRule>
  </conditionalFormatting>
  <conditionalFormatting sqref="AC11">
    <cfRule type="cellIs" dxfId="1327" priority="335" operator="notEqual">
      <formula>$A11</formula>
    </cfRule>
  </conditionalFormatting>
  <conditionalFormatting sqref="AC8">
    <cfRule type="cellIs" dxfId="1326" priority="334" operator="notEqual">
      <formula>$A8</formula>
    </cfRule>
  </conditionalFormatting>
  <conditionalFormatting sqref="AC42">
    <cfRule type="cellIs" dxfId="1325" priority="333" operator="notEqual">
      <formula>$A42</formula>
    </cfRule>
  </conditionalFormatting>
  <conditionalFormatting sqref="AC26:AC28">
    <cfRule type="cellIs" dxfId="1324" priority="332" operator="notEqual">
      <formula>$A26</formula>
    </cfRule>
  </conditionalFormatting>
  <conditionalFormatting sqref="AD13">
    <cfRule type="cellIs" dxfId="1323" priority="331" operator="notEqual">
      <formula>$A13</formula>
    </cfRule>
  </conditionalFormatting>
  <conditionalFormatting sqref="AD13">
    <cfRule type="cellIs" dxfId="1322" priority="330" operator="notEqual">
      <formula>$A13</formula>
    </cfRule>
  </conditionalFormatting>
  <conditionalFormatting sqref="AD63:AD66 AD20 AD25">
    <cfRule type="cellIs" dxfId="1321" priority="328" operator="notEqual">
      <formula>$A20</formula>
    </cfRule>
  </conditionalFormatting>
  <conditionalFormatting sqref="AD40">
    <cfRule type="cellIs" dxfId="1320" priority="327" operator="notEqual">
      <formula>#REF!</formula>
    </cfRule>
  </conditionalFormatting>
  <conditionalFormatting sqref="AD63:AD66">
    <cfRule type="cellIs" dxfId="1319" priority="326" operator="notEqual">
      <formula>$A63</formula>
    </cfRule>
  </conditionalFormatting>
  <conditionalFormatting sqref="AD41">
    <cfRule type="cellIs" dxfId="1318" priority="325" operator="notEqual">
      <formula>$A41</formula>
    </cfRule>
  </conditionalFormatting>
  <conditionalFormatting sqref="AD41">
    <cfRule type="cellIs" dxfId="1317" priority="324" operator="notEqual">
      <formula>$A41</formula>
    </cfRule>
  </conditionalFormatting>
  <conditionalFormatting sqref="AD63">
    <cfRule type="cellIs" dxfId="1316" priority="323" operator="notEqual">
      <formula>$A65</formula>
    </cfRule>
  </conditionalFormatting>
  <conditionalFormatting sqref="AD14 AD16:AD19">
    <cfRule type="cellIs" dxfId="1315" priority="322" operator="notEqual">
      <formula>$A14</formula>
    </cfRule>
  </conditionalFormatting>
  <conditionalFormatting sqref="AD15:AD17">
    <cfRule type="cellIs" dxfId="1314" priority="321" operator="notEqual">
      <formula>$A15</formula>
    </cfRule>
  </conditionalFormatting>
  <conditionalFormatting sqref="AD20">
    <cfRule type="cellIs" dxfId="1313" priority="320" operator="notEqual">
      <formula>$A20</formula>
    </cfRule>
  </conditionalFormatting>
  <conditionalFormatting sqref="AD20">
    <cfRule type="cellIs" dxfId="1312" priority="319" operator="notEqual">
      <formula>$A20</formula>
    </cfRule>
  </conditionalFormatting>
  <conditionalFormatting sqref="AD21">
    <cfRule type="cellIs" dxfId="1311" priority="318" operator="notEqual">
      <formula>$A21</formula>
    </cfRule>
  </conditionalFormatting>
  <conditionalFormatting sqref="AD21">
    <cfRule type="cellIs" dxfId="1310" priority="317" operator="notEqual">
      <formula>$A21</formula>
    </cfRule>
  </conditionalFormatting>
  <conditionalFormatting sqref="AD64:AD66">
    <cfRule type="cellIs" dxfId="1309" priority="316" operator="notEqual">
      <formula>$A67</formula>
    </cfRule>
  </conditionalFormatting>
  <conditionalFormatting sqref="AD63">
    <cfRule type="cellIs" dxfId="1308" priority="315" operator="notEqual">
      <formula>$A65</formula>
    </cfRule>
  </conditionalFormatting>
  <conditionalFormatting sqref="AD64:AD66">
    <cfRule type="cellIs" dxfId="1307" priority="314" operator="notEqual">
      <formula>$A67</formula>
    </cfRule>
  </conditionalFormatting>
  <conditionalFormatting sqref="AD34">
    <cfRule type="cellIs" dxfId="1306" priority="311" operator="notEqual">
      <formula>$A34</formula>
    </cfRule>
  </conditionalFormatting>
  <conditionalFormatting sqref="AD33">
    <cfRule type="cellIs" dxfId="1305" priority="310" operator="notEqual">
      <formula>$A33</formula>
    </cfRule>
  </conditionalFormatting>
  <conditionalFormatting sqref="AD22">
    <cfRule type="cellIs" dxfId="1304" priority="309" operator="notEqual">
      <formula>$A22</formula>
    </cfRule>
  </conditionalFormatting>
  <conditionalFormatting sqref="AD22">
    <cfRule type="cellIs" dxfId="1303" priority="308" operator="notEqual">
      <formula>$A22</formula>
    </cfRule>
  </conditionalFormatting>
  <conditionalFormatting sqref="AD9">
    <cfRule type="cellIs" dxfId="1302" priority="307" operator="notEqual">
      <formula>$A9</formula>
    </cfRule>
  </conditionalFormatting>
  <conditionalFormatting sqref="AD29">
    <cfRule type="cellIs" dxfId="1301" priority="306" operator="notEqual">
      <formula>$A29</formula>
    </cfRule>
  </conditionalFormatting>
  <conditionalFormatting sqref="AD12 AD10">
    <cfRule type="cellIs" dxfId="1300" priority="305" operator="notEqual">
      <formula>$A10</formula>
    </cfRule>
  </conditionalFormatting>
  <conditionalFormatting sqref="AD11">
    <cfRule type="cellIs" dxfId="1299" priority="304" operator="equal">
      <formula>""</formula>
    </cfRule>
  </conditionalFormatting>
  <conditionalFormatting sqref="AD11">
    <cfRule type="cellIs" dxfId="1298" priority="303" operator="notEqual">
      <formula>$A11</formula>
    </cfRule>
  </conditionalFormatting>
  <conditionalFormatting sqref="AD11">
    <cfRule type="cellIs" dxfId="1297" priority="302" operator="equal">
      <formula>""</formula>
    </cfRule>
  </conditionalFormatting>
  <conditionalFormatting sqref="AD11">
    <cfRule type="cellIs" dxfId="1296" priority="301" operator="notEqual">
      <formula>$A11</formula>
    </cfRule>
  </conditionalFormatting>
  <conditionalFormatting sqref="AD8">
    <cfRule type="cellIs" dxfId="1295" priority="300" operator="notEqual">
      <formula>$A8</formula>
    </cfRule>
  </conditionalFormatting>
  <conditionalFormatting sqref="AD42:AG42">
    <cfRule type="cellIs" dxfId="1294" priority="299" operator="notEqual">
      <formula>$A42</formula>
    </cfRule>
  </conditionalFormatting>
  <conditionalFormatting sqref="AD26:AD28">
    <cfRule type="cellIs" dxfId="1293" priority="298" operator="notEqual">
      <formula>$A26</formula>
    </cfRule>
  </conditionalFormatting>
  <conditionalFormatting sqref="AF13">
    <cfRule type="cellIs" dxfId="1292" priority="297" operator="notEqual">
      <formula>$A13</formula>
    </cfRule>
  </conditionalFormatting>
  <conditionalFormatting sqref="AF13">
    <cfRule type="cellIs" dxfId="1291" priority="296" operator="notEqual">
      <formula>$A13</formula>
    </cfRule>
  </conditionalFormatting>
  <conditionalFormatting sqref="AF63:AF66 AF20">
    <cfRule type="cellIs" dxfId="1290" priority="294" operator="notEqual">
      <formula>$A20</formula>
    </cfRule>
  </conditionalFormatting>
  <conditionalFormatting sqref="AF40">
    <cfRule type="cellIs" dxfId="1289" priority="293" operator="notEqual">
      <formula>#REF!</formula>
    </cfRule>
  </conditionalFormatting>
  <conditionalFormatting sqref="AF63:AF66">
    <cfRule type="cellIs" dxfId="1288" priority="292" operator="notEqual">
      <formula>$A63</formula>
    </cfRule>
  </conditionalFormatting>
  <conditionalFormatting sqref="AF41">
    <cfRule type="cellIs" dxfId="1287" priority="291" operator="notEqual">
      <formula>$A41</formula>
    </cfRule>
  </conditionalFormatting>
  <conditionalFormatting sqref="AF41">
    <cfRule type="cellIs" dxfId="1286" priority="290" operator="notEqual">
      <formula>$A41</formula>
    </cfRule>
  </conditionalFormatting>
  <conditionalFormatting sqref="AF63">
    <cfRule type="cellIs" dxfId="1285" priority="289" operator="notEqual">
      <formula>$A65</formula>
    </cfRule>
  </conditionalFormatting>
  <conditionalFormatting sqref="AF14 AF16:AF19">
    <cfRule type="cellIs" dxfId="1284" priority="288" operator="notEqual">
      <formula>$A14</formula>
    </cfRule>
  </conditionalFormatting>
  <conditionalFormatting sqref="AF15:AF17">
    <cfRule type="cellIs" dxfId="1283" priority="287" operator="notEqual">
      <formula>$A15</formula>
    </cfRule>
  </conditionalFormatting>
  <conditionalFormatting sqref="AF20">
    <cfRule type="cellIs" dxfId="1282" priority="286" operator="notEqual">
      <formula>$A20</formula>
    </cfRule>
  </conditionalFormatting>
  <conditionalFormatting sqref="AF20">
    <cfRule type="cellIs" dxfId="1281" priority="285" operator="notEqual">
      <formula>$A20</formula>
    </cfRule>
  </conditionalFormatting>
  <conditionalFormatting sqref="AF21">
    <cfRule type="cellIs" dxfId="1280" priority="284" operator="notEqual">
      <formula>$A21</formula>
    </cfRule>
  </conditionalFormatting>
  <conditionalFormatting sqref="AF21">
    <cfRule type="cellIs" dxfId="1279" priority="283" operator="notEqual">
      <formula>$A21</formula>
    </cfRule>
  </conditionalFormatting>
  <conditionalFormatting sqref="AF64:AF66">
    <cfRule type="cellIs" dxfId="1278" priority="282" operator="notEqual">
      <formula>$A67</formula>
    </cfRule>
  </conditionalFormatting>
  <conditionalFormatting sqref="AF63">
    <cfRule type="cellIs" dxfId="1277" priority="281" operator="notEqual">
      <formula>$A65</formula>
    </cfRule>
  </conditionalFormatting>
  <conditionalFormatting sqref="AF64:AF66">
    <cfRule type="cellIs" dxfId="1276" priority="280" operator="notEqual">
      <formula>$A67</formula>
    </cfRule>
  </conditionalFormatting>
  <conditionalFormatting sqref="AF34">
    <cfRule type="cellIs" dxfId="1275" priority="277" operator="notEqual">
      <formula>$A34</formula>
    </cfRule>
  </conditionalFormatting>
  <conditionalFormatting sqref="AF33">
    <cfRule type="cellIs" dxfId="1274" priority="276" operator="notEqual">
      <formula>$A33</formula>
    </cfRule>
  </conditionalFormatting>
  <conditionalFormatting sqref="AF22">
    <cfRule type="cellIs" dxfId="1273" priority="275" operator="notEqual">
      <formula>$A22</formula>
    </cfRule>
  </conditionalFormatting>
  <conditionalFormatting sqref="AF22">
    <cfRule type="cellIs" dxfId="1272" priority="274" operator="notEqual">
      <formula>$A22</formula>
    </cfRule>
  </conditionalFormatting>
  <conditionalFormatting sqref="AF9">
    <cfRule type="cellIs" dxfId="1271" priority="273" operator="notEqual">
      <formula>$A9</formula>
    </cfRule>
  </conditionalFormatting>
  <conditionalFormatting sqref="AF29">
    <cfRule type="cellIs" dxfId="1270" priority="272" operator="notEqual">
      <formula>$A29</formula>
    </cfRule>
  </conditionalFormatting>
  <conditionalFormatting sqref="AF12 AF10">
    <cfRule type="cellIs" dxfId="1269" priority="271" operator="notEqual">
      <formula>$A10</formula>
    </cfRule>
  </conditionalFormatting>
  <conditionalFormatting sqref="AF11">
    <cfRule type="cellIs" dxfId="1268" priority="270" operator="equal">
      <formula>""</formula>
    </cfRule>
  </conditionalFormatting>
  <conditionalFormatting sqref="AF11">
    <cfRule type="cellIs" dxfId="1267" priority="269" operator="notEqual">
      <formula>$A11</formula>
    </cfRule>
  </conditionalFormatting>
  <conditionalFormatting sqref="AF11">
    <cfRule type="cellIs" dxfId="1266" priority="268" operator="equal">
      <formula>""</formula>
    </cfRule>
  </conditionalFormatting>
  <conditionalFormatting sqref="AF11">
    <cfRule type="cellIs" dxfId="1265" priority="267" operator="notEqual">
      <formula>$A11</formula>
    </cfRule>
  </conditionalFormatting>
  <conditionalFormatting sqref="AF8">
    <cfRule type="cellIs" dxfId="1264" priority="266" operator="notEqual">
      <formula>$A8</formula>
    </cfRule>
  </conditionalFormatting>
  <conditionalFormatting sqref="AF26:AF28">
    <cfRule type="cellIs" dxfId="1263" priority="264" operator="notEqual">
      <formula>$A26</formula>
    </cfRule>
  </conditionalFormatting>
  <conditionalFormatting sqref="AG13">
    <cfRule type="cellIs" dxfId="1262" priority="263" operator="notEqual">
      <formula>$A13</formula>
    </cfRule>
  </conditionalFormatting>
  <conditionalFormatting sqref="AG13">
    <cfRule type="cellIs" dxfId="1261" priority="262" operator="notEqual">
      <formula>$A13</formula>
    </cfRule>
  </conditionalFormatting>
  <conditionalFormatting sqref="AG63:AG66 AG20">
    <cfRule type="cellIs" dxfId="1260" priority="260" operator="notEqual">
      <formula>$A20</formula>
    </cfRule>
  </conditionalFormatting>
  <conditionalFormatting sqref="AG40">
    <cfRule type="cellIs" dxfId="1259" priority="259" operator="notEqual">
      <formula>#REF!</formula>
    </cfRule>
  </conditionalFormatting>
  <conditionalFormatting sqref="AG63:AG66">
    <cfRule type="cellIs" dxfId="1258" priority="258" operator="notEqual">
      <formula>$A63</formula>
    </cfRule>
  </conditionalFormatting>
  <conditionalFormatting sqref="AG41">
    <cfRule type="cellIs" dxfId="1257" priority="257" operator="notEqual">
      <formula>$A41</formula>
    </cfRule>
  </conditionalFormatting>
  <conditionalFormatting sqref="AG41">
    <cfRule type="cellIs" dxfId="1256" priority="256" operator="notEqual">
      <formula>$A41</formula>
    </cfRule>
  </conditionalFormatting>
  <conditionalFormatting sqref="AG63">
    <cfRule type="cellIs" dxfId="1255" priority="255" operator="notEqual">
      <formula>$A65</formula>
    </cfRule>
  </conditionalFormatting>
  <conditionalFormatting sqref="AG14 AG16:AG19">
    <cfRule type="cellIs" dxfId="1254" priority="254" operator="notEqual">
      <formula>$A14</formula>
    </cfRule>
  </conditionalFormatting>
  <conditionalFormatting sqref="AG15:AG17">
    <cfRule type="cellIs" dxfId="1253" priority="253" operator="notEqual">
      <formula>$A15</formula>
    </cfRule>
  </conditionalFormatting>
  <conditionalFormatting sqref="AG20">
    <cfRule type="cellIs" dxfId="1252" priority="252" operator="notEqual">
      <formula>$A20</formula>
    </cfRule>
  </conditionalFormatting>
  <conditionalFormatting sqref="AG20">
    <cfRule type="cellIs" dxfId="1251" priority="251" operator="notEqual">
      <formula>$A20</formula>
    </cfRule>
  </conditionalFormatting>
  <conditionalFormatting sqref="AG21">
    <cfRule type="cellIs" dxfId="1250" priority="250" operator="notEqual">
      <formula>$A21</formula>
    </cfRule>
  </conditionalFormatting>
  <conditionalFormatting sqref="AG21">
    <cfRule type="cellIs" dxfId="1249" priority="249" operator="notEqual">
      <formula>$A21</formula>
    </cfRule>
  </conditionalFormatting>
  <conditionalFormatting sqref="AG64:AG66">
    <cfRule type="cellIs" dxfId="1248" priority="248" operator="notEqual">
      <formula>$A67</formula>
    </cfRule>
  </conditionalFormatting>
  <conditionalFormatting sqref="AG63">
    <cfRule type="cellIs" dxfId="1247" priority="247" operator="notEqual">
      <formula>$A65</formula>
    </cfRule>
  </conditionalFormatting>
  <conditionalFormatting sqref="AG64:AG66">
    <cfRule type="cellIs" dxfId="1246" priority="246" operator="notEqual">
      <formula>$A67</formula>
    </cfRule>
  </conditionalFormatting>
  <conditionalFormatting sqref="AG34">
    <cfRule type="cellIs" dxfId="1245" priority="243" operator="notEqual">
      <formula>$A34</formula>
    </cfRule>
  </conditionalFormatting>
  <conditionalFormatting sqref="AG33">
    <cfRule type="cellIs" dxfId="1244" priority="242" operator="notEqual">
      <formula>$A33</formula>
    </cfRule>
  </conditionalFormatting>
  <conditionalFormatting sqref="AG22">
    <cfRule type="cellIs" dxfId="1243" priority="241" operator="notEqual">
      <formula>$A22</formula>
    </cfRule>
  </conditionalFormatting>
  <conditionalFormatting sqref="AG22">
    <cfRule type="cellIs" dxfId="1242" priority="240" operator="notEqual">
      <formula>$A22</formula>
    </cfRule>
  </conditionalFormatting>
  <conditionalFormatting sqref="AG9">
    <cfRule type="cellIs" dxfId="1241" priority="239" operator="notEqual">
      <formula>$A9</formula>
    </cfRule>
  </conditionalFormatting>
  <conditionalFormatting sqref="AG29">
    <cfRule type="cellIs" dxfId="1240" priority="238" operator="notEqual">
      <formula>$A29</formula>
    </cfRule>
  </conditionalFormatting>
  <conditionalFormatting sqref="AG12 AG10">
    <cfRule type="cellIs" dxfId="1239" priority="237" operator="notEqual">
      <formula>$A10</formula>
    </cfRule>
  </conditionalFormatting>
  <conditionalFormatting sqref="AG11">
    <cfRule type="cellIs" dxfId="1238" priority="236" operator="equal">
      <formula>""</formula>
    </cfRule>
  </conditionalFormatting>
  <conditionalFormatting sqref="AG11">
    <cfRule type="cellIs" dxfId="1237" priority="235" operator="notEqual">
      <formula>$A11</formula>
    </cfRule>
  </conditionalFormatting>
  <conditionalFormatting sqref="AG11">
    <cfRule type="cellIs" dxfId="1236" priority="234" operator="equal">
      <formula>""</formula>
    </cfRule>
  </conditionalFormatting>
  <conditionalFormatting sqref="AG11">
    <cfRule type="cellIs" dxfId="1235" priority="233" operator="notEqual">
      <formula>$A11</formula>
    </cfRule>
  </conditionalFormatting>
  <conditionalFormatting sqref="AG8">
    <cfRule type="cellIs" dxfId="1234" priority="232" operator="notEqual">
      <formula>$A8</formula>
    </cfRule>
  </conditionalFormatting>
  <conditionalFormatting sqref="AG26:AG28">
    <cfRule type="cellIs" dxfId="1233" priority="230" operator="notEqual">
      <formula>$A26</formula>
    </cfRule>
  </conditionalFormatting>
  <conditionalFormatting sqref="I13">
    <cfRule type="cellIs" dxfId="1232" priority="229" operator="notEqual">
      <formula>$A13</formula>
    </cfRule>
  </conditionalFormatting>
  <conditionalFormatting sqref="I9">
    <cfRule type="cellIs" dxfId="1231" priority="228" operator="notEqual">
      <formula>$A9</formula>
    </cfRule>
  </conditionalFormatting>
  <conditionalFormatting sqref="I10:I11">
    <cfRule type="cellIs" dxfId="1230" priority="226" operator="equal">
      <formula>""</formula>
    </cfRule>
  </conditionalFormatting>
  <conditionalFormatting sqref="I42 I20 I63:I66">
    <cfRule type="cellIs" dxfId="1229" priority="227" operator="notEqual">
      <formula>$A20</formula>
    </cfRule>
  </conditionalFormatting>
  <conditionalFormatting sqref="I40">
    <cfRule type="cellIs" dxfId="1228" priority="225" operator="notEqual">
      <formula>#REF!</formula>
    </cfRule>
  </conditionalFormatting>
  <conditionalFormatting sqref="I41">
    <cfRule type="cellIs" dxfId="1227" priority="224" operator="notEqual">
      <formula>$A41</formula>
    </cfRule>
  </conditionalFormatting>
  <conditionalFormatting sqref="I41">
    <cfRule type="cellIs" dxfId="1226" priority="223" operator="notEqual">
      <formula>$A41</formula>
    </cfRule>
  </conditionalFormatting>
  <conditionalFormatting sqref="I63">
    <cfRule type="cellIs" dxfId="1225" priority="222" operator="notEqual">
      <formula>$A65</formula>
    </cfRule>
  </conditionalFormatting>
  <conditionalFormatting sqref="I13 I10:I11">
    <cfRule type="cellIs" dxfId="1224" priority="221" operator="notEqual">
      <formula>$A10</formula>
    </cfRule>
  </conditionalFormatting>
  <conditionalFormatting sqref="I16:I19 I14">
    <cfRule type="cellIs" dxfId="1223" priority="220" operator="notEqual">
      <formula>$A14</formula>
    </cfRule>
  </conditionalFormatting>
  <conditionalFormatting sqref="I9">
    <cfRule type="cellIs" dxfId="1222" priority="219" operator="notEqual">
      <formula>$A9</formula>
    </cfRule>
  </conditionalFormatting>
  <conditionalFormatting sqref="I20">
    <cfRule type="cellIs" dxfId="1221" priority="217" operator="notEqual">
      <formula>$A20</formula>
    </cfRule>
  </conditionalFormatting>
  <conditionalFormatting sqref="I20">
    <cfRule type="cellIs" dxfId="1220" priority="216" operator="notEqual">
      <formula>$A20</formula>
    </cfRule>
  </conditionalFormatting>
  <conditionalFormatting sqref="I21">
    <cfRule type="cellIs" dxfId="1219" priority="215" operator="notEqual">
      <formula>$A21</formula>
    </cfRule>
  </conditionalFormatting>
  <conditionalFormatting sqref="I21">
    <cfRule type="cellIs" dxfId="1218" priority="214" operator="notEqual">
      <formula>$A21</formula>
    </cfRule>
  </conditionalFormatting>
  <conditionalFormatting sqref="I63">
    <cfRule type="cellIs" dxfId="1217" priority="213" operator="notEqual">
      <formula>$A65</formula>
    </cfRule>
  </conditionalFormatting>
  <conditionalFormatting sqref="I34">
    <cfRule type="cellIs" dxfId="1216" priority="210" operator="notEqual">
      <formula>$A34</formula>
    </cfRule>
  </conditionalFormatting>
  <conditionalFormatting sqref="I33">
    <cfRule type="cellIs" dxfId="1215" priority="209" operator="notEqual">
      <formula>$A33</formula>
    </cfRule>
  </conditionalFormatting>
  <conditionalFormatting sqref="I22">
    <cfRule type="cellIs" dxfId="1214" priority="208" operator="notEqual">
      <formula>$A22</formula>
    </cfRule>
  </conditionalFormatting>
  <conditionalFormatting sqref="I22">
    <cfRule type="cellIs" dxfId="1213" priority="207" operator="notEqual">
      <formula>$A22</formula>
    </cfRule>
  </conditionalFormatting>
  <conditionalFormatting sqref="I29">
    <cfRule type="cellIs" dxfId="1212" priority="206" operator="notEqual">
      <formula>$A29</formula>
    </cfRule>
  </conditionalFormatting>
  <conditionalFormatting sqref="I12">
    <cfRule type="cellIs" dxfId="1211" priority="205" operator="notEqual">
      <formula>$A12</formula>
    </cfRule>
  </conditionalFormatting>
  <conditionalFormatting sqref="I25">
    <cfRule type="cellIs" dxfId="1210" priority="202" operator="notEqual">
      <formula>$A25</formula>
    </cfRule>
  </conditionalFormatting>
  <conditionalFormatting sqref="I26:I28">
    <cfRule type="cellIs" dxfId="1209" priority="201" operator="notEqual">
      <formula>$A26</formula>
    </cfRule>
  </conditionalFormatting>
  <conditionalFormatting sqref="I63:I66">
    <cfRule type="cellIs" dxfId="1208" priority="200" operator="notEqual">
      <formula>$A63</formula>
    </cfRule>
  </conditionalFormatting>
  <conditionalFormatting sqref="I15:I17">
    <cfRule type="cellIs" dxfId="1207" priority="199" operator="notEqual">
      <formula>$A15</formula>
    </cfRule>
  </conditionalFormatting>
  <conditionalFormatting sqref="I64:I66">
    <cfRule type="cellIs" dxfId="1206" priority="198" operator="notEqual">
      <formula>$A67</formula>
    </cfRule>
  </conditionalFormatting>
  <conditionalFormatting sqref="I64:I66">
    <cfRule type="cellIs" dxfId="1205" priority="197" operator="notEqual">
      <formula>$A67</formula>
    </cfRule>
  </conditionalFormatting>
  <conditionalFormatting sqref="J13">
    <cfRule type="cellIs" dxfId="1204" priority="196" operator="notEqual">
      <formula>$A13</formula>
    </cfRule>
  </conditionalFormatting>
  <conditionalFormatting sqref="J9">
    <cfRule type="cellIs" dxfId="1203" priority="195" operator="notEqual">
      <formula>$A9</formula>
    </cfRule>
  </conditionalFormatting>
  <conditionalFormatting sqref="J10:J11">
    <cfRule type="cellIs" dxfId="1202" priority="193" operator="equal">
      <formula>""</formula>
    </cfRule>
  </conditionalFormatting>
  <conditionalFormatting sqref="J20 J63:J66">
    <cfRule type="cellIs" dxfId="1201" priority="194" operator="notEqual">
      <formula>$A20</formula>
    </cfRule>
  </conditionalFormatting>
  <conditionalFormatting sqref="J40">
    <cfRule type="cellIs" dxfId="1200" priority="192" operator="notEqual">
      <formula>#REF!</formula>
    </cfRule>
  </conditionalFormatting>
  <conditionalFormatting sqref="J41">
    <cfRule type="cellIs" dxfId="1199" priority="191" operator="notEqual">
      <formula>$A41</formula>
    </cfRule>
  </conditionalFormatting>
  <conditionalFormatting sqref="J41">
    <cfRule type="cellIs" dxfId="1198" priority="190" operator="notEqual">
      <formula>$A41</formula>
    </cfRule>
  </conditionalFormatting>
  <conditionalFormatting sqref="J63">
    <cfRule type="cellIs" dxfId="1197" priority="189" operator="notEqual">
      <formula>$A65</formula>
    </cfRule>
  </conditionalFormatting>
  <conditionalFormatting sqref="J13 J10:J11">
    <cfRule type="cellIs" dxfId="1196" priority="188" operator="notEqual">
      <formula>$A10</formula>
    </cfRule>
  </conditionalFormatting>
  <conditionalFormatting sqref="J16:J19 J14">
    <cfRule type="cellIs" dxfId="1195" priority="187" operator="notEqual">
      <formula>$A14</formula>
    </cfRule>
  </conditionalFormatting>
  <conditionalFormatting sqref="J9">
    <cfRule type="cellIs" dxfId="1194" priority="186" operator="notEqual">
      <formula>$A9</formula>
    </cfRule>
  </conditionalFormatting>
  <conditionalFormatting sqref="J20">
    <cfRule type="cellIs" dxfId="1193" priority="184" operator="notEqual">
      <formula>$A20</formula>
    </cfRule>
  </conditionalFormatting>
  <conditionalFormatting sqref="J20">
    <cfRule type="cellIs" dxfId="1192" priority="183" operator="notEqual">
      <formula>$A20</formula>
    </cfRule>
  </conditionalFormatting>
  <conditionalFormatting sqref="J21">
    <cfRule type="cellIs" dxfId="1191" priority="182" operator="notEqual">
      <formula>$A21</formula>
    </cfRule>
  </conditionalFormatting>
  <conditionalFormatting sqref="J21">
    <cfRule type="cellIs" dxfId="1190" priority="181" operator="notEqual">
      <formula>$A21</formula>
    </cfRule>
  </conditionalFormatting>
  <conditionalFormatting sqref="J63">
    <cfRule type="cellIs" dxfId="1189" priority="180" operator="notEqual">
      <formula>$A65</formula>
    </cfRule>
  </conditionalFormatting>
  <conditionalFormatting sqref="J34">
    <cfRule type="cellIs" dxfId="1188" priority="177" operator="notEqual">
      <formula>$A34</formula>
    </cfRule>
  </conditionalFormatting>
  <conditionalFormatting sqref="J33">
    <cfRule type="cellIs" dxfId="1187" priority="176" operator="notEqual">
      <formula>$A33</formula>
    </cfRule>
  </conditionalFormatting>
  <conditionalFormatting sqref="J22">
    <cfRule type="cellIs" dxfId="1186" priority="175" operator="notEqual">
      <formula>$A22</formula>
    </cfRule>
  </conditionalFormatting>
  <conditionalFormatting sqref="J22">
    <cfRule type="cellIs" dxfId="1185" priority="174" operator="notEqual">
      <formula>$A22</formula>
    </cfRule>
  </conditionalFormatting>
  <conditionalFormatting sqref="J29">
    <cfRule type="cellIs" dxfId="1184" priority="173" operator="notEqual">
      <formula>$A29</formula>
    </cfRule>
  </conditionalFormatting>
  <conditionalFormatting sqref="J12">
    <cfRule type="cellIs" dxfId="1183" priority="172" operator="notEqual">
      <formula>$A12</formula>
    </cfRule>
  </conditionalFormatting>
  <conditionalFormatting sqref="J25">
    <cfRule type="cellIs" dxfId="1182" priority="169" operator="notEqual">
      <formula>$A25</formula>
    </cfRule>
  </conditionalFormatting>
  <conditionalFormatting sqref="J26:J28">
    <cfRule type="cellIs" dxfId="1181" priority="168" operator="notEqual">
      <formula>$A26</formula>
    </cfRule>
  </conditionalFormatting>
  <conditionalFormatting sqref="J63:J66">
    <cfRule type="cellIs" dxfId="1180" priority="167" operator="notEqual">
      <formula>$A63</formula>
    </cfRule>
  </conditionalFormatting>
  <conditionalFormatting sqref="J15:J17">
    <cfRule type="cellIs" dxfId="1179" priority="166" operator="notEqual">
      <formula>$A15</formula>
    </cfRule>
  </conditionalFormatting>
  <conditionalFormatting sqref="J64:J66">
    <cfRule type="cellIs" dxfId="1178" priority="165" operator="notEqual">
      <formula>$A67</formula>
    </cfRule>
  </conditionalFormatting>
  <conditionalFormatting sqref="J64:J66">
    <cfRule type="cellIs" dxfId="1177" priority="164" operator="notEqual">
      <formula>$A67</formula>
    </cfRule>
  </conditionalFormatting>
  <conditionalFormatting sqref="I8">
    <cfRule type="cellIs" dxfId="1176" priority="163" operator="notEqual">
      <formula>$A8</formula>
    </cfRule>
  </conditionalFormatting>
  <conditionalFormatting sqref="J8">
    <cfRule type="cellIs" dxfId="1175" priority="162" operator="notEqual">
      <formula>$A8</formula>
    </cfRule>
  </conditionalFormatting>
  <conditionalFormatting sqref="J42">
    <cfRule type="cellIs" dxfId="1174" priority="161" operator="notEqual">
      <formula>$A42</formula>
    </cfRule>
  </conditionalFormatting>
  <conditionalFormatting sqref="Y13">
    <cfRule type="cellIs" dxfId="1173" priority="159" operator="notEqual">
      <formula>$A13</formula>
    </cfRule>
  </conditionalFormatting>
  <conditionalFormatting sqref="Y13">
    <cfRule type="cellIs" dxfId="1172" priority="158" operator="notEqual">
      <formula>$A13</formula>
    </cfRule>
  </conditionalFormatting>
  <conditionalFormatting sqref="Y9">
    <cfRule type="cellIs" dxfId="1171" priority="155" operator="notEqual">
      <formula>$A9</formula>
    </cfRule>
  </conditionalFormatting>
  <conditionalFormatting sqref="Y16:Y19 Y14">
    <cfRule type="cellIs" dxfId="1170" priority="154" operator="notEqual">
      <formula>$A14</formula>
    </cfRule>
  </conditionalFormatting>
  <conditionalFormatting sqref="Y11">
    <cfRule type="cellIs" dxfId="1169" priority="153" operator="equal">
      <formula>""</formula>
    </cfRule>
  </conditionalFormatting>
  <conditionalFormatting sqref="Y11">
    <cfRule type="cellIs" dxfId="1168" priority="152" operator="notEqual">
      <formula>$A11</formula>
    </cfRule>
  </conditionalFormatting>
  <conditionalFormatting sqref="Y20 Y63:Y66">
    <cfRule type="cellIs" dxfId="1167" priority="151" operator="notEqual">
      <formula>$A20</formula>
    </cfRule>
  </conditionalFormatting>
  <conditionalFormatting sqref="Y40">
    <cfRule type="cellIs" dxfId="1166" priority="150" operator="notEqual">
      <formula>#REF!</formula>
    </cfRule>
  </conditionalFormatting>
  <conditionalFormatting sqref="Y63:Y66">
    <cfRule type="cellIs" dxfId="1165" priority="149" operator="notEqual">
      <formula>$A63</formula>
    </cfRule>
  </conditionalFormatting>
  <conditionalFormatting sqref="Y41">
    <cfRule type="cellIs" dxfId="1164" priority="148" operator="notEqual">
      <formula>$A41</formula>
    </cfRule>
  </conditionalFormatting>
  <conditionalFormatting sqref="Y41">
    <cfRule type="cellIs" dxfId="1163" priority="147" operator="notEqual">
      <formula>$A41</formula>
    </cfRule>
  </conditionalFormatting>
  <conditionalFormatting sqref="Y63">
    <cfRule type="cellIs" dxfId="1162" priority="146" operator="notEqual">
      <formula>$A65</formula>
    </cfRule>
  </conditionalFormatting>
  <conditionalFormatting sqref="Y15:Y17">
    <cfRule type="cellIs" dxfId="1161" priority="145" operator="notEqual">
      <formula>$A15</formula>
    </cfRule>
  </conditionalFormatting>
  <conditionalFormatting sqref="Y9">
    <cfRule type="cellIs" dxfId="1160" priority="144" operator="notEqual">
      <formula>$A9</formula>
    </cfRule>
  </conditionalFormatting>
  <conditionalFormatting sqref="Y8">
    <cfRule type="cellIs" dxfId="1159" priority="143" operator="notEqual">
      <formula>$A8</formula>
    </cfRule>
  </conditionalFormatting>
  <conditionalFormatting sqref="Y20">
    <cfRule type="cellIs" dxfId="1158" priority="142" operator="notEqual">
      <formula>$A20</formula>
    </cfRule>
  </conditionalFormatting>
  <conditionalFormatting sqref="Y20">
    <cfRule type="cellIs" dxfId="1157" priority="141" operator="notEqual">
      <formula>$A20</formula>
    </cfRule>
  </conditionalFormatting>
  <conditionalFormatting sqref="Y21">
    <cfRule type="cellIs" dxfId="1156" priority="140" operator="notEqual">
      <formula>$A21</formula>
    </cfRule>
  </conditionalFormatting>
  <conditionalFormatting sqref="Y21">
    <cfRule type="cellIs" dxfId="1155" priority="139" operator="notEqual">
      <formula>$A21</formula>
    </cfRule>
  </conditionalFormatting>
  <conditionalFormatting sqref="Y64:Y66">
    <cfRule type="cellIs" dxfId="1154" priority="138" operator="notEqual">
      <formula>$A67</formula>
    </cfRule>
  </conditionalFormatting>
  <conditionalFormatting sqref="Y63">
    <cfRule type="cellIs" dxfId="1153" priority="137" operator="notEqual">
      <formula>$A65</formula>
    </cfRule>
  </conditionalFormatting>
  <conditionalFormatting sqref="Y64:Y66">
    <cfRule type="cellIs" dxfId="1152" priority="136" operator="notEqual">
      <formula>$A67</formula>
    </cfRule>
  </conditionalFormatting>
  <conditionalFormatting sqref="Y34">
    <cfRule type="cellIs" dxfId="1151" priority="133" operator="notEqual">
      <formula>$A34</formula>
    </cfRule>
  </conditionalFormatting>
  <conditionalFormatting sqref="Y33">
    <cfRule type="cellIs" dxfId="1150" priority="132" operator="notEqual">
      <formula>$A33</formula>
    </cfRule>
  </conditionalFormatting>
  <conditionalFormatting sqref="Y22">
    <cfRule type="cellIs" dxfId="1149" priority="131" operator="notEqual">
      <formula>$A22</formula>
    </cfRule>
  </conditionalFormatting>
  <conditionalFormatting sqref="Y22">
    <cfRule type="cellIs" dxfId="1148" priority="130" operator="notEqual">
      <formula>$A22</formula>
    </cfRule>
  </conditionalFormatting>
  <conditionalFormatting sqref="Y29">
    <cfRule type="cellIs" dxfId="1147" priority="129" operator="notEqual">
      <formula>$A29</formula>
    </cfRule>
  </conditionalFormatting>
  <conditionalFormatting sqref="Y10 Y12">
    <cfRule type="cellIs" dxfId="1146" priority="128" operator="notEqual">
      <formula>$A10</formula>
    </cfRule>
  </conditionalFormatting>
  <conditionalFormatting sqref="Y42">
    <cfRule type="cellIs" dxfId="1145" priority="127" operator="notEqual">
      <formula>$A42</formula>
    </cfRule>
  </conditionalFormatting>
  <conditionalFormatting sqref="Y26:Y28">
    <cfRule type="cellIs" dxfId="1144" priority="126" operator="notEqual">
      <formula>$A26</formula>
    </cfRule>
  </conditionalFormatting>
  <conditionalFormatting sqref="A23:A24">
    <cfRule type="cellIs" dxfId="1143" priority="124" operator="notEqual">
      <formula>$A23</formula>
    </cfRule>
  </conditionalFormatting>
  <conditionalFormatting sqref="G23:G24">
    <cfRule type="cellIs" dxfId="1142" priority="123" operator="notEqual">
      <formula>$A23</formula>
    </cfRule>
  </conditionalFormatting>
  <conditionalFormatting sqref="G23:G24">
    <cfRule type="cellIs" dxfId="1141" priority="122" operator="notEqual">
      <formula>$A23</formula>
    </cfRule>
  </conditionalFormatting>
  <conditionalFormatting sqref="AJ23:AJ24">
    <cfRule type="cellIs" dxfId="1140" priority="121" operator="notEqual">
      <formula>$A23</formula>
    </cfRule>
  </conditionalFormatting>
  <conditionalFormatting sqref="AJ23:AJ24">
    <cfRule type="cellIs" dxfId="1139" priority="120" operator="notEqual">
      <formula>$A23</formula>
    </cfRule>
  </conditionalFormatting>
  <conditionalFormatting sqref="T23:T24">
    <cfRule type="cellIs" dxfId="1138" priority="119" operator="notEqual">
      <formula>$A23</formula>
    </cfRule>
  </conditionalFormatting>
  <conditionalFormatting sqref="T23:T24">
    <cfRule type="cellIs" dxfId="1137" priority="118" operator="notEqual">
      <formula>$A23</formula>
    </cfRule>
  </conditionalFormatting>
  <conditionalFormatting sqref="S23:S24">
    <cfRule type="cellIs" dxfId="1136" priority="117" operator="notEqual">
      <formula>$A23</formula>
    </cfRule>
  </conditionalFormatting>
  <conditionalFormatting sqref="S23:S24">
    <cfRule type="cellIs" dxfId="1135" priority="116" operator="notEqual">
      <formula>$A23</formula>
    </cfRule>
  </conditionalFormatting>
  <conditionalFormatting sqref="R23:R24">
    <cfRule type="cellIs" dxfId="1134" priority="115" operator="notEqual">
      <formula>$A23</formula>
    </cfRule>
  </conditionalFormatting>
  <conditionalFormatting sqref="R23:R24">
    <cfRule type="cellIs" dxfId="1133" priority="114" operator="notEqual">
      <formula>$A23</formula>
    </cfRule>
  </conditionalFormatting>
  <conditionalFormatting sqref="Q23:Q24">
    <cfRule type="cellIs" dxfId="1132" priority="113" operator="notEqual">
      <formula>$A23</formula>
    </cfRule>
  </conditionalFormatting>
  <conditionalFormatting sqref="Q23:Q24">
    <cfRule type="cellIs" dxfId="1131" priority="112" operator="notEqual">
      <formula>$A23</formula>
    </cfRule>
  </conditionalFormatting>
  <conditionalFormatting sqref="H23:H24">
    <cfRule type="cellIs" dxfId="1130" priority="111" operator="notEqual">
      <formula>$A23</formula>
    </cfRule>
  </conditionalFormatting>
  <conditionalFormatting sqref="H23:H24">
    <cfRule type="cellIs" dxfId="1129" priority="110" operator="notEqual">
      <formula>$A23</formula>
    </cfRule>
  </conditionalFormatting>
  <conditionalFormatting sqref="F23:F24">
    <cfRule type="cellIs" dxfId="1128" priority="109" operator="notEqual">
      <formula>$A23</formula>
    </cfRule>
  </conditionalFormatting>
  <conditionalFormatting sqref="P23:P24">
    <cfRule type="cellIs" dxfId="1127" priority="108" operator="notEqual">
      <formula>$A23</formula>
    </cfRule>
  </conditionalFormatting>
  <conditionalFormatting sqref="P23:P24">
    <cfRule type="cellIs" dxfId="1126" priority="107" operator="notEqual">
      <formula>$A23</formula>
    </cfRule>
  </conditionalFormatting>
  <conditionalFormatting sqref="AI23:AI24">
    <cfRule type="cellIs" dxfId="1125" priority="106" operator="notEqual">
      <formula>$A23</formula>
    </cfRule>
  </conditionalFormatting>
  <conditionalFormatting sqref="AI23:AI24">
    <cfRule type="cellIs" dxfId="1124" priority="105" operator="notEqual">
      <formula>$A23</formula>
    </cfRule>
  </conditionalFormatting>
  <conditionalFormatting sqref="AK23:AK24">
    <cfRule type="cellIs" dxfId="1123" priority="104" operator="notEqual">
      <formula>$A23</formula>
    </cfRule>
  </conditionalFormatting>
  <conditionalFormatting sqref="AK23:AK24">
    <cfRule type="cellIs" dxfId="1122" priority="103" operator="notEqual">
      <formula>$A23</formula>
    </cfRule>
  </conditionalFormatting>
  <conditionalFormatting sqref="N23:N24">
    <cfRule type="cellIs" dxfId="1121" priority="102" operator="notEqual">
      <formula>$A23</formula>
    </cfRule>
  </conditionalFormatting>
  <conditionalFormatting sqref="N23:N24">
    <cfRule type="cellIs" dxfId="1120" priority="101" operator="notEqual">
      <formula>$A23</formula>
    </cfRule>
  </conditionalFormatting>
  <conditionalFormatting sqref="O23:O24">
    <cfRule type="cellIs" dxfId="1119" priority="100" operator="notEqual">
      <formula>$A23</formula>
    </cfRule>
  </conditionalFormatting>
  <conditionalFormatting sqref="O23:O24">
    <cfRule type="cellIs" dxfId="1118" priority="99" operator="notEqual">
      <formula>$A23</formula>
    </cfRule>
  </conditionalFormatting>
  <conditionalFormatting sqref="X23:X24">
    <cfRule type="cellIs" dxfId="1117" priority="98" operator="notEqual">
      <formula>$A23</formula>
    </cfRule>
  </conditionalFormatting>
  <conditionalFormatting sqref="X23:X24">
    <cfRule type="cellIs" dxfId="1116" priority="97" operator="notEqual">
      <formula>$A23</formula>
    </cfRule>
  </conditionalFormatting>
  <conditionalFormatting sqref="AF23:AF24 Y23:AB24">
    <cfRule type="cellIs" dxfId="1115" priority="96" operator="notEqual">
      <formula>$A23</formula>
    </cfRule>
  </conditionalFormatting>
  <conditionalFormatting sqref="AF23:AF24 Y23:AB24">
    <cfRule type="cellIs" dxfId="1114" priority="95" operator="notEqual">
      <formula>$A23</formula>
    </cfRule>
  </conditionalFormatting>
  <conditionalFormatting sqref="AC23:AC24">
    <cfRule type="cellIs" dxfId="1113" priority="94" operator="notEqual">
      <formula>$A23</formula>
    </cfRule>
  </conditionalFormatting>
  <conditionalFormatting sqref="AC23:AC24">
    <cfRule type="cellIs" dxfId="1112" priority="93" operator="notEqual">
      <formula>$A23</formula>
    </cfRule>
  </conditionalFormatting>
  <conditionalFormatting sqref="AD23:AD24">
    <cfRule type="cellIs" dxfId="1111" priority="92" operator="notEqual">
      <formula>$A23</formula>
    </cfRule>
  </conditionalFormatting>
  <conditionalFormatting sqref="AD23:AD24">
    <cfRule type="cellIs" dxfId="1110" priority="91" operator="notEqual">
      <formula>$A23</formula>
    </cfRule>
  </conditionalFormatting>
  <conditionalFormatting sqref="AE23:AE24">
    <cfRule type="cellIs" dxfId="1109" priority="90" operator="notEqual">
      <formula>$A23</formula>
    </cfRule>
  </conditionalFormatting>
  <conditionalFormatting sqref="AE23:AE24">
    <cfRule type="cellIs" dxfId="1108" priority="89" operator="notEqual">
      <formula>$A23</formula>
    </cfRule>
  </conditionalFormatting>
  <conditionalFormatting sqref="AG23:AG24">
    <cfRule type="cellIs" dxfId="1107" priority="88" operator="notEqual">
      <formula>$A23</formula>
    </cfRule>
  </conditionalFormatting>
  <conditionalFormatting sqref="AG23:AG24">
    <cfRule type="cellIs" dxfId="1106" priority="87" operator="notEqual">
      <formula>$A23</formula>
    </cfRule>
  </conditionalFormatting>
  <conditionalFormatting sqref="AH23:AH24">
    <cfRule type="cellIs" dxfId="1105" priority="86" operator="notEqual">
      <formula>$A23</formula>
    </cfRule>
  </conditionalFormatting>
  <conditionalFormatting sqref="AH23:AH24">
    <cfRule type="cellIs" dxfId="1104" priority="85" operator="notEqual">
      <formula>$A23</formula>
    </cfRule>
  </conditionalFormatting>
  <conditionalFormatting sqref="J23:J24">
    <cfRule type="cellIs" dxfId="1103" priority="84" operator="notEqual">
      <formula>$A23</formula>
    </cfRule>
  </conditionalFormatting>
  <conditionalFormatting sqref="J23:J24">
    <cfRule type="cellIs" dxfId="1102" priority="83" operator="notEqual">
      <formula>$A23</formula>
    </cfRule>
  </conditionalFormatting>
  <conditionalFormatting sqref="Z23:AA24">
    <cfRule type="cellIs" dxfId="1101" priority="82" operator="notEqual">
      <formula>$A23</formula>
    </cfRule>
  </conditionalFormatting>
  <conditionalFormatting sqref="Z23:AA24">
    <cfRule type="cellIs" dxfId="1100" priority="81" operator="notEqual">
      <formula>$A23</formula>
    </cfRule>
  </conditionalFormatting>
  <conditionalFormatting sqref="M23:M24">
    <cfRule type="cellIs" dxfId="1099" priority="80" operator="notEqual">
      <formula>$A23</formula>
    </cfRule>
  </conditionalFormatting>
  <conditionalFormatting sqref="M23:M24">
    <cfRule type="cellIs" dxfId="1098" priority="79" operator="notEqual">
      <formula>$A23</formula>
    </cfRule>
  </conditionalFormatting>
  <conditionalFormatting sqref="I23:I24">
    <cfRule type="cellIs" dxfId="1097" priority="78" operator="notEqual">
      <formula>$A23</formula>
    </cfRule>
  </conditionalFormatting>
  <conditionalFormatting sqref="I23:I24">
    <cfRule type="cellIs" dxfId="1096" priority="77" operator="notEqual">
      <formula>$A23</formula>
    </cfRule>
  </conditionalFormatting>
  <conditionalFormatting sqref="U10">
    <cfRule type="cellIs" dxfId="1095" priority="75" operator="equal">
      <formula>""</formula>
    </cfRule>
  </conditionalFormatting>
  <conditionalFormatting sqref="U42 U20 U63:U66">
    <cfRule type="cellIs" dxfId="1094" priority="76" operator="notEqual">
      <formula>$A20</formula>
    </cfRule>
  </conditionalFormatting>
  <conditionalFormatting sqref="U40">
    <cfRule type="cellIs" dxfId="1093" priority="74" operator="notEqual">
      <formula>#REF!</formula>
    </cfRule>
  </conditionalFormatting>
  <conditionalFormatting sqref="U63:U66">
    <cfRule type="cellIs" dxfId="1092" priority="73" operator="notEqual">
      <formula>$A63</formula>
    </cfRule>
  </conditionalFormatting>
  <conditionalFormatting sqref="U41">
    <cfRule type="cellIs" dxfId="1091" priority="72" operator="notEqual">
      <formula>$A41</formula>
    </cfRule>
  </conditionalFormatting>
  <conditionalFormatting sqref="U41">
    <cfRule type="cellIs" dxfId="1090" priority="71" operator="notEqual">
      <formula>$A41</formula>
    </cfRule>
  </conditionalFormatting>
  <conditionalFormatting sqref="U63">
    <cfRule type="cellIs" dxfId="1089" priority="70" operator="notEqual">
      <formula>$A65</formula>
    </cfRule>
  </conditionalFormatting>
  <conditionalFormatting sqref="U16:U19 U14">
    <cfRule type="cellIs" dxfId="1088" priority="69" operator="notEqual">
      <formula>$A14</formula>
    </cfRule>
  </conditionalFormatting>
  <conditionalFormatting sqref="U15:U17">
    <cfRule type="cellIs" dxfId="1087" priority="68" operator="notEqual">
      <formula>$A15</formula>
    </cfRule>
  </conditionalFormatting>
  <conditionalFormatting sqref="U9">
    <cfRule type="cellIs" dxfId="1086" priority="67" operator="notEqual">
      <formula>$A9</formula>
    </cfRule>
  </conditionalFormatting>
  <conditionalFormatting sqref="U20">
    <cfRule type="cellIs" dxfId="1085" priority="65" operator="notEqual">
      <formula>$A20</formula>
    </cfRule>
  </conditionalFormatting>
  <conditionalFormatting sqref="U20">
    <cfRule type="cellIs" dxfId="1084" priority="64" operator="notEqual">
      <formula>$A20</formula>
    </cfRule>
  </conditionalFormatting>
  <conditionalFormatting sqref="U64:U66">
    <cfRule type="cellIs" dxfId="1083" priority="61" operator="notEqual">
      <formula>$A67</formula>
    </cfRule>
  </conditionalFormatting>
  <conditionalFormatting sqref="U63">
    <cfRule type="cellIs" dxfId="1082" priority="60" operator="notEqual">
      <formula>$A65</formula>
    </cfRule>
  </conditionalFormatting>
  <conditionalFormatting sqref="U64:U66">
    <cfRule type="cellIs" dxfId="1081" priority="59" operator="notEqual">
      <formula>$A67</formula>
    </cfRule>
  </conditionalFormatting>
  <conditionalFormatting sqref="U34">
    <cfRule type="cellIs" dxfId="1080" priority="58" operator="notEqual">
      <formula>$A34</formula>
    </cfRule>
  </conditionalFormatting>
  <conditionalFormatting sqref="U33">
    <cfRule type="cellIs" dxfId="1079" priority="57" operator="notEqual">
      <formula>$A33</formula>
    </cfRule>
  </conditionalFormatting>
  <conditionalFormatting sqref="U22">
    <cfRule type="cellIs" dxfId="1078" priority="56" operator="notEqual">
      <formula>$A22</formula>
    </cfRule>
  </conditionalFormatting>
  <conditionalFormatting sqref="U22">
    <cfRule type="cellIs" dxfId="1077" priority="55" operator="notEqual">
      <formula>$A22</formula>
    </cfRule>
  </conditionalFormatting>
  <conditionalFormatting sqref="U9">
    <cfRule type="cellIs" dxfId="1076" priority="54" operator="notEqual">
      <formula>$A9</formula>
    </cfRule>
  </conditionalFormatting>
  <conditionalFormatting sqref="U10">
    <cfRule type="cellIs" dxfId="1075" priority="53" operator="equal">
      <formula>""</formula>
    </cfRule>
  </conditionalFormatting>
  <conditionalFormatting sqref="U10">
    <cfRule type="cellIs" dxfId="1074" priority="52" operator="notEqual">
      <formula>$A10</formula>
    </cfRule>
  </conditionalFormatting>
  <conditionalFormatting sqref="U29">
    <cfRule type="cellIs" dxfId="1073" priority="51" operator="notEqual">
      <formula>$A29</formula>
    </cfRule>
  </conditionalFormatting>
  <conditionalFormatting sqref="U12">
    <cfRule type="cellIs" dxfId="1072" priority="50" operator="notEqual">
      <formula>$A12</formula>
    </cfRule>
  </conditionalFormatting>
  <conditionalFormatting sqref="U11">
    <cfRule type="cellIs" dxfId="1071" priority="49" operator="equal">
      <formula>""</formula>
    </cfRule>
  </conditionalFormatting>
  <conditionalFormatting sqref="U11">
    <cfRule type="cellIs" dxfId="1070" priority="48" operator="notEqual">
      <formula>$A11</formula>
    </cfRule>
  </conditionalFormatting>
  <conditionalFormatting sqref="U25">
    <cfRule type="cellIs" dxfId="1069" priority="47" operator="notEqual">
      <formula>$A25</formula>
    </cfRule>
  </conditionalFormatting>
  <conditionalFormatting sqref="U23:U24">
    <cfRule type="cellIs" dxfId="1068" priority="46" operator="notEqual">
      <formula>$A23</formula>
    </cfRule>
  </conditionalFormatting>
  <conditionalFormatting sqref="U23:U24">
    <cfRule type="cellIs" dxfId="1067" priority="45" operator="notEqual">
      <formula>$A23</formula>
    </cfRule>
  </conditionalFormatting>
  <conditionalFormatting sqref="L21">
    <cfRule type="cellIs" dxfId="1066" priority="43" operator="notEqual">
      <formula>$A21</formula>
    </cfRule>
  </conditionalFormatting>
  <conditionalFormatting sqref="L21">
    <cfRule type="cellIs" dxfId="1065" priority="42" operator="notEqual">
      <formula>$A21</formula>
    </cfRule>
  </conditionalFormatting>
  <conditionalFormatting sqref="L23:L24">
    <cfRule type="cellIs" dxfId="1064" priority="41" operator="notEqual">
      <formula>$A23</formula>
    </cfRule>
  </conditionalFormatting>
  <conditionalFormatting sqref="L23:L24">
    <cfRule type="cellIs" dxfId="1063" priority="40" operator="notEqual">
      <formula>$A23</formula>
    </cfRule>
  </conditionalFormatting>
  <conditionalFormatting sqref="AA8">
    <cfRule type="cellIs" dxfId="1062" priority="39" operator="notEqual">
      <formula>$A8</formula>
    </cfRule>
  </conditionalFormatting>
  <conditionalFormatting sqref="V13:W13 V26:W28">
    <cfRule type="cellIs" dxfId="1061" priority="37" operator="notEqual">
      <formula>$A13</formula>
    </cfRule>
  </conditionalFormatting>
  <conditionalFormatting sqref="V10:W10 V13:W13">
    <cfRule type="cellIs" dxfId="1060" priority="36" operator="notEqual">
      <formula>$A10</formula>
    </cfRule>
  </conditionalFormatting>
  <conditionalFormatting sqref="V21:W21">
    <cfRule type="cellIs" dxfId="1059" priority="35" operator="notEqual">
      <formula>$A21</formula>
    </cfRule>
  </conditionalFormatting>
  <conditionalFormatting sqref="V21:W21">
    <cfRule type="cellIs" dxfId="1058" priority="34" operator="notEqual">
      <formula>$A21</formula>
    </cfRule>
  </conditionalFormatting>
  <conditionalFormatting sqref="V10:W10">
    <cfRule type="cellIs" dxfId="1057" priority="32" operator="equal">
      <formula>""</formula>
    </cfRule>
  </conditionalFormatting>
  <conditionalFormatting sqref="V42:W42 V20:W20 V63:W66">
    <cfRule type="cellIs" dxfId="1056" priority="33" operator="notEqual">
      <formula>$A20</formula>
    </cfRule>
  </conditionalFormatting>
  <conditionalFormatting sqref="V40:W40">
    <cfRule type="cellIs" dxfId="1055" priority="31" operator="notEqual">
      <formula>#REF!</formula>
    </cfRule>
  </conditionalFormatting>
  <conditionalFormatting sqref="V63:W66">
    <cfRule type="cellIs" dxfId="1054" priority="30" operator="notEqual">
      <formula>$A63</formula>
    </cfRule>
  </conditionalFormatting>
  <conditionalFormatting sqref="V41:W41">
    <cfRule type="cellIs" dxfId="1053" priority="29" operator="notEqual">
      <formula>$A41</formula>
    </cfRule>
  </conditionalFormatting>
  <conditionalFormatting sqref="V41:W41">
    <cfRule type="cellIs" dxfId="1052" priority="28" operator="notEqual">
      <formula>$A41</formula>
    </cfRule>
  </conditionalFormatting>
  <conditionalFormatting sqref="V63:W63">
    <cfRule type="cellIs" dxfId="1051" priority="27" operator="notEqual">
      <formula>$A65</formula>
    </cfRule>
  </conditionalFormatting>
  <conditionalFormatting sqref="V16:W19 V14:W14">
    <cfRule type="cellIs" dxfId="1050" priority="26" operator="notEqual">
      <formula>$A14</formula>
    </cfRule>
  </conditionalFormatting>
  <conditionalFormatting sqref="V15:W17">
    <cfRule type="cellIs" dxfId="1049" priority="25" operator="notEqual">
      <formula>$A15</formula>
    </cfRule>
  </conditionalFormatting>
  <conditionalFormatting sqref="V9:W9">
    <cfRule type="cellIs" dxfId="1048" priority="24" operator="notEqual">
      <formula>$A9</formula>
    </cfRule>
  </conditionalFormatting>
  <conditionalFormatting sqref="V20:W20">
    <cfRule type="cellIs" dxfId="1047" priority="23" operator="notEqual">
      <formula>$A20</formula>
    </cfRule>
  </conditionalFormatting>
  <conditionalFormatting sqref="V20:W20">
    <cfRule type="cellIs" dxfId="1046" priority="22" operator="notEqual">
      <formula>$A20</formula>
    </cfRule>
  </conditionalFormatting>
  <conditionalFormatting sqref="V64:W66">
    <cfRule type="cellIs" dxfId="1045" priority="21" operator="notEqual">
      <formula>$A67</formula>
    </cfRule>
  </conditionalFormatting>
  <conditionalFormatting sqref="V63:W63">
    <cfRule type="cellIs" dxfId="1044" priority="20" operator="notEqual">
      <formula>$A65</formula>
    </cfRule>
  </conditionalFormatting>
  <conditionalFormatting sqref="V64:W66">
    <cfRule type="cellIs" dxfId="1043" priority="19" operator="notEqual">
      <formula>$A67</formula>
    </cfRule>
  </conditionalFormatting>
  <conditionalFormatting sqref="V34:W34">
    <cfRule type="cellIs" dxfId="1042" priority="18" operator="notEqual">
      <formula>$A34</formula>
    </cfRule>
  </conditionalFormatting>
  <conditionalFormatting sqref="V33:W33">
    <cfRule type="cellIs" dxfId="1041" priority="17" operator="notEqual">
      <formula>$A33</formula>
    </cfRule>
  </conditionalFormatting>
  <conditionalFormatting sqref="V22:W22">
    <cfRule type="cellIs" dxfId="1040" priority="16" operator="notEqual">
      <formula>$A22</formula>
    </cfRule>
  </conditionalFormatting>
  <conditionalFormatting sqref="V22:W22">
    <cfRule type="cellIs" dxfId="1039" priority="15" operator="notEqual">
      <formula>$A22</formula>
    </cfRule>
  </conditionalFormatting>
  <conditionalFormatting sqref="V9:W9">
    <cfRule type="cellIs" dxfId="1038" priority="14" operator="notEqual">
      <formula>$A9</formula>
    </cfRule>
  </conditionalFormatting>
  <conditionalFormatting sqref="V10:W10">
    <cfRule type="cellIs" dxfId="1037" priority="13" operator="equal">
      <formula>""</formula>
    </cfRule>
  </conditionalFormatting>
  <conditionalFormatting sqref="V10:W10">
    <cfRule type="cellIs" dxfId="1036" priority="12" operator="notEqual">
      <formula>$A10</formula>
    </cfRule>
  </conditionalFormatting>
  <conditionalFormatting sqref="V29:W29">
    <cfRule type="cellIs" dxfId="1035" priority="11" operator="notEqual">
      <formula>$A29</formula>
    </cfRule>
  </conditionalFormatting>
  <conditionalFormatting sqref="V12:W12">
    <cfRule type="cellIs" dxfId="1034" priority="10" operator="notEqual">
      <formula>$A12</formula>
    </cfRule>
  </conditionalFormatting>
  <conditionalFormatting sqref="V11:W11">
    <cfRule type="cellIs" dxfId="1033" priority="9" operator="equal">
      <formula>""</formula>
    </cfRule>
  </conditionalFormatting>
  <conditionalFormatting sqref="V11:W11">
    <cfRule type="cellIs" dxfId="1032" priority="8" operator="notEqual">
      <formula>$A11</formula>
    </cfRule>
  </conditionalFormatting>
  <conditionalFormatting sqref="V25:W25">
    <cfRule type="cellIs" dxfId="1031" priority="7" operator="notEqual">
      <formula>$A25</formula>
    </cfRule>
  </conditionalFormatting>
  <conditionalFormatting sqref="V23:W24">
    <cfRule type="cellIs" dxfId="1030" priority="6" operator="notEqual">
      <formula>$A23</formula>
    </cfRule>
  </conditionalFormatting>
  <conditionalFormatting sqref="V23:W24">
    <cfRule type="cellIs" dxfId="1029" priority="5" operator="notEqual">
      <formula>$A23</formula>
    </cfRule>
  </conditionalFormatting>
  <conditionalFormatting sqref="U8:W8">
    <cfRule type="cellIs" dxfId="1028" priority="4" operator="notEqual">
      <formula>$A8</formula>
    </cfRule>
  </conditionalFormatting>
  <conditionalFormatting sqref="U8:W8">
    <cfRule type="cellIs" dxfId="1027" priority="3" operator="notEqual">
      <formula>$A8</formula>
    </cfRule>
  </conditionalFormatting>
  <conditionalFormatting sqref="L8">
    <cfRule type="cellIs" dxfId="1026" priority="2" operator="notEqual">
      <formula>$A8</formula>
    </cfRule>
  </conditionalFormatting>
  <conditionalFormatting sqref="L8">
    <cfRule type="cellIs" dxfId="1025" priority="1" operator="notEqual">
      <formula>$A8</formula>
    </cfRule>
  </conditionalFormatting>
  <dataValidations count="16">
    <dataValidation type="list" allowBlank="1" showInputMessage="1" showErrorMessage="1" sqref="A20 F20:AK20" xr:uid="{00000000-0002-0000-0400-000000000000}">
      <formula1>"Default,Option Budget"</formula1>
    </dataValidation>
    <dataValidation type="list" allowBlank="1" showInputMessage="1" showErrorMessage="1" sqref="A55:A58 C63:C66 A63:A66 C92:C97 C71:C76 C81:C86 A113:A117 A122:A126 B146:B149 B157:B162 B171:B175 A71:A76 A81:A86 A92:A97 F40:AK40" xr:uid="{00000000-0002-0000-0400-000001000000}">
      <formula1>"Dynamic Switching Off,Dynamic Switching On"</formula1>
    </dataValidation>
    <dataValidation type="list" allowBlank="1" showInputMessage="1" showErrorMessage="1" sqref="AH8:AK8 O8:T8 F8:I8 K8 M8" xr:uid="{00000000-0002-0000-0400-000002000000}">
      <formula1>"Dynamic Cap, Dynamic Participation, Dynamic Spread, Dynamic Rate, Dynamic Trigger"</formula1>
    </dataValidation>
    <dataValidation type="list" allowBlank="1" showInputMessage="1" showErrorMessage="1" sqref="J47:J50 J8 X8:Y8 N8 X47:Y50 N47:N50" xr:uid="{00000000-0002-0000-0400-000003000000}">
      <formula1>"Dynamic Cap, Dynamic Participation, Dynamic Spread, Dynamic Rate, Dynamic Trigger, Dynamic DualDir Cap"</formula1>
    </dataValidation>
    <dataValidation type="list" allowBlank="1" showInputMessage="1" showErrorMessage="1" sqref="Z8" xr:uid="{00000000-0002-0000-0400-000004000000}">
      <formula1>"Dynamic Secure Cap, Dynamic Cap, Dynamic Participation, Dynamic Spread, Dynamic Rate, Dynamic Trigger, Dynamic DualDir Cap"</formula1>
    </dataValidation>
    <dataValidation type="list" allowBlank="1" showInputMessage="1" showErrorMessage="1" sqref="Z47:Z48" xr:uid="{00000000-0002-0000-0400-000005000000}">
      <formula1>"Dynamic Cap, Dynamic Participation, Dynamic Spread, Dynamic Rate, Dynamic Trigger, Dynamic DualDir Cap, Dynamic Secure Cap"</formula1>
    </dataValidation>
    <dataValidation type="list" allowBlank="1" showInputMessage="1" showErrorMessage="1" sqref="AB47:AD47 AE47:AG48" xr:uid="{00000000-0002-0000-0400-000006000000}">
      <formula1>"Dynamic Cap, Dynamic Participation, Dynamic Spread, Dynamic Rate, Dynamic Trigger, Dynamic DualDir Cap, Dynamic Secure Cap, Dynamic Buffer"</formula1>
    </dataValidation>
    <dataValidation type="list" allowBlank="1" showInputMessage="1" showErrorMessage="1" sqref="AB8:AG8" xr:uid="{00000000-0002-0000-0400-000007000000}">
      <formula1>"Dynamic Buffer,Dynamic Secure Cap, Dynamic Cap, Dynamic Participation, Dynamic Spread, Dynamic Rate, Dynamic Trigger, Dynamic DualDir Cap"</formula1>
    </dataValidation>
    <dataValidation type="list" allowBlank="1" showInputMessage="1" showErrorMessage="1" sqref="F18:AK18" xr:uid="{00000000-0002-0000-0400-000008000000}">
      <formula1>"Yes, No"</formula1>
    </dataValidation>
    <dataValidation type="list" allowBlank="1" showInputMessage="1" showErrorMessage="1" sqref="F9:AK9" xr:uid="{00000000-0002-0000-0400-000009000000}">
      <formula1>"Point to Point, Moving Average, Monthly Sum Cap, Fixed Rate, Point to Point Spread"</formula1>
    </dataValidation>
    <dataValidation type="list" allowBlank="1" showInputMessage="1" showErrorMessage="1" sqref="F14:AK14" xr:uid="{00000000-0002-0000-0400-00000A000000}">
      <formula1>"Annual, Semiannual, Quarterly, Monthly"</formula1>
    </dataValidation>
    <dataValidation type="list" allowBlank="1" showInputMessage="1" showErrorMessage="1" sqref="F15:AK15" xr:uid="{00000000-0002-0000-0400-00000B000000}">
      <formula1>"Yes,No"</formula1>
    </dataValidation>
    <dataValidation type="list" allowBlank="1" showInputMessage="1" showErrorMessage="1" sqref="F32:AK32" xr:uid="{00000000-0002-0000-0400-00000C000000}">
      <formula1>"Enhanced,Not Enhanced"</formula1>
    </dataValidation>
    <dataValidation type="list" allowBlank="1" showInputMessage="1" showErrorMessage="1" sqref="AA8 AA47:AA50" xr:uid="{34E23D71-51DE-434F-8FAE-FEFE79D41493}">
      <formula1>"Dynamic Cap, Dynamic Participation, Dynamic Spread, Dynamic Rate, Dynamic DualDir Tri, Dynamic Trigger"</formula1>
    </dataValidation>
    <dataValidation type="list" allowBlank="1" showInputMessage="1" showErrorMessage="1" sqref="U8:W8" xr:uid="{92B85589-CB06-4A18-9F0A-C663D2AB8DCD}">
      <formula1>"Dynamic Cap with Par,Dynamic Par with Cap,Dynamic Cap, Dynamic Participation, Dynamic Spread, Dynamic Rate, Dynamic Trigger"</formula1>
    </dataValidation>
    <dataValidation type="list" allowBlank="1" showInputMessage="1" showErrorMessage="1" sqref="L8" xr:uid="{5E1901CE-A412-4A76-8492-5B9F300FA294}">
      <formula1>"Dynamic Par with Cap,Dynamic Cap, Dynamic Participation, Dynamic Spread, Dynamic Rate, Dynamic Trigger"</formula1>
    </dataValidation>
  </dataValidations>
  <hyperlinks>
    <hyperlink ref="A1" location="'Table of Contents'!A1" display="Go to TOC" xr:uid="{00000000-0004-0000-0400-000000000000}"/>
  </hyperlinks>
  <pageMargins left="0.7" right="0.7" top="0.75" bottom="0.75" header="0.3" footer="0.3"/>
  <pageSetup orientation="portrait" horizontalDpi="4294967294" verticalDpi="144" r:id="rId1"/>
  <customProperties>
    <customPr name="EpmWorksheetKeyString_GUID" r:id="rId2"/>
  </customPropertie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/>
  <dimension ref="B1:S3"/>
  <sheetViews>
    <sheetView workbookViewId="0">
      <selection activeCell="S34" sqref="S34"/>
    </sheetView>
  </sheetViews>
  <sheetFormatPr defaultColWidth="9.1796875" defaultRowHeight="12.5"/>
  <cols>
    <col min="1" max="1" width="9.1796875" style="164"/>
    <col min="2" max="2" width="30.54296875" style="164" customWidth="1"/>
    <col min="3" max="18" width="11.453125" style="164" customWidth="1"/>
    <col min="19" max="19" width="17.1796875" style="164" customWidth="1"/>
    <col min="20" max="16384" width="9.1796875" style="164"/>
  </cols>
  <sheetData>
    <row r="1" spans="2:19" ht="13">
      <c r="B1" s="18" t="str">
        <f t="array" aca="1" ref="B1" ca="1">GetNameRange(B2)</f>
        <v>dyn_switching_aig</v>
      </c>
    </row>
    <row r="2" spans="2:19" ht="13">
      <c r="B2" s="164" t="s">
        <v>579</v>
      </c>
      <c r="C2" s="562" t="s">
        <v>580</v>
      </c>
      <c r="D2" s="311" t="s">
        <v>809</v>
      </c>
      <c r="E2" s="311" t="s">
        <v>807</v>
      </c>
      <c r="F2" s="562" t="s">
        <v>683</v>
      </c>
      <c r="G2" s="562" t="s">
        <v>684</v>
      </c>
      <c r="H2" s="562" t="s">
        <v>687</v>
      </c>
      <c r="I2" s="562" t="s">
        <v>689</v>
      </c>
      <c r="J2" s="562" t="s">
        <v>697</v>
      </c>
      <c r="K2" s="562" t="s">
        <v>745</v>
      </c>
      <c r="L2" s="562" t="s">
        <v>711</v>
      </c>
      <c r="M2" s="562" t="s">
        <v>727</v>
      </c>
      <c r="N2" s="562" t="s">
        <v>729</v>
      </c>
      <c r="O2" s="562" t="s">
        <v>730</v>
      </c>
      <c r="P2" s="562" t="s">
        <v>713</v>
      </c>
      <c r="Q2" s="562" t="s">
        <v>738</v>
      </c>
      <c r="R2" s="562" t="s">
        <v>739</v>
      </c>
      <c r="S2" s="562" t="s">
        <v>816</v>
      </c>
    </row>
    <row r="3" spans="2:19">
      <c r="B3" s="282" t="s">
        <v>701</v>
      </c>
      <c r="C3" s="448" t="s">
        <v>673</v>
      </c>
      <c r="D3" s="448" t="s">
        <v>673</v>
      </c>
      <c r="E3" s="448" t="s">
        <v>673</v>
      </c>
      <c r="F3" s="448" t="s">
        <v>673</v>
      </c>
      <c r="G3" s="448" t="s">
        <v>674</v>
      </c>
      <c r="H3" s="448" t="s">
        <v>673</v>
      </c>
      <c r="I3" s="448" t="s">
        <v>674</v>
      </c>
      <c r="J3" s="448" t="s">
        <v>696</v>
      </c>
      <c r="K3" s="448" t="s">
        <v>696</v>
      </c>
      <c r="L3" s="448" t="s">
        <v>673</v>
      </c>
      <c r="M3" s="448" t="s">
        <v>673</v>
      </c>
      <c r="N3" s="448" t="s">
        <v>673</v>
      </c>
      <c r="O3" s="448" t="s">
        <v>673</v>
      </c>
      <c r="P3" s="448" t="s">
        <v>673</v>
      </c>
      <c r="Q3" s="448" t="s">
        <v>673</v>
      </c>
      <c r="R3" s="448" t="s">
        <v>673</v>
      </c>
      <c r="S3" s="448" t="s">
        <v>696</v>
      </c>
    </row>
  </sheetData>
  <conditionalFormatting sqref="B3">
    <cfRule type="containsText" dxfId="1024" priority="1" operator="containsText" text="&lt;*">
      <formula>NOT(ISERROR(SEARCH("&lt;*",B3)))</formula>
    </cfRule>
  </conditionalFormatting>
  <pageMargins left="0.7" right="0.7" top="0.75" bottom="0.75" header="0.3" footer="0.3"/>
  <pageSetup orientation="portrait" r:id="rId1"/>
  <customProperties>
    <customPr name="EpmWorksheetKeyString_GUID" r:id="rId2"/>
  </customPropertie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AH230"/>
  <sheetViews>
    <sheetView showGridLines="0" tabSelected="1" zoomScale="85" zoomScaleNormal="85" workbookViewId="0">
      <pane xSplit="3" ySplit="5" topLeftCell="D6" activePane="bottomRight" state="frozen"/>
      <selection activeCell="R14" sqref="R14"/>
      <selection pane="topRight" activeCell="R14" sqref="R14"/>
      <selection pane="bottomLeft" activeCell="R14" sqref="R14"/>
      <selection pane="bottomRight" activeCell="G8" sqref="G8"/>
    </sheetView>
  </sheetViews>
  <sheetFormatPr defaultColWidth="15.54296875" defaultRowHeight="12.75" customHeight="1"/>
  <cols>
    <col min="1" max="1" width="11.81640625" customWidth="1"/>
    <col min="2" max="2" width="28" customWidth="1"/>
    <col min="3" max="3" width="25.453125" customWidth="1"/>
    <col min="4" max="4" width="16.81640625" customWidth="1"/>
    <col min="5" max="6" width="16.81640625" style="164" customWidth="1"/>
    <col min="7" max="8" width="15.54296875" customWidth="1"/>
    <col min="9" max="13" width="15.54296875" style="164" customWidth="1"/>
    <col min="14" max="14" width="15.54296875" customWidth="1"/>
    <col min="15" max="16" width="15.54296875" style="164" customWidth="1"/>
    <col min="17" max="18" width="15.54296875" customWidth="1"/>
    <col min="19" max="19" width="17.54296875" customWidth="1"/>
    <col min="20" max="23" width="15.54296875" customWidth="1"/>
    <col min="24" max="24" width="15.54296875" style="164" customWidth="1"/>
    <col min="25" max="28" width="15.54296875" customWidth="1"/>
    <col min="29" max="29" width="15.54296875" style="164" customWidth="1"/>
    <col min="30" max="30" width="15.54296875" customWidth="1"/>
    <col min="31" max="31" width="15.54296875" style="164" customWidth="1"/>
    <col min="32" max="32" width="15.54296875" customWidth="1"/>
    <col min="33" max="34" width="15.54296875" style="164"/>
    <col min="35" max="35" width="15.54296875" customWidth="1"/>
  </cols>
  <sheetData>
    <row r="1" spans="1:34" ht="15.5">
      <c r="A1" s="29" t="s">
        <v>161</v>
      </c>
      <c r="B1" s="17" t="s">
        <v>143</v>
      </c>
      <c r="C1" s="17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Y1" s="164"/>
      <c r="Z1" s="164"/>
      <c r="AA1" s="164"/>
      <c r="AB1" s="164"/>
      <c r="AD1" s="164"/>
    </row>
    <row r="2" spans="1:34" ht="12.75" customHeight="1">
      <c r="B2" s="14"/>
      <c r="H2" s="164"/>
      <c r="N2" s="164"/>
      <c r="Q2" s="164"/>
      <c r="R2" s="164"/>
      <c r="S2" s="164"/>
      <c r="T2" s="164"/>
      <c r="U2" s="164"/>
      <c r="V2" s="164"/>
      <c r="Y2" s="164"/>
      <c r="Z2" s="164"/>
      <c r="AA2" s="164"/>
      <c r="AB2" s="164"/>
      <c r="AD2" s="164"/>
    </row>
    <row r="3" spans="1:34" ht="12.75" customHeight="1">
      <c r="B3" s="33" t="str">
        <f ca="1">GetNameRange(B4)</f>
        <v>FIAPol</v>
      </c>
      <c r="G3" s="167"/>
      <c r="H3" s="167"/>
      <c r="I3" s="167"/>
      <c r="J3" s="167"/>
      <c r="K3" s="167"/>
      <c r="L3" s="167"/>
      <c r="M3" s="167"/>
      <c r="N3" s="167"/>
      <c r="O3" s="167"/>
      <c r="P3" s="167"/>
      <c r="Q3" s="167"/>
      <c r="R3" s="167"/>
      <c r="S3" s="167"/>
      <c r="T3" s="167"/>
      <c r="U3" s="167"/>
      <c r="V3" s="167"/>
      <c r="W3" s="167"/>
      <c r="X3" s="167"/>
      <c r="Y3" s="167"/>
      <c r="Z3" s="167"/>
      <c r="AA3" s="167"/>
      <c r="AB3" s="167"/>
      <c r="AC3" s="167"/>
      <c r="AD3" s="167"/>
      <c r="AE3" s="167"/>
    </row>
    <row r="4" spans="1:34" s="155" customFormat="1" ht="12.75" customHeight="1">
      <c r="A4" s="169"/>
      <c r="B4" s="169"/>
      <c r="C4" s="169" t="s">
        <v>47</v>
      </c>
      <c r="D4" s="192" t="s">
        <v>49</v>
      </c>
      <c r="E4" s="2" t="s">
        <v>642</v>
      </c>
      <c r="F4" s="2" t="s">
        <v>643</v>
      </c>
      <c r="G4" s="219" t="s">
        <v>612</v>
      </c>
    </row>
    <row r="5" spans="1:34" ht="12.75" customHeight="1" thickBot="1">
      <c r="A5" s="78"/>
      <c r="B5" s="84" t="s">
        <v>29</v>
      </c>
      <c r="C5" s="78"/>
      <c r="D5" s="78"/>
      <c r="E5" s="85"/>
      <c r="F5" s="85"/>
      <c r="G5" s="221"/>
      <c r="H5" s="159"/>
      <c r="I5" s="16"/>
      <c r="J5"/>
      <c r="K5"/>
      <c r="L5"/>
      <c r="M5"/>
      <c r="O5"/>
      <c r="P5"/>
      <c r="X5"/>
      <c r="AC5"/>
      <c r="AE5"/>
      <c r="AG5"/>
      <c r="AH5"/>
    </row>
    <row r="6" spans="1:34" ht="12.75" customHeight="1">
      <c r="A6" s="32"/>
      <c r="B6" s="19"/>
      <c r="C6" s="15"/>
      <c r="D6" s="15"/>
      <c r="E6" s="167"/>
      <c r="F6" s="167"/>
      <c r="G6" s="222"/>
      <c r="H6" s="159"/>
      <c r="I6" s="16"/>
      <c r="J6"/>
      <c r="K6"/>
      <c r="L6"/>
      <c r="M6"/>
      <c r="O6"/>
      <c r="P6"/>
      <c r="X6"/>
      <c r="AC6"/>
      <c r="AE6"/>
      <c r="AG6"/>
      <c r="AH6"/>
    </row>
    <row r="7" spans="1:34" ht="12.75" customHeight="1">
      <c r="A7" s="31"/>
      <c r="B7" s="21"/>
      <c r="C7" s="28"/>
      <c r="D7" s="28"/>
      <c r="E7" s="319"/>
      <c r="F7" s="319"/>
      <c r="G7" s="190"/>
      <c r="H7" s="159"/>
      <c r="I7" s="16"/>
      <c r="J7"/>
      <c r="K7"/>
      <c r="L7"/>
      <c r="M7"/>
      <c r="O7"/>
      <c r="P7"/>
      <c r="X7"/>
      <c r="AC7"/>
      <c r="AE7"/>
      <c r="AG7"/>
      <c r="AH7"/>
    </row>
    <row r="8" spans="1:34" ht="12.75" customHeight="1">
      <c r="A8" s="31"/>
      <c r="B8" s="20" t="s">
        <v>279</v>
      </c>
      <c r="C8" s="36"/>
      <c r="D8" s="28"/>
      <c r="E8" s="319"/>
      <c r="F8" s="319"/>
      <c r="G8" s="228"/>
      <c r="H8" s="159"/>
      <c r="I8" s="16"/>
      <c r="J8"/>
      <c r="K8"/>
      <c r="L8"/>
      <c r="M8"/>
      <c r="O8"/>
      <c r="P8"/>
      <c r="X8"/>
      <c r="AC8"/>
      <c r="AE8"/>
      <c r="AG8"/>
      <c r="AH8"/>
    </row>
    <row r="9" spans="1:34" ht="12.75" customHeight="1">
      <c r="A9" s="44">
        <v>0</v>
      </c>
      <c r="B9" s="80" t="s">
        <v>270</v>
      </c>
      <c r="C9" s="37"/>
      <c r="D9" s="136"/>
      <c r="E9" s="319" t="s">
        <v>164</v>
      </c>
      <c r="F9" s="319" t="s">
        <v>164</v>
      </c>
      <c r="G9" s="228" t="s">
        <v>164</v>
      </c>
      <c r="H9" s="159"/>
      <c r="I9" s="16"/>
      <c r="J9"/>
      <c r="K9"/>
      <c r="L9"/>
      <c r="M9"/>
      <c r="O9"/>
      <c r="P9"/>
      <c r="X9"/>
      <c r="AC9"/>
      <c r="AE9"/>
      <c r="AG9"/>
      <c r="AH9"/>
    </row>
    <row r="10" spans="1:34" s="164" customFormat="1" ht="12.75" customHeight="1">
      <c r="A10" s="455"/>
      <c r="B10" s="162" t="s">
        <v>823</v>
      </c>
      <c r="C10" s="320"/>
      <c r="D10" s="320"/>
      <c r="E10" s="319" t="s">
        <v>824</v>
      </c>
      <c r="F10" s="319" t="s">
        <v>824</v>
      </c>
      <c r="G10" s="319" t="s">
        <v>824</v>
      </c>
    </row>
    <row r="11" spans="1:34" ht="12.75" customHeight="1">
      <c r="A11" s="31"/>
      <c r="B11" s="21"/>
      <c r="C11" s="28"/>
      <c r="D11" s="28"/>
      <c r="E11" s="319"/>
      <c r="F11" s="319"/>
      <c r="G11" s="190"/>
      <c r="H11" s="159"/>
      <c r="I11" s="16"/>
      <c r="J11"/>
      <c r="K11"/>
      <c r="L11"/>
      <c r="M11"/>
      <c r="O11"/>
      <c r="P11"/>
      <c r="X11"/>
      <c r="AC11"/>
      <c r="AE11"/>
      <c r="AG11"/>
      <c r="AH11"/>
    </row>
    <row r="12" spans="1:34" ht="12.75" customHeight="1">
      <c r="A12" s="31"/>
      <c r="B12" s="20" t="s">
        <v>276</v>
      </c>
      <c r="C12" s="28"/>
      <c r="D12" s="28"/>
      <c r="E12" s="319"/>
      <c r="F12" s="319"/>
      <c r="G12" s="190"/>
      <c r="H12" s="159"/>
      <c r="I12" s="16"/>
      <c r="J12"/>
      <c r="K12"/>
      <c r="L12"/>
      <c r="M12"/>
      <c r="O12"/>
      <c r="P12"/>
      <c r="X12"/>
      <c r="AC12"/>
      <c r="AE12"/>
      <c r="AG12"/>
      <c r="AH12"/>
    </row>
    <row r="13" spans="1:34" ht="12.75" customHeight="1">
      <c r="A13" s="44">
        <v>0</v>
      </c>
      <c r="B13" s="80" t="s">
        <v>274</v>
      </c>
      <c r="C13" s="37"/>
      <c r="D13" s="136"/>
      <c r="E13" s="319" t="s">
        <v>164</v>
      </c>
      <c r="F13" s="319" t="s">
        <v>164</v>
      </c>
      <c r="G13" s="228" t="s">
        <v>164</v>
      </c>
      <c r="H13" s="159"/>
      <c r="I13" s="16"/>
      <c r="J13"/>
      <c r="K13"/>
      <c r="L13"/>
      <c r="M13"/>
      <c r="O13"/>
      <c r="P13"/>
      <c r="X13"/>
      <c r="AC13"/>
      <c r="AE13"/>
      <c r="AG13"/>
      <c r="AH13"/>
    </row>
    <row r="14" spans="1:34" ht="12.75" customHeight="1">
      <c r="A14" s="44">
        <v>0</v>
      </c>
      <c r="B14" s="80" t="s">
        <v>275</v>
      </c>
      <c r="C14" s="37"/>
      <c r="D14" s="136"/>
      <c r="E14" s="319" t="s">
        <v>164</v>
      </c>
      <c r="F14" s="319" t="s">
        <v>164</v>
      </c>
      <c r="G14" s="228" t="s">
        <v>164</v>
      </c>
      <c r="H14" s="159"/>
      <c r="I14" s="16"/>
      <c r="J14"/>
      <c r="K14"/>
      <c r="L14"/>
      <c r="M14"/>
      <c r="O14"/>
      <c r="P14"/>
      <c r="X14"/>
      <c r="AC14"/>
      <c r="AE14"/>
      <c r="AG14"/>
      <c r="AH14"/>
    </row>
    <row r="15" spans="1:34" ht="12.75" customHeight="1">
      <c r="A15" s="31"/>
      <c r="B15" s="21"/>
      <c r="C15" s="28"/>
      <c r="D15" s="28"/>
      <c r="E15" s="319"/>
      <c r="F15" s="319"/>
      <c r="G15" s="190"/>
      <c r="H15" s="159"/>
      <c r="I15" s="16"/>
      <c r="J15"/>
      <c r="K15"/>
      <c r="L15"/>
      <c r="M15"/>
      <c r="O15"/>
      <c r="P15"/>
      <c r="X15"/>
      <c r="AC15"/>
      <c r="AE15"/>
      <c r="AG15"/>
      <c r="AH15"/>
    </row>
    <row r="16" spans="1:34" s="164" customFormat="1" ht="12.75" customHeight="1">
      <c r="A16" s="31"/>
      <c r="B16" s="20" t="s">
        <v>393</v>
      </c>
      <c r="C16" s="36"/>
      <c r="D16" s="28"/>
      <c r="E16" s="319"/>
      <c r="F16" s="319"/>
      <c r="G16" s="228"/>
      <c r="H16" s="159"/>
      <c r="I16" s="159"/>
    </row>
    <row r="17" spans="1:34" s="164" customFormat="1" ht="12.75" customHeight="1">
      <c r="A17" s="44">
        <v>0</v>
      </c>
      <c r="B17" s="162" t="s">
        <v>394</v>
      </c>
      <c r="C17" s="37"/>
      <c r="D17" s="160"/>
      <c r="E17" s="533" t="s">
        <v>164</v>
      </c>
      <c r="F17" s="533" t="s">
        <v>164</v>
      </c>
      <c r="G17" s="313" t="s">
        <v>164</v>
      </c>
      <c r="H17" s="159"/>
      <c r="I17" s="159"/>
    </row>
    <row r="18" spans="1:34" s="164" customFormat="1" ht="12.75" customHeight="1">
      <c r="A18" s="44">
        <v>0</v>
      </c>
      <c r="B18" s="162" t="s">
        <v>395</v>
      </c>
      <c r="C18" s="37"/>
      <c r="D18" s="160"/>
      <c r="E18" s="533" t="s">
        <v>164</v>
      </c>
      <c r="F18" s="533" t="s">
        <v>164</v>
      </c>
      <c r="G18" s="313" t="s">
        <v>164</v>
      </c>
      <c r="H18" s="159"/>
      <c r="I18" s="159"/>
    </row>
    <row r="19" spans="1:34" s="164" customFormat="1" ht="12.75" customHeight="1">
      <c r="A19" s="44">
        <v>0.4</v>
      </c>
      <c r="B19" s="162" t="s">
        <v>396</v>
      </c>
      <c r="C19" s="37"/>
      <c r="D19" s="160"/>
      <c r="E19" s="319">
        <v>0.4</v>
      </c>
      <c r="F19" s="319">
        <v>0.4</v>
      </c>
      <c r="G19" s="228">
        <v>0.4</v>
      </c>
      <c r="H19" s="159"/>
      <c r="I19" s="159"/>
    </row>
    <row r="20" spans="1:34" s="164" customFormat="1" ht="12.75" customHeight="1">
      <c r="A20" s="44">
        <v>0.75</v>
      </c>
      <c r="B20" s="162" t="s">
        <v>402</v>
      </c>
      <c r="C20" s="37"/>
      <c r="D20" s="160"/>
      <c r="E20" s="319">
        <v>0.75</v>
      </c>
      <c r="F20" s="319">
        <v>0.75</v>
      </c>
      <c r="G20" s="228">
        <v>0.75</v>
      </c>
      <c r="H20" s="159"/>
      <c r="I20" s="159"/>
    </row>
    <row r="21" spans="1:34" s="164" customFormat="1" ht="12.75" customHeight="1">
      <c r="A21" s="44">
        <v>0.75</v>
      </c>
      <c r="B21" s="162" t="s">
        <v>403</v>
      </c>
      <c r="C21" s="37"/>
      <c r="D21" s="160"/>
      <c r="E21" s="319">
        <v>0.75</v>
      </c>
      <c r="F21" s="319">
        <v>0.75</v>
      </c>
      <c r="G21" s="228">
        <v>0.75</v>
      </c>
      <c r="H21" s="159"/>
      <c r="I21" s="159"/>
    </row>
    <row r="22" spans="1:34" s="164" customFormat="1" ht="12.75" customHeight="1">
      <c r="A22" s="31"/>
      <c r="B22" s="21"/>
      <c r="C22" s="28"/>
      <c r="D22" s="28"/>
      <c r="E22" s="319"/>
      <c r="F22" s="319"/>
      <c r="G22" s="190"/>
      <c r="H22" s="159"/>
      <c r="I22" s="159"/>
    </row>
    <row r="23" spans="1:34" ht="12.75" customHeight="1">
      <c r="A23" s="31"/>
      <c r="B23" s="20" t="s">
        <v>145</v>
      </c>
      <c r="C23" s="36"/>
      <c r="D23" s="28"/>
      <c r="E23" s="319"/>
      <c r="F23" s="319"/>
      <c r="G23" s="228"/>
      <c r="H23" s="159"/>
      <c r="I23" s="16"/>
      <c r="J23"/>
      <c r="K23"/>
      <c r="L23"/>
      <c r="M23"/>
      <c r="O23"/>
      <c r="P23"/>
      <c r="X23"/>
      <c r="AC23"/>
      <c r="AE23"/>
      <c r="AG23"/>
      <c r="AH23"/>
    </row>
    <row r="24" spans="1:34" s="164" customFormat="1" ht="12.75" customHeight="1">
      <c r="A24" s="31" t="s">
        <v>39</v>
      </c>
      <c r="B24" s="162" t="s">
        <v>289</v>
      </c>
      <c r="C24" s="37"/>
      <c r="D24" s="160"/>
      <c r="E24" s="319" t="s">
        <v>39</v>
      </c>
      <c r="F24" s="319" t="s">
        <v>39</v>
      </c>
      <c r="G24" s="195" t="s">
        <v>39</v>
      </c>
      <c r="H24" s="159"/>
      <c r="I24" s="159"/>
    </row>
    <row r="25" spans="1:34" ht="12.75" customHeight="1">
      <c r="A25" s="44">
        <v>0</v>
      </c>
      <c r="B25" s="80" t="s">
        <v>148</v>
      </c>
      <c r="C25" s="45"/>
      <c r="D25" s="13"/>
      <c r="E25" s="455">
        <v>0.3</v>
      </c>
      <c r="F25" s="455">
        <v>0.3</v>
      </c>
      <c r="G25" s="243">
        <v>0.3</v>
      </c>
      <c r="H25" s="159"/>
      <c r="I25" s="16"/>
      <c r="J25"/>
      <c r="K25"/>
      <c r="L25"/>
      <c r="M25"/>
      <c r="O25"/>
      <c r="P25"/>
      <c r="X25"/>
      <c r="AC25"/>
      <c r="AE25"/>
      <c r="AG25"/>
      <c r="AH25"/>
    </row>
    <row r="26" spans="1:34" ht="12.75" customHeight="1">
      <c r="A26" s="44">
        <v>0</v>
      </c>
      <c r="B26" s="80" t="s">
        <v>149</v>
      </c>
      <c r="C26" s="45"/>
      <c r="D26" s="13"/>
      <c r="E26" s="455">
        <v>1</v>
      </c>
      <c r="F26" s="455">
        <v>1</v>
      </c>
      <c r="G26" s="243">
        <v>1</v>
      </c>
      <c r="H26" s="159"/>
      <c r="I26" s="16"/>
      <c r="J26"/>
      <c r="K26"/>
      <c r="L26"/>
      <c r="M26"/>
      <c r="O26"/>
      <c r="P26"/>
      <c r="X26"/>
      <c r="AC26"/>
      <c r="AE26"/>
      <c r="AG26"/>
      <c r="AH26"/>
    </row>
    <row r="27" spans="1:34" ht="12.75" customHeight="1">
      <c r="A27" s="44">
        <v>0</v>
      </c>
      <c r="B27" s="80" t="s">
        <v>150</v>
      </c>
      <c r="C27" s="45"/>
      <c r="D27" s="13"/>
      <c r="E27" s="455">
        <v>1</v>
      </c>
      <c r="F27" s="455">
        <v>1</v>
      </c>
      <c r="G27" s="243">
        <v>1</v>
      </c>
      <c r="H27" s="159"/>
      <c r="I27" s="16"/>
      <c r="J27"/>
      <c r="K27"/>
      <c r="L27"/>
      <c r="M27"/>
      <c r="O27"/>
      <c r="P27"/>
      <c r="X27"/>
      <c r="AC27"/>
      <c r="AE27"/>
      <c r="AG27"/>
      <c r="AH27"/>
    </row>
    <row r="28" spans="1:34" ht="12.75" customHeight="1">
      <c r="A28" s="44">
        <v>0</v>
      </c>
      <c r="B28" s="80" t="s">
        <v>151</v>
      </c>
      <c r="C28" s="45"/>
      <c r="D28" s="13"/>
      <c r="E28" s="455">
        <v>0.01</v>
      </c>
      <c r="F28" s="455">
        <v>0.01</v>
      </c>
      <c r="G28" s="243">
        <v>0.01</v>
      </c>
      <c r="H28" s="159"/>
      <c r="I28" s="16"/>
      <c r="J28"/>
      <c r="K28"/>
      <c r="L28"/>
      <c r="M28"/>
      <c r="O28"/>
      <c r="P28"/>
      <c r="X28"/>
      <c r="AC28"/>
      <c r="AE28"/>
      <c r="AG28"/>
      <c r="AH28"/>
    </row>
    <row r="29" spans="1:34" ht="12.75" customHeight="1">
      <c r="A29" s="31" t="s">
        <v>35</v>
      </c>
      <c r="B29" s="80" t="s">
        <v>152</v>
      </c>
      <c r="C29" s="354" t="s">
        <v>479</v>
      </c>
      <c r="D29" s="13"/>
      <c r="E29" s="319" t="s">
        <v>213</v>
      </c>
      <c r="F29" s="319" t="s">
        <v>213</v>
      </c>
      <c r="G29" s="316" t="s">
        <v>213</v>
      </c>
      <c r="H29" s="159"/>
      <c r="I29" s="16"/>
      <c r="J29"/>
      <c r="K29"/>
      <c r="L29"/>
      <c r="M29"/>
      <c r="O29"/>
      <c r="P29"/>
      <c r="X29"/>
      <c r="AC29"/>
      <c r="AE29"/>
      <c r="AG29"/>
      <c r="AH29"/>
    </row>
    <row r="30" spans="1:34" ht="12.75" customHeight="1">
      <c r="A30" s="44">
        <v>0.05</v>
      </c>
      <c r="B30" s="80" t="s">
        <v>153</v>
      </c>
      <c r="C30" s="45"/>
      <c r="D30" s="13"/>
      <c r="E30" s="455">
        <v>0.05</v>
      </c>
      <c r="F30" s="455">
        <v>0.05</v>
      </c>
      <c r="G30" s="243">
        <v>0.05</v>
      </c>
      <c r="H30" s="159"/>
      <c r="I30" s="16"/>
      <c r="J30"/>
      <c r="K30"/>
      <c r="L30"/>
      <c r="M30"/>
      <c r="O30"/>
      <c r="P30"/>
      <c r="X30"/>
      <c r="AC30"/>
      <c r="AE30"/>
      <c r="AG30"/>
      <c r="AH30"/>
    </row>
    <row r="31" spans="1:34" s="164" customFormat="1" ht="12.75" customHeight="1">
      <c r="A31" s="31" t="s">
        <v>39</v>
      </c>
      <c r="B31" s="162" t="s">
        <v>154</v>
      </c>
      <c r="C31" s="37"/>
      <c r="D31" s="160"/>
      <c r="E31" s="319" t="s">
        <v>39</v>
      </c>
      <c r="F31" s="319" t="s">
        <v>39</v>
      </c>
      <c r="G31" s="228" t="s">
        <v>39</v>
      </c>
      <c r="H31" s="159"/>
      <c r="I31" s="159"/>
    </row>
    <row r="32" spans="1:34" s="164" customFormat="1" ht="12.75" customHeight="1">
      <c r="A32" s="44">
        <v>0</v>
      </c>
      <c r="B32" s="162" t="s">
        <v>740</v>
      </c>
      <c r="C32" s="45"/>
      <c r="D32" s="160"/>
      <c r="E32" s="319">
        <v>0.25</v>
      </c>
      <c r="F32" s="319">
        <v>0.25</v>
      </c>
      <c r="G32" s="228">
        <v>1</v>
      </c>
      <c r="H32" s="159"/>
      <c r="I32" s="159"/>
    </row>
    <row r="33" spans="1:34" ht="12.75" customHeight="1">
      <c r="A33" s="44">
        <v>0</v>
      </c>
      <c r="B33" s="162" t="s">
        <v>741</v>
      </c>
      <c r="C33" s="45"/>
      <c r="D33" s="160"/>
      <c r="E33" s="319">
        <v>0.43</v>
      </c>
      <c r="F33" s="319">
        <v>0.43</v>
      </c>
      <c r="G33" s="228">
        <v>0</v>
      </c>
      <c r="H33" s="159"/>
      <c r="I33" s="16"/>
      <c r="J33"/>
      <c r="K33"/>
      <c r="L33"/>
      <c r="M33"/>
      <c r="O33"/>
      <c r="P33"/>
      <c r="X33"/>
      <c r="AC33"/>
      <c r="AE33"/>
      <c r="AG33"/>
      <c r="AH33"/>
    </row>
    <row r="34" spans="1:34" ht="12.75" customHeight="1">
      <c r="G34" s="164"/>
      <c r="H34" s="164"/>
      <c r="I34"/>
      <c r="J34"/>
      <c r="K34"/>
      <c r="L34"/>
      <c r="M34"/>
      <c r="O34"/>
      <c r="P34"/>
      <c r="X34"/>
      <c r="AC34"/>
      <c r="AE34"/>
      <c r="AG34"/>
      <c r="AH34"/>
    </row>
    <row r="35" spans="1:34" s="164" customFormat="1" ht="12.75" customHeight="1">
      <c r="A35" s="31"/>
      <c r="B35" s="20" t="s">
        <v>449</v>
      </c>
      <c r="C35" s="36"/>
      <c r="D35" s="28"/>
      <c r="E35" s="319"/>
      <c r="F35" s="319"/>
      <c r="G35" s="228"/>
      <c r="H35" s="159"/>
      <c r="I35" s="159"/>
    </row>
    <row r="36" spans="1:34" s="164" customFormat="1" ht="12.75" customHeight="1">
      <c r="A36" s="44">
        <v>0.95</v>
      </c>
      <c r="B36" s="162" t="s">
        <v>450</v>
      </c>
      <c r="C36" s="45"/>
      <c r="D36" s="160"/>
      <c r="E36" s="455">
        <v>0.95</v>
      </c>
      <c r="F36" s="455">
        <v>0.95</v>
      </c>
      <c r="G36" s="243">
        <v>0.95</v>
      </c>
      <c r="H36" s="159"/>
      <c r="I36" s="159"/>
    </row>
    <row r="37" spans="1:34" s="164" customFormat="1" ht="12.75" customHeight="1">
      <c r="A37" s="44"/>
      <c r="B37" s="45"/>
      <c r="C37" s="45"/>
      <c r="D37" s="160"/>
      <c r="E37" s="455"/>
      <c r="F37" s="455"/>
      <c r="G37" s="240"/>
      <c r="H37" s="159"/>
      <c r="I37" s="159"/>
    </row>
    <row r="38" spans="1:34" s="164" customFormat="1" ht="12.75" customHeight="1">
      <c r="A38" s="455"/>
      <c r="B38" s="318" t="s">
        <v>598</v>
      </c>
    </row>
    <row r="39" spans="1:34" s="164" customFormat="1" ht="12.75" customHeight="1">
      <c r="A39" s="455">
        <v>3.75</v>
      </c>
      <c r="B39" s="458" t="s">
        <v>599</v>
      </c>
      <c r="C39" s="459"/>
      <c r="D39" s="320"/>
      <c r="E39" s="455">
        <v>0.45</v>
      </c>
      <c r="F39" s="455">
        <v>0.45</v>
      </c>
      <c r="G39" s="539">
        <v>3.75</v>
      </c>
      <c r="H39" s="164" t="s">
        <v>663</v>
      </c>
    </row>
    <row r="40" spans="1:34" s="164" customFormat="1" ht="12.75" customHeight="1">
      <c r="A40" s="455">
        <v>0.45</v>
      </c>
      <c r="B40" s="460" t="s">
        <v>600</v>
      </c>
      <c r="C40" s="459"/>
      <c r="D40" s="320"/>
      <c r="E40" s="455">
        <v>3.75</v>
      </c>
      <c r="F40" s="455">
        <v>3.75</v>
      </c>
      <c r="G40" s="539">
        <v>0.45</v>
      </c>
    </row>
    <row r="41" spans="1:34" s="164" customFormat="1" ht="12.75" customHeight="1">
      <c r="A41" s="455">
        <v>-1</v>
      </c>
      <c r="B41" s="460" t="s">
        <v>601</v>
      </c>
      <c r="C41" s="459"/>
      <c r="D41" s="320"/>
      <c r="E41" s="455">
        <v>-1</v>
      </c>
      <c r="F41" s="455">
        <v>-1</v>
      </c>
      <c r="G41" s="539">
        <v>-1</v>
      </c>
    </row>
    <row r="42" spans="1:34" s="164" customFormat="1" ht="12.75" customHeight="1">
      <c r="A42" s="455">
        <v>0</v>
      </c>
      <c r="B42" s="322" t="s">
        <v>602</v>
      </c>
      <c r="C42" s="459"/>
      <c r="D42" s="320"/>
      <c r="E42" s="455">
        <v>0</v>
      </c>
      <c r="F42" s="455">
        <v>0.2</v>
      </c>
      <c r="G42" s="539">
        <v>0</v>
      </c>
    </row>
    <row r="43" spans="1:34" s="164" customFormat="1" ht="12.75" customHeight="1"/>
    <row r="44" spans="1:34" s="164" customFormat="1" ht="12.75" customHeight="1">
      <c r="B44" s="318" t="s">
        <v>722</v>
      </c>
    </row>
    <row r="45" spans="1:34" s="164" customFormat="1" ht="12.75" customHeight="1">
      <c r="B45" s="322" t="s">
        <v>723</v>
      </c>
      <c r="E45" s="455">
        <v>1</v>
      </c>
      <c r="F45" s="455">
        <v>1</v>
      </c>
      <c r="G45" s="455">
        <v>1.1499999999999999</v>
      </c>
    </row>
    <row r="46" spans="1:34" s="164" customFormat="1" ht="12.75" customHeight="1"/>
    <row r="47" spans="1:34" s="164" customFormat="1" ht="12.75" customHeight="1">
      <c r="B47" s="318" t="s">
        <v>431</v>
      </c>
      <c r="G47" s="30"/>
    </row>
    <row r="48" spans="1:34" s="361" customFormat="1" ht="12.75" customHeight="1">
      <c r="A48" s="363">
        <v>0.75</v>
      </c>
      <c r="B48" s="360" t="s">
        <v>432</v>
      </c>
      <c r="C48" s="362"/>
      <c r="D48" s="362"/>
      <c r="E48" s="363">
        <v>0.65</v>
      </c>
      <c r="F48" s="363">
        <v>0.65</v>
      </c>
      <c r="G48" s="363">
        <v>0.65</v>
      </c>
    </row>
    <row r="49" spans="1:34" s="164" customFormat="1" ht="12.75" customHeight="1">
      <c r="B49" s="321"/>
      <c r="G49" s="30"/>
    </row>
    <row r="50" spans="1:34" ht="12.75" customHeight="1">
      <c r="A50" s="31"/>
      <c r="B50" s="20" t="s">
        <v>147</v>
      </c>
      <c r="C50" s="28"/>
      <c r="D50" s="28"/>
      <c r="E50" s="319"/>
      <c r="F50" s="319"/>
      <c r="G50" s="190"/>
      <c r="H50" s="159"/>
      <c r="I50" s="16"/>
      <c r="J50"/>
      <c r="K50"/>
      <c r="L50"/>
      <c r="M50"/>
      <c r="O50"/>
      <c r="P50"/>
      <c r="X50"/>
      <c r="AC50"/>
      <c r="AE50"/>
      <c r="AG50"/>
      <c r="AH50"/>
    </row>
    <row r="51" spans="1:34" ht="12.75" customHeight="1">
      <c r="A51" s="31" t="s">
        <v>35</v>
      </c>
      <c r="B51" s="80" t="s">
        <v>156</v>
      </c>
      <c r="C51" s="13"/>
      <c r="D51" s="13"/>
      <c r="E51" s="319" t="s">
        <v>35</v>
      </c>
      <c r="F51" s="319" t="s">
        <v>35</v>
      </c>
      <c r="G51" s="190" t="s">
        <v>35</v>
      </c>
      <c r="H51" s="159"/>
      <c r="I51" s="16"/>
      <c r="J51"/>
      <c r="K51"/>
      <c r="L51"/>
      <c r="M51"/>
      <c r="O51"/>
      <c r="P51"/>
      <c r="X51"/>
      <c r="AC51"/>
      <c r="AE51"/>
      <c r="AG51"/>
      <c r="AH51"/>
    </row>
    <row r="52" spans="1:34" ht="12.75" customHeight="1">
      <c r="A52" s="48">
        <v>0</v>
      </c>
      <c r="B52" s="81" t="s">
        <v>158</v>
      </c>
      <c r="C52" s="37"/>
      <c r="D52" s="13"/>
      <c r="E52" s="319" t="s">
        <v>164</v>
      </c>
      <c r="F52" s="319" t="s">
        <v>164</v>
      </c>
      <c r="G52" s="257" t="s">
        <v>164</v>
      </c>
      <c r="H52" s="159"/>
      <c r="I52" s="16"/>
      <c r="J52"/>
      <c r="K52"/>
      <c r="L52"/>
      <c r="M52"/>
      <c r="O52"/>
      <c r="P52"/>
      <c r="X52"/>
      <c r="AC52"/>
      <c r="AE52"/>
      <c r="AG52"/>
      <c r="AH52"/>
    </row>
    <row r="53" spans="1:34" ht="12.75" customHeight="1">
      <c r="A53" s="44">
        <v>0</v>
      </c>
      <c r="B53" s="80" t="s">
        <v>159</v>
      </c>
      <c r="C53" s="46"/>
      <c r="D53" s="13"/>
      <c r="E53" s="534">
        <v>0.2</v>
      </c>
      <c r="F53" s="534">
        <v>0.2</v>
      </c>
      <c r="G53" s="466">
        <v>0</v>
      </c>
      <c r="H53" s="159"/>
      <c r="I53" s="16"/>
      <c r="J53"/>
      <c r="K53"/>
      <c r="L53"/>
      <c r="M53"/>
      <c r="O53"/>
      <c r="P53"/>
      <c r="X53"/>
      <c r="AC53"/>
      <c r="AE53"/>
      <c r="AG53"/>
      <c r="AH53"/>
    </row>
    <row r="54" spans="1:34" s="164" customFormat="1" ht="12.75" customHeight="1">
      <c r="A54" s="44"/>
      <c r="B54" s="162" t="s">
        <v>721</v>
      </c>
      <c r="C54" s="45"/>
      <c r="D54" s="160"/>
      <c r="E54" s="455">
        <v>1</v>
      </c>
      <c r="F54" s="455">
        <v>1</v>
      </c>
      <c r="G54" s="455">
        <v>1.1000000000000001</v>
      </c>
      <c r="H54" s="159"/>
      <c r="I54" s="159"/>
    </row>
    <row r="55" spans="1:34" ht="12.75" customHeight="1">
      <c r="A55" s="44">
        <v>1</v>
      </c>
      <c r="B55" s="80" t="s">
        <v>160</v>
      </c>
      <c r="C55" s="45"/>
      <c r="D55" s="13"/>
      <c r="E55" s="455">
        <v>1</v>
      </c>
      <c r="F55" s="455">
        <v>1</v>
      </c>
      <c r="G55" s="466">
        <v>0</v>
      </c>
      <c r="H55" s="159"/>
      <c r="I55" s="16"/>
      <c r="J55"/>
      <c r="K55"/>
      <c r="L55"/>
      <c r="M55"/>
      <c r="O55"/>
      <c r="P55"/>
      <c r="X55"/>
      <c r="AC55"/>
      <c r="AE55"/>
      <c r="AG55"/>
      <c r="AH55"/>
    </row>
    <row r="56" spans="1:34" ht="12.75" customHeight="1">
      <c r="A56" s="31" t="s">
        <v>39</v>
      </c>
      <c r="B56" s="80" t="s">
        <v>173</v>
      </c>
      <c r="C56" s="37"/>
      <c r="D56" s="35"/>
      <c r="E56" s="319" t="s">
        <v>39</v>
      </c>
      <c r="F56" s="319" t="s">
        <v>39</v>
      </c>
      <c r="G56" s="228" t="s">
        <v>39</v>
      </c>
      <c r="H56" s="159"/>
      <c r="I56" s="16"/>
      <c r="J56"/>
      <c r="K56"/>
      <c r="L56"/>
      <c r="M56"/>
      <c r="O56"/>
      <c r="P56"/>
      <c r="X56"/>
      <c r="AC56"/>
      <c r="AE56"/>
      <c r="AG56"/>
      <c r="AH56"/>
    </row>
    <row r="57" spans="1:34" ht="12.75" customHeight="1">
      <c r="A57" s="59">
        <v>0</v>
      </c>
      <c r="B57" s="81" t="s">
        <v>171</v>
      </c>
      <c r="C57" s="37"/>
      <c r="D57" s="35"/>
      <c r="E57" s="319" t="s">
        <v>164</v>
      </c>
      <c r="F57" s="319" t="s">
        <v>164</v>
      </c>
      <c r="G57" s="228" t="s">
        <v>164</v>
      </c>
      <c r="H57" s="159"/>
      <c r="I57" s="16"/>
      <c r="J57"/>
      <c r="K57"/>
      <c r="L57"/>
      <c r="M57"/>
      <c r="O57"/>
      <c r="P57"/>
      <c r="X57"/>
      <c r="AC57"/>
      <c r="AE57"/>
      <c r="AG57"/>
      <c r="AH57"/>
    </row>
    <row r="58" spans="1:34" ht="12.75" customHeight="1">
      <c r="A58" s="59" t="s">
        <v>39</v>
      </c>
      <c r="B58" s="80" t="s">
        <v>229</v>
      </c>
      <c r="C58" s="37"/>
      <c r="D58" s="35"/>
      <c r="E58" s="319" t="s">
        <v>39</v>
      </c>
      <c r="F58" s="319" t="s">
        <v>39</v>
      </c>
      <c r="G58" s="467" t="s">
        <v>39</v>
      </c>
      <c r="H58" s="159"/>
      <c r="I58" s="16"/>
      <c r="J58"/>
      <c r="K58"/>
      <c r="L58"/>
      <c r="M58"/>
      <c r="O58"/>
      <c r="P58"/>
      <c r="X58"/>
      <c r="AC58"/>
      <c r="AE58"/>
      <c r="AG58"/>
      <c r="AH58"/>
    </row>
    <row r="59" spans="1:34" ht="12.75" customHeight="1">
      <c r="A59" s="44">
        <v>1</v>
      </c>
      <c r="B59" s="91" t="s">
        <v>174</v>
      </c>
      <c r="C59" s="23"/>
      <c r="D59" s="23"/>
      <c r="E59" s="244" t="s">
        <v>164</v>
      </c>
      <c r="F59" s="244" t="s">
        <v>164</v>
      </c>
      <c r="G59" s="245" t="s">
        <v>164</v>
      </c>
      <c r="H59" s="159"/>
      <c r="I59" s="16"/>
      <c r="J59"/>
      <c r="K59"/>
      <c r="L59"/>
      <c r="M59"/>
      <c r="O59"/>
      <c r="P59"/>
      <c r="X59"/>
      <c r="AC59"/>
      <c r="AE59"/>
      <c r="AG59"/>
      <c r="AH59"/>
    </row>
    <row r="60" spans="1:34" ht="12.75" customHeight="1">
      <c r="A60" s="42"/>
      <c r="B60" s="16"/>
      <c r="C60" s="16"/>
      <c r="D60" s="16"/>
      <c r="E60" s="167"/>
      <c r="F60" s="167"/>
      <c r="G60" s="166"/>
      <c r="H60" s="159"/>
      <c r="I60" s="16"/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6"/>
      <c r="W60" s="16"/>
      <c r="X60" s="16"/>
      <c r="AC60"/>
      <c r="AE60"/>
      <c r="AG60"/>
      <c r="AH60"/>
    </row>
    <row r="61" spans="1:34" s="164" customFormat="1" ht="12.75" customHeight="1">
      <c r="A61" s="167"/>
      <c r="B61" s="159"/>
      <c r="C61" s="159"/>
      <c r="D61" s="159"/>
      <c r="E61" s="167"/>
      <c r="F61" s="167"/>
      <c r="G61" s="166"/>
      <c r="H61" s="159"/>
      <c r="I61" s="159"/>
      <c r="J61" s="159"/>
      <c r="K61" s="159"/>
      <c r="L61" s="159"/>
      <c r="M61" s="159"/>
      <c r="N61" s="159"/>
      <c r="O61" s="159"/>
      <c r="P61" s="159"/>
      <c r="Q61" s="159"/>
      <c r="R61" s="159"/>
      <c r="S61" s="159"/>
      <c r="T61" s="159"/>
      <c r="U61" s="159"/>
      <c r="V61" s="159"/>
      <c r="W61" s="159"/>
      <c r="X61" s="159"/>
    </row>
    <row r="62" spans="1:34" s="155" customFormat="1" ht="12.75" customHeight="1">
      <c r="A62" s="29" t="s">
        <v>161</v>
      </c>
      <c r="B62" s="33" t="str">
        <f ca="1">GetNameRange(B63)</f>
        <v>FIAPol_by_gmwb_aig</v>
      </c>
      <c r="C62" s="33"/>
      <c r="D62" s="149"/>
      <c r="E62" s="167"/>
      <c r="F62" s="167"/>
      <c r="G62" s="167"/>
    </row>
    <row r="63" spans="1:34" s="155" customFormat="1" ht="12.75" customHeight="1">
      <c r="A63" s="29" t="s">
        <v>162</v>
      </c>
      <c r="B63" s="169"/>
      <c r="C63" s="169" t="s">
        <v>47</v>
      </c>
      <c r="D63" s="219" t="str">
        <f>Decrement!D$4</f>
        <v>Value</v>
      </c>
      <c r="E63" s="168" t="s">
        <v>642</v>
      </c>
      <c r="F63" s="168" t="s">
        <v>643</v>
      </c>
      <c r="G63" s="168" t="str">
        <f t="shared" ref="G63" si="0">G$4</f>
        <v>RILA_1</v>
      </c>
    </row>
    <row r="64" spans="1:34" s="155" customFormat="1" ht="12.75" customHeight="1">
      <c r="B64" s="151" t="s">
        <v>320</v>
      </c>
      <c r="C64" s="151"/>
      <c r="D64" s="151"/>
      <c r="E64" s="167"/>
      <c r="F64" s="167"/>
      <c r="G64" s="242"/>
    </row>
    <row r="65" spans="1:34" s="164" customFormat="1" ht="12.75" customHeight="1">
      <c r="A65" s="31" t="s">
        <v>116</v>
      </c>
      <c r="B65" s="106">
        <v>0</v>
      </c>
      <c r="C65" s="162" t="s">
        <v>157</v>
      </c>
      <c r="D65" s="160"/>
      <c r="E65" s="319" t="s">
        <v>93</v>
      </c>
      <c r="F65" s="319" t="s">
        <v>93</v>
      </c>
      <c r="G65" s="190" t="s">
        <v>116</v>
      </c>
      <c r="H65" s="159"/>
      <c r="I65" s="159"/>
    </row>
    <row r="66" spans="1:34" s="164" customFormat="1" ht="12.75" customHeight="1">
      <c r="A66" s="31" t="s">
        <v>116</v>
      </c>
      <c r="B66" s="106">
        <v>1</v>
      </c>
      <c r="C66" s="162" t="s">
        <v>157</v>
      </c>
      <c r="D66" s="160"/>
      <c r="E66" s="319" t="s">
        <v>116</v>
      </c>
      <c r="F66" s="319" t="s">
        <v>116</v>
      </c>
      <c r="G66" s="190" t="s">
        <v>116</v>
      </c>
      <c r="H66" s="159"/>
      <c r="I66" s="159"/>
    </row>
    <row r="67" spans="1:34" ht="12.75" customHeight="1">
      <c r="A67" s="31" t="s">
        <v>116</v>
      </c>
      <c r="B67" s="106">
        <v>2</v>
      </c>
      <c r="C67" s="162" t="s">
        <v>157</v>
      </c>
      <c r="D67" s="13"/>
      <c r="E67" s="319"/>
      <c r="F67" s="319"/>
      <c r="G67" s="190" t="s">
        <v>116</v>
      </c>
      <c r="H67" s="159"/>
      <c r="I67" s="16"/>
      <c r="J67"/>
      <c r="K67"/>
      <c r="L67"/>
      <c r="M67"/>
      <c r="O67"/>
      <c r="P67"/>
      <c r="X67"/>
      <c r="AC67"/>
      <c r="AE67"/>
      <c r="AG67"/>
      <c r="AH67"/>
    </row>
    <row r="68" spans="1:34" ht="12.75" customHeight="1">
      <c r="G68" s="164"/>
      <c r="H68" s="164"/>
      <c r="I68"/>
      <c r="J68"/>
      <c r="K68"/>
      <c r="L68"/>
      <c r="M68"/>
      <c r="O68"/>
      <c r="P68"/>
      <c r="X68"/>
      <c r="AC68"/>
      <c r="AE68"/>
      <c r="AG68"/>
      <c r="AH68"/>
    </row>
    <row r="69" spans="1:34" s="164" customFormat="1" ht="12.75" customHeight="1"/>
    <row r="70" spans="1:34" s="164" customFormat="1" ht="12.75" customHeight="1"/>
    <row r="71" spans="1:34" s="164" customFormat="1" ht="12.75" customHeight="1"/>
    <row r="72" spans="1:34" ht="12.75" customHeight="1">
      <c r="A72" s="43" t="s">
        <v>161</v>
      </c>
      <c r="B72" s="33" t="str">
        <f ca="1">GetNameRange(B73)</f>
        <v>pfwd_amt_avail_defn_aig</v>
      </c>
      <c r="C72" s="65"/>
      <c r="D72" s="66"/>
      <c r="E72" s="167"/>
      <c r="F72" s="167"/>
      <c r="G72" s="167"/>
      <c r="H72" s="164"/>
      <c r="I72"/>
      <c r="J72"/>
      <c r="K72"/>
      <c r="L72"/>
      <c r="M72"/>
      <c r="O72"/>
      <c r="P72"/>
      <c r="X72"/>
      <c r="AC72"/>
      <c r="AE72"/>
      <c r="AG72"/>
      <c r="AH72"/>
    </row>
    <row r="73" spans="1:34" ht="12.75" customHeight="1">
      <c r="A73" s="43" t="s">
        <v>162</v>
      </c>
      <c r="B73" s="169"/>
      <c r="C73" s="169" t="s">
        <v>47</v>
      </c>
      <c r="D73" s="219" t="str">
        <f>Decrement!D$4</f>
        <v>Value</v>
      </c>
      <c r="E73" s="168" t="s">
        <v>642</v>
      </c>
      <c r="F73" s="168" t="s">
        <v>643</v>
      </c>
      <c r="G73" s="168" t="str">
        <f t="shared" ref="G73" si="1">G$4</f>
        <v>RILA_1</v>
      </c>
      <c r="H73" s="164"/>
      <c r="I73"/>
      <c r="J73"/>
      <c r="K73"/>
      <c r="L73"/>
      <c r="M73"/>
      <c r="O73"/>
      <c r="P73"/>
      <c r="X73"/>
      <c r="AC73"/>
      <c r="AE73"/>
      <c r="AG73"/>
      <c r="AH73"/>
    </row>
    <row r="74" spans="1:34" ht="12.75" customHeight="1">
      <c r="A74" s="42"/>
      <c r="B74" s="108" t="s">
        <v>163</v>
      </c>
      <c r="C74" s="67"/>
      <c r="D74" s="108"/>
      <c r="E74" s="167"/>
      <c r="F74" s="167"/>
      <c r="G74" s="242"/>
      <c r="H74" s="164"/>
      <c r="I74"/>
      <c r="J74"/>
      <c r="K74"/>
      <c r="L74"/>
      <c r="M74"/>
      <c r="O74"/>
      <c r="P74"/>
      <c r="X74"/>
      <c r="AC74"/>
      <c r="AE74"/>
      <c r="AG74"/>
      <c r="AH74"/>
    </row>
    <row r="75" spans="1:34" ht="12.75" customHeight="1">
      <c r="A75" s="48" t="s">
        <v>228</v>
      </c>
      <c r="B75" s="106">
        <v>1</v>
      </c>
      <c r="C75" s="37"/>
      <c r="D75" s="109"/>
      <c r="E75" s="319" t="s">
        <v>228</v>
      </c>
      <c r="F75" s="319" t="s">
        <v>228</v>
      </c>
      <c r="G75" s="195" t="s">
        <v>228</v>
      </c>
      <c r="H75" s="164"/>
      <c r="I75"/>
      <c r="J75"/>
      <c r="K75"/>
      <c r="L75"/>
      <c r="M75"/>
      <c r="O75"/>
      <c r="P75"/>
      <c r="X75"/>
      <c r="AC75"/>
      <c r="AE75"/>
      <c r="AG75"/>
      <c r="AH75"/>
    </row>
    <row r="76" spans="1:34" ht="12.75" customHeight="1">
      <c r="A76" s="48" t="s">
        <v>228</v>
      </c>
      <c r="B76" s="106">
        <v>11</v>
      </c>
      <c r="C76" s="37"/>
      <c r="D76" s="109"/>
      <c r="E76" s="319" t="s">
        <v>228</v>
      </c>
      <c r="F76" s="319" t="s">
        <v>228</v>
      </c>
      <c r="G76" s="195" t="s">
        <v>228</v>
      </c>
      <c r="H76" s="164"/>
      <c r="I76"/>
      <c r="J76"/>
      <c r="K76"/>
      <c r="L76"/>
      <c r="M76"/>
      <c r="O76"/>
      <c r="P76"/>
      <c r="X76"/>
      <c r="AC76"/>
      <c r="AE76"/>
      <c r="AG76"/>
      <c r="AH76"/>
    </row>
    <row r="77" spans="1:34" ht="12.75" customHeight="1">
      <c r="A77" s="42"/>
      <c r="G77" s="167"/>
      <c r="H77" s="167"/>
      <c r="I77"/>
      <c r="J77"/>
      <c r="K77"/>
      <c r="L77"/>
      <c r="M77"/>
      <c r="O77"/>
      <c r="P77"/>
      <c r="X77"/>
      <c r="AC77"/>
      <c r="AE77"/>
      <c r="AG77"/>
      <c r="AH77"/>
    </row>
    <row r="78" spans="1:34" s="164" customFormat="1" ht="12.75" customHeight="1">
      <c r="A78" s="167"/>
      <c r="B78" s="159"/>
      <c r="C78" s="159"/>
      <c r="D78" s="159"/>
      <c r="E78" s="159"/>
      <c r="F78" s="159"/>
    </row>
    <row r="79" spans="1:34" s="164" customFormat="1" ht="12.75" customHeight="1">
      <c r="A79" s="167"/>
      <c r="B79" s="18" t="str">
        <f ca="1">GetNameRange(B80)</f>
        <v>PerfLockAIG</v>
      </c>
      <c r="C79" s="34"/>
      <c r="D79" s="159"/>
      <c r="E79" s="159"/>
      <c r="F79" s="159"/>
    </row>
    <row r="80" spans="1:34" s="164" customFormat="1" ht="12.75" customHeight="1" thickBot="1">
      <c r="A80" s="167"/>
      <c r="B80" s="84" t="s">
        <v>29</v>
      </c>
      <c r="C80" s="628" t="s">
        <v>49</v>
      </c>
      <c r="D80" s="159"/>
      <c r="E80" s="159"/>
      <c r="F80" s="159"/>
    </row>
    <row r="81" spans="1:34" s="164" customFormat="1" ht="12.75" customHeight="1">
      <c r="A81" s="59">
        <v>0</v>
      </c>
      <c r="B81" s="87" t="s">
        <v>800</v>
      </c>
      <c r="C81" s="629">
        <v>0.1</v>
      </c>
      <c r="D81" s="159"/>
      <c r="E81" s="159"/>
      <c r="F81" s="159"/>
    </row>
    <row r="82" spans="1:34" s="164" customFormat="1" ht="12.75" customHeight="1">
      <c r="A82" s="59">
        <v>0</v>
      </c>
      <c r="B82" s="87" t="s">
        <v>801</v>
      </c>
      <c r="C82" s="629">
        <v>0.2</v>
      </c>
      <c r="D82" s="159"/>
      <c r="E82" s="159"/>
      <c r="F82" s="159"/>
    </row>
    <row r="83" spans="1:34" s="164" customFormat="1" ht="12.75" customHeight="1">
      <c r="A83" s="59">
        <v>0</v>
      </c>
      <c r="B83" s="87" t="s">
        <v>802</v>
      </c>
      <c r="C83" s="629">
        <v>0.35</v>
      </c>
      <c r="D83" s="159"/>
      <c r="E83" s="159"/>
      <c r="F83" s="159"/>
    </row>
    <row r="84" spans="1:34" s="164" customFormat="1" ht="12.75" customHeight="1">
      <c r="A84" s="59">
        <v>0</v>
      </c>
      <c r="B84" s="87" t="s">
        <v>803</v>
      </c>
      <c r="C84" s="629">
        <v>0.35</v>
      </c>
      <c r="D84" s="159"/>
      <c r="E84" s="159"/>
      <c r="F84" s="159"/>
    </row>
    <row r="85" spans="1:34" s="164" customFormat="1" ht="12.75" customHeight="1">
      <c r="A85" s="59">
        <v>0</v>
      </c>
      <c r="B85" s="87" t="s">
        <v>804</v>
      </c>
      <c r="C85" s="629">
        <v>0.5</v>
      </c>
      <c r="D85" s="159"/>
      <c r="E85" s="159"/>
      <c r="F85" s="159"/>
    </row>
    <row r="86" spans="1:34" s="164" customFormat="1" ht="12.75" customHeight="1">
      <c r="A86" s="59">
        <v>0</v>
      </c>
      <c r="B86" s="87" t="s">
        <v>805</v>
      </c>
      <c r="C86" s="629">
        <v>0.8</v>
      </c>
      <c r="D86" s="159"/>
      <c r="E86" s="159"/>
      <c r="F86" s="159"/>
    </row>
    <row r="87" spans="1:34" s="164" customFormat="1" ht="12.75" customHeight="1">
      <c r="A87" s="59">
        <v>0</v>
      </c>
      <c r="B87" s="88" t="s">
        <v>806</v>
      </c>
      <c r="C87" s="630">
        <v>0.5</v>
      </c>
      <c r="D87" s="159"/>
      <c r="E87" s="159"/>
      <c r="F87" s="159"/>
    </row>
    <row r="88" spans="1:34" s="164" customFormat="1" ht="12.75" customHeight="1">
      <c r="A88" s="167"/>
      <c r="B88" s="159"/>
      <c r="C88" s="159"/>
      <c r="D88" s="159"/>
      <c r="E88" s="159"/>
      <c r="F88" s="159"/>
    </row>
    <row r="89" spans="1:34" s="164" customFormat="1" ht="12.75" customHeight="1"/>
    <row r="90" spans="1:34" ht="12.75" customHeight="1">
      <c r="A90" s="43" t="s">
        <v>161</v>
      </c>
      <c r="B90" s="33" t="str">
        <f ca="1">GetNameRange(B91)</f>
        <v>LapseAdjMult</v>
      </c>
      <c r="C90" s="34"/>
      <c r="H90" s="164"/>
      <c r="M90"/>
      <c r="N90" s="164"/>
      <c r="P90"/>
      <c r="W90" s="164"/>
      <c r="X90"/>
      <c r="AB90" s="164"/>
      <c r="AC90"/>
      <c r="AD90" s="164"/>
      <c r="AE90"/>
      <c r="AF90" s="164"/>
      <c r="AH90"/>
    </row>
    <row r="91" spans="1:34" ht="12.75" customHeight="1">
      <c r="A91" s="43" t="s">
        <v>162</v>
      </c>
      <c r="B91" s="86" t="s">
        <v>170</v>
      </c>
      <c r="C91" s="89" t="s">
        <v>49</v>
      </c>
      <c r="D91" s="16"/>
      <c r="E91" s="159"/>
      <c r="F91" s="159"/>
      <c r="Q91" s="16"/>
    </row>
    <row r="92" spans="1:34" ht="12.75" customHeight="1">
      <c r="A92" s="44">
        <v>1</v>
      </c>
      <c r="B92" s="87">
        <v>39814</v>
      </c>
      <c r="C92" s="60">
        <v>1</v>
      </c>
      <c r="D92" s="16"/>
      <c r="E92" s="159"/>
      <c r="F92" s="159"/>
      <c r="Q92" s="16"/>
    </row>
    <row r="93" spans="1:34" ht="12.75" customHeight="1">
      <c r="A93" s="44">
        <v>1</v>
      </c>
      <c r="B93" s="88">
        <v>39845</v>
      </c>
      <c r="C93" s="61">
        <v>1</v>
      </c>
      <c r="D93" s="16"/>
      <c r="E93" s="159"/>
      <c r="F93" s="159"/>
      <c r="Q93" s="16"/>
    </row>
    <row r="94" spans="1:34" ht="12.75" customHeight="1">
      <c r="A94" s="42"/>
    </row>
    <row r="95" spans="1:34" ht="12.75" customHeight="1">
      <c r="A95" s="42"/>
    </row>
    <row r="96" spans="1:34" ht="12.75" customHeight="1">
      <c r="A96" s="29" t="s">
        <v>161</v>
      </c>
      <c r="B96" s="33" t="str">
        <f ca="1">GetNameRange(B97)</f>
        <v>LapseAdjMult110Pct</v>
      </c>
      <c r="C96" s="34"/>
    </row>
    <row r="97" spans="1:6" ht="12.75" customHeight="1">
      <c r="A97" s="29" t="s">
        <v>162</v>
      </c>
      <c r="B97" s="86" t="s">
        <v>170</v>
      </c>
      <c r="C97" s="89" t="s">
        <v>49</v>
      </c>
      <c r="D97" s="16"/>
      <c r="E97" s="159"/>
      <c r="F97" s="159"/>
    </row>
    <row r="98" spans="1:6" ht="12.75" customHeight="1">
      <c r="A98" s="44">
        <v>1</v>
      </c>
      <c r="B98" s="87">
        <v>39814</v>
      </c>
      <c r="C98" s="60">
        <f>C92*1.1</f>
        <v>1.1000000000000001</v>
      </c>
      <c r="D98" s="16"/>
      <c r="E98" s="159"/>
      <c r="F98" s="159"/>
    </row>
    <row r="99" spans="1:6" ht="12.75" customHeight="1">
      <c r="A99" s="44">
        <v>1</v>
      </c>
      <c r="B99" s="88">
        <v>39845</v>
      </c>
      <c r="C99" s="61">
        <f>C93*1.1</f>
        <v>1.1000000000000001</v>
      </c>
      <c r="D99" s="16"/>
      <c r="E99" s="159"/>
      <c r="F99" s="159"/>
    </row>
    <row r="101" spans="1:6" ht="12.75" customHeight="1">
      <c r="A101" s="42"/>
    </row>
    <row r="102" spans="1:6" ht="12.75" customHeight="1">
      <c r="A102" s="29" t="s">
        <v>161</v>
      </c>
      <c r="B102" s="33" t="str">
        <f ca="1">GetNameRange(B103)</f>
        <v>LapseAdjMult90Pct</v>
      </c>
      <c r="C102" s="34"/>
    </row>
    <row r="103" spans="1:6" ht="12.75" customHeight="1">
      <c r="A103" s="29" t="s">
        <v>162</v>
      </c>
      <c r="B103" s="86" t="s">
        <v>170</v>
      </c>
      <c r="C103" s="89" t="s">
        <v>49</v>
      </c>
      <c r="D103" s="16"/>
      <c r="E103" s="159"/>
      <c r="F103" s="159"/>
    </row>
    <row r="104" spans="1:6" ht="12.75" customHeight="1">
      <c r="A104" s="44">
        <v>1</v>
      </c>
      <c r="B104" s="87">
        <v>39814</v>
      </c>
      <c r="C104" s="60">
        <f>C92*0.9</f>
        <v>0.9</v>
      </c>
      <c r="D104" s="16"/>
      <c r="E104" s="159"/>
      <c r="F104" s="159"/>
    </row>
    <row r="105" spans="1:6" ht="12.75" customHeight="1">
      <c r="A105" s="44">
        <v>1</v>
      </c>
      <c r="B105" s="88">
        <v>39845</v>
      </c>
      <c r="C105" s="61">
        <f>C93*0.9</f>
        <v>0.9</v>
      </c>
      <c r="D105" s="16"/>
      <c r="E105" s="159"/>
      <c r="F105" s="159"/>
    </row>
    <row r="107" spans="1:6" ht="12.75" customHeight="1">
      <c r="A107" s="42"/>
    </row>
    <row r="108" spans="1:6" ht="12.75" customHeight="1">
      <c r="A108" s="43" t="s">
        <v>161</v>
      </c>
      <c r="B108" s="33" t="str">
        <f ca="1">GetNameRange(B109)</f>
        <v>GmwbCohortId</v>
      </c>
    </row>
    <row r="109" spans="1:6" ht="12.75" customHeight="1">
      <c r="A109" s="43" t="s">
        <v>162</v>
      </c>
      <c r="B109" s="75" t="s">
        <v>171</v>
      </c>
      <c r="C109" s="77" t="s">
        <v>49</v>
      </c>
      <c r="D109" s="16"/>
      <c r="E109" s="159"/>
      <c r="F109" s="159"/>
    </row>
    <row r="110" spans="1:6" ht="12.75" customHeight="1">
      <c r="A110" s="42"/>
      <c r="B110" s="92" t="s">
        <v>175</v>
      </c>
      <c r="C110" s="30"/>
      <c r="D110" s="16"/>
      <c r="E110" s="159"/>
      <c r="F110" s="159"/>
    </row>
    <row r="111" spans="1:6" s="164" customFormat="1" ht="12.75" customHeight="1">
      <c r="A111" s="59">
        <v>0</v>
      </c>
      <c r="B111" s="507">
        <v>40</v>
      </c>
      <c r="C111" s="62">
        <v>45</v>
      </c>
      <c r="D111" s="409" t="s">
        <v>634</v>
      </c>
      <c r="E111" s="409"/>
      <c r="F111" s="409"/>
    </row>
    <row r="112" spans="1:6" s="164" customFormat="1" ht="12.75" customHeight="1">
      <c r="A112" s="59">
        <v>0</v>
      </c>
      <c r="B112" s="507">
        <v>41</v>
      </c>
      <c r="C112" s="62">
        <v>45</v>
      </c>
      <c r="D112" s="159"/>
      <c r="E112" s="159"/>
      <c r="F112" s="159"/>
    </row>
    <row r="113" spans="1:6" s="164" customFormat="1" ht="12.75" customHeight="1">
      <c r="A113" s="59">
        <v>0</v>
      </c>
      <c r="B113" s="507">
        <v>42</v>
      </c>
      <c r="C113" s="62">
        <v>45</v>
      </c>
      <c r="D113" s="159"/>
      <c r="E113" s="159"/>
      <c r="F113" s="159"/>
    </row>
    <row r="114" spans="1:6" s="164" customFormat="1" ht="12.75" customHeight="1">
      <c r="A114" s="59">
        <v>0</v>
      </c>
      <c r="B114" s="507">
        <v>43</v>
      </c>
      <c r="C114" s="62">
        <v>45</v>
      </c>
      <c r="D114" s="159"/>
      <c r="E114" s="159"/>
      <c r="F114" s="159"/>
    </row>
    <row r="115" spans="1:6" s="164" customFormat="1" ht="12.75" customHeight="1">
      <c r="A115" s="59">
        <v>0</v>
      </c>
      <c r="B115" s="507">
        <v>44</v>
      </c>
      <c r="C115" s="62">
        <v>45</v>
      </c>
      <c r="D115" s="159"/>
      <c r="E115" s="159"/>
      <c r="F115" s="159"/>
    </row>
    <row r="116" spans="1:6" ht="12.75" customHeight="1">
      <c r="A116" s="59">
        <v>0</v>
      </c>
      <c r="B116" s="172">
        <v>45</v>
      </c>
      <c r="C116" s="62">
        <v>45</v>
      </c>
    </row>
    <row r="117" spans="1:6" ht="12.75" customHeight="1">
      <c r="A117" s="59">
        <v>0</v>
      </c>
      <c r="B117" s="93">
        <v>46</v>
      </c>
      <c r="C117" s="62">
        <v>45</v>
      </c>
      <c r="D117" s="16"/>
      <c r="E117" s="159"/>
      <c r="F117" s="159"/>
    </row>
    <row r="118" spans="1:6" ht="12.75" customHeight="1">
      <c r="A118" s="59">
        <v>0</v>
      </c>
      <c r="B118" s="93">
        <v>47</v>
      </c>
      <c r="C118" s="62">
        <v>45</v>
      </c>
      <c r="D118" s="16"/>
      <c r="E118" s="159"/>
      <c r="F118" s="159"/>
    </row>
    <row r="119" spans="1:6" ht="12.75" customHeight="1">
      <c r="A119" s="59">
        <v>0</v>
      </c>
      <c r="B119" s="93">
        <v>48</v>
      </c>
      <c r="C119" s="62">
        <v>45</v>
      </c>
      <c r="D119" s="16"/>
      <c r="E119" s="159"/>
      <c r="F119" s="159"/>
    </row>
    <row r="120" spans="1:6" ht="12.75" customHeight="1">
      <c r="A120" s="59">
        <v>0</v>
      </c>
      <c r="B120" s="93">
        <v>49</v>
      </c>
      <c r="C120" s="62">
        <v>45</v>
      </c>
      <c r="D120" s="16"/>
      <c r="E120" s="159"/>
      <c r="F120" s="159"/>
    </row>
    <row r="121" spans="1:6" ht="12.75" customHeight="1">
      <c r="A121" s="59">
        <v>0</v>
      </c>
      <c r="B121" s="93">
        <v>50</v>
      </c>
      <c r="C121" s="62">
        <v>55</v>
      </c>
      <c r="D121" s="16"/>
      <c r="E121" s="159"/>
      <c r="F121" s="159"/>
    </row>
    <row r="122" spans="1:6" ht="12.75" customHeight="1">
      <c r="A122" s="59">
        <v>0</v>
      </c>
      <c r="B122" s="93">
        <v>51</v>
      </c>
      <c r="C122" s="62">
        <v>55</v>
      </c>
      <c r="D122" s="16"/>
      <c r="E122" s="159"/>
      <c r="F122" s="159"/>
    </row>
    <row r="123" spans="1:6" ht="12.75" customHeight="1">
      <c r="A123" s="59">
        <v>0</v>
      </c>
      <c r="B123" s="93">
        <v>52</v>
      </c>
      <c r="C123" s="62">
        <v>55</v>
      </c>
      <c r="D123" s="16"/>
      <c r="E123" s="159"/>
      <c r="F123" s="159"/>
    </row>
    <row r="124" spans="1:6" ht="12.75" customHeight="1">
      <c r="A124" s="59">
        <v>0</v>
      </c>
      <c r="B124" s="93">
        <v>53</v>
      </c>
      <c r="C124" s="62">
        <v>55</v>
      </c>
      <c r="D124" s="16"/>
      <c r="E124" s="159"/>
      <c r="F124" s="159"/>
    </row>
    <row r="125" spans="1:6" ht="12.75" customHeight="1">
      <c r="A125" s="59">
        <v>0</v>
      </c>
      <c r="B125" s="93">
        <v>54</v>
      </c>
      <c r="C125" s="62">
        <v>55</v>
      </c>
      <c r="D125" s="16"/>
      <c r="E125" s="159"/>
      <c r="F125" s="159"/>
    </row>
    <row r="126" spans="1:6" ht="12.75" customHeight="1">
      <c r="A126" s="59">
        <v>0</v>
      </c>
      <c r="B126" s="93">
        <v>55</v>
      </c>
      <c r="C126" s="62">
        <v>55</v>
      </c>
      <c r="D126" s="16"/>
      <c r="E126" s="159"/>
      <c r="F126" s="159"/>
    </row>
    <row r="127" spans="1:6" ht="12.75" customHeight="1">
      <c r="A127" s="59">
        <v>0</v>
      </c>
      <c r="B127" s="93">
        <v>56</v>
      </c>
      <c r="C127" s="62">
        <v>55</v>
      </c>
      <c r="D127" s="16"/>
      <c r="E127" s="159"/>
      <c r="F127" s="159"/>
    </row>
    <row r="128" spans="1:6" ht="12.75" customHeight="1">
      <c r="A128" s="59">
        <v>0</v>
      </c>
      <c r="B128" s="93">
        <v>57</v>
      </c>
      <c r="C128" s="62">
        <v>55</v>
      </c>
      <c r="D128" s="16"/>
      <c r="E128" s="159"/>
      <c r="F128" s="159"/>
    </row>
    <row r="129" spans="1:6" ht="12.75" customHeight="1">
      <c r="A129" s="59">
        <v>0</v>
      </c>
      <c r="B129" s="93">
        <v>58</v>
      </c>
      <c r="C129" s="62">
        <v>55</v>
      </c>
      <c r="D129" s="16"/>
      <c r="E129" s="159"/>
      <c r="F129" s="159"/>
    </row>
    <row r="130" spans="1:6" ht="12.75" customHeight="1">
      <c r="A130" s="59">
        <v>0</v>
      </c>
      <c r="B130" s="93">
        <v>59</v>
      </c>
      <c r="C130" s="62">
        <v>55</v>
      </c>
      <c r="D130" s="16"/>
      <c r="E130" s="159"/>
      <c r="F130" s="159"/>
    </row>
    <row r="131" spans="1:6" ht="12.75" customHeight="1">
      <c r="A131" s="59">
        <v>0</v>
      </c>
      <c r="B131" s="93">
        <v>60</v>
      </c>
      <c r="C131" s="62">
        <v>65</v>
      </c>
      <c r="D131" s="16"/>
      <c r="E131" s="159"/>
      <c r="F131" s="159"/>
    </row>
    <row r="132" spans="1:6" ht="12.75" customHeight="1">
      <c r="A132" s="59">
        <v>0</v>
      </c>
      <c r="B132" s="93">
        <v>61</v>
      </c>
      <c r="C132" s="62">
        <v>65</v>
      </c>
      <c r="D132" s="16"/>
      <c r="E132" s="159"/>
      <c r="F132" s="159"/>
    </row>
    <row r="133" spans="1:6" ht="12.75" customHeight="1">
      <c r="A133" s="59">
        <v>0</v>
      </c>
      <c r="B133" s="93">
        <v>62</v>
      </c>
      <c r="C133" s="62">
        <v>65</v>
      </c>
      <c r="D133" s="16"/>
      <c r="E133" s="159"/>
      <c r="F133" s="159"/>
    </row>
    <row r="134" spans="1:6" ht="12.75" customHeight="1">
      <c r="A134" s="59">
        <v>0</v>
      </c>
      <c r="B134" s="93">
        <v>63</v>
      </c>
      <c r="C134" s="62">
        <v>65</v>
      </c>
      <c r="D134" s="16"/>
      <c r="E134" s="159"/>
      <c r="F134" s="159"/>
    </row>
    <row r="135" spans="1:6" ht="12.75" customHeight="1">
      <c r="A135" s="59">
        <v>0</v>
      </c>
      <c r="B135" s="93">
        <v>64</v>
      </c>
      <c r="C135" s="62">
        <v>65</v>
      </c>
      <c r="D135" s="16"/>
      <c r="E135" s="159"/>
      <c r="F135" s="159"/>
    </row>
    <row r="136" spans="1:6" ht="12.75" customHeight="1">
      <c r="A136" s="59">
        <v>0</v>
      </c>
      <c r="B136" s="93">
        <v>65</v>
      </c>
      <c r="C136" s="62">
        <v>65</v>
      </c>
      <c r="D136" s="16"/>
      <c r="E136" s="159"/>
      <c r="F136" s="159"/>
    </row>
    <row r="137" spans="1:6" ht="12.75" customHeight="1">
      <c r="A137" s="59">
        <v>0</v>
      </c>
      <c r="B137" s="93">
        <v>66</v>
      </c>
      <c r="C137" s="62">
        <v>65</v>
      </c>
      <c r="D137" s="16"/>
      <c r="E137" s="159"/>
      <c r="F137" s="159"/>
    </row>
    <row r="138" spans="1:6" ht="12.75" customHeight="1">
      <c r="A138" s="59">
        <v>0</v>
      </c>
      <c r="B138" s="93">
        <v>67</v>
      </c>
      <c r="C138" s="62">
        <v>65</v>
      </c>
      <c r="D138" s="16"/>
      <c r="E138" s="159"/>
      <c r="F138" s="159"/>
    </row>
    <row r="139" spans="1:6" ht="12.75" customHeight="1">
      <c r="A139" s="59">
        <v>0</v>
      </c>
      <c r="B139" s="93">
        <v>68</v>
      </c>
      <c r="C139" s="62">
        <v>65</v>
      </c>
      <c r="D139" s="16"/>
      <c r="E139" s="159"/>
      <c r="F139" s="159"/>
    </row>
    <row r="140" spans="1:6" ht="12.75" customHeight="1">
      <c r="A140" s="59">
        <v>0</v>
      </c>
      <c r="B140" s="93">
        <v>69</v>
      </c>
      <c r="C140" s="62">
        <v>65</v>
      </c>
      <c r="D140" s="16"/>
      <c r="E140" s="159"/>
      <c r="F140" s="159"/>
    </row>
    <row r="141" spans="1:6" ht="12.75" customHeight="1">
      <c r="A141" s="59">
        <v>0</v>
      </c>
      <c r="B141" s="93">
        <v>70</v>
      </c>
      <c r="C141" s="62">
        <v>75</v>
      </c>
      <c r="D141" s="16"/>
      <c r="E141" s="159"/>
      <c r="F141" s="159"/>
    </row>
    <row r="142" spans="1:6" ht="12.75" customHeight="1">
      <c r="A142" s="59">
        <v>0</v>
      </c>
      <c r="B142" s="93">
        <v>71</v>
      </c>
      <c r="C142" s="62">
        <v>75</v>
      </c>
      <c r="D142" s="16"/>
      <c r="E142" s="159"/>
      <c r="F142" s="159"/>
    </row>
    <row r="143" spans="1:6" ht="12.75" customHeight="1">
      <c r="A143" s="59">
        <v>0</v>
      </c>
      <c r="B143" s="93">
        <v>72</v>
      </c>
      <c r="C143" s="62">
        <v>75</v>
      </c>
      <c r="D143" s="16"/>
      <c r="E143" s="159"/>
      <c r="F143" s="159"/>
    </row>
    <row r="144" spans="1:6" ht="12.75" customHeight="1">
      <c r="A144" s="59">
        <v>0</v>
      </c>
      <c r="B144" s="93">
        <v>73</v>
      </c>
      <c r="C144" s="62">
        <v>75</v>
      </c>
      <c r="D144" s="16"/>
      <c r="E144" s="159"/>
      <c r="F144" s="159"/>
    </row>
    <row r="145" spans="1:31" ht="12.75" customHeight="1">
      <c r="A145" s="59">
        <v>0</v>
      </c>
      <c r="B145" s="93">
        <v>74</v>
      </c>
      <c r="C145" s="62">
        <v>75</v>
      </c>
      <c r="D145" s="16"/>
      <c r="E145" s="159"/>
      <c r="F145" s="159"/>
    </row>
    <row r="146" spans="1:31" ht="12.75" customHeight="1">
      <c r="A146" s="59">
        <v>0</v>
      </c>
      <c r="B146" s="93">
        <v>75</v>
      </c>
      <c r="C146" s="62">
        <v>75</v>
      </c>
      <c r="D146" s="16"/>
      <c r="E146" s="159"/>
      <c r="F146" s="159"/>
    </row>
    <row r="147" spans="1:31" ht="12.75" customHeight="1">
      <c r="A147" s="59">
        <v>0</v>
      </c>
      <c r="B147" s="93">
        <v>76</v>
      </c>
      <c r="C147" s="62">
        <v>75</v>
      </c>
      <c r="D147" s="16"/>
      <c r="E147" s="159"/>
      <c r="F147" s="159"/>
    </row>
    <row r="148" spans="1:31" ht="12.75" customHeight="1">
      <c r="A148" s="59">
        <v>0</v>
      </c>
      <c r="B148" s="93">
        <v>77</v>
      </c>
      <c r="C148" s="62">
        <v>75</v>
      </c>
      <c r="D148" s="16"/>
      <c r="E148" s="159"/>
      <c r="F148" s="159"/>
    </row>
    <row r="149" spans="1:31" ht="12.75" customHeight="1">
      <c r="A149" s="59">
        <v>0</v>
      </c>
      <c r="B149" s="93">
        <v>78</v>
      </c>
      <c r="C149" s="62">
        <v>75</v>
      </c>
      <c r="D149" s="16"/>
      <c r="E149" s="159"/>
      <c r="F149" s="159"/>
    </row>
    <row r="150" spans="1:31" ht="12.75" customHeight="1">
      <c r="A150" s="59">
        <v>0</v>
      </c>
      <c r="B150" s="93">
        <v>79</v>
      </c>
      <c r="C150" s="62">
        <v>75</v>
      </c>
      <c r="D150" s="16"/>
      <c r="E150" s="159"/>
      <c r="F150" s="159"/>
    </row>
    <row r="151" spans="1:31" ht="12.75" customHeight="1">
      <c r="A151" s="59">
        <v>0</v>
      </c>
      <c r="B151" s="94">
        <v>80</v>
      </c>
      <c r="C151" s="63">
        <v>85</v>
      </c>
      <c r="D151" s="16"/>
      <c r="E151" s="159"/>
      <c r="F151" s="159"/>
    </row>
    <row r="154" spans="1:31" ht="12.75" customHeight="1">
      <c r="A154" s="29" t="s">
        <v>161</v>
      </c>
      <c r="B154" s="33" t="str">
        <f ca="1">GetNameRange(B155)</f>
        <v>GmwbCohortUtilzRate</v>
      </c>
    </row>
    <row r="155" spans="1:31" ht="12.75" customHeight="1">
      <c r="A155" s="29" t="s">
        <v>162</v>
      </c>
      <c r="B155" s="75" t="s">
        <v>174</v>
      </c>
      <c r="C155" s="76">
        <v>45</v>
      </c>
      <c r="D155" s="76">
        <v>55</v>
      </c>
      <c r="E155" s="170"/>
      <c r="F155" s="170"/>
      <c r="G155" s="76">
        <v>65</v>
      </c>
      <c r="H155" s="76">
        <v>75</v>
      </c>
      <c r="I155" s="77">
        <v>85</v>
      </c>
      <c r="J155" s="16"/>
      <c r="K155"/>
      <c r="L155"/>
      <c r="M155"/>
      <c r="Y155" s="164"/>
      <c r="Z155" s="164"/>
      <c r="AE155"/>
    </row>
    <row r="156" spans="1:31" ht="12.75" customHeight="1">
      <c r="B156" s="92" t="s">
        <v>163</v>
      </c>
      <c r="C156" s="16"/>
      <c r="D156" s="16"/>
      <c r="E156" s="159"/>
      <c r="F156" s="159"/>
      <c r="G156" s="16"/>
      <c r="H156" s="16"/>
      <c r="I156" s="30"/>
      <c r="J156" s="16"/>
      <c r="K156"/>
      <c r="L156"/>
      <c r="M156"/>
      <c r="Y156" s="164"/>
      <c r="Z156" s="164"/>
      <c r="AE156"/>
    </row>
    <row r="157" spans="1:31" ht="12.75" customHeight="1">
      <c r="A157" s="44">
        <v>1</v>
      </c>
      <c r="B157" s="93">
        <v>1</v>
      </c>
      <c r="C157" s="45">
        <v>0</v>
      </c>
      <c r="D157" s="45">
        <v>0</v>
      </c>
      <c r="E157" s="45"/>
      <c r="F157" s="45"/>
      <c r="G157" s="45">
        <v>0.03</v>
      </c>
      <c r="H157" s="45">
        <v>0.05</v>
      </c>
      <c r="I157" s="46">
        <v>0.35</v>
      </c>
      <c r="J157" s="45">
        <v>0.01</v>
      </c>
      <c r="K157" s="25"/>
      <c r="L157"/>
      <c r="M157"/>
      <c r="Y157" s="164"/>
      <c r="Z157" s="164"/>
      <c r="AE157"/>
    </row>
    <row r="158" spans="1:31" ht="12.75" customHeight="1">
      <c r="A158" s="44">
        <v>1</v>
      </c>
      <c r="B158" s="93">
        <v>2</v>
      </c>
      <c r="C158" s="45">
        <v>0</v>
      </c>
      <c r="D158" s="45">
        <v>0</v>
      </c>
      <c r="E158" s="45"/>
      <c r="F158" s="45"/>
      <c r="G158" s="45">
        <v>0.03</v>
      </c>
      <c r="H158" s="45">
        <v>0.05</v>
      </c>
      <c r="I158" s="46">
        <v>0.05</v>
      </c>
      <c r="J158" s="45">
        <v>0.03</v>
      </c>
      <c r="K158"/>
      <c r="L158"/>
      <c r="M158"/>
      <c r="Y158" s="164"/>
      <c r="Z158" s="164"/>
      <c r="AE158"/>
    </row>
    <row r="159" spans="1:31" ht="12.75" customHeight="1">
      <c r="A159" s="44">
        <v>1</v>
      </c>
      <c r="B159" s="93">
        <v>3</v>
      </c>
      <c r="C159" s="45">
        <v>0</v>
      </c>
      <c r="D159" s="45">
        <v>0</v>
      </c>
      <c r="E159" s="45"/>
      <c r="F159" s="45"/>
      <c r="G159" s="45">
        <v>0.03</v>
      </c>
      <c r="H159" s="45">
        <v>0.05</v>
      </c>
      <c r="I159" s="46">
        <v>0.05</v>
      </c>
      <c r="J159" s="45">
        <v>0.03</v>
      </c>
      <c r="K159"/>
      <c r="L159"/>
      <c r="M159"/>
      <c r="Y159" s="164"/>
      <c r="Z159" s="164"/>
      <c r="AE159"/>
    </row>
    <row r="160" spans="1:31" ht="12.75" customHeight="1">
      <c r="A160" s="44">
        <v>1</v>
      </c>
      <c r="B160" s="93">
        <v>4</v>
      </c>
      <c r="C160" s="45">
        <v>0</v>
      </c>
      <c r="D160" s="45">
        <v>0</v>
      </c>
      <c r="E160" s="45"/>
      <c r="F160" s="45"/>
      <c r="G160" s="45">
        <v>0.03</v>
      </c>
      <c r="H160" s="45">
        <v>0.05</v>
      </c>
      <c r="I160" s="46">
        <v>0.05</v>
      </c>
      <c r="J160" s="45">
        <v>0.03</v>
      </c>
      <c r="K160"/>
      <c r="L160"/>
      <c r="M160"/>
      <c r="Y160" s="164"/>
      <c r="Z160" s="164"/>
      <c r="AE160"/>
    </row>
    <row r="161" spans="1:31" ht="12.75" customHeight="1">
      <c r="A161" s="44">
        <v>1</v>
      </c>
      <c r="B161" s="93">
        <v>5</v>
      </c>
      <c r="C161" s="45">
        <v>0</v>
      </c>
      <c r="D161" s="45">
        <v>0</v>
      </c>
      <c r="E161" s="45"/>
      <c r="F161" s="45"/>
      <c r="G161" s="45">
        <v>0.03</v>
      </c>
      <c r="H161" s="45">
        <v>0.05</v>
      </c>
      <c r="I161" s="46">
        <v>0.05</v>
      </c>
      <c r="J161" s="45">
        <v>0.03</v>
      </c>
      <c r="K161"/>
      <c r="L161"/>
      <c r="M161"/>
      <c r="Y161" s="164"/>
      <c r="Z161" s="164"/>
      <c r="AE161"/>
    </row>
    <row r="162" spans="1:31" ht="12.75" customHeight="1">
      <c r="A162" s="44">
        <v>1</v>
      </c>
      <c r="B162" s="93">
        <v>6</v>
      </c>
      <c r="C162" s="45">
        <v>0.1</v>
      </c>
      <c r="D162" s="45">
        <v>0.3</v>
      </c>
      <c r="E162" s="45"/>
      <c r="F162" s="45"/>
      <c r="G162" s="45">
        <v>0.4</v>
      </c>
      <c r="H162" s="45">
        <v>0.6</v>
      </c>
      <c r="I162" s="46">
        <v>0.9</v>
      </c>
      <c r="J162" s="45">
        <v>0.3</v>
      </c>
      <c r="K162"/>
      <c r="L162"/>
      <c r="M162"/>
      <c r="Y162" s="164"/>
      <c r="Z162" s="164"/>
      <c r="AE162"/>
    </row>
    <row r="163" spans="1:31" ht="12.75" customHeight="1">
      <c r="A163" s="44">
        <v>1</v>
      </c>
      <c r="B163" s="93">
        <v>7</v>
      </c>
      <c r="C163" s="45">
        <v>0.03</v>
      </c>
      <c r="D163" s="45">
        <v>0.1</v>
      </c>
      <c r="E163" s="45"/>
      <c r="F163" s="45"/>
      <c r="G163" s="45">
        <v>0.1</v>
      </c>
      <c r="H163" s="45">
        <v>0.15</v>
      </c>
      <c r="I163" s="46">
        <v>0</v>
      </c>
      <c r="J163" s="45">
        <v>0.1</v>
      </c>
      <c r="K163"/>
      <c r="L163"/>
      <c r="M163"/>
      <c r="Y163" s="164"/>
      <c r="Z163" s="164"/>
      <c r="AE163"/>
    </row>
    <row r="164" spans="1:31" ht="12.75" customHeight="1">
      <c r="A164" s="44">
        <v>1</v>
      </c>
      <c r="B164" s="93">
        <v>8</v>
      </c>
      <c r="C164" s="45">
        <v>0.03</v>
      </c>
      <c r="D164" s="45">
        <v>0.1</v>
      </c>
      <c r="E164" s="45"/>
      <c r="F164" s="45"/>
      <c r="G164" s="45">
        <v>0.1</v>
      </c>
      <c r="H164" s="45">
        <v>0.15</v>
      </c>
      <c r="I164" s="46">
        <v>0</v>
      </c>
      <c r="J164" s="45">
        <v>0.1</v>
      </c>
      <c r="K164"/>
      <c r="L164"/>
      <c r="M164"/>
      <c r="Y164" s="164"/>
      <c r="Z164" s="164"/>
      <c r="AE164"/>
    </row>
    <row r="165" spans="1:31" ht="12.75" customHeight="1">
      <c r="A165" s="44">
        <v>1</v>
      </c>
      <c r="B165" s="93">
        <v>9</v>
      </c>
      <c r="C165" s="45">
        <v>0.03</v>
      </c>
      <c r="D165" s="45">
        <v>0.1</v>
      </c>
      <c r="E165" s="45"/>
      <c r="F165" s="45"/>
      <c r="G165" s="45">
        <v>0.1</v>
      </c>
      <c r="H165" s="45">
        <v>0.15</v>
      </c>
      <c r="I165" s="46">
        <v>0</v>
      </c>
      <c r="J165" s="45">
        <v>0.1</v>
      </c>
      <c r="K165"/>
      <c r="L165"/>
      <c r="M165"/>
      <c r="Y165" s="164"/>
      <c r="Z165" s="164"/>
      <c r="AE165"/>
    </row>
    <row r="166" spans="1:31" ht="12.75" customHeight="1">
      <c r="A166" s="44">
        <v>1</v>
      </c>
      <c r="B166" s="93">
        <v>10</v>
      </c>
      <c r="C166" s="45">
        <v>0.03</v>
      </c>
      <c r="D166" s="45">
        <v>0.1</v>
      </c>
      <c r="E166" s="45"/>
      <c r="F166" s="45"/>
      <c r="G166" s="45">
        <v>0.1</v>
      </c>
      <c r="H166" s="45">
        <v>0.15</v>
      </c>
      <c r="I166" s="46">
        <v>0</v>
      </c>
      <c r="J166" s="45">
        <v>0.1</v>
      </c>
      <c r="K166"/>
      <c r="L166"/>
      <c r="M166"/>
      <c r="Y166" s="164"/>
      <c r="Z166" s="164"/>
      <c r="AE166"/>
    </row>
    <row r="167" spans="1:31" ht="12.75" customHeight="1">
      <c r="A167" s="44">
        <v>1</v>
      </c>
      <c r="B167" s="93">
        <v>11</v>
      </c>
      <c r="C167" s="45">
        <v>0.05</v>
      </c>
      <c r="D167" s="45">
        <v>0.15</v>
      </c>
      <c r="E167" s="45"/>
      <c r="F167" s="45"/>
      <c r="G167" s="45">
        <v>0.15</v>
      </c>
      <c r="H167" s="45">
        <v>0.15</v>
      </c>
      <c r="I167" s="46">
        <v>0</v>
      </c>
      <c r="J167" s="45">
        <v>0.15</v>
      </c>
      <c r="K167"/>
      <c r="L167"/>
      <c r="M167"/>
      <c r="Y167" s="164"/>
      <c r="Z167" s="164"/>
      <c r="AE167"/>
    </row>
    <row r="168" spans="1:31" ht="12.75" customHeight="1">
      <c r="A168" s="44">
        <v>1</v>
      </c>
      <c r="B168" s="93">
        <v>12</v>
      </c>
      <c r="C168" s="45">
        <v>0.05</v>
      </c>
      <c r="D168" s="45">
        <v>0.15</v>
      </c>
      <c r="E168" s="45"/>
      <c r="F168" s="45"/>
      <c r="G168" s="45">
        <v>0.15</v>
      </c>
      <c r="H168" s="45">
        <v>0.15</v>
      </c>
      <c r="I168" s="46">
        <v>0</v>
      </c>
      <c r="J168" s="45">
        <v>0.15</v>
      </c>
      <c r="K168"/>
      <c r="L168"/>
      <c r="M168"/>
      <c r="Y168" s="164"/>
      <c r="Z168" s="164"/>
      <c r="AE168"/>
    </row>
    <row r="169" spans="1:31" ht="12.75" customHeight="1">
      <c r="A169" s="44">
        <v>1</v>
      </c>
      <c r="B169" s="93">
        <v>13</v>
      </c>
      <c r="C169" s="45">
        <v>0.05</v>
      </c>
      <c r="D169" s="45">
        <v>0.15</v>
      </c>
      <c r="E169" s="45"/>
      <c r="F169" s="45"/>
      <c r="G169" s="45">
        <v>0.15</v>
      </c>
      <c r="H169" s="45">
        <v>0.15</v>
      </c>
      <c r="I169" s="46">
        <v>0</v>
      </c>
      <c r="J169" s="45">
        <v>0.15</v>
      </c>
      <c r="K169"/>
      <c r="L169"/>
      <c r="M169"/>
      <c r="Y169" s="164"/>
      <c r="Z169" s="164"/>
      <c r="AE169"/>
    </row>
    <row r="170" spans="1:31" ht="12.75" customHeight="1">
      <c r="A170" s="44">
        <v>1</v>
      </c>
      <c r="B170" s="93">
        <v>14</v>
      </c>
      <c r="C170" s="45">
        <v>0.05</v>
      </c>
      <c r="D170" s="45">
        <v>0.15</v>
      </c>
      <c r="E170" s="45"/>
      <c r="F170" s="45"/>
      <c r="G170" s="45">
        <v>0.15</v>
      </c>
      <c r="H170" s="45">
        <v>0.15</v>
      </c>
      <c r="I170" s="46">
        <v>0</v>
      </c>
      <c r="J170" s="45">
        <v>0.15</v>
      </c>
      <c r="K170"/>
      <c r="L170"/>
      <c r="M170"/>
      <c r="Y170" s="164"/>
      <c r="Z170" s="164"/>
      <c r="AE170"/>
    </row>
    <row r="171" spans="1:31" ht="12.75" customHeight="1">
      <c r="A171" s="44">
        <v>1</v>
      </c>
      <c r="B171" s="93">
        <v>15</v>
      </c>
      <c r="C171" s="45">
        <v>0.05</v>
      </c>
      <c r="D171" s="45">
        <v>0.15</v>
      </c>
      <c r="E171" s="45"/>
      <c r="F171" s="45"/>
      <c r="G171" s="45">
        <v>0.15</v>
      </c>
      <c r="H171" s="45">
        <v>0.15</v>
      </c>
      <c r="I171" s="46">
        <v>0</v>
      </c>
      <c r="J171" s="45">
        <v>0.15</v>
      </c>
      <c r="K171"/>
      <c r="L171"/>
      <c r="M171"/>
      <c r="Y171" s="164"/>
      <c r="Z171" s="164"/>
      <c r="AE171"/>
    </row>
    <row r="172" spans="1:31" ht="12.75" customHeight="1">
      <c r="A172" s="44">
        <v>1</v>
      </c>
      <c r="B172" s="93">
        <v>16</v>
      </c>
      <c r="C172" s="45">
        <v>0.05</v>
      </c>
      <c r="D172" s="45">
        <v>0.15</v>
      </c>
      <c r="E172" s="45"/>
      <c r="F172" s="45"/>
      <c r="G172" s="45">
        <v>0.15</v>
      </c>
      <c r="H172" s="45">
        <v>0.15</v>
      </c>
      <c r="I172" s="46">
        <v>0</v>
      </c>
      <c r="J172" s="45">
        <v>0.15</v>
      </c>
      <c r="K172"/>
      <c r="L172"/>
      <c r="M172"/>
      <c r="Y172" s="164"/>
      <c r="Z172" s="164"/>
      <c r="AE172"/>
    </row>
    <row r="173" spans="1:31" ht="12.75" customHeight="1">
      <c r="A173" s="44">
        <v>1</v>
      </c>
      <c r="B173" s="93">
        <v>17</v>
      </c>
      <c r="C173" s="45">
        <v>0.05</v>
      </c>
      <c r="D173" s="45">
        <v>0.15</v>
      </c>
      <c r="E173" s="45"/>
      <c r="F173" s="45"/>
      <c r="G173" s="45">
        <v>0.15</v>
      </c>
      <c r="H173" s="45">
        <v>0</v>
      </c>
      <c r="I173" s="46">
        <v>0</v>
      </c>
      <c r="J173" s="45">
        <v>0.15</v>
      </c>
      <c r="K173"/>
      <c r="L173"/>
      <c r="M173"/>
      <c r="Y173" s="164"/>
      <c r="Z173" s="164"/>
      <c r="AE173"/>
    </row>
    <row r="174" spans="1:31" ht="12.75" customHeight="1">
      <c r="A174" s="44">
        <v>1</v>
      </c>
      <c r="B174" s="93">
        <v>18</v>
      </c>
      <c r="C174" s="45">
        <v>0.05</v>
      </c>
      <c r="D174" s="45">
        <v>0.15</v>
      </c>
      <c r="E174" s="45"/>
      <c r="F174" s="45"/>
      <c r="G174" s="45">
        <v>0.15</v>
      </c>
      <c r="H174" s="45">
        <v>0</v>
      </c>
      <c r="I174" s="46">
        <v>0</v>
      </c>
      <c r="J174" s="45">
        <v>0.15</v>
      </c>
      <c r="K174"/>
      <c r="L174"/>
      <c r="M174"/>
      <c r="Y174" s="164"/>
      <c r="Z174" s="164"/>
      <c r="AE174"/>
    </row>
    <row r="175" spans="1:31" ht="12.75" customHeight="1">
      <c r="A175" s="44">
        <v>1</v>
      </c>
      <c r="B175" s="93">
        <v>19</v>
      </c>
      <c r="C175" s="45">
        <v>0.05</v>
      </c>
      <c r="D175" s="45">
        <v>0.15</v>
      </c>
      <c r="E175" s="45"/>
      <c r="F175" s="45"/>
      <c r="G175" s="45">
        <v>0.15</v>
      </c>
      <c r="H175" s="45">
        <v>0</v>
      </c>
      <c r="I175" s="46">
        <v>0</v>
      </c>
      <c r="J175" s="45">
        <v>0.15</v>
      </c>
      <c r="K175"/>
      <c r="L175"/>
      <c r="M175"/>
      <c r="Y175" s="164"/>
      <c r="Z175" s="164"/>
      <c r="AE175"/>
    </row>
    <row r="176" spans="1:31" ht="12.75" customHeight="1">
      <c r="A176" s="44">
        <v>1</v>
      </c>
      <c r="B176" s="93">
        <v>20</v>
      </c>
      <c r="C176" s="45">
        <v>0.05</v>
      </c>
      <c r="D176" s="45">
        <v>0.15</v>
      </c>
      <c r="E176" s="45"/>
      <c r="F176" s="45"/>
      <c r="G176" s="45">
        <v>0.15</v>
      </c>
      <c r="H176" s="45">
        <v>0</v>
      </c>
      <c r="I176" s="46">
        <v>0</v>
      </c>
      <c r="J176" s="45">
        <v>0.15</v>
      </c>
      <c r="K176"/>
      <c r="L176"/>
      <c r="M176"/>
      <c r="Y176" s="164"/>
      <c r="Z176" s="164"/>
      <c r="AE176"/>
    </row>
    <row r="177" spans="1:31" ht="12.75" customHeight="1">
      <c r="A177" s="44">
        <v>1</v>
      </c>
      <c r="B177" s="93">
        <v>21</v>
      </c>
      <c r="C177" s="45">
        <v>0.05</v>
      </c>
      <c r="D177" s="45">
        <v>0.15</v>
      </c>
      <c r="E177" s="45"/>
      <c r="F177" s="45"/>
      <c r="G177" s="45">
        <v>0.15</v>
      </c>
      <c r="H177" s="45">
        <v>0</v>
      </c>
      <c r="I177" s="46">
        <v>0</v>
      </c>
      <c r="J177" s="45">
        <v>0.15</v>
      </c>
      <c r="K177"/>
      <c r="L177"/>
      <c r="M177"/>
      <c r="Y177" s="164"/>
      <c r="Z177" s="164"/>
      <c r="AE177"/>
    </row>
    <row r="178" spans="1:31" ht="12.75" customHeight="1">
      <c r="A178" s="44">
        <v>1</v>
      </c>
      <c r="B178" s="93">
        <v>22</v>
      </c>
      <c r="C178" s="45">
        <v>0.05</v>
      </c>
      <c r="D178" s="45">
        <v>0.15</v>
      </c>
      <c r="E178" s="45"/>
      <c r="F178" s="45"/>
      <c r="G178" s="45">
        <v>0.15</v>
      </c>
      <c r="H178" s="45">
        <v>0</v>
      </c>
      <c r="I178" s="46">
        <v>0</v>
      </c>
      <c r="J178" s="45">
        <v>0.15</v>
      </c>
      <c r="K178"/>
      <c r="L178"/>
      <c r="M178"/>
      <c r="Y178" s="164"/>
      <c r="Z178" s="164"/>
      <c r="AE178"/>
    </row>
    <row r="179" spans="1:31" ht="12.75" customHeight="1">
      <c r="A179" s="44">
        <v>1</v>
      </c>
      <c r="B179" s="93">
        <v>23</v>
      </c>
      <c r="C179" s="45">
        <v>0.05</v>
      </c>
      <c r="D179" s="45">
        <v>0.15</v>
      </c>
      <c r="E179" s="45"/>
      <c r="F179" s="45"/>
      <c r="G179" s="45">
        <v>0.15</v>
      </c>
      <c r="H179" s="45">
        <v>0</v>
      </c>
      <c r="I179" s="46">
        <v>0</v>
      </c>
      <c r="J179" s="45">
        <v>0.15</v>
      </c>
      <c r="K179"/>
      <c r="L179"/>
      <c r="M179"/>
      <c r="Y179" s="164"/>
      <c r="Z179" s="164"/>
      <c r="AE179"/>
    </row>
    <row r="180" spans="1:31" ht="12.75" customHeight="1">
      <c r="A180" s="44">
        <v>1</v>
      </c>
      <c r="B180" s="93">
        <v>24</v>
      </c>
      <c r="C180" s="45">
        <v>0.05</v>
      </c>
      <c r="D180" s="45">
        <v>0.15</v>
      </c>
      <c r="E180" s="45"/>
      <c r="F180" s="45"/>
      <c r="G180" s="45">
        <v>0.15</v>
      </c>
      <c r="H180" s="45">
        <v>0</v>
      </c>
      <c r="I180" s="46">
        <v>0</v>
      </c>
      <c r="J180" s="45">
        <v>0.15</v>
      </c>
      <c r="K180"/>
      <c r="L180"/>
      <c r="M180"/>
      <c r="Y180" s="164"/>
      <c r="Z180" s="164"/>
      <c r="AE180"/>
    </row>
    <row r="181" spans="1:31" ht="12.75" customHeight="1">
      <c r="A181" s="44">
        <v>1</v>
      </c>
      <c r="B181" s="94">
        <v>25</v>
      </c>
      <c r="C181" s="58">
        <v>0.05</v>
      </c>
      <c r="D181" s="58">
        <v>0.15</v>
      </c>
      <c r="E181" s="58"/>
      <c r="F181" s="58"/>
      <c r="G181" s="58">
        <v>0.15</v>
      </c>
      <c r="H181" s="58">
        <v>0</v>
      </c>
      <c r="I181" s="61">
        <v>0</v>
      </c>
      <c r="J181" s="58">
        <v>0.15</v>
      </c>
      <c r="K181"/>
      <c r="L181"/>
      <c r="M181"/>
      <c r="Y181" s="164"/>
      <c r="Z181" s="164"/>
      <c r="AE181"/>
    </row>
    <row r="183" spans="1:31" ht="12.75" customHeight="1">
      <c r="A183" s="43" t="s">
        <v>161</v>
      </c>
      <c r="B183" s="33" t="str">
        <f ca="1">GetNameRange(B184)</f>
        <v>LapseDynBaseProdParamsAIG</v>
      </c>
      <c r="C183" s="34"/>
      <c r="K183"/>
    </row>
    <row r="184" spans="1:31" ht="12.75" customHeight="1">
      <c r="A184" s="43" t="s">
        <v>162</v>
      </c>
      <c r="B184" s="86" t="s">
        <v>271</v>
      </c>
      <c r="C184" s="86" t="s">
        <v>272</v>
      </c>
      <c r="D184" s="89" t="s">
        <v>270</v>
      </c>
      <c r="E184" s="310"/>
      <c r="F184" s="310"/>
      <c r="G184" s="164"/>
      <c r="H184" s="421" t="s">
        <v>530</v>
      </c>
    </row>
    <row r="185" spans="1:31" ht="12.75" customHeight="1">
      <c r="A185" s="138"/>
      <c r="B185" s="422">
        <v>0</v>
      </c>
      <c r="C185" s="106">
        <v>0</v>
      </c>
      <c r="D185" s="140">
        <v>2</v>
      </c>
      <c r="E185" s="532"/>
      <c r="F185" s="532"/>
      <c r="H185" s="86" t="s">
        <v>271</v>
      </c>
      <c r="I185" s="86" t="s">
        <v>272</v>
      </c>
      <c r="J185" s="143" t="s">
        <v>273</v>
      </c>
      <c r="N185" s="422">
        <v>0</v>
      </c>
      <c r="O185" s="106">
        <v>0</v>
      </c>
      <c r="P185" s="425" t="s">
        <v>548</v>
      </c>
      <c r="Q185" s="112" t="s">
        <v>549</v>
      </c>
    </row>
    <row r="186" spans="1:31" ht="12.75" customHeight="1">
      <c r="A186" s="138"/>
      <c r="B186" s="423">
        <v>0</v>
      </c>
      <c r="C186" s="106">
        <v>1</v>
      </c>
      <c r="D186" s="140">
        <v>1</v>
      </c>
      <c r="E186" s="532"/>
      <c r="F186" s="532"/>
      <c r="H186" s="401" t="s">
        <v>531</v>
      </c>
      <c r="I186" s="401" t="s">
        <v>532</v>
      </c>
      <c r="J186" s="401" t="s">
        <v>533</v>
      </c>
      <c r="N186" s="423">
        <v>0</v>
      </c>
      <c r="O186" s="106">
        <v>1</v>
      </c>
      <c r="P186" s="87" t="s">
        <v>548</v>
      </c>
      <c r="Q186" s="112" t="s">
        <v>550</v>
      </c>
    </row>
    <row r="187" spans="1:31" ht="12.75" customHeight="1">
      <c r="A187" s="138"/>
      <c r="B187" s="423">
        <v>1</v>
      </c>
      <c r="C187" s="106">
        <v>0</v>
      </c>
      <c r="D187" s="140">
        <v>5</v>
      </c>
      <c r="E187" s="532"/>
      <c r="F187" s="532"/>
      <c r="H187" s="401" t="s">
        <v>534</v>
      </c>
      <c r="I187" s="401" t="s">
        <v>535</v>
      </c>
      <c r="J187" s="401" t="s">
        <v>536</v>
      </c>
      <c r="N187" s="423">
        <v>1</v>
      </c>
      <c r="O187" s="106">
        <v>0</v>
      </c>
      <c r="P187" s="87" t="s">
        <v>551</v>
      </c>
      <c r="Q187" s="112" t="s">
        <v>549</v>
      </c>
    </row>
    <row r="188" spans="1:31" ht="12.75" customHeight="1">
      <c r="A188" s="138"/>
      <c r="B188" s="423">
        <v>1</v>
      </c>
      <c r="C188" s="106">
        <v>1</v>
      </c>
      <c r="D188" s="140">
        <v>2</v>
      </c>
      <c r="E188" s="532"/>
      <c r="F188" s="532"/>
      <c r="H188" s="401" t="s">
        <v>537</v>
      </c>
      <c r="N188" s="423">
        <v>1</v>
      </c>
      <c r="O188" s="106">
        <v>1</v>
      </c>
      <c r="P188" s="87" t="s">
        <v>551</v>
      </c>
      <c r="Q188" s="112" t="s">
        <v>550</v>
      </c>
    </row>
    <row r="189" spans="1:31" ht="12.75" customHeight="1">
      <c r="A189" s="138"/>
      <c r="B189" s="423">
        <v>2</v>
      </c>
      <c r="C189" s="106">
        <v>0</v>
      </c>
      <c r="D189" s="140">
        <v>3</v>
      </c>
      <c r="E189" s="532"/>
      <c r="F189" s="532"/>
      <c r="H189" s="164"/>
      <c r="N189" s="423">
        <v>2</v>
      </c>
      <c r="O189" s="106">
        <v>0</v>
      </c>
      <c r="P189" s="87" t="s">
        <v>552</v>
      </c>
      <c r="Q189" s="112" t="s">
        <v>549</v>
      </c>
    </row>
    <row r="190" spans="1:31" ht="12.75" customHeight="1">
      <c r="A190" s="138"/>
      <c r="B190" s="424">
        <v>2</v>
      </c>
      <c r="C190" s="106">
        <v>1</v>
      </c>
      <c r="D190" s="63">
        <v>1</v>
      </c>
      <c r="E190" s="532"/>
      <c r="F190" s="532"/>
      <c r="N190" s="424">
        <v>2</v>
      </c>
      <c r="O190" s="106">
        <v>1</v>
      </c>
      <c r="P190" s="88" t="s">
        <v>552</v>
      </c>
      <c r="Q190" s="139" t="s">
        <v>550</v>
      </c>
    </row>
    <row r="191" spans="1:31" ht="12.75" customHeight="1">
      <c r="N191" s="164"/>
      <c r="P191"/>
    </row>
    <row r="192" spans="1:31" ht="12.75" customHeight="1">
      <c r="A192" s="43" t="s">
        <v>161</v>
      </c>
      <c r="B192" s="33" t="str">
        <f ca="1">GetNameRange(B193)</f>
        <v>LapseDynArcTanParamsAIG</v>
      </c>
      <c r="C192" s="34"/>
      <c r="N192" s="164"/>
      <c r="P192"/>
    </row>
    <row r="193" spans="1:31" ht="12.75" customHeight="1">
      <c r="A193" s="43" t="s">
        <v>162</v>
      </c>
      <c r="B193" s="146" t="s">
        <v>280</v>
      </c>
      <c r="C193" s="146"/>
      <c r="D193" s="76" t="s">
        <v>277</v>
      </c>
      <c r="E193" s="170"/>
      <c r="F193" s="170"/>
      <c r="G193" s="76" t="s">
        <v>277</v>
      </c>
      <c r="H193" s="170" t="s">
        <v>408</v>
      </c>
      <c r="I193" s="170" t="s">
        <v>408</v>
      </c>
      <c r="J193" s="314" t="s">
        <v>406</v>
      </c>
      <c r="K193" s="314" t="s">
        <v>406</v>
      </c>
      <c r="L193" s="76" t="s">
        <v>278</v>
      </c>
      <c r="M193" s="77" t="s">
        <v>278</v>
      </c>
      <c r="N193" s="164"/>
      <c r="P193"/>
      <c r="AA193" s="164"/>
      <c r="AB193" s="164"/>
      <c r="AE193"/>
    </row>
    <row r="194" spans="1:31" ht="12.75" customHeight="1">
      <c r="B194" s="143" t="s">
        <v>271</v>
      </c>
      <c r="C194" s="147" t="s">
        <v>273</v>
      </c>
      <c r="D194" s="144" t="s">
        <v>274</v>
      </c>
      <c r="E194" s="144"/>
      <c r="F194" s="144"/>
      <c r="G194" s="144" t="s">
        <v>275</v>
      </c>
      <c r="H194" s="144" t="s">
        <v>274</v>
      </c>
      <c r="I194" s="144" t="s">
        <v>275</v>
      </c>
      <c r="J194" s="144" t="s">
        <v>274</v>
      </c>
      <c r="K194" s="144" t="s">
        <v>275</v>
      </c>
      <c r="L194" s="144" t="s">
        <v>274</v>
      </c>
      <c r="M194" s="145" t="s">
        <v>275</v>
      </c>
      <c r="N194" s="164"/>
      <c r="P194"/>
      <c r="AA194" s="164"/>
      <c r="AB194" s="164"/>
      <c r="AE194"/>
    </row>
    <row r="195" spans="1:31" ht="12.75" customHeight="1">
      <c r="A195" s="138"/>
      <c r="B195" s="423">
        <v>1</v>
      </c>
      <c r="C195" s="106">
        <v>0</v>
      </c>
      <c r="D195" s="177">
        <v>0.65</v>
      </c>
      <c r="E195" s="177"/>
      <c r="F195" s="177"/>
      <c r="G195" s="178">
        <v>3</v>
      </c>
      <c r="H195" s="178">
        <v>0.35</v>
      </c>
      <c r="I195" s="178">
        <v>2.75</v>
      </c>
      <c r="J195" s="177">
        <v>-5.0000000000000001E-3</v>
      </c>
      <c r="K195" s="178">
        <v>4</v>
      </c>
      <c r="L195" s="177">
        <v>0.5</v>
      </c>
      <c r="M195" s="179">
        <v>4</v>
      </c>
      <c r="N195" s="423">
        <v>1</v>
      </c>
      <c r="O195" s="106">
        <v>0</v>
      </c>
      <c r="P195" s="87" t="s">
        <v>551</v>
      </c>
      <c r="Q195" s="112" t="s">
        <v>553</v>
      </c>
      <c r="AA195" s="164"/>
      <c r="AB195" s="164"/>
      <c r="AE195"/>
    </row>
    <row r="196" spans="1:31" ht="12.75" customHeight="1">
      <c r="A196" s="138"/>
      <c r="B196" s="423">
        <v>1</v>
      </c>
      <c r="C196" s="106">
        <v>1</v>
      </c>
      <c r="D196" s="177">
        <v>0.5</v>
      </c>
      <c r="E196" s="177"/>
      <c r="F196" s="177"/>
      <c r="G196" s="178">
        <v>2.25</v>
      </c>
      <c r="H196" s="178">
        <v>0.92500000000000004</v>
      </c>
      <c r="I196" s="178">
        <v>0.67</v>
      </c>
      <c r="J196" s="177">
        <v>0.83499999999999996</v>
      </c>
      <c r="K196" s="178">
        <v>1.34</v>
      </c>
      <c r="L196" s="177">
        <v>0.375</v>
      </c>
      <c r="M196" s="179">
        <v>2.2999999999999998</v>
      </c>
      <c r="N196" s="423">
        <v>1</v>
      </c>
      <c r="O196" s="106">
        <v>1</v>
      </c>
      <c r="P196" s="87" t="s">
        <v>551</v>
      </c>
      <c r="Q196" s="112" t="s">
        <v>554</v>
      </c>
      <c r="AA196" s="164"/>
      <c r="AB196" s="164"/>
      <c r="AE196"/>
    </row>
    <row r="197" spans="1:31" ht="12.75" customHeight="1">
      <c r="A197" s="138"/>
      <c r="B197" s="423">
        <v>2</v>
      </c>
      <c r="C197" s="106">
        <v>0</v>
      </c>
      <c r="D197" s="177">
        <v>0.5</v>
      </c>
      <c r="E197" s="177"/>
      <c r="F197" s="177"/>
      <c r="G197" s="178">
        <v>2.25</v>
      </c>
      <c r="H197" s="178">
        <v>0.35</v>
      </c>
      <c r="I197" s="178">
        <v>2.75</v>
      </c>
      <c r="J197" s="180">
        <v>-5.0000000000000001E-3</v>
      </c>
      <c r="K197" s="178">
        <v>2.75</v>
      </c>
      <c r="L197" s="177">
        <v>0.35</v>
      </c>
      <c r="M197" s="179">
        <v>2.75</v>
      </c>
      <c r="N197" s="423">
        <v>2</v>
      </c>
      <c r="O197" s="106">
        <v>0</v>
      </c>
      <c r="P197" s="87" t="s">
        <v>552</v>
      </c>
      <c r="Q197" s="112" t="s">
        <v>553</v>
      </c>
      <c r="AA197" s="164"/>
      <c r="AB197" s="164"/>
      <c r="AE197"/>
    </row>
    <row r="198" spans="1:31" ht="12.75" customHeight="1">
      <c r="A198" s="138"/>
      <c r="B198" s="424">
        <v>2</v>
      </c>
      <c r="C198" s="139">
        <v>1</v>
      </c>
      <c r="D198" s="181">
        <v>0.67</v>
      </c>
      <c r="E198" s="180"/>
      <c r="F198" s="180"/>
      <c r="G198" s="182">
        <v>1.5</v>
      </c>
      <c r="H198" s="181">
        <v>0.92500000000000004</v>
      </c>
      <c r="I198" s="182">
        <v>0.67</v>
      </c>
      <c r="J198" s="181">
        <v>0.73499999999999999</v>
      </c>
      <c r="K198" s="182">
        <v>3.1</v>
      </c>
      <c r="L198" s="181">
        <v>0.92500000000000004</v>
      </c>
      <c r="M198" s="183">
        <v>0.67</v>
      </c>
      <c r="N198" s="424">
        <v>2</v>
      </c>
      <c r="O198" s="139">
        <v>1</v>
      </c>
      <c r="P198" s="88" t="s">
        <v>552</v>
      </c>
      <c r="Q198" s="139" t="s">
        <v>554</v>
      </c>
      <c r="AA198" s="164"/>
      <c r="AB198" s="164"/>
      <c r="AE198"/>
    </row>
    <row r="199" spans="1:31" ht="12.75" customHeight="1">
      <c r="N199" s="164"/>
      <c r="P199"/>
    </row>
    <row r="200" spans="1:31" s="164" customFormat="1" ht="12.75" customHeight="1">
      <c r="A200" s="43" t="s">
        <v>161</v>
      </c>
      <c r="B200" s="33" t="str">
        <f ca="1">GetNameRange(B201)</f>
        <v>LapseDynArcTan2019ParamsAIG</v>
      </c>
      <c r="C200" s="34"/>
    </row>
    <row r="201" spans="1:31" s="164" customFormat="1" ht="12.75" customHeight="1">
      <c r="A201" s="43" t="s">
        <v>162</v>
      </c>
      <c r="B201" s="146" t="s">
        <v>280</v>
      </c>
      <c r="C201" s="146"/>
      <c r="D201" s="170" t="s">
        <v>277</v>
      </c>
      <c r="E201" s="170"/>
      <c r="F201" s="170"/>
      <c r="G201" s="170" t="s">
        <v>277</v>
      </c>
      <c r="H201" s="314" t="s">
        <v>406</v>
      </c>
      <c r="I201" s="314" t="s">
        <v>406</v>
      </c>
      <c r="J201" s="170" t="s">
        <v>278</v>
      </c>
      <c r="K201" s="77" t="s">
        <v>278</v>
      </c>
      <c r="L201" s="170" t="s">
        <v>417</v>
      </c>
      <c r="M201" s="77" t="s">
        <v>417</v>
      </c>
      <c r="N201" s="170" t="s">
        <v>418</v>
      </c>
      <c r="O201" s="77" t="s">
        <v>418</v>
      </c>
    </row>
    <row r="202" spans="1:31" s="164" customFormat="1" ht="12.75" customHeight="1">
      <c r="B202" s="143" t="s">
        <v>219</v>
      </c>
      <c r="C202" s="147" t="s">
        <v>273</v>
      </c>
      <c r="D202" s="144" t="s">
        <v>394</v>
      </c>
      <c r="E202" s="144"/>
      <c r="F202" s="144"/>
      <c r="G202" s="144" t="s">
        <v>395</v>
      </c>
      <c r="H202" s="144" t="s">
        <v>394</v>
      </c>
      <c r="I202" s="144" t="s">
        <v>395</v>
      </c>
      <c r="J202" s="144" t="s">
        <v>394</v>
      </c>
      <c r="K202" s="145" t="s">
        <v>395</v>
      </c>
      <c r="L202" s="144" t="s">
        <v>394</v>
      </c>
      <c r="M202" s="145" t="s">
        <v>395</v>
      </c>
      <c r="N202" s="144" t="s">
        <v>394</v>
      </c>
      <c r="O202" s="145" t="s">
        <v>395</v>
      </c>
    </row>
    <row r="203" spans="1:31" s="164" customFormat="1" ht="12.75" customHeight="1">
      <c r="A203" s="163"/>
      <c r="B203" s="87" t="s">
        <v>397</v>
      </c>
      <c r="C203" s="106">
        <v>0</v>
      </c>
      <c r="D203" s="177">
        <v>0.45</v>
      </c>
      <c r="E203" s="177"/>
      <c r="F203" s="177"/>
      <c r="G203" s="178">
        <v>3.75</v>
      </c>
      <c r="H203" s="177">
        <v>0.45</v>
      </c>
      <c r="I203" s="178">
        <v>3.75</v>
      </c>
      <c r="J203" s="177">
        <v>0.45</v>
      </c>
      <c r="K203" s="179">
        <v>3.75</v>
      </c>
      <c r="L203" s="177">
        <v>0.45</v>
      </c>
      <c r="M203" s="179">
        <v>3.75</v>
      </c>
      <c r="N203" s="177">
        <v>0.45</v>
      </c>
      <c r="O203" s="179">
        <v>3.75</v>
      </c>
      <c r="P203" s="106">
        <v>0</v>
      </c>
      <c r="Q203" s="112" t="s">
        <v>553</v>
      </c>
    </row>
    <row r="204" spans="1:31" s="164" customFormat="1" ht="12.75" customHeight="1">
      <c r="A204" s="163"/>
      <c r="B204" s="87" t="s">
        <v>397</v>
      </c>
      <c r="C204" s="106">
        <v>1</v>
      </c>
      <c r="D204" s="177">
        <v>0.35</v>
      </c>
      <c r="E204" s="177"/>
      <c r="F204" s="177"/>
      <c r="G204" s="178">
        <v>3.75</v>
      </c>
      <c r="H204" s="177">
        <v>0.35</v>
      </c>
      <c r="I204" s="178">
        <v>3.75</v>
      </c>
      <c r="J204" s="177">
        <v>0.35</v>
      </c>
      <c r="K204" s="179">
        <v>3.75</v>
      </c>
      <c r="L204" s="177">
        <v>0.35</v>
      </c>
      <c r="M204" s="179">
        <v>3.75</v>
      </c>
      <c r="N204" s="177">
        <v>0.35</v>
      </c>
      <c r="O204" s="179">
        <v>3.75</v>
      </c>
      <c r="P204" s="106">
        <v>1</v>
      </c>
      <c r="Q204" s="112" t="s">
        <v>554</v>
      </c>
    </row>
    <row r="205" spans="1:31" s="164" customFormat="1" ht="12.75" customHeight="1">
      <c r="A205" s="163"/>
      <c r="B205" s="87" t="s">
        <v>398</v>
      </c>
      <c r="C205" s="106">
        <v>0</v>
      </c>
      <c r="D205" s="177">
        <v>0.45</v>
      </c>
      <c r="E205" s="177"/>
      <c r="F205" s="177"/>
      <c r="G205" s="178">
        <v>3.75</v>
      </c>
      <c r="H205" s="177">
        <v>0.45</v>
      </c>
      <c r="I205" s="178">
        <v>3.75</v>
      </c>
      <c r="J205" s="177">
        <v>0.45</v>
      </c>
      <c r="K205" s="179">
        <v>3.75</v>
      </c>
      <c r="L205" s="177">
        <v>0.45</v>
      </c>
      <c r="M205" s="179">
        <v>3.75</v>
      </c>
      <c r="N205" s="177">
        <v>0.45</v>
      </c>
      <c r="O205" s="179">
        <v>3.75</v>
      </c>
      <c r="P205" s="106">
        <v>0</v>
      </c>
      <c r="Q205" s="112" t="s">
        <v>553</v>
      </c>
    </row>
    <row r="206" spans="1:31" s="164" customFormat="1" ht="12.75" customHeight="1">
      <c r="A206" s="163"/>
      <c r="B206" s="87" t="s">
        <v>398</v>
      </c>
      <c r="C206" s="106">
        <v>1</v>
      </c>
      <c r="D206" s="177">
        <v>0.35</v>
      </c>
      <c r="E206" s="177"/>
      <c r="F206" s="177"/>
      <c r="G206" s="178">
        <v>3.75</v>
      </c>
      <c r="H206" s="177">
        <v>0.35</v>
      </c>
      <c r="I206" s="178">
        <v>3.75</v>
      </c>
      <c r="J206" s="177">
        <v>0.35</v>
      </c>
      <c r="K206" s="179">
        <v>3.75</v>
      </c>
      <c r="L206" s="177">
        <v>0.35</v>
      </c>
      <c r="M206" s="179">
        <v>3.75</v>
      </c>
      <c r="N206" s="177">
        <v>0.35</v>
      </c>
      <c r="O206" s="179">
        <v>3.75</v>
      </c>
      <c r="P206" s="106">
        <v>1</v>
      </c>
      <c r="Q206" s="112" t="s">
        <v>554</v>
      </c>
    </row>
    <row r="207" spans="1:31" s="164" customFormat="1" ht="12.75" customHeight="1">
      <c r="A207" s="163"/>
      <c r="B207" s="87" t="s">
        <v>399</v>
      </c>
      <c r="C207" s="106">
        <v>0</v>
      </c>
      <c r="D207" s="177">
        <v>0.65</v>
      </c>
      <c r="E207" s="177"/>
      <c r="F207" s="177"/>
      <c r="G207" s="178">
        <v>4</v>
      </c>
      <c r="H207" s="177">
        <v>0.65</v>
      </c>
      <c r="I207" s="178">
        <v>4</v>
      </c>
      <c r="J207" s="177">
        <v>0.65</v>
      </c>
      <c r="K207" s="179">
        <v>4</v>
      </c>
      <c r="L207" s="177">
        <v>0.65</v>
      </c>
      <c r="M207" s="179">
        <v>4</v>
      </c>
      <c r="N207" s="177">
        <v>0.65</v>
      </c>
      <c r="O207" s="179">
        <v>4</v>
      </c>
      <c r="P207" s="106">
        <v>0</v>
      </c>
      <c r="Q207" s="112" t="s">
        <v>553</v>
      </c>
    </row>
    <row r="208" spans="1:31" s="164" customFormat="1" ht="12.75" customHeight="1">
      <c r="A208" s="163"/>
      <c r="B208" s="87" t="s">
        <v>399</v>
      </c>
      <c r="C208" s="106">
        <v>1</v>
      </c>
      <c r="D208" s="177">
        <v>0.65</v>
      </c>
      <c r="E208" s="177"/>
      <c r="F208" s="177"/>
      <c r="G208" s="178">
        <v>3.75</v>
      </c>
      <c r="H208" s="177">
        <v>0.65</v>
      </c>
      <c r="I208" s="178">
        <v>3.75</v>
      </c>
      <c r="J208" s="177">
        <v>0.65</v>
      </c>
      <c r="K208" s="179">
        <v>3.75</v>
      </c>
      <c r="L208" s="177">
        <v>0.65</v>
      </c>
      <c r="M208" s="179">
        <v>3.75</v>
      </c>
      <c r="N208" s="177">
        <v>0.65</v>
      </c>
      <c r="O208" s="179">
        <v>3.75</v>
      </c>
      <c r="P208" s="106">
        <v>1</v>
      </c>
      <c r="Q208" s="112" t="s">
        <v>554</v>
      </c>
    </row>
    <row r="209" spans="1:31" s="164" customFormat="1" ht="12.75" customHeight="1">
      <c r="A209" s="163"/>
      <c r="B209" s="87" t="s">
        <v>400</v>
      </c>
      <c r="C209" s="106">
        <v>0</v>
      </c>
      <c r="D209" s="177">
        <v>0</v>
      </c>
      <c r="E209" s="177"/>
      <c r="F209" s="177"/>
      <c r="G209" s="178">
        <v>0</v>
      </c>
      <c r="H209" s="180">
        <v>0</v>
      </c>
      <c r="I209" s="178">
        <v>0</v>
      </c>
      <c r="J209" s="177">
        <v>0</v>
      </c>
      <c r="K209" s="179">
        <v>0</v>
      </c>
      <c r="L209" s="177">
        <v>0</v>
      </c>
      <c r="M209" s="179">
        <v>0</v>
      </c>
      <c r="N209" s="177">
        <v>0</v>
      </c>
      <c r="O209" s="179">
        <v>0</v>
      </c>
      <c r="P209" s="106">
        <v>0</v>
      </c>
      <c r="Q209" s="112" t="s">
        <v>553</v>
      </c>
    </row>
    <row r="210" spans="1:31" s="164" customFormat="1" ht="12.75" customHeight="1">
      <c r="A210" s="163"/>
      <c r="B210" s="88" t="s">
        <v>400</v>
      </c>
      <c r="C210" s="139">
        <v>1</v>
      </c>
      <c r="D210" s="181">
        <v>0</v>
      </c>
      <c r="E210" s="180"/>
      <c r="F210" s="180"/>
      <c r="G210" s="182">
        <v>0</v>
      </c>
      <c r="H210" s="181">
        <v>0</v>
      </c>
      <c r="I210" s="182">
        <v>0</v>
      </c>
      <c r="J210" s="181">
        <v>0</v>
      </c>
      <c r="K210" s="183">
        <v>0</v>
      </c>
      <c r="L210" s="181">
        <v>0</v>
      </c>
      <c r="M210" s="183">
        <v>0</v>
      </c>
      <c r="N210" s="181">
        <v>0</v>
      </c>
      <c r="O210" s="183">
        <v>0</v>
      </c>
      <c r="P210" s="139">
        <v>1</v>
      </c>
      <c r="Q210" s="139" t="s">
        <v>554</v>
      </c>
    </row>
    <row r="211" spans="1:31" s="164" customFormat="1" ht="12.75" customHeight="1"/>
    <row r="212" spans="1:31" ht="12.75" customHeight="1">
      <c r="B212" s="33" t="str">
        <f ca="1">GetNameRange(B213)</f>
        <v>addl_sc_shock_pfwd_use_aig</v>
      </c>
      <c r="P212"/>
      <c r="W212" s="164"/>
      <c r="X212"/>
      <c r="AD212" s="164"/>
      <c r="AE212"/>
    </row>
    <row r="213" spans="1:31" ht="12.75" customHeight="1">
      <c r="B213" s="169"/>
      <c r="C213" s="169" t="s">
        <v>47</v>
      </c>
      <c r="D213" s="637" t="s">
        <v>49</v>
      </c>
      <c r="E213" s="569" t="s">
        <v>642</v>
      </c>
      <c r="F213" s="569" t="s">
        <v>643</v>
      </c>
      <c r="G213" s="638" t="s">
        <v>612</v>
      </c>
      <c r="P213"/>
      <c r="W213" s="164"/>
      <c r="X213"/>
      <c r="AD213" s="164"/>
      <c r="AE213"/>
    </row>
    <row r="214" spans="1:31" ht="12.75" customHeight="1">
      <c r="B214" s="639" t="s">
        <v>810</v>
      </c>
      <c r="C214" s="640" t="s">
        <v>811</v>
      </c>
      <c r="D214" s="641"/>
      <c r="E214" s="642"/>
      <c r="F214" s="642"/>
      <c r="G214" s="643"/>
      <c r="P214"/>
      <c r="W214" s="164"/>
      <c r="X214"/>
      <c r="AD214" s="164"/>
      <c r="AE214"/>
    </row>
    <row r="215" spans="1:31" ht="12.75" customHeight="1">
      <c r="B215" s="644">
        <v>1</v>
      </c>
      <c r="C215" s="645" t="s">
        <v>812</v>
      </c>
      <c r="D215" s="646"/>
      <c r="E215" s="647">
        <v>0</v>
      </c>
      <c r="F215" s="647">
        <v>0</v>
      </c>
      <c r="G215" s="648">
        <v>0.2</v>
      </c>
    </row>
    <row r="216" spans="1:31" ht="12.75" customHeight="1">
      <c r="B216" s="644">
        <v>2</v>
      </c>
      <c r="C216" s="645" t="s">
        <v>812</v>
      </c>
      <c r="D216" s="649"/>
      <c r="E216" s="650">
        <v>0</v>
      </c>
      <c r="F216" s="650">
        <v>0</v>
      </c>
      <c r="G216" s="651">
        <v>0</v>
      </c>
    </row>
    <row r="217" spans="1:31" ht="12.75" customHeight="1">
      <c r="B217" s="644">
        <v>3</v>
      </c>
      <c r="C217" s="645" t="s">
        <v>812</v>
      </c>
      <c r="D217" s="649"/>
      <c r="E217" s="650">
        <v>0</v>
      </c>
      <c r="F217" s="650">
        <v>0</v>
      </c>
      <c r="G217" s="651">
        <v>0</v>
      </c>
    </row>
    <row r="218" spans="1:31" ht="12.75" customHeight="1">
      <c r="B218" s="644">
        <v>4</v>
      </c>
      <c r="C218" s="645" t="s">
        <v>812</v>
      </c>
      <c r="D218" s="649"/>
      <c r="E218" s="650">
        <v>0</v>
      </c>
      <c r="F218" s="650">
        <v>0</v>
      </c>
      <c r="G218" s="651">
        <v>0</v>
      </c>
    </row>
    <row r="219" spans="1:31" ht="12.75" customHeight="1">
      <c r="B219" s="644">
        <v>5</v>
      </c>
      <c r="C219" s="645" t="s">
        <v>812</v>
      </c>
      <c r="D219" s="649"/>
      <c r="E219" s="650">
        <v>0</v>
      </c>
      <c r="F219" s="650">
        <v>0</v>
      </c>
      <c r="G219" s="651">
        <v>0</v>
      </c>
    </row>
    <row r="220" spans="1:31" ht="12.75" customHeight="1">
      <c r="B220" s="644">
        <v>6</v>
      </c>
      <c r="C220" s="645" t="s">
        <v>812</v>
      </c>
      <c r="D220" s="649"/>
      <c r="E220" s="650">
        <v>0</v>
      </c>
      <c r="F220" s="650">
        <v>0</v>
      </c>
      <c r="G220" s="651">
        <v>0</v>
      </c>
    </row>
    <row r="221" spans="1:31" ht="12.75" customHeight="1">
      <c r="B221" s="644">
        <v>7</v>
      </c>
      <c r="C221" s="645" t="s">
        <v>812</v>
      </c>
      <c r="D221" s="649"/>
      <c r="E221" s="650">
        <v>0</v>
      </c>
      <c r="F221" s="650">
        <v>0</v>
      </c>
      <c r="G221" s="651">
        <v>0</v>
      </c>
    </row>
    <row r="222" spans="1:31" ht="12.75" customHeight="1">
      <c r="B222" s="644">
        <v>8</v>
      </c>
      <c r="C222" s="645" t="s">
        <v>812</v>
      </c>
      <c r="D222" s="649"/>
      <c r="E222" s="650">
        <v>0</v>
      </c>
      <c r="F222" s="650">
        <v>0</v>
      </c>
      <c r="G222" s="651">
        <v>0</v>
      </c>
    </row>
    <row r="223" spans="1:31" ht="12.75" customHeight="1">
      <c r="B223" s="644">
        <v>1</v>
      </c>
      <c r="C223" s="645" t="s">
        <v>813</v>
      </c>
      <c r="D223" s="649"/>
      <c r="E223" s="650">
        <v>0</v>
      </c>
      <c r="F223" s="650">
        <v>0</v>
      </c>
      <c r="G223" s="651">
        <v>0.5</v>
      </c>
    </row>
    <row r="224" spans="1:31" ht="12.75" customHeight="1">
      <c r="B224" s="644">
        <v>2</v>
      </c>
      <c r="C224" s="645" t="s">
        <v>813</v>
      </c>
      <c r="D224" s="649"/>
      <c r="E224" s="650">
        <v>0</v>
      </c>
      <c r="F224" s="650">
        <v>0</v>
      </c>
      <c r="G224" s="651">
        <v>0.3</v>
      </c>
    </row>
    <row r="225" spans="2:7" ht="12.75" customHeight="1">
      <c r="B225" s="644">
        <v>3</v>
      </c>
      <c r="C225" s="645" t="s">
        <v>813</v>
      </c>
      <c r="D225" s="649"/>
      <c r="E225" s="650">
        <v>0</v>
      </c>
      <c r="F225" s="650">
        <v>0</v>
      </c>
      <c r="G225" s="651">
        <v>0.25</v>
      </c>
    </row>
    <row r="226" spans="2:7" ht="12.75" customHeight="1">
      <c r="B226" s="644">
        <v>4</v>
      </c>
      <c r="C226" s="645" t="s">
        <v>813</v>
      </c>
      <c r="D226" s="649"/>
      <c r="E226" s="650">
        <v>0</v>
      </c>
      <c r="F226" s="650">
        <v>0</v>
      </c>
      <c r="G226" s="651">
        <v>0.2</v>
      </c>
    </row>
    <row r="227" spans="2:7" ht="12.75" customHeight="1">
      <c r="B227" s="644">
        <v>5</v>
      </c>
      <c r="C227" s="645" t="s">
        <v>813</v>
      </c>
      <c r="D227" s="649"/>
      <c r="E227" s="650">
        <v>0</v>
      </c>
      <c r="F227" s="650">
        <v>0</v>
      </c>
      <c r="G227" s="651">
        <v>0.15</v>
      </c>
    </row>
    <row r="228" spans="2:7" ht="12.75" customHeight="1">
      <c r="B228" s="644">
        <v>6</v>
      </c>
      <c r="C228" s="645" t="s">
        <v>813</v>
      </c>
      <c r="D228" s="649"/>
      <c r="E228" s="650">
        <v>0</v>
      </c>
      <c r="F228" s="650">
        <v>0</v>
      </c>
      <c r="G228" s="651">
        <v>0.1</v>
      </c>
    </row>
    <row r="229" spans="2:7" ht="12.75" customHeight="1">
      <c r="B229" s="644">
        <v>7</v>
      </c>
      <c r="C229" s="645" t="s">
        <v>813</v>
      </c>
      <c r="D229" s="649"/>
      <c r="E229" s="650">
        <v>0</v>
      </c>
      <c r="F229" s="650">
        <v>0</v>
      </c>
      <c r="G229" s="651">
        <v>0.05</v>
      </c>
    </row>
    <row r="230" spans="2:7" ht="12.75" customHeight="1">
      <c r="B230" s="652">
        <v>8</v>
      </c>
      <c r="C230" s="653" t="s">
        <v>813</v>
      </c>
      <c r="D230" s="654"/>
      <c r="E230" s="655">
        <v>0</v>
      </c>
      <c r="F230" s="655">
        <v>0</v>
      </c>
      <c r="G230" s="656">
        <v>0</v>
      </c>
    </row>
  </sheetData>
  <dataConsolidate link="1"/>
  <conditionalFormatting sqref="A185:A190 A13 C75:C76 C13 A51:A59 A67 A9 D65 C19:D20 D67 A48 C14:D14 C48:D48 C9:D9 C51:D59 C24:D33 A25:A33">
    <cfRule type="cellIs" dxfId="1023" priority="1210" operator="equal">
      <formula>""</formula>
    </cfRule>
  </conditionalFormatting>
  <conditionalFormatting sqref="A185:A190 A9 C9 A13:A14 C13:C14 C17:C21 A17:A21 A67 A51:A59 C51:C59 A65 A48 C48 C24:C33 A24:A33">
    <cfRule type="cellIs" dxfId="1022" priority="1257" operator="notEqual">
      <formula>$A9</formula>
    </cfRule>
  </conditionalFormatting>
  <conditionalFormatting sqref="C9 C13:C14 C17:C21 C52">
    <cfRule type="cellIs" dxfId="1021" priority="1165" operator="notEqual">
      <formula>$A9</formula>
    </cfRule>
  </conditionalFormatting>
  <conditionalFormatting sqref="A92:A93">
    <cfRule type="cellIs" dxfId="1020" priority="1117" operator="notEqual">
      <formula>$A92</formula>
    </cfRule>
  </conditionalFormatting>
  <conditionalFormatting sqref="A98:A99">
    <cfRule type="cellIs" dxfId="1019" priority="1115" operator="notEqual">
      <formula>$A92</formula>
    </cfRule>
  </conditionalFormatting>
  <conditionalFormatting sqref="A104:A105">
    <cfRule type="cellIs" dxfId="1018" priority="1113" operator="notEqual">
      <formula>$A92</formula>
    </cfRule>
  </conditionalFormatting>
  <conditionalFormatting sqref="A116">
    <cfRule type="cellIs" dxfId="1017" priority="1093" operator="notEqual">
      <formula>$A116</formula>
    </cfRule>
  </conditionalFormatting>
  <conditionalFormatting sqref="A116:A151">
    <cfRule type="cellIs" dxfId="1016" priority="1091" operator="notEqual">
      <formula>$A116</formula>
    </cfRule>
  </conditionalFormatting>
  <conditionalFormatting sqref="A157">
    <cfRule type="cellIs" dxfId="1015" priority="1089" operator="notEqual">
      <formula>$A157</formula>
    </cfRule>
  </conditionalFormatting>
  <conditionalFormatting sqref="A157:A181">
    <cfRule type="cellIs" dxfId="1014" priority="1087" operator="notEqual">
      <formula>$A157</formula>
    </cfRule>
  </conditionalFormatting>
  <conditionalFormatting sqref="C116:C150">
    <cfRule type="cellIs" dxfId="1013" priority="1085" operator="notEqual">
      <formula>$A116</formula>
    </cfRule>
  </conditionalFormatting>
  <conditionalFormatting sqref="I157:I180">
    <cfRule type="cellIs" dxfId="1012" priority="1079" operator="notEqual">
      <formula>$A157</formula>
    </cfRule>
  </conditionalFormatting>
  <conditionalFormatting sqref="C75:C76">
    <cfRule type="cellIs" dxfId="1011" priority="1025" operator="notEqual">
      <formula>$A50</formula>
    </cfRule>
  </conditionalFormatting>
  <conditionalFormatting sqref="A75:A76">
    <cfRule type="cellIs" dxfId="1010" priority="1023" operator="notEqual">
      <formula>$A75</formula>
    </cfRule>
  </conditionalFormatting>
  <conditionalFormatting sqref="A66">
    <cfRule type="cellIs" dxfId="1009" priority="172" operator="notEqual">
      <formula>$A66</formula>
    </cfRule>
  </conditionalFormatting>
  <conditionalFormatting sqref="C36:C37 A36:A37 B37">
    <cfRule type="cellIs" dxfId="1008" priority="105" operator="notEqual">
      <formula>$A36</formula>
    </cfRule>
  </conditionalFormatting>
  <conditionalFormatting sqref="C39:C42">
    <cfRule type="cellIs" dxfId="1007" priority="60" operator="notEqual">
      <formula>$A39</formula>
    </cfRule>
  </conditionalFormatting>
  <conditionalFormatting sqref="A38">
    <cfRule type="cellIs" dxfId="1006" priority="59" operator="notEqual">
      <formula>$A38</formula>
    </cfRule>
  </conditionalFormatting>
  <conditionalFormatting sqref="A39:A42">
    <cfRule type="cellIs" dxfId="1005" priority="50" operator="equal">
      <formula>""</formula>
    </cfRule>
  </conditionalFormatting>
  <conditionalFormatting sqref="A39:A42">
    <cfRule type="cellIs" dxfId="1004" priority="51" operator="notEqual">
      <formula>$A39</formula>
    </cfRule>
  </conditionalFormatting>
  <conditionalFormatting sqref="G75:G76 G14 G65:G67 G48 G36:G37 G9 G17:G21 G51:G53 G55:G59 G24:G33">
    <cfRule type="cellIs" dxfId="1003" priority="48" operator="equal">
      <formula>""</formula>
    </cfRule>
  </conditionalFormatting>
  <conditionalFormatting sqref="G65:G67 G48 G36:G37 G51:G53 G13:G14 G17:G21 G9 G55:G59 G24:G33">
    <cfRule type="cellIs" dxfId="1002" priority="49" operator="notEqual">
      <formula>$A9</formula>
    </cfRule>
  </conditionalFormatting>
  <conditionalFormatting sqref="G57:G58 G52 G13:G14 G17:G21 G9">
    <cfRule type="cellIs" dxfId="1001" priority="47" operator="notEqual">
      <formula>$A9</formula>
    </cfRule>
  </conditionalFormatting>
  <conditionalFormatting sqref="G75:G76">
    <cfRule type="cellIs" dxfId="1000" priority="42" operator="notEqual">
      <formula>$A50</formula>
    </cfRule>
  </conditionalFormatting>
  <conditionalFormatting sqref="G42">
    <cfRule type="cellIs" dxfId="999" priority="30" operator="equal">
      <formula>""</formula>
    </cfRule>
  </conditionalFormatting>
  <conditionalFormatting sqref="G42">
    <cfRule type="cellIs" dxfId="998" priority="31" operator="notEqual">
      <formula>$A42</formula>
    </cfRule>
  </conditionalFormatting>
  <conditionalFormatting sqref="G39:G42">
    <cfRule type="cellIs" dxfId="997" priority="28" operator="equal">
      <formula>""</formula>
    </cfRule>
  </conditionalFormatting>
  <conditionalFormatting sqref="G39:G42">
    <cfRule type="cellIs" dxfId="996" priority="29" operator="notEqual">
      <formula>$A39</formula>
    </cfRule>
  </conditionalFormatting>
  <conditionalFormatting sqref="A111">
    <cfRule type="cellIs" dxfId="995" priority="24" operator="notEqual">
      <formula>$A111</formula>
    </cfRule>
  </conditionalFormatting>
  <conditionalFormatting sqref="A111:A115">
    <cfRule type="cellIs" dxfId="994" priority="23" operator="notEqual">
      <formula>$A111</formula>
    </cfRule>
  </conditionalFormatting>
  <conditionalFormatting sqref="C111:C115">
    <cfRule type="cellIs" dxfId="993" priority="22" operator="notEqual">
      <formula>$A111</formula>
    </cfRule>
  </conditionalFormatting>
  <conditionalFormatting sqref="E75:E76 E13:E14 E9 E65 E17:E20 E67 E29:F29 E24:E28 E48:F48 F24 E51:E59 E30:E32">
    <cfRule type="cellIs" dxfId="992" priority="20" operator="equal">
      <formula>""</formula>
    </cfRule>
  </conditionalFormatting>
  <conditionalFormatting sqref="E9 E17:F21 E13:F14 E65:F67 E48:F48 E51:F59 E24:F31">
    <cfRule type="cellIs" dxfId="991" priority="21" operator="notEqual">
      <formula>$A9</formula>
    </cfRule>
  </conditionalFormatting>
  <conditionalFormatting sqref="E9 E17:F21 E13:F14 E52:F52">
    <cfRule type="cellIs" dxfId="990" priority="19" operator="notEqual">
      <formula>$A9</formula>
    </cfRule>
  </conditionalFormatting>
  <conditionalFormatting sqref="E75:F76">
    <cfRule type="cellIs" dxfId="989" priority="18" operator="notEqual">
      <formula>$A50</formula>
    </cfRule>
  </conditionalFormatting>
  <conditionalFormatting sqref="F9">
    <cfRule type="cellIs" dxfId="988" priority="17" operator="notEqual">
      <formula>$A9</formula>
    </cfRule>
  </conditionalFormatting>
  <conditionalFormatting sqref="F9">
    <cfRule type="cellIs" dxfId="987" priority="16" operator="notEqual">
      <formula>$A9</formula>
    </cfRule>
  </conditionalFormatting>
  <conditionalFormatting sqref="E36:F37">
    <cfRule type="cellIs" dxfId="986" priority="15" operator="notEqual">
      <formula>$A36</formula>
    </cfRule>
  </conditionalFormatting>
  <conditionalFormatting sqref="E39:E42 F42 E45:G45">
    <cfRule type="cellIs" dxfId="985" priority="13" operator="equal">
      <formula>""</formula>
    </cfRule>
  </conditionalFormatting>
  <conditionalFormatting sqref="E39:F42 E45:G45">
    <cfRule type="cellIs" dxfId="984" priority="14" operator="notEqual">
      <formula>$A39</formula>
    </cfRule>
  </conditionalFormatting>
  <conditionalFormatting sqref="G54">
    <cfRule type="cellIs" dxfId="983" priority="12" operator="notEqual">
      <formula>$A54</formula>
    </cfRule>
  </conditionalFormatting>
  <conditionalFormatting sqref="G32:G33">
    <cfRule type="cellIs" dxfId="982" priority="7" operator="notEqual">
      <formula>$A32</formula>
    </cfRule>
  </conditionalFormatting>
  <conditionalFormatting sqref="E32:F33">
    <cfRule type="cellIs" dxfId="981" priority="6" operator="notEqual">
      <formula>$A32</formula>
    </cfRule>
  </conditionalFormatting>
  <conditionalFormatting sqref="E32:F33">
    <cfRule type="cellIs" dxfId="980" priority="5" operator="notEqual">
      <formula>$A32</formula>
    </cfRule>
  </conditionalFormatting>
  <conditionalFormatting sqref="A81:A87">
    <cfRule type="cellIs" dxfId="979" priority="4" operator="notEqual">
      <formula>$A81</formula>
    </cfRule>
  </conditionalFormatting>
  <conditionalFormatting sqref="A10 C10:G10">
    <cfRule type="cellIs" dxfId="2" priority="2" operator="equal">
      <formula>""</formula>
    </cfRule>
  </conditionalFormatting>
  <conditionalFormatting sqref="C10 A10 E10:G10">
    <cfRule type="cellIs" dxfId="1" priority="3" operator="notEqual">
      <formula>$A10</formula>
    </cfRule>
  </conditionalFormatting>
  <conditionalFormatting sqref="C10 E10:G10">
    <cfRule type="cellIs" dxfId="0" priority="1" operator="notEqual">
      <formula>$A10</formula>
    </cfRule>
  </conditionalFormatting>
  <dataValidations count="9">
    <dataValidation type="list" allowBlank="1" showInputMessage="1" showErrorMessage="1" sqref="C31 C24 B37 C36:C37 C39:C42 E24:G24 E31:G31" xr:uid="{00000000-0002-0000-0600-000000000000}">
      <formula1>"Yes, No"</formula1>
    </dataValidation>
    <dataValidation type="list" allowBlank="1" showInputMessage="1" showErrorMessage="1" sqref="C51 C48 E51:G51" xr:uid="{00000000-0002-0000-0600-000001000000}">
      <formula1>"Fund Value, Cumulative Premium less Withdrawals"</formula1>
    </dataValidation>
    <dataValidation type="list" allowBlank="1" showInputMessage="1" showErrorMessage="1" sqref="C58 C56 E58:G58 E56:G56" xr:uid="{00000000-0002-0000-0600-000002000000}">
      <formula1>"Yes,No"</formula1>
    </dataValidation>
    <dataValidation type="list" allowBlank="1" showInputMessage="1" showErrorMessage="1" sqref="C75:C76 E75:G76" xr:uid="{00000000-0002-0000-0600-000003000000}">
      <formula1>"FUND_VALUE,NET_PREMIUMS,GROSS_PREMIUMS"</formula1>
    </dataValidation>
    <dataValidation allowBlank="1" showErrorMessage="1" sqref="B39:B42" xr:uid="{00000000-0002-0000-0600-000004000000}"/>
    <dataValidation type="list" allowBlank="1" showInputMessage="1" showErrorMessage="1" sqref="E65:G67" xr:uid="{00000000-0002-0000-0600-000005000000}">
      <formula1>"Monthly, Quarterly, Annual"</formula1>
    </dataValidation>
    <dataValidation type="list" allowBlank="1" showInputMessage="1" showErrorMessage="1" sqref="E29:G29" xr:uid="{00000000-0002-0000-0600-000006000000}">
      <formula1>"Fund Value, Annuity Benefit, Alt Model,Alt Model with Death Benefits"</formula1>
    </dataValidation>
    <dataValidation type="decimal" allowBlank="1" showInputMessage="1" showErrorMessage="1" sqref="E48:G48" xr:uid="{00000000-0002-0000-0600-000007000000}">
      <formula1>0</formula1>
      <formula2>1</formula2>
    </dataValidation>
    <dataValidation type="list" allowBlank="1" showInputMessage="1" showErrorMessage="1" sqref="E10:G10" xr:uid="{2C04B369-AA1F-4C68-9F4D-8B141ED37721}">
      <formula1>"NA,Unlocking2025"</formula1>
    </dataValidation>
  </dataValidations>
  <hyperlinks>
    <hyperlink ref="A1" location="'Table of Contents'!A1" display="Go to TOC" xr:uid="{00000000-0004-0000-0600-000000000000}"/>
    <hyperlink ref="B52" location="PfwdPct" display="pfwd_pct" xr:uid="{00000000-0004-0000-0600-000001000000}"/>
    <hyperlink ref="A90" location="'Table of Contents'!A1" display="Go to TOC" xr:uid="{00000000-0004-0000-0600-000002000000}"/>
    <hyperlink ref="A91" location="Policyholder!B9" display="Back to Main" xr:uid="{00000000-0004-0000-0600-000003000000}"/>
    <hyperlink ref="A96" location="'Table of Contents'!A1" display="Go to TOC" xr:uid="{00000000-0004-0000-0600-000004000000}"/>
    <hyperlink ref="A102" location="'Table of Contents'!A1" display="Go to TOC" xr:uid="{00000000-0004-0000-0600-000005000000}"/>
    <hyperlink ref="A154" location="'Table of Contents'!A1" display="Go to TOC" xr:uid="{00000000-0004-0000-0600-000006000000}"/>
    <hyperlink ref="A108" location="'Table of Contents'!A1" display="Go to TOC" xr:uid="{00000000-0004-0000-0600-000007000000}"/>
    <hyperlink ref="B57" location="GmwbCohortId" display="gmwb_cohort_id" xr:uid="{00000000-0004-0000-0600-000008000000}"/>
    <hyperlink ref="B59" location="GmwbCohortUtilzRate" display="gmwb_cohort_utilz_rate" xr:uid="{00000000-0004-0000-0600-000009000000}"/>
    <hyperlink ref="A109" location="Policyholder!B34" display="Back to Main" xr:uid="{00000000-0004-0000-0600-00000A000000}"/>
    <hyperlink ref="A155" location="Policyholder!B35" display="Back to Main" xr:uid="{00000000-0004-0000-0600-00000B000000}"/>
    <hyperlink ref="A97" location="Policyholder!B9" display="Back to Main" xr:uid="{00000000-0004-0000-0600-00000C000000}"/>
    <hyperlink ref="A103" location="Policyholder!B9" display="Back to Main" xr:uid="{00000000-0004-0000-0600-00000D000000}"/>
    <hyperlink ref="A72" location="'Table of Contents'!A1" display="Go to TOC" xr:uid="{00000000-0004-0000-0600-00000E000000}"/>
    <hyperlink ref="G96" location="'Table of Contents'!A1" display="Go to TOC" xr:uid="{00000000-0004-0000-0600-00000F000000}"/>
    <hyperlink ref="R96" location="'Table of Contents'!A1" display="Go to TOC" xr:uid="{00000000-0004-0000-0600-000010000000}"/>
    <hyperlink ref="G97" location="Policyholder!B9" display="Back to Main" xr:uid="{00000000-0004-0000-0600-000011000000}"/>
    <hyperlink ref="R97" location="Policyholder!B9" display="Back to Main" xr:uid="{00000000-0004-0000-0600-000012000000}"/>
    <hyperlink ref="G102" location="'Table of Contents'!A1" display="Go to TOC" xr:uid="{00000000-0004-0000-0600-000013000000}"/>
    <hyperlink ref="R102" location="'Table of Contents'!A1" display="Go to TOC" xr:uid="{00000000-0004-0000-0600-000014000000}"/>
    <hyperlink ref="G103" location="Policyholder!B9" display="Back to Main" xr:uid="{00000000-0004-0000-0600-000015000000}"/>
    <hyperlink ref="R103" location="Policyholder!B9" display="Back to Main" xr:uid="{00000000-0004-0000-0600-000016000000}"/>
    <hyperlink ref="A183" location="'Table of Contents'!A1" display="Go to TOC" xr:uid="{00000000-0004-0000-0600-000017000000}"/>
    <hyperlink ref="A184" location="Policyholder!B9" display="Back to Main" xr:uid="{00000000-0004-0000-0600-000018000000}"/>
    <hyperlink ref="A192" location="'Table of Contents'!A1" display="Go to TOC" xr:uid="{00000000-0004-0000-0600-000019000000}"/>
    <hyperlink ref="A193" location="Policyholder!B9" display="Back to Main" xr:uid="{00000000-0004-0000-0600-00001A000000}"/>
    <hyperlink ref="A62" location="'Table of Contents'!A1" display="Go to TOC" xr:uid="{00000000-0004-0000-0600-00001B000000}"/>
    <hyperlink ref="A63" location="Product!B63" display="Back to Main" xr:uid="{00000000-0004-0000-0600-00001C000000}"/>
    <hyperlink ref="G17:G18" location="LapseDynArcTan2019ParamsAIG" display="[See below]" xr:uid="{00000000-0004-0000-0600-00001D000000}"/>
    <hyperlink ref="A200" location="'Table of Contents'!A1" display="Go to TOC" xr:uid="{00000000-0004-0000-0600-00001E000000}"/>
    <hyperlink ref="A201" location="Policyholder!B9" display="Back to Main" xr:uid="{00000000-0004-0000-0600-00001F000000}"/>
    <hyperlink ref="G17:G18" location="LapseDynArcTan2019ParamsAIG" display="[See below]" xr:uid="{00000000-0004-0000-0600-000020000000}"/>
    <hyperlink ref="E17:F18" location="LapseDynArcTan2019ParamsAIG" display="[See below]" xr:uid="{00000000-0004-0000-0600-000021000000}"/>
    <hyperlink ref="F17:F18" location="LapseDynArcTan2019ParamsAIG" display="[See below]" xr:uid="{00000000-0004-0000-0600-000022000000}"/>
  </hyperlinks>
  <pageMargins left="0.7" right="0.7" top="0.75" bottom="0.75" header="0.3" footer="0.3"/>
  <pageSetup orientation="portrait" r:id="rId1"/>
  <customProperties>
    <customPr name="EpmWorksheetKeyString_GUID" r:id="rId2"/>
  </customProperties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H226"/>
  <sheetViews>
    <sheetView showGridLines="0" zoomScaleNormal="100" workbookViewId="0">
      <pane xSplit="3" ySplit="5" topLeftCell="D6" activePane="bottomRight" state="frozen"/>
      <selection activeCell="R14" sqref="R14"/>
      <selection pane="topRight" activeCell="R14" sqref="R14"/>
      <selection pane="bottomLeft" activeCell="R14" sqref="R14"/>
      <selection pane="bottomRight" activeCell="I48" sqref="I48"/>
    </sheetView>
  </sheetViews>
  <sheetFormatPr defaultColWidth="15.54296875" defaultRowHeight="12.75" customHeight="1" outlineLevelCol="1"/>
  <cols>
    <col min="1" max="1" width="15.54296875" customWidth="1"/>
    <col min="2" max="2" width="29" customWidth="1"/>
    <col min="3" max="3" width="11.453125" style="164" customWidth="1"/>
    <col min="4" max="4" width="6.1796875" customWidth="1"/>
    <col min="5" max="5" width="30.453125" style="167" customWidth="1" outlineLevel="1"/>
    <col min="6" max="6" width="25.54296875" style="167" customWidth="1" outlineLevel="1"/>
    <col min="7" max="7" width="21.81640625" style="167" customWidth="1"/>
  </cols>
  <sheetData>
    <row r="1" spans="1:7" ht="15.5">
      <c r="A1" s="29" t="s">
        <v>161</v>
      </c>
      <c r="B1" s="17" t="s">
        <v>135</v>
      </c>
      <c r="C1" s="17"/>
      <c r="D1" s="17"/>
    </row>
    <row r="2" spans="1:7" ht="6.75" customHeight="1">
      <c r="A2" s="11"/>
    </row>
    <row r="3" spans="1:7" s="150" customFormat="1" ht="12.75" customHeight="1">
      <c r="A3" s="155"/>
      <c r="B3" s="149" t="str">
        <f ca="1">GetNameRange(B5)</f>
        <v>commission_set_aig</v>
      </c>
      <c r="C3" s="155"/>
      <c r="D3" s="155"/>
      <c r="E3" s="167"/>
      <c r="F3" s="167"/>
      <c r="G3" s="167"/>
    </row>
    <row r="4" spans="1:7" s="155" customFormat="1" ht="12.75" customHeight="1">
      <c r="A4" s="169" t="s">
        <v>47</v>
      </c>
      <c r="B4" s="191"/>
      <c r="C4" s="192"/>
      <c r="D4" s="219" t="str">
        <f>Product!D$4</f>
        <v>Value</v>
      </c>
      <c r="E4" s="2" t="s">
        <v>642</v>
      </c>
      <c r="F4" s="2" t="s">
        <v>643</v>
      </c>
      <c r="G4" s="219" t="str">
        <f>Product!$G$4</f>
        <v>RILA_1</v>
      </c>
    </row>
    <row r="5" spans="1:7" s="155" customFormat="1" ht="12.75" customHeight="1" thickBot="1">
      <c r="A5" s="120"/>
      <c r="B5" s="79" t="s">
        <v>309</v>
      </c>
      <c r="C5" s="85" t="s">
        <v>29</v>
      </c>
      <c r="D5" s="78"/>
      <c r="E5" s="85"/>
      <c r="F5" s="85"/>
      <c r="G5" s="221"/>
    </row>
    <row r="6" spans="1:7" s="155" customFormat="1" ht="12.75" customHeight="1">
      <c r="A6" s="121"/>
      <c r="B6" s="69"/>
      <c r="C6" s="165"/>
      <c r="D6" s="165"/>
      <c r="E6" s="167"/>
      <c r="F6" s="167"/>
      <c r="G6" s="222"/>
    </row>
    <row r="7" spans="1:7" s="155" customFormat="1" ht="12.75" customHeight="1">
      <c r="A7" s="157"/>
      <c r="B7" s="70"/>
      <c r="C7" s="70"/>
      <c r="D7" s="24"/>
      <c r="E7" s="319"/>
      <c r="F7" s="319"/>
      <c r="G7" s="31"/>
    </row>
    <row r="8" spans="1:7" s="213" customFormat="1" ht="12.75" customHeight="1">
      <c r="A8" s="212"/>
      <c r="B8" s="485" t="s">
        <v>641</v>
      </c>
      <c r="C8" s="489" t="s">
        <v>125</v>
      </c>
      <c r="D8" s="490"/>
      <c r="E8" s="550" t="s">
        <v>664</v>
      </c>
      <c r="F8" s="551" t="s">
        <v>665</v>
      </c>
      <c r="G8" s="492" t="s">
        <v>753</v>
      </c>
    </row>
    <row r="9" spans="1:7" s="213" customFormat="1" ht="12.75" customHeight="1">
      <c r="A9" s="212"/>
      <c r="B9" s="485" t="str">
        <f>B8</f>
        <v>Plan2023_RILA</v>
      </c>
      <c r="C9" s="489" t="s">
        <v>126</v>
      </c>
      <c r="D9" s="490"/>
      <c r="E9" s="551" t="s">
        <v>666</v>
      </c>
      <c r="F9" s="551" t="s">
        <v>667</v>
      </c>
      <c r="G9" s="491" t="s">
        <v>754</v>
      </c>
    </row>
    <row r="10" spans="1:7" s="213" customFormat="1" ht="12.75" customHeight="1">
      <c r="A10" s="212"/>
      <c r="B10" s="485" t="str">
        <f>B9</f>
        <v>Plan2023_RILA</v>
      </c>
      <c r="C10" s="489" t="s">
        <v>719</v>
      </c>
      <c r="D10" s="490"/>
      <c r="E10" s="455">
        <v>1</v>
      </c>
      <c r="F10" s="455">
        <v>1</v>
      </c>
      <c r="G10" s="455">
        <v>1.06</v>
      </c>
    </row>
    <row r="11" spans="1:7" s="155" customFormat="1" ht="12.75" customHeight="1">
      <c r="E11" s="167"/>
      <c r="F11" s="167"/>
      <c r="G11" s="167"/>
    </row>
    <row r="12" spans="1:7" s="155" customFormat="1" ht="12.75" customHeight="1">
      <c r="E12" s="167"/>
      <c r="F12" s="167"/>
      <c r="G12" s="167"/>
    </row>
    <row r="13" spans="1:7" s="150" customFormat="1" ht="12.75" customHeight="1">
      <c r="A13" s="155"/>
      <c r="B13" s="149" t="str">
        <f ca="1">GetNameRange(B15)</f>
        <v>expense_set_aig</v>
      </c>
      <c r="C13" s="155"/>
      <c r="D13" s="155"/>
      <c r="E13" s="167"/>
      <c r="F13" s="167"/>
      <c r="G13" s="167"/>
    </row>
    <row r="14" spans="1:7" s="155" customFormat="1" ht="12.75" customHeight="1">
      <c r="A14" s="169" t="s">
        <v>47</v>
      </c>
      <c r="B14" s="191"/>
      <c r="C14" s="192"/>
      <c r="D14" s="219" t="str">
        <f>D$4</f>
        <v>Value</v>
      </c>
      <c r="E14" s="2" t="s">
        <v>642</v>
      </c>
      <c r="F14" s="2" t="s">
        <v>643</v>
      </c>
      <c r="G14" s="219" t="str">
        <f t="shared" ref="G14" si="0">G$4</f>
        <v>RILA_1</v>
      </c>
    </row>
    <row r="15" spans="1:7" s="155" customFormat="1" ht="12.75" customHeight="1" thickBot="1">
      <c r="A15" s="120"/>
      <c r="B15" s="79" t="s">
        <v>310</v>
      </c>
      <c r="C15" s="85" t="s">
        <v>29</v>
      </c>
      <c r="D15" s="78"/>
      <c r="E15" s="85"/>
      <c r="F15" s="85"/>
      <c r="G15" s="221"/>
    </row>
    <row r="16" spans="1:7" s="155" customFormat="1" ht="12.75" customHeight="1">
      <c r="A16" s="121"/>
      <c r="B16" s="69"/>
      <c r="C16" s="165"/>
      <c r="D16" s="165"/>
      <c r="E16" s="167"/>
      <c r="F16" s="167"/>
      <c r="G16" s="222"/>
    </row>
    <row r="17" spans="1:7" s="213" customFormat="1" ht="12.75" customHeight="1">
      <c r="A17" s="212"/>
      <c r="B17" s="485" t="s">
        <v>785</v>
      </c>
      <c r="C17" s="162" t="s">
        <v>422</v>
      </c>
      <c r="D17" s="115"/>
      <c r="E17" s="535" t="s">
        <v>519</v>
      </c>
      <c r="F17" s="535" t="s">
        <v>519</v>
      </c>
      <c r="G17" s="480" t="s">
        <v>519</v>
      </c>
    </row>
    <row r="18" spans="1:7" s="213" customFormat="1" ht="12.75" customHeight="1">
      <c r="A18" s="212"/>
      <c r="B18" s="485" t="str">
        <f t="shared" ref="B18:B44" si="1">B17</f>
        <v>Plan2023_v2_RN_RILA</v>
      </c>
      <c r="C18" s="162" t="s">
        <v>421</v>
      </c>
      <c r="D18" s="115"/>
      <c r="E18" s="535" t="s">
        <v>520</v>
      </c>
      <c r="F18" s="535" t="s">
        <v>520</v>
      </c>
      <c r="G18" s="480" t="s">
        <v>520</v>
      </c>
    </row>
    <row r="19" spans="1:7" s="213" customFormat="1" ht="12.75" customHeight="1">
      <c r="A19" s="212"/>
      <c r="B19" s="485" t="str">
        <f t="shared" si="1"/>
        <v>Plan2023_v2_RN_RILA</v>
      </c>
      <c r="C19" s="162" t="s">
        <v>545</v>
      </c>
      <c r="D19" s="115"/>
      <c r="E19" s="535" t="s">
        <v>520</v>
      </c>
      <c r="F19" s="535" t="s">
        <v>520</v>
      </c>
      <c r="G19" s="480" t="s">
        <v>520</v>
      </c>
    </row>
    <row r="20" spans="1:7" s="155" customFormat="1" ht="12.75" customHeight="1">
      <c r="A20" s="157"/>
      <c r="B20" s="485" t="str">
        <f t="shared" si="1"/>
        <v>Plan2023_v2_RN_RILA</v>
      </c>
      <c r="C20" s="162" t="s">
        <v>419</v>
      </c>
      <c r="D20" s="115"/>
      <c r="E20" s="535" t="s">
        <v>511</v>
      </c>
      <c r="F20" s="535" t="s">
        <v>511</v>
      </c>
      <c r="G20" s="480" t="s">
        <v>511</v>
      </c>
    </row>
    <row r="21" spans="1:7" s="155" customFormat="1" ht="12.75" customHeight="1">
      <c r="A21" s="157"/>
      <c r="B21" s="485" t="str">
        <f t="shared" si="1"/>
        <v>Plan2023_v2_RN_RILA</v>
      </c>
      <c r="C21" s="162" t="s">
        <v>301</v>
      </c>
      <c r="D21" s="115"/>
      <c r="E21" s="535" t="s">
        <v>511</v>
      </c>
      <c r="F21" s="535" t="s">
        <v>511</v>
      </c>
      <c r="G21" s="480" t="s">
        <v>511</v>
      </c>
    </row>
    <row r="22" spans="1:7" s="155" customFormat="1" ht="12.75" customHeight="1">
      <c r="A22" s="157"/>
      <c r="B22" s="485" t="str">
        <f t="shared" si="1"/>
        <v>Plan2023_v2_RN_RILA</v>
      </c>
      <c r="C22" s="162" t="s">
        <v>420</v>
      </c>
      <c r="D22" s="115"/>
      <c r="E22" s="536" t="s">
        <v>331</v>
      </c>
      <c r="F22" s="536" t="s">
        <v>331</v>
      </c>
      <c r="G22" s="481" t="s">
        <v>331</v>
      </c>
    </row>
    <row r="23" spans="1:7" s="213" customFormat="1" ht="12.75" customHeight="1">
      <c r="A23" s="212"/>
      <c r="B23" s="485" t="str">
        <f t="shared" si="1"/>
        <v>Plan2023_v2_RN_RILA</v>
      </c>
      <c r="C23" s="162" t="s">
        <v>416</v>
      </c>
      <c r="D23" s="115"/>
      <c r="E23" s="535" t="s">
        <v>521</v>
      </c>
      <c r="F23" s="535" t="s">
        <v>521</v>
      </c>
      <c r="G23" s="480" t="s">
        <v>521</v>
      </c>
    </row>
    <row r="24" spans="1:7" s="213" customFormat="1" ht="12.75" customHeight="1">
      <c r="A24" s="212"/>
      <c r="B24" s="485" t="str">
        <f t="shared" si="1"/>
        <v>Plan2023_v2_RN_RILA</v>
      </c>
      <c r="C24" s="162" t="s">
        <v>387</v>
      </c>
      <c r="D24" s="115"/>
      <c r="E24" s="536" t="s">
        <v>331</v>
      </c>
      <c r="F24" s="536" t="s">
        <v>331</v>
      </c>
      <c r="G24" s="481" t="s">
        <v>331</v>
      </c>
    </row>
    <row r="25" spans="1:7" s="213" customFormat="1" ht="12.75" customHeight="1">
      <c r="A25" s="212"/>
      <c r="B25" s="485" t="str">
        <f t="shared" si="1"/>
        <v>Plan2023_v2_RN_RILA</v>
      </c>
      <c r="C25" s="162" t="s">
        <v>386</v>
      </c>
      <c r="D25" s="115"/>
      <c r="E25" s="536" t="s">
        <v>331</v>
      </c>
      <c r="F25" s="536" t="s">
        <v>331</v>
      </c>
      <c r="G25" s="481" t="s">
        <v>331</v>
      </c>
    </row>
    <row r="26" spans="1:7" s="213" customFormat="1" ht="12.75" customHeight="1">
      <c r="A26" s="212"/>
      <c r="B26" s="485" t="str">
        <f t="shared" si="1"/>
        <v>Plan2023_v2_RN_RILA</v>
      </c>
      <c r="C26" s="162" t="s">
        <v>295</v>
      </c>
      <c r="D26" s="115"/>
      <c r="E26" s="536" t="s">
        <v>331</v>
      </c>
      <c r="F26" s="536" t="s">
        <v>331</v>
      </c>
      <c r="G26" s="481" t="s">
        <v>331</v>
      </c>
    </row>
    <row r="27" spans="1:7" s="213" customFormat="1" ht="12.75" customHeight="1">
      <c r="A27" s="212"/>
      <c r="B27" s="485" t="str">
        <f t="shared" si="1"/>
        <v>Plan2023_v2_RN_RILA</v>
      </c>
      <c r="C27" s="82" t="s">
        <v>704</v>
      </c>
      <c r="D27" s="115"/>
      <c r="E27" s="536" t="s">
        <v>331</v>
      </c>
      <c r="F27" s="536" t="s">
        <v>331</v>
      </c>
      <c r="G27" s="481" t="s">
        <v>331</v>
      </c>
    </row>
    <row r="28" spans="1:7" s="213" customFormat="1" ht="12.75" customHeight="1">
      <c r="A28" s="212"/>
      <c r="B28" s="485" t="str">
        <f>B26</f>
        <v>Plan2023_v2_RN_RILA</v>
      </c>
      <c r="C28" s="82" t="s">
        <v>115</v>
      </c>
      <c r="D28" s="115"/>
      <c r="E28" s="536" t="s">
        <v>331</v>
      </c>
      <c r="F28" s="536" t="s">
        <v>331</v>
      </c>
      <c r="G28" s="481" t="s">
        <v>331</v>
      </c>
    </row>
    <row r="29" spans="1:7" s="213" customFormat="1" ht="12.75" customHeight="1">
      <c r="A29" s="212"/>
      <c r="B29" s="485" t="str">
        <f>B27</f>
        <v>Plan2023_v2_RN_RILA</v>
      </c>
      <c r="C29" s="82" t="s">
        <v>708</v>
      </c>
      <c r="D29" s="115"/>
      <c r="E29" s="536" t="s">
        <v>331</v>
      </c>
      <c r="F29" s="536" t="s">
        <v>331</v>
      </c>
      <c r="G29" s="481" t="s">
        <v>331</v>
      </c>
    </row>
    <row r="30" spans="1:7" s="213" customFormat="1" ht="12.75" customHeight="1">
      <c r="A30" s="212"/>
      <c r="B30" s="485" t="str">
        <f>B26</f>
        <v>Plan2023_v2_RN_RILA</v>
      </c>
      <c r="C30" s="162" t="s">
        <v>294</v>
      </c>
      <c r="D30" s="115"/>
      <c r="E30" s="535" t="s">
        <v>522</v>
      </c>
      <c r="F30" s="535" t="s">
        <v>522</v>
      </c>
      <c r="G30" s="480" t="s">
        <v>522</v>
      </c>
    </row>
    <row r="31" spans="1:7" s="213" customFormat="1" ht="12.75" customHeight="1">
      <c r="A31" s="212"/>
      <c r="B31" s="485" t="str">
        <f t="shared" si="1"/>
        <v>Plan2023_v2_RN_RILA</v>
      </c>
      <c r="C31" s="162" t="s">
        <v>296</v>
      </c>
      <c r="D31" s="115"/>
      <c r="E31" s="535" t="s">
        <v>518</v>
      </c>
      <c r="F31" s="535" t="s">
        <v>518</v>
      </c>
      <c r="G31" s="480" t="s">
        <v>518</v>
      </c>
    </row>
    <row r="32" spans="1:7" s="213" customFormat="1" ht="12.75" customHeight="1">
      <c r="A32" s="212"/>
      <c r="B32" s="485" t="str">
        <f t="shared" si="1"/>
        <v>Plan2023_v2_RN_RILA</v>
      </c>
      <c r="C32" s="162" t="s">
        <v>546</v>
      </c>
      <c r="D32" s="115"/>
      <c r="E32" s="535" t="s">
        <v>518</v>
      </c>
      <c r="F32" s="535" t="s">
        <v>518</v>
      </c>
      <c r="G32" s="480" t="s">
        <v>518</v>
      </c>
    </row>
    <row r="33" spans="1:8" s="155" customFormat="1" ht="12.75" customHeight="1">
      <c r="A33" s="157"/>
      <c r="B33" s="485" t="str">
        <f t="shared" si="1"/>
        <v>Plan2023_v2_RN_RILA</v>
      </c>
      <c r="C33" s="113" t="s">
        <v>243</v>
      </c>
      <c r="D33" s="115"/>
      <c r="E33" s="536">
        <v>0</v>
      </c>
      <c r="F33" s="536">
        <v>0</v>
      </c>
      <c r="G33" s="481">
        <v>0</v>
      </c>
    </row>
    <row r="34" spans="1:8" s="155" customFormat="1" ht="12.75" customHeight="1">
      <c r="A34" s="157"/>
      <c r="B34" s="485" t="str">
        <f t="shared" si="1"/>
        <v>Plan2023_v2_RN_RILA</v>
      </c>
      <c r="C34" s="162" t="s">
        <v>244</v>
      </c>
      <c r="D34" s="115"/>
      <c r="E34" s="536">
        <v>1E-3</v>
      </c>
      <c r="F34" s="536">
        <v>1E-3</v>
      </c>
      <c r="G34" s="481">
        <v>0</v>
      </c>
    </row>
    <row r="35" spans="1:8" s="155" customFormat="1" ht="12.75" customHeight="1">
      <c r="A35" s="157"/>
      <c r="B35" s="485" t="str">
        <f t="shared" si="1"/>
        <v>Plan2023_v2_RN_RILA</v>
      </c>
      <c r="C35" s="162" t="s">
        <v>263</v>
      </c>
      <c r="D35" s="115"/>
      <c r="E35" s="537" t="s">
        <v>261</v>
      </c>
      <c r="F35" s="537" t="s">
        <v>261</v>
      </c>
      <c r="G35" s="482" t="s">
        <v>261</v>
      </c>
    </row>
    <row r="36" spans="1:8" s="213" customFormat="1" ht="12.75" customHeight="1">
      <c r="A36" s="212"/>
      <c r="B36" s="485" t="str">
        <f t="shared" si="1"/>
        <v>Plan2023_v2_RN_RILA</v>
      </c>
      <c r="C36" s="162" t="s">
        <v>574</v>
      </c>
      <c r="D36" s="115"/>
      <c r="E36" s="538">
        <v>5.7999999999999996E-3</v>
      </c>
      <c r="F36" s="538">
        <v>5.7999999999999996E-3</v>
      </c>
      <c r="G36" s="483">
        <v>5.7999999999999996E-3</v>
      </c>
    </row>
    <row r="37" spans="1:8" s="213" customFormat="1" ht="12.75" customHeight="1">
      <c r="A37" s="212"/>
      <c r="B37" s="485" t="str">
        <f t="shared" si="1"/>
        <v>Plan2023_v2_RN_RILA</v>
      </c>
      <c r="C37" s="162" t="s">
        <v>575</v>
      </c>
      <c r="D37" s="115"/>
      <c r="E37" s="515">
        <v>10</v>
      </c>
      <c r="F37" s="515">
        <v>10</v>
      </c>
      <c r="G37" s="239">
        <v>10</v>
      </c>
    </row>
    <row r="38" spans="1:8" s="213" customFormat="1" ht="12.75" customHeight="1">
      <c r="A38" s="212"/>
      <c r="B38" s="485" t="str">
        <f t="shared" si="1"/>
        <v>Plan2023_v2_RN_RILA</v>
      </c>
      <c r="C38" s="162" t="s">
        <v>576</v>
      </c>
      <c r="D38" s="115"/>
      <c r="E38" s="536">
        <v>0.7</v>
      </c>
      <c r="F38" s="536">
        <v>0.7</v>
      </c>
      <c r="G38" s="481">
        <v>0.7</v>
      </c>
    </row>
    <row r="39" spans="1:8" s="155" customFormat="1" ht="12.75" customHeight="1">
      <c r="A39" s="157"/>
      <c r="B39" s="485" t="str">
        <f t="shared" si="1"/>
        <v>Plan2023_v2_RN_RILA</v>
      </c>
      <c r="C39" s="162" t="s">
        <v>333</v>
      </c>
      <c r="D39" s="160"/>
      <c r="E39" s="455" t="s">
        <v>330</v>
      </c>
      <c r="F39" s="455" t="s">
        <v>330</v>
      </c>
      <c r="G39" s="240" t="s">
        <v>330</v>
      </c>
    </row>
    <row r="40" spans="1:8" s="155" customFormat="1" ht="12.75" customHeight="1">
      <c r="A40" s="157"/>
      <c r="B40" s="485" t="str">
        <f t="shared" si="1"/>
        <v>Plan2023_v2_RN_RILA</v>
      </c>
      <c r="C40" s="162" t="s">
        <v>717</v>
      </c>
      <c r="D40" s="160"/>
      <c r="E40" s="455">
        <v>1</v>
      </c>
      <c r="F40" s="455">
        <v>1</v>
      </c>
      <c r="G40" s="240">
        <v>0.25700000000000001</v>
      </c>
    </row>
    <row r="41" spans="1:8" s="155" customFormat="1" ht="12.75" customHeight="1">
      <c r="A41" s="157"/>
      <c r="B41" s="485" t="str">
        <f t="shared" si="1"/>
        <v>Plan2023_v2_RN_RILA</v>
      </c>
      <c r="C41" s="162" t="s">
        <v>718</v>
      </c>
      <c r="D41" s="160"/>
      <c r="E41" s="455">
        <v>0</v>
      </c>
      <c r="F41" s="455">
        <v>0</v>
      </c>
      <c r="G41" s="302">
        <v>1.8360000000000001E-2</v>
      </c>
    </row>
    <row r="42" spans="1:8" s="155" customFormat="1" ht="12.75" customHeight="1">
      <c r="A42" s="157"/>
      <c r="B42" s="485" t="str">
        <f>B39</f>
        <v>Plan2023_v2_RN_RILA</v>
      </c>
      <c r="C42" s="359" t="s">
        <v>128</v>
      </c>
      <c r="D42" s="317"/>
      <c r="E42" s="552">
        <v>6.0499999999999998E-3</v>
      </c>
      <c r="F42" s="553">
        <v>2.0999999999999999E-3</v>
      </c>
      <c r="G42" s="486">
        <v>6.0499999999999998E-3</v>
      </c>
      <c r="H42" s="155" t="s">
        <v>787</v>
      </c>
    </row>
    <row r="43" spans="1:8" s="155" customFormat="1" ht="12.75" customHeight="1">
      <c r="A43" s="157"/>
      <c r="B43" s="485" t="str">
        <f t="shared" si="1"/>
        <v>Plan2023_v2_RN_RILA</v>
      </c>
      <c r="C43" s="162" t="s">
        <v>129</v>
      </c>
      <c r="D43" s="160"/>
      <c r="E43" s="455">
        <v>132.6</v>
      </c>
      <c r="F43" s="455">
        <v>132.6</v>
      </c>
      <c r="G43" s="487">
        <v>132</v>
      </c>
    </row>
    <row r="44" spans="1:8" s="155" customFormat="1" ht="12.75" customHeight="1">
      <c r="A44" s="157"/>
      <c r="B44" s="485" t="str">
        <f t="shared" si="1"/>
        <v>Plan2023_v2_RN_RILA</v>
      </c>
      <c r="C44" s="217" t="s">
        <v>132</v>
      </c>
      <c r="D44" s="160"/>
      <c r="E44" s="539">
        <v>38.799999999999997</v>
      </c>
      <c r="F44" s="539">
        <v>38.799999999999997</v>
      </c>
      <c r="G44" s="487">
        <v>38.799999999999997</v>
      </c>
    </row>
    <row r="45" spans="1:8" s="155" customFormat="1" ht="12.75" customHeight="1">
      <c r="A45" s="157"/>
      <c r="B45" s="485" t="str">
        <f>B44</f>
        <v>Plan2023_v2_RN_RILA</v>
      </c>
      <c r="C45" s="217" t="s">
        <v>260</v>
      </c>
      <c r="D45" s="115"/>
      <c r="E45" s="536">
        <v>0</v>
      </c>
      <c r="F45" s="536">
        <v>0</v>
      </c>
      <c r="G45" s="488">
        <v>0</v>
      </c>
    </row>
    <row r="46" spans="1:8" s="155" customFormat="1" ht="12.75" customHeight="1">
      <c r="A46" s="157"/>
      <c r="B46" s="485" t="str">
        <f>B45</f>
        <v>Plan2023_v2_RN_RILA</v>
      </c>
      <c r="C46" s="217" t="s">
        <v>720</v>
      </c>
      <c r="D46" s="115"/>
      <c r="E46" s="455">
        <v>1</v>
      </c>
      <c r="F46" s="455">
        <v>1</v>
      </c>
      <c r="G46" s="455">
        <v>1.05</v>
      </c>
    </row>
    <row r="47" spans="1:8" s="213" customFormat="1" ht="12.75" customHeight="1">
      <c r="A47" s="212"/>
      <c r="B47" s="485" t="s">
        <v>786</v>
      </c>
      <c r="C47" s="162" t="s">
        <v>422</v>
      </c>
      <c r="D47" s="115"/>
      <c r="E47" s="535" t="s">
        <v>519</v>
      </c>
      <c r="F47" s="535" t="s">
        <v>519</v>
      </c>
      <c r="G47" s="480" t="s">
        <v>519</v>
      </c>
    </row>
    <row r="48" spans="1:8" s="213" customFormat="1" ht="12.75" customHeight="1">
      <c r="A48" s="212"/>
      <c r="B48" s="485" t="str">
        <f t="shared" ref="B48:B74" si="2">B47</f>
        <v>Plan2023_v2_RW_RILA</v>
      </c>
      <c r="C48" s="162" t="s">
        <v>421</v>
      </c>
      <c r="D48" s="115"/>
      <c r="E48" s="535" t="s">
        <v>520</v>
      </c>
      <c r="F48" s="535" t="s">
        <v>520</v>
      </c>
      <c r="G48" s="480" t="s">
        <v>520</v>
      </c>
    </row>
    <row r="49" spans="1:7" s="213" customFormat="1" ht="12.75" customHeight="1">
      <c r="A49" s="212"/>
      <c r="B49" s="485" t="str">
        <f t="shared" si="2"/>
        <v>Plan2023_v2_RW_RILA</v>
      </c>
      <c r="C49" s="162" t="s">
        <v>545</v>
      </c>
      <c r="D49" s="115"/>
      <c r="E49" s="535" t="s">
        <v>520</v>
      </c>
      <c r="F49" s="535" t="s">
        <v>520</v>
      </c>
      <c r="G49" s="480" t="s">
        <v>520</v>
      </c>
    </row>
    <row r="50" spans="1:7" s="155" customFormat="1" ht="12.75" customHeight="1">
      <c r="A50" s="157"/>
      <c r="B50" s="485" t="str">
        <f t="shared" si="2"/>
        <v>Plan2023_v2_RW_RILA</v>
      </c>
      <c r="C50" s="162" t="s">
        <v>419</v>
      </c>
      <c r="D50" s="115"/>
      <c r="E50" s="535" t="s">
        <v>511</v>
      </c>
      <c r="F50" s="535" t="s">
        <v>511</v>
      </c>
      <c r="G50" s="480" t="s">
        <v>511</v>
      </c>
    </row>
    <row r="51" spans="1:7" s="155" customFormat="1" ht="12.75" customHeight="1">
      <c r="A51" s="157"/>
      <c r="B51" s="485" t="str">
        <f t="shared" si="2"/>
        <v>Plan2023_v2_RW_RILA</v>
      </c>
      <c r="C51" s="162" t="s">
        <v>301</v>
      </c>
      <c r="D51" s="115"/>
      <c r="E51" s="535" t="s">
        <v>511</v>
      </c>
      <c r="F51" s="535" t="s">
        <v>511</v>
      </c>
      <c r="G51" s="480" t="s">
        <v>511</v>
      </c>
    </row>
    <row r="52" spans="1:7" s="155" customFormat="1" ht="12.75" customHeight="1">
      <c r="A52" s="157"/>
      <c r="B52" s="485" t="str">
        <f t="shared" si="2"/>
        <v>Plan2023_v2_RW_RILA</v>
      </c>
      <c r="C52" s="162" t="s">
        <v>420</v>
      </c>
      <c r="D52" s="115"/>
      <c r="E52" s="536" t="s">
        <v>331</v>
      </c>
      <c r="F52" s="536" t="s">
        <v>331</v>
      </c>
      <c r="G52" s="481" t="s">
        <v>331</v>
      </c>
    </row>
    <row r="53" spans="1:7" s="213" customFormat="1" ht="12.75" customHeight="1">
      <c r="A53" s="212"/>
      <c r="B53" s="485" t="str">
        <f t="shared" si="2"/>
        <v>Plan2023_v2_RW_RILA</v>
      </c>
      <c r="C53" s="162" t="s">
        <v>416</v>
      </c>
      <c r="D53" s="115"/>
      <c r="E53" s="535" t="s">
        <v>521</v>
      </c>
      <c r="F53" s="535" t="s">
        <v>521</v>
      </c>
      <c r="G53" s="480" t="s">
        <v>521</v>
      </c>
    </row>
    <row r="54" spans="1:7" s="213" customFormat="1" ht="12.75" customHeight="1">
      <c r="A54" s="212"/>
      <c r="B54" s="485" t="str">
        <f t="shared" si="2"/>
        <v>Plan2023_v2_RW_RILA</v>
      </c>
      <c r="C54" s="162" t="s">
        <v>387</v>
      </c>
      <c r="D54" s="115"/>
      <c r="E54" s="536" t="s">
        <v>331</v>
      </c>
      <c r="F54" s="536" t="s">
        <v>331</v>
      </c>
      <c r="G54" s="481" t="s">
        <v>331</v>
      </c>
    </row>
    <row r="55" spans="1:7" s="213" customFormat="1" ht="12.75" customHeight="1">
      <c r="A55" s="212"/>
      <c r="B55" s="485" t="str">
        <f t="shared" si="2"/>
        <v>Plan2023_v2_RW_RILA</v>
      </c>
      <c r="C55" s="162" t="s">
        <v>386</v>
      </c>
      <c r="D55" s="115"/>
      <c r="E55" s="536" t="s">
        <v>331</v>
      </c>
      <c r="F55" s="536" t="s">
        <v>331</v>
      </c>
      <c r="G55" s="481" t="s">
        <v>331</v>
      </c>
    </row>
    <row r="56" spans="1:7" s="213" customFormat="1" ht="12.75" customHeight="1">
      <c r="A56" s="212"/>
      <c r="B56" s="485" t="str">
        <f t="shared" si="2"/>
        <v>Plan2023_v2_RW_RILA</v>
      </c>
      <c r="C56" s="162" t="s">
        <v>295</v>
      </c>
      <c r="D56" s="115"/>
      <c r="E56" s="536" t="s">
        <v>331</v>
      </c>
      <c r="F56" s="536" t="s">
        <v>331</v>
      </c>
      <c r="G56" s="481" t="s">
        <v>331</v>
      </c>
    </row>
    <row r="57" spans="1:7" s="213" customFormat="1" ht="12.75" customHeight="1">
      <c r="A57" s="212"/>
      <c r="B57" s="485" t="str">
        <f t="shared" si="2"/>
        <v>Plan2023_v2_RW_RILA</v>
      </c>
      <c r="C57" s="82" t="s">
        <v>704</v>
      </c>
      <c r="D57" s="115"/>
      <c r="E57" s="536" t="s">
        <v>331</v>
      </c>
      <c r="F57" s="536" t="s">
        <v>331</v>
      </c>
      <c r="G57" s="481" t="s">
        <v>331</v>
      </c>
    </row>
    <row r="58" spans="1:7" s="213" customFormat="1" ht="12.75" customHeight="1">
      <c r="A58" s="212"/>
      <c r="B58" s="485" t="str">
        <f>B56</f>
        <v>Plan2023_v2_RW_RILA</v>
      </c>
      <c r="C58" s="82" t="s">
        <v>115</v>
      </c>
      <c r="D58" s="115"/>
      <c r="E58" s="536" t="s">
        <v>331</v>
      </c>
      <c r="F58" s="536" t="s">
        <v>331</v>
      </c>
      <c r="G58" s="481" t="s">
        <v>331</v>
      </c>
    </row>
    <row r="59" spans="1:7" s="213" customFormat="1" ht="12.75" customHeight="1">
      <c r="A59" s="212"/>
      <c r="B59" s="485" t="str">
        <f>B57</f>
        <v>Plan2023_v2_RW_RILA</v>
      </c>
      <c r="C59" s="82" t="s">
        <v>708</v>
      </c>
      <c r="D59" s="115"/>
      <c r="E59" s="536" t="s">
        <v>331</v>
      </c>
      <c r="F59" s="536" t="s">
        <v>331</v>
      </c>
      <c r="G59" s="481" t="s">
        <v>331</v>
      </c>
    </row>
    <row r="60" spans="1:7" s="213" customFormat="1" ht="12.75" customHeight="1">
      <c r="A60" s="212"/>
      <c r="B60" s="485" t="str">
        <f>B56</f>
        <v>Plan2023_v2_RW_RILA</v>
      </c>
      <c r="C60" s="162" t="s">
        <v>294</v>
      </c>
      <c r="D60" s="115"/>
      <c r="E60" s="535" t="s">
        <v>522</v>
      </c>
      <c r="F60" s="535" t="s">
        <v>522</v>
      </c>
      <c r="G60" s="480" t="s">
        <v>522</v>
      </c>
    </row>
    <row r="61" spans="1:7" s="213" customFormat="1" ht="12.75" customHeight="1">
      <c r="A61" s="212"/>
      <c r="B61" s="485" t="str">
        <f t="shared" si="2"/>
        <v>Plan2023_v2_RW_RILA</v>
      </c>
      <c r="C61" s="162" t="s">
        <v>296</v>
      </c>
      <c r="D61" s="115"/>
      <c r="E61" s="535" t="s">
        <v>518</v>
      </c>
      <c r="F61" s="535" t="s">
        <v>518</v>
      </c>
      <c r="G61" s="480" t="s">
        <v>518</v>
      </c>
    </row>
    <row r="62" spans="1:7" s="213" customFormat="1" ht="12.75" customHeight="1">
      <c r="A62" s="212"/>
      <c r="B62" s="485" t="str">
        <f t="shared" si="2"/>
        <v>Plan2023_v2_RW_RILA</v>
      </c>
      <c r="C62" s="162" t="s">
        <v>546</v>
      </c>
      <c r="D62" s="115"/>
      <c r="E62" s="535" t="s">
        <v>518</v>
      </c>
      <c r="F62" s="535" t="s">
        <v>518</v>
      </c>
      <c r="G62" s="480" t="s">
        <v>518</v>
      </c>
    </row>
    <row r="63" spans="1:7" s="155" customFormat="1" ht="12.75" customHeight="1">
      <c r="A63" s="157"/>
      <c r="B63" s="485" t="str">
        <f t="shared" si="2"/>
        <v>Plan2023_v2_RW_RILA</v>
      </c>
      <c r="C63" s="113" t="s">
        <v>243</v>
      </c>
      <c r="D63" s="115"/>
      <c r="E63" s="536">
        <v>0</v>
      </c>
      <c r="F63" s="536">
        <v>0</v>
      </c>
      <c r="G63" s="481">
        <v>0</v>
      </c>
    </row>
    <row r="64" spans="1:7" s="155" customFormat="1" ht="12.75" customHeight="1">
      <c r="A64" s="157"/>
      <c r="B64" s="485" t="str">
        <f t="shared" si="2"/>
        <v>Plan2023_v2_RW_RILA</v>
      </c>
      <c r="C64" s="162" t="s">
        <v>244</v>
      </c>
      <c r="D64" s="115"/>
      <c r="E64" s="536">
        <v>1E-3</v>
      </c>
      <c r="F64" s="536">
        <v>1E-3</v>
      </c>
      <c r="G64" s="481">
        <v>0</v>
      </c>
    </row>
    <row r="65" spans="1:8" s="155" customFormat="1" ht="12.75" customHeight="1">
      <c r="A65" s="157"/>
      <c r="B65" s="485" t="str">
        <f t="shared" si="2"/>
        <v>Plan2023_v2_RW_RILA</v>
      </c>
      <c r="C65" s="162" t="s">
        <v>263</v>
      </c>
      <c r="D65" s="115"/>
      <c r="E65" s="537" t="s">
        <v>261</v>
      </c>
      <c r="F65" s="537" t="s">
        <v>261</v>
      </c>
      <c r="G65" s="482" t="s">
        <v>261</v>
      </c>
    </row>
    <row r="66" spans="1:8" s="213" customFormat="1" ht="12.75" customHeight="1">
      <c r="A66" s="212"/>
      <c r="B66" s="485" t="str">
        <f t="shared" si="2"/>
        <v>Plan2023_v2_RW_RILA</v>
      </c>
      <c r="C66" s="162" t="s">
        <v>574</v>
      </c>
      <c r="D66" s="115"/>
      <c r="E66" s="538">
        <v>5.7999999999999996E-3</v>
      </c>
      <c r="F66" s="538">
        <v>5.7999999999999996E-3</v>
      </c>
      <c r="G66" s="483">
        <v>5.7999999999999996E-3</v>
      </c>
    </row>
    <row r="67" spans="1:8" s="213" customFormat="1" ht="12.75" customHeight="1">
      <c r="A67" s="212"/>
      <c r="B67" s="485" t="str">
        <f t="shared" si="2"/>
        <v>Plan2023_v2_RW_RILA</v>
      </c>
      <c r="C67" s="162" t="s">
        <v>575</v>
      </c>
      <c r="D67" s="115"/>
      <c r="E67" s="515">
        <v>10</v>
      </c>
      <c r="F67" s="515">
        <v>10</v>
      </c>
      <c r="G67" s="239">
        <v>10</v>
      </c>
    </row>
    <row r="68" spans="1:8" s="213" customFormat="1" ht="12.75" customHeight="1">
      <c r="A68" s="212"/>
      <c r="B68" s="485" t="str">
        <f t="shared" si="2"/>
        <v>Plan2023_v2_RW_RILA</v>
      </c>
      <c r="C68" s="162" t="s">
        <v>576</v>
      </c>
      <c r="D68" s="115"/>
      <c r="E68" s="536">
        <v>0.7</v>
      </c>
      <c r="F68" s="536">
        <v>0.7</v>
      </c>
      <c r="G68" s="481">
        <v>0.7</v>
      </c>
    </row>
    <row r="69" spans="1:8" s="155" customFormat="1" ht="12.75" customHeight="1">
      <c r="A69" s="157"/>
      <c r="B69" s="485" t="str">
        <f t="shared" si="2"/>
        <v>Plan2023_v2_RW_RILA</v>
      </c>
      <c r="C69" s="162" t="s">
        <v>333</v>
      </c>
      <c r="D69" s="160"/>
      <c r="E69" s="455" t="s">
        <v>330</v>
      </c>
      <c r="F69" s="455" t="s">
        <v>330</v>
      </c>
      <c r="G69" s="240" t="s">
        <v>330</v>
      </c>
    </row>
    <row r="70" spans="1:8" s="155" customFormat="1" ht="12.75" customHeight="1">
      <c r="A70" s="157"/>
      <c r="B70" s="485" t="str">
        <f t="shared" si="2"/>
        <v>Plan2023_v2_RW_RILA</v>
      </c>
      <c r="C70" s="162" t="s">
        <v>717</v>
      </c>
      <c r="D70" s="160"/>
      <c r="E70" s="455">
        <v>1</v>
      </c>
      <c r="F70" s="455">
        <v>1</v>
      </c>
      <c r="G70" s="240">
        <v>0.25700000000000001</v>
      </c>
    </row>
    <row r="71" spans="1:8" s="155" customFormat="1" ht="12.75" customHeight="1">
      <c r="A71" s="157"/>
      <c r="B71" s="485" t="str">
        <f t="shared" si="2"/>
        <v>Plan2023_v2_RW_RILA</v>
      </c>
      <c r="C71" s="162" t="s">
        <v>718</v>
      </c>
      <c r="D71" s="160"/>
      <c r="E71" s="455">
        <v>0</v>
      </c>
      <c r="F71" s="455">
        <v>0</v>
      </c>
      <c r="G71" s="302">
        <v>1.8360000000000001E-2</v>
      </c>
    </row>
    <row r="72" spans="1:8" s="155" customFormat="1" ht="12.75" customHeight="1">
      <c r="A72" s="157"/>
      <c r="B72" s="485" t="str">
        <f t="shared" si="2"/>
        <v>Plan2023_v2_RW_RILA</v>
      </c>
      <c r="C72" s="359" t="s">
        <v>128</v>
      </c>
      <c r="D72" s="317"/>
      <c r="E72" s="552">
        <v>1.15E-2</v>
      </c>
      <c r="F72" s="553">
        <v>4.1099999999999999E-3</v>
      </c>
      <c r="G72" s="486">
        <v>1.1871E-2</v>
      </c>
      <c r="H72" s="155" t="s">
        <v>787</v>
      </c>
    </row>
    <row r="73" spans="1:8" s="155" customFormat="1" ht="12.75" customHeight="1">
      <c r="A73" s="157"/>
      <c r="B73" s="485" t="str">
        <f t="shared" si="2"/>
        <v>Plan2023_v2_RW_RILA</v>
      </c>
      <c r="C73" s="162" t="s">
        <v>129</v>
      </c>
      <c r="D73" s="160"/>
      <c r="E73" s="455">
        <v>272.39999999999998</v>
      </c>
      <c r="F73" s="455">
        <v>272.39999999999998</v>
      </c>
      <c r="G73" s="563">
        <v>292.98</v>
      </c>
    </row>
    <row r="74" spans="1:8" s="155" customFormat="1" ht="12.75" customHeight="1">
      <c r="A74" s="157"/>
      <c r="B74" s="485" t="str">
        <f t="shared" si="2"/>
        <v>Plan2023_v2_RW_RILA</v>
      </c>
      <c r="C74" s="217" t="s">
        <v>132</v>
      </c>
      <c r="D74" s="160"/>
      <c r="E74" s="539">
        <v>213.7</v>
      </c>
      <c r="F74" s="539">
        <v>213.7</v>
      </c>
      <c r="G74" s="563">
        <v>218.27</v>
      </c>
    </row>
    <row r="75" spans="1:8" s="155" customFormat="1" ht="12.75" customHeight="1">
      <c r="A75" s="157"/>
      <c r="B75" s="485" t="str">
        <f>B73</f>
        <v>Plan2023_v2_RW_RILA</v>
      </c>
      <c r="C75" s="217" t="s">
        <v>260</v>
      </c>
      <c r="D75" s="115"/>
      <c r="E75" s="536">
        <v>0</v>
      </c>
      <c r="F75" s="536">
        <v>0</v>
      </c>
      <c r="G75" s="564">
        <v>0</v>
      </c>
    </row>
    <row r="76" spans="1:8" s="155" customFormat="1" ht="12.75" customHeight="1">
      <c r="A76" s="157"/>
      <c r="B76" s="485" t="str">
        <f>B74</f>
        <v>Plan2023_v2_RW_RILA</v>
      </c>
      <c r="C76" s="217" t="s">
        <v>720</v>
      </c>
      <c r="D76" s="115"/>
      <c r="E76" s="455">
        <v>1</v>
      </c>
      <c r="F76" s="455">
        <v>1</v>
      </c>
      <c r="G76" s="455">
        <v>1.05</v>
      </c>
    </row>
    <row r="77" spans="1:8" s="213" customFormat="1" ht="12.75" customHeight="1">
      <c r="A77" s="212"/>
      <c r="B77" s="485" t="s">
        <v>637</v>
      </c>
      <c r="C77" s="162" t="s">
        <v>422</v>
      </c>
      <c r="D77" s="115"/>
      <c r="E77" s="535" t="s">
        <v>519</v>
      </c>
      <c r="F77" s="535" t="s">
        <v>519</v>
      </c>
      <c r="G77" s="480" t="s">
        <v>519</v>
      </c>
    </row>
    <row r="78" spans="1:8" s="213" customFormat="1" ht="12.75" customHeight="1">
      <c r="A78" s="212"/>
      <c r="B78" s="485" t="str">
        <f t="shared" ref="B78:B104" si="3">B77</f>
        <v>Plan2023_RN_RILA</v>
      </c>
      <c r="C78" s="162" t="s">
        <v>421</v>
      </c>
      <c r="D78" s="115"/>
      <c r="E78" s="535" t="s">
        <v>520</v>
      </c>
      <c r="F78" s="535" t="s">
        <v>520</v>
      </c>
      <c r="G78" s="480" t="s">
        <v>520</v>
      </c>
    </row>
    <row r="79" spans="1:8" s="213" customFormat="1" ht="12.75" customHeight="1">
      <c r="A79" s="212"/>
      <c r="B79" s="485" t="str">
        <f t="shared" si="3"/>
        <v>Plan2023_RN_RILA</v>
      </c>
      <c r="C79" s="162" t="s">
        <v>545</v>
      </c>
      <c r="D79" s="115"/>
      <c r="E79" s="535" t="s">
        <v>520</v>
      </c>
      <c r="F79" s="535" t="s">
        <v>520</v>
      </c>
      <c r="G79" s="480" t="s">
        <v>520</v>
      </c>
    </row>
    <row r="80" spans="1:8" s="155" customFormat="1" ht="12.75" customHeight="1">
      <c r="A80" s="157"/>
      <c r="B80" s="485" t="str">
        <f t="shared" si="3"/>
        <v>Plan2023_RN_RILA</v>
      </c>
      <c r="C80" s="162" t="s">
        <v>419</v>
      </c>
      <c r="D80" s="115"/>
      <c r="E80" s="535" t="s">
        <v>511</v>
      </c>
      <c r="F80" s="535" t="s">
        <v>511</v>
      </c>
      <c r="G80" s="480" t="s">
        <v>511</v>
      </c>
    </row>
    <row r="81" spans="1:7" s="155" customFormat="1" ht="12.75" customHeight="1">
      <c r="A81" s="157"/>
      <c r="B81" s="485" t="str">
        <f t="shared" si="3"/>
        <v>Plan2023_RN_RILA</v>
      </c>
      <c r="C81" s="162" t="s">
        <v>301</v>
      </c>
      <c r="D81" s="115"/>
      <c r="E81" s="535" t="s">
        <v>511</v>
      </c>
      <c r="F81" s="535" t="s">
        <v>511</v>
      </c>
      <c r="G81" s="480" t="s">
        <v>511</v>
      </c>
    </row>
    <row r="82" spans="1:7" s="155" customFormat="1" ht="12.75" customHeight="1">
      <c r="A82" s="157"/>
      <c r="B82" s="485" t="str">
        <f t="shared" si="3"/>
        <v>Plan2023_RN_RILA</v>
      </c>
      <c r="C82" s="162" t="s">
        <v>420</v>
      </c>
      <c r="D82" s="115"/>
      <c r="E82" s="536" t="s">
        <v>331</v>
      </c>
      <c r="F82" s="536" t="s">
        <v>331</v>
      </c>
      <c r="G82" s="481" t="s">
        <v>331</v>
      </c>
    </row>
    <row r="83" spans="1:7" s="213" customFormat="1" ht="12.75" customHeight="1">
      <c r="A83" s="212"/>
      <c r="B83" s="485" t="str">
        <f t="shared" si="3"/>
        <v>Plan2023_RN_RILA</v>
      </c>
      <c r="C83" s="162" t="s">
        <v>416</v>
      </c>
      <c r="D83" s="115"/>
      <c r="E83" s="535" t="s">
        <v>521</v>
      </c>
      <c r="F83" s="535" t="s">
        <v>521</v>
      </c>
      <c r="G83" s="480" t="s">
        <v>521</v>
      </c>
    </row>
    <row r="84" spans="1:7" s="213" customFormat="1" ht="12.75" customHeight="1">
      <c r="A84" s="212"/>
      <c r="B84" s="485" t="str">
        <f t="shared" si="3"/>
        <v>Plan2023_RN_RILA</v>
      </c>
      <c r="C84" s="162" t="s">
        <v>387</v>
      </c>
      <c r="D84" s="115"/>
      <c r="E84" s="536" t="s">
        <v>331</v>
      </c>
      <c r="F84" s="536" t="s">
        <v>331</v>
      </c>
      <c r="G84" s="481" t="s">
        <v>331</v>
      </c>
    </row>
    <row r="85" spans="1:7" s="213" customFormat="1" ht="12.75" customHeight="1">
      <c r="A85" s="212"/>
      <c r="B85" s="485" t="str">
        <f t="shared" si="3"/>
        <v>Plan2023_RN_RILA</v>
      </c>
      <c r="C85" s="162" t="s">
        <v>386</v>
      </c>
      <c r="D85" s="115"/>
      <c r="E85" s="536" t="s">
        <v>331</v>
      </c>
      <c r="F85" s="536" t="s">
        <v>331</v>
      </c>
      <c r="G85" s="481" t="s">
        <v>331</v>
      </c>
    </row>
    <row r="86" spans="1:7" s="213" customFormat="1" ht="12.75" customHeight="1">
      <c r="A86" s="212"/>
      <c r="B86" s="485" t="str">
        <f t="shared" si="3"/>
        <v>Plan2023_RN_RILA</v>
      </c>
      <c r="C86" s="162" t="s">
        <v>295</v>
      </c>
      <c r="D86" s="115"/>
      <c r="E86" s="536" t="s">
        <v>331</v>
      </c>
      <c r="F86" s="536" t="s">
        <v>331</v>
      </c>
      <c r="G86" s="481" t="s">
        <v>331</v>
      </c>
    </row>
    <row r="87" spans="1:7" s="213" customFormat="1" ht="12.75" customHeight="1">
      <c r="A87" s="212"/>
      <c r="B87" s="485" t="str">
        <f t="shared" si="3"/>
        <v>Plan2023_RN_RILA</v>
      </c>
      <c r="C87" s="82" t="s">
        <v>704</v>
      </c>
      <c r="D87" s="115"/>
      <c r="E87" s="536" t="s">
        <v>331</v>
      </c>
      <c r="F87" s="536" t="s">
        <v>331</v>
      </c>
      <c r="G87" s="481" t="s">
        <v>331</v>
      </c>
    </row>
    <row r="88" spans="1:7" s="213" customFormat="1" ht="12.75" customHeight="1">
      <c r="A88" s="212"/>
      <c r="B88" s="485" t="str">
        <f>B86</f>
        <v>Plan2023_RN_RILA</v>
      </c>
      <c r="C88" s="82" t="s">
        <v>115</v>
      </c>
      <c r="D88" s="115"/>
      <c r="E88" s="536" t="s">
        <v>331</v>
      </c>
      <c r="F88" s="536" t="s">
        <v>331</v>
      </c>
      <c r="G88" s="481" t="s">
        <v>331</v>
      </c>
    </row>
    <row r="89" spans="1:7" s="213" customFormat="1" ht="12.75" customHeight="1">
      <c r="A89" s="212"/>
      <c r="B89" s="485" t="str">
        <f>B87</f>
        <v>Plan2023_RN_RILA</v>
      </c>
      <c r="C89" s="82" t="s">
        <v>708</v>
      </c>
      <c r="D89" s="115"/>
      <c r="E89" s="536" t="s">
        <v>331</v>
      </c>
      <c r="F89" s="536" t="s">
        <v>331</v>
      </c>
      <c r="G89" s="481" t="s">
        <v>331</v>
      </c>
    </row>
    <row r="90" spans="1:7" s="213" customFormat="1" ht="12.75" customHeight="1">
      <c r="A90" s="212"/>
      <c r="B90" s="485" t="str">
        <f>B86</f>
        <v>Plan2023_RN_RILA</v>
      </c>
      <c r="C90" s="162" t="s">
        <v>294</v>
      </c>
      <c r="D90" s="115"/>
      <c r="E90" s="535" t="s">
        <v>522</v>
      </c>
      <c r="F90" s="535" t="s">
        <v>522</v>
      </c>
      <c r="G90" s="480" t="s">
        <v>522</v>
      </c>
    </row>
    <row r="91" spans="1:7" s="213" customFormat="1" ht="12.75" customHeight="1">
      <c r="A91" s="212"/>
      <c r="B91" s="485" t="str">
        <f t="shared" si="3"/>
        <v>Plan2023_RN_RILA</v>
      </c>
      <c r="C91" s="162" t="s">
        <v>296</v>
      </c>
      <c r="D91" s="115"/>
      <c r="E91" s="535" t="s">
        <v>518</v>
      </c>
      <c r="F91" s="535" t="s">
        <v>518</v>
      </c>
      <c r="G91" s="480" t="s">
        <v>518</v>
      </c>
    </row>
    <row r="92" spans="1:7" s="213" customFormat="1" ht="12.75" customHeight="1">
      <c r="A92" s="212"/>
      <c r="B92" s="485" t="str">
        <f t="shared" si="3"/>
        <v>Plan2023_RN_RILA</v>
      </c>
      <c r="C92" s="162" t="s">
        <v>546</v>
      </c>
      <c r="D92" s="115"/>
      <c r="E92" s="535" t="s">
        <v>518</v>
      </c>
      <c r="F92" s="535" t="s">
        <v>518</v>
      </c>
      <c r="G92" s="480" t="s">
        <v>518</v>
      </c>
    </row>
    <row r="93" spans="1:7" s="155" customFormat="1" ht="12.75" customHeight="1">
      <c r="A93" s="157"/>
      <c r="B93" s="485" t="str">
        <f t="shared" si="3"/>
        <v>Plan2023_RN_RILA</v>
      </c>
      <c r="C93" s="113" t="s">
        <v>243</v>
      </c>
      <c r="D93" s="115"/>
      <c r="E93" s="536">
        <v>0</v>
      </c>
      <c r="F93" s="536">
        <v>0</v>
      </c>
      <c r="G93" s="481">
        <v>0</v>
      </c>
    </row>
    <row r="94" spans="1:7" s="155" customFormat="1" ht="12.75" customHeight="1">
      <c r="A94" s="157"/>
      <c r="B94" s="485" t="str">
        <f t="shared" si="3"/>
        <v>Plan2023_RN_RILA</v>
      </c>
      <c r="C94" s="162" t="s">
        <v>244</v>
      </c>
      <c r="D94" s="115"/>
      <c r="E94" s="536">
        <v>1E-3</v>
      </c>
      <c r="F94" s="536">
        <v>1E-3</v>
      </c>
      <c r="G94" s="481">
        <v>0</v>
      </c>
    </row>
    <row r="95" spans="1:7" s="155" customFormat="1" ht="12.75" customHeight="1">
      <c r="A95" s="157"/>
      <c r="B95" s="485" t="str">
        <f t="shared" si="3"/>
        <v>Plan2023_RN_RILA</v>
      </c>
      <c r="C95" s="162" t="s">
        <v>263</v>
      </c>
      <c r="D95" s="115"/>
      <c r="E95" s="537" t="s">
        <v>261</v>
      </c>
      <c r="F95" s="537" t="s">
        <v>261</v>
      </c>
      <c r="G95" s="482" t="s">
        <v>261</v>
      </c>
    </row>
    <row r="96" spans="1:7" s="213" customFormat="1" ht="12.75" customHeight="1">
      <c r="A96" s="212"/>
      <c r="B96" s="485" t="str">
        <f t="shared" si="3"/>
        <v>Plan2023_RN_RILA</v>
      </c>
      <c r="C96" s="162" t="s">
        <v>574</v>
      </c>
      <c r="D96" s="115"/>
      <c r="E96" s="538">
        <v>5.7999999999999996E-3</v>
      </c>
      <c r="F96" s="538">
        <v>5.7999999999999996E-3</v>
      </c>
      <c r="G96" s="483">
        <v>5.7999999999999996E-3</v>
      </c>
    </row>
    <row r="97" spans="1:8" s="213" customFormat="1" ht="12.75" customHeight="1">
      <c r="A97" s="212"/>
      <c r="B97" s="485" t="str">
        <f t="shared" si="3"/>
        <v>Plan2023_RN_RILA</v>
      </c>
      <c r="C97" s="162" t="s">
        <v>575</v>
      </c>
      <c r="D97" s="115"/>
      <c r="E97" s="515">
        <v>10</v>
      </c>
      <c r="F97" s="515">
        <v>10</v>
      </c>
      <c r="G97" s="239">
        <v>10</v>
      </c>
    </row>
    <row r="98" spans="1:8" s="213" customFormat="1" ht="12.75" customHeight="1">
      <c r="A98" s="212"/>
      <c r="B98" s="485" t="str">
        <f t="shared" si="3"/>
        <v>Plan2023_RN_RILA</v>
      </c>
      <c r="C98" s="162" t="s">
        <v>576</v>
      </c>
      <c r="D98" s="115"/>
      <c r="E98" s="536">
        <v>0.7</v>
      </c>
      <c r="F98" s="536">
        <v>0.7</v>
      </c>
      <c r="G98" s="481">
        <v>0.7</v>
      </c>
    </row>
    <row r="99" spans="1:8" s="155" customFormat="1" ht="12.75" customHeight="1">
      <c r="A99" s="157"/>
      <c r="B99" s="485" t="str">
        <f t="shared" si="3"/>
        <v>Plan2023_RN_RILA</v>
      </c>
      <c r="C99" s="162" t="s">
        <v>333</v>
      </c>
      <c r="D99" s="160"/>
      <c r="E99" s="455" t="s">
        <v>330</v>
      </c>
      <c r="F99" s="455" t="s">
        <v>330</v>
      </c>
      <c r="G99" s="240" t="s">
        <v>330</v>
      </c>
    </row>
    <row r="100" spans="1:8" s="155" customFormat="1" ht="12.75" customHeight="1">
      <c r="A100" s="157"/>
      <c r="B100" s="485" t="str">
        <f t="shared" si="3"/>
        <v>Plan2023_RN_RILA</v>
      </c>
      <c r="C100" s="162" t="s">
        <v>717</v>
      </c>
      <c r="D100" s="160"/>
      <c r="E100" s="455">
        <v>1</v>
      </c>
      <c r="F100" s="455">
        <v>1</v>
      </c>
      <c r="G100" s="240">
        <v>0.25700000000000001</v>
      </c>
    </row>
    <row r="101" spans="1:8" s="155" customFormat="1" ht="12.75" customHeight="1">
      <c r="A101" s="157"/>
      <c r="B101" s="485" t="str">
        <f t="shared" si="3"/>
        <v>Plan2023_RN_RILA</v>
      </c>
      <c r="C101" s="162" t="s">
        <v>718</v>
      </c>
      <c r="D101" s="160"/>
      <c r="E101" s="455">
        <v>0</v>
      </c>
      <c r="F101" s="455">
        <v>0</v>
      </c>
      <c r="G101" s="302">
        <v>1.8360000000000001E-2</v>
      </c>
    </row>
    <row r="102" spans="1:8" s="155" customFormat="1" ht="12.75" customHeight="1">
      <c r="A102" s="157"/>
      <c r="B102" s="485" t="str">
        <f>B99</f>
        <v>Plan2023_RN_RILA</v>
      </c>
      <c r="C102" s="359" t="s">
        <v>128</v>
      </c>
      <c r="D102" s="317"/>
      <c r="E102" s="552">
        <v>6.0499999999999998E-3</v>
      </c>
      <c r="F102" s="553">
        <v>2.0999999999999999E-3</v>
      </c>
      <c r="G102" s="486">
        <v>6.0499999999999998E-3</v>
      </c>
      <c r="H102" s="155" t="s">
        <v>638</v>
      </c>
    </row>
    <row r="103" spans="1:8" s="155" customFormat="1" ht="12.75" customHeight="1">
      <c r="A103" s="157"/>
      <c r="B103" s="485" t="str">
        <f t="shared" si="3"/>
        <v>Plan2023_RN_RILA</v>
      </c>
      <c r="C103" s="162" t="s">
        <v>129</v>
      </c>
      <c r="D103" s="160"/>
      <c r="E103" s="455">
        <v>132.6</v>
      </c>
      <c r="F103" s="455">
        <v>132.6</v>
      </c>
      <c r="G103" s="487">
        <v>249.2</v>
      </c>
    </row>
    <row r="104" spans="1:8" s="155" customFormat="1" ht="12.75" customHeight="1">
      <c r="A104" s="157"/>
      <c r="B104" s="485" t="str">
        <f t="shared" si="3"/>
        <v>Plan2023_RN_RILA</v>
      </c>
      <c r="C104" s="217" t="s">
        <v>132</v>
      </c>
      <c r="D104" s="160"/>
      <c r="E104" s="539">
        <v>38.799999999999997</v>
      </c>
      <c r="F104" s="539">
        <v>38.799999999999997</v>
      </c>
      <c r="G104" s="487">
        <v>53.5</v>
      </c>
    </row>
    <row r="105" spans="1:8" s="155" customFormat="1" ht="12.75" customHeight="1">
      <c r="A105" s="157"/>
      <c r="B105" s="485" t="str">
        <f>B104</f>
        <v>Plan2023_RN_RILA</v>
      </c>
      <c r="C105" s="217" t="s">
        <v>260</v>
      </c>
      <c r="D105" s="115"/>
      <c r="E105" s="536">
        <v>0</v>
      </c>
      <c r="F105" s="536">
        <v>0</v>
      </c>
      <c r="G105" s="488">
        <v>0</v>
      </c>
    </row>
    <row r="106" spans="1:8" s="155" customFormat="1" ht="12.75" customHeight="1">
      <c r="A106" s="157"/>
      <c r="B106" s="485" t="str">
        <f>B105</f>
        <v>Plan2023_RN_RILA</v>
      </c>
      <c r="C106" s="217" t="s">
        <v>720</v>
      </c>
      <c r="D106" s="115"/>
      <c r="E106" s="455">
        <v>1</v>
      </c>
      <c r="F106" s="455">
        <v>1</v>
      </c>
      <c r="G106" s="455">
        <v>1.05</v>
      </c>
    </row>
    <row r="107" spans="1:8" s="213" customFormat="1" ht="12.75" customHeight="1">
      <c r="A107" s="212"/>
      <c r="B107" s="485" t="s">
        <v>707</v>
      </c>
      <c r="C107" s="162" t="s">
        <v>422</v>
      </c>
      <c r="D107" s="115"/>
      <c r="E107" s="535" t="s">
        <v>519</v>
      </c>
      <c r="F107" s="535" t="s">
        <v>519</v>
      </c>
      <c r="G107" s="480" t="s">
        <v>519</v>
      </c>
    </row>
    <row r="108" spans="1:8" s="213" customFormat="1" ht="12.75" customHeight="1">
      <c r="A108" s="212"/>
      <c r="B108" s="485" t="str">
        <f t="shared" ref="B108:B134" si="4">B107</f>
        <v>Plan2023_RW_RILA</v>
      </c>
      <c r="C108" s="162" t="s">
        <v>421</v>
      </c>
      <c r="D108" s="115"/>
      <c r="E108" s="535" t="s">
        <v>520</v>
      </c>
      <c r="F108" s="535" t="s">
        <v>520</v>
      </c>
      <c r="G108" s="480" t="s">
        <v>520</v>
      </c>
    </row>
    <row r="109" spans="1:8" s="213" customFormat="1" ht="12.75" customHeight="1">
      <c r="A109" s="212"/>
      <c r="B109" s="485" t="str">
        <f t="shared" si="4"/>
        <v>Plan2023_RW_RILA</v>
      </c>
      <c r="C109" s="162" t="s">
        <v>545</v>
      </c>
      <c r="D109" s="115"/>
      <c r="E109" s="535" t="s">
        <v>520</v>
      </c>
      <c r="F109" s="535" t="s">
        <v>520</v>
      </c>
      <c r="G109" s="480" t="s">
        <v>520</v>
      </c>
    </row>
    <row r="110" spans="1:8" s="155" customFormat="1" ht="12.75" customHeight="1">
      <c r="A110" s="157"/>
      <c r="B110" s="485" t="str">
        <f t="shared" si="4"/>
        <v>Plan2023_RW_RILA</v>
      </c>
      <c r="C110" s="162" t="s">
        <v>419</v>
      </c>
      <c r="D110" s="115"/>
      <c r="E110" s="535" t="s">
        <v>511</v>
      </c>
      <c r="F110" s="535" t="s">
        <v>511</v>
      </c>
      <c r="G110" s="480" t="s">
        <v>511</v>
      </c>
    </row>
    <row r="111" spans="1:8" s="155" customFormat="1" ht="12.75" customHeight="1">
      <c r="A111" s="157"/>
      <c r="B111" s="485" t="str">
        <f t="shared" si="4"/>
        <v>Plan2023_RW_RILA</v>
      </c>
      <c r="C111" s="162" t="s">
        <v>301</v>
      </c>
      <c r="D111" s="115"/>
      <c r="E111" s="535" t="s">
        <v>511</v>
      </c>
      <c r="F111" s="535" t="s">
        <v>511</v>
      </c>
      <c r="G111" s="480" t="s">
        <v>511</v>
      </c>
    </row>
    <row r="112" spans="1:8" s="155" customFormat="1" ht="12.75" customHeight="1">
      <c r="A112" s="157"/>
      <c r="B112" s="485" t="str">
        <f t="shared" si="4"/>
        <v>Plan2023_RW_RILA</v>
      </c>
      <c r="C112" s="162" t="s">
        <v>420</v>
      </c>
      <c r="D112" s="115"/>
      <c r="E112" s="536" t="s">
        <v>331</v>
      </c>
      <c r="F112" s="536" t="s">
        <v>331</v>
      </c>
      <c r="G112" s="481" t="s">
        <v>331</v>
      </c>
    </row>
    <row r="113" spans="1:7" s="213" customFormat="1" ht="12.75" customHeight="1">
      <c r="A113" s="212"/>
      <c r="B113" s="485" t="str">
        <f t="shared" si="4"/>
        <v>Plan2023_RW_RILA</v>
      </c>
      <c r="C113" s="162" t="s">
        <v>416</v>
      </c>
      <c r="D113" s="115"/>
      <c r="E113" s="535" t="s">
        <v>521</v>
      </c>
      <c r="F113" s="535" t="s">
        <v>521</v>
      </c>
      <c r="G113" s="480" t="s">
        <v>521</v>
      </c>
    </row>
    <row r="114" spans="1:7" s="213" customFormat="1" ht="12.75" customHeight="1">
      <c r="A114" s="212"/>
      <c r="B114" s="485" t="str">
        <f t="shared" si="4"/>
        <v>Plan2023_RW_RILA</v>
      </c>
      <c r="C114" s="162" t="s">
        <v>387</v>
      </c>
      <c r="D114" s="115"/>
      <c r="E114" s="536" t="s">
        <v>331</v>
      </c>
      <c r="F114" s="536" t="s">
        <v>331</v>
      </c>
      <c r="G114" s="481" t="s">
        <v>331</v>
      </c>
    </row>
    <row r="115" spans="1:7" s="213" customFormat="1" ht="12.75" customHeight="1">
      <c r="A115" s="212"/>
      <c r="B115" s="485" t="str">
        <f t="shared" si="4"/>
        <v>Plan2023_RW_RILA</v>
      </c>
      <c r="C115" s="162" t="s">
        <v>386</v>
      </c>
      <c r="D115" s="115"/>
      <c r="E115" s="536" t="s">
        <v>331</v>
      </c>
      <c r="F115" s="536" t="s">
        <v>331</v>
      </c>
      <c r="G115" s="481" t="s">
        <v>331</v>
      </c>
    </row>
    <row r="116" spans="1:7" s="213" customFormat="1" ht="12.75" customHeight="1">
      <c r="A116" s="212"/>
      <c r="B116" s="485" t="str">
        <f t="shared" si="4"/>
        <v>Plan2023_RW_RILA</v>
      </c>
      <c r="C116" s="162" t="s">
        <v>295</v>
      </c>
      <c r="D116" s="115"/>
      <c r="E116" s="536" t="s">
        <v>331</v>
      </c>
      <c r="F116" s="536" t="s">
        <v>331</v>
      </c>
      <c r="G116" s="481" t="s">
        <v>331</v>
      </c>
    </row>
    <row r="117" spans="1:7" s="213" customFormat="1" ht="12.75" customHeight="1">
      <c r="A117" s="212"/>
      <c r="B117" s="485" t="str">
        <f t="shared" si="4"/>
        <v>Plan2023_RW_RILA</v>
      </c>
      <c r="C117" s="82" t="s">
        <v>704</v>
      </c>
      <c r="D117" s="115"/>
      <c r="E117" s="536" t="s">
        <v>331</v>
      </c>
      <c r="F117" s="536" t="s">
        <v>331</v>
      </c>
      <c r="G117" s="481" t="s">
        <v>331</v>
      </c>
    </row>
    <row r="118" spans="1:7" s="213" customFormat="1" ht="12.75" customHeight="1">
      <c r="A118" s="212"/>
      <c r="B118" s="485" t="str">
        <f>B116</f>
        <v>Plan2023_RW_RILA</v>
      </c>
      <c r="C118" s="82" t="s">
        <v>115</v>
      </c>
      <c r="D118" s="115"/>
      <c r="E118" s="536" t="s">
        <v>331</v>
      </c>
      <c r="F118" s="536" t="s">
        <v>331</v>
      </c>
      <c r="G118" s="481" t="s">
        <v>331</v>
      </c>
    </row>
    <row r="119" spans="1:7" s="213" customFormat="1" ht="12.75" customHeight="1">
      <c r="A119" s="212"/>
      <c r="B119" s="485" t="str">
        <f>B117</f>
        <v>Plan2023_RW_RILA</v>
      </c>
      <c r="C119" s="82" t="s">
        <v>708</v>
      </c>
      <c r="D119" s="115"/>
      <c r="E119" s="536" t="s">
        <v>331</v>
      </c>
      <c r="F119" s="536" t="s">
        <v>331</v>
      </c>
      <c r="G119" s="481" t="s">
        <v>331</v>
      </c>
    </row>
    <row r="120" spans="1:7" s="213" customFormat="1" ht="12.75" customHeight="1">
      <c r="A120" s="212"/>
      <c r="B120" s="485" t="str">
        <f>B116</f>
        <v>Plan2023_RW_RILA</v>
      </c>
      <c r="C120" s="162" t="s">
        <v>294</v>
      </c>
      <c r="D120" s="115"/>
      <c r="E120" s="535" t="s">
        <v>522</v>
      </c>
      <c r="F120" s="535" t="s">
        <v>522</v>
      </c>
      <c r="G120" s="480" t="s">
        <v>522</v>
      </c>
    </row>
    <row r="121" spans="1:7" s="213" customFormat="1" ht="12.75" customHeight="1">
      <c r="A121" s="212"/>
      <c r="B121" s="485" t="str">
        <f t="shared" si="4"/>
        <v>Plan2023_RW_RILA</v>
      </c>
      <c r="C121" s="162" t="s">
        <v>296</v>
      </c>
      <c r="D121" s="115"/>
      <c r="E121" s="535" t="s">
        <v>518</v>
      </c>
      <c r="F121" s="535" t="s">
        <v>518</v>
      </c>
      <c r="G121" s="480" t="s">
        <v>518</v>
      </c>
    </row>
    <row r="122" spans="1:7" s="213" customFormat="1" ht="12.75" customHeight="1">
      <c r="A122" s="212"/>
      <c r="B122" s="485" t="str">
        <f t="shared" si="4"/>
        <v>Plan2023_RW_RILA</v>
      </c>
      <c r="C122" s="162" t="s">
        <v>546</v>
      </c>
      <c r="D122" s="115"/>
      <c r="E122" s="535" t="s">
        <v>518</v>
      </c>
      <c r="F122" s="535" t="s">
        <v>518</v>
      </c>
      <c r="G122" s="480" t="s">
        <v>518</v>
      </c>
    </row>
    <row r="123" spans="1:7" s="155" customFormat="1" ht="12.75" customHeight="1">
      <c r="A123" s="157"/>
      <c r="B123" s="485" t="str">
        <f t="shared" si="4"/>
        <v>Plan2023_RW_RILA</v>
      </c>
      <c r="C123" s="113" t="s">
        <v>243</v>
      </c>
      <c r="D123" s="115"/>
      <c r="E123" s="536">
        <v>0</v>
      </c>
      <c r="F123" s="536">
        <v>0</v>
      </c>
      <c r="G123" s="481">
        <v>0</v>
      </c>
    </row>
    <row r="124" spans="1:7" s="155" customFormat="1" ht="12.75" customHeight="1">
      <c r="A124" s="157"/>
      <c r="B124" s="485" t="str">
        <f t="shared" si="4"/>
        <v>Plan2023_RW_RILA</v>
      </c>
      <c r="C124" s="162" t="s">
        <v>244</v>
      </c>
      <c r="D124" s="115"/>
      <c r="E124" s="536">
        <v>1E-3</v>
      </c>
      <c r="F124" s="536">
        <v>1E-3</v>
      </c>
      <c r="G124" s="481">
        <v>0</v>
      </c>
    </row>
    <row r="125" spans="1:7" s="155" customFormat="1" ht="12.75" customHeight="1">
      <c r="A125" s="157"/>
      <c r="B125" s="485" t="str">
        <f t="shared" si="4"/>
        <v>Plan2023_RW_RILA</v>
      </c>
      <c r="C125" s="162" t="s">
        <v>263</v>
      </c>
      <c r="D125" s="115"/>
      <c r="E125" s="537" t="s">
        <v>261</v>
      </c>
      <c r="F125" s="537" t="s">
        <v>261</v>
      </c>
      <c r="G125" s="482" t="s">
        <v>261</v>
      </c>
    </row>
    <row r="126" spans="1:7" s="213" customFormat="1" ht="12.75" customHeight="1">
      <c r="A126" s="212"/>
      <c r="B126" s="485" t="str">
        <f t="shared" si="4"/>
        <v>Plan2023_RW_RILA</v>
      </c>
      <c r="C126" s="162" t="s">
        <v>574</v>
      </c>
      <c r="D126" s="115"/>
      <c r="E126" s="538">
        <v>5.7999999999999996E-3</v>
      </c>
      <c r="F126" s="538">
        <v>5.7999999999999996E-3</v>
      </c>
      <c r="G126" s="483">
        <v>5.7999999999999996E-3</v>
      </c>
    </row>
    <row r="127" spans="1:7" s="213" customFormat="1" ht="12.75" customHeight="1">
      <c r="A127" s="212"/>
      <c r="B127" s="485" t="str">
        <f t="shared" si="4"/>
        <v>Plan2023_RW_RILA</v>
      </c>
      <c r="C127" s="162" t="s">
        <v>575</v>
      </c>
      <c r="D127" s="115"/>
      <c r="E127" s="515">
        <v>10</v>
      </c>
      <c r="F127" s="515">
        <v>10</v>
      </c>
      <c r="G127" s="239">
        <v>10</v>
      </c>
    </row>
    <row r="128" spans="1:7" s="213" customFormat="1" ht="12.75" customHeight="1">
      <c r="A128" s="212"/>
      <c r="B128" s="485" t="str">
        <f t="shared" si="4"/>
        <v>Plan2023_RW_RILA</v>
      </c>
      <c r="C128" s="162" t="s">
        <v>576</v>
      </c>
      <c r="D128" s="115"/>
      <c r="E128" s="536">
        <v>0.7</v>
      </c>
      <c r="F128" s="536">
        <v>0.7</v>
      </c>
      <c r="G128" s="481">
        <v>0.7</v>
      </c>
    </row>
    <row r="129" spans="1:8" s="155" customFormat="1" ht="12.75" customHeight="1">
      <c r="A129" s="157"/>
      <c r="B129" s="485" t="str">
        <f t="shared" si="4"/>
        <v>Plan2023_RW_RILA</v>
      </c>
      <c r="C129" s="162" t="s">
        <v>333</v>
      </c>
      <c r="D129" s="160"/>
      <c r="E129" s="455" t="s">
        <v>330</v>
      </c>
      <c r="F129" s="455" t="s">
        <v>330</v>
      </c>
      <c r="G129" s="240" t="s">
        <v>330</v>
      </c>
    </row>
    <row r="130" spans="1:8" s="155" customFormat="1" ht="12.75" customHeight="1">
      <c r="A130" s="157"/>
      <c r="B130" s="485" t="str">
        <f t="shared" si="4"/>
        <v>Plan2023_RW_RILA</v>
      </c>
      <c r="C130" s="162" t="s">
        <v>717</v>
      </c>
      <c r="D130" s="160"/>
      <c r="E130" s="455">
        <v>1</v>
      </c>
      <c r="F130" s="455">
        <v>1</v>
      </c>
      <c r="G130" s="240">
        <v>0.25700000000000001</v>
      </c>
    </row>
    <row r="131" spans="1:8" s="155" customFormat="1" ht="12.75" customHeight="1">
      <c r="A131" s="157"/>
      <c r="B131" s="485" t="str">
        <f t="shared" si="4"/>
        <v>Plan2023_RW_RILA</v>
      </c>
      <c r="C131" s="162" t="s">
        <v>718</v>
      </c>
      <c r="D131" s="160"/>
      <c r="E131" s="455">
        <v>0</v>
      </c>
      <c r="F131" s="455">
        <v>0</v>
      </c>
      <c r="G131" s="302">
        <v>1.8360000000000001E-2</v>
      </c>
    </row>
    <row r="132" spans="1:8" s="155" customFormat="1" ht="12.75" customHeight="1">
      <c r="A132" s="157"/>
      <c r="B132" s="485" t="str">
        <f t="shared" si="4"/>
        <v>Plan2023_RW_RILA</v>
      </c>
      <c r="C132" s="359" t="s">
        <v>128</v>
      </c>
      <c r="D132" s="317"/>
      <c r="E132" s="552">
        <v>1.15E-2</v>
      </c>
      <c r="F132" s="553">
        <v>4.1099999999999999E-3</v>
      </c>
      <c r="G132" s="486">
        <v>1.8589999999999999E-2</v>
      </c>
      <c r="H132" s="155" t="s">
        <v>638</v>
      </c>
    </row>
    <row r="133" spans="1:8" s="155" customFormat="1" ht="12.75" customHeight="1">
      <c r="A133" s="157"/>
      <c r="B133" s="485" t="str">
        <f t="shared" si="4"/>
        <v>Plan2023_RW_RILA</v>
      </c>
      <c r="C133" s="162" t="s">
        <v>129</v>
      </c>
      <c r="D133" s="160"/>
      <c r="E133" s="455">
        <v>272.39999999999998</v>
      </c>
      <c r="F133" s="455">
        <v>272.39999999999998</v>
      </c>
      <c r="G133" s="563">
        <v>937.5</v>
      </c>
    </row>
    <row r="134" spans="1:8" s="155" customFormat="1" ht="12.75" customHeight="1">
      <c r="A134" s="157"/>
      <c r="B134" s="485" t="str">
        <f t="shared" si="4"/>
        <v>Plan2023_RW_RILA</v>
      </c>
      <c r="C134" s="217" t="s">
        <v>132</v>
      </c>
      <c r="D134" s="160"/>
      <c r="E134" s="539">
        <v>213.7</v>
      </c>
      <c r="F134" s="539">
        <v>213.7</v>
      </c>
      <c r="G134" s="563">
        <v>290</v>
      </c>
    </row>
    <row r="135" spans="1:8" s="155" customFormat="1" ht="12.75" customHeight="1">
      <c r="A135" s="157"/>
      <c r="B135" s="485" t="str">
        <f>B133</f>
        <v>Plan2023_RW_RILA</v>
      </c>
      <c r="C135" s="217" t="s">
        <v>260</v>
      </c>
      <c r="D135" s="115"/>
      <c r="E135" s="536">
        <v>0</v>
      </c>
      <c r="F135" s="536">
        <v>0</v>
      </c>
      <c r="G135" s="564">
        <v>0</v>
      </c>
    </row>
    <row r="136" spans="1:8" s="155" customFormat="1" ht="12.75" customHeight="1">
      <c r="A136" s="157"/>
      <c r="B136" s="485" t="str">
        <f>B134</f>
        <v>Plan2023_RW_RILA</v>
      </c>
      <c r="C136" s="217" t="s">
        <v>720</v>
      </c>
      <c r="D136" s="115"/>
      <c r="E136" s="455">
        <v>1</v>
      </c>
      <c r="F136" s="455">
        <v>1</v>
      </c>
      <c r="G136" s="455">
        <v>1.05</v>
      </c>
    </row>
    <row r="137" spans="1:8" s="155" customFormat="1" ht="12.75" customHeight="1">
      <c r="E137" s="167"/>
      <c r="F137" s="167"/>
      <c r="G137" s="167"/>
    </row>
    <row r="138" spans="1:8" s="155" customFormat="1" ht="12.75" customHeight="1">
      <c r="E138" s="167"/>
      <c r="F138" s="167"/>
      <c r="G138" s="167"/>
    </row>
    <row r="139" spans="1:8" s="150" customFormat="1" ht="12.75" customHeight="1">
      <c r="A139" s="149" t="str">
        <f ca="1">GetNameRange(A141)</f>
        <v>glb_flex_cost_aig</v>
      </c>
      <c r="C139" s="155"/>
      <c r="D139" s="155"/>
      <c r="E139" s="167"/>
      <c r="F139" s="167"/>
      <c r="G139" s="167"/>
    </row>
    <row r="140" spans="1:8" s="155" customFormat="1" ht="12.75" customHeight="1">
      <c r="A140" s="169" t="s">
        <v>47</v>
      </c>
      <c r="B140" s="191"/>
      <c r="C140" s="192"/>
      <c r="D140" s="219" t="str">
        <f>D$4</f>
        <v>Value</v>
      </c>
      <c r="E140" s="2" t="s">
        <v>642</v>
      </c>
      <c r="F140" s="2" t="s">
        <v>643</v>
      </c>
      <c r="G140" s="219" t="str">
        <f t="shared" ref="G140" si="5">G$4</f>
        <v>RILA_1</v>
      </c>
    </row>
    <row r="141" spans="1:8" s="155" customFormat="1" ht="12.75" customHeight="1" thickBot="1">
      <c r="A141" s="79" t="s">
        <v>310</v>
      </c>
      <c r="B141" s="85" t="s">
        <v>315</v>
      </c>
      <c r="C141" s="85" t="s">
        <v>484</v>
      </c>
      <c r="D141" s="85" t="s">
        <v>29</v>
      </c>
      <c r="E141" s="85"/>
      <c r="F141" s="85"/>
      <c r="G141" s="221"/>
    </row>
    <row r="142" spans="1:8" s="155" customFormat="1" ht="12.75" customHeight="1">
      <c r="A142" s="69"/>
      <c r="B142" s="165"/>
      <c r="C142" s="165"/>
      <c r="D142" s="165"/>
      <c r="E142" s="167"/>
      <c r="F142" s="167"/>
      <c r="G142" s="222"/>
    </row>
    <row r="143" spans="1:8" s="155" customFormat="1" ht="12.75" customHeight="1">
      <c r="A143" s="70"/>
      <c r="B143" s="160"/>
      <c r="C143" s="160"/>
      <c r="D143" s="160"/>
      <c r="E143" s="319"/>
      <c r="F143" s="319"/>
      <c r="G143" s="190"/>
    </row>
    <row r="144" spans="1:8" s="213" customFormat="1" ht="12.75" customHeight="1">
      <c r="A144" s="485" t="s">
        <v>637</v>
      </c>
      <c r="B144" s="188" t="s">
        <v>313</v>
      </c>
      <c r="C144" s="188" t="s">
        <v>485</v>
      </c>
      <c r="D144" s="502" t="s">
        <v>243</v>
      </c>
      <c r="E144" s="536">
        <v>0</v>
      </c>
      <c r="F144" s="536">
        <v>0</v>
      </c>
      <c r="G144" s="161">
        <v>0</v>
      </c>
      <c r="H144" s="213" t="s">
        <v>639</v>
      </c>
    </row>
    <row r="145" spans="1:8" s="164" customFormat="1" ht="12.75" customHeight="1">
      <c r="A145" s="485" t="str">
        <f t="shared" ref="A145:A151" si="6">A144</f>
        <v>Plan2023_RN_RILA</v>
      </c>
      <c r="B145" s="188" t="s">
        <v>313</v>
      </c>
      <c r="C145" s="188" t="s">
        <v>485</v>
      </c>
      <c r="D145" s="503" t="s">
        <v>244</v>
      </c>
      <c r="E145" s="536">
        <v>1E-3</v>
      </c>
      <c r="F145" s="536">
        <v>1E-3</v>
      </c>
      <c r="G145" s="161">
        <v>0</v>
      </c>
    </row>
    <row r="146" spans="1:8" s="155" customFormat="1" ht="12.75" customHeight="1">
      <c r="A146" s="485" t="str">
        <f t="shared" si="6"/>
        <v>Plan2023_RN_RILA</v>
      </c>
      <c r="B146" s="188" t="s">
        <v>297</v>
      </c>
      <c r="C146" s="188" t="s">
        <v>486</v>
      </c>
      <c r="D146" s="113" t="s">
        <v>243</v>
      </c>
      <c r="E146" s="536">
        <v>0</v>
      </c>
      <c r="F146" s="536">
        <v>0</v>
      </c>
      <c r="G146" s="161">
        <v>0</v>
      </c>
    </row>
    <row r="147" spans="1:8" s="155" customFormat="1" ht="12.75" customHeight="1">
      <c r="A147" s="485" t="str">
        <f t="shared" si="6"/>
        <v>Plan2023_RN_RILA</v>
      </c>
      <c r="B147" s="188" t="s">
        <v>297</v>
      </c>
      <c r="C147" s="188" t="s">
        <v>486</v>
      </c>
      <c r="D147" s="162" t="s">
        <v>244</v>
      </c>
      <c r="E147" s="536">
        <v>1E-3</v>
      </c>
      <c r="F147" s="536">
        <v>1E-3</v>
      </c>
      <c r="G147" s="161">
        <v>0</v>
      </c>
    </row>
    <row r="148" spans="1:8" s="213" customFormat="1" ht="12.75" customHeight="1">
      <c r="A148" s="485" t="str">
        <f t="shared" si="6"/>
        <v>Plan2023_RN_RILA</v>
      </c>
      <c r="B148" s="188" t="s">
        <v>297</v>
      </c>
      <c r="C148" s="188" t="s">
        <v>487</v>
      </c>
      <c r="D148" s="113" t="s">
        <v>243</v>
      </c>
      <c r="E148" s="536">
        <v>0</v>
      </c>
      <c r="F148" s="536">
        <v>0</v>
      </c>
      <c r="G148" s="161">
        <v>0</v>
      </c>
    </row>
    <row r="149" spans="1:8" s="213" customFormat="1" ht="12.75" customHeight="1">
      <c r="A149" s="485" t="str">
        <f t="shared" si="6"/>
        <v>Plan2023_RN_RILA</v>
      </c>
      <c r="B149" s="188" t="s">
        <v>297</v>
      </c>
      <c r="C149" s="188" t="s">
        <v>487</v>
      </c>
      <c r="D149" s="162" t="s">
        <v>244</v>
      </c>
      <c r="E149" s="536">
        <v>1E-3</v>
      </c>
      <c r="F149" s="536">
        <v>1E-3</v>
      </c>
      <c r="G149" s="161">
        <v>0</v>
      </c>
    </row>
    <row r="150" spans="1:8" s="213" customFormat="1" ht="12.75" customHeight="1">
      <c r="A150" s="485" t="str">
        <f t="shared" si="6"/>
        <v>Plan2023_RN_RILA</v>
      </c>
      <c r="B150" s="188" t="s">
        <v>298</v>
      </c>
      <c r="C150" s="188" t="s">
        <v>486</v>
      </c>
      <c r="D150" s="113" t="s">
        <v>243</v>
      </c>
      <c r="E150" s="536">
        <v>0</v>
      </c>
      <c r="F150" s="536">
        <v>0</v>
      </c>
      <c r="G150" s="161">
        <v>0</v>
      </c>
    </row>
    <row r="151" spans="1:8" s="213" customFormat="1" ht="12.75" customHeight="1">
      <c r="A151" s="485" t="str">
        <f t="shared" si="6"/>
        <v>Plan2023_RN_RILA</v>
      </c>
      <c r="B151" s="188" t="s">
        <v>298</v>
      </c>
      <c r="C151" s="188" t="s">
        <v>486</v>
      </c>
      <c r="D151" s="162" t="s">
        <v>244</v>
      </c>
      <c r="E151" s="536">
        <v>1E-3</v>
      </c>
      <c r="F151" s="536">
        <v>1E-3</v>
      </c>
      <c r="G151" s="161">
        <v>0</v>
      </c>
    </row>
    <row r="152" spans="1:8" s="213" customFormat="1" ht="12.75" customHeight="1">
      <c r="A152" s="214" t="s">
        <v>578</v>
      </c>
      <c r="B152" s="188" t="s">
        <v>313</v>
      </c>
      <c r="C152" s="188" t="s">
        <v>485</v>
      </c>
      <c r="D152" s="113" t="s">
        <v>243</v>
      </c>
      <c r="E152" s="536">
        <v>0</v>
      </c>
      <c r="F152" s="536">
        <v>0</v>
      </c>
      <c r="G152" s="161">
        <v>0</v>
      </c>
    </row>
    <row r="153" spans="1:8" s="213" customFormat="1" ht="12.75" customHeight="1">
      <c r="A153" s="214" t="s">
        <v>578</v>
      </c>
      <c r="B153" s="188" t="s">
        <v>313</v>
      </c>
      <c r="C153" s="188" t="s">
        <v>485</v>
      </c>
      <c r="D153" s="113" t="s">
        <v>244</v>
      </c>
      <c r="E153" s="536">
        <v>0</v>
      </c>
      <c r="F153" s="536">
        <v>0</v>
      </c>
      <c r="G153" s="161">
        <v>0</v>
      </c>
    </row>
    <row r="154" spans="1:8" s="155" customFormat="1" ht="12.75" customHeight="1">
      <c r="A154" s="214" t="s">
        <v>578</v>
      </c>
      <c r="B154" s="188" t="s">
        <v>297</v>
      </c>
      <c r="C154" s="188" t="s">
        <v>486</v>
      </c>
      <c r="D154" s="113" t="s">
        <v>243</v>
      </c>
      <c r="E154" s="536">
        <v>0</v>
      </c>
      <c r="F154" s="536">
        <v>0</v>
      </c>
      <c r="G154" s="161">
        <v>0</v>
      </c>
    </row>
    <row r="155" spans="1:8" s="155" customFormat="1" ht="12.75" customHeight="1">
      <c r="A155" s="214" t="s">
        <v>578</v>
      </c>
      <c r="B155" s="188" t="s">
        <v>297</v>
      </c>
      <c r="C155" s="188" t="s">
        <v>486</v>
      </c>
      <c r="D155" s="162" t="s">
        <v>244</v>
      </c>
      <c r="E155" s="536">
        <v>0</v>
      </c>
      <c r="F155" s="536">
        <v>0</v>
      </c>
      <c r="G155" s="161">
        <v>0</v>
      </c>
    </row>
    <row r="156" spans="1:8" s="213" customFormat="1" ht="12.75" customHeight="1">
      <c r="A156" s="214" t="s">
        <v>578</v>
      </c>
      <c r="B156" s="188" t="s">
        <v>297</v>
      </c>
      <c r="C156" s="188" t="s">
        <v>487</v>
      </c>
      <c r="D156" s="113" t="s">
        <v>243</v>
      </c>
      <c r="E156" s="536">
        <v>0</v>
      </c>
      <c r="F156" s="536">
        <v>0</v>
      </c>
      <c r="G156" s="161">
        <v>0</v>
      </c>
    </row>
    <row r="157" spans="1:8" s="213" customFormat="1" ht="12.75" customHeight="1">
      <c r="A157" s="214" t="s">
        <v>578</v>
      </c>
      <c r="B157" s="188" t="s">
        <v>297</v>
      </c>
      <c r="C157" s="188" t="s">
        <v>487</v>
      </c>
      <c r="D157" s="162" t="s">
        <v>244</v>
      </c>
      <c r="E157" s="536">
        <v>0</v>
      </c>
      <c r="F157" s="536">
        <v>0</v>
      </c>
      <c r="G157" s="161">
        <v>0</v>
      </c>
    </row>
    <row r="158" spans="1:8" s="213" customFormat="1" ht="12.75" customHeight="1">
      <c r="A158" s="214" t="s">
        <v>578</v>
      </c>
      <c r="B158" s="188" t="s">
        <v>298</v>
      </c>
      <c r="C158" s="188" t="s">
        <v>486</v>
      </c>
      <c r="D158" s="113" t="s">
        <v>243</v>
      </c>
      <c r="E158" s="536">
        <v>0</v>
      </c>
      <c r="F158" s="536">
        <v>0</v>
      </c>
      <c r="G158" s="161">
        <v>0</v>
      </c>
    </row>
    <row r="159" spans="1:8" s="213" customFormat="1" ht="12.75" customHeight="1">
      <c r="A159" s="214" t="s">
        <v>578</v>
      </c>
      <c r="B159" s="188" t="s">
        <v>298</v>
      </c>
      <c r="C159" s="188" t="s">
        <v>486</v>
      </c>
      <c r="D159" s="162" t="s">
        <v>244</v>
      </c>
      <c r="E159" s="536">
        <v>0</v>
      </c>
      <c r="F159" s="536">
        <v>0</v>
      </c>
      <c r="G159" s="161">
        <v>0</v>
      </c>
    </row>
    <row r="160" spans="1:8" s="155" customFormat="1" ht="12.75" customHeight="1">
      <c r="A160" s="31"/>
      <c r="B160" s="31"/>
      <c r="C160" s="31"/>
      <c r="D160" s="31"/>
      <c r="E160" s="319"/>
      <c r="F160" s="319"/>
      <c r="G160" s="31"/>
      <c r="H160" s="31"/>
    </row>
    <row r="161" spans="1:8" s="155" customFormat="1" ht="12.75" customHeight="1">
      <c r="A161" s="31"/>
      <c r="B161" s="31"/>
      <c r="C161" s="31"/>
      <c r="D161" s="31"/>
      <c r="E161" s="319"/>
      <c r="F161" s="319"/>
      <c r="G161" s="31"/>
      <c r="H161" s="31"/>
    </row>
    <row r="162" spans="1:8" ht="12.75" customHeight="1">
      <c r="B162" s="18" t="str">
        <f ca="1">GetNameRange(B164)</f>
        <v>FIAExp</v>
      </c>
      <c r="C162" s="18"/>
    </row>
    <row r="163" spans="1:8" ht="12.75" customHeight="1">
      <c r="A163" s="74" t="s">
        <v>48</v>
      </c>
      <c r="B163" s="75" t="s">
        <v>47</v>
      </c>
      <c r="C163" s="198"/>
      <c r="D163" s="219" t="str">
        <f>D$4</f>
        <v>Value</v>
      </c>
      <c r="E163" s="2" t="s">
        <v>642</v>
      </c>
      <c r="F163" s="2" t="s">
        <v>643</v>
      </c>
      <c r="G163" s="219" t="str">
        <f t="shared" ref="G163" si="7">G$4</f>
        <v>RILA_1</v>
      </c>
      <c r="H163" s="16"/>
    </row>
    <row r="164" spans="1:8" ht="12.75" customHeight="1" thickBot="1">
      <c r="A164" s="78"/>
      <c r="B164" s="84" t="s">
        <v>29</v>
      </c>
      <c r="C164" s="208"/>
      <c r="D164" s="78"/>
      <c r="E164" s="85"/>
      <c r="F164" s="85"/>
      <c r="G164" s="221"/>
      <c r="H164" s="16"/>
    </row>
    <row r="165" spans="1:8" ht="12.75" customHeight="1">
      <c r="A165" s="32"/>
      <c r="B165" s="19"/>
      <c r="C165" s="25"/>
      <c r="D165" s="15"/>
      <c r="G165" s="222"/>
      <c r="H165" s="16"/>
    </row>
    <row r="166" spans="1:8" ht="12.75" customHeight="1">
      <c r="A166" s="32"/>
      <c r="B166" s="20" t="s">
        <v>120</v>
      </c>
      <c r="C166" s="209"/>
      <c r="D166" s="24"/>
      <c r="G166" s="222"/>
      <c r="H166" s="16"/>
    </row>
    <row r="167" spans="1:8" s="158" customFormat="1" ht="12.75" customHeight="1">
      <c r="A167" s="161"/>
      <c r="B167" s="162" t="s">
        <v>285</v>
      </c>
      <c r="C167" s="189"/>
      <c r="D167" s="160"/>
      <c r="E167" s="515">
        <v>4</v>
      </c>
      <c r="F167" s="515">
        <v>4</v>
      </c>
      <c r="G167" s="163">
        <v>4</v>
      </c>
      <c r="H167" s="159"/>
    </row>
    <row r="168" spans="1:8" s="158" customFormat="1" ht="12.75" customHeight="1">
      <c r="A168" s="163">
        <v>12</v>
      </c>
      <c r="B168" s="162" t="s">
        <v>286</v>
      </c>
      <c r="C168" s="189"/>
      <c r="D168" s="160"/>
      <c r="E168" s="515">
        <v>12</v>
      </c>
      <c r="F168" s="515">
        <v>12</v>
      </c>
      <c r="G168" s="163">
        <v>12</v>
      </c>
      <c r="H168" s="159"/>
    </row>
    <row r="169" spans="1:8" s="158" customFormat="1" ht="12.75" customHeight="1">
      <c r="A169" s="161">
        <v>0</v>
      </c>
      <c r="B169" s="162" t="s">
        <v>287</v>
      </c>
      <c r="C169" s="189"/>
      <c r="D169" s="160"/>
      <c r="E169" s="536" t="s">
        <v>184</v>
      </c>
      <c r="F169" s="536" t="s">
        <v>184</v>
      </c>
      <c r="G169" s="161" t="s">
        <v>184</v>
      </c>
      <c r="H169" s="159"/>
    </row>
    <row r="170" spans="1:8" ht="12.75" customHeight="1">
      <c r="A170" s="31"/>
      <c r="B170" s="21"/>
      <c r="C170" s="28"/>
      <c r="D170" s="28"/>
      <c r="E170" s="319"/>
      <c r="F170" s="319"/>
      <c r="G170" s="190"/>
      <c r="H170" s="16"/>
    </row>
    <row r="171" spans="1:8" ht="12.75" customHeight="1">
      <c r="A171" s="31"/>
      <c r="B171" s="22" t="s">
        <v>121</v>
      </c>
      <c r="C171" s="211"/>
      <c r="D171" s="28"/>
      <c r="E171" s="319"/>
      <c r="F171" s="319"/>
      <c r="G171" s="190"/>
      <c r="H171" s="16"/>
    </row>
    <row r="172" spans="1:8" ht="12.75" customHeight="1">
      <c r="A172" s="44">
        <v>1</v>
      </c>
      <c r="B172" s="80" t="s">
        <v>127</v>
      </c>
      <c r="C172" s="189"/>
      <c r="D172" s="136"/>
      <c r="E172" s="539">
        <v>1</v>
      </c>
      <c r="F172" s="539">
        <v>1</v>
      </c>
      <c r="G172" s="223">
        <v>1</v>
      </c>
      <c r="H172" s="16"/>
    </row>
    <row r="173" spans="1:8" ht="12.75" customHeight="1">
      <c r="A173" s="48" t="s">
        <v>261</v>
      </c>
      <c r="B173" s="80" t="s">
        <v>262</v>
      </c>
      <c r="C173" s="189"/>
      <c r="D173" s="28"/>
      <c r="E173" s="319" t="s">
        <v>261</v>
      </c>
      <c r="F173" s="319" t="s">
        <v>261</v>
      </c>
      <c r="G173" s="190" t="s">
        <v>261</v>
      </c>
      <c r="H173" s="16"/>
    </row>
    <row r="174" spans="1:8" ht="12.75" customHeight="1">
      <c r="A174" s="31"/>
      <c r="B174" s="21"/>
      <c r="C174" s="28"/>
      <c r="D174" s="28"/>
      <c r="E174" s="319"/>
      <c r="F174" s="319"/>
      <c r="G174" s="190"/>
      <c r="H174" s="16"/>
    </row>
    <row r="175" spans="1:8" ht="12.75" customHeight="1">
      <c r="A175" s="31"/>
      <c r="B175" s="22" t="s">
        <v>122</v>
      </c>
      <c r="C175" s="211"/>
      <c r="D175" s="28"/>
      <c r="E175" s="319"/>
      <c r="F175" s="319"/>
      <c r="G175" s="190"/>
      <c r="H175" s="16"/>
    </row>
    <row r="176" spans="1:8" ht="12.75" customHeight="1">
      <c r="A176" s="48">
        <v>1</v>
      </c>
      <c r="B176" s="80" t="s">
        <v>130</v>
      </c>
      <c r="C176" s="189"/>
      <c r="D176" s="136"/>
      <c r="E176" s="536">
        <v>1</v>
      </c>
      <c r="F176" s="536">
        <v>1</v>
      </c>
      <c r="G176" s="215">
        <v>1</v>
      </c>
      <c r="H176" s="16"/>
    </row>
    <row r="177" spans="1:8" ht="12.75" customHeight="1">
      <c r="A177" s="48">
        <v>1</v>
      </c>
      <c r="B177" s="80" t="s">
        <v>131</v>
      </c>
      <c r="C177" s="189"/>
      <c r="D177" s="136"/>
      <c r="E177" s="536">
        <v>1</v>
      </c>
      <c r="F177" s="536">
        <v>1</v>
      </c>
      <c r="G177" s="215">
        <v>1</v>
      </c>
      <c r="H177" s="16"/>
    </row>
    <row r="178" spans="1:8" ht="12.75" customHeight="1">
      <c r="A178" s="31"/>
      <c r="B178" s="21"/>
      <c r="C178" s="28"/>
      <c r="D178" s="28"/>
      <c r="E178" s="319"/>
      <c r="F178" s="319"/>
      <c r="G178" s="190"/>
      <c r="H178" s="16"/>
    </row>
    <row r="179" spans="1:8" ht="12.75" customHeight="1">
      <c r="A179" s="31"/>
      <c r="B179" s="22" t="s">
        <v>123</v>
      </c>
      <c r="C179" s="211"/>
      <c r="D179" s="28"/>
      <c r="E179" s="319"/>
      <c r="F179" s="319"/>
      <c r="G179" s="190"/>
      <c r="H179" s="16"/>
    </row>
    <row r="180" spans="1:8" ht="12.75" customHeight="1">
      <c r="A180" s="51">
        <v>0</v>
      </c>
      <c r="B180" s="80" t="s">
        <v>218</v>
      </c>
      <c r="C180" s="189"/>
      <c r="D180" s="136"/>
      <c r="E180" s="540">
        <v>0</v>
      </c>
      <c r="F180" s="540">
        <v>0</v>
      </c>
      <c r="G180" s="216">
        <v>0</v>
      </c>
      <c r="H180" s="16"/>
    </row>
    <row r="181" spans="1:8" ht="12.75" customHeight="1">
      <c r="A181" s="31"/>
      <c r="B181" s="21"/>
      <c r="C181" s="28"/>
      <c r="D181" s="28"/>
      <c r="E181" s="319"/>
      <c r="F181" s="319"/>
      <c r="G181" s="190"/>
      <c r="H181" s="16"/>
    </row>
    <row r="182" spans="1:8" ht="12.75" customHeight="1">
      <c r="A182" s="31"/>
      <c r="B182" s="22" t="s">
        <v>124</v>
      </c>
      <c r="C182" s="211"/>
      <c r="D182" s="28"/>
      <c r="E182" s="319"/>
      <c r="F182" s="319"/>
      <c r="G182" s="190"/>
      <c r="H182" s="16"/>
    </row>
    <row r="183" spans="1:8" ht="12.75" customHeight="1">
      <c r="A183" s="50">
        <v>0</v>
      </c>
      <c r="B183" s="83" t="s">
        <v>133</v>
      </c>
      <c r="C183" s="207"/>
      <c r="D183" s="23"/>
      <c r="E183" s="50">
        <v>0</v>
      </c>
      <c r="F183" s="50">
        <v>0</v>
      </c>
      <c r="G183" s="224">
        <v>0</v>
      </c>
      <c r="H183" s="16"/>
    </row>
    <row r="184" spans="1:8" ht="12.75" customHeight="1">
      <c r="A184" s="42"/>
    </row>
    <row r="185" spans="1:8" s="164" customFormat="1" ht="12.75" customHeight="1">
      <c r="A185" s="167"/>
      <c r="B185" s="164" t="s">
        <v>583</v>
      </c>
      <c r="E185" s="167"/>
      <c r="F185" s="167"/>
      <c r="G185" s="167"/>
    </row>
    <row r="186" spans="1:8" s="164" customFormat="1" ht="12.75" customHeight="1">
      <c r="A186" s="168" t="s">
        <v>48</v>
      </c>
      <c r="B186" s="169" t="s">
        <v>47</v>
      </c>
      <c r="C186" s="198"/>
      <c r="D186" s="2" t="str">
        <f>D$4</f>
        <v>Value</v>
      </c>
      <c r="E186" s="2" t="s">
        <v>642</v>
      </c>
      <c r="F186" s="2" t="s">
        <v>643</v>
      </c>
      <c r="G186" s="2" t="str">
        <f t="shared" ref="G186" si="8">G$4</f>
        <v>RILA_1</v>
      </c>
    </row>
    <row r="187" spans="1:8" s="164" customFormat="1" ht="12.75" customHeight="1" thickBot="1">
      <c r="A187" s="78"/>
      <c r="B187" s="84" t="s">
        <v>29</v>
      </c>
      <c r="C187" s="208"/>
      <c r="D187" s="78"/>
      <c r="E187" s="85"/>
      <c r="F187" s="85"/>
      <c r="G187" s="221"/>
    </row>
    <row r="188" spans="1:8" s="164" customFormat="1" ht="12.75" customHeight="1">
      <c r="A188" s="319"/>
      <c r="B188" s="22" t="s">
        <v>122</v>
      </c>
      <c r="C188" s="356"/>
      <c r="D188" s="186"/>
      <c r="E188" s="319"/>
      <c r="F188" s="319"/>
      <c r="G188" s="449"/>
    </row>
    <row r="189" spans="1:8" s="164" customFormat="1" ht="12.75" customHeight="1">
      <c r="A189" s="420">
        <v>0.01</v>
      </c>
      <c r="B189" s="162" t="s">
        <v>581</v>
      </c>
      <c r="C189" s="322"/>
      <c r="D189" s="320"/>
      <c r="E189" s="420">
        <v>0.01</v>
      </c>
      <c r="F189" s="420">
        <v>0.01</v>
      </c>
      <c r="G189" s="420">
        <v>0.01</v>
      </c>
    </row>
    <row r="190" spans="1:8" s="164" customFormat="1" ht="12.75" customHeight="1">
      <c r="A190" s="167"/>
      <c r="E190" s="167"/>
      <c r="F190" s="167"/>
      <c r="G190" s="167"/>
    </row>
    <row r="191" spans="1:8" s="164" customFormat="1" ht="12.75" customHeight="1">
      <c r="A191" s="319"/>
      <c r="B191" s="22" t="s">
        <v>123</v>
      </c>
      <c r="C191" s="356"/>
      <c r="D191" s="186"/>
      <c r="E191" s="319"/>
      <c r="F191" s="319"/>
      <c r="G191" s="319"/>
    </row>
    <row r="192" spans="1:8" s="164" customFormat="1" ht="12.75" customHeight="1">
      <c r="A192" s="420">
        <v>2.5000000000000001E-3</v>
      </c>
      <c r="B192" s="162" t="s">
        <v>582</v>
      </c>
      <c r="C192" s="322"/>
      <c r="D192" s="320"/>
      <c r="E192" s="420">
        <v>2.5000000000000001E-3</v>
      </c>
      <c r="F192" s="420">
        <v>2.5000000000000001E-3</v>
      </c>
      <c r="G192" s="420">
        <v>2.5000000000000001E-3</v>
      </c>
    </row>
    <row r="193" spans="1:7" ht="12.75" customHeight="1">
      <c r="A193" s="42"/>
    </row>
    <row r="194" spans="1:7" s="164" customFormat="1" ht="12.75" customHeight="1">
      <c r="A194" s="167"/>
      <c r="B194" s="33" t="str">
        <f ca="1">GetNameRange(B195)</f>
        <v>comm_chargeback_pct_aig</v>
      </c>
      <c r="C194" s="33"/>
      <c r="E194" s="167"/>
      <c r="F194" s="167"/>
      <c r="G194" s="167"/>
    </row>
    <row r="195" spans="1:7" ht="12.75" customHeight="1">
      <c r="A195" s="168" t="s">
        <v>48</v>
      </c>
      <c r="B195" s="169" t="s">
        <v>47</v>
      </c>
      <c r="C195" s="198"/>
      <c r="D195" s="219" t="str">
        <f>D$4</f>
        <v>Value</v>
      </c>
      <c r="E195" s="2" t="s">
        <v>642</v>
      </c>
      <c r="F195" s="2" t="s">
        <v>643</v>
      </c>
      <c r="G195" s="219" t="str">
        <f t="shared" ref="G195" si="9">G$4</f>
        <v>RILA_1</v>
      </c>
    </row>
    <row r="196" spans="1:7" ht="12.75" customHeight="1">
      <c r="A196" s="166"/>
      <c r="B196" s="171" t="s">
        <v>288</v>
      </c>
      <c r="C196" s="103"/>
      <c r="D196" s="175"/>
      <c r="G196" s="225"/>
    </row>
    <row r="197" spans="1:7" ht="12.75" customHeight="1">
      <c r="A197" s="176">
        <v>0</v>
      </c>
      <c r="B197" s="172">
        <v>1</v>
      </c>
      <c r="C197" s="112"/>
      <c r="D197" s="174"/>
      <c r="E197" s="420">
        <v>1</v>
      </c>
      <c r="F197" s="420">
        <v>1</v>
      </c>
      <c r="G197" s="493">
        <v>1</v>
      </c>
    </row>
    <row r="198" spans="1:7" ht="12.75" customHeight="1">
      <c r="A198" s="176">
        <v>0</v>
      </c>
      <c r="B198" s="172">
        <v>2</v>
      </c>
      <c r="C198" s="112"/>
      <c r="D198" s="174"/>
      <c r="E198" s="420">
        <v>1</v>
      </c>
      <c r="F198" s="420">
        <v>1</v>
      </c>
      <c r="G198" s="493">
        <v>1</v>
      </c>
    </row>
    <row r="199" spans="1:7" ht="12.75" customHeight="1">
      <c r="A199" s="176">
        <v>0</v>
      </c>
      <c r="B199" s="172">
        <v>3</v>
      </c>
      <c r="C199" s="112"/>
      <c r="D199" s="174"/>
      <c r="E199" s="420">
        <v>1</v>
      </c>
      <c r="F199" s="420">
        <v>1</v>
      </c>
      <c r="G199" s="493">
        <v>1</v>
      </c>
    </row>
    <row r="200" spans="1:7" ht="12.75" customHeight="1">
      <c r="A200" s="176">
        <v>0</v>
      </c>
      <c r="B200" s="172">
        <v>4</v>
      </c>
      <c r="C200" s="112"/>
      <c r="D200" s="174"/>
      <c r="E200" s="420">
        <v>1</v>
      </c>
      <c r="F200" s="420">
        <v>1</v>
      </c>
      <c r="G200" s="493">
        <v>1</v>
      </c>
    </row>
    <row r="201" spans="1:7" ht="12.75" customHeight="1">
      <c r="A201" s="176">
        <v>0</v>
      </c>
      <c r="B201" s="172">
        <v>5</v>
      </c>
      <c r="C201" s="112"/>
      <c r="D201" s="174"/>
      <c r="E201" s="420">
        <v>1</v>
      </c>
      <c r="F201" s="420">
        <v>1</v>
      </c>
      <c r="G201" s="493">
        <v>1</v>
      </c>
    </row>
    <row r="202" spans="1:7" ht="12.75" customHeight="1">
      <c r="A202" s="176">
        <v>0</v>
      </c>
      <c r="B202" s="172">
        <v>6</v>
      </c>
      <c r="C202" s="112"/>
      <c r="D202" s="174"/>
      <c r="E202" s="420">
        <v>1</v>
      </c>
      <c r="F202" s="420">
        <v>1</v>
      </c>
      <c r="G202" s="493">
        <v>1</v>
      </c>
    </row>
    <row r="203" spans="1:7" ht="12.75" customHeight="1">
      <c r="A203" s="176">
        <v>0</v>
      </c>
      <c r="B203" s="172">
        <v>7</v>
      </c>
      <c r="C203" s="112"/>
      <c r="D203" s="174"/>
      <c r="E203" s="420">
        <v>0.5</v>
      </c>
      <c r="F203" s="420">
        <v>0.5</v>
      </c>
      <c r="G203" s="493">
        <v>0.5</v>
      </c>
    </row>
    <row r="204" spans="1:7" ht="12.75" customHeight="1">
      <c r="A204" s="176">
        <v>0</v>
      </c>
      <c r="B204" s="172">
        <v>8</v>
      </c>
      <c r="C204" s="112"/>
      <c r="D204" s="174"/>
      <c r="E204" s="420">
        <v>0.5</v>
      </c>
      <c r="F204" s="420">
        <v>0.5</v>
      </c>
      <c r="G204" s="493">
        <v>0.5</v>
      </c>
    </row>
    <row r="205" spans="1:7" ht="12.75" customHeight="1">
      <c r="A205" s="176">
        <v>0</v>
      </c>
      <c r="B205" s="172">
        <v>9</v>
      </c>
      <c r="C205" s="112"/>
      <c r="D205" s="174"/>
      <c r="E205" s="420">
        <v>0.5</v>
      </c>
      <c r="F205" s="420">
        <v>0.5</v>
      </c>
      <c r="G205" s="493">
        <v>0.5</v>
      </c>
    </row>
    <row r="206" spans="1:7" ht="12.75" customHeight="1">
      <c r="A206" s="176">
        <v>0</v>
      </c>
      <c r="B206" s="172">
        <v>10</v>
      </c>
      <c r="C206" s="112"/>
      <c r="D206" s="174"/>
      <c r="E206" s="420">
        <v>0.5</v>
      </c>
      <c r="F206" s="420">
        <v>0.5</v>
      </c>
      <c r="G206" s="493">
        <v>0.5</v>
      </c>
    </row>
    <row r="207" spans="1:7" ht="12.75" customHeight="1">
      <c r="A207" s="176">
        <v>0</v>
      </c>
      <c r="B207" s="172">
        <v>11</v>
      </c>
      <c r="C207" s="112"/>
      <c r="D207" s="173"/>
      <c r="E207" s="420">
        <v>0.5</v>
      </c>
      <c r="F207" s="420">
        <v>0.5</v>
      </c>
      <c r="G207" s="493">
        <v>0.5</v>
      </c>
    </row>
    <row r="208" spans="1:7" ht="12.75" customHeight="1">
      <c r="A208" s="176">
        <v>0</v>
      </c>
      <c r="B208" s="172">
        <v>12</v>
      </c>
      <c r="C208" s="112"/>
      <c r="D208" s="174"/>
      <c r="E208" s="420">
        <v>0.5</v>
      </c>
      <c r="F208" s="420">
        <v>0.5</v>
      </c>
      <c r="G208" s="493">
        <v>0.5</v>
      </c>
    </row>
    <row r="209" spans="1:7" ht="12.75" customHeight="1">
      <c r="A209" s="176">
        <v>0</v>
      </c>
      <c r="B209" s="172">
        <v>13</v>
      </c>
      <c r="C209" s="112"/>
      <c r="D209" s="174"/>
      <c r="E209" s="420">
        <v>0</v>
      </c>
      <c r="F209" s="420">
        <v>0</v>
      </c>
      <c r="G209" s="493">
        <v>0</v>
      </c>
    </row>
    <row r="210" spans="1:7" ht="12.75" customHeight="1">
      <c r="A210" s="176">
        <v>0</v>
      </c>
      <c r="B210" s="172">
        <v>14</v>
      </c>
      <c r="C210" s="112"/>
      <c r="D210" s="174"/>
      <c r="E210" s="420">
        <v>0</v>
      </c>
      <c r="F210" s="420">
        <v>0</v>
      </c>
      <c r="G210" s="493">
        <v>0</v>
      </c>
    </row>
    <row r="211" spans="1:7" ht="12.75" customHeight="1">
      <c r="A211" s="176">
        <v>0</v>
      </c>
      <c r="B211" s="172">
        <v>15</v>
      </c>
      <c r="C211" s="112"/>
      <c r="D211" s="174"/>
      <c r="E211" s="420">
        <v>0</v>
      </c>
      <c r="F211" s="420">
        <v>0</v>
      </c>
      <c r="G211" s="493">
        <v>0</v>
      </c>
    </row>
    <row r="212" spans="1:7" ht="12.75" customHeight="1">
      <c r="A212" s="176">
        <v>0</v>
      </c>
      <c r="B212" s="172">
        <v>16</v>
      </c>
      <c r="C212" s="112"/>
      <c r="D212" s="174"/>
      <c r="E212" s="420">
        <v>0</v>
      </c>
      <c r="F212" s="420">
        <v>0</v>
      </c>
      <c r="G212" s="493">
        <v>0</v>
      </c>
    </row>
    <row r="213" spans="1:7" ht="12.75" customHeight="1">
      <c r="A213" s="176">
        <v>0</v>
      </c>
      <c r="B213" s="172">
        <v>17</v>
      </c>
      <c r="C213" s="112"/>
      <c r="D213" s="174"/>
      <c r="E213" s="420">
        <v>0</v>
      </c>
      <c r="F213" s="420">
        <v>0</v>
      </c>
      <c r="G213" s="493">
        <v>0</v>
      </c>
    </row>
    <row r="214" spans="1:7" ht="12.75" customHeight="1">
      <c r="A214" s="176">
        <v>0</v>
      </c>
      <c r="B214" s="172">
        <v>18</v>
      </c>
      <c r="C214" s="112"/>
      <c r="D214" s="174"/>
      <c r="E214" s="420">
        <v>0</v>
      </c>
      <c r="F214" s="420">
        <v>0</v>
      </c>
      <c r="G214" s="493">
        <v>0</v>
      </c>
    </row>
    <row r="215" spans="1:7" ht="12.75" customHeight="1">
      <c r="A215" s="176">
        <v>0</v>
      </c>
      <c r="B215" s="172">
        <v>19</v>
      </c>
      <c r="C215" s="112"/>
      <c r="D215" s="174"/>
      <c r="E215" s="420">
        <v>0</v>
      </c>
      <c r="F215" s="420">
        <v>0</v>
      </c>
      <c r="G215" s="493">
        <v>0</v>
      </c>
    </row>
    <row r="216" spans="1:7" ht="12.75" customHeight="1">
      <c r="A216" s="176">
        <v>0</v>
      </c>
      <c r="B216" s="172">
        <v>20</v>
      </c>
      <c r="C216" s="112"/>
      <c r="D216" s="174"/>
      <c r="E216" s="420">
        <v>0</v>
      </c>
      <c r="F216" s="420">
        <v>0</v>
      </c>
      <c r="G216" s="493">
        <v>0</v>
      </c>
    </row>
    <row r="217" spans="1:7" ht="12.75" customHeight="1">
      <c r="A217" s="176">
        <v>0</v>
      </c>
      <c r="B217" s="172">
        <v>21</v>
      </c>
      <c r="C217" s="112"/>
      <c r="D217" s="174"/>
      <c r="E217" s="420">
        <v>0</v>
      </c>
      <c r="F217" s="420">
        <v>0</v>
      </c>
      <c r="G217" s="493">
        <v>0</v>
      </c>
    </row>
    <row r="218" spans="1:7" ht="12.75" customHeight="1">
      <c r="A218" s="176">
        <v>0</v>
      </c>
      <c r="B218" s="172">
        <v>22</v>
      </c>
      <c r="C218" s="112"/>
      <c r="D218" s="173"/>
      <c r="E218" s="420">
        <v>0</v>
      </c>
      <c r="F218" s="420">
        <v>0</v>
      </c>
      <c r="G218" s="493">
        <v>0</v>
      </c>
    </row>
    <row r="219" spans="1:7" ht="12.75" customHeight="1">
      <c r="A219" s="176">
        <v>0</v>
      </c>
      <c r="B219" s="172">
        <v>23</v>
      </c>
      <c r="C219" s="112"/>
      <c r="D219" s="174"/>
      <c r="E219" s="420">
        <v>0</v>
      </c>
      <c r="F219" s="420">
        <v>0</v>
      </c>
      <c r="G219" s="493">
        <v>0</v>
      </c>
    </row>
    <row r="220" spans="1:7" ht="12.75" customHeight="1">
      <c r="A220" s="176">
        <v>0</v>
      </c>
      <c r="B220" s="172">
        <v>24</v>
      </c>
      <c r="C220" s="112"/>
      <c r="D220" s="173"/>
      <c r="E220" s="420">
        <v>0</v>
      </c>
      <c r="F220" s="420">
        <v>0</v>
      </c>
      <c r="G220" s="493">
        <v>0</v>
      </c>
    </row>
    <row r="221" spans="1:7" ht="12.75" customHeight="1">
      <c r="A221" s="42"/>
    </row>
    <row r="222" spans="1:7" ht="12.75" customHeight="1">
      <c r="A222" s="42"/>
      <c r="B222" s="33" t="str">
        <f ca="1">GetNameRange(B223)</f>
        <v>maint_exp_pct_fund_2_aig</v>
      </c>
    </row>
    <row r="223" spans="1:7" ht="12.75" customHeight="1">
      <c r="A223" s="168" t="s">
        <v>48</v>
      </c>
      <c r="B223" s="169" t="s">
        <v>47</v>
      </c>
      <c r="C223" s="198"/>
      <c r="D223" s="2" t="s">
        <v>49</v>
      </c>
      <c r="E223" s="2" t="s">
        <v>642</v>
      </c>
      <c r="F223" s="2" t="s">
        <v>643</v>
      </c>
      <c r="G223" s="219" t="str">
        <f t="shared" ref="G223" si="10">G$4</f>
        <v>RILA_1</v>
      </c>
    </row>
    <row r="224" spans="1:7" ht="12.75" customHeight="1">
      <c r="A224" s="167"/>
      <c r="B224" s="171" t="s">
        <v>288</v>
      </c>
      <c r="C224" s="435"/>
      <c r="D224" s="446"/>
      <c r="G224" s="222"/>
    </row>
    <row r="225" spans="1:7" ht="12.75" customHeight="1">
      <c r="A225" s="420">
        <v>0</v>
      </c>
      <c r="B225" s="94">
        <v>1</v>
      </c>
      <c r="C225" s="447"/>
      <c r="D225" s="23"/>
      <c r="E225" s="554">
        <v>3.0999999999999999E-3</v>
      </c>
      <c r="F225" s="554">
        <v>3.0999999999999999E-3</v>
      </c>
      <c r="G225" s="555">
        <v>3.7000000000000002E-3</v>
      </c>
    </row>
    <row r="226" spans="1:7" ht="12.75" customHeight="1">
      <c r="A226" s="42"/>
    </row>
  </sheetData>
  <conditionalFormatting sqref="A183 D183 D172 A167:A169 D167:D169 A176:A177 D176:D177 A172:A173">
    <cfRule type="cellIs" dxfId="978" priority="11758" operator="equal">
      <formula>""</formula>
    </cfRule>
  </conditionalFormatting>
  <conditionalFormatting sqref="A183 D183 D172 A167:A169 A176:A177 A172:A173">
    <cfRule type="cellIs" dxfId="977" priority="11792" operator="notEqual">
      <formula>$A167</formula>
    </cfRule>
  </conditionalFormatting>
  <conditionalFormatting sqref="A180">
    <cfRule type="cellIs" dxfId="976" priority="11671" operator="notEqual">
      <formula>$A180</formula>
    </cfRule>
  </conditionalFormatting>
  <conditionalFormatting sqref="A189 D189">
    <cfRule type="cellIs" dxfId="975" priority="1492" operator="equal">
      <formula>""</formula>
    </cfRule>
  </conditionalFormatting>
  <conditionalFormatting sqref="A189">
    <cfRule type="cellIs" dxfId="974" priority="1493" operator="notEqual">
      <formula>$A189</formula>
    </cfRule>
  </conditionalFormatting>
  <conditionalFormatting sqref="A192 D192">
    <cfRule type="cellIs" dxfId="973" priority="1489" operator="equal">
      <formula>""</formula>
    </cfRule>
  </conditionalFormatting>
  <conditionalFormatting sqref="A192">
    <cfRule type="cellIs" dxfId="972" priority="1490" operator="notEqual">
      <formula>$A192</formula>
    </cfRule>
  </conditionalFormatting>
  <conditionalFormatting sqref="G173 G167:G169 G160:G161">
    <cfRule type="cellIs" dxfId="971" priority="1413" operator="notEqual">
      <formula>$A160</formula>
    </cfRule>
  </conditionalFormatting>
  <conditionalFormatting sqref="G183 G172">
    <cfRule type="cellIs" dxfId="970" priority="1411" operator="notEqual">
      <formula>$A172</formula>
    </cfRule>
  </conditionalFormatting>
  <conditionalFormatting sqref="G176:G177">
    <cfRule type="cellIs" dxfId="969" priority="1410" operator="notEqual">
      <formula>$A176</formula>
    </cfRule>
  </conditionalFormatting>
  <conditionalFormatting sqref="G180">
    <cfRule type="cellIs" dxfId="968" priority="1409" operator="notEqual">
      <formula>$A180</formula>
    </cfRule>
  </conditionalFormatting>
  <conditionalFormatting sqref="G152:G161">
    <cfRule type="cellIs" dxfId="967" priority="1402" operator="notEqual">
      <formula>#REF!</formula>
    </cfRule>
  </conditionalFormatting>
  <conditionalFormatting sqref="G154">
    <cfRule type="cellIs" dxfId="966" priority="977" operator="notEqual">
      <formula>#REF!</formula>
    </cfRule>
  </conditionalFormatting>
  <conditionalFormatting sqref="G154">
    <cfRule type="cellIs" dxfId="965" priority="978" operator="notEqual">
      <formula>#REF!</formula>
    </cfRule>
  </conditionalFormatting>
  <conditionalFormatting sqref="G154">
    <cfRule type="cellIs" dxfId="964" priority="975" operator="notEqual">
      <formula>#REF!</formula>
    </cfRule>
  </conditionalFormatting>
  <conditionalFormatting sqref="G154">
    <cfRule type="cellIs" dxfId="963" priority="976" operator="notEqual">
      <formula>#REF!</formula>
    </cfRule>
  </conditionalFormatting>
  <conditionalFormatting sqref="G189">
    <cfRule type="cellIs" dxfId="962" priority="968" operator="notEqual">
      <formula>$A189</formula>
    </cfRule>
  </conditionalFormatting>
  <conditionalFormatting sqref="G192">
    <cfRule type="cellIs" dxfId="961" priority="967" operator="notEqual">
      <formula>$A192</formula>
    </cfRule>
  </conditionalFormatting>
  <conditionalFormatting sqref="G77:G94 G105 G107:G124">
    <cfRule type="cellIs" dxfId="960" priority="306" operator="notEqual">
      <formula>$A77</formula>
    </cfRule>
  </conditionalFormatting>
  <conditionalFormatting sqref="G80:G81">
    <cfRule type="cellIs" dxfId="959" priority="304" operator="notEqual">
      <formula>#REF!</formula>
    </cfRule>
  </conditionalFormatting>
  <conditionalFormatting sqref="G80:G81">
    <cfRule type="cellIs" dxfId="958" priority="305" operator="notEqual">
      <formula>#REF!</formula>
    </cfRule>
  </conditionalFormatting>
  <conditionalFormatting sqref="G81">
    <cfRule type="cellIs" dxfId="957" priority="302" operator="notEqual">
      <formula>#REF!</formula>
    </cfRule>
  </conditionalFormatting>
  <conditionalFormatting sqref="G81">
    <cfRule type="cellIs" dxfId="956" priority="303" operator="notEqual">
      <formula>#REF!</formula>
    </cfRule>
  </conditionalFormatting>
  <conditionalFormatting sqref="G80">
    <cfRule type="cellIs" dxfId="955" priority="300" operator="notEqual">
      <formula>#REF!</formula>
    </cfRule>
  </conditionalFormatting>
  <conditionalFormatting sqref="G80">
    <cfRule type="cellIs" dxfId="954" priority="301" operator="notEqual">
      <formula>#REF!</formula>
    </cfRule>
  </conditionalFormatting>
  <conditionalFormatting sqref="G78">
    <cfRule type="cellIs" dxfId="953" priority="299" operator="notEqual">
      <formula>#REF!</formula>
    </cfRule>
  </conditionalFormatting>
  <conditionalFormatting sqref="G80:G81">
    <cfRule type="cellIs" dxfId="952" priority="297" operator="notEqual">
      <formula>#REF!</formula>
    </cfRule>
  </conditionalFormatting>
  <conditionalFormatting sqref="G80:G81">
    <cfRule type="cellIs" dxfId="951" priority="298" operator="notEqual">
      <formula>#REF!</formula>
    </cfRule>
  </conditionalFormatting>
  <conditionalFormatting sqref="G81">
    <cfRule type="cellIs" dxfId="950" priority="295" operator="notEqual">
      <formula>#REF!</formula>
    </cfRule>
  </conditionalFormatting>
  <conditionalFormatting sqref="G81">
    <cfRule type="cellIs" dxfId="949" priority="296" operator="notEqual">
      <formula>#REF!</formula>
    </cfRule>
  </conditionalFormatting>
  <conditionalFormatting sqref="G80">
    <cfRule type="cellIs" dxfId="948" priority="293" operator="notEqual">
      <formula>#REF!</formula>
    </cfRule>
  </conditionalFormatting>
  <conditionalFormatting sqref="G80">
    <cfRule type="cellIs" dxfId="947" priority="294" operator="notEqual">
      <formula>#REF!</formula>
    </cfRule>
  </conditionalFormatting>
  <conditionalFormatting sqref="G102 G95">
    <cfRule type="cellIs" dxfId="946" priority="290" operator="notEqual">
      <formula>#REF!</formula>
    </cfRule>
  </conditionalFormatting>
  <conditionalFormatting sqref="G95">
    <cfRule type="cellIs" dxfId="945" priority="291" operator="notEqual">
      <formula>#REF!</formula>
    </cfRule>
  </conditionalFormatting>
  <conditionalFormatting sqref="G103:G104">
    <cfRule type="cellIs" dxfId="944" priority="292" operator="notEqual">
      <formula>#REF!</formula>
    </cfRule>
  </conditionalFormatting>
  <conditionalFormatting sqref="G105">
    <cfRule type="cellIs" dxfId="943" priority="287" operator="notEqual">
      <formula>#REF!</formula>
    </cfRule>
  </conditionalFormatting>
  <conditionalFormatting sqref="G95">
    <cfRule type="cellIs" dxfId="942" priority="288" operator="notEqual">
      <formula>#REF!</formula>
    </cfRule>
  </conditionalFormatting>
  <conditionalFormatting sqref="G103:G104">
    <cfRule type="cellIs" dxfId="941" priority="289" operator="notEqual">
      <formula>#REF!</formula>
    </cfRule>
  </conditionalFormatting>
  <conditionalFormatting sqref="G79">
    <cfRule type="cellIs" dxfId="940" priority="286" operator="notEqual">
      <formula>#REF!</formula>
    </cfRule>
  </conditionalFormatting>
  <conditionalFormatting sqref="G99:G101">
    <cfRule type="cellIs" dxfId="939" priority="284" operator="notEqual">
      <formula>#REF!</formula>
    </cfRule>
  </conditionalFormatting>
  <conditionalFormatting sqref="G99:G101">
    <cfRule type="cellIs" dxfId="938" priority="285" operator="notEqual">
      <formula>#REF!</formula>
    </cfRule>
  </conditionalFormatting>
  <conditionalFormatting sqref="G96:G97">
    <cfRule type="cellIs" dxfId="937" priority="283" operator="notEqual">
      <formula>$A1048144</formula>
    </cfRule>
  </conditionalFormatting>
  <conditionalFormatting sqref="G96:G97">
    <cfRule type="cellIs" dxfId="936" priority="282" operator="notEqual">
      <formula>#REF!</formula>
    </cfRule>
  </conditionalFormatting>
  <conditionalFormatting sqref="G98">
    <cfRule type="cellIs" dxfId="935" priority="281" operator="notEqual">
      <formula>$A1048145</formula>
    </cfRule>
  </conditionalFormatting>
  <conditionalFormatting sqref="G98">
    <cfRule type="cellIs" dxfId="934" priority="280" operator="notEqual">
      <formula>#REF!</formula>
    </cfRule>
  </conditionalFormatting>
  <conditionalFormatting sqref="G144 G146:G151">
    <cfRule type="cellIs" dxfId="933" priority="227" operator="notEqual">
      <formula>#REF!</formula>
    </cfRule>
  </conditionalFormatting>
  <conditionalFormatting sqref="G146">
    <cfRule type="cellIs" dxfId="932" priority="225" operator="notEqual">
      <formula>#REF!</formula>
    </cfRule>
  </conditionalFormatting>
  <conditionalFormatting sqref="G146">
    <cfRule type="cellIs" dxfId="931" priority="226" operator="notEqual">
      <formula>#REF!</formula>
    </cfRule>
  </conditionalFormatting>
  <conditionalFormatting sqref="G146">
    <cfRule type="cellIs" dxfId="930" priority="223" operator="notEqual">
      <formula>#REF!</formula>
    </cfRule>
  </conditionalFormatting>
  <conditionalFormatting sqref="G146">
    <cfRule type="cellIs" dxfId="929" priority="224" operator="notEqual">
      <formula>#REF!</formula>
    </cfRule>
  </conditionalFormatting>
  <conditionalFormatting sqref="G144">
    <cfRule type="cellIs" dxfId="928" priority="222" operator="notEqual">
      <formula>#REF!</formula>
    </cfRule>
  </conditionalFormatting>
  <conditionalFormatting sqref="G145">
    <cfRule type="cellIs" dxfId="927" priority="221" operator="notEqual">
      <formula>#REF!</formula>
    </cfRule>
  </conditionalFormatting>
  <conditionalFormatting sqref="E172 E183 E176:E177 E167:E169">
    <cfRule type="cellIs" dxfId="926" priority="206" operator="equal">
      <formula>""</formula>
    </cfRule>
  </conditionalFormatting>
  <conditionalFormatting sqref="E77:F84 E90:F94">
    <cfRule type="cellIs" dxfId="925" priority="207" operator="notEqual">
      <formula>$A79</formula>
    </cfRule>
  </conditionalFormatting>
  <conditionalFormatting sqref="E180 E160:F161 E172:F173 E183:F183 E167:F169 E176:E177">
    <cfRule type="cellIs" dxfId="924" priority="205" operator="notEqual">
      <formula>$A185</formula>
    </cfRule>
  </conditionalFormatting>
  <conditionalFormatting sqref="F176:F177">
    <cfRule type="cellIs" dxfId="923" priority="204" operator="notEqual">
      <formula>$A201</formula>
    </cfRule>
  </conditionalFormatting>
  <conditionalFormatting sqref="F180">
    <cfRule type="cellIs" dxfId="922" priority="203" operator="notEqual">
      <formula>$A205</formula>
    </cfRule>
  </conditionalFormatting>
  <conditionalFormatting sqref="E144:F144 E146:F161">
    <cfRule type="cellIs" dxfId="921" priority="202" operator="notEqual">
      <formula>#REF!</formula>
    </cfRule>
  </conditionalFormatting>
  <conditionalFormatting sqref="E80:F80">
    <cfRule type="cellIs" dxfId="920" priority="201" operator="notEqual">
      <formula>#REF!</formula>
    </cfRule>
  </conditionalFormatting>
  <conditionalFormatting sqref="E81:F81">
    <cfRule type="cellIs" dxfId="919" priority="200" operator="notEqual">
      <formula>#REF!</formula>
    </cfRule>
  </conditionalFormatting>
  <conditionalFormatting sqref="E80:F80">
    <cfRule type="cellIs" dxfId="918" priority="199" operator="notEqual">
      <formula>#REF!</formula>
    </cfRule>
  </conditionalFormatting>
  <conditionalFormatting sqref="E78:F78">
    <cfRule type="cellIs" dxfId="917" priority="198" operator="notEqual">
      <formula>#REF!</formula>
    </cfRule>
  </conditionalFormatting>
  <conditionalFormatting sqref="E80:F81">
    <cfRule type="cellIs" dxfId="916" priority="196" operator="notEqual">
      <formula>#REF!</formula>
    </cfRule>
  </conditionalFormatting>
  <conditionalFormatting sqref="E80:F81">
    <cfRule type="cellIs" dxfId="915" priority="197" operator="notEqual">
      <formula>#REF!</formula>
    </cfRule>
  </conditionalFormatting>
  <conditionalFormatting sqref="E81:F81">
    <cfRule type="cellIs" dxfId="914" priority="194" operator="notEqual">
      <formula>#REF!</formula>
    </cfRule>
  </conditionalFormatting>
  <conditionalFormatting sqref="E81:F81">
    <cfRule type="cellIs" dxfId="913" priority="195" operator="notEqual">
      <formula>#REF!</formula>
    </cfRule>
  </conditionalFormatting>
  <conditionalFormatting sqref="E80:F80">
    <cfRule type="cellIs" dxfId="912" priority="192" operator="notEqual">
      <formula>#REF!</formula>
    </cfRule>
  </conditionalFormatting>
  <conditionalFormatting sqref="E80:F80">
    <cfRule type="cellIs" dxfId="911" priority="193" operator="notEqual">
      <formula>#REF!</formula>
    </cfRule>
  </conditionalFormatting>
  <conditionalFormatting sqref="E103:F104">
    <cfRule type="cellIs" dxfId="910" priority="190" operator="notEqual">
      <formula>#REF!</formula>
    </cfRule>
  </conditionalFormatting>
  <conditionalFormatting sqref="F104">
    <cfRule type="cellIs" dxfId="909" priority="191" operator="notEqual">
      <formula>#REF!</formula>
    </cfRule>
  </conditionalFormatting>
  <conditionalFormatting sqref="E189:F189">
    <cfRule type="cellIs" dxfId="908" priority="162" operator="notEqual">
      <formula>$A214</formula>
    </cfRule>
  </conditionalFormatting>
  <conditionalFormatting sqref="E192:F192">
    <cfRule type="cellIs" dxfId="907" priority="161" operator="notEqual">
      <formula>$A217</formula>
    </cfRule>
  </conditionalFormatting>
  <conditionalFormatting sqref="E88:F89">
    <cfRule type="cellIs" dxfId="906" priority="20069" operator="notEqual">
      <formula>$A92</formula>
    </cfRule>
  </conditionalFormatting>
  <conditionalFormatting sqref="E85:F87">
    <cfRule type="cellIs" dxfId="905" priority="20088" operator="notEqual">
      <formula>$A90</formula>
    </cfRule>
  </conditionalFormatting>
  <conditionalFormatting sqref="E105:F105">
    <cfRule type="cellIs" dxfId="904" priority="20089" operator="notEqual">
      <formula>$A138</formula>
    </cfRule>
  </conditionalFormatting>
  <conditionalFormatting sqref="G110:G111">
    <cfRule type="cellIs" dxfId="903" priority="156" operator="notEqual">
      <formula>#REF!</formula>
    </cfRule>
  </conditionalFormatting>
  <conditionalFormatting sqref="G110:G111">
    <cfRule type="cellIs" dxfId="902" priority="157" operator="notEqual">
      <formula>#REF!</formula>
    </cfRule>
  </conditionalFormatting>
  <conditionalFormatting sqref="G111">
    <cfRule type="cellIs" dxfId="901" priority="154" operator="notEqual">
      <formula>#REF!</formula>
    </cfRule>
  </conditionalFormatting>
  <conditionalFormatting sqref="G111">
    <cfRule type="cellIs" dxfId="900" priority="155" operator="notEqual">
      <formula>#REF!</formula>
    </cfRule>
  </conditionalFormatting>
  <conditionalFormatting sqref="G110">
    <cfRule type="cellIs" dxfId="899" priority="152" operator="notEqual">
      <formula>#REF!</formula>
    </cfRule>
  </conditionalFormatting>
  <conditionalFormatting sqref="G110">
    <cfRule type="cellIs" dxfId="898" priority="153" operator="notEqual">
      <formula>#REF!</formula>
    </cfRule>
  </conditionalFormatting>
  <conditionalFormatting sqref="G108">
    <cfRule type="cellIs" dxfId="897" priority="151" operator="notEqual">
      <formula>#REF!</formula>
    </cfRule>
  </conditionalFormatting>
  <conditionalFormatting sqref="G110:G111">
    <cfRule type="cellIs" dxfId="896" priority="149" operator="notEqual">
      <formula>#REF!</formula>
    </cfRule>
  </conditionalFormatting>
  <conditionalFormatting sqref="G110:G111">
    <cfRule type="cellIs" dxfId="895" priority="150" operator="notEqual">
      <formula>#REF!</formula>
    </cfRule>
  </conditionalFormatting>
  <conditionalFormatting sqref="G111">
    <cfRule type="cellIs" dxfId="894" priority="147" operator="notEqual">
      <formula>#REF!</formula>
    </cfRule>
  </conditionalFormatting>
  <conditionalFormatting sqref="G111">
    <cfRule type="cellIs" dxfId="893" priority="148" operator="notEqual">
      <formula>#REF!</formula>
    </cfRule>
  </conditionalFormatting>
  <conditionalFormatting sqref="G110">
    <cfRule type="cellIs" dxfId="892" priority="145" operator="notEqual">
      <formula>#REF!</formula>
    </cfRule>
  </conditionalFormatting>
  <conditionalFormatting sqref="G110">
    <cfRule type="cellIs" dxfId="891" priority="146" operator="notEqual">
      <formula>#REF!</formula>
    </cfRule>
  </conditionalFormatting>
  <conditionalFormatting sqref="G125">
    <cfRule type="cellIs" dxfId="890" priority="142" operator="notEqual">
      <formula>#REF!</formula>
    </cfRule>
  </conditionalFormatting>
  <conditionalFormatting sqref="G125">
    <cfRule type="cellIs" dxfId="889" priority="143" operator="notEqual">
      <formula>#REF!</formula>
    </cfRule>
  </conditionalFormatting>
  <conditionalFormatting sqref="G125">
    <cfRule type="cellIs" dxfId="888" priority="140" operator="notEqual">
      <formula>#REF!</formula>
    </cfRule>
  </conditionalFormatting>
  <conditionalFormatting sqref="G109">
    <cfRule type="cellIs" dxfId="887" priority="139" operator="notEqual">
      <formula>#REF!</formula>
    </cfRule>
  </conditionalFormatting>
  <conditionalFormatting sqref="G129">
    <cfRule type="cellIs" dxfId="886" priority="137" operator="notEqual">
      <formula>#REF!</formula>
    </cfRule>
  </conditionalFormatting>
  <conditionalFormatting sqref="G129">
    <cfRule type="cellIs" dxfId="885" priority="138" operator="notEqual">
      <formula>#REF!</formula>
    </cfRule>
  </conditionalFormatting>
  <conditionalFormatting sqref="G126:G127">
    <cfRule type="cellIs" dxfId="884" priority="136" operator="notEqual">
      <formula>$A1048170</formula>
    </cfRule>
  </conditionalFormatting>
  <conditionalFormatting sqref="G126:G127">
    <cfRule type="cellIs" dxfId="883" priority="135" operator="notEqual">
      <formula>#REF!</formula>
    </cfRule>
  </conditionalFormatting>
  <conditionalFormatting sqref="G128">
    <cfRule type="cellIs" dxfId="882" priority="134" operator="notEqual">
      <formula>$A1048171</formula>
    </cfRule>
  </conditionalFormatting>
  <conditionalFormatting sqref="G128">
    <cfRule type="cellIs" dxfId="881" priority="133" operator="notEqual">
      <formula>#REF!</formula>
    </cfRule>
  </conditionalFormatting>
  <conditionalFormatting sqref="E107:F114 E120:F124">
    <cfRule type="cellIs" dxfId="880" priority="132" operator="notEqual">
      <formula>$A109</formula>
    </cfRule>
  </conditionalFormatting>
  <conditionalFormatting sqref="E110:F110">
    <cfRule type="cellIs" dxfId="879" priority="131" operator="notEqual">
      <formula>#REF!</formula>
    </cfRule>
  </conditionalFormatting>
  <conditionalFormatting sqref="E111:F111">
    <cfRule type="cellIs" dxfId="878" priority="130" operator="notEqual">
      <formula>#REF!</formula>
    </cfRule>
  </conditionalFormatting>
  <conditionalFormatting sqref="E110:F110">
    <cfRule type="cellIs" dxfId="877" priority="129" operator="notEqual">
      <formula>#REF!</formula>
    </cfRule>
  </conditionalFormatting>
  <conditionalFormatting sqref="E108:F108">
    <cfRule type="cellIs" dxfId="876" priority="128" operator="notEqual">
      <formula>#REF!</formula>
    </cfRule>
  </conditionalFormatting>
  <conditionalFormatting sqref="E110:F111">
    <cfRule type="cellIs" dxfId="875" priority="126" operator="notEqual">
      <formula>#REF!</formula>
    </cfRule>
  </conditionalFormatting>
  <conditionalFormatting sqref="E110:F111">
    <cfRule type="cellIs" dxfId="874" priority="127" operator="notEqual">
      <formula>#REF!</formula>
    </cfRule>
  </conditionalFormatting>
  <conditionalFormatting sqref="E111:F111">
    <cfRule type="cellIs" dxfId="873" priority="124" operator="notEqual">
      <formula>#REF!</formula>
    </cfRule>
  </conditionalFormatting>
  <conditionalFormatting sqref="E111:F111">
    <cfRule type="cellIs" dxfId="872" priority="125" operator="notEqual">
      <formula>#REF!</formula>
    </cfRule>
  </conditionalFormatting>
  <conditionalFormatting sqref="E110:F110">
    <cfRule type="cellIs" dxfId="871" priority="122" operator="notEqual">
      <formula>#REF!</formula>
    </cfRule>
  </conditionalFormatting>
  <conditionalFormatting sqref="E110:F110">
    <cfRule type="cellIs" dxfId="870" priority="123" operator="notEqual">
      <formula>#REF!</formula>
    </cfRule>
  </conditionalFormatting>
  <conditionalFormatting sqref="E118:F119">
    <cfRule type="cellIs" dxfId="869" priority="158" operator="notEqual">
      <formula>$A122</formula>
    </cfRule>
  </conditionalFormatting>
  <conditionalFormatting sqref="E115:F117">
    <cfRule type="cellIs" dxfId="868" priority="159" operator="notEqual">
      <formula>$A120</formula>
    </cfRule>
  </conditionalFormatting>
  <conditionalFormatting sqref="G135">
    <cfRule type="cellIs" dxfId="867" priority="119" operator="notEqual">
      <formula>$A135</formula>
    </cfRule>
  </conditionalFormatting>
  <conditionalFormatting sqref="G132">
    <cfRule type="cellIs" dxfId="866" priority="117" operator="notEqual">
      <formula>#REF!</formula>
    </cfRule>
  </conditionalFormatting>
  <conditionalFormatting sqref="G133:G134">
    <cfRule type="cellIs" dxfId="865" priority="118" operator="notEqual">
      <formula>#REF!</formula>
    </cfRule>
  </conditionalFormatting>
  <conditionalFormatting sqref="G135">
    <cfRule type="cellIs" dxfId="864" priority="115" operator="notEqual">
      <formula>#REF!</formula>
    </cfRule>
  </conditionalFormatting>
  <conditionalFormatting sqref="G133:G134">
    <cfRule type="cellIs" dxfId="863" priority="116" operator="notEqual">
      <formula>#REF!</formula>
    </cfRule>
  </conditionalFormatting>
  <conditionalFormatting sqref="F134">
    <cfRule type="cellIs" dxfId="862" priority="109" operator="notEqual">
      <formula>#REF!</formula>
    </cfRule>
  </conditionalFormatting>
  <conditionalFormatting sqref="E133:F133">
    <cfRule type="cellIs" dxfId="861" priority="111" operator="notEqual">
      <formula>#REF!</formula>
    </cfRule>
  </conditionalFormatting>
  <conditionalFormatting sqref="E134:F134">
    <cfRule type="cellIs" dxfId="860" priority="108" operator="notEqual">
      <formula>#REF!</formula>
    </cfRule>
  </conditionalFormatting>
  <conditionalFormatting sqref="E133:F134">
    <cfRule type="cellIs" dxfId="859" priority="112" operator="notEqual">
      <formula>#REF!</formula>
    </cfRule>
  </conditionalFormatting>
  <conditionalFormatting sqref="F134">
    <cfRule type="cellIs" dxfId="858" priority="113" operator="notEqual">
      <formula>#REF!</formula>
    </cfRule>
  </conditionalFormatting>
  <conditionalFormatting sqref="F132">
    <cfRule type="cellIs" dxfId="857" priority="107" operator="notEqual">
      <formula>#REF!</formula>
    </cfRule>
  </conditionalFormatting>
  <conditionalFormatting sqref="F132">
    <cfRule type="cellIs" dxfId="856" priority="106" operator="notEqual">
      <formula>#REF!</formula>
    </cfRule>
  </conditionalFormatting>
  <conditionalFormatting sqref="F132">
    <cfRule type="cellIs" dxfId="855" priority="105" operator="notEqual">
      <formula>#REF!</formula>
    </cfRule>
  </conditionalFormatting>
  <conditionalFormatting sqref="E132">
    <cfRule type="cellIs" dxfId="854" priority="103" operator="notEqual">
      <formula>#REF!</formula>
    </cfRule>
  </conditionalFormatting>
  <conditionalFormatting sqref="E132">
    <cfRule type="cellIs" dxfId="853" priority="104" operator="notEqual">
      <formula>#REF!</formula>
    </cfRule>
  </conditionalFormatting>
  <conditionalFormatting sqref="G130:G131">
    <cfRule type="cellIs" dxfId="852" priority="101" operator="notEqual">
      <formula>#REF!</formula>
    </cfRule>
  </conditionalFormatting>
  <conditionalFormatting sqref="G130:G131">
    <cfRule type="cellIs" dxfId="851" priority="102" operator="notEqual">
      <formula>#REF!</formula>
    </cfRule>
  </conditionalFormatting>
  <conditionalFormatting sqref="E135:F135">
    <cfRule type="cellIs" dxfId="850" priority="100" operator="notEqual">
      <formula>$A137</formula>
    </cfRule>
  </conditionalFormatting>
  <conditionalFormatting sqref="E135:F135">
    <cfRule type="cellIs" dxfId="849" priority="99" operator="notEqual">
      <formula>#REF!</formula>
    </cfRule>
  </conditionalFormatting>
  <conditionalFormatting sqref="G17:G34 G45 G47:G64">
    <cfRule type="cellIs" dxfId="848" priority="95" operator="notEqual">
      <formula>$A17</formula>
    </cfRule>
  </conditionalFormatting>
  <conditionalFormatting sqref="G20:G21">
    <cfRule type="cellIs" dxfId="847" priority="93" operator="notEqual">
      <formula>#REF!</formula>
    </cfRule>
  </conditionalFormatting>
  <conditionalFormatting sqref="G20:G21">
    <cfRule type="cellIs" dxfId="846" priority="94" operator="notEqual">
      <formula>#REF!</formula>
    </cfRule>
  </conditionalFormatting>
  <conditionalFormatting sqref="G21">
    <cfRule type="cellIs" dxfId="845" priority="91" operator="notEqual">
      <formula>#REF!</formula>
    </cfRule>
  </conditionalFormatting>
  <conditionalFormatting sqref="G21">
    <cfRule type="cellIs" dxfId="844" priority="92" operator="notEqual">
      <formula>#REF!</formula>
    </cfRule>
  </conditionalFormatting>
  <conditionalFormatting sqref="G20">
    <cfRule type="cellIs" dxfId="843" priority="89" operator="notEqual">
      <formula>#REF!</formula>
    </cfRule>
  </conditionalFormatting>
  <conditionalFormatting sqref="G20">
    <cfRule type="cellIs" dxfId="842" priority="90" operator="notEqual">
      <formula>#REF!</formula>
    </cfRule>
  </conditionalFormatting>
  <conditionalFormatting sqref="G18">
    <cfRule type="cellIs" dxfId="841" priority="88" operator="notEqual">
      <formula>#REF!</formula>
    </cfRule>
  </conditionalFormatting>
  <conditionalFormatting sqref="G20:G21">
    <cfRule type="cellIs" dxfId="840" priority="86" operator="notEqual">
      <formula>#REF!</formula>
    </cfRule>
  </conditionalFormatting>
  <conditionalFormatting sqref="G20:G21">
    <cfRule type="cellIs" dxfId="839" priority="87" operator="notEqual">
      <formula>#REF!</formula>
    </cfRule>
  </conditionalFormatting>
  <conditionalFormatting sqref="G21">
    <cfRule type="cellIs" dxfId="838" priority="84" operator="notEqual">
      <formula>#REF!</formula>
    </cfRule>
  </conditionalFormatting>
  <conditionalFormatting sqref="G21">
    <cfRule type="cellIs" dxfId="837" priority="85" operator="notEqual">
      <formula>#REF!</formula>
    </cfRule>
  </conditionalFormatting>
  <conditionalFormatting sqref="G20">
    <cfRule type="cellIs" dxfId="836" priority="82" operator="notEqual">
      <formula>#REF!</formula>
    </cfRule>
  </conditionalFormatting>
  <conditionalFormatting sqref="G20">
    <cfRule type="cellIs" dxfId="835" priority="83" operator="notEqual">
      <formula>#REF!</formula>
    </cfRule>
  </conditionalFormatting>
  <conditionalFormatting sqref="G42 G35">
    <cfRule type="cellIs" dxfId="834" priority="79" operator="notEqual">
      <formula>#REF!</formula>
    </cfRule>
  </conditionalFormatting>
  <conditionalFormatting sqref="G35">
    <cfRule type="cellIs" dxfId="833" priority="80" operator="notEqual">
      <formula>#REF!</formula>
    </cfRule>
  </conditionalFormatting>
  <conditionalFormatting sqref="G43:G44">
    <cfRule type="cellIs" dxfId="832" priority="81" operator="notEqual">
      <formula>#REF!</formula>
    </cfRule>
  </conditionalFormatting>
  <conditionalFormatting sqref="G45">
    <cfRule type="cellIs" dxfId="831" priority="76" operator="notEqual">
      <formula>#REF!</formula>
    </cfRule>
  </conditionalFormatting>
  <conditionalFormatting sqref="G35">
    <cfRule type="cellIs" dxfId="830" priority="77" operator="notEqual">
      <formula>#REF!</formula>
    </cfRule>
  </conditionalFormatting>
  <conditionalFormatting sqref="G43:G44">
    <cfRule type="cellIs" dxfId="829" priority="78" operator="notEqual">
      <formula>#REF!</formula>
    </cfRule>
  </conditionalFormatting>
  <conditionalFormatting sqref="G19">
    <cfRule type="cellIs" dxfId="828" priority="75" operator="notEqual">
      <formula>#REF!</formula>
    </cfRule>
  </conditionalFormatting>
  <conditionalFormatting sqref="G39:G41">
    <cfRule type="cellIs" dxfId="827" priority="73" operator="notEqual">
      <formula>#REF!</formula>
    </cfRule>
  </conditionalFormatting>
  <conditionalFormatting sqref="G39:G41">
    <cfRule type="cellIs" dxfId="826" priority="74" operator="notEqual">
      <formula>#REF!</formula>
    </cfRule>
  </conditionalFormatting>
  <conditionalFormatting sqref="G36:G37">
    <cfRule type="cellIs" dxfId="825" priority="72" operator="notEqual">
      <formula>$A1048083</formula>
    </cfRule>
  </conditionalFormatting>
  <conditionalFormatting sqref="G36:G37">
    <cfRule type="cellIs" dxfId="824" priority="71" operator="notEqual">
      <formula>#REF!</formula>
    </cfRule>
  </conditionalFormatting>
  <conditionalFormatting sqref="G38">
    <cfRule type="cellIs" dxfId="823" priority="70" operator="notEqual">
      <formula>$A1048084</formula>
    </cfRule>
  </conditionalFormatting>
  <conditionalFormatting sqref="G38">
    <cfRule type="cellIs" dxfId="822" priority="69" operator="notEqual">
      <formula>#REF!</formula>
    </cfRule>
  </conditionalFormatting>
  <conditionalFormatting sqref="E17:F24 E30:F34">
    <cfRule type="cellIs" dxfId="821" priority="68" operator="notEqual">
      <formula>$A19</formula>
    </cfRule>
  </conditionalFormatting>
  <conditionalFormatting sqref="E20:F20">
    <cfRule type="cellIs" dxfId="820" priority="67" operator="notEqual">
      <formula>#REF!</formula>
    </cfRule>
  </conditionalFormatting>
  <conditionalFormatting sqref="E21:F21">
    <cfRule type="cellIs" dxfId="819" priority="66" operator="notEqual">
      <formula>#REF!</formula>
    </cfRule>
  </conditionalFormatting>
  <conditionalFormatting sqref="E20:F20">
    <cfRule type="cellIs" dxfId="818" priority="65" operator="notEqual">
      <formula>#REF!</formula>
    </cfRule>
  </conditionalFormatting>
  <conditionalFormatting sqref="E18:F18">
    <cfRule type="cellIs" dxfId="817" priority="64" operator="notEqual">
      <formula>#REF!</formula>
    </cfRule>
  </conditionalFormatting>
  <conditionalFormatting sqref="E20:F21">
    <cfRule type="cellIs" dxfId="816" priority="62" operator="notEqual">
      <formula>#REF!</formula>
    </cfRule>
  </conditionalFormatting>
  <conditionalFormatting sqref="E20:F21">
    <cfRule type="cellIs" dxfId="815" priority="63" operator="notEqual">
      <formula>#REF!</formula>
    </cfRule>
  </conditionalFormatting>
  <conditionalFormatting sqref="E21:F21">
    <cfRule type="cellIs" dxfId="814" priority="60" operator="notEqual">
      <formula>#REF!</formula>
    </cfRule>
  </conditionalFormatting>
  <conditionalFormatting sqref="E21:F21">
    <cfRule type="cellIs" dxfId="813" priority="61" operator="notEqual">
      <formula>#REF!</formula>
    </cfRule>
  </conditionalFormatting>
  <conditionalFormatting sqref="E20:F20">
    <cfRule type="cellIs" dxfId="812" priority="58" operator="notEqual">
      <formula>#REF!</formula>
    </cfRule>
  </conditionalFormatting>
  <conditionalFormatting sqref="E20:F20">
    <cfRule type="cellIs" dxfId="811" priority="59" operator="notEqual">
      <formula>#REF!</formula>
    </cfRule>
  </conditionalFormatting>
  <conditionalFormatting sqref="E43:F44">
    <cfRule type="cellIs" dxfId="810" priority="56" operator="notEqual">
      <formula>#REF!</formula>
    </cfRule>
  </conditionalFormatting>
  <conditionalFormatting sqref="F44">
    <cfRule type="cellIs" dxfId="809" priority="57" operator="notEqual">
      <formula>#REF!</formula>
    </cfRule>
  </conditionalFormatting>
  <conditionalFormatting sqref="E28:F29">
    <cfRule type="cellIs" dxfId="808" priority="96" operator="notEqual">
      <formula>$A32</formula>
    </cfRule>
  </conditionalFormatting>
  <conditionalFormatting sqref="E25:F27">
    <cfRule type="cellIs" dxfId="807" priority="97" operator="notEqual">
      <formula>$A30</formula>
    </cfRule>
  </conditionalFormatting>
  <conditionalFormatting sqref="E45:F45">
    <cfRule type="cellIs" dxfId="806" priority="98" operator="notEqual">
      <formula>$A77</formula>
    </cfRule>
  </conditionalFormatting>
  <conditionalFormatting sqref="G50:G51">
    <cfRule type="cellIs" dxfId="805" priority="52" operator="notEqual">
      <formula>#REF!</formula>
    </cfRule>
  </conditionalFormatting>
  <conditionalFormatting sqref="G50:G51">
    <cfRule type="cellIs" dxfId="804" priority="53" operator="notEqual">
      <formula>#REF!</formula>
    </cfRule>
  </conditionalFormatting>
  <conditionalFormatting sqref="G51">
    <cfRule type="cellIs" dxfId="803" priority="50" operator="notEqual">
      <formula>#REF!</formula>
    </cfRule>
  </conditionalFormatting>
  <conditionalFormatting sqref="G51">
    <cfRule type="cellIs" dxfId="802" priority="51" operator="notEqual">
      <formula>#REF!</formula>
    </cfRule>
  </conditionalFormatting>
  <conditionalFormatting sqref="G50">
    <cfRule type="cellIs" dxfId="801" priority="48" operator="notEqual">
      <formula>#REF!</formula>
    </cfRule>
  </conditionalFormatting>
  <conditionalFormatting sqref="G50">
    <cfRule type="cellIs" dxfId="800" priority="49" operator="notEqual">
      <formula>#REF!</formula>
    </cfRule>
  </conditionalFormatting>
  <conditionalFormatting sqref="G48">
    <cfRule type="cellIs" dxfId="799" priority="47" operator="notEqual">
      <formula>#REF!</formula>
    </cfRule>
  </conditionalFormatting>
  <conditionalFormatting sqref="G50:G51">
    <cfRule type="cellIs" dxfId="798" priority="45" operator="notEqual">
      <formula>#REF!</formula>
    </cfRule>
  </conditionalFormatting>
  <conditionalFormatting sqref="G50:G51">
    <cfRule type="cellIs" dxfId="797" priority="46" operator="notEqual">
      <formula>#REF!</formula>
    </cfRule>
  </conditionalFormatting>
  <conditionalFormatting sqref="G51">
    <cfRule type="cellIs" dxfId="796" priority="43" operator="notEqual">
      <formula>#REF!</formula>
    </cfRule>
  </conditionalFormatting>
  <conditionalFormatting sqref="G51">
    <cfRule type="cellIs" dxfId="795" priority="44" operator="notEqual">
      <formula>#REF!</formula>
    </cfRule>
  </conditionalFormatting>
  <conditionalFormatting sqref="G50">
    <cfRule type="cellIs" dxfId="794" priority="41" operator="notEqual">
      <formula>#REF!</formula>
    </cfRule>
  </conditionalFormatting>
  <conditionalFormatting sqref="G50">
    <cfRule type="cellIs" dxfId="793" priority="42" operator="notEqual">
      <formula>#REF!</formula>
    </cfRule>
  </conditionalFormatting>
  <conditionalFormatting sqref="G65">
    <cfRule type="cellIs" dxfId="792" priority="39" operator="notEqual">
      <formula>#REF!</formula>
    </cfRule>
  </conditionalFormatting>
  <conditionalFormatting sqref="G65">
    <cfRule type="cellIs" dxfId="791" priority="40" operator="notEqual">
      <formula>#REF!</formula>
    </cfRule>
  </conditionalFormatting>
  <conditionalFormatting sqref="G65">
    <cfRule type="cellIs" dxfId="790" priority="38" operator="notEqual">
      <formula>#REF!</formula>
    </cfRule>
  </conditionalFormatting>
  <conditionalFormatting sqref="G49">
    <cfRule type="cellIs" dxfId="789" priority="37" operator="notEqual">
      <formula>#REF!</formula>
    </cfRule>
  </conditionalFormatting>
  <conditionalFormatting sqref="G69">
    <cfRule type="cellIs" dxfId="788" priority="35" operator="notEqual">
      <formula>#REF!</formula>
    </cfRule>
  </conditionalFormatting>
  <conditionalFormatting sqref="G69">
    <cfRule type="cellIs" dxfId="787" priority="36" operator="notEqual">
      <formula>#REF!</formula>
    </cfRule>
  </conditionalFormatting>
  <conditionalFormatting sqref="G66:G67">
    <cfRule type="cellIs" dxfId="786" priority="34" operator="notEqual">
      <formula>$A1048109</formula>
    </cfRule>
  </conditionalFormatting>
  <conditionalFormatting sqref="G66:G67">
    <cfRule type="cellIs" dxfId="785" priority="33" operator="notEqual">
      <formula>#REF!</formula>
    </cfRule>
  </conditionalFormatting>
  <conditionalFormatting sqref="G68">
    <cfRule type="cellIs" dxfId="784" priority="32" operator="notEqual">
      <formula>$A1048110</formula>
    </cfRule>
  </conditionalFormatting>
  <conditionalFormatting sqref="G68">
    <cfRule type="cellIs" dxfId="783" priority="31" operator="notEqual">
      <formula>#REF!</formula>
    </cfRule>
  </conditionalFormatting>
  <conditionalFormatting sqref="E47:F54 E60:F64">
    <cfRule type="cellIs" dxfId="782" priority="30" operator="notEqual">
      <formula>$A49</formula>
    </cfRule>
  </conditionalFormatting>
  <conditionalFormatting sqref="E50:F50">
    <cfRule type="cellIs" dxfId="781" priority="29" operator="notEqual">
      <formula>#REF!</formula>
    </cfRule>
  </conditionalFormatting>
  <conditionalFormatting sqref="E51:F51">
    <cfRule type="cellIs" dxfId="780" priority="28" operator="notEqual">
      <formula>#REF!</formula>
    </cfRule>
  </conditionalFormatting>
  <conditionalFormatting sqref="E50:F50">
    <cfRule type="cellIs" dxfId="779" priority="27" operator="notEqual">
      <formula>#REF!</formula>
    </cfRule>
  </conditionalFormatting>
  <conditionalFormatting sqref="E48:F48">
    <cfRule type="cellIs" dxfId="778" priority="26" operator="notEqual">
      <formula>#REF!</formula>
    </cfRule>
  </conditionalFormatting>
  <conditionalFormatting sqref="E50:F51">
    <cfRule type="cellIs" dxfId="777" priority="24" operator="notEqual">
      <formula>#REF!</formula>
    </cfRule>
  </conditionalFormatting>
  <conditionalFormatting sqref="E50:F51">
    <cfRule type="cellIs" dxfId="776" priority="25" operator="notEqual">
      <formula>#REF!</formula>
    </cfRule>
  </conditionalFormatting>
  <conditionalFormatting sqref="E51:F51">
    <cfRule type="cellIs" dxfId="775" priority="22" operator="notEqual">
      <formula>#REF!</formula>
    </cfRule>
  </conditionalFormatting>
  <conditionalFormatting sqref="E51:F51">
    <cfRule type="cellIs" dxfId="774" priority="23" operator="notEqual">
      <formula>#REF!</formula>
    </cfRule>
  </conditionalFormatting>
  <conditionalFormatting sqref="E50:F50">
    <cfRule type="cellIs" dxfId="773" priority="20" operator="notEqual">
      <formula>#REF!</formula>
    </cfRule>
  </conditionalFormatting>
  <conditionalFormatting sqref="E50:F50">
    <cfRule type="cellIs" dxfId="772" priority="21" operator="notEqual">
      <formula>#REF!</formula>
    </cfRule>
  </conditionalFormatting>
  <conditionalFormatting sqref="E58:F59">
    <cfRule type="cellIs" dxfId="771" priority="54" operator="notEqual">
      <formula>$A62</formula>
    </cfRule>
  </conditionalFormatting>
  <conditionalFormatting sqref="E55:F57">
    <cfRule type="cellIs" dxfId="770" priority="55" operator="notEqual">
      <formula>$A60</formula>
    </cfRule>
  </conditionalFormatting>
  <conditionalFormatting sqref="G75">
    <cfRule type="cellIs" dxfId="769" priority="19" operator="notEqual">
      <formula>$A75</formula>
    </cfRule>
  </conditionalFormatting>
  <conditionalFormatting sqref="G72">
    <cfRule type="cellIs" dxfId="768" priority="17" operator="notEqual">
      <formula>#REF!</formula>
    </cfRule>
  </conditionalFormatting>
  <conditionalFormatting sqref="G73:G74">
    <cfRule type="cellIs" dxfId="767" priority="18" operator="notEqual">
      <formula>#REF!</formula>
    </cfRule>
  </conditionalFormatting>
  <conditionalFormatting sqref="G75">
    <cfRule type="cellIs" dxfId="766" priority="15" operator="notEqual">
      <formula>#REF!</formula>
    </cfRule>
  </conditionalFormatting>
  <conditionalFormatting sqref="G73:G74">
    <cfRule type="cellIs" dxfId="765" priority="16" operator="notEqual">
      <formula>#REF!</formula>
    </cfRule>
  </conditionalFormatting>
  <conditionalFormatting sqref="F74">
    <cfRule type="cellIs" dxfId="764" priority="11" operator="notEqual">
      <formula>#REF!</formula>
    </cfRule>
  </conditionalFormatting>
  <conditionalFormatting sqref="E73:F73">
    <cfRule type="cellIs" dxfId="763" priority="12" operator="notEqual">
      <formula>#REF!</formula>
    </cfRule>
  </conditionalFormatting>
  <conditionalFormatting sqref="E74:F74">
    <cfRule type="cellIs" dxfId="762" priority="10" operator="notEqual">
      <formula>#REF!</formula>
    </cfRule>
  </conditionalFormatting>
  <conditionalFormatting sqref="E73:F74">
    <cfRule type="cellIs" dxfId="761" priority="13" operator="notEqual">
      <formula>#REF!</formula>
    </cfRule>
  </conditionalFormatting>
  <conditionalFormatting sqref="F74">
    <cfRule type="cellIs" dxfId="760" priority="14" operator="notEqual">
      <formula>#REF!</formula>
    </cfRule>
  </conditionalFormatting>
  <conditionalFormatting sqref="F72">
    <cfRule type="cellIs" dxfId="759" priority="9" operator="notEqual">
      <formula>#REF!</formula>
    </cfRule>
  </conditionalFormatting>
  <conditionalFormatting sqref="F72">
    <cfRule type="cellIs" dxfId="758" priority="8" operator="notEqual">
      <formula>#REF!</formula>
    </cfRule>
  </conditionalFormatting>
  <conditionalFormatting sqref="F72">
    <cfRule type="cellIs" dxfId="757" priority="7" operator="notEqual">
      <formula>#REF!</formula>
    </cfRule>
  </conditionalFormatting>
  <conditionalFormatting sqref="E72">
    <cfRule type="cellIs" dxfId="756" priority="5" operator="notEqual">
      <formula>#REF!</formula>
    </cfRule>
  </conditionalFormatting>
  <conditionalFormatting sqref="E72">
    <cfRule type="cellIs" dxfId="755" priority="6" operator="notEqual">
      <formula>#REF!</formula>
    </cfRule>
  </conditionalFormatting>
  <conditionalFormatting sqref="G70:G71">
    <cfRule type="cellIs" dxfId="754" priority="3" operator="notEqual">
      <formula>#REF!</formula>
    </cfRule>
  </conditionalFormatting>
  <conditionalFormatting sqref="G70:G71">
    <cfRule type="cellIs" dxfId="753" priority="4" operator="notEqual">
      <formula>#REF!</formula>
    </cfRule>
  </conditionalFormatting>
  <conditionalFormatting sqref="E75:F75">
    <cfRule type="cellIs" dxfId="752" priority="1" operator="notEqual">
      <formula>#REF!</formula>
    </cfRule>
  </conditionalFormatting>
  <conditionalFormatting sqref="E75:F75">
    <cfRule type="cellIs" dxfId="751" priority="20090" operator="notEqual">
      <formula>#REF!</formula>
    </cfRule>
  </conditionalFormatting>
  <dataValidations count="2">
    <dataValidation type="list" allowBlank="1" showInputMessage="1" showErrorMessage="1" sqref="E95:G95 E125:G125 E35:G35 E65:G65" xr:uid="{00000000-0002-0000-0700-000000000000}">
      <formula1>"Scenario File, Constant"</formula1>
    </dataValidation>
    <dataValidation type="list" allowBlank="1" showInputMessage="1" showErrorMessage="1" sqref="E173:G173" xr:uid="{00000000-0002-0000-0700-000001000000}">
      <formula1>"Issue Date, Constant"</formula1>
    </dataValidation>
  </dataValidations>
  <hyperlinks>
    <hyperlink ref="A1" location="'Table of Contents'!A1" display="Go to TOC" xr:uid="{00000000-0004-0000-0700-000000000000}"/>
  </hyperlinks>
  <pageMargins left="0.7" right="0.7" top="0.75" bottom="0.75" header="0.3" footer="0.3"/>
  <pageSetup orientation="portrait" horizontalDpi="4294967294" verticalDpi="144" r:id="rId1"/>
  <customProperties>
    <customPr name="EpmWorksheetKeyString_GUID" r:id="rId2"/>
  </customPropertie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2"/>
  <dimension ref="A1:K566"/>
  <sheetViews>
    <sheetView showGridLines="0" zoomScale="85" zoomScaleNormal="85" workbookViewId="0">
      <pane xSplit="3" ySplit="5" topLeftCell="D549" activePane="bottomRight" state="frozen"/>
      <selection activeCell="R14" sqref="R14"/>
      <selection pane="topRight" activeCell="R14" sqref="R14"/>
      <selection pane="bottomLeft" activeCell="R14" sqref="R14"/>
      <selection pane="bottomRight" activeCell="C569" sqref="C569"/>
    </sheetView>
  </sheetViews>
  <sheetFormatPr defaultColWidth="15.54296875" defaultRowHeight="12.75" customHeight="1" outlineLevelCol="1"/>
  <cols>
    <col min="1" max="1" width="11.81640625" style="164" customWidth="1"/>
    <col min="2" max="2" width="36.54296875" style="164" customWidth="1"/>
    <col min="3" max="3" width="25.453125" style="167" customWidth="1"/>
    <col min="4" max="4" width="14.453125" style="164" customWidth="1" outlineLevel="1"/>
    <col min="5" max="6" width="15.54296875" style="164" customWidth="1" outlineLevel="1"/>
    <col min="7" max="16384" width="15.54296875" style="164"/>
  </cols>
  <sheetData>
    <row r="1" spans="1:8" ht="15.5">
      <c r="A1" s="29" t="s">
        <v>161</v>
      </c>
      <c r="B1" s="17" t="s">
        <v>143</v>
      </c>
      <c r="C1" s="14"/>
    </row>
    <row r="2" spans="1:8" ht="12.75" customHeight="1">
      <c r="B2" s="14"/>
    </row>
    <row r="3" spans="1:8" s="150" customFormat="1" ht="12.75" customHeight="1">
      <c r="A3" s="155"/>
      <c r="B3" s="149" t="str" cm="1">
        <f t="array" aca="1" ref="B3" ca="1">GetNameRange(A5)</f>
        <v>decrement_set_aig</v>
      </c>
      <c r="C3" s="167"/>
      <c r="D3" s="155"/>
      <c r="G3" s="510" t="s">
        <v>625</v>
      </c>
    </row>
    <row r="4" spans="1:8" s="155" customFormat="1" ht="12.75" customHeight="1">
      <c r="A4" s="169"/>
      <c r="B4" s="169"/>
      <c r="C4" s="119" t="s">
        <v>47</v>
      </c>
      <c r="D4" s="192" t="str">
        <f>Product!D$4</f>
        <v>Value</v>
      </c>
      <c r="E4" s="219" t="str">
        <f>Product!E4</f>
        <v>PI5P</v>
      </c>
      <c r="F4" s="219" t="str">
        <f>Product!F4</f>
        <v>P5P</v>
      </c>
      <c r="G4" s="219" t="str">
        <f>Product!G$4</f>
        <v>RILA_1</v>
      </c>
    </row>
    <row r="5" spans="1:8" s="155" customFormat="1" ht="12.75" customHeight="1" thickBot="1">
      <c r="A5" s="194" t="s">
        <v>737</v>
      </c>
      <c r="B5" s="194" t="s">
        <v>311</v>
      </c>
      <c r="C5" s="85" t="s">
        <v>29</v>
      </c>
      <c r="D5" s="78"/>
      <c r="E5" s="221"/>
      <c r="F5" s="221"/>
      <c r="G5" s="221"/>
    </row>
    <row r="6" spans="1:8" s="155" customFormat="1" ht="12.65" customHeight="1">
      <c r="A6" s="69"/>
      <c r="B6" s="69"/>
      <c r="C6" s="166"/>
      <c r="D6" s="165"/>
      <c r="E6" s="222"/>
      <c r="F6" s="222"/>
      <c r="G6" s="222"/>
      <c r="H6" s="213"/>
    </row>
    <row r="7" spans="1:8" ht="12.75" customHeight="1">
      <c r="A7" s="217">
        <v>0</v>
      </c>
      <c r="B7" s="214" t="s">
        <v>794</v>
      </c>
      <c r="C7" s="368" t="s">
        <v>245</v>
      </c>
      <c r="D7" s="34"/>
      <c r="E7" s="462">
        <v>43008</v>
      </c>
      <c r="F7" s="462">
        <v>43008</v>
      </c>
      <c r="G7" s="588">
        <v>43465</v>
      </c>
      <c r="H7" s="508"/>
    </row>
    <row r="8" spans="1:8" ht="12.75" customHeight="1">
      <c r="A8" s="217">
        <v>0</v>
      </c>
      <c r="B8" s="214" t="s">
        <v>794</v>
      </c>
      <c r="C8" s="368" t="s">
        <v>359</v>
      </c>
      <c r="D8" s="34"/>
      <c r="E8" s="589" t="s">
        <v>647</v>
      </c>
      <c r="F8" s="589" t="s">
        <v>647</v>
      </c>
      <c r="G8" s="588" t="s">
        <v>619</v>
      </c>
    </row>
    <row r="9" spans="1:8" s="155" customFormat="1" ht="12.75" customHeight="1">
      <c r="A9" s="217">
        <v>0</v>
      </c>
      <c r="B9" s="214" t="s">
        <v>794</v>
      </c>
      <c r="C9" s="172" t="s">
        <v>178</v>
      </c>
      <c r="D9" s="165"/>
      <c r="E9" s="590" t="s">
        <v>407</v>
      </c>
      <c r="F9" s="590" t="s">
        <v>407</v>
      </c>
      <c r="G9" s="588" t="s">
        <v>619</v>
      </c>
      <c r="H9" s="213"/>
    </row>
    <row r="10" spans="1:8" s="155" customFormat="1" ht="12.75" customHeight="1">
      <c r="A10" s="217">
        <v>0</v>
      </c>
      <c r="B10" s="214" t="s">
        <v>794</v>
      </c>
      <c r="C10" s="172" t="s">
        <v>181</v>
      </c>
      <c r="D10" s="165"/>
      <c r="E10" s="590" t="s">
        <v>407</v>
      </c>
      <c r="F10" s="590" t="s">
        <v>407</v>
      </c>
      <c r="G10" s="588" t="s">
        <v>619</v>
      </c>
      <c r="H10" s="213"/>
    </row>
    <row r="11" spans="1:8" s="155" customFormat="1" ht="12.75" customHeight="1">
      <c r="A11" s="217">
        <v>0</v>
      </c>
      <c r="B11" s="214" t="s">
        <v>794</v>
      </c>
      <c r="C11" s="368" t="s">
        <v>322</v>
      </c>
      <c r="D11" s="165"/>
      <c r="E11" s="319" t="s">
        <v>324</v>
      </c>
      <c r="F11" s="319" t="s">
        <v>324</v>
      </c>
      <c r="G11" s="591" t="s">
        <v>617</v>
      </c>
      <c r="H11" s="213"/>
    </row>
    <row r="12" spans="1:8" s="155" customFormat="1" ht="12.75" customHeight="1">
      <c r="A12" s="217">
        <v>0</v>
      </c>
      <c r="B12" s="214" t="s">
        <v>794</v>
      </c>
      <c r="C12" s="368" t="s">
        <v>385</v>
      </c>
      <c r="D12" s="165"/>
      <c r="E12" s="517">
        <v>0.96</v>
      </c>
      <c r="F12" s="517">
        <v>0.96</v>
      </c>
      <c r="G12" s="592">
        <v>0.98</v>
      </c>
      <c r="H12" s="213"/>
    </row>
    <row r="13" spans="1:8" s="155" customFormat="1" ht="12.75" customHeight="1">
      <c r="A13" s="217">
        <v>0</v>
      </c>
      <c r="B13" s="214" t="s">
        <v>794</v>
      </c>
      <c r="C13" s="368" t="s">
        <v>155</v>
      </c>
      <c r="D13" s="165"/>
      <c r="E13" s="593" t="s">
        <v>323</v>
      </c>
      <c r="F13" s="593" t="s">
        <v>323</v>
      </c>
      <c r="G13" s="591" t="s">
        <v>323</v>
      </c>
      <c r="H13" s="213"/>
    </row>
    <row r="14" spans="1:8" s="155" customFormat="1" ht="12.75" customHeight="1">
      <c r="A14" s="217">
        <v>0</v>
      </c>
      <c r="B14" s="214" t="s">
        <v>794</v>
      </c>
      <c r="C14" s="623" t="s">
        <v>235</v>
      </c>
      <c r="D14" s="165"/>
      <c r="E14" s="319" t="s">
        <v>269</v>
      </c>
      <c r="F14" s="319" t="s">
        <v>269</v>
      </c>
      <c r="G14" s="591" t="s">
        <v>269</v>
      </c>
      <c r="H14" s="213"/>
    </row>
    <row r="15" spans="1:8" s="155" customFormat="1" ht="12.75" customHeight="1">
      <c r="A15" s="217">
        <v>0</v>
      </c>
      <c r="B15" s="214" t="s">
        <v>794</v>
      </c>
      <c r="C15" s="368" t="s">
        <v>246</v>
      </c>
      <c r="D15" s="165"/>
      <c r="E15" s="455">
        <v>0</v>
      </c>
      <c r="F15" s="455">
        <v>0</v>
      </c>
      <c r="G15" s="594">
        <v>0</v>
      </c>
      <c r="H15" s="213"/>
    </row>
    <row r="16" spans="1:8" s="155" customFormat="1" ht="12.75" customHeight="1">
      <c r="A16" s="217">
        <v>0</v>
      </c>
      <c r="B16" s="214" t="s">
        <v>794</v>
      </c>
      <c r="C16" s="368" t="s">
        <v>448</v>
      </c>
      <c r="D16" s="165"/>
      <c r="E16" s="455" t="s">
        <v>34</v>
      </c>
      <c r="F16" s="455" t="s">
        <v>34</v>
      </c>
      <c r="G16" s="594" t="s">
        <v>34</v>
      </c>
      <c r="H16" s="213"/>
    </row>
    <row r="17" spans="1:8" s="155" customFormat="1" ht="12.75" customHeight="1">
      <c r="A17" s="217">
        <v>0</v>
      </c>
      <c r="B17" s="214" t="s">
        <v>794</v>
      </c>
      <c r="C17" s="368" t="s">
        <v>321</v>
      </c>
      <c r="D17" s="165"/>
      <c r="E17" s="319" t="s">
        <v>648</v>
      </c>
      <c r="F17" s="319" t="s">
        <v>648</v>
      </c>
      <c r="G17" s="591" t="s">
        <v>618</v>
      </c>
      <c r="H17" s="213"/>
    </row>
    <row r="18" spans="1:8" s="155" customFormat="1" ht="12.75" customHeight="1">
      <c r="A18" s="348">
        <v>0</v>
      </c>
      <c r="B18" s="214" t="s">
        <v>794</v>
      </c>
      <c r="C18" s="624" t="s">
        <v>355</v>
      </c>
      <c r="D18" s="165"/>
      <c r="E18" s="537" t="s">
        <v>358</v>
      </c>
      <c r="F18" s="537" t="s">
        <v>358</v>
      </c>
      <c r="G18" s="591" t="s">
        <v>795</v>
      </c>
      <c r="H18" s="213"/>
    </row>
    <row r="19" spans="1:8" s="155" customFormat="1" ht="12.75" customHeight="1">
      <c r="A19" s="217">
        <v>0</v>
      </c>
      <c r="B19" s="214" t="s">
        <v>794</v>
      </c>
      <c r="C19" s="368" t="s">
        <v>797</v>
      </c>
      <c r="D19" s="165"/>
      <c r="E19" s="455">
        <v>0</v>
      </c>
      <c r="F19" s="455">
        <v>0</v>
      </c>
      <c r="G19" s="594">
        <v>0</v>
      </c>
      <c r="H19" s="213"/>
    </row>
    <row r="20" spans="1:8" s="155" customFormat="1" ht="12.75" customHeight="1">
      <c r="A20" s="217">
        <v>0</v>
      </c>
      <c r="B20" s="214" t="s">
        <v>794</v>
      </c>
      <c r="C20" s="368" t="s">
        <v>405</v>
      </c>
      <c r="D20" s="165"/>
      <c r="E20" s="455">
        <v>0.2</v>
      </c>
      <c r="F20" s="455">
        <v>0.2</v>
      </c>
      <c r="G20" s="539">
        <v>0.2</v>
      </c>
      <c r="H20" s="595" t="s">
        <v>626</v>
      </c>
    </row>
    <row r="21" spans="1:8" ht="12.75" customHeight="1">
      <c r="A21" s="217">
        <v>1</v>
      </c>
      <c r="B21" s="214" t="s">
        <v>794</v>
      </c>
      <c r="C21" s="368" t="s">
        <v>245</v>
      </c>
      <c r="D21" s="34"/>
      <c r="E21" s="462">
        <v>43008</v>
      </c>
      <c r="F21" s="462">
        <v>43008</v>
      </c>
      <c r="G21" s="588">
        <v>43465</v>
      </c>
      <c r="H21" s="508" t="s">
        <v>640</v>
      </c>
    </row>
    <row r="22" spans="1:8" ht="12.75" customHeight="1">
      <c r="A22" s="217">
        <v>1</v>
      </c>
      <c r="B22" s="214" t="s">
        <v>794</v>
      </c>
      <c r="C22" s="368" t="s">
        <v>359</v>
      </c>
      <c r="D22" s="34"/>
      <c r="E22" s="589" t="s">
        <v>647</v>
      </c>
      <c r="F22" s="589" t="s">
        <v>647</v>
      </c>
      <c r="G22" s="588" t="s">
        <v>619</v>
      </c>
    </row>
    <row r="23" spans="1:8" s="155" customFormat="1" ht="12.75" customHeight="1">
      <c r="A23" s="217">
        <v>1</v>
      </c>
      <c r="B23" s="214" t="s">
        <v>794</v>
      </c>
      <c r="C23" s="172" t="s">
        <v>178</v>
      </c>
      <c r="D23" s="165"/>
      <c r="E23" s="590" t="s">
        <v>407</v>
      </c>
      <c r="F23" s="590" t="s">
        <v>407</v>
      </c>
      <c r="G23" s="588" t="s">
        <v>619</v>
      </c>
      <c r="H23" s="213"/>
    </row>
    <row r="24" spans="1:8" s="155" customFormat="1" ht="12.75" customHeight="1">
      <c r="A24" s="217">
        <v>1</v>
      </c>
      <c r="B24" s="214" t="s">
        <v>794</v>
      </c>
      <c r="C24" s="172" t="s">
        <v>181</v>
      </c>
      <c r="D24" s="165"/>
      <c r="E24" s="590" t="s">
        <v>407</v>
      </c>
      <c r="F24" s="590" t="s">
        <v>407</v>
      </c>
      <c r="G24" s="588" t="s">
        <v>619</v>
      </c>
      <c r="H24" s="213"/>
    </row>
    <row r="25" spans="1:8" s="155" customFormat="1" ht="12.75" customHeight="1">
      <c r="A25" s="217">
        <v>1</v>
      </c>
      <c r="B25" s="214" t="s">
        <v>794</v>
      </c>
      <c r="C25" s="368" t="s">
        <v>322</v>
      </c>
      <c r="D25" s="165"/>
      <c r="E25" s="319" t="s">
        <v>324</v>
      </c>
      <c r="F25" s="319" t="s">
        <v>324</v>
      </c>
      <c r="G25" s="591" t="s">
        <v>617</v>
      </c>
      <c r="H25" s="213"/>
    </row>
    <row r="26" spans="1:8" s="155" customFormat="1" ht="12.75" customHeight="1">
      <c r="A26" s="217">
        <v>1</v>
      </c>
      <c r="B26" s="214" t="s">
        <v>794</v>
      </c>
      <c r="C26" s="368" t="s">
        <v>385</v>
      </c>
      <c r="D26" s="165"/>
      <c r="E26" s="517">
        <v>0.96</v>
      </c>
      <c r="F26" s="517">
        <v>0.96</v>
      </c>
      <c r="G26" s="592">
        <v>0.98</v>
      </c>
      <c r="H26" s="213"/>
    </row>
    <row r="27" spans="1:8" s="155" customFormat="1" ht="12.75" customHeight="1">
      <c r="A27" s="217">
        <v>1</v>
      </c>
      <c r="B27" s="214" t="s">
        <v>794</v>
      </c>
      <c r="C27" s="368" t="s">
        <v>155</v>
      </c>
      <c r="D27" s="165"/>
      <c r="E27" s="593" t="s">
        <v>323</v>
      </c>
      <c r="F27" s="593" t="s">
        <v>323</v>
      </c>
      <c r="G27" s="591" t="s">
        <v>323</v>
      </c>
      <c r="H27" s="213"/>
    </row>
    <row r="28" spans="1:8" s="155" customFormat="1" ht="12.75" customHeight="1">
      <c r="A28" s="217">
        <v>1</v>
      </c>
      <c r="B28" s="214" t="s">
        <v>794</v>
      </c>
      <c r="C28" s="623" t="s">
        <v>235</v>
      </c>
      <c r="D28" s="165"/>
      <c r="E28" s="319" t="s">
        <v>269</v>
      </c>
      <c r="F28" s="319" t="s">
        <v>269</v>
      </c>
      <c r="G28" s="591" t="s">
        <v>269</v>
      </c>
      <c r="H28" s="213"/>
    </row>
    <row r="29" spans="1:8" s="155" customFormat="1" ht="12.75" customHeight="1">
      <c r="A29" s="217">
        <v>1</v>
      </c>
      <c r="B29" s="214" t="s">
        <v>794</v>
      </c>
      <c r="C29" s="368" t="s">
        <v>246</v>
      </c>
      <c r="D29" s="165"/>
      <c r="E29" s="455">
        <v>0</v>
      </c>
      <c r="F29" s="455">
        <v>0</v>
      </c>
      <c r="G29" s="594">
        <v>0</v>
      </c>
      <c r="H29" s="213"/>
    </row>
    <row r="30" spans="1:8" s="155" customFormat="1" ht="12.75" customHeight="1">
      <c r="A30" s="217">
        <v>1</v>
      </c>
      <c r="B30" s="214" t="s">
        <v>794</v>
      </c>
      <c r="C30" s="368" t="s">
        <v>448</v>
      </c>
      <c r="D30" s="165"/>
      <c r="E30" s="455" t="s">
        <v>34</v>
      </c>
      <c r="F30" s="455" t="s">
        <v>34</v>
      </c>
      <c r="G30" s="594" t="s">
        <v>34</v>
      </c>
      <c r="H30" s="213"/>
    </row>
    <row r="31" spans="1:8" s="155" customFormat="1" ht="12.75" customHeight="1">
      <c r="A31" s="217">
        <v>1</v>
      </c>
      <c r="B31" s="214" t="s">
        <v>794</v>
      </c>
      <c r="C31" s="368" t="s">
        <v>321</v>
      </c>
      <c r="D31" s="165"/>
      <c r="E31" s="319" t="s">
        <v>648</v>
      </c>
      <c r="F31" s="319" t="s">
        <v>648</v>
      </c>
      <c r="G31" s="591" t="s">
        <v>742</v>
      </c>
      <c r="H31" s="213"/>
    </row>
    <row r="32" spans="1:8" s="155" customFormat="1" ht="12.75" customHeight="1">
      <c r="A32" s="348">
        <v>1</v>
      </c>
      <c r="B32" s="214" t="s">
        <v>794</v>
      </c>
      <c r="C32" s="624" t="s">
        <v>355</v>
      </c>
      <c r="D32" s="165"/>
      <c r="E32" s="537" t="s">
        <v>358</v>
      </c>
      <c r="F32" s="537" t="s">
        <v>358</v>
      </c>
      <c r="G32" s="591" t="s">
        <v>796</v>
      </c>
      <c r="H32" s="213"/>
    </row>
    <row r="33" spans="1:8" s="155" customFormat="1" ht="12.75" customHeight="1">
      <c r="A33" s="217">
        <v>1</v>
      </c>
      <c r="B33" s="214" t="s">
        <v>794</v>
      </c>
      <c r="C33" s="368" t="s">
        <v>797</v>
      </c>
      <c r="D33" s="165"/>
      <c r="E33" s="455">
        <v>0</v>
      </c>
      <c r="F33" s="455">
        <v>0</v>
      </c>
      <c r="G33" s="594">
        <v>0</v>
      </c>
      <c r="H33" s="213"/>
    </row>
    <row r="34" spans="1:8" s="155" customFormat="1" ht="12.75" customHeight="1">
      <c r="A34" s="217">
        <v>1</v>
      </c>
      <c r="B34" s="214" t="s">
        <v>794</v>
      </c>
      <c r="C34" s="368" t="s">
        <v>405</v>
      </c>
      <c r="D34" s="165"/>
      <c r="E34" s="455">
        <v>0.2</v>
      </c>
      <c r="F34" s="455">
        <v>0.2</v>
      </c>
      <c r="G34" s="539">
        <v>0.2</v>
      </c>
      <c r="H34" s="595" t="s">
        <v>626</v>
      </c>
    </row>
    <row r="35" spans="1:8" ht="12.75" customHeight="1">
      <c r="A35" s="217">
        <v>0</v>
      </c>
      <c r="B35" s="214" t="s">
        <v>792</v>
      </c>
      <c r="C35" s="368" t="s">
        <v>245</v>
      </c>
      <c r="D35" s="34"/>
      <c r="E35" s="462">
        <v>43008</v>
      </c>
      <c r="F35" s="462">
        <v>43008</v>
      </c>
      <c r="G35" s="588">
        <v>43465</v>
      </c>
      <c r="H35" s="508"/>
    </row>
    <row r="36" spans="1:8" ht="12.75" customHeight="1">
      <c r="A36" s="217">
        <v>0</v>
      </c>
      <c r="B36" s="214" t="s">
        <v>792</v>
      </c>
      <c r="C36" s="368" t="s">
        <v>359</v>
      </c>
      <c r="D36" s="34"/>
      <c r="E36" s="589" t="s">
        <v>647</v>
      </c>
      <c r="F36" s="589" t="s">
        <v>647</v>
      </c>
      <c r="G36" s="588" t="s">
        <v>619</v>
      </c>
    </row>
    <row r="37" spans="1:8" ht="12.75" customHeight="1">
      <c r="A37" s="217">
        <v>0</v>
      </c>
      <c r="B37" s="214" t="s">
        <v>792</v>
      </c>
      <c r="C37" s="172" t="s">
        <v>178</v>
      </c>
      <c r="D37" s="34"/>
      <c r="E37" s="590" t="s">
        <v>407</v>
      </c>
      <c r="F37" s="590" t="s">
        <v>407</v>
      </c>
      <c r="G37" s="588" t="s">
        <v>619</v>
      </c>
      <c r="H37" s="508"/>
    </row>
    <row r="38" spans="1:8" ht="12.75" customHeight="1">
      <c r="A38" s="217">
        <v>0</v>
      </c>
      <c r="B38" s="214" t="s">
        <v>792</v>
      </c>
      <c r="C38" s="172" t="s">
        <v>181</v>
      </c>
      <c r="D38" s="34"/>
      <c r="E38" s="590" t="s">
        <v>407</v>
      </c>
      <c r="F38" s="590" t="s">
        <v>407</v>
      </c>
      <c r="G38" s="588" t="s">
        <v>619</v>
      </c>
      <c r="H38" s="508"/>
    </row>
    <row r="39" spans="1:8" ht="12.75" customHeight="1">
      <c r="A39" s="217">
        <v>0</v>
      </c>
      <c r="B39" s="214" t="s">
        <v>792</v>
      </c>
      <c r="C39" s="368" t="s">
        <v>322</v>
      </c>
      <c r="D39" s="34"/>
      <c r="E39" s="319" t="s">
        <v>324</v>
      </c>
      <c r="F39" s="319" t="s">
        <v>324</v>
      </c>
      <c r="G39" s="591" t="s">
        <v>617</v>
      </c>
      <c r="H39" s="508"/>
    </row>
    <row r="40" spans="1:8" ht="12.75" customHeight="1">
      <c r="A40" s="217">
        <v>0</v>
      </c>
      <c r="B40" s="214" t="s">
        <v>792</v>
      </c>
      <c r="C40" s="368" t="s">
        <v>385</v>
      </c>
      <c r="D40" s="34"/>
      <c r="E40" s="517">
        <v>0.96</v>
      </c>
      <c r="F40" s="517">
        <v>0.96</v>
      </c>
      <c r="G40" s="592">
        <v>0.98</v>
      </c>
      <c r="H40" s="508"/>
    </row>
    <row r="41" spans="1:8" ht="12.75" customHeight="1">
      <c r="A41" s="217">
        <v>0</v>
      </c>
      <c r="B41" s="214" t="s">
        <v>792</v>
      </c>
      <c r="C41" s="368" t="s">
        <v>155</v>
      </c>
      <c r="D41" s="34"/>
      <c r="E41" s="593" t="s">
        <v>323</v>
      </c>
      <c r="F41" s="593" t="s">
        <v>323</v>
      </c>
      <c r="G41" s="591" t="s">
        <v>323</v>
      </c>
      <c r="H41" s="508"/>
    </row>
    <row r="42" spans="1:8" ht="12.75" customHeight="1">
      <c r="A42" s="217">
        <v>0</v>
      </c>
      <c r="B42" s="214" t="s">
        <v>792</v>
      </c>
      <c r="C42" s="623" t="s">
        <v>235</v>
      </c>
      <c r="D42" s="34"/>
      <c r="E42" s="319" t="s">
        <v>269</v>
      </c>
      <c r="F42" s="319" t="s">
        <v>269</v>
      </c>
      <c r="G42" s="591" t="s">
        <v>269</v>
      </c>
      <c r="H42" s="508"/>
    </row>
    <row r="43" spans="1:8" ht="12.75" customHeight="1">
      <c r="A43" s="217">
        <v>0</v>
      </c>
      <c r="B43" s="214" t="s">
        <v>792</v>
      </c>
      <c r="C43" s="368" t="s">
        <v>246</v>
      </c>
      <c r="D43" s="34"/>
      <c r="E43" s="455">
        <v>0</v>
      </c>
      <c r="F43" s="455">
        <v>0</v>
      </c>
      <c r="G43" s="594">
        <v>0</v>
      </c>
      <c r="H43" s="508"/>
    </row>
    <row r="44" spans="1:8" ht="12.75" customHeight="1">
      <c r="A44" s="217">
        <v>0</v>
      </c>
      <c r="B44" s="214" t="s">
        <v>792</v>
      </c>
      <c r="C44" s="368" t="s">
        <v>448</v>
      </c>
      <c r="D44" s="34"/>
      <c r="E44" s="455" t="s">
        <v>34</v>
      </c>
      <c r="F44" s="455" t="s">
        <v>34</v>
      </c>
      <c r="G44" s="594" t="s">
        <v>34</v>
      </c>
      <c r="H44" s="508"/>
    </row>
    <row r="45" spans="1:8" ht="12.75" customHeight="1">
      <c r="A45" s="217">
        <v>0</v>
      </c>
      <c r="B45" s="214" t="s">
        <v>792</v>
      </c>
      <c r="C45" s="368" t="s">
        <v>321</v>
      </c>
      <c r="D45" s="34"/>
      <c r="E45" s="319" t="s">
        <v>648</v>
      </c>
      <c r="F45" s="319" t="s">
        <v>648</v>
      </c>
      <c r="G45" s="622" t="s">
        <v>793</v>
      </c>
      <c r="H45" s="508"/>
    </row>
    <row r="46" spans="1:8" ht="12.75" customHeight="1">
      <c r="A46" s="348">
        <v>0</v>
      </c>
      <c r="B46" s="214" t="s">
        <v>792</v>
      </c>
      <c r="C46" s="624" t="s">
        <v>355</v>
      </c>
      <c r="D46" s="34"/>
      <c r="E46" s="537" t="s">
        <v>358</v>
      </c>
      <c r="F46" s="537" t="s">
        <v>358</v>
      </c>
      <c r="G46" s="622" t="s">
        <v>789</v>
      </c>
      <c r="H46" s="508"/>
    </row>
    <row r="47" spans="1:8" s="155" customFormat="1" ht="12.75" customHeight="1">
      <c r="A47" s="217">
        <v>0</v>
      </c>
      <c r="B47" s="214" t="s">
        <v>792</v>
      </c>
      <c r="C47" s="368" t="s">
        <v>797</v>
      </c>
      <c r="D47" s="165"/>
      <c r="E47" s="455">
        <v>0</v>
      </c>
      <c r="F47" s="455">
        <v>0</v>
      </c>
      <c r="G47" s="594">
        <v>0</v>
      </c>
      <c r="H47" s="213"/>
    </row>
    <row r="48" spans="1:8" ht="12.75" customHeight="1">
      <c r="A48" s="217">
        <v>0</v>
      </c>
      <c r="B48" s="214" t="s">
        <v>792</v>
      </c>
      <c r="C48" s="368" t="s">
        <v>405</v>
      </c>
      <c r="D48" s="34"/>
      <c r="E48" s="455">
        <v>0.2</v>
      </c>
      <c r="F48" s="455">
        <v>0.2</v>
      </c>
      <c r="G48" s="539">
        <v>0.2</v>
      </c>
      <c r="H48" s="595" t="s">
        <v>626</v>
      </c>
    </row>
    <row r="49" spans="1:8" ht="12.75" customHeight="1">
      <c r="A49" s="217">
        <v>1</v>
      </c>
      <c r="B49" s="214" t="s">
        <v>792</v>
      </c>
      <c r="C49" s="368" t="s">
        <v>245</v>
      </c>
      <c r="D49" s="34"/>
      <c r="E49" s="462">
        <v>43008</v>
      </c>
      <c r="F49" s="462">
        <v>43008</v>
      </c>
      <c r="G49" s="588">
        <v>43465</v>
      </c>
      <c r="H49" s="508" t="s">
        <v>640</v>
      </c>
    </row>
    <row r="50" spans="1:8" ht="12.75" customHeight="1">
      <c r="A50" s="217">
        <v>1</v>
      </c>
      <c r="B50" s="214" t="s">
        <v>792</v>
      </c>
      <c r="C50" s="368" t="s">
        <v>359</v>
      </c>
      <c r="D50" s="34"/>
      <c r="E50" s="589" t="s">
        <v>647</v>
      </c>
      <c r="F50" s="589" t="s">
        <v>647</v>
      </c>
      <c r="G50" s="588" t="s">
        <v>619</v>
      </c>
    </row>
    <row r="51" spans="1:8" ht="12.75" customHeight="1">
      <c r="A51" s="217">
        <v>1</v>
      </c>
      <c r="B51" s="214" t="s">
        <v>792</v>
      </c>
      <c r="C51" s="172" t="s">
        <v>178</v>
      </c>
      <c r="D51" s="34"/>
      <c r="E51" s="590" t="s">
        <v>407</v>
      </c>
      <c r="F51" s="590" t="s">
        <v>407</v>
      </c>
      <c r="G51" s="588" t="s">
        <v>619</v>
      </c>
      <c r="H51" s="508"/>
    </row>
    <row r="52" spans="1:8" ht="12.75" customHeight="1">
      <c r="A52" s="217">
        <v>1</v>
      </c>
      <c r="B52" s="214" t="s">
        <v>792</v>
      </c>
      <c r="C52" s="172" t="s">
        <v>181</v>
      </c>
      <c r="D52" s="34"/>
      <c r="E52" s="590" t="s">
        <v>407</v>
      </c>
      <c r="F52" s="590" t="s">
        <v>407</v>
      </c>
      <c r="G52" s="588" t="s">
        <v>619</v>
      </c>
      <c r="H52" s="508"/>
    </row>
    <row r="53" spans="1:8" ht="12.75" customHeight="1">
      <c r="A53" s="217">
        <v>1</v>
      </c>
      <c r="B53" s="214" t="s">
        <v>792</v>
      </c>
      <c r="C53" s="368" t="s">
        <v>322</v>
      </c>
      <c r="D53" s="34"/>
      <c r="E53" s="319" t="s">
        <v>324</v>
      </c>
      <c r="F53" s="319" t="s">
        <v>324</v>
      </c>
      <c r="G53" s="591" t="s">
        <v>617</v>
      </c>
      <c r="H53" s="508"/>
    </row>
    <row r="54" spans="1:8" ht="12.75" customHeight="1">
      <c r="A54" s="217">
        <v>1</v>
      </c>
      <c r="B54" s="214" t="s">
        <v>792</v>
      </c>
      <c r="C54" s="368" t="s">
        <v>385</v>
      </c>
      <c r="D54" s="34"/>
      <c r="E54" s="517">
        <v>0.96</v>
      </c>
      <c r="F54" s="517">
        <v>0.96</v>
      </c>
      <c r="G54" s="592">
        <v>0.98</v>
      </c>
      <c r="H54" s="508"/>
    </row>
    <row r="55" spans="1:8" ht="12.75" customHeight="1">
      <c r="A55" s="217">
        <v>1</v>
      </c>
      <c r="B55" s="214" t="s">
        <v>792</v>
      </c>
      <c r="C55" s="368" t="s">
        <v>155</v>
      </c>
      <c r="D55" s="34"/>
      <c r="E55" s="593" t="s">
        <v>323</v>
      </c>
      <c r="F55" s="593" t="s">
        <v>323</v>
      </c>
      <c r="G55" s="591" t="s">
        <v>323</v>
      </c>
      <c r="H55" s="508"/>
    </row>
    <row r="56" spans="1:8" ht="12.75" customHeight="1">
      <c r="A56" s="217">
        <v>1</v>
      </c>
      <c r="B56" s="214" t="s">
        <v>792</v>
      </c>
      <c r="C56" s="623" t="s">
        <v>235</v>
      </c>
      <c r="D56" s="34"/>
      <c r="E56" s="319" t="s">
        <v>269</v>
      </c>
      <c r="F56" s="319" t="s">
        <v>269</v>
      </c>
      <c r="G56" s="591" t="s">
        <v>269</v>
      </c>
      <c r="H56" s="508"/>
    </row>
    <row r="57" spans="1:8" ht="12.75" customHeight="1">
      <c r="A57" s="217">
        <v>1</v>
      </c>
      <c r="B57" s="214" t="s">
        <v>792</v>
      </c>
      <c r="C57" s="368" t="s">
        <v>246</v>
      </c>
      <c r="D57" s="34"/>
      <c r="E57" s="455">
        <v>0</v>
      </c>
      <c r="F57" s="455">
        <v>0</v>
      </c>
      <c r="G57" s="594">
        <v>0</v>
      </c>
      <c r="H57" s="508"/>
    </row>
    <row r="58" spans="1:8" ht="12.75" customHeight="1">
      <c r="A58" s="217">
        <v>1</v>
      </c>
      <c r="B58" s="214" t="s">
        <v>792</v>
      </c>
      <c r="C58" s="368" t="s">
        <v>448</v>
      </c>
      <c r="D58" s="34"/>
      <c r="E58" s="455" t="s">
        <v>34</v>
      </c>
      <c r="F58" s="455" t="s">
        <v>34</v>
      </c>
      <c r="G58" s="594" t="s">
        <v>34</v>
      </c>
      <c r="H58" s="508"/>
    </row>
    <row r="59" spans="1:8" ht="12.75" customHeight="1">
      <c r="A59" s="217">
        <v>1</v>
      </c>
      <c r="B59" s="214" t="s">
        <v>792</v>
      </c>
      <c r="C59" s="368" t="s">
        <v>321</v>
      </c>
      <c r="D59" s="34"/>
      <c r="E59" s="319" t="s">
        <v>648</v>
      </c>
      <c r="F59" s="319" t="s">
        <v>648</v>
      </c>
      <c r="G59" s="622" t="s">
        <v>793</v>
      </c>
      <c r="H59" s="508"/>
    </row>
    <row r="60" spans="1:8" ht="12.75" customHeight="1">
      <c r="A60" s="348">
        <v>1</v>
      </c>
      <c r="B60" s="214" t="s">
        <v>792</v>
      </c>
      <c r="C60" s="624" t="s">
        <v>355</v>
      </c>
      <c r="D60" s="34"/>
      <c r="E60" s="537" t="s">
        <v>358</v>
      </c>
      <c r="F60" s="537" t="s">
        <v>358</v>
      </c>
      <c r="G60" s="622" t="s">
        <v>789</v>
      </c>
      <c r="H60" s="508"/>
    </row>
    <row r="61" spans="1:8" s="155" customFormat="1" ht="12.75" customHeight="1">
      <c r="A61" s="217">
        <v>1</v>
      </c>
      <c r="B61" s="214" t="s">
        <v>792</v>
      </c>
      <c r="C61" s="368" t="s">
        <v>797</v>
      </c>
      <c r="D61" s="165"/>
      <c r="E61" s="455">
        <v>0</v>
      </c>
      <c r="F61" s="455">
        <v>0</v>
      </c>
      <c r="G61" s="594">
        <v>0</v>
      </c>
      <c r="H61" s="213"/>
    </row>
    <row r="62" spans="1:8" ht="12.75" customHeight="1">
      <c r="A62" s="217">
        <v>1</v>
      </c>
      <c r="B62" s="214" t="s">
        <v>792</v>
      </c>
      <c r="C62" s="368" t="s">
        <v>405</v>
      </c>
      <c r="D62" s="34"/>
      <c r="E62" s="455">
        <v>0.2</v>
      </c>
      <c r="F62" s="455">
        <v>0.2</v>
      </c>
      <c r="G62" s="539">
        <v>0.2</v>
      </c>
      <c r="H62" s="595" t="s">
        <v>626</v>
      </c>
    </row>
    <row r="63" spans="1:8" ht="12.75" customHeight="1">
      <c r="A63" s="217">
        <v>0</v>
      </c>
      <c r="B63" s="214" t="s">
        <v>788</v>
      </c>
      <c r="C63" s="368" t="s">
        <v>245</v>
      </c>
      <c r="D63" s="34"/>
      <c r="E63" s="462">
        <v>43008</v>
      </c>
      <c r="F63" s="462">
        <v>43008</v>
      </c>
      <c r="G63" s="588">
        <v>43465</v>
      </c>
      <c r="H63" s="508"/>
    </row>
    <row r="64" spans="1:8" ht="12.75" customHeight="1">
      <c r="A64" s="217">
        <v>0</v>
      </c>
      <c r="B64" s="214" t="s">
        <v>788</v>
      </c>
      <c r="C64" s="368" t="s">
        <v>359</v>
      </c>
      <c r="D64" s="34"/>
      <c r="E64" s="589" t="s">
        <v>647</v>
      </c>
      <c r="F64" s="589" t="s">
        <v>647</v>
      </c>
      <c r="G64" s="588" t="s">
        <v>619</v>
      </c>
    </row>
    <row r="65" spans="1:8" ht="12.75" customHeight="1">
      <c r="A65" s="217">
        <v>0</v>
      </c>
      <c r="B65" s="214" t="s">
        <v>788</v>
      </c>
      <c r="C65" s="172" t="s">
        <v>178</v>
      </c>
      <c r="D65" s="34"/>
      <c r="E65" s="590" t="s">
        <v>407</v>
      </c>
      <c r="F65" s="590" t="s">
        <v>407</v>
      </c>
      <c r="G65" s="588" t="s">
        <v>619</v>
      </c>
      <c r="H65" s="508"/>
    </row>
    <row r="66" spans="1:8" ht="12.75" customHeight="1">
      <c r="A66" s="217">
        <v>0</v>
      </c>
      <c r="B66" s="214" t="s">
        <v>788</v>
      </c>
      <c r="C66" s="172" t="s">
        <v>181</v>
      </c>
      <c r="D66" s="34"/>
      <c r="E66" s="590" t="s">
        <v>407</v>
      </c>
      <c r="F66" s="590" t="s">
        <v>407</v>
      </c>
      <c r="G66" s="588" t="s">
        <v>619</v>
      </c>
      <c r="H66" s="508"/>
    </row>
    <row r="67" spans="1:8" ht="12.75" customHeight="1">
      <c r="A67" s="217">
        <v>0</v>
      </c>
      <c r="B67" s="214" t="s">
        <v>788</v>
      </c>
      <c r="C67" s="368" t="s">
        <v>322</v>
      </c>
      <c r="D67" s="34"/>
      <c r="E67" s="319" t="s">
        <v>324</v>
      </c>
      <c r="F67" s="319" t="s">
        <v>324</v>
      </c>
      <c r="G67" s="591" t="s">
        <v>617</v>
      </c>
      <c r="H67" s="508"/>
    </row>
    <row r="68" spans="1:8" ht="12.75" customHeight="1">
      <c r="A68" s="217">
        <v>0</v>
      </c>
      <c r="B68" s="214" t="s">
        <v>788</v>
      </c>
      <c r="C68" s="368" t="s">
        <v>385</v>
      </c>
      <c r="D68" s="34"/>
      <c r="E68" s="517">
        <v>0.96</v>
      </c>
      <c r="F68" s="517">
        <v>0.96</v>
      </c>
      <c r="G68" s="592">
        <v>0.98</v>
      </c>
      <c r="H68" s="508"/>
    </row>
    <row r="69" spans="1:8" ht="12.75" customHeight="1">
      <c r="A69" s="217">
        <v>0</v>
      </c>
      <c r="B69" s="214" t="s">
        <v>788</v>
      </c>
      <c r="C69" s="368" t="s">
        <v>155</v>
      </c>
      <c r="D69" s="34"/>
      <c r="E69" s="593" t="s">
        <v>323</v>
      </c>
      <c r="F69" s="593" t="s">
        <v>323</v>
      </c>
      <c r="G69" s="591" t="s">
        <v>323</v>
      </c>
      <c r="H69" s="508"/>
    </row>
    <row r="70" spans="1:8" ht="12.75" customHeight="1">
      <c r="A70" s="217">
        <v>0</v>
      </c>
      <c r="B70" s="214" t="s">
        <v>788</v>
      </c>
      <c r="C70" s="623" t="s">
        <v>235</v>
      </c>
      <c r="D70" s="34"/>
      <c r="E70" s="319" t="s">
        <v>269</v>
      </c>
      <c r="F70" s="319" t="s">
        <v>269</v>
      </c>
      <c r="G70" s="591" t="s">
        <v>269</v>
      </c>
      <c r="H70" s="508"/>
    </row>
    <row r="71" spans="1:8" ht="12.75" customHeight="1">
      <c r="A71" s="217">
        <v>0</v>
      </c>
      <c r="B71" s="214" t="s">
        <v>788</v>
      </c>
      <c r="C71" s="368" t="s">
        <v>246</v>
      </c>
      <c r="D71" s="34"/>
      <c r="E71" s="455">
        <v>0</v>
      </c>
      <c r="F71" s="455">
        <v>0</v>
      </c>
      <c r="G71" s="594">
        <v>0</v>
      </c>
      <c r="H71" s="508"/>
    </row>
    <row r="72" spans="1:8" ht="12.75" customHeight="1">
      <c r="A72" s="217">
        <v>0</v>
      </c>
      <c r="B72" s="214" t="s">
        <v>788</v>
      </c>
      <c r="C72" s="368" t="s">
        <v>448</v>
      </c>
      <c r="D72" s="34"/>
      <c r="E72" s="455" t="s">
        <v>34</v>
      </c>
      <c r="F72" s="455" t="s">
        <v>34</v>
      </c>
      <c r="G72" s="594" t="s">
        <v>34</v>
      </c>
      <c r="H72" s="508"/>
    </row>
    <row r="73" spans="1:8" ht="12.75" customHeight="1">
      <c r="A73" s="217">
        <v>0</v>
      </c>
      <c r="B73" s="214" t="s">
        <v>788</v>
      </c>
      <c r="C73" s="368" t="s">
        <v>321</v>
      </c>
      <c r="D73" s="34"/>
      <c r="E73" s="319" t="s">
        <v>648</v>
      </c>
      <c r="F73" s="319" t="s">
        <v>648</v>
      </c>
      <c r="G73" s="622" t="s">
        <v>790</v>
      </c>
      <c r="H73" s="508"/>
    </row>
    <row r="74" spans="1:8" ht="12.75" customHeight="1">
      <c r="A74" s="348">
        <v>0</v>
      </c>
      <c r="B74" s="214" t="s">
        <v>788</v>
      </c>
      <c r="C74" s="624" t="s">
        <v>355</v>
      </c>
      <c r="D74" s="34"/>
      <c r="E74" s="537" t="s">
        <v>358</v>
      </c>
      <c r="F74" s="537" t="s">
        <v>358</v>
      </c>
      <c r="G74" s="622" t="s">
        <v>789</v>
      </c>
      <c r="H74" s="508"/>
    </row>
    <row r="75" spans="1:8" s="155" customFormat="1" ht="12.75" customHeight="1">
      <c r="A75" s="217">
        <v>0</v>
      </c>
      <c r="B75" s="214" t="s">
        <v>788</v>
      </c>
      <c r="C75" s="368" t="s">
        <v>797</v>
      </c>
      <c r="D75" s="165"/>
      <c r="E75" s="455">
        <v>0</v>
      </c>
      <c r="F75" s="455">
        <v>0</v>
      </c>
      <c r="G75" s="594">
        <v>0</v>
      </c>
      <c r="H75" s="213"/>
    </row>
    <row r="76" spans="1:8" ht="12.75" customHeight="1">
      <c r="A76" s="217">
        <v>0</v>
      </c>
      <c r="B76" s="214" t="s">
        <v>788</v>
      </c>
      <c r="C76" s="368" t="s">
        <v>405</v>
      </c>
      <c r="D76" s="34"/>
      <c r="E76" s="455">
        <v>0.2</v>
      </c>
      <c r="F76" s="455">
        <v>0.2</v>
      </c>
      <c r="G76" s="539">
        <v>0.2</v>
      </c>
      <c r="H76" s="595" t="s">
        <v>626</v>
      </c>
    </row>
    <row r="77" spans="1:8" ht="12.75" customHeight="1">
      <c r="A77" s="217">
        <v>1</v>
      </c>
      <c r="B77" s="214" t="s">
        <v>788</v>
      </c>
      <c r="C77" s="368" t="s">
        <v>245</v>
      </c>
      <c r="D77" s="34"/>
      <c r="E77" s="462">
        <v>43008</v>
      </c>
      <c r="F77" s="462">
        <v>43008</v>
      </c>
      <c r="G77" s="588">
        <v>43465</v>
      </c>
      <c r="H77" s="508" t="s">
        <v>640</v>
      </c>
    </row>
    <row r="78" spans="1:8" ht="12.75" customHeight="1">
      <c r="A78" s="217">
        <v>1</v>
      </c>
      <c r="B78" s="214" t="s">
        <v>788</v>
      </c>
      <c r="C78" s="368" t="s">
        <v>359</v>
      </c>
      <c r="D78" s="34"/>
      <c r="E78" s="589" t="s">
        <v>647</v>
      </c>
      <c r="F78" s="589" t="s">
        <v>647</v>
      </c>
      <c r="G78" s="588" t="s">
        <v>619</v>
      </c>
    </row>
    <row r="79" spans="1:8" ht="12.75" customHeight="1">
      <c r="A79" s="217">
        <v>1</v>
      </c>
      <c r="B79" s="214" t="s">
        <v>788</v>
      </c>
      <c r="C79" s="172" t="s">
        <v>178</v>
      </c>
      <c r="D79" s="34"/>
      <c r="E79" s="590" t="s">
        <v>407</v>
      </c>
      <c r="F79" s="590" t="s">
        <v>407</v>
      </c>
      <c r="G79" s="588" t="s">
        <v>619</v>
      </c>
      <c r="H79" s="508"/>
    </row>
    <row r="80" spans="1:8" ht="12.75" customHeight="1">
      <c r="A80" s="217">
        <v>1</v>
      </c>
      <c r="B80" s="214" t="s">
        <v>788</v>
      </c>
      <c r="C80" s="172" t="s">
        <v>181</v>
      </c>
      <c r="D80" s="34"/>
      <c r="E80" s="590" t="s">
        <v>407</v>
      </c>
      <c r="F80" s="590" t="s">
        <v>407</v>
      </c>
      <c r="G80" s="588" t="s">
        <v>619</v>
      </c>
      <c r="H80" s="508"/>
    </row>
    <row r="81" spans="1:8" ht="12.75" customHeight="1">
      <c r="A81" s="217">
        <v>1</v>
      </c>
      <c r="B81" s="214" t="s">
        <v>788</v>
      </c>
      <c r="C81" s="368" t="s">
        <v>322</v>
      </c>
      <c r="D81" s="34"/>
      <c r="E81" s="319" t="s">
        <v>324</v>
      </c>
      <c r="F81" s="319" t="s">
        <v>324</v>
      </c>
      <c r="G81" s="591" t="s">
        <v>617</v>
      </c>
      <c r="H81" s="508"/>
    </row>
    <row r="82" spans="1:8" ht="12.75" customHeight="1">
      <c r="A82" s="217">
        <v>1</v>
      </c>
      <c r="B82" s="214" t="s">
        <v>788</v>
      </c>
      <c r="C82" s="368" t="s">
        <v>385</v>
      </c>
      <c r="D82" s="34"/>
      <c r="E82" s="517">
        <v>0.96</v>
      </c>
      <c r="F82" s="517">
        <v>0.96</v>
      </c>
      <c r="G82" s="592">
        <v>0.98</v>
      </c>
      <c r="H82" s="508"/>
    </row>
    <row r="83" spans="1:8" ht="12.75" customHeight="1">
      <c r="A83" s="217">
        <v>1</v>
      </c>
      <c r="B83" s="214" t="s">
        <v>788</v>
      </c>
      <c r="C83" s="368" t="s">
        <v>155</v>
      </c>
      <c r="D83" s="34"/>
      <c r="E83" s="593" t="s">
        <v>323</v>
      </c>
      <c r="F83" s="593" t="s">
        <v>323</v>
      </c>
      <c r="G83" s="591" t="s">
        <v>323</v>
      </c>
      <c r="H83" s="508"/>
    </row>
    <row r="84" spans="1:8" ht="12.75" customHeight="1">
      <c r="A84" s="217">
        <v>1</v>
      </c>
      <c r="B84" s="214" t="s">
        <v>788</v>
      </c>
      <c r="C84" s="623" t="s">
        <v>235</v>
      </c>
      <c r="D84" s="34"/>
      <c r="E84" s="319" t="s">
        <v>269</v>
      </c>
      <c r="F84" s="319" t="s">
        <v>269</v>
      </c>
      <c r="G84" s="591" t="s">
        <v>269</v>
      </c>
      <c r="H84" s="508"/>
    </row>
    <row r="85" spans="1:8" ht="12.75" customHeight="1">
      <c r="A85" s="217">
        <v>1</v>
      </c>
      <c r="B85" s="214" t="s">
        <v>788</v>
      </c>
      <c r="C85" s="368" t="s">
        <v>246</v>
      </c>
      <c r="D85" s="34"/>
      <c r="E85" s="455">
        <v>0</v>
      </c>
      <c r="F85" s="455">
        <v>0</v>
      </c>
      <c r="G85" s="594">
        <v>0</v>
      </c>
      <c r="H85" s="508"/>
    </row>
    <row r="86" spans="1:8" ht="12.75" customHeight="1">
      <c r="A86" s="217">
        <v>1</v>
      </c>
      <c r="B86" s="214" t="s">
        <v>788</v>
      </c>
      <c r="C86" s="368" t="s">
        <v>448</v>
      </c>
      <c r="D86" s="34"/>
      <c r="E86" s="455" t="s">
        <v>34</v>
      </c>
      <c r="F86" s="455" t="s">
        <v>34</v>
      </c>
      <c r="G86" s="594" t="s">
        <v>34</v>
      </c>
      <c r="H86" s="508"/>
    </row>
    <row r="87" spans="1:8" ht="12.75" customHeight="1">
      <c r="A87" s="217">
        <v>1</v>
      </c>
      <c r="B87" s="214" t="s">
        <v>788</v>
      </c>
      <c r="C87" s="368" t="s">
        <v>321</v>
      </c>
      <c r="D87" s="34"/>
      <c r="E87" s="319" t="s">
        <v>648</v>
      </c>
      <c r="F87" s="319" t="s">
        <v>648</v>
      </c>
      <c r="G87" s="622" t="s">
        <v>791</v>
      </c>
      <c r="H87" s="508"/>
    </row>
    <row r="88" spans="1:8" ht="12.75" customHeight="1">
      <c r="A88" s="348">
        <v>1</v>
      </c>
      <c r="B88" s="214" t="s">
        <v>788</v>
      </c>
      <c r="C88" s="624" t="s">
        <v>355</v>
      </c>
      <c r="D88" s="34"/>
      <c r="E88" s="537" t="s">
        <v>358</v>
      </c>
      <c r="F88" s="537" t="s">
        <v>358</v>
      </c>
      <c r="G88" s="622" t="s">
        <v>789</v>
      </c>
      <c r="H88" s="508"/>
    </row>
    <row r="89" spans="1:8" s="155" customFormat="1" ht="12.75" customHeight="1">
      <c r="A89" s="217">
        <v>1</v>
      </c>
      <c r="B89" s="214" t="s">
        <v>788</v>
      </c>
      <c r="C89" s="368" t="s">
        <v>797</v>
      </c>
      <c r="D89" s="165"/>
      <c r="E89" s="455">
        <v>0</v>
      </c>
      <c r="F89" s="455">
        <v>0</v>
      </c>
      <c r="G89" s="594">
        <v>0</v>
      </c>
      <c r="H89" s="213"/>
    </row>
    <row r="90" spans="1:8" ht="12.75" customHeight="1">
      <c r="A90" s="217">
        <v>1</v>
      </c>
      <c r="B90" s="214" t="s">
        <v>788</v>
      </c>
      <c r="C90" s="368" t="s">
        <v>405</v>
      </c>
      <c r="D90" s="34"/>
      <c r="E90" s="455">
        <v>0.2</v>
      </c>
      <c r="F90" s="455">
        <v>0.2</v>
      </c>
      <c r="G90" s="539">
        <v>0.2</v>
      </c>
      <c r="H90" s="595" t="s">
        <v>626</v>
      </c>
    </row>
    <row r="91" spans="1:8" ht="12.75" customHeight="1">
      <c r="A91" s="217">
        <v>0</v>
      </c>
      <c r="B91" s="214" t="s">
        <v>782</v>
      </c>
      <c r="C91" s="368" t="s">
        <v>245</v>
      </c>
      <c r="D91" s="34"/>
      <c r="E91" s="462">
        <v>43008</v>
      </c>
      <c r="F91" s="462">
        <v>43008</v>
      </c>
      <c r="G91" s="588">
        <v>43465</v>
      </c>
      <c r="H91" s="508"/>
    </row>
    <row r="92" spans="1:8" ht="12.75" customHeight="1">
      <c r="A92" s="217">
        <v>0</v>
      </c>
      <c r="B92" s="214" t="s">
        <v>782</v>
      </c>
      <c r="C92" s="368" t="s">
        <v>359</v>
      </c>
      <c r="D92" s="34"/>
      <c r="E92" s="589" t="s">
        <v>647</v>
      </c>
      <c r="F92" s="589" t="s">
        <v>647</v>
      </c>
      <c r="G92" s="588" t="s">
        <v>619</v>
      </c>
    </row>
    <row r="93" spans="1:8" ht="12.75" customHeight="1">
      <c r="A93" s="217">
        <v>0</v>
      </c>
      <c r="B93" s="214" t="s">
        <v>782</v>
      </c>
      <c r="C93" s="172" t="s">
        <v>178</v>
      </c>
      <c r="D93" s="34"/>
      <c r="E93" s="590" t="s">
        <v>407</v>
      </c>
      <c r="F93" s="590" t="s">
        <v>407</v>
      </c>
      <c r="G93" s="588" t="s">
        <v>619</v>
      </c>
      <c r="H93" s="508"/>
    </row>
    <row r="94" spans="1:8" ht="12.75" customHeight="1">
      <c r="A94" s="217">
        <v>0</v>
      </c>
      <c r="B94" s="214" t="s">
        <v>782</v>
      </c>
      <c r="C94" s="172" t="s">
        <v>181</v>
      </c>
      <c r="D94" s="34"/>
      <c r="E94" s="590" t="s">
        <v>407</v>
      </c>
      <c r="F94" s="590" t="s">
        <v>407</v>
      </c>
      <c r="G94" s="588" t="s">
        <v>619</v>
      </c>
      <c r="H94" s="508"/>
    </row>
    <row r="95" spans="1:8" ht="12.75" customHeight="1">
      <c r="A95" s="217">
        <v>0</v>
      </c>
      <c r="B95" s="214" t="s">
        <v>782</v>
      </c>
      <c r="C95" s="368" t="s">
        <v>322</v>
      </c>
      <c r="D95" s="34"/>
      <c r="E95" s="319" t="s">
        <v>324</v>
      </c>
      <c r="F95" s="319" t="s">
        <v>324</v>
      </c>
      <c r="G95" s="591" t="s">
        <v>617</v>
      </c>
      <c r="H95" s="508"/>
    </row>
    <row r="96" spans="1:8" ht="12.75" customHeight="1">
      <c r="A96" s="217">
        <v>0</v>
      </c>
      <c r="B96" s="214" t="s">
        <v>782</v>
      </c>
      <c r="C96" s="368" t="s">
        <v>385</v>
      </c>
      <c r="D96" s="34"/>
      <c r="E96" s="517">
        <v>0.96</v>
      </c>
      <c r="F96" s="517">
        <v>0.96</v>
      </c>
      <c r="G96" s="592">
        <v>0.98</v>
      </c>
      <c r="H96" s="508"/>
    </row>
    <row r="97" spans="1:8" ht="12.75" customHeight="1">
      <c r="A97" s="217">
        <v>0</v>
      </c>
      <c r="B97" s="214" t="s">
        <v>782</v>
      </c>
      <c r="C97" s="368" t="s">
        <v>155</v>
      </c>
      <c r="D97" s="34"/>
      <c r="E97" s="593" t="s">
        <v>323</v>
      </c>
      <c r="F97" s="593" t="s">
        <v>323</v>
      </c>
      <c r="G97" s="591" t="s">
        <v>323</v>
      </c>
      <c r="H97" s="508"/>
    </row>
    <row r="98" spans="1:8" ht="12.75" customHeight="1">
      <c r="A98" s="217">
        <v>0</v>
      </c>
      <c r="B98" s="214" t="s">
        <v>782</v>
      </c>
      <c r="C98" s="623" t="s">
        <v>235</v>
      </c>
      <c r="D98" s="34"/>
      <c r="E98" s="319" t="s">
        <v>269</v>
      </c>
      <c r="F98" s="319" t="s">
        <v>269</v>
      </c>
      <c r="G98" s="591" t="s">
        <v>269</v>
      </c>
      <c r="H98" s="508"/>
    </row>
    <row r="99" spans="1:8" ht="12.75" customHeight="1">
      <c r="A99" s="217">
        <v>0</v>
      </c>
      <c r="B99" s="214" t="s">
        <v>782</v>
      </c>
      <c r="C99" s="368" t="s">
        <v>246</v>
      </c>
      <c r="D99" s="34"/>
      <c r="E99" s="455">
        <v>0</v>
      </c>
      <c r="F99" s="455">
        <v>0</v>
      </c>
      <c r="G99" s="594">
        <v>0</v>
      </c>
      <c r="H99" s="508"/>
    </row>
    <row r="100" spans="1:8" ht="12.75" customHeight="1">
      <c r="A100" s="217">
        <v>0</v>
      </c>
      <c r="B100" s="214" t="s">
        <v>782</v>
      </c>
      <c r="C100" s="368" t="s">
        <v>448</v>
      </c>
      <c r="D100" s="34"/>
      <c r="E100" s="455" t="s">
        <v>34</v>
      </c>
      <c r="F100" s="455" t="s">
        <v>34</v>
      </c>
      <c r="G100" s="594" t="s">
        <v>34</v>
      </c>
      <c r="H100" s="508"/>
    </row>
    <row r="101" spans="1:8" ht="12.75" customHeight="1">
      <c r="A101" s="217">
        <v>0</v>
      </c>
      <c r="B101" s="214" t="s">
        <v>782</v>
      </c>
      <c r="C101" s="368" t="s">
        <v>321</v>
      </c>
      <c r="D101" s="34"/>
      <c r="E101" s="319" t="s">
        <v>648</v>
      </c>
      <c r="F101" s="319" t="s">
        <v>648</v>
      </c>
      <c r="G101" s="622" t="s">
        <v>618</v>
      </c>
      <c r="H101" s="508"/>
    </row>
    <row r="102" spans="1:8" ht="12.75" customHeight="1">
      <c r="A102" s="348">
        <v>0</v>
      </c>
      <c r="B102" s="214" t="s">
        <v>782</v>
      </c>
      <c r="C102" s="624" t="s">
        <v>355</v>
      </c>
      <c r="D102" s="34"/>
      <c r="E102" s="537" t="s">
        <v>358</v>
      </c>
      <c r="F102" s="537" t="s">
        <v>358</v>
      </c>
      <c r="G102" s="622" t="s">
        <v>784</v>
      </c>
      <c r="H102" s="508"/>
    </row>
    <row r="103" spans="1:8" s="155" customFormat="1" ht="12.75" customHeight="1">
      <c r="A103" s="217">
        <v>0</v>
      </c>
      <c r="B103" s="214" t="s">
        <v>782</v>
      </c>
      <c r="C103" s="368" t="s">
        <v>797</v>
      </c>
      <c r="D103" s="165"/>
      <c r="E103" s="455">
        <v>0</v>
      </c>
      <c r="F103" s="455">
        <v>0</v>
      </c>
      <c r="G103" s="594">
        <v>0</v>
      </c>
      <c r="H103" s="213"/>
    </row>
    <row r="104" spans="1:8" ht="12.75" customHeight="1">
      <c r="A104" s="217">
        <v>0</v>
      </c>
      <c r="B104" s="214" t="s">
        <v>782</v>
      </c>
      <c r="C104" s="368" t="s">
        <v>405</v>
      </c>
      <c r="D104" s="34"/>
      <c r="E104" s="455">
        <v>0.2</v>
      </c>
      <c r="F104" s="455">
        <v>0.2</v>
      </c>
      <c r="G104" s="539">
        <v>0.2</v>
      </c>
      <c r="H104" s="595" t="s">
        <v>626</v>
      </c>
    </row>
    <row r="105" spans="1:8" ht="12.75" customHeight="1">
      <c r="A105" s="217">
        <v>1</v>
      </c>
      <c r="B105" s="214" t="s">
        <v>782</v>
      </c>
      <c r="C105" s="368" t="s">
        <v>245</v>
      </c>
      <c r="D105" s="34"/>
      <c r="E105" s="462">
        <v>43008</v>
      </c>
      <c r="F105" s="462">
        <v>43008</v>
      </c>
      <c r="G105" s="588">
        <v>43465</v>
      </c>
      <c r="H105" s="508" t="s">
        <v>640</v>
      </c>
    </row>
    <row r="106" spans="1:8" ht="12.75" customHeight="1">
      <c r="A106" s="217">
        <v>1</v>
      </c>
      <c r="B106" s="214" t="s">
        <v>782</v>
      </c>
      <c r="C106" s="368" t="s">
        <v>359</v>
      </c>
      <c r="D106" s="34"/>
      <c r="E106" s="589" t="s">
        <v>647</v>
      </c>
      <c r="F106" s="589" t="s">
        <v>647</v>
      </c>
      <c r="G106" s="588" t="s">
        <v>619</v>
      </c>
    </row>
    <row r="107" spans="1:8" ht="12.75" customHeight="1">
      <c r="A107" s="217">
        <v>1</v>
      </c>
      <c r="B107" s="214" t="s">
        <v>782</v>
      </c>
      <c r="C107" s="172" t="s">
        <v>178</v>
      </c>
      <c r="D107" s="34"/>
      <c r="E107" s="590" t="s">
        <v>407</v>
      </c>
      <c r="F107" s="590" t="s">
        <v>407</v>
      </c>
      <c r="G107" s="588" t="s">
        <v>619</v>
      </c>
      <c r="H107" s="508"/>
    </row>
    <row r="108" spans="1:8" ht="12.75" customHeight="1">
      <c r="A108" s="217">
        <v>1</v>
      </c>
      <c r="B108" s="214" t="s">
        <v>782</v>
      </c>
      <c r="C108" s="172" t="s">
        <v>181</v>
      </c>
      <c r="D108" s="34"/>
      <c r="E108" s="590" t="s">
        <v>407</v>
      </c>
      <c r="F108" s="590" t="s">
        <v>407</v>
      </c>
      <c r="G108" s="588" t="s">
        <v>619</v>
      </c>
      <c r="H108" s="508"/>
    </row>
    <row r="109" spans="1:8" ht="12.75" customHeight="1">
      <c r="A109" s="217">
        <v>1</v>
      </c>
      <c r="B109" s="214" t="s">
        <v>782</v>
      </c>
      <c r="C109" s="368" t="s">
        <v>322</v>
      </c>
      <c r="D109" s="34"/>
      <c r="E109" s="319" t="s">
        <v>324</v>
      </c>
      <c r="F109" s="319" t="s">
        <v>324</v>
      </c>
      <c r="G109" s="591" t="s">
        <v>617</v>
      </c>
      <c r="H109" s="508"/>
    </row>
    <row r="110" spans="1:8" ht="12.75" customHeight="1">
      <c r="A110" s="217">
        <v>1</v>
      </c>
      <c r="B110" s="214" t="s">
        <v>782</v>
      </c>
      <c r="C110" s="368" t="s">
        <v>385</v>
      </c>
      <c r="D110" s="34"/>
      <c r="E110" s="517">
        <v>0.96</v>
      </c>
      <c r="F110" s="517">
        <v>0.96</v>
      </c>
      <c r="G110" s="592">
        <v>0.98</v>
      </c>
      <c r="H110" s="508"/>
    </row>
    <row r="111" spans="1:8" ht="12.75" customHeight="1">
      <c r="A111" s="217">
        <v>1</v>
      </c>
      <c r="B111" s="214" t="s">
        <v>782</v>
      </c>
      <c r="C111" s="368" t="s">
        <v>155</v>
      </c>
      <c r="D111" s="34"/>
      <c r="E111" s="593" t="s">
        <v>323</v>
      </c>
      <c r="F111" s="593" t="s">
        <v>323</v>
      </c>
      <c r="G111" s="591" t="s">
        <v>323</v>
      </c>
      <c r="H111" s="508"/>
    </row>
    <row r="112" spans="1:8" ht="12.75" customHeight="1">
      <c r="A112" s="217">
        <v>1</v>
      </c>
      <c r="B112" s="214" t="s">
        <v>782</v>
      </c>
      <c r="C112" s="623" t="s">
        <v>235</v>
      </c>
      <c r="D112" s="34"/>
      <c r="E112" s="319" t="s">
        <v>269</v>
      </c>
      <c r="F112" s="319" t="s">
        <v>269</v>
      </c>
      <c r="G112" s="591" t="s">
        <v>269</v>
      </c>
      <c r="H112" s="508"/>
    </row>
    <row r="113" spans="1:8" ht="12.75" customHeight="1">
      <c r="A113" s="217">
        <v>1</v>
      </c>
      <c r="B113" s="214" t="s">
        <v>782</v>
      </c>
      <c r="C113" s="368" t="s">
        <v>246</v>
      </c>
      <c r="D113" s="34"/>
      <c r="E113" s="455">
        <v>0</v>
      </c>
      <c r="F113" s="455">
        <v>0</v>
      </c>
      <c r="G113" s="594">
        <v>0</v>
      </c>
      <c r="H113" s="508"/>
    </row>
    <row r="114" spans="1:8" ht="12.75" customHeight="1">
      <c r="A114" s="217">
        <v>1</v>
      </c>
      <c r="B114" s="214" t="s">
        <v>782</v>
      </c>
      <c r="C114" s="368" t="s">
        <v>448</v>
      </c>
      <c r="D114" s="34"/>
      <c r="E114" s="455" t="s">
        <v>34</v>
      </c>
      <c r="F114" s="455" t="s">
        <v>34</v>
      </c>
      <c r="G114" s="594" t="s">
        <v>34</v>
      </c>
      <c r="H114" s="508"/>
    </row>
    <row r="115" spans="1:8" ht="12.75" customHeight="1">
      <c r="A115" s="217">
        <v>1</v>
      </c>
      <c r="B115" s="214" t="s">
        <v>782</v>
      </c>
      <c r="C115" s="368" t="s">
        <v>321</v>
      </c>
      <c r="D115" s="34"/>
      <c r="E115" s="319" t="s">
        <v>648</v>
      </c>
      <c r="F115" s="319" t="s">
        <v>648</v>
      </c>
      <c r="G115" s="622" t="s">
        <v>742</v>
      </c>
      <c r="H115" s="508"/>
    </row>
    <row r="116" spans="1:8" ht="12.75" customHeight="1">
      <c r="A116" s="348">
        <v>1</v>
      </c>
      <c r="B116" s="214" t="s">
        <v>782</v>
      </c>
      <c r="C116" s="624" t="s">
        <v>355</v>
      </c>
      <c r="D116" s="34"/>
      <c r="E116" s="537" t="s">
        <v>358</v>
      </c>
      <c r="F116" s="537" t="s">
        <v>358</v>
      </c>
      <c r="G116" s="622" t="s">
        <v>783</v>
      </c>
      <c r="H116" s="508"/>
    </row>
    <row r="117" spans="1:8" s="155" customFormat="1" ht="12.75" customHeight="1">
      <c r="A117" s="217">
        <v>1</v>
      </c>
      <c r="B117" s="214" t="s">
        <v>782</v>
      </c>
      <c r="C117" s="368" t="s">
        <v>797</v>
      </c>
      <c r="D117" s="165"/>
      <c r="E117" s="455">
        <v>0</v>
      </c>
      <c r="F117" s="455">
        <v>0</v>
      </c>
      <c r="G117" s="594">
        <v>0</v>
      </c>
      <c r="H117" s="213"/>
    </row>
    <row r="118" spans="1:8" ht="12.75" customHeight="1">
      <c r="A118" s="217">
        <v>1</v>
      </c>
      <c r="B118" s="214" t="s">
        <v>782</v>
      </c>
      <c r="C118" s="368" t="s">
        <v>405</v>
      </c>
      <c r="D118" s="34"/>
      <c r="E118" s="455">
        <v>0.2</v>
      </c>
      <c r="F118" s="455">
        <v>0.2</v>
      </c>
      <c r="G118" s="539">
        <v>0.2</v>
      </c>
      <c r="H118" s="595" t="s">
        <v>626</v>
      </c>
    </row>
    <row r="119" spans="1:8" ht="12.75" customHeight="1">
      <c r="A119" s="217">
        <v>0</v>
      </c>
      <c r="B119" s="214" t="s">
        <v>779</v>
      </c>
      <c r="C119" s="368" t="s">
        <v>245</v>
      </c>
      <c r="D119" s="34"/>
      <c r="E119" s="462">
        <v>43008</v>
      </c>
      <c r="F119" s="462">
        <v>43008</v>
      </c>
      <c r="G119" s="588">
        <v>43465</v>
      </c>
      <c r="H119" s="508"/>
    </row>
    <row r="120" spans="1:8" ht="12.75" customHeight="1">
      <c r="A120" s="217">
        <v>0</v>
      </c>
      <c r="B120" s="214" t="s">
        <v>779</v>
      </c>
      <c r="C120" s="368" t="s">
        <v>359</v>
      </c>
      <c r="D120" s="34"/>
      <c r="E120" s="589" t="s">
        <v>647</v>
      </c>
      <c r="F120" s="589" t="s">
        <v>647</v>
      </c>
      <c r="G120" s="588" t="s">
        <v>619</v>
      </c>
    </row>
    <row r="121" spans="1:8" ht="12.75" customHeight="1">
      <c r="A121" s="217">
        <v>0</v>
      </c>
      <c r="B121" s="214" t="s">
        <v>779</v>
      </c>
      <c r="C121" s="172" t="s">
        <v>178</v>
      </c>
      <c r="D121" s="34"/>
      <c r="E121" s="590" t="s">
        <v>407</v>
      </c>
      <c r="F121" s="590" t="s">
        <v>407</v>
      </c>
      <c r="G121" s="588" t="s">
        <v>619</v>
      </c>
      <c r="H121" s="508"/>
    </row>
    <row r="122" spans="1:8" ht="12.75" customHeight="1">
      <c r="A122" s="217">
        <v>0</v>
      </c>
      <c r="B122" s="214" t="s">
        <v>779</v>
      </c>
      <c r="C122" s="172" t="s">
        <v>181</v>
      </c>
      <c r="D122" s="34"/>
      <c r="E122" s="590" t="s">
        <v>407</v>
      </c>
      <c r="F122" s="590" t="s">
        <v>407</v>
      </c>
      <c r="G122" s="588" t="s">
        <v>619</v>
      </c>
      <c r="H122" s="508"/>
    </row>
    <row r="123" spans="1:8" ht="12.75" customHeight="1">
      <c r="A123" s="217">
        <v>0</v>
      </c>
      <c r="B123" s="214" t="s">
        <v>779</v>
      </c>
      <c r="C123" s="368" t="s">
        <v>322</v>
      </c>
      <c r="D123" s="34"/>
      <c r="E123" s="319" t="s">
        <v>324</v>
      </c>
      <c r="F123" s="319" t="s">
        <v>324</v>
      </c>
      <c r="G123" s="591" t="s">
        <v>617</v>
      </c>
      <c r="H123" s="508"/>
    </row>
    <row r="124" spans="1:8" ht="12.75" customHeight="1">
      <c r="A124" s="217">
        <v>0</v>
      </c>
      <c r="B124" s="214" t="s">
        <v>779</v>
      </c>
      <c r="C124" s="368" t="s">
        <v>385</v>
      </c>
      <c r="D124" s="34"/>
      <c r="E124" s="517">
        <v>0.96</v>
      </c>
      <c r="F124" s="517">
        <v>0.96</v>
      </c>
      <c r="G124" s="592">
        <v>0.98</v>
      </c>
      <c r="H124" s="508"/>
    </row>
    <row r="125" spans="1:8" ht="12.75" customHeight="1">
      <c r="A125" s="217">
        <v>0</v>
      </c>
      <c r="B125" s="214" t="s">
        <v>779</v>
      </c>
      <c r="C125" s="368" t="s">
        <v>155</v>
      </c>
      <c r="D125" s="34"/>
      <c r="E125" s="593" t="s">
        <v>323</v>
      </c>
      <c r="F125" s="593" t="s">
        <v>323</v>
      </c>
      <c r="G125" s="591" t="s">
        <v>323</v>
      </c>
      <c r="H125" s="508"/>
    </row>
    <row r="126" spans="1:8" ht="12.75" customHeight="1">
      <c r="A126" s="217">
        <v>0</v>
      </c>
      <c r="B126" s="214" t="s">
        <v>779</v>
      </c>
      <c r="C126" s="623" t="s">
        <v>235</v>
      </c>
      <c r="D126" s="34"/>
      <c r="E126" s="319" t="s">
        <v>269</v>
      </c>
      <c r="F126" s="319" t="s">
        <v>269</v>
      </c>
      <c r="G126" s="591" t="s">
        <v>269</v>
      </c>
      <c r="H126" s="508"/>
    </row>
    <row r="127" spans="1:8" ht="12.75" customHeight="1">
      <c r="A127" s="217">
        <v>0</v>
      </c>
      <c r="B127" s="214" t="s">
        <v>779</v>
      </c>
      <c r="C127" s="368" t="s">
        <v>246</v>
      </c>
      <c r="D127" s="34"/>
      <c r="E127" s="455">
        <v>0</v>
      </c>
      <c r="F127" s="455">
        <v>0</v>
      </c>
      <c r="G127" s="594">
        <v>0</v>
      </c>
      <c r="H127" s="508"/>
    </row>
    <row r="128" spans="1:8" ht="12.75" customHeight="1">
      <c r="A128" s="217">
        <v>0</v>
      </c>
      <c r="B128" s="214" t="s">
        <v>779</v>
      </c>
      <c r="C128" s="368" t="s">
        <v>448</v>
      </c>
      <c r="D128" s="34"/>
      <c r="E128" s="455" t="s">
        <v>34</v>
      </c>
      <c r="F128" s="455" t="s">
        <v>34</v>
      </c>
      <c r="G128" s="594" t="s">
        <v>34</v>
      </c>
      <c r="H128" s="508"/>
    </row>
    <row r="129" spans="1:8" ht="12.75" customHeight="1">
      <c r="A129" s="217">
        <v>0</v>
      </c>
      <c r="B129" s="214" t="s">
        <v>779</v>
      </c>
      <c r="C129" s="368" t="s">
        <v>321</v>
      </c>
      <c r="D129" s="34"/>
      <c r="E129" s="319" t="s">
        <v>648</v>
      </c>
      <c r="F129" s="319" t="s">
        <v>648</v>
      </c>
      <c r="G129" s="622" t="s">
        <v>618</v>
      </c>
      <c r="H129" s="508"/>
    </row>
    <row r="130" spans="1:8" ht="12.75" customHeight="1">
      <c r="A130" s="348">
        <v>0</v>
      </c>
      <c r="B130" s="214" t="s">
        <v>779</v>
      </c>
      <c r="C130" s="624" t="s">
        <v>355</v>
      </c>
      <c r="D130" s="34"/>
      <c r="E130" s="537" t="s">
        <v>358</v>
      </c>
      <c r="F130" s="537" t="s">
        <v>358</v>
      </c>
      <c r="G130" s="622" t="s">
        <v>780</v>
      </c>
      <c r="H130" s="508"/>
    </row>
    <row r="131" spans="1:8" s="155" customFormat="1" ht="12.75" customHeight="1">
      <c r="A131" s="217">
        <v>0</v>
      </c>
      <c r="B131" s="214" t="s">
        <v>779</v>
      </c>
      <c r="C131" s="368" t="s">
        <v>797</v>
      </c>
      <c r="D131" s="165"/>
      <c r="E131" s="455">
        <v>0</v>
      </c>
      <c r="F131" s="455">
        <v>0</v>
      </c>
      <c r="G131" s="594">
        <v>0</v>
      </c>
      <c r="H131" s="213"/>
    </row>
    <row r="132" spans="1:8" ht="12.75" customHeight="1">
      <c r="A132" s="217">
        <v>0</v>
      </c>
      <c r="B132" s="214" t="s">
        <v>779</v>
      </c>
      <c r="C132" s="368" t="s">
        <v>405</v>
      </c>
      <c r="D132" s="34"/>
      <c r="E132" s="455">
        <v>0.2</v>
      </c>
      <c r="F132" s="455">
        <v>0.2</v>
      </c>
      <c r="G132" s="539">
        <v>0.2</v>
      </c>
      <c r="H132" s="595" t="s">
        <v>626</v>
      </c>
    </row>
    <row r="133" spans="1:8" ht="12.75" customHeight="1">
      <c r="A133" s="217">
        <v>1</v>
      </c>
      <c r="B133" s="214" t="s">
        <v>779</v>
      </c>
      <c r="C133" s="368" t="s">
        <v>245</v>
      </c>
      <c r="D133" s="34"/>
      <c r="E133" s="462">
        <v>43008</v>
      </c>
      <c r="F133" s="462">
        <v>43008</v>
      </c>
      <c r="G133" s="588">
        <v>43465</v>
      </c>
      <c r="H133" s="508" t="s">
        <v>640</v>
      </c>
    </row>
    <row r="134" spans="1:8" ht="12.75" customHeight="1">
      <c r="A134" s="217">
        <v>1</v>
      </c>
      <c r="B134" s="214" t="s">
        <v>779</v>
      </c>
      <c r="C134" s="368" t="s">
        <v>359</v>
      </c>
      <c r="D134" s="34"/>
      <c r="E134" s="589" t="s">
        <v>647</v>
      </c>
      <c r="F134" s="589" t="s">
        <v>647</v>
      </c>
      <c r="G134" s="588" t="s">
        <v>619</v>
      </c>
    </row>
    <row r="135" spans="1:8" ht="12.75" customHeight="1">
      <c r="A135" s="217">
        <v>1</v>
      </c>
      <c r="B135" s="214" t="s">
        <v>779</v>
      </c>
      <c r="C135" s="172" t="s">
        <v>178</v>
      </c>
      <c r="D135" s="34"/>
      <c r="E135" s="590" t="s">
        <v>407</v>
      </c>
      <c r="F135" s="590" t="s">
        <v>407</v>
      </c>
      <c r="G135" s="588" t="s">
        <v>619</v>
      </c>
      <c r="H135" s="508"/>
    </row>
    <row r="136" spans="1:8" ht="12.75" customHeight="1">
      <c r="A136" s="217">
        <v>1</v>
      </c>
      <c r="B136" s="214" t="s">
        <v>779</v>
      </c>
      <c r="C136" s="172" t="s">
        <v>181</v>
      </c>
      <c r="D136" s="34"/>
      <c r="E136" s="590" t="s">
        <v>407</v>
      </c>
      <c r="F136" s="590" t="s">
        <v>407</v>
      </c>
      <c r="G136" s="588" t="s">
        <v>619</v>
      </c>
      <c r="H136" s="508"/>
    </row>
    <row r="137" spans="1:8" ht="12.75" customHeight="1">
      <c r="A137" s="217">
        <v>1</v>
      </c>
      <c r="B137" s="214" t="s">
        <v>779</v>
      </c>
      <c r="C137" s="368" t="s">
        <v>322</v>
      </c>
      <c r="D137" s="34"/>
      <c r="E137" s="319" t="s">
        <v>324</v>
      </c>
      <c r="F137" s="319" t="s">
        <v>324</v>
      </c>
      <c r="G137" s="591" t="s">
        <v>617</v>
      </c>
      <c r="H137" s="508"/>
    </row>
    <row r="138" spans="1:8" ht="12.75" customHeight="1">
      <c r="A138" s="217">
        <v>1</v>
      </c>
      <c r="B138" s="214" t="s">
        <v>779</v>
      </c>
      <c r="C138" s="368" t="s">
        <v>385</v>
      </c>
      <c r="D138" s="34"/>
      <c r="E138" s="517">
        <v>0.96</v>
      </c>
      <c r="F138" s="517">
        <v>0.96</v>
      </c>
      <c r="G138" s="592">
        <v>0.98</v>
      </c>
      <c r="H138" s="508"/>
    </row>
    <row r="139" spans="1:8" ht="12.75" customHeight="1">
      <c r="A139" s="217">
        <v>1</v>
      </c>
      <c r="B139" s="214" t="s">
        <v>779</v>
      </c>
      <c r="C139" s="368" t="s">
        <v>155</v>
      </c>
      <c r="D139" s="34"/>
      <c r="E139" s="593" t="s">
        <v>323</v>
      </c>
      <c r="F139" s="593" t="s">
        <v>323</v>
      </c>
      <c r="G139" s="591" t="s">
        <v>323</v>
      </c>
      <c r="H139" s="508"/>
    </row>
    <row r="140" spans="1:8" ht="12.75" customHeight="1">
      <c r="A140" s="217">
        <v>1</v>
      </c>
      <c r="B140" s="214" t="s">
        <v>779</v>
      </c>
      <c r="C140" s="623" t="s">
        <v>235</v>
      </c>
      <c r="D140" s="34"/>
      <c r="E140" s="319" t="s">
        <v>269</v>
      </c>
      <c r="F140" s="319" t="s">
        <v>269</v>
      </c>
      <c r="G140" s="591" t="s">
        <v>269</v>
      </c>
      <c r="H140" s="508"/>
    </row>
    <row r="141" spans="1:8" ht="12.75" customHeight="1">
      <c r="A141" s="217">
        <v>1</v>
      </c>
      <c r="B141" s="214" t="s">
        <v>779</v>
      </c>
      <c r="C141" s="368" t="s">
        <v>246</v>
      </c>
      <c r="D141" s="34"/>
      <c r="E141" s="455">
        <v>0</v>
      </c>
      <c r="F141" s="455">
        <v>0</v>
      </c>
      <c r="G141" s="594">
        <v>0</v>
      </c>
      <c r="H141" s="508"/>
    </row>
    <row r="142" spans="1:8" ht="12.75" customHeight="1">
      <c r="A142" s="217">
        <v>1</v>
      </c>
      <c r="B142" s="214" t="s">
        <v>779</v>
      </c>
      <c r="C142" s="368" t="s">
        <v>448</v>
      </c>
      <c r="D142" s="34"/>
      <c r="E142" s="455" t="s">
        <v>34</v>
      </c>
      <c r="F142" s="455" t="s">
        <v>34</v>
      </c>
      <c r="G142" s="594" t="s">
        <v>34</v>
      </c>
      <c r="H142" s="508"/>
    </row>
    <row r="143" spans="1:8" ht="12.75" customHeight="1">
      <c r="A143" s="217">
        <v>1</v>
      </c>
      <c r="B143" s="214" t="s">
        <v>779</v>
      </c>
      <c r="C143" s="368" t="s">
        <v>321</v>
      </c>
      <c r="D143" s="34"/>
      <c r="E143" s="319" t="s">
        <v>648</v>
      </c>
      <c r="F143" s="319" t="s">
        <v>648</v>
      </c>
      <c r="G143" s="622" t="s">
        <v>742</v>
      </c>
      <c r="H143" s="508"/>
    </row>
    <row r="144" spans="1:8" ht="12.75" customHeight="1">
      <c r="A144" s="348">
        <v>1</v>
      </c>
      <c r="B144" s="214" t="s">
        <v>779</v>
      </c>
      <c r="C144" s="624" t="s">
        <v>355</v>
      </c>
      <c r="D144" s="34"/>
      <c r="E144" s="537" t="s">
        <v>358</v>
      </c>
      <c r="F144" s="537" t="s">
        <v>358</v>
      </c>
      <c r="G144" s="622" t="s">
        <v>781</v>
      </c>
      <c r="H144" s="508"/>
    </row>
    <row r="145" spans="1:8" s="155" customFormat="1" ht="12.75" customHeight="1">
      <c r="A145" s="217">
        <v>1</v>
      </c>
      <c r="B145" s="214" t="s">
        <v>779</v>
      </c>
      <c r="C145" s="368" t="s">
        <v>797</v>
      </c>
      <c r="D145" s="165"/>
      <c r="E145" s="455">
        <v>0</v>
      </c>
      <c r="F145" s="455">
        <v>0</v>
      </c>
      <c r="G145" s="594">
        <v>0</v>
      </c>
      <c r="H145" s="213"/>
    </row>
    <row r="146" spans="1:8" ht="12.75" customHeight="1">
      <c r="A146" s="217">
        <v>1</v>
      </c>
      <c r="B146" s="214" t="s">
        <v>779</v>
      </c>
      <c r="C146" s="368" t="s">
        <v>405</v>
      </c>
      <c r="D146" s="34"/>
      <c r="E146" s="455">
        <v>0.2</v>
      </c>
      <c r="F146" s="455">
        <v>0.2</v>
      </c>
      <c r="G146" s="539">
        <v>0.2</v>
      </c>
      <c r="H146" s="595" t="s">
        <v>626</v>
      </c>
    </row>
    <row r="147" spans="1:8" ht="12.75" customHeight="1">
      <c r="A147" s="217">
        <v>0</v>
      </c>
      <c r="B147" s="214" t="s">
        <v>776</v>
      </c>
      <c r="C147" s="368" t="s">
        <v>245</v>
      </c>
      <c r="D147" s="34"/>
      <c r="E147" s="462">
        <v>43008</v>
      </c>
      <c r="F147" s="462">
        <v>43008</v>
      </c>
      <c r="G147" s="588">
        <v>43465</v>
      </c>
      <c r="H147" s="508"/>
    </row>
    <row r="148" spans="1:8" ht="12.75" customHeight="1">
      <c r="A148" s="217">
        <v>0</v>
      </c>
      <c r="B148" s="214" t="s">
        <v>776</v>
      </c>
      <c r="C148" s="368" t="s">
        <v>359</v>
      </c>
      <c r="D148" s="34"/>
      <c r="E148" s="589" t="s">
        <v>647</v>
      </c>
      <c r="F148" s="589" t="s">
        <v>647</v>
      </c>
      <c r="G148" s="588" t="s">
        <v>619</v>
      </c>
    </row>
    <row r="149" spans="1:8" ht="12.75" customHeight="1">
      <c r="A149" s="217">
        <v>0</v>
      </c>
      <c r="B149" s="214" t="s">
        <v>776</v>
      </c>
      <c r="C149" s="172" t="s">
        <v>178</v>
      </c>
      <c r="D149" s="34"/>
      <c r="E149" s="590" t="s">
        <v>407</v>
      </c>
      <c r="F149" s="590" t="s">
        <v>407</v>
      </c>
      <c r="G149" s="588" t="s">
        <v>619</v>
      </c>
      <c r="H149" s="508"/>
    </row>
    <row r="150" spans="1:8" ht="12.75" customHeight="1">
      <c r="A150" s="217">
        <v>0</v>
      </c>
      <c r="B150" s="214" t="s">
        <v>776</v>
      </c>
      <c r="C150" s="172" t="s">
        <v>181</v>
      </c>
      <c r="D150" s="34"/>
      <c r="E150" s="590" t="s">
        <v>407</v>
      </c>
      <c r="F150" s="590" t="s">
        <v>407</v>
      </c>
      <c r="G150" s="588" t="s">
        <v>619</v>
      </c>
      <c r="H150" s="508"/>
    </row>
    <row r="151" spans="1:8" ht="12.75" customHeight="1">
      <c r="A151" s="217">
        <v>0</v>
      </c>
      <c r="B151" s="214" t="s">
        <v>776</v>
      </c>
      <c r="C151" s="368" t="s">
        <v>322</v>
      </c>
      <c r="D151" s="34"/>
      <c r="E151" s="319" t="s">
        <v>324</v>
      </c>
      <c r="F151" s="319" t="s">
        <v>324</v>
      </c>
      <c r="G151" s="591" t="s">
        <v>617</v>
      </c>
      <c r="H151" s="508"/>
    </row>
    <row r="152" spans="1:8" ht="12.75" customHeight="1">
      <c r="A152" s="217">
        <v>0</v>
      </c>
      <c r="B152" s="214" t="s">
        <v>776</v>
      </c>
      <c r="C152" s="368" t="s">
        <v>385</v>
      </c>
      <c r="D152" s="34"/>
      <c r="E152" s="517">
        <v>0.96</v>
      </c>
      <c r="F152" s="517">
        <v>0.96</v>
      </c>
      <c r="G152" s="592">
        <v>0.98</v>
      </c>
      <c r="H152" s="508"/>
    </row>
    <row r="153" spans="1:8" ht="12.75" customHeight="1">
      <c r="A153" s="217">
        <v>0</v>
      </c>
      <c r="B153" s="214" t="s">
        <v>776</v>
      </c>
      <c r="C153" s="368" t="s">
        <v>155</v>
      </c>
      <c r="D153" s="34"/>
      <c r="E153" s="593" t="s">
        <v>323</v>
      </c>
      <c r="F153" s="593" t="s">
        <v>323</v>
      </c>
      <c r="G153" s="591" t="s">
        <v>323</v>
      </c>
      <c r="H153" s="508"/>
    </row>
    <row r="154" spans="1:8" ht="12.75" customHeight="1">
      <c r="A154" s="217">
        <v>0</v>
      </c>
      <c r="B154" s="214" t="s">
        <v>776</v>
      </c>
      <c r="C154" s="623" t="s">
        <v>235</v>
      </c>
      <c r="D154" s="34"/>
      <c r="E154" s="319" t="s">
        <v>269</v>
      </c>
      <c r="F154" s="319" t="s">
        <v>269</v>
      </c>
      <c r="G154" s="591" t="s">
        <v>269</v>
      </c>
      <c r="H154" s="508"/>
    </row>
    <row r="155" spans="1:8" ht="12.75" customHeight="1">
      <c r="A155" s="217">
        <v>0</v>
      </c>
      <c r="B155" s="214" t="s">
        <v>776</v>
      </c>
      <c r="C155" s="368" t="s">
        <v>246</v>
      </c>
      <c r="D155" s="34"/>
      <c r="E155" s="455">
        <v>0</v>
      </c>
      <c r="F155" s="455">
        <v>0</v>
      </c>
      <c r="G155" s="594">
        <v>0</v>
      </c>
      <c r="H155" s="508"/>
    </row>
    <row r="156" spans="1:8" ht="12.75" customHeight="1">
      <c r="A156" s="217">
        <v>0</v>
      </c>
      <c r="B156" s="214" t="s">
        <v>776</v>
      </c>
      <c r="C156" s="368" t="s">
        <v>448</v>
      </c>
      <c r="D156" s="34"/>
      <c r="E156" s="455" t="s">
        <v>34</v>
      </c>
      <c r="F156" s="455" t="s">
        <v>34</v>
      </c>
      <c r="G156" s="594" t="s">
        <v>34</v>
      </c>
      <c r="H156" s="508"/>
    </row>
    <row r="157" spans="1:8" ht="12.75" customHeight="1">
      <c r="A157" s="217">
        <v>0</v>
      </c>
      <c r="B157" s="214" t="s">
        <v>776</v>
      </c>
      <c r="C157" s="368" t="s">
        <v>321</v>
      </c>
      <c r="D157" s="34"/>
      <c r="E157" s="319" t="s">
        <v>648</v>
      </c>
      <c r="F157" s="319" t="s">
        <v>648</v>
      </c>
      <c r="G157" s="622" t="s">
        <v>618</v>
      </c>
      <c r="H157" s="508"/>
    </row>
    <row r="158" spans="1:8" ht="12.75" customHeight="1">
      <c r="A158" s="348">
        <v>0</v>
      </c>
      <c r="B158" s="214" t="s">
        <v>776</v>
      </c>
      <c r="C158" s="624" t="s">
        <v>355</v>
      </c>
      <c r="D158" s="34"/>
      <c r="E158" s="537" t="s">
        <v>358</v>
      </c>
      <c r="F158" s="537" t="s">
        <v>358</v>
      </c>
      <c r="G158" s="622" t="s">
        <v>777</v>
      </c>
      <c r="H158" s="508"/>
    </row>
    <row r="159" spans="1:8" s="155" customFormat="1" ht="12.75" customHeight="1">
      <c r="A159" s="217">
        <v>0</v>
      </c>
      <c r="B159" s="214" t="s">
        <v>776</v>
      </c>
      <c r="C159" s="368" t="s">
        <v>797</v>
      </c>
      <c r="D159" s="165"/>
      <c r="E159" s="455">
        <v>0</v>
      </c>
      <c r="F159" s="455">
        <v>0</v>
      </c>
      <c r="G159" s="594">
        <v>0</v>
      </c>
      <c r="H159" s="213"/>
    </row>
    <row r="160" spans="1:8" ht="12.75" customHeight="1">
      <c r="A160" s="217">
        <v>0</v>
      </c>
      <c r="B160" s="214" t="s">
        <v>776</v>
      </c>
      <c r="C160" s="368" t="s">
        <v>405</v>
      </c>
      <c r="D160" s="34"/>
      <c r="E160" s="455">
        <v>0.2</v>
      </c>
      <c r="F160" s="455">
        <v>0.2</v>
      </c>
      <c r="G160" s="539">
        <v>0.2</v>
      </c>
      <c r="H160" s="595" t="s">
        <v>626</v>
      </c>
    </row>
    <row r="161" spans="1:8" ht="12.75" customHeight="1">
      <c r="A161" s="217">
        <v>1</v>
      </c>
      <c r="B161" s="214" t="s">
        <v>776</v>
      </c>
      <c r="C161" s="368" t="s">
        <v>245</v>
      </c>
      <c r="D161" s="34"/>
      <c r="E161" s="462">
        <v>43008</v>
      </c>
      <c r="F161" s="462">
        <v>43008</v>
      </c>
      <c r="G161" s="588">
        <v>43465</v>
      </c>
      <c r="H161" s="508" t="s">
        <v>640</v>
      </c>
    </row>
    <row r="162" spans="1:8" ht="12.75" customHeight="1">
      <c r="A162" s="217">
        <v>1</v>
      </c>
      <c r="B162" s="214" t="s">
        <v>776</v>
      </c>
      <c r="C162" s="368" t="s">
        <v>359</v>
      </c>
      <c r="D162" s="34"/>
      <c r="E162" s="589" t="s">
        <v>647</v>
      </c>
      <c r="F162" s="589" t="s">
        <v>647</v>
      </c>
      <c r="G162" s="588" t="s">
        <v>619</v>
      </c>
    </row>
    <row r="163" spans="1:8" ht="12.75" customHeight="1">
      <c r="A163" s="217">
        <v>1</v>
      </c>
      <c r="B163" s="214" t="s">
        <v>776</v>
      </c>
      <c r="C163" s="172" t="s">
        <v>178</v>
      </c>
      <c r="D163" s="34"/>
      <c r="E163" s="590" t="s">
        <v>407</v>
      </c>
      <c r="F163" s="590" t="s">
        <v>407</v>
      </c>
      <c r="G163" s="588" t="s">
        <v>619</v>
      </c>
      <c r="H163" s="508"/>
    </row>
    <row r="164" spans="1:8" ht="12.75" customHeight="1">
      <c r="A164" s="217">
        <v>1</v>
      </c>
      <c r="B164" s="214" t="s">
        <v>776</v>
      </c>
      <c r="C164" s="172" t="s">
        <v>181</v>
      </c>
      <c r="D164" s="34"/>
      <c r="E164" s="590" t="s">
        <v>407</v>
      </c>
      <c r="F164" s="590" t="s">
        <v>407</v>
      </c>
      <c r="G164" s="588" t="s">
        <v>619</v>
      </c>
      <c r="H164" s="508"/>
    </row>
    <row r="165" spans="1:8" ht="12.75" customHeight="1">
      <c r="A165" s="217">
        <v>1</v>
      </c>
      <c r="B165" s="214" t="s">
        <v>776</v>
      </c>
      <c r="C165" s="368" t="s">
        <v>322</v>
      </c>
      <c r="D165" s="34"/>
      <c r="E165" s="319" t="s">
        <v>324</v>
      </c>
      <c r="F165" s="319" t="s">
        <v>324</v>
      </c>
      <c r="G165" s="591" t="s">
        <v>617</v>
      </c>
      <c r="H165" s="508"/>
    </row>
    <row r="166" spans="1:8" ht="12.75" customHeight="1">
      <c r="A166" s="217">
        <v>1</v>
      </c>
      <c r="B166" s="214" t="s">
        <v>776</v>
      </c>
      <c r="C166" s="368" t="s">
        <v>385</v>
      </c>
      <c r="D166" s="34"/>
      <c r="E166" s="517">
        <v>0.96</v>
      </c>
      <c r="F166" s="517">
        <v>0.96</v>
      </c>
      <c r="G166" s="592">
        <v>0.98</v>
      </c>
      <c r="H166" s="508"/>
    </row>
    <row r="167" spans="1:8" ht="12.75" customHeight="1">
      <c r="A167" s="217">
        <v>1</v>
      </c>
      <c r="B167" s="214" t="s">
        <v>776</v>
      </c>
      <c r="C167" s="368" t="s">
        <v>155</v>
      </c>
      <c r="D167" s="34"/>
      <c r="E167" s="593" t="s">
        <v>323</v>
      </c>
      <c r="F167" s="593" t="s">
        <v>323</v>
      </c>
      <c r="G167" s="591" t="s">
        <v>323</v>
      </c>
      <c r="H167" s="508"/>
    </row>
    <row r="168" spans="1:8" ht="12.75" customHeight="1">
      <c r="A168" s="217">
        <v>1</v>
      </c>
      <c r="B168" s="214" t="s">
        <v>776</v>
      </c>
      <c r="C168" s="623" t="s">
        <v>235</v>
      </c>
      <c r="D168" s="34"/>
      <c r="E168" s="319" t="s">
        <v>269</v>
      </c>
      <c r="F168" s="319" t="s">
        <v>269</v>
      </c>
      <c r="G168" s="591" t="s">
        <v>269</v>
      </c>
      <c r="H168" s="508"/>
    </row>
    <row r="169" spans="1:8" ht="12.75" customHeight="1">
      <c r="A169" s="217">
        <v>1</v>
      </c>
      <c r="B169" s="214" t="s">
        <v>776</v>
      </c>
      <c r="C169" s="368" t="s">
        <v>246</v>
      </c>
      <c r="D169" s="34"/>
      <c r="E169" s="455">
        <v>0</v>
      </c>
      <c r="F169" s="455">
        <v>0</v>
      </c>
      <c r="G169" s="594">
        <v>0</v>
      </c>
      <c r="H169" s="508"/>
    </row>
    <row r="170" spans="1:8" ht="12.75" customHeight="1">
      <c r="A170" s="217">
        <v>1</v>
      </c>
      <c r="B170" s="214" t="s">
        <v>776</v>
      </c>
      <c r="C170" s="368" t="s">
        <v>448</v>
      </c>
      <c r="D170" s="34"/>
      <c r="E170" s="455" t="s">
        <v>34</v>
      </c>
      <c r="F170" s="455" t="s">
        <v>34</v>
      </c>
      <c r="G170" s="594" t="s">
        <v>34</v>
      </c>
      <c r="H170" s="508"/>
    </row>
    <row r="171" spans="1:8" ht="12.75" customHeight="1">
      <c r="A171" s="217">
        <v>1</v>
      </c>
      <c r="B171" s="214" t="s">
        <v>776</v>
      </c>
      <c r="C171" s="368" t="s">
        <v>321</v>
      </c>
      <c r="D171" s="34"/>
      <c r="E171" s="319" t="s">
        <v>648</v>
      </c>
      <c r="F171" s="319" t="s">
        <v>648</v>
      </c>
      <c r="G171" s="622" t="s">
        <v>742</v>
      </c>
      <c r="H171" s="508"/>
    </row>
    <row r="172" spans="1:8" ht="12.75" customHeight="1">
      <c r="A172" s="348">
        <v>1</v>
      </c>
      <c r="B172" s="214" t="s">
        <v>776</v>
      </c>
      <c r="C172" s="624" t="s">
        <v>355</v>
      </c>
      <c r="D172" s="34"/>
      <c r="E172" s="537" t="s">
        <v>358</v>
      </c>
      <c r="F172" s="537" t="s">
        <v>358</v>
      </c>
      <c r="G172" s="622" t="s">
        <v>778</v>
      </c>
      <c r="H172" s="508"/>
    </row>
    <row r="173" spans="1:8" s="155" customFormat="1" ht="12.75" customHeight="1">
      <c r="A173" s="217">
        <v>1</v>
      </c>
      <c r="B173" s="214" t="s">
        <v>776</v>
      </c>
      <c r="C173" s="368" t="s">
        <v>797</v>
      </c>
      <c r="D173" s="165"/>
      <c r="E173" s="455">
        <v>0</v>
      </c>
      <c r="F173" s="455">
        <v>0</v>
      </c>
      <c r="G173" s="594">
        <v>0</v>
      </c>
      <c r="H173" s="213"/>
    </row>
    <row r="174" spans="1:8" ht="12.75" customHeight="1">
      <c r="A174" s="217">
        <v>1</v>
      </c>
      <c r="B174" s="214" t="s">
        <v>776</v>
      </c>
      <c r="C174" s="368" t="s">
        <v>405</v>
      </c>
      <c r="D174" s="34"/>
      <c r="E174" s="455">
        <v>0.2</v>
      </c>
      <c r="F174" s="455">
        <v>0.2</v>
      </c>
      <c r="G174" s="539">
        <v>0.2</v>
      </c>
      <c r="H174" s="595" t="s">
        <v>626</v>
      </c>
    </row>
    <row r="175" spans="1:8" ht="12.75" customHeight="1">
      <c r="A175" s="217">
        <v>0</v>
      </c>
      <c r="B175" s="214" t="s">
        <v>758</v>
      </c>
      <c r="C175" s="368" t="s">
        <v>245</v>
      </c>
      <c r="D175" s="34"/>
      <c r="E175" s="462">
        <v>43008</v>
      </c>
      <c r="F175" s="462">
        <v>43008</v>
      </c>
      <c r="G175" s="588">
        <v>43465</v>
      </c>
      <c r="H175" s="508"/>
    </row>
    <row r="176" spans="1:8" ht="12.75" customHeight="1">
      <c r="A176" s="217">
        <v>0</v>
      </c>
      <c r="B176" s="214" t="str">
        <f>B175</f>
        <v>2024Plan_RILA_Ultx2Lps</v>
      </c>
      <c r="C176" s="368" t="s">
        <v>359</v>
      </c>
      <c r="D176" s="34"/>
      <c r="E176" s="589" t="s">
        <v>647</v>
      </c>
      <c r="F176" s="589" t="s">
        <v>647</v>
      </c>
      <c r="G176" s="588" t="s">
        <v>619</v>
      </c>
    </row>
    <row r="177" spans="1:8" ht="12.75" customHeight="1">
      <c r="A177" s="217">
        <v>0</v>
      </c>
      <c r="B177" s="214" t="str">
        <f t="shared" ref="B177:B201" si="0">B176</f>
        <v>2024Plan_RILA_Ultx2Lps</v>
      </c>
      <c r="C177" s="172" t="s">
        <v>178</v>
      </c>
      <c r="D177" s="34"/>
      <c r="E177" s="590" t="s">
        <v>407</v>
      </c>
      <c r="F177" s="590" t="s">
        <v>407</v>
      </c>
      <c r="G177" s="588" t="s">
        <v>619</v>
      </c>
      <c r="H177" s="508"/>
    </row>
    <row r="178" spans="1:8" ht="12.75" customHeight="1">
      <c r="A178" s="217">
        <v>0</v>
      </c>
      <c r="B178" s="214" t="str">
        <f t="shared" si="0"/>
        <v>2024Plan_RILA_Ultx2Lps</v>
      </c>
      <c r="C178" s="172" t="s">
        <v>181</v>
      </c>
      <c r="D178" s="34"/>
      <c r="E178" s="590" t="s">
        <v>407</v>
      </c>
      <c r="F178" s="590" t="s">
        <v>407</v>
      </c>
      <c r="G178" s="588" t="s">
        <v>619</v>
      </c>
      <c r="H178" s="508"/>
    </row>
    <row r="179" spans="1:8" ht="12.75" customHeight="1">
      <c r="A179" s="217">
        <v>0</v>
      </c>
      <c r="B179" s="214" t="str">
        <f t="shared" si="0"/>
        <v>2024Plan_RILA_Ultx2Lps</v>
      </c>
      <c r="C179" s="368" t="s">
        <v>322</v>
      </c>
      <c r="D179" s="34"/>
      <c r="E179" s="319" t="s">
        <v>324</v>
      </c>
      <c r="F179" s="319" t="s">
        <v>324</v>
      </c>
      <c r="G179" s="591" t="s">
        <v>617</v>
      </c>
      <c r="H179" s="508"/>
    </row>
    <row r="180" spans="1:8" ht="12.75" customHeight="1">
      <c r="A180" s="217">
        <v>0</v>
      </c>
      <c r="B180" s="214" t="str">
        <f t="shared" si="0"/>
        <v>2024Plan_RILA_Ultx2Lps</v>
      </c>
      <c r="C180" s="368" t="s">
        <v>385</v>
      </c>
      <c r="D180" s="34"/>
      <c r="E180" s="517">
        <v>0.96</v>
      </c>
      <c r="F180" s="517">
        <v>0.96</v>
      </c>
      <c r="G180" s="592">
        <v>0.98</v>
      </c>
      <c r="H180" s="508"/>
    </row>
    <row r="181" spans="1:8" ht="12.75" customHeight="1">
      <c r="A181" s="217">
        <v>0</v>
      </c>
      <c r="B181" s="214" t="str">
        <f t="shared" si="0"/>
        <v>2024Plan_RILA_Ultx2Lps</v>
      </c>
      <c r="C181" s="368" t="s">
        <v>155</v>
      </c>
      <c r="D181" s="34"/>
      <c r="E181" s="593" t="s">
        <v>323</v>
      </c>
      <c r="F181" s="593" t="s">
        <v>323</v>
      </c>
      <c r="G181" s="591" t="s">
        <v>323</v>
      </c>
      <c r="H181" s="508"/>
    </row>
    <row r="182" spans="1:8" ht="12.75" customHeight="1">
      <c r="A182" s="217">
        <v>0</v>
      </c>
      <c r="B182" s="214" t="str">
        <f t="shared" si="0"/>
        <v>2024Plan_RILA_Ultx2Lps</v>
      </c>
      <c r="C182" s="623" t="s">
        <v>235</v>
      </c>
      <c r="D182" s="34"/>
      <c r="E182" s="319" t="s">
        <v>269</v>
      </c>
      <c r="F182" s="319" t="s">
        <v>269</v>
      </c>
      <c r="G182" s="591" t="s">
        <v>269</v>
      </c>
      <c r="H182" s="508"/>
    </row>
    <row r="183" spans="1:8" ht="12.75" customHeight="1">
      <c r="A183" s="217">
        <v>0</v>
      </c>
      <c r="B183" s="214" t="str">
        <f t="shared" si="0"/>
        <v>2024Plan_RILA_Ultx2Lps</v>
      </c>
      <c r="C183" s="368" t="s">
        <v>246</v>
      </c>
      <c r="D183" s="34"/>
      <c r="E183" s="455">
        <v>0</v>
      </c>
      <c r="F183" s="455">
        <v>0</v>
      </c>
      <c r="G183" s="594">
        <v>0</v>
      </c>
      <c r="H183" s="508"/>
    </row>
    <row r="184" spans="1:8" ht="12.75" customHeight="1">
      <c r="A184" s="217">
        <v>0</v>
      </c>
      <c r="B184" s="214" t="str">
        <f t="shared" si="0"/>
        <v>2024Plan_RILA_Ultx2Lps</v>
      </c>
      <c r="C184" s="368" t="s">
        <v>448</v>
      </c>
      <c r="D184" s="34"/>
      <c r="E184" s="455" t="s">
        <v>34</v>
      </c>
      <c r="F184" s="455" t="s">
        <v>34</v>
      </c>
      <c r="G184" s="594" t="s">
        <v>34</v>
      </c>
      <c r="H184" s="508"/>
    </row>
    <row r="185" spans="1:8" ht="12.75" customHeight="1">
      <c r="A185" s="217">
        <v>0</v>
      </c>
      <c r="B185" s="214" t="str">
        <f t="shared" si="0"/>
        <v>2024Plan_RILA_Ultx2Lps</v>
      </c>
      <c r="C185" s="368" t="s">
        <v>321</v>
      </c>
      <c r="D185" s="34"/>
      <c r="E185" s="319" t="s">
        <v>648</v>
      </c>
      <c r="F185" s="319" t="s">
        <v>648</v>
      </c>
      <c r="G185" s="622" t="s">
        <v>759</v>
      </c>
      <c r="H185" s="508"/>
    </row>
    <row r="186" spans="1:8" ht="12.75" customHeight="1">
      <c r="A186" s="348">
        <v>0</v>
      </c>
      <c r="B186" s="214" t="str">
        <f t="shared" si="0"/>
        <v>2024Plan_RILA_Ultx2Lps</v>
      </c>
      <c r="C186" s="624" t="s">
        <v>355</v>
      </c>
      <c r="D186" s="34"/>
      <c r="E186" s="537" t="s">
        <v>358</v>
      </c>
      <c r="F186" s="537" t="s">
        <v>358</v>
      </c>
      <c r="G186" s="591" t="s">
        <v>358</v>
      </c>
      <c r="H186" s="508"/>
    </row>
    <row r="187" spans="1:8" s="155" customFormat="1" ht="12.75" customHeight="1">
      <c r="A187" s="217">
        <v>0</v>
      </c>
      <c r="B187" s="214" t="str">
        <f t="shared" si="0"/>
        <v>2024Plan_RILA_Ultx2Lps</v>
      </c>
      <c r="C187" s="368" t="s">
        <v>797</v>
      </c>
      <c r="D187" s="165"/>
      <c r="E187" s="455">
        <v>0</v>
      </c>
      <c r="F187" s="455">
        <v>0</v>
      </c>
      <c r="G187" s="594">
        <v>0</v>
      </c>
      <c r="H187" s="213"/>
    </row>
    <row r="188" spans="1:8" ht="12.75" customHeight="1">
      <c r="A188" s="217">
        <v>0</v>
      </c>
      <c r="B188" s="214" t="str">
        <f>B186</f>
        <v>2024Plan_RILA_Ultx2Lps</v>
      </c>
      <c r="C188" s="368" t="s">
        <v>405</v>
      </c>
      <c r="D188" s="34"/>
      <c r="E188" s="455">
        <v>0.2</v>
      </c>
      <c r="F188" s="455">
        <v>0.2</v>
      </c>
      <c r="G188" s="539">
        <v>0.2</v>
      </c>
      <c r="H188" s="595" t="s">
        <v>626</v>
      </c>
    </row>
    <row r="189" spans="1:8" ht="12.75" customHeight="1">
      <c r="A189" s="217">
        <v>1</v>
      </c>
      <c r="B189" s="214" t="str">
        <f t="shared" si="0"/>
        <v>2024Plan_RILA_Ultx2Lps</v>
      </c>
      <c r="C189" s="368" t="s">
        <v>245</v>
      </c>
      <c r="D189" s="34"/>
      <c r="E189" s="462">
        <v>43008</v>
      </c>
      <c r="F189" s="462">
        <v>43008</v>
      </c>
      <c r="G189" s="588">
        <v>43465</v>
      </c>
      <c r="H189" s="508" t="s">
        <v>640</v>
      </c>
    </row>
    <row r="190" spans="1:8" ht="12.75" customHeight="1">
      <c r="A190" s="217">
        <v>1</v>
      </c>
      <c r="B190" s="214" t="str">
        <f t="shared" si="0"/>
        <v>2024Plan_RILA_Ultx2Lps</v>
      </c>
      <c r="C190" s="368" t="s">
        <v>359</v>
      </c>
      <c r="D190" s="34"/>
      <c r="E190" s="589" t="s">
        <v>647</v>
      </c>
      <c r="F190" s="589" t="s">
        <v>647</v>
      </c>
      <c r="G190" s="588" t="s">
        <v>619</v>
      </c>
    </row>
    <row r="191" spans="1:8" ht="12.75" customHeight="1">
      <c r="A191" s="217">
        <v>1</v>
      </c>
      <c r="B191" s="214" t="str">
        <f t="shared" si="0"/>
        <v>2024Plan_RILA_Ultx2Lps</v>
      </c>
      <c r="C191" s="172" t="s">
        <v>178</v>
      </c>
      <c r="D191" s="34"/>
      <c r="E191" s="590" t="s">
        <v>407</v>
      </c>
      <c r="F191" s="590" t="s">
        <v>407</v>
      </c>
      <c r="G191" s="588" t="s">
        <v>619</v>
      </c>
      <c r="H191" s="508"/>
    </row>
    <row r="192" spans="1:8" ht="12.75" customHeight="1">
      <c r="A192" s="217">
        <v>1</v>
      </c>
      <c r="B192" s="214" t="str">
        <f t="shared" si="0"/>
        <v>2024Plan_RILA_Ultx2Lps</v>
      </c>
      <c r="C192" s="172" t="s">
        <v>181</v>
      </c>
      <c r="D192" s="34"/>
      <c r="E192" s="590" t="s">
        <v>407</v>
      </c>
      <c r="F192" s="590" t="s">
        <v>407</v>
      </c>
      <c r="G192" s="588" t="s">
        <v>619</v>
      </c>
      <c r="H192" s="508"/>
    </row>
    <row r="193" spans="1:8" ht="12.75" customHeight="1">
      <c r="A193" s="217">
        <v>1</v>
      </c>
      <c r="B193" s="214" t="str">
        <f t="shared" si="0"/>
        <v>2024Plan_RILA_Ultx2Lps</v>
      </c>
      <c r="C193" s="368" t="s">
        <v>322</v>
      </c>
      <c r="D193" s="34"/>
      <c r="E193" s="319" t="s">
        <v>324</v>
      </c>
      <c r="F193" s="319" t="s">
        <v>324</v>
      </c>
      <c r="G193" s="591" t="s">
        <v>617</v>
      </c>
      <c r="H193" s="508"/>
    </row>
    <row r="194" spans="1:8" ht="12.75" customHeight="1">
      <c r="A194" s="217">
        <v>1</v>
      </c>
      <c r="B194" s="214" t="str">
        <f t="shared" si="0"/>
        <v>2024Plan_RILA_Ultx2Lps</v>
      </c>
      <c r="C194" s="368" t="s">
        <v>385</v>
      </c>
      <c r="D194" s="34"/>
      <c r="E194" s="517">
        <v>0.96</v>
      </c>
      <c r="F194" s="517">
        <v>0.96</v>
      </c>
      <c r="G194" s="592">
        <v>0.98</v>
      </c>
      <c r="H194" s="508"/>
    </row>
    <row r="195" spans="1:8" ht="12.75" customHeight="1">
      <c r="A195" s="217">
        <v>1</v>
      </c>
      <c r="B195" s="214" t="str">
        <f t="shared" si="0"/>
        <v>2024Plan_RILA_Ultx2Lps</v>
      </c>
      <c r="C195" s="368" t="s">
        <v>155</v>
      </c>
      <c r="D195" s="34"/>
      <c r="E195" s="593" t="s">
        <v>323</v>
      </c>
      <c r="F195" s="593" t="s">
        <v>323</v>
      </c>
      <c r="G195" s="591" t="s">
        <v>323</v>
      </c>
      <c r="H195" s="508"/>
    </row>
    <row r="196" spans="1:8" ht="12.75" customHeight="1">
      <c r="A196" s="217">
        <v>1</v>
      </c>
      <c r="B196" s="214" t="str">
        <f t="shared" si="0"/>
        <v>2024Plan_RILA_Ultx2Lps</v>
      </c>
      <c r="C196" s="623" t="s">
        <v>235</v>
      </c>
      <c r="D196" s="34"/>
      <c r="E196" s="319" t="s">
        <v>269</v>
      </c>
      <c r="F196" s="319" t="s">
        <v>269</v>
      </c>
      <c r="G196" s="591" t="s">
        <v>269</v>
      </c>
      <c r="H196" s="508"/>
    </row>
    <row r="197" spans="1:8" ht="12.75" customHeight="1">
      <c r="A197" s="217">
        <v>1</v>
      </c>
      <c r="B197" s="214" t="str">
        <f t="shared" si="0"/>
        <v>2024Plan_RILA_Ultx2Lps</v>
      </c>
      <c r="C197" s="368" t="s">
        <v>246</v>
      </c>
      <c r="D197" s="34"/>
      <c r="E197" s="455">
        <v>0</v>
      </c>
      <c r="F197" s="455">
        <v>0</v>
      </c>
      <c r="G197" s="594">
        <v>0</v>
      </c>
      <c r="H197" s="508"/>
    </row>
    <row r="198" spans="1:8" ht="12.75" customHeight="1">
      <c r="A198" s="217">
        <v>1</v>
      </c>
      <c r="B198" s="214" t="str">
        <f t="shared" si="0"/>
        <v>2024Plan_RILA_Ultx2Lps</v>
      </c>
      <c r="C198" s="368" t="s">
        <v>448</v>
      </c>
      <c r="D198" s="34"/>
      <c r="E198" s="455" t="s">
        <v>34</v>
      </c>
      <c r="F198" s="455" t="s">
        <v>34</v>
      </c>
      <c r="G198" s="594" t="s">
        <v>34</v>
      </c>
      <c r="H198" s="508"/>
    </row>
    <row r="199" spans="1:8" ht="12.75" customHeight="1">
      <c r="A199" s="217">
        <v>1</v>
      </c>
      <c r="B199" s="214" t="str">
        <f t="shared" si="0"/>
        <v>2024Plan_RILA_Ultx2Lps</v>
      </c>
      <c r="C199" s="368" t="s">
        <v>321</v>
      </c>
      <c r="D199" s="34"/>
      <c r="E199" s="319" t="s">
        <v>648</v>
      </c>
      <c r="F199" s="319" t="s">
        <v>648</v>
      </c>
      <c r="G199" s="622" t="s">
        <v>760</v>
      </c>
      <c r="H199" s="508"/>
    </row>
    <row r="200" spans="1:8" ht="12.75" customHeight="1">
      <c r="A200" s="348">
        <v>1</v>
      </c>
      <c r="B200" s="214" t="str">
        <f t="shared" si="0"/>
        <v>2024Plan_RILA_Ultx2Lps</v>
      </c>
      <c r="C200" s="624" t="s">
        <v>355</v>
      </c>
      <c r="D200" s="34"/>
      <c r="E200" s="537" t="s">
        <v>358</v>
      </c>
      <c r="F200" s="537" t="s">
        <v>358</v>
      </c>
      <c r="G200" s="591" t="s">
        <v>744</v>
      </c>
      <c r="H200" s="508"/>
    </row>
    <row r="201" spans="1:8" s="155" customFormat="1" ht="12.75" customHeight="1">
      <c r="A201" s="217">
        <v>1</v>
      </c>
      <c r="B201" s="214" t="str">
        <f t="shared" si="0"/>
        <v>2024Plan_RILA_Ultx2Lps</v>
      </c>
      <c r="C201" s="368" t="s">
        <v>797</v>
      </c>
      <c r="D201" s="165"/>
      <c r="E201" s="455">
        <v>0</v>
      </c>
      <c r="F201" s="455">
        <v>0</v>
      </c>
      <c r="G201" s="594">
        <v>0</v>
      </c>
      <c r="H201" s="213"/>
    </row>
    <row r="202" spans="1:8" ht="12.75" customHeight="1">
      <c r="A202" s="217">
        <v>1</v>
      </c>
      <c r="B202" s="214" t="str">
        <f>B200</f>
        <v>2024Plan_RILA_Ultx2Lps</v>
      </c>
      <c r="C202" s="368" t="s">
        <v>405</v>
      </c>
      <c r="D202" s="34"/>
      <c r="E202" s="455">
        <v>0.2</v>
      </c>
      <c r="F202" s="455">
        <v>0.2</v>
      </c>
      <c r="G202" s="539">
        <v>0.2</v>
      </c>
      <c r="H202" s="595" t="s">
        <v>626</v>
      </c>
    </row>
    <row r="203" spans="1:8" ht="12.75" customHeight="1">
      <c r="A203" s="217">
        <v>0</v>
      </c>
      <c r="B203" s="214" t="s">
        <v>761</v>
      </c>
      <c r="C203" s="368" t="s">
        <v>245</v>
      </c>
      <c r="D203" s="34"/>
      <c r="E203" s="462">
        <v>43008</v>
      </c>
      <c r="F203" s="462">
        <v>43008</v>
      </c>
      <c r="G203" s="588">
        <v>43465</v>
      </c>
      <c r="H203" s="508"/>
    </row>
    <row r="204" spans="1:8" ht="12.75" customHeight="1">
      <c r="A204" s="217">
        <v>0</v>
      </c>
      <c r="B204" s="214" t="str">
        <f>B203</f>
        <v>2024Plan_RILA_ShkLps-15%</v>
      </c>
      <c r="C204" s="368" t="s">
        <v>359</v>
      </c>
      <c r="D204" s="34"/>
      <c r="E204" s="589" t="s">
        <v>647</v>
      </c>
      <c r="F204" s="589" t="s">
        <v>647</v>
      </c>
      <c r="G204" s="588" t="s">
        <v>619</v>
      </c>
    </row>
    <row r="205" spans="1:8" ht="12.75" customHeight="1">
      <c r="A205" s="217">
        <v>0</v>
      </c>
      <c r="B205" s="214" t="str">
        <f t="shared" ref="B205:B229" si="1">B204</f>
        <v>2024Plan_RILA_ShkLps-15%</v>
      </c>
      <c r="C205" s="172" t="s">
        <v>178</v>
      </c>
      <c r="D205" s="34"/>
      <c r="E205" s="590" t="s">
        <v>407</v>
      </c>
      <c r="F205" s="590" t="s">
        <v>407</v>
      </c>
      <c r="G205" s="588" t="s">
        <v>619</v>
      </c>
      <c r="H205" s="508"/>
    </row>
    <row r="206" spans="1:8" ht="12.75" customHeight="1">
      <c r="A206" s="217">
        <v>0</v>
      </c>
      <c r="B206" s="214" t="str">
        <f t="shared" si="1"/>
        <v>2024Plan_RILA_ShkLps-15%</v>
      </c>
      <c r="C206" s="172" t="s">
        <v>181</v>
      </c>
      <c r="D206" s="34"/>
      <c r="E206" s="590" t="s">
        <v>407</v>
      </c>
      <c r="F206" s="590" t="s">
        <v>407</v>
      </c>
      <c r="G206" s="588" t="s">
        <v>619</v>
      </c>
      <c r="H206" s="508"/>
    </row>
    <row r="207" spans="1:8" ht="12.75" customHeight="1">
      <c r="A207" s="217">
        <v>0</v>
      </c>
      <c r="B207" s="214" t="str">
        <f t="shared" si="1"/>
        <v>2024Plan_RILA_ShkLps-15%</v>
      </c>
      <c r="C207" s="368" t="s">
        <v>322</v>
      </c>
      <c r="D207" s="34"/>
      <c r="E207" s="319" t="s">
        <v>324</v>
      </c>
      <c r="F207" s="319" t="s">
        <v>324</v>
      </c>
      <c r="G207" s="591" t="s">
        <v>617</v>
      </c>
      <c r="H207" s="508"/>
    </row>
    <row r="208" spans="1:8" ht="12.75" customHeight="1">
      <c r="A208" s="217">
        <v>0</v>
      </c>
      <c r="B208" s="214" t="str">
        <f t="shared" si="1"/>
        <v>2024Plan_RILA_ShkLps-15%</v>
      </c>
      <c r="C208" s="368" t="s">
        <v>385</v>
      </c>
      <c r="D208" s="34"/>
      <c r="E208" s="517">
        <v>0.96</v>
      </c>
      <c r="F208" s="517">
        <v>0.96</v>
      </c>
      <c r="G208" s="592">
        <v>0.98</v>
      </c>
      <c r="H208" s="508"/>
    </row>
    <row r="209" spans="1:8" ht="12.75" customHeight="1">
      <c r="A209" s="217">
        <v>0</v>
      </c>
      <c r="B209" s="214" t="str">
        <f t="shared" si="1"/>
        <v>2024Plan_RILA_ShkLps-15%</v>
      </c>
      <c r="C209" s="368" t="s">
        <v>155</v>
      </c>
      <c r="D209" s="34"/>
      <c r="E209" s="593" t="s">
        <v>323</v>
      </c>
      <c r="F209" s="593" t="s">
        <v>323</v>
      </c>
      <c r="G209" s="591" t="s">
        <v>323</v>
      </c>
      <c r="H209" s="508"/>
    </row>
    <row r="210" spans="1:8" ht="12.75" customHeight="1">
      <c r="A210" s="217">
        <v>0</v>
      </c>
      <c r="B210" s="214" t="str">
        <f t="shared" si="1"/>
        <v>2024Plan_RILA_ShkLps-15%</v>
      </c>
      <c r="C210" s="623" t="s">
        <v>235</v>
      </c>
      <c r="D210" s="34"/>
      <c r="E210" s="319" t="s">
        <v>269</v>
      </c>
      <c r="F210" s="319" t="s">
        <v>269</v>
      </c>
      <c r="G210" s="591" t="s">
        <v>269</v>
      </c>
      <c r="H210" s="508"/>
    </row>
    <row r="211" spans="1:8" ht="12.75" customHeight="1">
      <c r="A211" s="217">
        <v>0</v>
      </c>
      <c r="B211" s="214" t="str">
        <f t="shared" si="1"/>
        <v>2024Plan_RILA_ShkLps-15%</v>
      </c>
      <c r="C211" s="368" t="s">
        <v>246</v>
      </c>
      <c r="D211" s="34"/>
      <c r="E211" s="455">
        <v>0</v>
      </c>
      <c r="F211" s="455">
        <v>0</v>
      </c>
      <c r="G211" s="594">
        <v>0</v>
      </c>
      <c r="H211" s="508"/>
    </row>
    <row r="212" spans="1:8" ht="12.75" customHeight="1">
      <c r="A212" s="217">
        <v>0</v>
      </c>
      <c r="B212" s="214" t="str">
        <f t="shared" si="1"/>
        <v>2024Plan_RILA_ShkLps-15%</v>
      </c>
      <c r="C212" s="368" t="s">
        <v>448</v>
      </c>
      <c r="D212" s="34"/>
      <c r="E212" s="455" t="s">
        <v>34</v>
      </c>
      <c r="F212" s="455" t="s">
        <v>34</v>
      </c>
      <c r="G212" s="594" t="s">
        <v>34</v>
      </c>
      <c r="H212" s="508"/>
    </row>
    <row r="213" spans="1:8" ht="12.75" customHeight="1">
      <c r="A213" s="217">
        <v>0</v>
      </c>
      <c r="B213" s="214" t="str">
        <f t="shared" si="1"/>
        <v>2024Plan_RILA_ShkLps-15%</v>
      </c>
      <c r="C213" s="368" t="s">
        <v>321</v>
      </c>
      <c r="D213" s="34"/>
      <c r="E213" s="319" t="s">
        <v>648</v>
      </c>
      <c r="F213" s="319" t="s">
        <v>648</v>
      </c>
      <c r="G213" s="622" t="s">
        <v>762</v>
      </c>
      <c r="H213" s="508"/>
    </row>
    <row r="214" spans="1:8" ht="12.75" customHeight="1">
      <c r="A214" s="348">
        <v>0</v>
      </c>
      <c r="B214" s="214" t="str">
        <f t="shared" si="1"/>
        <v>2024Plan_RILA_ShkLps-15%</v>
      </c>
      <c r="C214" s="624" t="s">
        <v>355</v>
      </c>
      <c r="D214" s="34"/>
      <c r="E214" s="537" t="s">
        <v>358</v>
      </c>
      <c r="F214" s="537" t="s">
        <v>358</v>
      </c>
      <c r="G214" s="591" t="s">
        <v>358</v>
      </c>
      <c r="H214" s="508"/>
    </row>
    <row r="215" spans="1:8" s="155" customFormat="1" ht="12.75" customHeight="1">
      <c r="A215" s="217">
        <v>0</v>
      </c>
      <c r="B215" s="214" t="str">
        <f t="shared" si="1"/>
        <v>2024Plan_RILA_ShkLps-15%</v>
      </c>
      <c r="C215" s="368" t="s">
        <v>797</v>
      </c>
      <c r="D215" s="165"/>
      <c r="E215" s="455">
        <v>0</v>
      </c>
      <c r="F215" s="455">
        <v>0</v>
      </c>
      <c r="G215" s="594">
        <v>0</v>
      </c>
      <c r="H215" s="213"/>
    </row>
    <row r="216" spans="1:8" ht="12.75" customHeight="1">
      <c r="A216" s="217">
        <v>0</v>
      </c>
      <c r="B216" s="214" t="str">
        <f>B214</f>
        <v>2024Plan_RILA_ShkLps-15%</v>
      </c>
      <c r="C216" s="368" t="s">
        <v>405</v>
      </c>
      <c r="D216" s="34"/>
      <c r="E216" s="455">
        <v>0.2</v>
      </c>
      <c r="F216" s="455">
        <v>0.2</v>
      </c>
      <c r="G216" s="539">
        <v>0.2</v>
      </c>
      <c r="H216" s="595" t="s">
        <v>626</v>
      </c>
    </row>
    <row r="217" spans="1:8" ht="12.75" customHeight="1">
      <c r="A217" s="217">
        <v>1</v>
      </c>
      <c r="B217" s="214" t="str">
        <f t="shared" si="1"/>
        <v>2024Plan_RILA_ShkLps-15%</v>
      </c>
      <c r="C217" s="368" t="s">
        <v>245</v>
      </c>
      <c r="D217" s="34"/>
      <c r="E217" s="462">
        <v>43008</v>
      </c>
      <c r="F217" s="462">
        <v>43008</v>
      </c>
      <c r="G217" s="588">
        <v>43465</v>
      </c>
      <c r="H217" s="508" t="s">
        <v>640</v>
      </c>
    </row>
    <row r="218" spans="1:8" ht="12.75" customHeight="1">
      <c r="A218" s="217">
        <v>1</v>
      </c>
      <c r="B218" s="214" t="str">
        <f t="shared" si="1"/>
        <v>2024Plan_RILA_ShkLps-15%</v>
      </c>
      <c r="C218" s="368" t="s">
        <v>359</v>
      </c>
      <c r="D218" s="34"/>
      <c r="E218" s="589" t="s">
        <v>647</v>
      </c>
      <c r="F218" s="589" t="s">
        <v>647</v>
      </c>
      <c r="G218" s="588" t="s">
        <v>619</v>
      </c>
    </row>
    <row r="219" spans="1:8" ht="12.75" customHeight="1">
      <c r="A219" s="217">
        <v>1</v>
      </c>
      <c r="B219" s="214" t="str">
        <f t="shared" si="1"/>
        <v>2024Plan_RILA_ShkLps-15%</v>
      </c>
      <c r="C219" s="172" t="s">
        <v>178</v>
      </c>
      <c r="D219" s="34"/>
      <c r="E219" s="590" t="s">
        <v>407</v>
      </c>
      <c r="F219" s="590" t="s">
        <v>407</v>
      </c>
      <c r="G219" s="588" t="s">
        <v>619</v>
      </c>
      <c r="H219" s="508"/>
    </row>
    <row r="220" spans="1:8" ht="12.75" customHeight="1">
      <c r="A220" s="217">
        <v>1</v>
      </c>
      <c r="B220" s="214" t="str">
        <f t="shared" si="1"/>
        <v>2024Plan_RILA_ShkLps-15%</v>
      </c>
      <c r="C220" s="172" t="s">
        <v>181</v>
      </c>
      <c r="D220" s="34"/>
      <c r="E220" s="590" t="s">
        <v>407</v>
      </c>
      <c r="F220" s="590" t="s">
        <v>407</v>
      </c>
      <c r="G220" s="588" t="s">
        <v>619</v>
      </c>
      <c r="H220" s="508"/>
    </row>
    <row r="221" spans="1:8" ht="12.75" customHeight="1">
      <c r="A221" s="217">
        <v>1</v>
      </c>
      <c r="B221" s="214" t="str">
        <f t="shared" si="1"/>
        <v>2024Plan_RILA_ShkLps-15%</v>
      </c>
      <c r="C221" s="368" t="s">
        <v>322</v>
      </c>
      <c r="D221" s="34"/>
      <c r="E221" s="319" t="s">
        <v>324</v>
      </c>
      <c r="F221" s="319" t="s">
        <v>324</v>
      </c>
      <c r="G221" s="591" t="s">
        <v>617</v>
      </c>
      <c r="H221" s="508"/>
    </row>
    <row r="222" spans="1:8" ht="12.75" customHeight="1">
      <c r="A222" s="217">
        <v>1</v>
      </c>
      <c r="B222" s="214" t="str">
        <f t="shared" si="1"/>
        <v>2024Plan_RILA_ShkLps-15%</v>
      </c>
      <c r="C222" s="368" t="s">
        <v>385</v>
      </c>
      <c r="D222" s="34"/>
      <c r="E222" s="517">
        <v>0.96</v>
      </c>
      <c r="F222" s="517">
        <v>0.96</v>
      </c>
      <c r="G222" s="592">
        <v>0.98</v>
      </c>
      <c r="H222" s="508"/>
    </row>
    <row r="223" spans="1:8" ht="12.75" customHeight="1">
      <c r="A223" s="217">
        <v>1</v>
      </c>
      <c r="B223" s="214" t="str">
        <f t="shared" si="1"/>
        <v>2024Plan_RILA_ShkLps-15%</v>
      </c>
      <c r="C223" s="368" t="s">
        <v>155</v>
      </c>
      <c r="D223" s="34"/>
      <c r="E223" s="593" t="s">
        <v>323</v>
      </c>
      <c r="F223" s="593" t="s">
        <v>323</v>
      </c>
      <c r="G223" s="591" t="s">
        <v>323</v>
      </c>
      <c r="H223" s="508"/>
    </row>
    <row r="224" spans="1:8" ht="12.75" customHeight="1">
      <c r="A224" s="217">
        <v>1</v>
      </c>
      <c r="B224" s="214" t="str">
        <f t="shared" si="1"/>
        <v>2024Plan_RILA_ShkLps-15%</v>
      </c>
      <c r="C224" s="623" t="s">
        <v>235</v>
      </c>
      <c r="D224" s="34"/>
      <c r="E224" s="319" t="s">
        <v>269</v>
      </c>
      <c r="F224" s="319" t="s">
        <v>269</v>
      </c>
      <c r="G224" s="591" t="s">
        <v>269</v>
      </c>
      <c r="H224" s="508"/>
    </row>
    <row r="225" spans="1:8" ht="12.75" customHeight="1">
      <c r="A225" s="217">
        <v>1</v>
      </c>
      <c r="B225" s="214" t="str">
        <f t="shared" si="1"/>
        <v>2024Plan_RILA_ShkLps-15%</v>
      </c>
      <c r="C225" s="368" t="s">
        <v>246</v>
      </c>
      <c r="D225" s="34"/>
      <c r="E225" s="455">
        <v>0</v>
      </c>
      <c r="F225" s="455">
        <v>0</v>
      </c>
      <c r="G225" s="594">
        <v>0</v>
      </c>
      <c r="H225" s="508"/>
    </row>
    <row r="226" spans="1:8" ht="12.75" customHeight="1">
      <c r="A226" s="217">
        <v>1</v>
      </c>
      <c r="B226" s="214" t="str">
        <f t="shared" si="1"/>
        <v>2024Plan_RILA_ShkLps-15%</v>
      </c>
      <c r="C226" s="368" t="s">
        <v>448</v>
      </c>
      <c r="D226" s="34"/>
      <c r="E226" s="455" t="s">
        <v>34</v>
      </c>
      <c r="F226" s="455" t="s">
        <v>34</v>
      </c>
      <c r="G226" s="594" t="s">
        <v>34</v>
      </c>
      <c r="H226" s="508"/>
    </row>
    <row r="227" spans="1:8" ht="12.75" customHeight="1">
      <c r="A227" s="217">
        <v>1</v>
      </c>
      <c r="B227" s="214" t="str">
        <f t="shared" si="1"/>
        <v>2024Plan_RILA_ShkLps-15%</v>
      </c>
      <c r="C227" s="368" t="s">
        <v>321</v>
      </c>
      <c r="D227" s="34"/>
      <c r="E227" s="319" t="s">
        <v>648</v>
      </c>
      <c r="F227" s="319" t="s">
        <v>648</v>
      </c>
      <c r="G227" s="622" t="s">
        <v>763</v>
      </c>
      <c r="H227" s="508"/>
    </row>
    <row r="228" spans="1:8" ht="12.75" customHeight="1">
      <c r="A228" s="348">
        <v>1</v>
      </c>
      <c r="B228" s="214" t="str">
        <f t="shared" si="1"/>
        <v>2024Plan_RILA_ShkLps-15%</v>
      </c>
      <c r="C228" s="624" t="s">
        <v>355</v>
      </c>
      <c r="D228" s="34"/>
      <c r="E228" s="537" t="s">
        <v>358</v>
      </c>
      <c r="F228" s="537" t="s">
        <v>358</v>
      </c>
      <c r="G228" s="591" t="s">
        <v>744</v>
      </c>
      <c r="H228" s="508"/>
    </row>
    <row r="229" spans="1:8" s="155" customFormat="1" ht="12.75" customHeight="1">
      <c r="A229" s="217">
        <v>1</v>
      </c>
      <c r="B229" s="214" t="str">
        <f t="shared" si="1"/>
        <v>2024Plan_RILA_ShkLps-15%</v>
      </c>
      <c r="C229" s="368" t="s">
        <v>797</v>
      </c>
      <c r="D229" s="165"/>
      <c r="E229" s="455">
        <v>0</v>
      </c>
      <c r="F229" s="455">
        <v>0</v>
      </c>
      <c r="G229" s="594">
        <v>0</v>
      </c>
      <c r="H229" s="213"/>
    </row>
    <row r="230" spans="1:8" ht="12.75" customHeight="1">
      <c r="A230" s="217">
        <v>1</v>
      </c>
      <c r="B230" s="214" t="str">
        <f>B228</f>
        <v>2024Plan_RILA_ShkLps-15%</v>
      </c>
      <c r="C230" s="368" t="s">
        <v>405</v>
      </c>
      <c r="D230" s="34"/>
      <c r="E230" s="455">
        <v>0.2</v>
      </c>
      <c r="F230" s="455">
        <v>0.2</v>
      </c>
      <c r="G230" s="539">
        <v>0.2</v>
      </c>
      <c r="H230" s="595" t="s">
        <v>626</v>
      </c>
    </row>
    <row r="231" spans="1:8" ht="12.75" customHeight="1">
      <c r="A231" s="217">
        <v>0</v>
      </c>
      <c r="B231" s="214" t="s">
        <v>764</v>
      </c>
      <c r="C231" s="368" t="s">
        <v>245</v>
      </c>
      <c r="D231" s="34"/>
      <c r="E231" s="462">
        <v>43008</v>
      </c>
      <c r="F231" s="462">
        <v>43008</v>
      </c>
      <c r="G231" s="588">
        <v>43465</v>
      </c>
      <c r="H231" s="508"/>
    </row>
    <row r="232" spans="1:8" ht="12.75" customHeight="1">
      <c r="A232" s="217">
        <v>0</v>
      </c>
      <c r="B232" s="214" t="str">
        <f>B231</f>
        <v>2024Plan_RILA_ShkLps+15%</v>
      </c>
      <c r="C232" s="368" t="s">
        <v>359</v>
      </c>
      <c r="D232" s="34"/>
      <c r="E232" s="589" t="s">
        <v>647</v>
      </c>
      <c r="F232" s="589" t="s">
        <v>647</v>
      </c>
      <c r="G232" s="588" t="s">
        <v>619</v>
      </c>
    </row>
    <row r="233" spans="1:8" ht="12.75" customHeight="1">
      <c r="A233" s="217">
        <v>0</v>
      </c>
      <c r="B233" s="214" t="str">
        <f t="shared" ref="B233:B256" si="2">B232</f>
        <v>2024Plan_RILA_ShkLps+15%</v>
      </c>
      <c r="C233" s="172" t="s">
        <v>178</v>
      </c>
      <c r="D233" s="34"/>
      <c r="E233" s="590" t="s">
        <v>407</v>
      </c>
      <c r="F233" s="590" t="s">
        <v>407</v>
      </c>
      <c r="G233" s="588" t="s">
        <v>619</v>
      </c>
      <c r="H233" s="508"/>
    </row>
    <row r="234" spans="1:8" ht="12.75" customHeight="1">
      <c r="A234" s="217">
        <v>0</v>
      </c>
      <c r="B234" s="214" t="str">
        <f t="shared" si="2"/>
        <v>2024Plan_RILA_ShkLps+15%</v>
      </c>
      <c r="C234" s="172" t="s">
        <v>181</v>
      </c>
      <c r="D234" s="34"/>
      <c r="E234" s="590" t="s">
        <v>407</v>
      </c>
      <c r="F234" s="590" t="s">
        <v>407</v>
      </c>
      <c r="G234" s="588" t="s">
        <v>619</v>
      </c>
      <c r="H234" s="508"/>
    </row>
    <row r="235" spans="1:8" ht="12.75" customHeight="1">
      <c r="A235" s="217">
        <v>0</v>
      </c>
      <c r="B235" s="214" t="str">
        <f t="shared" si="2"/>
        <v>2024Plan_RILA_ShkLps+15%</v>
      </c>
      <c r="C235" s="368" t="s">
        <v>322</v>
      </c>
      <c r="D235" s="34"/>
      <c r="E235" s="319" t="s">
        <v>324</v>
      </c>
      <c r="F235" s="319" t="s">
        <v>324</v>
      </c>
      <c r="G235" s="591" t="s">
        <v>617</v>
      </c>
      <c r="H235" s="508"/>
    </row>
    <row r="236" spans="1:8" ht="12.75" customHeight="1">
      <c r="A236" s="217">
        <v>0</v>
      </c>
      <c r="B236" s="214" t="str">
        <f t="shared" si="2"/>
        <v>2024Plan_RILA_ShkLps+15%</v>
      </c>
      <c r="C236" s="368" t="s">
        <v>385</v>
      </c>
      <c r="D236" s="34"/>
      <c r="E236" s="517">
        <v>0.96</v>
      </c>
      <c r="F236" s="517">
        <v>0.96</v>
      </c>
      <c r="G236" s="592">
        <v>0.98</v>
      </c>
      <c r="H236" s="508"/>
    </row>
    <row r="237" spans="1:8" ht="12.75" customHeight="1">
      <c r="A237" s="217">
        <v>0</v>
      </c>
      <c r="B237" s="214" t="str">
        <f t="shared" si="2"/>
        <v>2024Plan_RILA_ShkLps+15%</v>
      </c>
      <c r="C237" s="368" t="s">
        <v>155</v>
      </c>
      <c r="D237" s="34"/>
      <c r="E237" s="593" t="s">
        <v>323</v>
      </c>
      <c r="F237" s="593" t="s">
        <v>323</v>
      </c>
      <c r="G237" s="591" t="s">
        <v>323</v>
      </c>
      <c r="H237" s="508"/>
    </row>
    <row r="238" spans="1:8" ht="12.75" customHeight="1">
      <c r="A238" s="217">
        <v>0</v>
      </c>
      <c r="B238" s="214" t="str">
        <f t="shared" si="2"/>
        <v>2024Plan_RILA_ShkLps+15%</v>
      </c>
      <c r="C238" s="623" t="s">
        <v>235</v>
      </c>
      <c r="D238" s="34"/>
      <c r="E238" s="319" t="s">
        <v>269</v>
      </c>
      <c r="F238" s="319" t="s">
        <v>269</v>
      </c>
      <c r="G238" s="591" t="s">
        <v>269</v>
      </c>
      <c r="H238" s="508"/>
    </row>
    <row r="239" spans="1:8" ht="12.75" customHeight="1">
      <c r="A239" s="217">
        <v>0</v>
      </c>
      <c r="B239" s="214" t="str">
        <f t="shared" si="2"/>
        <v>2024Plan_RILA_ShkLps+15%</v>
      </c>
      <c r="C239" s="368" t="s">
        <v>246</v>
      </c>
      <c r="D239" s="34"/>
      <c r="E239" s="455">
        <v>0</v>
      </c>
      <c r="F239" s="455">
        <v>0</v>
      </c>
      <c r="G239" s="594">
        <v>0</v>
      </c>
      <c r="H239" s="508"/>
    </row>
    <row r="240" spans="1:8" ht="12.75" customHeight="1">
      <c r="A240" s="217">
        <v>0</v>
      </c>
      <c r="B240" s="214" t="str">
        <f t="shared" si="2"/>
        <v>2024Plan_RILA_ShkLps+15%</v>
      </c>
      <c r="C240" s="368" t="s">
        <v>448</v>
      </c>
      <c r="D240" s="34"/>
      <c r="E240" s="455" t="s">
        <v>34</v>
      </c>
      <c r="F240" s="455" t="s">
        <v>34</v>
      </c>
      <c r="G240" s="594" t="s">
        <v>34</v>
      </c>
      <c r="H240" s="508"/>
    </row>
    <row r="241" spans="1:8" ht="12.75" customHeight="1">
      <c r="A241" s="217">
        <v>0</v>
      </c>
      <c r="B241" s="214" t="str">
        <f t="shared" si="2"/>
        <v>2024Plan_RILA_ShkLps+15%</v>
      </c>
      <c r="C241" s="368" t="s">
        <v>321</v>
      </c>
      <c r="D241" s="34"/>
      <c r="E241" s="319" t="s">
        <v>648</v>
      </c>
      <c r="F241" s="319" t="s">
        <v>648</v>
      </c>
      <c r="G241" s="622" t="s">
        <v>765</v>
      </c>
      <c r="H241" s="508"/>
    </row>
    <row r="242" spans="1:8" ht="12.75" customHeight="1">
      <c r="A242" s="348">
        <v>0</v>
      </c>
      <c r="B242" s="214" t="str">
        <f t="shared" si="2"/>
        <v>2024Plan_RILA_ShkLps+15%</v>
      </c>
      <c r="C242" s="624" t="s">
        <v>355</v>
      </c>
      <c r="D242" s="34"/>
      <c r="E242" s="537" t="s">
        <v>358</v>
      </c>
      <c r="F242" s="537" t="s">
        <v>358</v>
      </c>
      <c r="G242" s="591" t="s">
        <v>358</v>
      </c>
      <c r="H242" s="508"/>
    </row>
    <row r="243" spans="1:8" s="155" customFormat="1" ht="12.75" customHeight="1">
      <c r="A243" s="217">
        <v>0</v>
      </c>
      <c r="B243" s="214" t="str">
        <f>B242</f>
        <v>2024Plan_RILA_ShkLps+15%</v>
      </c>
      <c r="C243" s="368" t="s">
        <v>797</v>
      </c>
      <c r="D243" s="165"/>
      <c r="E243" s="455">
        <v>0</v>
      </c>
      <c r="F243" s="455">
        <v>0</v>
      </c>
      <c r="G243" s="594">
        <v>0</v>
      </c>
      <c r="H243" s="213"/>
    </row>
    <row r="244" spans="1:8" ht="12.75" customHeight="1">
      <c r="A244" s="217">
        <v>0</v>
      </c>
      <c r="B244" s="214" t="str">
        <f>B242</f>
        <v>2024Plan_RILA_ShkLps+15%</v>
      </c>
      <c r="C244" s="368" t="s">
        <v>405</v>
      </c>
      <c r="D244" s="34"/>
      <c r="E244" s="455">
        <v>0.2</v>
      </c>
      <c r="F244" s="455">
        <v>0.2</v>
      </c>
      <c r="G244" s="539">
        <v>0.2</v>
      </c>
      <c r="H244" s="595" t="s">
        <v>626</v>
      </c>
    </row>
    <row r="245" spans="1:8" ht="12.75" customHeight="1">
      <c r="A245" s="217">
        <v>1</v>
      </c>
      <c r="B245" s="214" t="str">
        <f t="shared" si="2"/>
        <v>2024Plan_RILA_ShkLps+15%</v>
      </c>
      <c r="C245" s="368" t="s">
        <v>245</v>
      </c>
      <c r="D245" s="34"/>
      <c r="E245" s="462">
        <v>43008</v>
      </c>
      <c r="F245" s="462">
        <v>43008</v>
      </c>
      <c r="G245" s="588">
        <v>43465</v>
      </c>
      <c r="H245" s="508" t="s">
        <v>640</v>
      </c>
    </row>
    <row r="246" spans="1:8" ht="12.75" customHeight="1">
      <c r="A246" s="217">
        <v>1</v>
      </c>
      <c r="B246" s="214" t="str">
        <f t="shared" si="2"/>
        <v>2024Plan_RILA_ShkLps+15%</v>
      </c>
      <c r="C246" s="368" t="s">
        <v>359</v>
      </c>
      <c r="D246" s="34"/>
      <c r="E246" s="589" t="s">
        <v>647</v>
      </c>
      <c r="F246" s="589" t="s">
        <v>647</v>
      </c>
      <c r="G246" s="588" t="s">
        <v>619</v>
      </c>
    </row>
    <row r="247" spans="1:8" ht="12.75" customHeight="1">
      <c r="A247" s="217">
        <v>1</v>
      </c>
      <c r="B247" s="214" t="str">
        <f t="shared" si="2"/>
        <v>2024Plan_RILA_ShkLps+15%</v>
      </c>
      <c r="C247" s="172" t="s">
        <v>178</v>
      </c>
      <c r="D247" s="34"/>
      <c r="E247" s="590" t="s">
        <v>407</v>
      </c>
      <c r="F247" s="590" t="s">
        <v>407</v>
      </c>
      <c r="G247" s="588" t="s">
        <v>619</v>
      </c>
      <c r="H247" s="508"/>
    </row>
    <row r="248" spans="1:8" ht="12.75" customHeight="1">
      <c r="A248" s="217">
        <v>1</v>
      </c>
      <c r="B248" s="214" t="str">
        <f t="shared" si="2"/>
        <v>2024Plan_RILA_ShkLps+15%</v>
      </c>
      <c r="C248" s="172" t="s">
        <v>181</v>
      </c>
      <c r="D248" s="34"/>
      <c r="E248" s="590" t="s">
        <v>407</v>
      </c>
      <c r="F248" s="590" t="s">
        <v>407</v>
      </c>
      <c r="G248" s="588" t="s">
        <v>619</v>
      </c>
      <c r="H248" s="508"/>
    </row>
    <row r="249" spans="1:8" ht="12.75" customHeight="1">
      <c r="A249" s="217">
        <v>1</v>
      </c>
      <c r="B249" s="214" t="str">
        <f t="shared" si="2"/>
        <v>2024Plan_RILA_ShkLps+15%</v>
      </c>
      <c r="C249" s="368" t="s">
        <v>322</v>
      </c>
      <c r="D249" s="34"/>
      <c r="E249" s="319" t="s">
        <v>324</v>
      </c>
      <c r="F249" s="319" t="s">
        <v>324</v>
      </c>
      <c r="G249" s="591" t="s">
        <v>617</v>
      </c>
      <c r="H249" s="508"/>
    </row>
    <row r="250" spans="1:8" ht="12.75" customHeight="1">
      <c r="A250" s="217">
        <v>1</v>
      </c>
      <c r="B250" s="214" t="str">
        <f t="shared" si="2"/>
        <v>2024Plan_RILA_ShkLps+15%</v>
      </c>
      <c r="C250" s="368" t="s">
        <v>385</v>
      </c>
      <c r="D250" s="34"/>
      <c r="E250" s="517">
        <v>0.96</v>
      </c>
      <c r="F250" s="517">
        <v>0.96</v>
      </c>
      <c r="G250" s="592">
        <v>0.98</v>
      </c>
      <c r="H250" s="508"/>
    </row>
    <row r="251" spans="1:8" ht="12.75" customHeight="1">
      <c r="A251" s="217">
        <v>1</v>
      </c>
      <c r="B251" s="214" t="str">
        <f t="shared" si="2"/>
        <v>2024Plan_RILA_ShkLps+15%</v>
      </c>
      <c r="C251" s="368" t="s">
        <v>155</v>
      </c>
      <c r="D251" s="34"/>
      <c r="E251" s="593" t="s">
        <v>323</v>
      </c>
      <c r="F251" s="593" t="s">
        <v>323</v>
      </c>
      <c r="G251" s="591" t="s">
        <v>323</v>
      </c>
      <c r="H251" s="508"/>
    </row>
    <row r="252" spans="1:8" ht="12.75" customHeight="1">
      <c r="A252" s="217">
        <v>1</v>
      </c>
      <c r="B252" s="214" t="str">
        <f t="shared" si="2"/>
        <v>2024Plan_RILA_ShkLps+15%</v>
      </c>
      <c r="C252" s="623" t="s">
        <v>235</v>
      </c>
      <c r="D252" s="34"/>
      <c r="E252" s="319" t="s">
        <v>269</v>
      </c>
      <c r="F252" s="319" t="s">
        <v>269</v>
      </c>
      <c r="G252" s="591" t="s">
        <v>269</v>
      </c>
      <c r="H252" s="508"/>
    </row>
    <row r="253" spans="1:8" ht="12.75" customHeight="1">
      <c r="A253" s="217">
        <v>1</v>
      </c>
      <c r="B253" s="214" t="str">
        <f t="shared" si="2"/>
        <v>2024Plan_RILA_ShkLps+15%</v>
      </c>
      <c r="C253" s="368" t="s">
        <v>246</v>
      </c>
      <c r="D253" s="34"/>
      <c r="E253" s="455">
        <v>0</v>
      </c>
      <c r="F253" s="455">
        <v>0</v>
      </c>
      <c r="G253" s="594">
        <v>0</v>
      </c>
      <c r="H253" s="508"/>
    </row>
    <row r="254" spans="1:8" ht="12.75" customHeight="1">
      <c r="A254" s="217">
        <v>1</v>
      </c>
      <c r="B254" s="214" t="str">
        <f t="shared" si="2"/>
        <v>2024Plan_RILA_ShkLps+15%</v>
      </c>
      <c r="C254" s="368" t="s">
        <v>448</v>
      </c>
      <c r="D254" s="34"/>
      <c r="E254" s="455" t="s">
        <v>34</v>
      </c>
      <c r="F254" s="455" t="s">
        <v>34</v>
      </c>
      <c r="G254" s="594" t="s">
        <v>34</v>
      </c>
      <c r="H254" s="508"/>
    </row>
    <row r="255" spans="1:8" ht="12.75" customHeight="1">
      <c r="A255" s="217">
        <v>1</v>
      </c>
      <c r="B255" s="214" t="str">
        <f t="shared" si="2"/>
        <v>2024Plan_RILA_ShkLps+15%</v>
      </c>
      <c r="C255" s="368" t="s">
        <v>321</v>
      </c>
      <c r="D255" s="34"/>
      <c r="E255" s="319" t="s">
        <v>648</v>
      </c>
      <c r="F255" s="319" t="s">
        <v>648</v>
      </c>
      <c r="G255" s="622" t="s">
        <v>766</v>
      </c>
      <c r="H255" s="508"/>
    </row>
    <row r="256" spans="1:8" ht="12.75" customHeight="1">
      <c r="A256" s="348">
        <v>1</v>
      </c>
      <c r="B256" s="214" t="str">
        <f t="shared" si="2"/>
        <v>2024Plan_RILA_ShkLps+15%</v>
      </c>
      <c r="C256" s="624" t="s">
        <v>355</v>
      </c>
      <c r="D256" s="34"/>
      <c r="E256" s="537" t="s">
        <v>358</v>
      </c>
      <c r="F256" s="537" t="s">
        <v>358</v>
      </c>
      <c r="G256" s="591" t="s">
        <v>744</v>
      </c>
      <c r="H256" s="508"/>
    </row>
    <row r="257" spans="1:8" s="155" customFormat="1" ht="12.75" customHeight="1">
      <c r="A257" s="217">
        <f>A256</f>
        <v>1</v>
      </c>
      <c r="B257" s="214" t="str">
        <f>B256</f>
        <v>2024Plan_RILA_ShkLps+15%</v>
      </c>
      <c r="C257" s="368" t="s">
        <v>797</v>
      </c>
      <c r="D257" s="165"/>
      <c r="E257" s="455">
        <v>0</v>
      </c>
      <c r="F257" s="455">
        <v>0</v>
      </c>
      <c r="G257" s="594">
        <v>0</v>
      </c>
      <c r="H257" s="213"/>
    </row>
    <row r="258" spans="1:8" ht="12.75" customHeight="1">
      <c r="A258" s="217">
        <v>1</v>
      </c>
      <c r="B258" s="214" t="str">
        <f>B256</f>
        <v>2024Plan_RILA_ShkLps+15%</v>
      </c>
      <c r="C258" s="368" t="s">
        <v>405</v>
      </c>
      <c r="D258" s="34"/>
      <c r="E258" s="455">
        <v>0.2</v>
      </c>
      <c r="F258" s="455">
        <v>0.2</v>
      </c>
      <c r="G258" s="539">
        <v>0.2</v>
      </c>
      <c r="H258" s="595" t="s">
        <v>626</v>
      </c>
    </row>
    <row r="259" spans="1:8" ht="12.75" customHeight="1">
      <c r="A259" s="217">
        <v>0</v>
      </c>
      <c r="B259" s="214" t="s">
        <v>767</v>
      </c>
      <c r="C259" s="368" t="s">
        <v>245</v>
      </c>
      <c r="D259" s="34"/>
      <c r="E259" s="462">
        <v>43008</v>
      </c>
      <c r="F259" s="462">
        <v>43008</v>
      </c>
      <c r="G259" s="588">
        <v>43465</v>
      </c>
      <c r="H259" s="508"/>
    </row>
    <row r="260" spans="1:8" ht="12.75" customHeight="1">
      <c r="A260" s="217">
        <v>0</v>
      </c>
      <c r="B260" s="214" t="str">
        <f>B259</f>
        <v>2024Plan_RILA_2xCDSCLps</v>
      </c>
      <c r="C260" s="368" t="s">
        <v>359</v>
      </c>
      <c r="D260" s="34"/>
      <c r="E260" s="589" t="s">
        <v>647</v>
      </c>
      <c r="F260" s="589" t="s">
        <v>647</v>
      </c>
      <c r="G260" s="588" t="s">
        <v>619</v>
      </c>
    </row>
    <row r="261" spans="1:8" ht="12.75" customHeight="1">
      <c r="A261" s="217">
        <v>0</v>
      </c>
      <c r="B261" s="214" t="str">
        <f t="shared" ref="B261:B284" si="3">B260</f>
        <v>2024Plan_RILA_2xCDSCLps</v>
      </c>
      <c r="C261" s="172" t="s">
        <v>178</v>
      </c>
      <c r="D261" s="34"/>
      <c r="E261" s="590" t="s">
        <v>407</v>
      </c>
      <c r="F261" s="590" t="s">
        <v>407</v>
      </c>
      <c r="G261" s="588" t="s">
        <v>619</v>
      </c>
      <c r="H261" s="508"/>
    </row>
    <row r="262" spans="1:8" ht="12.75" customHeight="1">
      <c r="A262" s="217">
        <v>0</v>
      </c>
      <c r="B262" s="214" t="str">
        <f t="shared" si="3"/>
        <v>2024Plan_RILA_2xCDSCLps</v>
      </c>
      <c r="C262" s="172" t="s">
        <v>181</v>
      </c>
      <c r="D262" s="34"/>
      <c r="E262" s="590" t="s">
        <v>407</v>
      </c>
      <c r="F262" s="590" t="s">
        <v>407</v>
      </c>
      <c r="G262" s="588" t="s">
        <v>619</v>
      </c>
      <c r="H262" s="508"/>
    </row>
    <row r="263" spans="1:8" ht="12.75" customHeight="1">
      <c r="A263" s="217">
        <v>0</v>
      </c>
      <c r="B263" s="214" t="str">
        <f t="shared" si="3"/>
        <v>2024Plan_RILA_2xCDSCLps</v>
      </c>
      <c r="C263" s="368" t="s">
        <v>322</v>
      </c>
      <c r="D263" s="34"/>
      <c r="E263" s="319" t="s">
        <v>324</v>
      </c>
      <c r="F263" s="319" t="s">
        <v>324</v>
      </c>
      <c r="G263" s="591" t="s">
        <v>617</v>
      </c>
      <c r="H263" s="508"/>
    </row>
    <row r="264" spans="1:8" ht="12.75" customHeight="1">
      <c r="A264" s="217">
        <v>0</v>
      </c>
      <c r="B264" s="214" t="str">
        <f t="shared" si="3"/>
        <v>2024Plan_RILA_2xCDSCLps</v>
      </c>
      <c r="C264" s="368" t="s">
        <v>385</v>
      </c>
      <c r="D264" s="34"/>
      <c r="E264" s="517">
        <v>0.96</v>
      </c>
      <c r="F264" s="517">
        <v>0.96</v>
      </c>
      <c r="G264" s="592">
        <v>0.98</v>
      </c>
      <c r="H264" s="508"/>
    </row>
    <row r="265" spans="1:8" ht="12.75" customHeight="1">
      <c r="A265" s="217">
        <v>0</v>
      </c>
      <c r="B265" s="214" t="str">
        <f t="shared" si="3"/>
        <v>2024Plan_RILA_2xCDSCLps</v>
      </c>
      <c r="C265" s="368" t="s">
        <v>155</v>
      </c>
      <c r="D265" s="34"/>
      <c r="E265" s="593" t="s">
        <v>323</v>
      </c>
      <c r="F265" s="593" t="s">
        <v>323</v>
      </c>
      <c r="G265" s="591" t="s">
        <v>323</v>
      </c>
      <c r="H265" s="508"/>
    </row>
    <row r="266" spans="1:8" ht="12.75" customHeight="1">
      <c r="A266" s="217">
        <v>0</v>
      </c>
      <c r="B266" s="214" t="str">
        <f t="shared" si="3"/>
        <v>2024Plan_RILA_2xCDSCLps</v>
      </c>
      <c r="C266" s="623" t="s">
        <v>235</v>
      </c>
      <c r="D266" s="34"/>
      <c r="E266" s="319" t="s">
        <v>269</v>
      </c>
      <c r="F266" s="319" t="s">
        <v>269</v>
      </c>
      <c r="G266" s="591" t="s">
        <v>269</v>
      </c>
      <c r="H266" s="508"/>
    </row>
    <row r="267" spans="1:8" ht="12.75" customHeight="1">
      <c r="A267" s="217">
        <v>0</v>
      </c>
      <c r="B267" s="214" t="str">
        <f t="shared" si="3"/>
        <v>2024Plan_RILA_2xCDSCLps</v>
      </c>
      <c r="C267" s="368" t="s">
        <v>246</v>
      </c>
      <c r="D267" s="34"/>
      <c r="E267" s="455">
        <v>0</v>
      </c>
      <c r="F267" s="455">
        <v>0</v>
      </c>
      <c r="G267" s="594">
        <v>0</v>
      </c>
      <c r="H267" s="508"/>
    </row>
    <row r="268" spans="1:8" ht="12.75" customHeight="1">
      <c r="A268" s="217">
        <v>0</v>
      </c>
      <c r="B268" s="214" t="str">
        <f t="shared" si="3"/>
        <v>2024Plan_RILA_2xCDSCLps</v>
      </c>
      <c r="C268" s="368" t="s">
        <v>448</v>
      </c>
      <c r="D268" s="34"/>
      <c r="E268" s="455" t="s">
        <v>34</v>
      </c>
      <c r="F268" s="455" t="s">
        <v>34</v>
      </c>
      <c r="G268" s="594" t="s">
        <v>34</v>
      </c>
      <c r="H268" s="508"/>
    </row>
    <row r="269" spans="1:8" ht="12.75" customHeight="1">
      <c r="A269" s="217">
        <v>0</v>
      </c>
      <c r="B269" s="214" t="str">
        <f t="shared" si="3"/>
        <v>2024Plan_RILA_2xCDSCLps</v>
      </c>
      <c r="C269" s="368" t="s">
        <v>321</v>
      </c>
      <c r="D269" s="34"/>
      <c r="E269" s="319" t="s">
        <v>648</v>
      </c>
      <c r="F269" s="319" t="s">
        <v>648</v>
      </c>
      <c r="G269" s="622" t="s">
        <v>768</v>
      </c>
      <c r="H269" s="508"/>
    </row>
    <row r="270" spans="1:8" ht="12.75" customHeight="1">
      <c r="A270" s="348">
        <v>0</v>
      </c>
      <c r="B270" s="214" t="str">
        <f t="shared" si="3"/>
        <v>2024Plan_RILA_2xCDSCLps</v>
      </c>
      <c r="C270" s="624" t="s">
        <v>355</v>
      </c>
      <c r="D270" s="34"/>
      <c r="E270" s="537" t="s">
        <v>358</v>
      </c>
      <c r="F270" s="537" t="s">
        <v>358</v>
      </c>
      <c r="G270" s="591" t="s">
        <v>358</v>
      </c>
      <c r="H270" s="508"/>
    </row>
    <row r="271" spans="1:8" s="155" customFormat="1" ht="12.75" customHeight="1">
      <c r="A271" s="217">
        <f>A270</f>
        <v>0</v>
      </c>
      <c r="B271" s="214" t="str">
        <f>B270</f>
        <v>2024Plan_RILA_2xCDSCLps</v>
      </c>
      <c r="C271" s="368" t="s">
        <v>797</v>
      </c>
      <c r="D271" s="165"/>
      <c r="E271" s="455">
        <v>0</v>
      </c>
      <c r="F271" s="455">
        <v>0</v>
      </c>
      <c r="G271" s="594">
        <v>0</v>
      </c>
      <c r="H271" s="213"/>
    </row>
    <row r="272" spans="1:8" ht="12.75" customHeight="1">
      <c r="A272" s="217">
        <v>0</v>
      </c>
      <c r="B272" s="214" t="str">
        <f>B270</f>
        <v>2024Plan_RILA_2xCDSCLps</v>
      </c>
      <c r="C272" s="368" t="s">
        <v>405</v>
      </c>
      <c r="D272" s="34"/>
      <c r="E272" s="455">
        <v>0.2</v>
      </c>
      <c r="F272" s="455">
        <v>0.2</v>
      </c>
      <c r="G272" s="539">
        <v>0.2</v>
      </c>
      <c r="H272" s="595" t="s">
        <v>626</v>
      </c>
    </row>
    <row r="273" spans="1:8" ht="12.75" customHeight="1">
      <c r="A273" s="217">
        <v>1</v>
      </c>
      <c r="B273" s="214" t="str">
        <f t="shared" si="3"/>
        <v>2024Plan_RILA_2xCDSCLps</v>
      </c>
      <c r="C273" s="368" t="s">
        <v>245</v>
      </c>
      <c r="D273" s="34"/>
      <c r="E273" s="462">
        <v>43008</v>
      </c>
      <c r="F273" s="462">
        <v>43008</v>
      </c>
      <c r="G273" s="588">
        <v>43465</v>
      </c>
      <c r="H273" s="508" t="s">
        <v>640</v>
      </c>
    </row>
    <row r="274" spans="1:8" ht="12.75" customHeight="1">
      <c r="A274" s="217">
        <v>1</v>
      </c>
      <c r="B274" s="214" t="str">
        <f t="shared" si="3"/>
        <v>2024Plan_RILA_2xCDSCLps</v>
      </c>
      <c r="C274" s="368" t="s">
        <v>359</v>
      </c>
      <c r="D274" s="34"/>
      <c r="E274" s="589" t="s">
        <v>647</v>
      </c>
      <c r="F274" s="589" t="s">
        <v>647</v>
      </c>
      <c r="G274" s="588" t="s">
        <v>619</v>
      </c>
    </row>
    <row r="275" spans="1:8" ht="12.75" customHeight="1">
      <c r="A275" s="217">
        <v>1</v>
      </c>
      <c r="B275" s="214" t="str">
        <f t="shared" si="3"/>
        <v>2024Plan_RILA_2xCDSCLps</v>
      </c>
      <c r="C275" s="172" t="s">
        <v>178</v>
      </c>
      <c r="D275" s="34"/>
      <c r="E275" s="590" t="s">
        <v>407</v>
      </c>
      <c r="F275" s="590" t="s">
        <v>407</v>
      </c>
      <c r="G275" s="588" t="s">
        <v>619</v>
      </c>
      <c r="H275" s="508"/>
    </row>
    <row r="276" spans="1:8" ht="12.75" customHeight="1">
      <c r="A276" s="217">
        <v>1</v>
      </c>
      <c r="B276" s="214" t="str">
        <f t="shared" si="3"/>
        <v>2024Plan_RILA_2xCDSCLps</v>
      </c>
      <c r="C276" s="172" t="s">
        <v>181</v>
      </c>
      <c r="D276" s="34"/>
      <c r="E276" s="590" t="s">
        <v>407</v>
      </c>
      <c r="F276" s="590" t="s">
        <v>407</v>
      </c>
      <c r="G276" s="588" t="s">
        <v>619</v>
      </c>
      <c r="H276" s="508"/>
    </row>
    <row r="277" spans="1:8" ht="12.75" customHeight="1">
      <c r="A277" s="217">
        <v>1</v>
      </c>
      <c r="B277" s="214" t="str">
        <f t="shared" si="3"/>
        <v>2024Plan_RILA_2xCDSCLps</v>
      </c>
      <c r="C277" s="368" t="s">
        <v>322</v>
      </c>
      <c r="D277" s="34"/>
      <c r="E277" s="319" t="s">
        <v>324</v>
      </c>
      <c r="F277" s="319" t="s">
        <v>324</v>
      </c>
      <c r="G277" s="591" t="s">
        <v>617</v>
      </c>
      <c r="H277" s="508"/>
    </row>
    <row r="278" spans="1:8" ht="12.75" customHeight="1">
      <c r="A278" s="217">
        <v>1</v>
      </c>
      <c r="B278" s="214" t="str">
        <f t="shared" si="3"/>
        <v>2024Plan_RILA_2xCDSCLps</v>
      </c>
      <c r="C278" s="368" t="s">
        <v>385</v>
      </c>
      <c r="D278" s="34"/>
      <c r="E278" s="517">
        <v>0.96</v>
      </c>
      <c r="F278" s="517">
        <v>0.96</v>
      </c>
      <c r="G278" s="592">
        <v>0.98</v>
      </c>
      <c r="H278" s="508"/>
    </row>
    <row r="279" spans="1:8" ht="12.75" customHeight="1">
      <c r="A279" s="217">
        <v>1</v>
      </c>
      <c r="B279" s="214" t="str">
        <f t="shared" si="3"/>
        <v>2024Plan_RILA_2xCDSCLps</v>
      </c>
      <c r="C279" s="368" t="s">
        <v>155</v>
      </c>
      <c r="D279" s="34"/>
      <c r="E279" s="593" t="s">
        <v>323</v>
      </c>
      <c r="F279" s="593" t="s">
        <v>323</v>
      </c>
      <c r="G279" s="591" t="s">
        <v>323</v>
      </c>
      <c r="H279" s="508"/>
    </row>
    <row r="280" spans="1:8" ht="12.75" customHeight="1">
      <c r="A280" s="217">
        <v>1</v>
      </c>
      <c r="B280" s="214" t="str">
        <f t="shared" si="3"/>
        <v>2024Plan_RILA_2xCDSCLps</v>
      </c>
      <c r="C280" s="623" t="s">
        <v>235</v>
      </c>
      <c r="D280" s="34"/>
      <c r="E280" s="319" t="s">
        <v>269</v>
      </c>
      <c r="F280" s="319" t="s">
        <v>269</v>
      </c>
      <c r="G280" s="591" t="s">
        <v>269</v>
      </c>
      <c r="H280" s="508"/>
    </row>
    <row r="281" spans="1:8" ht="12.75" customHeight="1">
      <c r="A281" s="217">
        <v>1</v>
      </c>
      <c r="B281" s="214" t="str">
        <f t="shared" si="3"/>
        <v>2024Plan_RILA_2xCDSCLps</v>
      </c>
      <c r="C281" s="368" t="s">
        <v>246</v>
      </c>
      <c r="D281" s="34"/>
      <c r="E281" s="455">
        <v>0</v>
      </c>
      <c r="F281" s="455">
        <v>0</v>
      </c>
      <c r="G281" s="594">
        <v>0</v>
      </c>
      <c r="H281" s="508"/>
    </row>
    <row r="282" spans="1:8" ht="12.75" customHeight="1">
      <c r="A282" s="217">
        <v>1</v>
      </c>
      <c r="B282" s="214" t="str">
        <f t="shared" si="3"/>
        <v>2024Plan_RILA_2xCDSCLps</v>
      </c>
      <c r="C282" s="368" t="s">
        <v>448</v>
      </c>
      <c r="D282" s="34"/>
      <c r="E282" s="455" t="s">
        <v>34</v>
      </c>
      <c r="F282" s="455" t="s">
        <v>34</v>
      </c>
      <c r="G282" s="594" t="s">
        <v>34</v>
      </c>
      <c r="H282" s="508"/>
    </row>
    <row r="283" spans="1:8" ht="12.75" customHeight="1">
      <c r="A283" s="217">
        <v>1</v>
      </c>
      <c r="B283" s="214" t="str">
        <f t="shared" si="3"/>
        <v>2024Plan_RILA_2xCDSCLps</v>
      </c>
      <c r="C283" s="368" t="s">
        <v>321</v>
      </c>
      <c r="D283" s="34"/>
      <c r="E283" s="319" t="s">
        <v>648</v>
      </c>
      <c r="F283" s="319" t="s">
        <v>648</v>
      </c>
      <c r="G283" s="622" t="s">
        <v>769</v>
      </c>
      <c r="H283" s="508"/>
    </row>
    <row r="284" spans="1:8" ht="12.75" customHeight="1">
      <c r="A284" s="348">
        <v>1</v>
      </c>
      <c r="B284" s="214" t="str">
        <f t="shared" si="3"/>
        <v>2024Plan_RILA_2xCDSCLps</v>
      </c>
      <c r="C284" s="624" t="s">
        <v>355</v>
      </c>
      <c r="D284" s="34"/>
      <c r="E284" s="537" t="s">
        <v>358</v>
      </c>
      <c r="F284" s="537" t="s">
        <v>358</v>
      </c>
      <c r="G284" s="591" t="s">
        <v>744</v>
      </c>
      <c r="H284" s="508"/>
    </row>
    <row r="285" spans="1:8" s="155" customFormat="1" ht="12.75" customHeight="1">
      <c r="A285" s="217">
        <f>A284</f>
        <v>1</v>
      </c>
      <c r="B285" s="214" t="str">
        <f>B284</f>
        <v>2024Plan_RILA_2xCDSCLps</v>
      </c>
      <c r="C285" s="368" t="s">
        <v>797</v>
      </c>
      <c r="D285" s="165"/>
      <c r="E285" s="455">
        <v>0</v>
      </c>
      <c r="F285" s="455">
        <v>0</v>
      </c>
      <c r="G285" s="594">
        <v>0</v>
      </c>
      <c r="H285" s="213"/>
    </row>
    <row r="286" spans="1:8" ht="12.75" customHeight="1">
      <c r="A286" s="217">
        <v>1</v>
      </c>
      <c r="B286" s="214" t="str">
        <f>B284</f>
        <v>2024Plan_RILA_2xCDSCLps</v>
      </c>
      <c r="C286" s="368" t="s">
        <v>405</v>
      </c>
      <c r="D286" s="34"/>
      <c r="E286" s="455">
        <v>0.2</v>
      </c>
      <c r="F286" s="455">
        <v>0.2</v>
      </c>
      <c r="G286" s="539">
        <v>0.2</v>
      </c>
      <c r="H286" s="595" t="s">
        <v>626</v>
      </c>
    </row>
    <row r="287" spans="1:8" ht="12.75" customHeight="1">
      <c r="A287" s="217">
        <v>0</v>
      </c>
      <c r="B287" s="214" t="s">
        <v>770</v>
      </c>
      <c r="C287" s="368" t="s">
        <v>245</v>
      </c>
      <c r="D287" s="34"/>
      <c r="E287" s="462">
        <v>43008</v>
      </c>
      <c r="F287" s="462">
        <v>43008</v>
      </c>
      <c r="G287" s="588">
        <v>43465</v>
      </c>
      <c r="H287" s="508"/>
    </row>
    <row r="288" spans="1:8" ht="12.75" customHeight="1">
      <c r="A288" s="217">
        <v>0</v>
      </c>
      <c r="B288" s="214" t="str">
        <f>B287</f>
        <v>2024Plan_RILA_NoCDSCLps</v>
      </c>
      <c r="C288" s="368" t="s">
        <v>359</v>
      </c>
      <c r="D288" s="34"/>
      <c r="E288" s="589" t="s">
        <v>647</v>
      </c>
      <c r="F288" s="589" t="s">
        <v>647</v>
      </c>
      <c r="G288" s="588" t="s">
        <v>619</v>
      </c>
    </row>
    <row r="289" spans="1:8" ht="12.75" customHeight="1">
      <c r="A289" s="217">
        <v>0</v>
      </c>
      <c r="B289" s="214" t="str">
        <f t="shared" ref="B289:B312" si="4">B288</f>
        <v>2024Plan_RILA_NoCDSCLps</v>
      </c>
      <c r="C289" s="172" t="s">
        <v>178</v>
      </c>
      <c r="D289" s="34"/>
      <c r="E289" s="590" t="s">
        <v>407</v>
      </c>
      <c r="F289" s="590" t="s">
        <v>407</v>
      </c>
      <c r="G289" s="588" t="s">
        <v>619</v>
      </c>
      <c r="H289" s="508"/>
    </row>
    <row r="290" spans="1:8" ht="12.75" customHeight="1">
      <c r="A290" s="217">
        <v>0</v>
      </c>
      <c r="B290" s="214" t="str">
        <f t="shared" si="4"/>
        <v>2024Plan_RILA_NoCDSCLps</v>
      </c>
      <c r="C290" s="172" t="s">
        <v>181</v>
      </c>
      <c r="D290" s="34"/>
      <c r="E290" s="590" t="s">
        <v>407</v>
      </c>
      <c r="F290" s="590" t="s">
        <v>407</v>
      </c>
      <c r="G290" s="588" t="s">
        <v>619</v>
      </c>
      <c r="H290" s="508"/>
    </row>
    <row r="291" spans="1:8" ht="12.75" customHeight="1">
      <c r="A291" s="217">
        <v>0</v>
      </c>
      <c r="B291" s="214" t="str">
        <f t="shared" si="4"/>
        <v>2024Plan_RILA_NoCDSCLps</v>
      </c>
      <c r="C291" s="368" t="s">
        <v>322</v>
      </c>
      <c r="D291" s="34"/>
      <c r="E291" s="319" t="s">
        <v>324</v>
      </c>
      <c r="F291" s="319" t="s">
        <v>324</v>
      </c>
      <c r="G291" s="591" t="s">
        <v>617</v>
      </c>
      <c r="H291" s="508"/>
    </row>
    <row r="292" spans="1:8" ht="12.75" customHeight="1">
      <c r="A292" s="217">
        <v>0</v>
      </c>
      <c r="B292" s="214" t="str">
        <f t="shared" si="4"/>
        <v>2024Plan_RILA_NoCDSCLps</v>
      </c>
      <c r="C292" s="368" t="s">
        <v>385</v>
      </c>
      <c r="D292" s="34"/>
      <c r="E292" s="517">
        <v>0.96</v>
      </c>
      <c r="F292" s="517">
        <v>0.96</v>
      </c>
      <c r="G292" s="592">
        <v>0.98</v>
      </c>
      <c r="H292" s="508"/>
    </row>
    <row r="293" spans="1:8" ht="12.75" customHeight="1">
      <c r="A293" s="217">
        <v>0</v>
      </c>
      <c r="B293" s="214" t="str">
        <f t="shared" si="4"/>
        <v>2024Plan_RILA_NoCDSCLps</v>
      </c>
      <c r="C293" s="368" t="s">
        <v>155</v>
      </c>
      <c r="D293" s="34"/>
      <c r="E293" s="593" t="s">
        <v>323</v>
      </c>
      <c r="F293" s="593" t="s">
        <v>323</v>
      </c>
      <c r="G293" s="591" t="s">
        <v>323</v>
      </c>
      <c r="H293" s="508"/>
    </row>
    <row r="294" spans="1:8" ht="12.75" customHeight="1">
      <c r="A294" s="217">
        <v>0</v>
      </c>
      <c r="B294" s="214" t="str">
        <f t="shared" si="4"/>
        <v>2024Plan_RILA_NoCDSCLps</v>
      </c>
      <c r="C294" s="623" t="s">
        <v>235</v>
      </c>
      <c r="D294" s="34"/>
      <c r="E294" s="319" t="s">
        <v>269</v>
      </c>
      <c r="F294" s="319" t="s">
        <v>269</v>
      </c>
      <c r="G294" s="591" t="s">
        <v>269</v>
      </c>
      <c r="H294" s="508"/>
    </row>
    <row r="295" spans="1:8" ht="12.75" customHeight="1">
      <c r="A295" s="217">
        <v>0</v>
      </c>
      <c r="B295" s="214" t="str">
        <f t="shared" si="4"/>
        <v>2024Plan_RILA_NoCDSCLps</v>
      </c>
      <c r="C295" s="368" t="s">
        <v>246</v>
      </c>
      <c r="D295" s="34"/>
      <c r="E295" s="455">
        <v>0</v>
      </c>
      <c r="F295" s="455">
        <v>0</v>
      </c>
      <c r="G295" s="594">
        <v>0</v>
      </c>
      <c r="H295" s="508"/>
    </row>
    <row r="296" spans="1:8" ht="12.75" customHeight="1">
      <c r="A296" s="217">
        <v>0</v>
      </c>
      <c r="B296" s="214" t="str">
        <f t="shared" si="4"/>
        <v>2024Plan_RILA_NoCDSCLps</v>
      </c>
      <c r="C296" s="368" t="s">
        <v>448</v>
      </c>
      <c r="D296" s="34"/>
      <c r="E296" s="455" t="s">
        <v>34</v>
      </c>
      <c r="F296" s="455" t="s">
        <v>34</v>
      </c>
      <c r="G296" s="594" t="s">
        <v>34</v>
      </c>
      <c r="H296" s="508"/>
    </row>
    <row r="297" spans="1:8" ht="12.75" customHeight="1">
      <c r="A297" s="217">
        <v>0</v>
      </c>
      <c r="B297" s="214" t="str">
        <f t="shared" si="4"/>
        <v>2024Plan_RILA_NoCDSCLps</v>
      </c>
      <c r="C297" s="368" t="s">
        <v>321</v>
      </c>
      <c r="D297" s="34"/>
      <c r="E297" s="319" t="s">
        <v>648</v>
      </c>
      <c r="F297" s="319" t="s">
        <v>648</v>
      </c>
      <c r="G297" s="622" t="s">
        <v>771</v>
      </c>
      <c r="H297" s="508"/>
    </row>
    <row r="298" spans="1:8" ht="12.75" customHeight="1">
      <c r="A298" s="348">
        <v>0</v>
      </c>
      <c r="B298" s="214" t="str">
        <f t="shared" si="4"/>
        <v>2024Plan_RILA_NoCDSCLps</v>
      </c>
      <c r="C298" s="624" t="s">
        <v>355</v>
      </c>
      <c r="D298" s="34"/>
      <c r="E298" s="537" t="s">
        <v>358</v>
      </c>
      <c r="F298" s="537" t="s">
        <v>358</v>
      </c>
      <c r="G298" s="591" t="s">
        <v>358</v>
      </c>
      <c r="H298" s="508"/>
    </row>
    <row r="299" spans="1:8" s="155" customFormat="1" ht="12.75" customHeight="1">
      <c r="A299" s="217">
        <f>A298</f>
        <v>0</v>
      </c>
      <c r="B299" s="214" t="str">
        <f>B298</f>
        <v>2024Plan_RILA_NoCDSCLps</v>
      </c>
      <c r="C299" s="368" t="s">
        <v>797</v>
      </c>
      <c r="D299" s="165"/>
      <c r="E299" s="455">
        <v>0</v>
      </c>
      <c r="F299" s="455">
        <v>0</v>
      </c>
      <c r="G299" s="594">
        <v>0</v>
      </c>
      <c r="H299" s="213"/>
    </row>
    <row r="300" spans="1:8" ht="12.75" customHeight="1">
      <c r="A300" s="217">
        <v>0</v>
      </c>
      <c r="B300" s="214" t="str">
        <f>B298</f>
        <v>2024Plan_RILA_NoCDSCLps</v>
      </c>
      <c r="C300" s="368" t="s">
        <v>405</v>
      </c>
      <c r="D300" s="34"/>
      <c r="E300" s="455">
        <v>0.2</v>
      </c>
      <c r="F300" s="455">
        <v>0.2</v>
      </c>
      <c r="G300" s="539">
        <v>0.2</v>
      </c>
      <c r="H300" s="595" t="s">
        <v>626</v>
      </c>
    </row>
    <row r="301" spans="1:8" ht="12.75" customHeight="1">
      <c r="A301" s="217">
        <v>1</v>
      </c>
      <c r="B301" s="214" t="str">
        <f t="shared" si="4"/>
        <v>2024Plan_RILA_NoCDSCLps</v>
      </c>
      <c r="C301" s="368" t="s">
        <v>245</v>
      </c>
      <c r="D301" s="34"/>
      <c r="E301" s="462">
        <v>43008</v>
      </c>
      <c r="F301" s="462">
        <v>43008</v>
      </c>
      <c r="G301" s="588">
        <v>43465</v>
      </c>
      <c r="H301" s="508" t="s">
        <v>640</v>
      </c>
    </row>
    <row r="302" spans="1:8" ht="12.75" customHeight="1">
      <c r="A302" s="217">
        <v>1</v>
      </c>
      <c r="B302" s="214" t="str">
        <f t="shared" si="4"/>
        <v>2024Plan_RILA_NoCDSCLps</v>
      </c>
      <c r="C302" s="368" t="s">
        <v>359</v>
      </c>
      <c r="D302" s="34"/>
      <c r="E302" s="589" t="s">
        <v>647</v>
      </c>
      <c r="F302" s="589" t="s">
        <v>647</v>
      </c>
      <c r="G302" s="588" t="s">
        <v>619</v>
      </c>
    </row>
    <row r="303" spans="1:8" ht="12.75" customHeight="1">
      <c r="A303" s="217">
        <v>1</v>
      </c>
      <c r="B303" s="214" t="str">
        <f t="shared" si="4"/>
        <v>2024Plan_RILA_NoCDSCLps</v>
      </c>
      <c r="C303" s="172" t="s">
        <v>178</v>
      </c>
      <c r="D303" s="34"/>
      <c r="E303" s="590" t="s">
        <v>407</v>
      </c>
      <c r="F303" s="590" t="s">
        <v>407</v>
      </c>
      <c r="G303" s="588" t="s">
        <v>619</v>
      </c>
      <c r="H303" s="508"/>
    </row>
    <row r="304" spans="1:8" ht="12.75" customHeight="1">
      <c r="A304" s="217">
        <v>1</v>
      </c>
      <c r="B304" s="214" t="str">
        <f t="shared" si="4"/>
        <v>2024Plan_RILA_NoCDSCLps</v>
      </c>
      <c r="C304" s="172" t="s">
        <v>181</v>
      </c>
      <c r="D304" s="34"/>
      <c r="E304" s="590" t="s">
        <v>407</v>
      </c>
      <c r="F304" s="590" t="s">
        <v>407</v>
      </c>
      <c r="G304" s="588" t="s">
        <v>619</v>
      </c>
      <c r="H304" s="508"/>
    </row>
    <row r="305" spans="1:8" ht="12.75" customHeight="1">
      <c r="A305" s="217">
        <v>1</v>
      </c>
      <c r="B305" s="214" t="str">
        <f t="shared" si="4"/>
        <v>2024Plan_RILA_NoCDSCLps</v>
      </c>
      <c r="C305" s="368" t="s">
        <v>322</v>
      </c>
      <c r="D305" s="34"/>
      <c r="E305" s="319" t="s">
        <v>324</v>
      </c>
      <c r="F305" s="319" t="s">
        <v>324</v>
      </c>
      <c r="G305" s="591" t="s">
        <v>617</v>
      </c>
      <c r="H305" s="508"/>
    </row>
    <row r="306" spans="1:8" ht="12.75" customHeight="1">
      <c r="A306" s="217">
        <v>1</v>
      </c>
      <c r="B306" s="214" t="str">
        <f t="shared" si="4"/>
        <v>2024Plan_RILA_NoCDSCLps</v>
      </c>
      <c r="C306" s="368" t="s">
        <v>385</v>
      </c>
      <c r="D306" s="34"/>
      <c r="E306" s="517">
        <v>0.96</v>
      </c>
      <c r="F306" s="517">
        <v>0.96</v>
      </c>
      <c r="G306" s="592">
        <v>0.98</v>
      </c>
      <c r="H306" s="508"/>
    </row>
    <row r="307" spans="1:8" ht="12.75" customHeight="1">
      <c r="A307" s="217">
        <v>1</v>
      </c>
      <c r="B307" s="214" t="str">
        <f t="shared" si="4"/>
        <v>2024Plan_RILA_NoCDSCLps</v>
      </c>
      <c r="C307" s="368" t="s">
        <v>155</v>
      </c>
      <c r="D307" s="34"/>
      <c r="E307" s="593" t="s">
        <v>323</v>
      </c>
      <c r="F307" s="593" t="s">
        <v>323</v>
      </c>
      <c r="G307" s="591" t="s">
        <v>323</v>
      </c>
      <c r="H307" s="508"/>
    </row>
    <row r="308" spans="1:8" ht="12.75" customHeight="1">
      <c r="A308" s="217">
        <v>1</v>
      </c>
      <c r="B308" s="214" t="str">
        <f t="shared" si="4"/>
        <v>2024Plan_RILA_NoCDSCLps</v>
      </c>
      <c r="C308" s="623" t="s">
        <v>235</v>
      </c>
      <c r="D308" s="34"/>
      <c r="E308" s="319" t="s">
        <v>269</v>
      </c>
      <c r="F308" s="319" t="s">
        <v>269</v>
      </c>
      <c r="G308" s="591" t="s">
        <v>269</v>
      </c>
      <c r="H308" s="508"/>
    </row>
    <row r="309" spans="1:8" ht="12.75" customHeight="1">
      <c r="A309" s="217">
        <v>1</v>
      </c>
      <c r="B309" s="214" t="str">
        <f t="shared" si="4"/>
        <v>2024Plan_RILA_NoCDSCLps</v>
      </c>
      <c r="C309" s="368" t="s">
        <v>246</v>
      </c>
      <c r="D309" s="34"/>
      <c r="E309" s="455">
        <v>0</v>
      </c>
      <c r="F309" s="455">
        <v>0</v>
      </c>
      <c r="G309" s="594">
        <v>0</v>
      </c>
      <c r="H309" s="508"/>
    </row>
    <row r="310" spans="1:8" ht="12.75" customHeight="1">
      <c r="A310" s="217">
        <v>1</v>
      </c>
      <c r="B310" s="214" t="str">
        <f t="shared" si="4"/>
        <v>2024Plan_RILA_NoCDSCLps</v>
      </c>
      <c r="C310" s="368" t="s">
        <v>448</v>
      </c>
      <c r="D310" s="34"/>
      <c r="E310" s="455" t="s">
        <v>34</v>
      </c>
      <c r="F310" s="455" t="s">
        <v>34</v>
      </c>
      <c r="G310" s="594" t="s">
        <v>34</v>
      </c>
      <c r="H310" s="508"/>
    </row>
    <row r="311" spans="1:8" ht="12.75" customHeight="1">
      <c r="A311" s="217">
        <v>1</v>
      </c>
      <c r="B311" s="214" t="str">
        <f t="shared" si="4"/>
        <v>2024Plan_RILA_NoCDSCLps</v>
      </c>
      <c r="C311" s="368" t="s">
        <v>321</v>
      </c>
      <c r="D311" s="34"/>
      <c r="E311" s="319" t="s">
        <v>648</v>
      </c>
      <c r="F311" s="319" t="s">
        <v>648</v>
      </c>
      <c r="G311" s="622" t="s">
        <v>772</v>
      </c>
      <c r="H311" s="508"/>
    </row>
    <row r="312" spans="1:8" ht="12.75" customHeight="1">
      <c r="A312" s="348">
        <v>1</v>
      </c>
      <c r="B312" s="214" t="str">
        <f t="shared" si="4"/>
        <v>2024Plan_RILA_NoCDSCLps</v>
      </c>
      <c r="C312" s="624" t="s">
        <v>355</v>
      </c>
      <c r="D312" s="34"/>
      <c r="E312" s="537" t="s">
        <v>358</v>
      </c>
      <c r="F312" s="537" t="s">
        <v>358</v>
      </c>
      <c r="G312" s="591" t="s">
        <v>744</v>
      </c>
      <c r="H312" s="508"/>
    </row>
    <row r="313" spans="1:8" s="155" customFormat="1" ht="12.75" customHeight="1">
      <c r="A313" s="217">
        <f>A312</f>
        <v>1</v>
      </c>
      <c r="B313" s="214" t="str">
        <f>B312</f>
        <v>2024Plan_RILA_NoCDSCLps</v>
      </c>
      <c r="C313" s="368" t="s">
        <v>797</v>
      </c>
      <c r="D313" s="165"/>
      <c r="E313" s="455">
        <v>0</v>
      </c>
      <c r="F313" s="455">
        <v>0</v>
      </c>
      <c r="G313" s="594">
        <v>0</v>
      </c>
      <c r="H313" s="213"/>
    </row>
    <row r="314" spans="1:8" ht="12.75" customHeight="1">
      <c r="A314" s="217">
        <v>1</v>
      </c>
      <c r="B314" s="214" t="str">
        <f>B312</f>
        <v>2024Plan_RILA_NoCDSCLps</v>
      </c>
      <c r="C314" s="368" t="s">
        <v>405</v>
      </c>
      <c r="D314" s="34"/>
      <c r="E314" s="455">
        <v>0.2</v>
      </c>
      <c r="F314" s="455">
        <v>0.2</v>
      </c>
      <c r="G314" s="539">
        <v>0.2</v>
      </c>
      <c r="H314" s="595" t="s">
        <v>626</v>
      </c>
    </row>
    <row r="315" spans="1:8" ht="12.75" customHeight="1">
      <c r="A315" s="217">
        <v>0</v>
      </c>
      <c r="B315" s="214" t="s">
        <v>773</v>
      </c>
      <c r="C315" s="368" t="s">
        <v>245</v>
      </c>
      <c r="D315" s="34"/>
      <c r="E315" s="462">
        <v>43008</v>
      </c>
      <c r="F315" s="462">
        <v>43008</v>
      </c>
      <c r="G315" s="588">
        <v>43465</v>
      </c>
      <c r="H315" s="508"/>
    </row>
    <row r="316" spans="1:8" ht="12.75" customHeight="1">
      <c r="A316" s="217">
        <v>0</v>
      </c>
      <c r="B316" s="214" t="str">
        <f>B315</f>
        <v>2024Plan_RILA_120%BaseLps</v>
      </c>
      <c r="C316" s="368" t="s">
        <v>359</v>
      </c>
      <c r="D316" s="34"/>
      <c r="E316" s="589" t="s">
        <v>647</v>
      </c>
      <c r="F316" s="589" t="s">
        <v>647</v>
      </c>
      <c r="G316" s="588" t="s">
        <v>619</v>
      </c>
    </row>
    <row r="317" spans="1:8" ht="12.75" customHeight="1">
      <c r="A317" s="217">
        <v>0</v>
      </c>
      <c r="B317" s="214" t="str">
        <f t="shared" ref="B317:B340" si="5">B316</f>
        <v>2024Plan_RILA_120%BaseLps</v>
      </c>
      <c r="C317" s="172" t="s">
        <v>178</v>
      </c>
      <c r="D317" s="34"/>
      <c r="E317" s="590" t="s">
        <v>407</v>
      </c>
      <c r="F317" s="590" t="s">
        <v>407</v>
      </c>
      <c r="G317" s="588" t="s">
        <v>619</v>
      </c>
      <c r="H317" s="508"/>
    </row>
    <row r="318" spans="1:8" ht="12.75" customHeight="1">
      <c r="A318" s="217">
        <v>0</v>
      </c>
      <c r="B318" s="214" t="str">
        <f t="shared" si="5"/>
        <v>2024Plan_RILA_120%BaseLps</v>
      </c>
      <c r="C318" s="172" t="s">
        <v>181</v>
      </c>
      <c r="D318" s="34"/>
      <c r="E318" s="590" t="s">
        <v>407</v>
      </c>
      <c r="F318" s="590" t="s">
        <v>407</v>
      </c>
      <c r="G318" s="588" t="s">
        <v>619</v>
      </c>
      <c r="H318" s="508"/>
    </row>
    <row r="319" spans="1:8" ht="12.75" customHeight="1">
      <c r="A319" s="217">
        <v>0</v>
      </c>
      <c r="B319" s="214" t="str">
        <f t="shared" si="5"/>
        <v>2024Plan_RILA_120%BaseLps</v>
      </c>
      <c r="C319" s="368" t="s">
        <v>322</v>
      </c>
      <c r="D319" s="34"/>
      <c r="E319" s="319" t="s">
        <v>324</v>
      </c>
      <c r="F319" s="319" t="s">
        <v>324</v>
      </c>
      <c r="G319" s="591" t="s">
        <v>617</v>
      </c>
      <c r="H319" s="508"/>
    </row>
    <row r="320" spans="1:8" ht="12.75" customHeight="1">
      <c r="A320" s="217">
        <v>0</v>
      </c>
      <c r="B320" s="214" t="str">
        <f t="shared" si="5"/>
        <v>2024Plan_RILA_120%BaseLps</v>
      </c>
      <c r="C320" s="368" t="s">
        <v>385</v>
      </c>
      <c r="D320" s="34"/>
      <c r="E320" s="517">
        <v>0.96</v>
      </c>
      <c r="F320" s="517">
        <v>0.96</v>
      </c>
      <c r="G320" s="592">
        <v>0.98</v>
      </c>
      <c r="H320" s="508"/>
    </row>
    <row r="321" spans="1:8" ht="12.75" customHeight="1">
      <c r="A321" s="217">
        <v>0</v>
      </c>
      <c r="B321" s="214" t="str">
        <f t="shared" si="5"/>
        <v>2024Plan_RILA_120%BaseLps</v>
      </c>
      <c r="C321" s="368" t="s">
        <v>155</v>
      </c>
      <c r="D321" s="34"/>
      <c r="E321" s="593" t="s">
        <v>323</v>
      </c>
      <c r="F321" s="593" t="s">
        <v>323</v>
      </c>
      <c r="G321" s="591" t="s">
        <v>323</v>
      </c>
      <c r="H321" s="508"/>
    </row>
    <row r="322" spans="1:8" ht="12.75" customHeight="1">
      <c r="A322" s="217">
        <v>0</v>
      </c>
      <c r="B322" s="214" t="str">
        <f t="shared" si="5"/>
        <v>2024Plan_RILA_120%BaseLps</v>
      </c>
      <c r="C322" s="623" t="s">
        <v>235</v>
      </c>
      <c r="D322" s="34"/>
      <c r="E322" s="319" t="s">
        <v>269</v>
      </c>
      <c r="F322" s="319" t="s">
        <v>269</v>
      </c>
      <c r="G322" s="591" t="s">
        <v>269</v>
      </c>
      <c r="H322" s="508"/>
    </row>
    <row r="323" spans="1:8" ht="12.75" customHeight="1">
      <c r="A323" s="217">
        <v>0</v>
      </c>
      <c r="B323" s="214" t="str">
        <f t="shared" si="5"/>
        <v>2024Plan_RILA_120%BaseLps</v>
      </c>
      <c r="C323" s="368" t="s">
        <v>246</v>
      </c>
      <c r="D323" s="34"/>
      <c r="E323" s="455">
        <v>0</v>
      </c>
      <c r="F323" s="455">
        <v>0</v>
      </c>
      <c r="G323" s="594">
        <v>0</v>
      </c>
      <c r="H323" s="508"/>
    </row>
    <row r="324" spans="1:8" ht="12.75" customHeight="1">
      <c r="A324" s="217">
        <v>0</v>
      </c>
      <c r="B324" s="214" t="str">
        <f t="shared" si="5"/>
        <v>2024Plan_RILA_120%BaseLps</v>
      </c>
      <c r="C324" s="368" t="s">
        <v>448</v>
      </c>
      <c r="D324" s="34"/>
      <c r="E324" s="455" t="s">
        <v>34</v>
      </c>
      <c r="F324" s="455" t="s">
        <v>34</v>
      </c>
      <c r="G324" s="594" t="s">
        <v>34</v>
      </c>
      <c r="H324" s="508"/>
    </row>
    <row r="325" spans="1:8" ht="12.75" customHeight="1">
      <c r="A325" s="217">
        <v>0</v>
      </c>
      <c r="B325" s="214" t="str">
        <f t="shared" si="5"/>
        <v>2024Plan_RILA_120%BaseLps</v>
      </c>
      <c r="C325" s="368" t="s">
        <v>321</v>
      </c>
      <c r="D325" s="34"/>
      <c r="E325" s="319" t="s">
        <v>648</v>
      </c>
      <c r="F325" s="319" t="s">
        <v>648</v>
      </c>
      <c r="G325" s="622" t="s">
        <v>774</v>
      </c>
      <c r="H325" s="508"/>
    </row>
    <row r="326" spans="1:8" ht="12.75" customHeight="1">
      <c r="A326" s="348">
        <v>0</v>
      </c>
      <c r="B326" s="214" t="str">
        <f t="shared" si="5"/>
        <v>2024Plan_RILA_120%BaseLps</v>
      </c>
      <c r="C326" s="624" t="s">
        <v>355</v>
      </c>
      <c r="D326" s="34"/>
      <c r="E326" s="537" t="s">
        <v>358</v>
      </c>
      <c r="F326" s="537" t="s">
        <v>358</v>
      </c>
      <c r="G326" s="591" t="s">
        <v>358</v>
      </c>
      <c r="H326" s="508"/>
    </row>
    <row r="327" spans="1:8" s="155" customFormat="1" ht="12.75" customHeight="1">
      <c r="A327" s="217">
        <f>A326</f>
        <v>0</v>
      </c>
      <c r="B327" s="214" t="str">
        <f>B326</f>
        <v>2024Plan_RILA_120%BaseLps</v>
      </c>
      <c r="C327" s="368" t="s">
        <v>797</v>
      </c>
      <c r="D327" s="165"/>
      <c r="E327" s="455">
        <v>0</v>
      </c>
      <c r="F327" s="455">
        <v>0</v>
      </c>
      <c r="G327" s="594">
        <v>0</v>
      </c>
      <c r="H327" s="213"/>
    </row>
    <row r="328" spans="1:8" ht="12.75" customHeight="1">
      <c r="A328" s="217">
        <v>0</v>
      </c>
      <c r="B328" s="214" t="str">
        <f>B326</f>
        <v>2024Plan_RILA_120%BaseLps</v>
      </c>
      <c r="C328" s="368" t="s">
        <v>405</v>
      </c>
      <c r="D328" s="34"/>
      <c r="E328" s="455">
        <v>0.2</v>
      </c>
      <c r="F328" s="455">
        <v>0.2</v>
      </c>
      <c r="G328" s="539">
        <v>0.2</v>
      </c>
      <c r="H328" s="595" t="s">
        <v>626</v>
      </c>
    </row>
    <row r="329" spans="1:8" ht="12.75" customHeight="1">
      <c r="A329" s="217">
        <v>1</v>
      </c>
      <c r="B329" s="214" t="str">
        <f t="shared" si="5"/>
        <v>2024Plan_RILA_120%BaseLps</v>
      </c>
      <c r="C329" s="368" t="s">
        <v>245</v>
      </c>
      <c r="D329" s="34"/>
      <c r="E329" s="462">
        <v>43008</v>
      </c>
      <c r="F329" s="462">
        <v>43008</v>
      </c>
      <c r="G329" s="588">
        <v>43465</v>
      </c>
      <c r="H329" s="508" t="s">
        <v>640</v>
      </c>
    </row>
    <row r="330" spans="1:8" ht="12.75" customHeight="1">
      <c r="A330" s="217">
        <v>1</v>
      </c>
      <c r="B330" s="214" t="str">
        <f t="shared" si="5"/>
        <v>2024Plan_RILA_120%BaseLps</v>
      </c>
      <c r="C330" s="368" t="s">
        <v>359</v>
      </c>
      <c r="D330" s="34"/>
      <c r="E330" s="589" t="s">
        <v>647</v>
      </c>
      <c r="F330" s="589" t="s">
        <v>647</v>
      </c>
      <c r="G330" s="588" t="s">
        <v>619</v>
      </c>
    </row>
    <row r="331" spans="1:8" ht="12.75" customHeight="1">
      <c r="A331" s="217">
        <v>1</v>
      </c>
      <c r="B331" s="214" t="str">
        <f t="shared" si="5"/>
        <v>2024Plan_RILA_120%BaseLps</v>
      </c>
      <c r="C331" s="172" t="s">
        <v>178</v>
      </c>
      <c r="D331" s="34"/>
      <c r="E331" s="590" t="s">
        <v>407</v>
      </c>
      <c r="F331" s="590" t="s">
        <v>407</v>
      </c>
      <c r="G331" s="588" t="s">
        <v>619</v>
      </c>
      <c r="H331" s="508"/>
    </row>
    <row r="332" spans="1:8" ht="12.75" customHeight="1">
      <c r="A332" s="217">
        <v>1</v>
      </c>
      <c r="B332" s="214" t="str">
        <f t="shared" si="5"/>
        <v>2024Plan_RILA_120%BaseLps</v>
      </c>
      <c r="C332" s="172" t="s">
        <v>181</v>
      </c>
      <c r="D332" s="34"/>
      <c r="E332" s="590" t="s">
        <v>407</v>
      </c>
      <c r="F332" s="590" t="s">
        <v>407</v>
      </c>
      <c r="G332" s="588" t="s">
        <v>619</v>
      </c>
      <c r="H332" s="508"/>
    </row>
    <row r="333" spans="1:8" ht="12.75" customHeight="1">
      <c r="A333" s="217">
        <v>1</v>
      </c>
      <c r="B333" s="214" t="str">
        <f t="shared" si="5"/>
        <v>2024Plan_RILA_120%BaseLps</v>
      </c>
      <c r="C333" s="368" t="s">
        <v>322</v>
      </c>
      <c r="D333" s="34"/>
      <c r="E333" s="319" t="s">
        <v>324</v>
      </c>
      <c r="F333" s="319" t="s">
        <v>324</v>
      </c>
      <c r="G333" s="591" t="s">
        <v>617</v>
      </c>
      <c r="H333" s="508"/>
    </row>
    <row r="334" spans="1:8" ht="12.75" customHeight="1">
      <c r="A334" s="217">
        <v>1</v>
      </c>
      <c r="B334" s="214" t="str">
        <f t="shared" si="5"/>
        <v>2024Plan_RILA_120%BaseLps</v>
      </c>
      <c r="C334" s="368" t="s">
        <v>385</v>
      </c>
      <c r="D334" s="34"/>
      <c r="E334" s="517">
        <v>0.96</v>
      </c>
      <c r="F334" s="517">
        <v>0.96</v>
      </c>
      <c r="G334" s="592">
        <v>0.98</v>
      </c>
      <c r="H334" s="508"/>
    </row>
    <row r="335" spans="1:8" ht="12.75" customHeight="1">
      <c r="A335" s="217">
        <v>1</v>
      </c>
      <c r="B335" s="214" t="str">
        <f t="shared" si="5"/>
        <v>2024Plan_RILA_120%BaseLps</v>
      </c>
      <c r="C335" s="368" t="s">
        <v>155</v>
      </c>
      <c r="D335" s="34"/>
      <c r="E335" s="593" t="s">
        <v>323</v>
      </c>
      <c r="F335" s="593" t="s">
        <v>323</v>
      </c>
      <c r="G335" s="591" t="s">
        <v>323</v>
      </c>
      <c r="H335" s="508"/>
    </row>
    <row r="336" spans="1:8" ht="12.75" customHeight="1">
      <c r="A336" s="217">
        <v>1</v>
      </c>
      <c r="B336" s="214" t="str">
        <f t="shared" si="5"/>
        <v>2024Plan_RILA_120%BaseLps</v>
      </c>
      <c r="C336" s="623" t="s">
        <v>235</v>
      </c>
      <c r="D336" s="34"/>
      <c r="E336" s="319" t="s">
        <v>269</v>
      </c>
      <c r="F336" s="319" t="s">
        <v>269</v>
      </c>
      <c r="G336" s="591" t="s">
        <v>269</v>
      </c>
      <c r="H336" s="508"/>
    </row>
    <row r="337" spans="1:8" ht="12.75" customHeight="1">
      <c r="A337" s="217">
        <v>1</v>
      </c>
      <c r="B337" s="214" t="str">
        <f t="shared" si="5"/>
        <v>2024Plan_RILA_120%BaseLps</v>
      </c>
      <c r="C337" s="368" t="s">
        <v>246</v>
      </c>
      <c r="D337" s="34"/>
      <c r="E337" s="455">
        <v>0</v>
      </c>
      <c r="F337" s="455">
        <v>0</v>
      </c>
      <c r="G337" s="594">
        <v>0</v>
      </c>
      <c r="H337" s="508"/>
    </row>
    <row r="338" spans="1:8" ht="12.75" customHeight="1">
      <c r="A338" s="217">
        <v>1</v>
      </c>
      <c r="B338" s="214" t="str">
        <f t="shared" si="5"/>
        <v>2024Plan_RILA_120%BaseLps</v>
      </c>
      <c r="C338" s="368" t="s">
        <v>448</v>
      </c>
      <c r="D338" s="34"/>
      <c r="E338" s="455" t="s">
        <v>34</v>
      </c>
      <c r="F338" s="455" t="s">
        <v>34</v>
      </c>
      <c r="G338" s="594" t="s">
        <v>34</v>
      </c>
      <c r="H338" s="508"/>
    </row>
    <row r="339" spans="1:8" ht="12.75" customHeight="1">
      <c r="A339" s="217">
        <v>1</v>
      </c>
      <c r="B339" s="214" t="str">
        <f t="shared" si="5"/>
        <v>2024Plan_RILA_120%BaseLps</v>
      </c>
      <c r="C339" s="368" t="s">
        <v>321</v>
      </c>
      <c r="D339" s="34"/>
      <c r="E339" s="319" t="s">
        <v>648</v>
      </c>
      <c r="F339" s="319" t="s">
        <v>648</v>
      </c>
      <c r="G339" s="622" t="s">
        <v>775</v>
      </c>
      <c r="H339" s="508"/>
    </row>
    <row r="340" spans="1:8" ht="12.75" customHeight="1">
      <c r="A340" s="348">
        <v>1</v>
      </c>
      <c r="B340" s="214" t="str">
        <f t="shared" si="5"/>
        <v>2024Plan_RILA_120%BaseLps</v>
      </c>
      <c r="C340" s="624" t="s">
        <v>355</v>
      </c>
      <c r="D340" s="34"/>
      <c r="E340" s="537" t="s">
        <v>358</v>
      </c>
      <c r="F340" s="537" t="s">
        <v>358</v>
      </c>
      <c r="G340" s="591" t="s">
        <v>744</v>
      </c>
      <c r="H340" s="508"/>
    </row>
    <row r="341" spans="1:8" s="155" customFormat="1" ht="12.75" customHeight="1">
      <c r="A341" s="217">
        <f>A340</f>
        <v>1</v>
      </c>
      <c r="B341" s="214" t="str">
        <f>B340</f>
        <v>2024Plan_RILA_120%BaseLps</v>
      </c>
      <c r="C341" s="368" t="s">
        <v>797</v>
      </c>
      <c r="D341" s="165"/>
      <c r="E341" s="455">
        <v>0</v>
      </c>
      <c r="F341" s="455">
        <v>0</v>
      </c>
      <c r="G341" s="594">
        <v>0</v>
      </c>
      <c r="H341" s="213"/>
    </row>
    <row r="342" spans="1:8" ht="12.75" customHeight="1">
      <c r="A342" s="217">
        <v>1</v>
      </c>
      <c r="B342" s="214" t="str">
        <f>B340</f>
        <v>2024Plan_RILA_120%BaseLps</v>
      </c>
      <c r="C342" s="368" t="s">
        <v>405</v>
      </c>
      <c r="D342" s="34"/>
      <c r="E342" s="455">
        <v>0.2</v>
      </c>
      <c r="F342" s="455">
        <v>0.2</v>
      </c>
      <c r="G342" s="539">
        <v>0.2</v>
      </c>
      <c r="H342" s="595" t="s">
        <v>626</v>
      </c>
    </row>
    <row r="343" spans="1:8" ht="12.75" customHeight="1">
      <c r="A343" s="217">
        <v>0</v>
      </c>
      <c r="B343" s="214" t="s">
        <v>755</v>
      </c>
      <c r="C343" s="368" t="s">
        <v>245</v>
      </c>
      <c r="D343" s="34"/>
      <c r="E343" s="462">
        <v>43008</v>
      </c>
      <c r="F343" s="462">
        <v>43008</v>
      </c>
      <c r="G343" s="588">
        <v>43465</v>
      </c>
      <c r="H343" s="508"/>
    </row>
    <row r="344" spans="1:8" ht="12.75" customHeight="1">
      <c r="A344" s="217">
        <v>0</v>
      </c>
      <c r="B344" s="214" t="str">
        <f>B343</f>
        <v>2024Plan_RILA_80%BaseLps</v>
      </c>
      <c r="C344" s="368" t="s">
        <v>359</v>
      </c>
      <c r="D344" s="34"/>
      <c r="E344" s="589" t="s">
        <v>647</v>
      </c>
      <c r="F344" s="589" t="s">
        <v>647</v>
      </c>
      <c r="G344" s="588" t="s">
        <v>619</v>
      </c>
    </row>
    <row r="345" spans="1:8" ht="12.75" customHeight="1">
      <c r="A345" s="217">
        <v>0</v>
      </c>
      <c r="B345" s="214" t="str">
        <f t="shared" ref="B345:B368" si="6">B344</f>
        <v>2024Plan_RILA_80%BaseLps</v>
      </c>
      <c r="C345" s="172" t="s">
        <v>178</v>
      </c>
      <c r="D345" s="34"/>
      <c r="E345" s="590" t="s">
        <v>407</v>
      </c>
      <c r="F345" s="590" t="s">
        <v>407</v>
      </c>
      <c r="G345" s="588" t="s">
        <v>619</v>
      </c>
      <c r="H345" s="508"/>
    </row>
    <row r="346" spans="1:8" ht="12.75" customHeight="1">
      <c r="A346" s="217">
        <v>0</v>
      </c>
      <c r="B346" s="214" t="str">
        <f t="shared" si="6"/>
        <v>2024Plan_RILA_80%BaseLps</v>
      </c>
      <c r="C346" s="172" t="s">
        <v>181</v>
      </c>
      <c r="D346" s="34"/>
      <c r="E346" s="590" t="s">
        <v>407</v>
      </c>
      <c r="F346" s="590" t="s">
        <v>407</v>
      </c>
      <c r="G346" s="588" t="s">
        <v>619</v>
      </c>
      <c r="H346" s="508"/>
    </row>
    <row r="347" spans="1:8" ht="12.75" customHeight="1">
      <c r="A347" s="217">
        <v>0</v>
      </c>
      <c r="B347" s="214" t="str">
        <f t="shared" si="6"/>
        <v>2024Plan_RILA_80%BaseLps</v>
      </c>
      <c r="C347" s="368" t="s">
        <v>322</v>
      </c>
      <c r="D347" s="34"/>
      <c r="E347" s="319" t="s">
        <v>324</v>
      </c>
      <c r="F347" s="319" t="s">
        <v>324</v>
      </c>
      <c r="G347" s="591" t="s">
        <v>617</v>
      </c>
      <c r="H347" s="508"/>
    </row>
    <row r="348" spans="1:8" ht="12.75" customHeight="1">
      <c r="A348" s="217">
        <v>0</v>
      </c>
      <c r="B348" s="214" t="str">
        <f t="shared" si="6"/>
        <v>2024Plan_RILA_80%BaseLps</v>
      </c>
      <c r="C348" s="368" t="s">
        <v>385</v>
      </c>
      <c r="D348" s="34"/>
      <c r="E348" s="517">
        <v>0.96</v>
      </c>
      <c r="F348" s="517">
        <v>0.96</v>
      </c>
      <c r="G348" s="592">
        <v>0.98</v>
      </c>
      <c r="H348" s="508"/>
    </row>
    <row r="349" spans="1:8" ht="12.75" customHeight="1">
      <c r="A349" s="217">
        <v>0</v>
      </c>
      <c r="B349" s="214" t="str">
        <f t="shared" si="6"/>
        <v>2024Plan_RILA_80%BaseLps</v>
      </c>
      <c r="C349" s="368" t="s">
        <v>155</v>
      </c>
      <c r="D349" s="34"/>
      <c r="E349" s="593" t="s">
        <v>323</v>
      </c>
      <c r="F349" s="593" t="s">
        <v>323</v>
      </c>
      <c r="G349" s="591" t="s">
        <v>323</v>
      </c>
      <c r="H349" s="508"/>
    </row>
    <row r="350" spans="1:8" ht="12.75" customHeight="1">
      <c r="A350" s="217">
        <v>0</v>
      </c>
      <c r="B350" s="214" t="str">
        <f t="shared" si="6"/>
        <v>2024Plan_RILA_80%BaseLps</v>
      </c>
      <c r="C350" s="623" t="s">
        <v>235</v>
      </c>
      <c r="D350" s="34"/>
      <c r="E350" s="319" t="s">
        <v>269</v>
      </c>
      <c r="F350" s="319" t="s">
        <v>269</v>
      </c>
      <c r="G350" s="591" t="s">
        <v>269</v>
      </c>
      <c r="H350" s="508"/>
    </row>
    <row r="351" spans="1:8" ht="12.75" customHeight="1">
      <c r="A351" s="217">
        <v>0</v>
      </c>
      <c r="B351" s="214" t="str">
        <f t="shared" si="6"/>
        <v>2024Plan_RILA_80%BaseLps</v>
      </c>
      <c r="C351" s="368" t="s">
        <v>246</v>
      </c>
      <c r="D351" s="34"/>
      <c r="E351" s="455">
        <v>0</v>
      </c>
      <c r="F351" s="455">
        <v>0</v>
      </c>
      <c r="G351" s="594">
        <v>0</v>
      </c>
      <c r="H351" s="508"/>
    </row>
    <row r="352" spans="1:8" ht="12.75" customHeight="1">
      <c r="A352" s="217">
        <v>0</v>
      </c>
      <c r="B352" s="214" t="str">
        <f t="shared" si="6"/>
        <v>2024Plan_RILA_80%BaseLps</v>
      </c>
      <c r="C352" s="368" t="s">
        <v>448</v>
      </c>
      <c r="D352" s="34"/>
      <c r="E352" s="455" t="s">
        <v>34</v>
      </c>
      <c r="F352" s="455" t="s">
        <v>34</v>
      </c>
      <c r="G352" s="594" t="s">
        <v>34</v>
      </c>
      <c r="H352" s="508"/>
    </row>
    <row r="353" spans="1:8" ht="12.75" customHeight="1">
      <c r="A353" s="217">
        <v>0</v>
      </c>
      <c r="B353" s="214" t="str">
        <f t="shared" si="6"/>
        <v>2024Plan_RILA_80%BaseLps</v>
      </c>
      <c r="C353" s="368" t="s">
        <v>321</v>
      </c>
      <c r="D353" s="34"/>
      <c r="E353" s="319" t="s">
        <v>648</v>
      </c>
      <c r="F353" s="319" t="s">
        <v>648</v>
      </c>
      <c r="G353" s="622" t="s">
        <v>756</v>
      </c>
      <c r="H353" s="508"/>
    </row>
    <row r="354" spans="1:8" ht="12.75" customHeight="1">
      <c r="A354" s="348">
        <v>0</v>
      </c>
      <c r="B354" s="214" t="str">
        <f t="shared" si="6"/>
        <v>2024Plan_RILA_80%BaseLps</v>
      </c>
      <c r="C354" s="624" t="s">
        <v>355</v>
      </c>
      <c r="D354" s="34"/>
      <c r="E354" s="537" t="s">
        <v>358</v>
      </c>
      <c r="F354" s="537" t="s">
        <v>358</v>
      </c>
      <c r="G354" s="591" t="s">
        <v>358</v>
      </c>
      <c r="H354" s="508"/>
    </row>
    <row r="355" spans="1:8" s="155" customFormat="1" ht="12.75" customHeight="1">
      <c r="A355" s="217">
        <f>A354</f>
        <v>0</v>
      </c>
      <c r="B355" s="214" t="str">
        <f>B354</f>
        <v>2024Plan_RILA_80%BaseLps</v>
      </c>
      <c r="C355" s="368" t="s">
        <v>797</v>
      </c>
      <c r="D355" s="165"/>
      <c r="E355" s="455">
        <v>0</v>
      </c>
      <c r="F355" s="455">
        <v>0</v>
      </c>
      <c r="G355" s="594">
        <v>0</v>
      </c>
      <c r="H355" s="213"/>
    </row>
    <row r="356" spans="1:8" ht="12.75" customHeight="1">
      <c r="A356" s="217">
        <v>0</v>
      </c>
      <c r="B356" s="214" t="str">
        <f>B354</f>
        <v>2024Plan_RILA_80%BaseLps</v>
      </c>
      <c r="C356" s="368" t="s">
        <v>405</v>
      </c>
      <c r="D356" s="34"/>
      <c r="E356" s="455">
        <v>0.2</v>
      </c>
      <c r="F356" s="455">
        <v>0.2</v>
      </c>
      <c r="G356" s="539">
        <v>0.2</v>
      </c>
      <c r="H356" s="595" t="s">
        <v>626</v>
      </c>
    </row>
    <row r="357" spans="1:8" ht="12.75" customHeight="1">
      <c r="A357" s="217">
        <v>1</v>
      </c>
      <c r="B357" s="214" t="str">
        <f t="shared" si="6"/>
        <v>2024Plan_RILA_80%BaseLps</v>
      </c>
      <c r="C357" s="368" t="s">
        <v>245</v>
      </c>
      <c r="D357" s="34"/>
      <c r="E357" s="462">
        <v>43008</v>
      </c>
      <c r="F357" s="462">
        <v>43008</v>
      </c>
      <c r="G357" s="588">
        <v>43465</v>
      </c>
      <c r="H357" s="508" t="s">
        <v>640</v>
      </c>
    </row>
    <row r="358" spans="1:8" ht="12.75" customHeight="1">
      <c r="A358" s="217">
        <v>1</v>
      </c>
      <c r="B358" s="214" t="str">
        <f t="shared" si="6"/>
        <v>2024Plan_RILA_80%BaseLps</v>
      </c>
      <c r="C358" s="368" t="s">
        <v>359</v>
      </c>
      <c r="D358" s="34"/>
      <c r="E358" s="589" t="s">
        <v>647</v>
      </c>
      <c r="F358" s="589" t="s">
        <v>647</v>
      </c>
      <c r="G358" s="588" t="s">
        <v>619</v>
      </c>
    </row>
    <row r="359" spans="1:8" ht="12.75" customHeight="1">
      <c r="A359" s="217">
        <v>1</v>
      </c>
      <c r="B359" s="214" t="str">
        <f t="shared" si="6"/>
        <v>2024Plan_RILA_80%BaseLps</v>
      </c>
      <c r="C359" s="172" t="s">
        <v>178</v>
      </c>
      <c r="D359" s="34"/>
      <c r="E359" s="590" t="s">
        <v>407</v>
      </c>
      <c r="F359" s="590" t="s">
        <v>407</v>
      </c>
      <c r="G359" s="588" t="s">
        <v>619</v>
      </c>
      <c r="H359" s="508"/>
    </row>
    <row r="360" spans="1:8" ht="12.75" customHeight="1">
      <c r="A360" s="217">
        <v>1</v>
      </c>
      <c r="B360" s="214" t="str">
        <f t="shared" si="6"/>
        <v>2024Plan_RILA_80%BaseLps</v>
      </c>
      <c r="C360" s="172" t="s">
        <v>181</v>
      </c>
      <c r="D360" s="34"/>
      <c r="E360" s="590" t="s">
        <v>407</v>
      </c>
      <c r="F360" s="590" t="s">
        <v>407</v>
      </c>
      <c r="G360" s="588" t="s">
        <v>619</v>
      </c>
      <c r="H360" s="508"/>
    </row>
    <row r="361" spans="1:8" ht="12.75" customHeight="1">
      <c r="A361" s="217">
        <v>1</v>
      </c>
      <c r="B361" s="214" t="str">
        <f t="shared" si="6"/>
        <v>2024Plan_RILA_80%BaseLps</v>
      </c>
      <c r="C361" s="368" t="s">
        <v>322</v>
      </c>
      <c r="D361" s="34"/>
      <c r="E361" s="319" t="s">
        <v>324</v>
      </c>
      <c r="F361" s="319" t="s">
        <v>324</v>
      </c>
      <c r="G361" s="591" t="s">
        <v>617</v>
      </c>
      <c r="H361" s="508"/>
    </row>
    <row r="362" spans="1:8" ht="12.75" customHeight="1">
      <c r="A362" s="217">
        <v>1</v>
      </c>
      <c r="B362" s="214" t="str">
        <f t="shared" si="6"/>
        <v>2024Plan_RILA_80%BaseLps</v>
      </c>
      <c r="C362" s="368" t="s">
        <v>385</v>
      </c>
      <c r="D362" s="34"/>
      <c r="E362" s="517">
        <v>0.96</v>
      </c>
      <c r="F362" s="517">
        <v>0.96</v>
      </c>
      <c r="G362" s="592">
        <v>0.98</v>
      </c>
      <c r="H362" s="508"/>
    </row>
    <row r="363" spans="1:8" ht="12.75" customHeight="1">
      <c r="A363" s="217">
        <v>1</v>
      </c>
      <c r="B363" s="214" t="str">
        <f t="shared" si="6"/>
        <v>2024Plan_RILA_80%BaseLps</v>
      </c>
      <c r="C363" s="368" t="s">
        <v>155</v>
      </c>
      <c r="D363" s="34"/>
      <c r="E363" s="593" t="s">
        <v>323</v>
      </c>
      <c r="F363" s="593" t="s">
        <v>323</v>
      </c>
      <c r="G363" s="591" t="s">
        <v>323</v>
      </c>
      <c r="H363" s="508"/>
    </row>
    <row r="364" spans="1:8" ht="12.75" customHeight="1">
      <c r="A364" s="217">
        <v>1</v>
      </c>
      <c r="B364" s="214" t="str">
        <f t="shared" si="6"/>
        <v>2024Plan_RILA_80%BaseLps</v>
      </c>
      <c r="C364" s="623" t="s">
        <v>235</v>
      </c>
      <c r="D364" s="34"/>
      <c r="E364" s="319" t="s">
        <v>269</v>
      </c>
      <c r="F364" s="319" t="s">
        <v>269</v>
      </c>
      <c r="G364" s="591" t="s">
        <v>269</v>
      </c>
      <c r="H364" s="508"/>
    </row>
    <row r="365" spans="1:8" ht="12.75" customHeight="1">
      <c r="A365" s="217">
        <v>1</v>
      </c>
      <c r="B365" s="214" t="str">
        <f t="shared" si="6"/>
        <v>2024Plan_RILA_80%BaseLps</v>
      </c>
      <c r="C365" s="368" t="s">
        <v>246</v>
      </c>
      <c r="D365" s="34"/>
      <c r="E365" s="455">
        <v>0</v>
      </c>
      <c r="F365" s="455">
        <v>0</v>
      </c>
      <c r="G365" s="594">
        <v>0</v>
      </c>
      <c r="H365" s="508"/>
    </row>
    <row r="366" spans="1:8" ht="12.75" customHeight="1">
      <c r="A366" s="217">
        <v>1</v>
      </c>
      <c r="B366" s="214" t="str">
        <f t="shared" si="6"/>
        <v>2024Plan_RILA_80%BaseLps</v>
      </c>
      <c r="C366" s="368" t="s">
        <v>448</v>
      </c>
      <c r="D366" s="34"/>
      <c r="E366" s="455" t="s">
        <v>34</v>
      </c>
      <c r="F366" s="455" t="s">
        <v>34</v>
      </c>
      <c r="G366" s="594" t="s">
        <v>34</v>
      </c>
      <c r="H366" s="508"/>
    </row>
    <row r="367" spans="1:8" ht="12.75" customHeight="1">
      <c r="A367" s="217">
        <v>1</v>
      </c>
      <c r="B367" s="214" t="str">
        <f t="shared" si="6"/>
        <v>2024Plan_RILA_80%BaseLps</v>
      </c>
      <c r="C367" s="368" t="s">
        <v>321</v>
      </c>
      <c r="D367" s="34"/>
      <c r="E367" s="319" t="s">
        <v>648</v>
      </c>
      <c r="F367" s="319" t="s">
        <v>648</v>
      </c>
      <c r="G367" s="622" t="s">
        <v>757</v>
      </c>
      <c r="H367" s="508"/>
    </row>
    <row r="368" spans="1:8" ht="12.75" customHeight="1">
      <c r="A368" s="348">
        <v>1</v>
      </c>
      <c r="B368" s="214" t="str">
        <f t="shared" si="6"/>
        <v>2024Plan_RILA_80%BaseLps</v>
      </c>
      <c r="C368" s="624" t="s">
        <v>355</v>
      </c>
      <c r="D368" s="34"/>
      <c r="E368" s="537" t="s">
        <v>358</v>
      </c>
      <c r="F368" s="537" t="s">
        <v>358</v>
      </c>
      <c r="G368" s="591" t="s">
        <v>744</v>
      </c>
      <c r="H368" s="508"/>
    </row>
    <row r="369" spans="1:8" s="155" customFormat="1" ht="12.75" customHeight="1">
      <c r="A369" s="217">
        <f>A368</f>
        <v>1</v>
      </c>
      <c r="B369" s="214" t="str">
        <f>B368</f>
        <v>2024Plan_RILA_80%BaseLps</v>
      </c>
      <c r="C369" s="368" t="s">
        <v>797</v>
      </c>
      <c r="D369" s="165"/>
      <c r="E369" s="455">
        <v>0</v>
      </c>
      <c r="F369" s="455">
        <v>0</v>
      </c>
      <c r="G369" s="594">
        <v>0</v>
      </c>
      <c r="H369" s="213"/>
    </row>
    <row r="370" spans="1:8" ht="12.75" customHeight="1">
      <c r="A370" s="217">
        <v>1</v>
      </c>
      <c r="B370" s="214" t="str">
        <f>B368</f>
        <v>2024Plan_RILA_80%BaseLps</v>
      </c>
      <c r="C370" s="368" t="s">
        <v>405</v>
      </c>
      <c r="D370" s="34"/>
      <c r="E370" s="455">
        <v>0.2</v>
      </c>
      <c r="F370" s="455">
        <v>0.2</v>
      </c>
      <c r="G370" s="539">
        <v>0.2</v>
      </c>
      <c r="H370" s="595" t="s">
        <v>626</v>
      </c>
    </row>
    <row r="371" spans="1:8" s="601" customFormat="1" ht="12.75" customHeight="1">
      <c r="A371" s="602">
        <v>0</v>
      </c>
      <c r="B371" s="603" t="s">
        <v>743</v>
      </c>
      <c r="C371" s="625" t="s">
        <v>245</v>
      </c>
      <c r="D371" s="604"/>
      <c r="E371" s="605">
        <v>43008</v>
      </c>
      <c r="F371" s="605">
        <v>43008</v>
      </c>
      <c r="G371" s="606">
        <v>43465</v>
      </c>
      <c r="H371" s="607" t="s">
        <v>640</v>
      </c>
    </row>
    <row r="372" spans="1:8" s="601" customFormat="1" ht="12.75" customHeight="1">
      <c r="A372" s="602">
        <v>0</v>
      </c>
      <c r="B372" s="603" t="s">
        <v>743</v>
      </c>
      <c r="C372" s="625" t="s">
        <v>359</v>
      </c>
      <c r="D372" s="604"/>
      <c r="E372" s="608" t="s">
        <v>647</v>
      </c>
      <c r="F372" s="608" t="s">
        <v>647</v>
      </c>
      <c r="G372" s="606" t="s">
        <v>619</v>
      </c>
    </row>
    <row r="373" spans="1:8" s="601" customFormat="1" ht="12.75" customHeight="1">
      <c r="A373" s="602">
        <v>0</v>
      </c>
      <c r="B373" s="603" t="s">
        <v>743</v>
      </c>
      <c r="C373" s="609" t="s">
        <v>178</v>
      </c>
      <c r="D373" s="604"/>
      <c r="E373" s="610" t="s">
        <v>407</v>
      </c>
      <c r="F373" s="610" t="s">
        <v>407</v>
      </c>
      <c r="G373" s="606" t="s">
        <v>619</v>
      </c>
      <c r="H373" s="607"/>
    </row>
    <row r="374" spans="1:8" s="601" customFormat="1" ht="12.75" customHeight="1">
      <c r="A374" s="602">
        <v>0</v>
      </c>
      <c r="B374" s="603" t="s">
        <v>743</v>
      </c>
      <c r="C374" s="609" t="s">
        <v>181</v>
      </c>
      <c r="D374" s="604"/>
      <c r="E374" s="610" t="s">
        <v>407</v>
      </c>
      <c r="F374" s="610" t="s">
        <v>407</v>
      </c>
      <c r="G374" s="606" t="s">
        <v>619</v>
      </c>
      <c r="H374" s="607"/>
    </row>
    <row r="375" spans="1:8" s="601" customFormat="1" ht="12.75" customHeight="1">
      <c r="A375" s="602">
        <v>0</v>
      </c>
      <c r="B375" s="603" t="s">
        <v>743</v>
      </c>
      <c r="C375" s="625" t="s">
        <v>322</v>
      </c>
      <c r="D375" s="604"/>
      <c r="E375" s="611" t="s">
        <v>324</v>
      </c>
      <c r="F375" s="611" t="s">
        <v>324</v>
      </c>
      <c r="G375" s="612" t="s">
        <v>617</v>
      </c>
      <c r="H375" s="607"/>
    </row>
    <row r="376" spans="1:8" s="601" customFormat="1" ht="12.75" customHeight="1">
      <c r="A376" s="602">
        <v>0</v>
      </c>
      <c r="B376" s="603" t="s">
        <v>743</v>
      </c>
      <c r="C376" s="625" t="s">
        <v>385</v>
      </c>
      <c r="D376" s="604"/>
      <c r="E376" s="613">
        <v>0.96</v>
      </c>
      <c r="F376" s="613">
        <v>0.96</v>
      </c>
      <c r="G376" s="614">
        <v>0.98</v>
      </c>
      <c r="H376" s="607"/>
    </row>
    <row r="377" spans="1:8" s="601" customFormat="1" ht="12.75" customHeight="1">
      <c r="A377" s="602">
        <v>0</v>
      </c>
      <c r="B377" s="603" t="s">
        <v>743</v>
      </c>
      <c r="C377" s="625" t="s">
        <v>155</v>
      </c>
      <c r="D377" s="604"/>
      <c r="E377" s="615" t="s">
        <v>323</v>
      </c>
      <c r="F377" s="615" t="s">
        <v>323</v>
      </c>
      <c r="G377" s="612" t="s">
        <v>323</v>
      </c>
      <c r="H377" s="607"/>
    </row>
    <row r="378" spans="1:8" s="601" customFormat="1" ht="12.75" customHeight="1">
      <c r="A378" s="602">
        <v>0</v>
      </c>
      <c r="B378" s="603" t="s">
        <v>743</v>
      </c>
      <c r="C378" s="626" t="s">
        <v>235</v>
      </c>
      <c r="D378" s="604"/>
      <c r="E378" s="611" t="s">
        <v>269</v>
      </c>
      <c r="F378" s="611" t="s">
        <v>269</v>
      </c>
      <c r="G378" s="612" t="s">
        <v>269</v>
      </c>
      <c r="H378" s="607"/>
    </row>
    <row r="379" spans="1:8" s="601" customFormat="1" ht="12.75" customHeight="1">
      <c r="A379" s="602">
        <v>0</v>
      </c>
      <c r="B379" s="603" t="s">
        <v>743</v>
      </c>
      <c r="C379" s="625" t="s">
        <v>246</v>
      </c>
      <c r="D379" s="604"/>
      <c r="E379" s="616">
        <v>0</v>
      </c>
      <c r="F379" s="616">
        <v>0</v>
      </c>
      <c r="G379" s="617">
        <v>0</v>
      </c>
      <c r="H379" s="607"/>
    </row>
    <row r="380" spans="1:8" s="601" customFormat="1" ht="12.75" customHeight="1">
      <c r="A380" s="602">
        <v>0</v>
      </c>
      <c r="B380" s="603" t="s">
        <v>743</v>
      </c>
      <c r="C380" s="625" t="s">
        <v>448</v>
      </c>
      <c r="D380" s="604"/>
      <c r="E380" s="616" t="s">
        <v>34</v>
      </c>
      <c r="F380" s="616" t="s">
        <v>34</v>
      </c>
      <c r="G380" s="617" t="s">
        <v>34</v>
      </c>
      <c r="H380" s="607"/>
    </row>
    <row r="381" spans="1:8" s="601" customFormat="1" ht="12.75" customHeight="1">
      <c r="A381" s="602">
        <v>0</v>
      </c>
      <c r="B381" s="603" t="s">
        <v>743</v>
      </c>
      <c r="C381" s="625" t="s">
        <v>321</v>
      </c>
      <c r="D381" s="604"/>
      <c r="E381" s="611" t="s">
        <v>648</v>
      </c>
      <c r="F381" s="611" t="s">
        <v>648</v>
      </c>
      <c r="G381" s="612" t="s">
        <v>618</v>
      </c>
      <c r="H381" s="607"/>
    </row>
    <row r="382" spans="1:8" s="601" customFormat="1" ht="12.75" customHeight="1">
      <c r="A382" s="618">
        <v>0</v>
      </c>
      <c r="B382" s="603" t="s">
        <v>743</v>
      </c>
      <c r="C382" s="627" t="s">
        <v>355</v>
      </c>
      <c r="D382" s="604"/>
      <c r="E382" s="619" t="s">
        <v>358</v>
      </c>
      <c r="F382" s="619" t="s">
        <v>358</v>
      </c>
      <c r="G382" s="615" t="s">
        <v>795</v>
      </c>
      <c r="H382" s="607"/>
    </row>
    <row r="383" spans="1:8" s="155" customFormat="1" ht="12.75" customHeight="1">
      <c r="A383" s="217">
        <f>A382</f>
        <v>0</v>
      </c>
      <c r="B383" s="214" t="str">
        <f>B382</f>
        <v>20231229_RILA</v>
      </c>
      <c r="C383" s="368" t="s">
        <v>797</v>
      </c>
      <c r="D383" s="165"/>
      <c r="E383" s="455">
        <v>0</v>
      </c>
      <c r="F383" s="455">
        <v>0</v>
      </c>
      <c r="G383" s="594">
        <v>0</v>
      </c>
      <c r="H383" s="213"/>
    </row>
    <row r="384" spans="1:8" s="601" customFormat="1" ht="12.75" customHeight="1">
      <c r="A384" s="602">
        <v>0</v>
      </c>
      <c r="B384" s="603" t="s">
        <v>743</v>
      </c>
      <c r="C384" s="625" t="s">
        <v>405</v>
      </c>
      <c r="D384" s="604"/>
      <c r="E384" s="616">
        <v>0.2</v>
      </c>
      <c r="F384" s="616">
        <v>0.2</v>
      </c>
      <c r="G384" s="620">
        <v>0.15</v>
      </c>
      <c r="H384" s="621"/>
    </row>
    <row r="385" spans="1:8" s="601" customFormat="1" ht="12.75" customHeight="1">
      <c r="A385" s="602">
        <v>1</v>
      </c>
      <c r="B385" s="603" t="s">
        <v>743</v>
      </c>
      <c r="C385" s="625" t="s">
        <v>245</v>
      </c>
      <c r="D385" s="604"/>
      <c r="E385" s="605">
        <v>43008</v>
      </c>
      <c r="F385" s="605">
        <v>43008</v>
      </c>
      <c r="G385" s="606">
        <v>43465</v>
      </c>
      <c r="H385" s="607"/>
    </row>
    <row r="386" spans="1:8" s="601" customFormat="1" ht="12.75" customHeight="1">
      <c r="A386" s="602">
        <v>1</v>
      </c>
      <c r="B386" s="603" t="s">
        <v>743</v>
      </c>
      <c r="C386" s="625" t="s">
        <v>359</v>
      </c>
      <c r="D386" s="604"/>
      <c r="E386" s="608" t="s">
        <v>647</v>
      </c>
      <c r="F386" s="608" t="s">
        <v>647</v>
      </c>
      <c r="G386" s="606" t="s">
        <v>619</v>
      </c>
    </row>
    <row r="387" spans="1:8" s="601" customFormat="1" ht="12.75" customHeight="1">
      <c r="A387" s="602">
        <v>1</v>
      </c>
      <c r="B387" s="603" t="s">
        <v>743</v>
      </c>
      <c r="C387" s="609" t="s">
        <v>178</v>
      </c>
      <c r="D387" s="604"/>
      <c r="E387" s="610" t="s">
        <v>407</v>
      </c>
      <c r="F387" s="610" t="s">
        <v>407</v>
      </c>
      <c r="G387" s="606" t="s">
        <v>619</v>
      </c>
      <c r="H387" s="607"/>
    </row>
    <row r="388" spans="1:8" s="601" customFormat="1" ht="12.75" customHeight="1">
      <c r="A388" s="602">
        <v>1</v>
      </c>
      <c r="B388" s="603" t="s">
        <v>743</v>
      </c>
      <c r="C388" s="609" t="s">
        <v>181</v>
      </c>
      <c r="D388" s="604"/>
      <c r="E388" s="610" t="s">
        <v>407</v>
      </c>
      <c r="F388" s="610" t="s">
        <v>407</v>
      </c>
      <c r="G388" s="606" t="s">
        <v>619</v>
      </c>
      <c r="H388" s="607"/>
    </row>
    <row r="389" spans="1:8" s="601" customFormat="1" ht="12.75" customHeight="1">
      <c r="A389" s="602">
        <v>1</v>
      </c>
      <c r="B389" s="603" t="s">
        <v>743</v>
      </c>
      <c r="C389" s="625" t="s">
        <v>322</v>
      </c>
      <c r="D389" s="604"/>
      <c r="E389" s="611" t="s">
        <v>324</v>
      </c>
      <c r="F389" s="611" t="s">
        <v>324</v>
      </c>
      <c r="G389" s="612" t="s">
        <v>617</v>
      </c>
      <c r="H389" s="607"/>
    </row>
    <row r="390" spans="1:8" s="601" customFormat="1" ht="12.75" customHeight="1">
      <c r="A390" s="602">
        <v>1</v>
      </c>
      <c r="B390" s="603" t="s">
        <v>743</v>
      </c>
      <c r="C390" s="625" t="s">
        <v>385</v>
      </c>
      <c r="D390" s="604"/>
      <c r="E390" s="613">
        <v>0.96</v>
      </c>
      <c r="F390" s="613">
        <v>0.96</v>
      </c>
      <c r="G390" s="614">
        <v>0.98</v>
      </c>
      <c r="H390" s="607"/>
    </row>
    <row r="391" spans="1:8" s="601" customFormat="1" ht="12.75" customHeight="1">
      <c r="A391" s="602">
        <v>1</v>
      </c>
      <c r="B391" s="603" t="s">
        <v>743</v>
      </c>
      <c r="C391" s="625" t="s">
        <v>155</v>
      </c>
      <c r="D391" s="604"/>
      <c r="E391" s="615" t="s">
        <v>323</v>
      </c>
      <c r="F391" s="615" t="s">
        <v>323</v>
      </c>
      <c r="G391" s="612" t="s">
        <v>323</v>
      </c>
      <c r="H391" s="607"/>
    </row>
    <row r="392" spans="1:8" s="601" customFormat="1" ht="12.75" customHeight="1">
      <c r="A392" s="602">
        <v>1</v>
      </c>
      <c r="B392" s="603" t="s">
        <v>743</v>
      </c>
      <c r="C392" s="626" t="s">
        <v>235</v>
      </c>
      <c r="D392" s="604"/>
      <c r="E392" s="611" t="s">
        <v>269</v>
      </c>
      <c r="F392" s="611" t="s">
        <v>269</v>
      </c>
      <c r="G392" s="612" t="s">
        <v>269</v>
      </c>
      <c r="H392" s="607"/>
    </row>
    <row r="393" spans="1:8" s="601" customFormat="1" ht="12.75" customHeight="1">
      <c r="A393" s="602">
        <v>1</v>
      </c>
      <c r="B393" s="603" t="s">
        <v>743</v>
      </c>
      <c r="C393" s="625" t="s">
        <v>246</v>
      </c>
      <c r="D393" s="604"/>
      <c r="E393" s="616">
        <v>0</v>
      </c>
      <c r="F393" s="616">
        <v>0</v>
      </c>
      <c r="G393" s="617">
        <v>0</v>
      </c>
      <c r="H393" s="607"/>
    </row>
    <row r="394" spans="1:8" s="601" customFormat="1" ht="12.75" customHeight="1">
      <c r="A394" s="602">
        <v>1</v>
      </c>
      <c r="B394" s="603" t="s">
        <v>743</v>
      </c>
      <c r="C394" s="625" t="s">
        <v>448</v>
      </c>
      <c r="D394" s="604"/>
      <c r="E394" s="616" t="s">
        <v>34</v>
      </c>
      <c r="F394" s="616" t="s">
        <v>34</v>
      </c>
      <c r="G394" s="617" t="s">
        <v>34</v>
      </c>
      <c r="H394" s="607"/>
    </row>
    <row r="395" spans="1:8" s="601" customFormat="1" ht="12.75" customHeight="1">
      <c r="A395" s="602">
        <v>1</v>
      </c>
      <c r="B395" s="603" t="s">
        <v>743</v>
      </c>
      <c r="C395" s="625" t="s">
        <v>321</v>
      </c>
      <c r="D395" s="604"/>
      <c r="E395" s="611" t="s">
        <v>648</v>
      </c>
      <c r="F395" s="611" t="s">
        <v>648</v>
      </c>
      <c r="G395" s="612" t="s">
        <v>742</v>
      </c>
      <c r="H395" s="607"/>
    </row>
    <row r="396" spans="1:8" s="601" customFormat="1" ht="12.75" customHeight="1">
      <c r="A396" s="602">
        <v>1</v>
      </c>
      <c r="B396" s="603" t="s">
        <v>743</v>
      </c>
      <c r="C396" s="627" t="s">
        <v>355</v>
      </c>
      <c r="D396" s="604"/>
      <c r="E396" s="619" t="s">
        <v>358</v>
      </c>
      <c r="F396" s="619" t="s">
        <v>358</v>
      </c>
      <c r="G396" s="615" t="s">
        <v>796</v>
      </c>
      <c r="H396" s="607"/>
    </row>
    <row r="397" spans="1:8" s="155" customFormat="1" ht="12.75" customHeight="1">
      <c r="A397" s="217">
        <f>A396</f>
        <v>1</v>
      </c>
      <c r="B397" s="214" t="str">
        <f>B396</f>
        <v>20231229_RILA</v>
      </c>
      <c r="C397" s="368" t="s">
        <v>797</v>
      </c>
      <c r="D397" s="165"/>
      <c r="E397" s="455">
        <v>0</v>
      </c>
      <c r="F397" s="455">
        <v>0</v>
      </c>
      <c r="G397" s="594">
        <v>0</v>
      </c>
      <c r="H397" s="213"/>
    </row>
    <row r="398" spans="1:8" s="601" customFormat="1" ht="12.75" customHeight="1">
      <c r="A398" s="602">
        <v>1</v>
      </c>
      <c r="B398" s="603" t="s">
        <v>743</v>
      </c>
      <c r="C398" s="625" t="s">
        <v>405</v>
      </c>
      <c r="D398" s="604"/>
      <c r="E398" s="616">
        <v>0.2</v>
      </c>
      <c r="F398" s="616">
        <v>0.2</v>
      </c>
      <c r="G398" s="620">
        <v>0.15</v>
      </c>
      <c r="H398" s="621"/>
    </row>
    <row r="399" spans="1:8" s="601" customFormat="1" ht="12.75" customHeight="1">
      <c r="A399" s="602">
        <v>0</v>
      </c>
      <c r="B399" s="603" t="s">
        <v>751</v>
      </c>
      <c r="C399" s="625" t="s">
        <v>245</v>
      </c>
      <c r="D399" s="604"/>
      <c r="E399" s="605">
        <v>43008</v>
      </c>
      <c r="F399" s="605">
        <v>43008</v>
      </c>
      <c r="G399" s="606">
        <v>43465</v>
      </c>
      <c r="H399" s="607"/>
    </row>
    <row r="400" spans="1:8" s="601" customFormat="1" ht="12.75" customHeight="1">
      <c r="A400" s="602">
        <v>0</v>
      </c>
      <c r="B400" s="603" t="s">
        <v>751</v>
      </c>
      <c r="C400" s="625" t="s">
        <v>359</v>
      </c>
      <c r="D400" s="604"/>
      <c r="E400" s="608" t="s">
        <v>647</v>
      </c>
      <c r="F400" s="608" t="s">
        <v>647</v>
      </c>
      <c r="G400" s="606" t="s">
        <v>619</v>
      </c>
    </row>
    <row r="401" spans="1:8" s="601" customFormat="1" ht="12.75" customHeight="1">
      <c r="A401" s="602">
        <v>0</v>
      </c>
      <c r="B401" s="603" t="s">
        <v>751</v>
      </c>
      <c r="C401" s="609" t="s">
        <v>178</v>
      </c>
      <c r="D401" s="604"/>
      <c r="E401" s="610" t="s">
        <v>407</v>
      </c>
      <c r="F401" s="610" t="s">
        <v>407</v>
      </c>
      <c r="G401" s="606" t="s">
        <v>619</v>
      </c>
      <c r="H401" s="607"/>
    </row>
    <row r="402" spans="1:8" s="601" customFormat="1" ht="12.75" customHeight="1">
      <c r="A402" s="602">
        <v>0</v>
      </c>
      <c r="B402" s="603" t="s">
        <v>751</v>
      </c>
      <c r="C402" s="609" t="s">
        <v>181</v>
      </c>
      <c r="D402" s="604"/>
      <c r="E402" s="610" t="s">
        <v>407</v>
      </c>
      <c r="F402" s="610" t="s">
        <v>407</v>
      </c>
      <c r="G402" s="606" t="s">
        <v>619</v>
      </c>
      <c r="H402" s="607"/>
    </row>
    <row r="403" spans="1:8" s="601" customFormat="1" ht="12.75" customHeight="1">
      <c r="A403" s="602">
        <v>0</v>
      </c>
      <c r="B403" s="603" t="s">
        <v>751</v>
      </c>
      <c r="C403" s="625" t="s">
        <v>322</v>
      </c>
      <c r="D403" s="604"/>
      <c r="E403" s="611" t="s">
        <v>324</v>
      </c>
      <c r="F403" s="611" t="s">
        <v>324</v>
      </c>
      <c r="G403" s="612" t="s">
        <v>617</v>
      </c>
      <c r="H403" s="607"/>
    </row>
    <row r="404" spans="1:8" s="601" customFormat="1" ht="12.75" customHeight="1">
      <c r="A404" s="602">
        <v>0</v>
      </c>
      <c r="B404" s="603" t="s">
        <v>751</v>
      </c>
      <c r="C404" s="625" t="s">
        <v>385</v>
      </c>
      <c r="D404" s="604"/>
      <c r="E404" s="613">
        <v>0.96</v>
      </c>
      <c r="F404" s="613">
        <v>0.96</v>
      </c>
      <c r="G404" s="614">
        <v>0.98</v>
      </c>
      <c r="H404" s="607"/>
    </row>
    <row r="405" spans="1:8" s="601" customFormat="1" ht="12.75" customHeight="1">
      <c r="A405" s="602">
        <v>0</v>
      </c>
      <c r="B405" s="603" t="s">
        <v>751</v>
      </c>
      <c r="C405" s="625" t="s">
        <v>155</v>
      </c>
      <c r="D405" s="604"/>
      <c r="E405" s="615" t="s">
        <v>323</v>
      </c>
      <c r="F405" s="615" t="s">
        <v>323</v>
      </c>
      <c r="G405" s="612" t="s">
        <v>323</v>
      </c>
      <c r="H405" s="607"/>
    </row>
    <row r="406" spans="1:8" s="601" customFormat="1" ht="12.75" customHeight="1">
      <c r="A406" s="602">
        <v>0</v>
      </c>
      <c r="B406" s="603" t="s">
        <v>751</v>
      </c>
      <c r="C406" s="626" t="s">
        <v>235</v>
      </c>
      <c r="D406" s="604"/>
      <c r="E406" s="611" t="s">
        <v>269</v>
      </c>
      <c r="F406" s="611" t="s">
        <v>269</v>
      </c>
      <c r="G406" s="612" t="s">
        <v>269</v>
      </c>
      <c r="H406" s="607"/>
    </row>
    <row r="407" spans="1:8" s="601" customFormat="1" ht="12.75" customHeight="1">
      <c r="A407" s="602">
        <v>0</v>
      </c>
      <c r="B407" s="603" t="s">
        <v>751</v>
      </c>
      <c r="C407" s="625" t="s">
        <v>246</v>
      </c>
      <c r="D407" s="604"/>
      <c r="E407" s="616">
        <v>0</v>
      </c>
      <c r="F407" s="616">
        <v>0</v>
      </c>
      <c r="G407" s="617">
        <v>0</v>
      </c>
      <c r="H407" s="607"/>
    </row>
    <row r="408" spans="1:8" s="601" customFormat="1" ht="12.75" customHeight="1">
      <c r="A408" s="602">
        <v>0</v>
      </c>
      <c r="B408" s="603" t="s">
        <v>751</v>
      </c>
      <c r="C408" s="625" t="s">
        <v>448</v>
      </c>
      <c r="D408" s="604"/>
      <c r="E408" s="616" t="s">
        <v>34</v>
      </c>
      <c r="F408" s="616" t="s">
        <v>34</v>
      </c>
      <c r="G408" s="617" t="s">
        <v>34</v>
      </c>
      <c r="H408" s="607"/>
    </row>
    <row r="409" spans="1:8" s="601" customFormat="1" ht="12.75" customHeight="1">
      <c r="A409" s="602">
        <v>0</v>
      </c>
      <c r="B409" s="603" t="s">
        <v>751</v>
      </c>
      <c r="C409" s="625" t="s">
        <v>321</v>
      </c>
      <c r="D409" s="604"/>
      <c r="E409" s="611" t="s">
        <v>648</v>
      </c>
      <c r="F409" s="611" t="s">
        <v>648</v>
      </c>
      <c r="G409" s="612" t="s">
        <v>742</v>
      </c>
      <c r="H409" s="607"/>
    </row>
    <row r="410" spans="1:8" s="601" customFormat="1" ht="12.75" customHeight="1">
      <c r="A410" s="618">
        <v>0</v>
      </c>
      <c r="B410" s="603" t="s">
        <v>751</v>
      </c>
      <c r="C410" s="627" t="s">
        <v>355</v>
      </c>
      <c r="D410" s="604"/>
      <c r="E410" s="619" t="s">
        <v>358</v>
      </c>
      <c r="F410" s="619" t="s">
        <v>358</v>
      </c>
      <c r="G410" s="612" t="s">
        <v>725</v>
      </c>
      <c r="H410" s="607"/>
    </row>
    <row r="411" spans="1:8" s="155" customFormat="1" ht="12.75" customHeight="1">
      <c r="A411" s="217">
        <f>A410</f>
        <v>0</v>
      </c>
      <c r="B411" s="214" t="str">
        <f>B410</f>
        <v>2024Plan_RILA_NoDynLapse_ROPOffUnderROPOnAssump</v>
      </c>
      <c r="C411" s="368" t="s">
        <v>797</v>
      </c>
      <c r="D411" s="165"/>
      <c r="E411" s="455">
        <v>0</v>
      </c>
      <c r="F411" s="455">
        <v>0</v>
      </c>
      <c r="G411" s="594">
        <v>0</v>
      </c>
      <c r="H411" s="213"/>
    </row>
    <row r="412" spans="1:8" s="601" customFormat="1" ht="12.75" customHeight="1">
      <c r="A412" s="602">
        <v>0</v>
      </c>
      <c r="B412" s="603" t="s">
        <v>751</v>
      </c>
      <c r="C412" s="625" t="s">
        <v>405</v>
      </c>
      <c r="D412" s="604"/>
      <c r="E412" s="616">
        <v>0.2</v>
      </c>
      <c r="F412" s="616">
        <v>0.2</v>
      </c>
      <c r="G412" s="620">
        <v>0.2</v>
      </c>
      <c r="H412" s="621"/>
    </row>
    <row r="413" spans="1:8" s="601" customFormat="1" ht="12.75" customHeight="1">
      <c r="A413" s="602">
        <v>1</v>
      </c>
      <c r="B413" s="603" t="s">
        <v>751</v>
      </c>
      <c r="C413" s="625" t="s">
        <v>245</v>
      </c>
      <c r="D413" s="604"/>
      <c r="E413" s="605">
        <v>43008</v>
      </c>
      <c r="F413" s="605">
        <v>43008</v>
      </c>
      <c r="G413" s="606">
        <v>43465</v>
      </c>
      <c r="H413" s="607"/>
    </row>
    <row r="414" spans="1:8" s="601" customFormat="1" ht="12.75" customHeight="1">
      <c r="A414" s="602">
        <v>1</v>
      </c>
      <c r="B414" s="603" t="s">
        <v>751</v>
      </c>
      <c r="C414" s="625" t="s">
        <v>359</v>
      </c>
      <c r="D414" s="604"/>
      <c r="E414" s="608" t="s">
        <v>647</v>
      </c>
      <c r="F414" s="608" t="s">
        <v>647</v>
      </c>
      <c r="G414" s="606" t="s">
        <v>619</v>
      </c>
    </row>
    <row r="415" spans="1:8" s="601" customFormat="1" ht="12.75" customHeight="1">
      <c r="A415" s="602">
        <v>1</v>
      </c>
      <c r="B415" s="603" t="s">
        <v>751</v>
      </c>
      <c r="C415" s="609" t="s">
        <v>178</v>
      </c>
      <c r="D415" s="604"/>
      <c r="E415" s="610" t="s">
        <v>407</v>
      </c>
      <c r="F415" s="610" t="s">
        <v>407</v>
      </c>
      <c r="G415" s="606" t="s">
        <v>619</v>
      </c>
      <c r="H415" s="607"/>
    </row>
    <row r="416" spans="1:8" s="601" customFormat="1" ht="12.75" customHeight="1">
      <c r="A416" s="602">
        <v>1</v>
      </c>
      <c r="B416" s="603" t="s">
        <v>751</v>
      </c>
      <c r="C416" s="609" t="s">
        <v>181</v>
      </c>
      <c r="D416" s="604"/>
      <c r="E416" s="610" t="s">
        <v>407</v>
      </c>
      <c r="F416" s="610" t="s">
        <v>407</v>
      </c>
      <c r="G416" s="606" t="s">
        <v>619</v>
      </c>
      <c r="H416" s="607"/>
    </row>
    <row r="417" spans="1:8" s="601" customFormat="1" ht="12.75" customHeight="1">
      <c r="A417" s="602">
        <v>1</v>
      </c>
      <c r="B417" s="603" t="s">
        <v>751</v>
      </c>
      <c r="C417" s="625" t="s">
        <v>322</v>
      </c>
      <c r="D417" s="604"/>
      <c r="E417" s="611" t="s">
        <v>324</v>
      </c>
      <c r="F417" s="611" t="s">
        <v>324</v>
      </c>
      <c r="G417" s="612" t="s">
        <v>617</v>
      </c>
      <c r="H417" s="607"/>
    </row>
    <row r="418" spans="1:8" s="601" customFormat="1" ht="12.75" customHeight="1">
      <c r="A418" s="602">
        <v>1</v>
      </c>
      <c r="B418" s="603" t="s">
        <v>751</v>
      </c>
      <c r="C418" s="625" t="s">
        <v>385</v>
      </c>
      <c r="D418" s="604"/>
      <c r="E418" s="613">
        <v>0.96</v>
      </c>
      <c r="F418" s="613">
        <v>0.96</v>
      </c>
      <c r="G418" s="614">
        <v>0.98</v>
      </c>
      <c r="H418" s="607"/>
    </row>
    <row r="419" spans="1:8" s="601" customFormat="1" ht="12.75" customHeight="1">
      <c r="A419" s="602">
        <v>1</v>
      </c>
      <c r="B419" s="603" t="s">
        <v>751</v>
      </c>
      <c r="C419" s="625" t="s">
        <v>155</v>
      </c>
      <c r="D419" s="604"/>
      <c r="E419" s="615" t="s">
        <v>323</v>
      </c>
      <c r="F419" s="615" t="s">
        <v>323</v>
      </c>
      <c r="G419" s="612" t="s">
        <v>323</v>
      </c>
      <c r="H419" s="607"/>
    </row>
    <row r="420" spans="1:8" s="601" customFormat="1" ht="12.75" customHeight="1">
      <c r="A420" s="602">
        <v>1</v>
      </c>
      <c r="B420" s="603" t="s">
        <v>751</v>
      </c>
      <c r="C420" s="626" t="s">
        <v>235</v>
      </c>
      <c r="D420" s="604"/>
      <c r="E420" s="611" t="s">
        <v>269</v>
      </c>
      <c r="F420" s="611" t="s">
        <v>269</v>
      </c>
      <c r="G420" s="612" t="s">
        <v>269</v>
      </c>
      <c r="H420" s="607"/>
    </row>
    <row r="421" spans="1:8" s="601" customFormat="1" ht="12.75" customHeight="1">
      <c r="A421" s="602">
        <v>1</v>
      </c>
      <c r="B421" s="603" t="s">
        <v>751</v>
      </c>
      <c r="C421" s="625" t="s">
        <v>246</v>
      </c>
      <c r="D421" s="604"/>
      <c r="E421" s="616">
        <v>0</v>
      </c>
      <c r="F421" s="616">
        <v>0</v>
      </c>
      <c r="G421" s="617">
        <v>0</v>
      </c>
      <c r="H421" s="607"/>
    </row>
    <row r="422" spans="1:8" s="601" customFormat="1" ht="12.75" customHeight="1">
      <c r="A422" s="602">
        <v>1</v>
      </c>
      <c r="B422" s="603" t="s">
        <v>751</v>
      </c>
      <c r="C422" s="625" t="s">
        <v>448</v>
      </c>
      <c r="D422" s="604"/>
      <c r="E422" s="616" t="s">
        <v>34</v>
      </c>
      <c r="F422" s="616" t="s">
        <v>34</v>
      </c>
      <c r="G422" s="617" t="s">
        <v>34</v>
      </c>
      <c r="H422" s="607"/>
    </row>
    <row r="423" spans="1:8" s="601" customFormat="1" ht="12.75" customHeight="1">
      <c r="A423" s="602">
        <v>1</v>
      </c>
      <c r="B423" s="603" t="s">
        <v>751</v>
      </c>
      <c r="C423" s="625" t="s">
        <v>321</v>
      </c>
      <c r="D423" s="604"/>
      <c r="E423" s="611" t="s">
        <v>648</v>
      </c>
      <c r="F423" s="611" t="s">
        <v>648</v>
      </c>
      <c r="G423" s="612" t="s">
        <v>742</v>
      </c>
      <c r="H423" s="607"/>
    </row>
    <row r="424" spans="1:8" s="601" customFormat="1" ht="12.75" customHeight="1">
      <c r="A424" s="602">
        <v>1</v>
      </c>
      <c r="B424" s="603" t="s">
        <v>751</v>
      </c>
      <c r="C424" s="627" t="s">
        <v>355</v>
      </c>
      <c r="D424" s="604"/>
      <c r="E424" s="619" t="s">
        <v>358</v>
      </c>
      <c r="F424" s="619" t="s">
        <v>358</v>
      </c>
      <c r="G424" s="612" t="s">
        <v>725</v>
      </c>
      <c r="H424" s="607"/>
    </row>
    <row r="425" spans="1:8" s="155" customFormat="1" ht="12.75" customHeight="1">
      <c r="A425" s="217">
        <f>A424</f>
        <v>1</v>
      </c>
      <c r="B425" s="214" t="str">
        <f>B424</f>
        <v>2024Plan_RILA_NoDynLapse_ROPOffUnderROPOnAssump</v>
      </c>
      <c r="C425" s="368" t="s">
        <v>797</v>
      </c>
      <c r="D425" s="165"/>
      <c r="E425" s="455">
        <v>0</v>
      </c>
      <c r="F425" s="455">
        <v>0</v>
      </c>
      <c r="G425" s="594">
        <v>0</v>
      </c>
      <c r="H425" s="213"/>
    </row>
    <row r="426" spans="1:8" s="601" customFormat="1" ht="12.75" customHeight="1">
      <c r="A426" s="602">
        <v>1</v>
      </c>
      <c r="B426" s="603" t="s">
        <v>751</v>
      </c>
      <c r="C426" s="625" t="s">
        <v>405</v>
      </c>
      <c r="D426" s="604"/>
      <c r="E426" s="616">
        <v>0.2</v>
      </c>
      <c r="F426" s="616">
        <v>0.2</v>
      </c>
      <c r="G426" s="620">
        <v>0.2</v>
      </c>
      <c r="H426" s="621"/>
    </row>
    <row r="427" spans="1:8" s="601" customFormat="1" ht="12.75" customHeight="1">
      <c r="A427" s="602">
        <v>0</v>
      </c>
      <c r="B427" s="603" t="s">
        <v>747</v>
      </c>
      <c r="C427" s="625" t="s">
        <v>245</v>
      </c>
      <c r="D427" s="604"/>
      <c r="E427" s="605">
        <v>43008</v>
      </c>
      <c r="F427" s="605">
        <v>43008</v>
      </c>
      <c r="G427" s="606">
        <v>43465</v>
      </c>
      <c r="H427" s="607"/>
    </row>
    <row r="428" spans="1:8" s="601" customFormat="1" ht="12.75" customHeight="1">
      <c r="A428" s="602">
        <v>0</v>
      </c>
      <c r="B428" s="603" t="s">
        <v>747</v>
      </c>
      <c r="C428" s="625" t="s">
        <v>359</v>
      </c>
      <c r="D428" s="604"/>
      <c r="E428" s="608" t="s">
        <v>647</v>
      </c>
      <c r="F428" s="608" t="s">
        <v>647</v>
      </c>
      <c r="G428" s="606" t="s">
        <v>619</v>
      </c>
    </row>
    <row r="429" spans="1:8" s="601" customFormat="1" ht="12.75" customHeight="1">
      <c r="A429" s="602">
        <v>0</v>
      </c>
      <c r="B429" s="603" t="s">
        <v>747</v>
      </c>
      <c r="C429" s="609" t="s">
        <v>178</v>
      </c>
      <c r="D429" s="604"/>
      <c r="E429" s="610" t="s">
        <v>407</v>
      </c>
      <c r="F429" s="610" t="s">
        <v>407</v>
      </c>
      <c r="G429" s="606" t="s">
        <v>748</v>
      </c>
      <c r="H429" s="607"/>
    </row>
    <row r="430" spans="1:8" s="601" customFormat="1" ht="12.75" customHeight="1">
      <c r="A430" s="602">
        <v>0</v>
      </c>
      <c r="B430" s="603" t="s">
        <v>747</v>
      </c>
      <c r="C430" s="609" t="s">
        <v>181</v>
      </c>
      <c r="D430" s="604"/>
      <c r="E430" s="610" t="s">
        <v>407</v>
      </c>
      <c r="F430" s="610" t="s">
        <v>407</v>
      </c>
      <c r="G430" s="606" t="s">
        <v>748</v>
      </c>
      <c r="H430" s="607"/>
    </row>
    <row r="431" spans="1:8" s="601" customFormat="1" ht="12.75" customHeight="1">
      <c r="A431" s="602">
        <v>0</v>
      </c>
      <c r="B431" s="603" t="s">
        <v>747</v>
      </c>
      <c r="C431" s="625" t="s">
        <v>322</v>
      </c>
      <c r="D431" s="604"/>
      <c r="E431" s="611" t="s">
        <v>324</v>
      </c>
      <c r="F431" s="611" t="s">
        <v>324</v>
      </c>
      <c r="G431" s="612" t="s">
        <v>617</v>
      </c>
      <c r="H431" s="607"/>
    </row>
    <row r="432" spans="1:8" s="601" customFormat="1" ht="12.75" customHeight="1">
      <c r="A432" s="602">
        <v>0</v>
      </c>
      <c r="B432" s="603" t="s">
        <v>747</v>
      </c>
      <c r="C432" s="625" t="s">
        <v>385</v>
      </c>
      <c r="D432" s="604"/>
      <c r="E432" s="613">
        <v>0.96</v>
      </c>
      <c r="F432" s="613">
        <v>0.96</v>
      </c>
      <c r="G432" s="614">
        <v>0.98</v>
      </c>
      <c r="H432" s="607"/>
    </row>
    <row r="433" spans="1:8" s="601" customFormat="1" ht="12.75" customHeight="1">
      <c r="A433" s="602">
        <v>0</v>
      </c>
      <c r="B433" s="603" t="s">
        <v>747</v>
      </c>
      <c r="C433" s="625" t="s">
        <v>155</v>
      </c>
      <c r="D433" s="604"/>
      <c r="E433" s="615" t="s">
        <v>323</v>
      </c>
      <c r="F433" s="615" t="s">
        <v>323</v>
      </c>
      <c r="G433" s="612" t="s">
        <v>323</v>
      </c>
      <c r="H433" s="607"/>
    </row>
    <row r="434" spans="1:8" s="601" customFormat="1" ht="12.75" customHeight="1">
      <c r="A434" s="602">
        <v>0</v>
      </c>
      <c r="B434" s="603" t="s">
        <v>747</v>
      </c>
      <c r="C434" s="626" t="s">
        <v>235</v>
      </c>
      <c r="D434" s="604"/>
      <c r="E434" s="611" t="s">
        <v>269</v>
      </c>
      <c r="F434" s="611" t="s">
        <v>269</v>
      </c>
      <c r="G434" s="612" t="s">
        <v>269</v>
      </c>
      <c r="H434" s="607"/>
    </row>
    <row r="435" spans="1:8" s="601" customFormat="1" ht="12.75" customHeight="1">
      <c r="A435" s="602">
        <v>0</v>
      </c>
      <c r="B435" s="603" t="s">
        <v>747</v>
      </c>
      <c r="C435" s="625" t="s">
        <v>246</v>
      </c>
      <c r="D435" s="604"/>
      <c r="E435" s="616">
        <v>0</v>
      </c>
      <c r="F435" s="616">
        <v>0</v>
      </c>
      <c r="G435" s="617">
        <v>0</v>
      </c>
      <c r="H435" s="607"/>
    </row>
    <row r="436" spans="1:8" s="601" customFormat="1" ht="12.75" customHeight="1">
      <c r="A436" s="602">
        <v>0</v>
      </c>
      <c r="B436" s="603" t="s">
        <v>747</v>
      </c>
      <c r="C436" s="625" t="s">
        <v>448</v>
      </c>
      <c r="D436" s="604"/>
      <c r="E436" s="616" t="s">
        <v>34</v>
      </c>
      <c r="F436" s="616" t="s">
        <v>34</v>
      </c>
      <c r="G436" s="617" t="s">
        <v>34</v>
      </c>
      <c r="H436" s="607"/>
    </row>
    <row r="437" spans="1:8" s="601" customFormat="1" ht="12.75" customHeight="1">
      <c r="A437" s="602">
        <v>0</v>
      </c>
      <c r="B437" s="603" t="s">
        <v>747</v>
      </c>
      <c r="C437" s="625" t="s">
        <v>321</v>
      </c>
      <c r="D437" s="604"/>
      <c r="E437" s="611" t="s">
        <v>648</v>
      </c>
      <c r="F437" s="611" t="s">
        <v>648</v>
      </c>
      <c r="G437" s="612" t="s">
        <v>618</v>
      </c>
      <c r="H437" s="607"/>
    </row>
    <row r="438" spans="1:8" s="601" customFormat="1" ht="12.75" customHeight="1">
      <c r="A438" s="618">
        <v>0</v>
      </c>
      <c r="B438" s="603" t="s">
        <v>747</v>
      </c>
      <c r="C438" s="627" t="s">
        <v>355</v>
      </c>
      <c r="D438" s="604"/>
      <c r="E438" s="619" t="s">
        <v>358</v>
      </c>
      <c r="F438" s="619" t="s">
        <v>358</v>
      </c>
      <c r="G438" s="612" t="s">
        <v>725</v>
      </c>
      <c r="H438" s="607"/>
    </row>
    <row r="439" spans="1:8" s="155" customFormat="1" ht="12.75" customHeight="1">
      <c r="A439" s="217">
        <f>A438</f>
        <v>0</v>
      </c>
      <c r="B439" s="214" t="str">
        <f>B438</f>
        <v>2024Plan_RILA_NoDynLapse_106%Mort</v>
      </c>
      <c r="C439" s="368" t="s">
        <v>797</v>
      </c>
      <c r="D439" s="165"/>
      <c r="E439" s="455">
        <v>0</v>
      </c>
      <c r="F439" s="455">
        <v>0</v>
      </c>
      <c r="G439" s="594">
        <v>0</v>
      </c>
      <c r="H439" s="213"/>
    </row>
    <row r="440" spans="1:8" s="601" customFormat="1" ht="12.75" customHeight="1">
      <c r="A440" s="602">
        <v>0</v>
      </c>
      <c r="B440" s="603" t="s">
        <v>747</v>
      </c>
      <c r="C440" s="625" t="s">
        <v>405</v>
      </c>
      <c r="D440" s="604"/>
      <c r="E440" s="616">
        <v>0.2</v>
      </c>
      <c r="F440" s="616">
        <v>0.2</v>
      </c>
      <c r="G440" s="620">
        <v>0.2</v>
      </c>
      <c r="H440" s="621"/>
    </row>
    <row r="441" spans="1:8" s="601" customFormat="1" ht="12.75" customHeight="1">
      <c r="A441" s="602">
        <v>1</v>
      </c>
      <c r="B441" s="603" t="s">
        <v>747</v>
      </c>
      <c r="C441" s="625" t="s">
        <v>245</v>
      </c>
      <c r="D441" s="604"/>
      <c r="E441" s="605">
        <v>43008</v>
      </c>
      <c r="F441" s="605">
        <v>43008</v>
      </c>
      <c r="G441" s="606">
        <v>43465</v>
      </c>
      <c r="H441" s="607"/>
    </row>
    <row r="442" spans="1:8" s="601" customFormat="1" ht="12.75" customHeight="1">
      <c r="A442" s="602">
        <v>1</v>
      </c>
      <c r="B442" s="603" t="s">
        <v>747</v>
      </c>
      <c r="C442" s="625" t="s">
        <v>359</v>
      </c>
      <c r="D442" s="604"/>
      <c r="E442" s="608" t="s">
        <v>647</v>
      </c>
      <c r="F442" s="608" t="s">
        <v>647</v>
      </c>
      <c r="G442" s="606" t="s">
        <v>619</v>
      </c>
    </row>
    <row r="443" spans="1:8" s="601" customFormat="1" ht="12.75" customHeight="1">
      <c r="A443" s="602">
        <v>1</v>
      </c>
      <c r="B443" s="603" t="s">
        <v>747</v>
      </c>
      <c r="C443" s="609" t="s">
        <v>178</v>
      </c>
      <c r="D443" s="604"/>
      <c r="E443" s="610" t="s">
        <v>407</v>
      </c>
      <c r="F443" s="610" t="s">
        <v>407</v>
      </c>
      <c r="G443" s="606" t="s">
        <v>619</v>
      </c>
      <c r="H443" s="607"/>
    </row>
    <row r="444" spans="1:8" s="601" customFormat="1" ht="12.75" customHeight="1">
      <c r="A444" s="602">
        <v>1</v>
      </c>
      <c r="B444" s="603" t="s">
        <v>747</v>
      </c>
      <c r="C444" s="609" t="s">
        <v>181</v>
      </c>
      <c r="D444" s="604"/>
      <c r="E444" s="610" t="s">
        <v>407</v>
      </c>
      <c r="F444" s="610" t="s">
        <v>407</v>
      </c>
      <c r="G444" s="606" t="s">
        <v>619</v>
      </c>
      <c r="H444" s="607"/>
    </row>
    <row r="445" spans="1:8" s="601" customFormat="1" ht="12.75" customHeight="1">
      <c r="A445" s="602">
        <v>1</v>
      </c>
      <c r="B445" s="603" t="s">
        <v>747</v>
      </c>
      <c r="C445" s="625" t="s">
        <v>322</v>
      </c>
      <c r="D445" s="604"/>
      <c r="E445" s="611" t="s">
        <v>324</v>
      </c>
      <c r="F445" s="611" t="s">
        <v>324</v>
      </c>
      <c r="G445" s="612" t="s">
        <v>617</v>
      </c>
      <c r="H445" s="607"/>
    </row>
    <row r="446" spans="1:8" s="601" customFormat="1" ht="12.75" customHeight="1">
      <c r="A446" s="602">
        <v>1</v>
      </c>
      <c r="B446" s="603" t="s">
        <v>747</v>
      </c>
      <c r="C446" s="625" t="s">
        <v>385</v>
      </c>
      <c r="D446" s="604"/>
      <c r="E446" s="613">
        <v>0.96</v>
      </c>
      <c r="F446" s="613">
        <v>0.96</v>
      </c>
      <c r="G446" s="614">
        <v>0.98</v>
      </c>
      <c r="H446" s="607"/>
    </row>
    <row r="447" spans="1:8" s="601" customFormat="1" ht="12.75" customHeight="1">
      <c r="A447" s="602">
        <v>1</v>
      </c>
      <c r="B447" s="603" t="s">
        <v>747</v>
      </c>
      <c r="C447" s="625" t="s">
        <v>155</v>
      </c>
      <c r="D447" s="604"/>
      <c r="E447" s="615" t="s">
        <v>323</v>
      </c>
      <c r="F447" s="615" t="s">
        <v>323</v>
      </c>
      <c r="G447" s="612" t="s">
        <v>323</v>
      </c>
      <c r="H447" s="607"/>
    </row>
    <row r="448" spans="1:8" s="601" customFormat="1" ht="12.75" customHeight="1">
      <c r="A448" s="602">
        <v>1</v>
      </c>
      <c r="B448" s="603" t="s">
        <v>747</v>
      </c>
      <c r="C448" s="626" t="s">
        <v>235</v>
      </c>
      <c r="D448" s="604"/>
      <c r="E448" s="611" t="s">
        <v>269</v>
      </c>
      <c r="F448" s="611" t="s">
        <v>269</v>
      </c>
      <c r="G448" s="612" t="s">
        <v>269</v>
      </c>
      <c r="H448" s="607"/>
    </row>
    <row r="449" spans="1:8" s="601" customFormat="1" ht="12.75" customHeight="1">
      <c r="A449" s="602">
        <v>1</v>
      </c>
      <c r="B449" s="603" t="s">
        <v>747</v>
      </c>
      <c r="C449" s="625" t="s">
        <v>246</v>
      </c>
      <c r="D449" s="604"/>
      <c r="E449" s="616">
        <v>0</v>
      </c>
      <c r="F449" s="616">
        <v>0</v>
      </c>
      <c r="G449" s="617">
        <v>0</v>
      </c>
      <c r="H449" s="607"/>
    </row>
    <row r="450" spans="1:8" s="601" customFormat="1" ht="12.75" customHeight="1">
      <c r="A450" s="602">
        <v>1</v>
      </c>
      <c r="B450" s="603" t="s">
        <v>747</v>
      </c>
      <c r="C450" s="625" t="s">
        <v>448</v>
      </c>
      <c r="D450" s="604"/>
      <c r="E450" s="616" t="s">
        <v>34</v>
      </c>
      <c r="F450" s="616" t="s">
        <v>34</v>
      </c>
      <c r="G450" s="617" t="s">
        <v>34</v>
      </c>
      <c r="H450" s="607"/>
    </row>
    <row r="451" spans="1:8" s="601" customFormat="1" ht="12.75" customHeight="1">
      <c r="A451" s="602">
        <v>1</v>
      </c>
      <c r="B451" s="603" t="s">
        <v>747</v>
      </c>
      <c r="C451" s="625" t="s">
        <v>321</v>
      </c>
      <c r="D451" s="604"/>
      <c r="E451" s="611" t="s">
        <v>648</v>
      </c>
      <c r="F451" s="611" t="s">
        <v>648</v>
      </c>
      <c r="G451" s="612" t="s">
        <v>742</v>
      </c>
      <c r="H451" s="607"/>
    </row>
    <row r="452" spans="1:8" s="601" customFormat="1" ht="12.75" customHeight="1">
      <c r="A452" s="602">
        <v>1</v>
      </c>
      <c r="B452" s="603" t="s">
        <v>747</v>
      </c>
      <c r="C452" s="627" t="s">
        <v>355</v>
      </c>
      <c r="D452" s="604"/>
      <c r="E452" s="619" t="s">
        <v>358</v>
      </c>
      <c r="F452" s="619" t="s">
        <v>358</v>
      </c>
      <c r="G452" s="612" t="s">
        <v>725</v>
      </c>
      <c r="H452" s="607"/>
    </row>
    <row r="453" spans="1:8" s="155" customFormat="1" ht="12.75" customHeight="1">
      <c r="A453" s="217">
        <f>A452</f>
        <v>1</v>
      </c>
      <c r="B453" s="214" t="str">
        <f>B452</f>
        <v>2024Plan_RILA_NoDynLapse_106%Mort</v>
      </c>
      <c r="C453" s="368" t="s">
        <v>797</v>
      </c>
      <c r="D453" s="165"/>
      <c r="E453" s="455">
        <v>0</v>
      </c>
      <c r="F453" s="455">
        <v>0</v>
      </c>
      <c r="G453" s="594">
        <v>0</v>
      </c>
      <c r="H453" s="213"/>
    </row>
    <row r="454" spans="1:8" s="601" customFormat="1" ht="12.75" customHeight="1">
      <c r="A454" s="602">
        <v>1</v>
      </c>
      <c r="B454" s="603" t="s">
        <v>747</v>
      </c>
      <c r="C454" s="625" t="s">
        <v>405</v>
      </c>
      <c r="D454" s="604"/>
      <c r="E454" s="616">
        <v>0.2</v>
      </c>
      <c r="F454" s="616">
        <v>0.2</v>
      </c>
      <c r="G454" s="620">
        <v>0.2</v>
      </c>
      <c r="H454" s="621"/>
    </row>
    <row r="455" spans="1:8" s="601" customFormat="1" ht="12.75" customHeight="1">
      <c r="A455" s="602">
        <v>0</v>
      </c>
      <c r="B455" s="603" t="s">
        <v>749</v>
      </c>
      <c r="C455" s="625" t="s">
        <v>245</v>
      </c>
      <c r="D455" s="604"/>
      <c r="E455" s="605">
        <v>43008</v>
      </c>
      <c r="F455" s="605">
        <v>43008</v>
      </c>
      <c r="G455" s="606">
        <v>43465</v>
      </c>
      <c r="H455" s="607"/>
    </row>
    <row r="456" spans="1:8" s="601" customFormat="1" ht="12.75" customHeight="1">
      <c r="A456" s="602">
        <v>0</v>
      </c>
      <c r="B456" s="603" t="s">
        <v>749</v>
      </c>
      <c r="C456" s="625" t="s">
        <v>359</v>
      </c>
      <c r="D456" s="604"/>
      <c r="E456" s="608" t="s">
        <v>647</v>
      </c>
      <c r="F456" s="608" t="s">
        <v>647</v>
      </c>
      <c r="G456" s="606" t="s">
        <v>619</v>
      </c>
    </row>
    <row r="457" spans="1:8" s="601" customFormat="1" ht="12.75" customHeight="1">
      <c r="A457" s="602">
        <v>0</v>
      </c>
      <c r="B457" s="603" t="s">
        <v>749</v>
      </c>
      <c r="C457" s="609" t="s">
        <v>178</v>
      </c>
      <c r="D457" s="604"/>
      <c r="E457" s="610" t="s">
        <v>407</v>
      </c>
      <c r="F457" s="610" t="s">
        <v>407</v>
      </c>
      <c r="G457" s="606" t="s">
        <v>619</v>
      </c>
      <c r="H457" s="607"/>
    </row>
    <row r="458" spans="1:8" s="601" customFormat="1" ht="12.75" customHeight="1">
      <c r="A458" s="602">
        <v>0</v>
      </c>
      <c r="B458" s="603" t="s">
        <v>749</v>
      </c>
      <c r="C458" s="609" t="s">
        <v>181</v>
      </c>
      <c r="D458" s="604"/>
      <c r="E458" s="610" t="s">
        <v>407</v>
      </c>
      <c r="F458" s="610" t="s">
        <v>407</v>
      </c>
      <c r="G458" s="606" t="s">
        <v>619</v>
      </c>
      <c r="H458" s="607"/>
    </row>
    <row r="459" spans="1:8" s="601" customFormat="1" ht="12.75" customHeight="1">
      <c r="A459" s="602">
        <v>0</v>
      </c>
      <c r="B459" s="603" t="s">
        <v>749</v>
      </c>
      <c r="C459" s="625" t="s">
        <v>322</v>
      </c>
      <c r="D459" s="604"/>
      <c r="E459" s="611" t="s">
        <v>324</v>
      </c>
      <c r="F459" s="611" t="s">
        <v>324</v>
      </c>
      <c r="G459" s="612" t="s">
        <v>617</v>
      </c>
      <c r="H459" s="607"/>
    </row>
    <row r="460" spans="1:8" s="601" customFormat="1" ht="12.75" customHeight="1">
      <c r="A460" s="602">
        <v>0</v>
      </c>
      <c r="B460" s="603" t="s">
        <v>749</v>
      </c>
      <c r="C460" s="625" t="s">
        <v>385</v>
      </c>
      <c r="D460" s="604"/>
      <c r="E460" s="613">
        <v>0.96</v>
      </c>
      <c r="F460" s="613">
        <v>0.96</v>
      </c>
      <c r="G460" s="614">
        <v>0.98</v>
      </c>
      <c r="H460" s="607"/>
    </row>
    <row r="461" spans="1:8" s="601" customFormat="1" ht="12.75" customHeight="1">
      <c r="A461" s="602">
        <v>0</v>
      </c>
      <c r="B461" s="603" t="s">
        <v>749</v>
      </c>
      <c r="C461" s="625" t="s">
        <v>155</v>
      </c>
      <c r="D461" s="604"/>
      <c r="E461" s="615" t="s">
        <v>323</v>
      </c>
      <c r="F461" s="615" t="s">
        <v>323</v>
      </c>
      <c r="G461" s="612" t="s">
        <v>323</v>
      </c>
      <c r="H461" s="607"/>
    </row>
    <row r="462" spans="1:8" s="601" customFormat="1" ht="12.75" customHeight="1">
      <c r="A462" s="602">
        <v>0</v>
      </c>
      <c r="B462" s="603" t="s">
        <v>749</v>
      </c>
      <c r="C462" s="626" t="s">
        <v>235</v>
      </c>
      <c r="D462" s="604"/>
      <c r="E462" s="611" t="s">
        <v>269</v>
      </c>
      <c r="F462" s="611" t="s">
        <v>269</v>
      </c>
      <c r="G462" s="612" t="s">
        <v>269</v>
      </c>
      <c r="H462" s="607"/>
    </row>
    <row r="463" spans="1:8" s="601" customFormat="1" ht="12.75" customHeight="1">
      <c r="A463" s="602">
        <v>0</v>
      </c>
      <c r="B463" s="603" t="s">
        <v>749</v>
      </c>
      <c r="C463" s="625" t="s">
        <v>246</v>
      </c>
      <c r="D463" s="604"/>
      <c r="E463" s="616">
        <v>0</v>
      </c>
      <c r="F463" s="616">
        <v>0</v>
      </c>
      <c r="G463" s="617">
        <v>0</v>
      </c>
      <c r="H463" s="607"/>
    </row>
    <row r="464" spans="1:8" s="601" customFormat="1" ht="12.75" customHeight="1">
      <c r="A464" s="602">
        <v>0</v>
      </c>
      <c r="B464" s="603" t="s">
        <v>749</v>
      </c>
      <c r="C464" s="625" t="s">
        <v>448</v>
      </c>
      <c r="D464" s="604"/>
      <c r="E464" s="616" t="s">
        <v>34</v>
      </c>
      <c r="F464" s="616" t="s">
        <v>34</v>
      </c>
      <c r="G464" s="617" t="s">
        <v>34</v>
      </c>
      <c r="H464" s="607"/>
    </row>
    <row r="465" spans="1:8" s="601" customFormat="1" ht="12.75" customHeight="1">
      <c r="A465" s="602">
        <v>0</v>
      </c>
      <c r="B465" s="603" t="s">
        <v>749</v>
      </c>
      <c r="C465" s="625" t="s">
        <v>321</v>
      </c>
      <c r="D465" s="604"/>
      <c r="E465" s="611" t="s">
        <v>648</v>
      </c>
      <c r="F465" s="611" t="s">
        <v>648</v>
      </c>
      <c r="G465" s="612" t="s">
        <v>750</v>
      </c>
      <c r="H465" s="607"/>
    </row>
    <row r="466" spans="1:8" s="601" customFormat="1" ht="12.75" customHeight="1">
      <c r="A466" s="618">
        <v>0</v>
      </c>
      <c r="B466" s="603" t="s">
        <v>749</v>
      </c>
      <c r="C466" s="627" t="s">
        <v>355</v>
      </c>
      <c r="D466" s="604"/>
      <c r="E466" s="619" t="s">
        <v>358</v>
      </c>
      <c r="F466" s="619" t="s">
        <v>358</v>
      </c>
      <c r="G466" s="612" t="s">
        <v>725</v>
      </c>
      <c r="H466" s="607"/>
    </row>
    <row r="467" spans="1:8" s="155" customFormat="1" ht="12.75" customHeight="1">
      <c r="A467" s="217">
        <f>A466</f>
        <v>0</v>
      </c>
      <c r="B467" s="214" t="str">
        <f>B466</f>
        <v>2024Plan_RILA_NoDynLapse_115%Lapse</v>
      </c>
      <c r="C467" s="368" t="s">
        <v>797</v>
      </c>
      <c r="D467" s="165"/>
      <c r="E467" s="455">
        <v>0</v>
      </c>
      <c r="F467" s="455">
        <v>0</v>
      </c>
      <c r="G467" s="594">
        <v>0</v>
      </c>
      <c r="H467" s="213"/>
    </row>
    <row r="468" spans="1:8" s="601" customFormat="1" ht="12.75" customHeight="1">
      <c r="A468" s="602">
        <v>0</v>
      </c>
      <c r="B468" s="603" t="s">
        <v>749</v>
      </c>
      <c r="C468" s="625" t="s">
        <v>405</v>
      </c>
      <c r="D468" s="604"/>
      <c r="E468" s="616">
        <v>0.2</v>
      </c>
      <c r="F468" s="616">
        <v>0.2</v>
      </c>
      <c r="G468" s="620">
        <v>0.2</v>
      </c>
      <c r="H468" s="621"/>
    </row>
    <row r="469" spans="1:8" s="601" customFormat="1" ht="12.75" customHeight="1">
      <c r="A469" s="602">
        <v>1</v>
      </c>
      <c r="B469" s="603" t="s">
        <v>749</v>
      </c>
      <c r="C469" s="625" t="s">
        <v>245</v>
      </c>
      <c r="D469" s="604"/>
      <c r="E469" s="605">
        <v>43008</v>
      </c>
      <c r="F469" s="605">
        <v>43008</v>
      </c>
      <c r="G469" s="606">
        <v>43465</v>
      </c>
      <c r="H469" s="607"/>
    </row>
    <row r="470" spans="1:8" s="601" customFormat="1" ht="12.75" customHeight="1">
      <c r="A470" s="602">
        <v>1</v>
      </c>
      <c r="B470" s="603" t="s">
        <v>749</v>
      </c>
      <c r="C470" s="625" t="s">
        <v>359</v>
      </c>
      <c r="D470" s="604"/>
      <c r="E470" s="608" t="s">
        <v>647</v>
      </c>
      <c r="F470" s="608" t="s">
        <v>647</v>
      </c>
      <c r="G470" s="606" t="s">
        <v>619</v>
      </c>
    </row>
    <row r="471" spans="1:8" s="601" customFormat="1" ht="12.75" customHeight="1">
      <c r="A471" s="602">
        <v>1</v>
      </c>
      <c r="B471" s="603" t="s">
        <v>749</v>
      </c>
      <c r="C471" s="609" t="s">
        <v>178</v>
      </c>
      <c r="D471" s="604"/>
      <c r="E471" s="610" t="s">
        <v>407</v>
      </c>
      <c r="F471" s="610" t="s">
        <v>407</v>
      </c>
      <c r="G471" s="606" t="s">
        <v>619</v>
      </c>
      <c r="H471" s="607"/>
    </row>
    <row r="472" spans="1:8" s="601" customFormat="1" ht="12.75" customHeight="1">
      <c r="A472" s="602">
        <v>1</v>
      </c>
      <c r="B472" s="603" t="s">
        <v>749</v>
      </c>
      <c r="C472" s="609" t="s">
        <v>181</v>
      </c>
      <c r="D472" s="604"/>
      <c r="E472" s="610" t="s">
        <v>407</v>
      </c>
      <c r="F472" s="610" t="s">
        <v>407</v>
      </c>
      <c r="G472" s="606" t="s">
        <v>619</v>
      </c>
      <c r="H472" s="607"/>
    </row>
    <row r="473" spans="1:8" s="601" customFormat="1" ht="12.75" customHeight="1">
      <c r="A473" s="602">
        <v>1</v>
      </c>
      <c r="B473" s="603" t="s">
        <v>749</v>
      </c>
      <c r="C473" s="625" t="s">
        <v>322</v>
      </c>
      <c r="D473" s="604"/>
      <c r="E473" s="611" t="s">
        <v>324</v>
      </c>
      <c r="F473" s="611" t="s">
        <v>324</v>
      </c>
      <c r="G473" s="612" t="s">
        <v>617</v>
      </c>
      <c r="H473" s="607"/>
    </row>
    <row r="474" spans="1:8" s="601" customFormat="1" ht="12.75" customHeight="1">
      <c r="A474" s="602">
        <v>1</v>
      </c>
      <c r="B474" s="603" t="s">
        <v>749</v>
      </c>
      <c r="C474" s="625" t="s">
        <v>385</v>
      </c>
      <c r="D474" s="604"/>
      <c r="E474" s="613">
        <v>0.96</v>
      </c>
      <c r="F474" s="613">
        <v>0.96</v>
      </c>
      <c r="G474" s="614">
        <v>0.98</v>
      </c>
      <c r="H474" s="607"/>
    </row>
    <row r="475" spans="1:8" s="601" customFormat="1" ht="12.75" customHeight="1">
      <c r="A475" s="602">
        <v>1</v>
      </c>
      <c r="B475" s="603" t="s">
        <v>749</v>
      </c>
      <c r="C475" s="625" t="s">
        <v>155</v>
      </c>
      <c r="D475" s="604"/>
      <c r="E475" s="615" t="s">
        <v>323</v>
      </c>
      <c r="F475" s="615" t="s">
        <v>323</v>
      </c>
      <c r="G475" s="612" t="s">
        <v>323</v>
      </c>
      <c r="H475" s="607"/>
    </row>
    <row r="476" spans="1:8" s="601" customFormat="1" ht="12.75" customHeight="1">
      <c r="A476" s="602">
        <v>1</v>
      </c>
      <c r="B476" s="603" t="s">
        <v>749</v>
      </c>
      <c r="C476" s="626" t="s">
        <v>235</v>
      </c>
      <c r="D476" s="604"/>
      <c r="E476" s="611" t="s">
        <v>269</v>
      </c>
      <c r="F476" s="611" t="s">
        <v>269</v>
      </c>
      <c r="G476" s="612" t="s">
        <v>269</v>
      </c>
      <c r="H476" s="607"/>
    </row>
    <row r="477" spans="1:8" s="601" customFormat="1" ht="12.75" customHeight="1">
      <c r="A477" s="602">
        <v>1</v>
      </c>
      <c r="B477" s="603" t="s">
        <v>749</v>
      </c>
      <c r="C477" s="625" t="s">
        <v>246</v>
      </c>
      <c r="D477" s="604"/>
      <c r="E477" s="616">
        <v>0</v>
      </c>
      <c r="F477" s="616">
        <v>0</v>
      </c>
      <c r="G477" s="617">
        <v>0</v>
      </c>
      <c r="H477" s="607"/>
    </row>
    <row r="478" spans="1:8" s="601" customFormat="1" ht="12.75" customHeight="1">
      <c r="A478" s="602">
        <v>1</v>
      </c>
      <c r="B478" s="603" t="s">
        <v>749</v>
      </c>
      <c r="C478" s="625" t="s">
        <v>448</v>
      </c>
      <c r="D478" s="604"/>
      <c r="E478" s="616" t="s">
        <v>34</v>
      </c>
      <c r="F478" s="616" t="s">
        <v>34</v>
      </c>
      <c r="G478" s="617" t="s">
        <v>34</v>
      </c>
      <c r="H478" s="607"/>
    </row>
    <row r="479" spans="1:8" s="601" customFormat="1" ht="12.75" customHeight="1">
      <c r="A479" s="602">
        <v>1</v>
      </c>
      <c r="B479" s="603" t="s">
        <v>749</v>
      </c>
      <c r="C479" s="625" t="s">
        <v>321</v>
      </c>
      <c r="D479" s="604"/>
      <c r="E479" s="611" t="s">
        <v>648</v>
      </c>
      <c r="F479" s="611" t="s">
        <v>648</v>
      </c>
      <c r="G479" s="612" t="s">
        <v>742</v>
      </c>
      <c r="H479" s="607"/>
    </row>
    <row r="480" spans="1:8" s="601" customFormat="1" ht="12.75" customHeight="1">
      <c r="A480" s="602">
        <v>1</v>
      </c>
      <c r="B480" s="603" t="s">
        <v>749</v>
      </c>
      <c r="C480" s="627" t="s">
        <v>355</v>
      </c>
      <c r="D480" s="604"/>
      <c r="E480" s="619" t="s">
        <v>358</v>
      </c>
      <c r="F480" s="619" t="s">
        <v>358</v>
      </c>
      <c r="G480" s="612" t="s">
        <v>725</v>
      </c>
      <c r="H480" s="607"/>
    </row>
    <row r="481" spans="1:11" s="155" customFormat="1" ht="12.75" customHeight="1">
      <c r="A481" s="217">
        <f>A480</f>
        <v>1</v>
      </c>
      <c r="B481" s="214" t="str">
        <f>B480</f>
        <v>2024Plan_RILA_NoDynLapse_115%Lapse</v>
      </c>
      <c r="C481" s="368" t="s">
        <v>797</v>
      </c>
      <c r="D481" s="165"/>
      <c r="E481" s="455">
        <v>0</v>
      </c>
      <c r="F481" s="455">
        <v>0</v>
      </c>
      <c r="G481" s="594">
        <v>0</v>
      </c>
      <c r="H481" s="213"/>
    </row>
    <row r="482" spans="1:11" s="601" customFormat="1" ht="12.75" customHeight="1">
      <c r="A482" s="602">
        <v>1</v>
      </c>
      <c r="B482" s="603" t="s">
        <v>749</v>
      </c>
      <c r="C482" s="625" t="s">
        <v>405</v>
      </c>
      <c r="D482" s="604"/>
      <c r="E482" s="616">
        <v>0.2</v>
      </c>
      <c r="F482" s="616">
        <v>0.2</v>
      </c>
      <c r="G482" s="620">
        <v>0.2</v>
      </c>
      <c r="H482" s="621"/>
    </row>
    <row r="483" spans="1:11" customFormat="1" ht="12.75" customHeight="1">
      <c r="A483" s="217">
        <v>0</v>
      </c>
      <c r="B483" s="603" t="s">
        <v>752</v>
      </c>
      <c r="C483" s="368" t="s">
        <v>245</v>
      </c>
      <c r="D483" s="34"/>
      <c r="E483" s="462">
        <v>43008</v>
      </c>
      <c r="F483" s="462">
        <v>43008</v>
      </c>
      <c r="G483" s="588">
        <v>43465</v>
      </c>
      <c r="H483" s="508"/>
      <c r="I483" s="164"/>
      <c r="J483" s="164"/>
      <c r="K483" s="164"/>
    </row>
    <row r="484" spans="1:11" customFormat="1" ht="12.75" customHeight="1">
      <c r="A484" s="217">
        <v>0</v>
      </c>
      <c r="B484" s="603" t="s">
        <v>752</v>
      </c>
      <c r="C484" s="368" t="s">
        <v>359</v>
      </c>
      <c r="D484" s="34"/>
      <c r="E484" s="589" t="s">
        <v>647</v>
      </c>
      <c r="F484" s="589" t="s">
        <v>647</v>
      </c>
      <c r="G484" s="588" t="s">
        <v>619</v>
      </c>
      <c r="H484" s="164"/>
      <c r="I484" s="164"/>
      <c r="J484" s="164"/>
      <c r="K484" s="164"/>
    </row>
    <row r="485" spans="1:11" customFormat="1" ht="12.75" customHeight="1">
      <c r="A485" s="217">
        <v>0</v>
      </c>
      <c r="B485" s="603" t="s">
        <v>752</v>
      </c>
      <c r="C485" s="172" t="s">
        <v>178</v>
      </c>
      <c r="D485" s="165"/>
      <c r="E485" s="590" t="s">
        <v>407</v>
      </c>
      <c r="F485" s="590" t="s">
        <v>407</v>
      </c>
      <c r="G485" s="588" t="s">
        <v>619</v>
      </c>
      <c r="H485" s="213"/>
      <c r="I485" s="155"/>
      <c r="J485" s="155"/>
      <c r="K485" s="155"/>
    </row>
    <row r="486" spans="1:11" customFormat="1" ht="12.75" customHeight="1">
      <c r="A486" s="217">
        <v>0</v>
      </c>
      <c r="B486" s="603" t="s">
        <v>752</v>
      </c>
      <c r="C486" s="172" t="s">
        <v>181</v>
      </c>
      <c r="D486" s="165"/>
      <c r="E486" s="590" t="s">
        <v>407</v>
      </c>
      <c r="F486" s="590" t="s">
        <v>407</v>
      </c>
      <c r="G486" s="588" t="s">
        <v>619</v>
      </c>
      <c r="H486" s="213"/>
      <c r="I486" s="155"/>
      <c r="J486" s="155"/>
      <c r="K486" s="155"/>
    </row>
    <row r="487" spans="1:11" customFormat="1" ht="12.75" customHeight="1">
      <c r="A487" s="217">
        <v>0</v>
      </c>
      <c r="B487" s="603" t="s">
        <v>752</v>
      </c>
      <c r="C487" s="368" t="s">
        <v>322</v>
      </c>
      <c r="D487" s="165"/>
      <c r="E487" s="319" t="s">
        <v>324</v>
      </c>
      <c r="F487" s="319" t="s">
        <v>324</v>
      </c>
      <c r="G487" s="591" t="s">
        <v>617</v>
      </c>
      <c r="H487" s="213"/>
      <c r="I487" s="155"/>
      <c r="J487" s="155"/>
      <c r="K487" s="155"/>
    </row>
    <row r="488" spans="1:11" customFormat="1" ht="12.75" customHeight="1">
      <c r="A488" s="217">
        <v>0</v>
      </c>
      <c r="B488" s="603" t="s">
        <v>752</v>
      </c>
      <c r="C488" s="368" t="s">
        <v>385</v>
      </c>
      <c r="D488" s="165"/>
      <c r="E488" s="517">
        <v>0.96</v>
      </c>
      <c r="F488" s="517">
        <v>0.96</v>
      </c>
      <c r="G488" s="592">
        <v>0.98</v>
      </c>
      <c r="H488" s="213"/>
      <c r="I488" s="155"/>
      <c r="J488" s="155"/>
      <c r="K488" s="155"/>
    </row>
    <row r="489" spans="1:11" customFormat="1" ht="12.75" customHeight="1">
      <c r="A489" s="217">
        <v>0</v>
      </c>
      <c r="B489" s="603" t="s">
        <v>752</v>
      </c>
      <c r="C489" s="368" t="s">
        <v>155</v>
      </c>
      <c r="D489" s="165"/>
      <c r="E489" s="593" t="s">
        <v>323</v>
      </c>
      <c r="F489" s="593" t="s">
        <v>323</v>
      </c>
      <c r="G489" s="591" t="s">
        <v>323</v>
      </c>
      <c r="H489" s="213"/>
      <c r="I489" s="155"/>
      <c r="J489" s="155"/>
      <c r="K489" s="155"/>
    </row>
    <row r="490" spans="1:11" customFormat="1" ht="12.75" customHeight="1">
      <c r="A490" s="217">
        <v>0</v>
      </c>
      <c r="B490" s="603" t="s">
        <v>752</v>
      </c>
      <c r="C490" s="623" t="s">
        <v>235</v>
      </c>
      <c r="D490" s="165"/>
      <c r="E490" s="319" t="s">
        <v>269</v>
      </c>
      <c r="F490" s="319" t="s">
        <v>269</v>
      </c>
      <c r="G490" s="591" t="s">
        <v>269</v>
      </c>
      <c r="H490" s="213"/>
      <c r="I490" s="155"/>
      <c r="J490" s="155"/>
      <c r="K490" s="155"/>
    </row>
    <row r="491" spans="1:11" customFormat="1" ht="12.75" customHeight="1">
      <c r="A491" s="217">
        <v>0</v>
      </c>
      <c r="B491" s="603" t="s">
        <v>752</v>
      </c>
      <c r="C491" s="368" t="s">
        <v>246</v>
      </c>
      <c r="D491" s="165"/>
      <c r="E491" s="455">
        <v>0</v>
      </c>
      <c r="F491" s="455">
        <v>0</v>
      </c>
      <c r="G491" s="594">
        <v>0</v>
      </c>
      <c r="H491" s="213"/>
      <c r="I491" s="155"/>
      <c r="J491" s="155"/>
      <c r="K491" s="155"/>
    </row>
    <row r="492" spans="1:11" customFormat="1" ht="12.75" customHeight="1">
      <c r="A492" s="217">
        <v>0</v>
      </c>
      <c r="B492" s="603" t="s">
        <v>752</v>
      </c>
      <c r="C492" s="368" t="s">
        <v>448</v>
      </c>
      <c r="D492" s="165"/>
      <c r="E492" s="455" t="s">
        <v>34</v>
      </c>
      <c r="F492" s="455" t="s">
        <v>34</v>
      </c>
      <c r="G492" s="594" t="s">
        <v>34</v>
      </c>
      <c r="H492" s="213"/>
      <c r="I492" s="155"/>
      <c r="J492" s="155"/>
      <c r="K492" s="155"/>
    </row>
    <row r="493" spans="1:11" customFormat="1" ht="12.75" customHeight="1">
      <c r="A493" s="217">
        <v>0</v>
      </c>
      <c r="B493" s="603" t="s">
        <v>752</v>
      </c>
      <c r="C493" s="368" t="s">
        <v>321</v>
      </c>
      <c r="D493" s="165"/>
      <c r="E493" s="319" t="s">
        <v>648</v>
      </c>
      <c r="F493" s="319" t="s">
        <v>648</v>
      </c>
      <c r="G493" s="591" t="s">
        <v>618</v>
      </c>
      <c r="H493" s="213"/>
      <c r="I493" s="155"/>
      <c r="J493" s="155"/>
      <c r="K493" s="155"/>
    </row>
    <row r="494" spans="1:11" customFormat="1" ht="12.75" customHeight="1">
      <c r="A494" s="348">
        <v>0</v>
      </c>
      <c r="B494" s="603" t="s">
        <v>752</v>
      </c>
      <c r="C494" s="624" t="s">
        <v>355</v>
      </c>
      <c r="D494" s="165"/>
      <c r="E494" s="537" t="s">
        <v>358</v>
      </c>
      <c r="F494" s="537" t="s">
        <v>358</v>
      </c>
      <c r="G494" s="591" t="s">
        <v>725</v>
      </c>
      <c r="H494" s="213"/>
      <c r="I494" s="155"/>
      <c r="J494" s="155"/>
      <c r="K494" s="155"/>
    </row>
    <row r="495" spans="1:11" s="155" customFormat="1" ht="12.75" customHeight="1">
      <c r="A495" s="217">
        <f>A494</f>
        <v>0</v>
      </c>
      <c r="B495" s="214" t="str">
        <f>B494</f>
        <v>2024Plan_RILA_NoDynLapse</v>
      </c>
      <c r="C495" s="368" t="s">
        <v>797</v>
      </c>
      <c r="D495" s="165"/>
      <c r="E495" s="455">
        <v>0</v>
      </c>
      <c r="F495" s="455">
        <v>0</v>
      </c>
      <c r="G495" s="594">
        <v>0</v>
      </c>
      <c r="H495" s="213"/>
    </row>
    <row r="496" spans="1:11" customFormat="1" ht="12.75" customHeight="1">
      <c r="A496" s="217">
        <v>0</v>
      </c>
      <c r="B496" s="603" t="s">
        <v>752</v>
      </c>
      <c r="C496" s="368" t="s">
        <v>405</v>
      </c>
      <c r="D496" s="165"/>
      <c r="E496" s="455">
        <v>0.2</v>
      </c>
      <c r="F496" s="455">
        <v>0.2</v>
      </c>
      <c r="G496" s="539">
        <v>0.2</v>
      </c>
      <c r="H496" s="595"/>
      <c r="I496" s="155"/>
      <c r="J496" s="155"/>
      <c r="K496" s="155"/>
    </row>
    <row r="497" spans="1:11" customFormat="1" ht="12.75" customHeight="1">
      <c r="A497" s="217">
        <v>1</v>
      </c>
      <c r="B497" s="603" t="s">
        <v>752</v>
      </c>
      <c r="C497" s="368" t="s">
        <v>245</v>
      </c>
      <c r="D497" s="34"/>
      <c r="E497" s="462">
        <v>43008</v>
      </c>
      <c r="F497" s="462">
        <v>43008</v>
      </c>
      <c r="G497" s="588">
        <v>43465</v>
      </c>
      <c r="H497" s="508"/>
      <c r="I497" s="164"/>
      <c r="J497" s="164"/>
      <c r="K497" s="164"/>
    </row>
    <row r="498" spans="1:11" ht="12.75" customHeight="1">
      <c r="A498" s="217">
        <v>1</v>
      </c>
      <c r="B498" s="603" t="s">
        <v>752</v>
      </c>
      <c r="C498" s="368" t="s">
        <v>359</v>
      </c>
      <c r="D498" s="34"/>
      <c r="E498" s="589" t="s">
        <v>647</v>
      </c>
      <c r="F498" s="589" t="s">
        <v>647</v>
      </c>
      <c r="G498" s="588" t="s">
        <v>619</v>
      </c>
    </row>
    <row r="499" spans="1:11" s="155" customFormat="1" ht="12.75" customHeight="1">
      <c r="A499" s="217">
        <v>1</v>
      </c>
      <c r="B499" s="603" t="s">
        <v>752</v>
      </c>
      <c r="C499" s="172" t="s">
        <v>178</v>
      </c>
      <c r="D499" s="165"/>
      <c r="E499" s="590" t="s">
        <v>407</v>
      </c>
      <c r="F499" s="590" t="s">
        <v>407</v>
      </c>
      <c r="G499" s="588" t="s">
        <v>619</v>
      </c>
      <c r="H499" s="213"/>
    </row>
    <row r="500" spans="1:11" s="155" customFormat="1" ht="12.75" customHeight="1">
      <c r="A500" s="217">
        <v>1</v>
      </c>
      <c r="B500" s="603" t="s">
        <v>752</v>
      </c>
      <c r="C500" s="172" t="s">
        <v>181</v>
      </c>
      <c r="D500" s="165"/>
      <c r="E500" s="590" t="s">
        <v>407</v>
      </c>
      <c r="F500" s="590" t="s">
        <v>407</v>
      </c>
      <c r="G500" s="588" t="s">
        <v>619</v>
      </c>
      <c r="H500" s="213"/>
    </row>
    <row r="501" spans="1:11" s="155" customFormat="1" ht="12.75" customHeight="1">
      <c r="A501" s="217">
        <v>1</v>
      </c>
      <c r="B501" s="603" t="s">
        <v>752</v>
      </c>
      <c r="C501" s="368" t="s">
        <v>322</v>
      </c>
      <c r="D501" s="165"/>
      <c r="E501" s="319" t="s">
        <v>324</v>
      </c>
      <c r="F501" s="319" t="s">
        <v>324</v>
      </c>
      <c r="G501" s="591" t="s">
        <v>617</v>
      </c>
      <c r="H501" s="213"/>
    </row>
    <row r="502" spans="1:11" s="155" customFormat="1" ht="12.75" customHeight="1">
      <c r="A502" s="217">
        <v>1</v>
      </c>
      <c r="B502" s="603" t="s">
        <v>752</v>
      </c>
      <c r="C502" s="368" t="s">
        <v>385</v>
      </c>
      <c r="D502" s="165"/>
      <c r="E502" s="517">
        <v>0.96</v>
      </c>
      <c r="F502" s="517">
        <v>0.96</v>
      </c>
      <c r="G502" s="592">
        <v>0.98</v>
      </c>
      <c r="H502" s="213"/>
    </row>
    <row r="503" spans="1:11" s="155" customFormat="1" ht="12.75" customHeight="1">
      <c r="A503" s="217">
        <v>1</v>
      </c>
      <c r="B503" s="603" t="s">
        <v>752</v>
      </c>
      <c r="C503" s="368" t="s">
        <v>155</v>
      </c>
      <c r="D503" s="165"/>
      <c r="E503" s="593" t="s">
        <v>323</v>
      </c>
      <c r="F503" s="593" t="s">
        <v>323</v>
      </c>
      <c r="G503" s="591" t="s">
        <v>323</v>
      </c>
      <c r="H503" s="213"/>
    </row>
    <row r="504" spans="1:11" s="155" customFormat="1" ht="12.75" customHeight="1">
      <c r="A504" s="217">
        <v>1</v>
      </c>
      <c r="B504" s="603" t="s">
        <v>752</v>
      </c>
      <c r="C504" s="623" t="s">
        <v>235</v>
      </c>
      <c r="D504" s="165"/>
      <c r="E504" s="319" t="s">
        <v>269</v>
      </c>
      <c r="F504" s="319" t="s">
        <v>269</v>
      </c>
      <c r="G504" s="591" t="s">
        <v>269</v>
      </c>
      <c r="H504" s="213"/>
    </row>
    <row r="505" spans="1:11" s="155" customFormat="1" ht="12.75" customHeight="1">
      <c r="A505" s="217">
        <v>1</v>
      </c>
      <c r="B505" s="603" t="s">
        <v>752</v>
      </c>
      <c r="C505" s="368" t="s">
        <v>246</v>
      </c>
      <c r="D505" s="165"/>
      <c r="E505" s="455">
        <v>0</v>
      </c>
      <c r="F505" s="455">
        <v>0</v>
      </c>
      <c r="G505" s="594">
        <v>0</v>
      </c>
      <c r="H505" s="213"/>
    </row>
    <row r="506" spans="1:11" s="155" customFormat="1" ht="12.75" customHeight="1">
      <c r="A506" s="217">
        <v>1</v>
      </c>
      <c r="B506" s="603" t="s">
        <v>752</v>
      </c>
      <c r="C506" s="368" t="s">
        <v>448</v>
      </c>
      <c r="D506" s="165"/>
      <c r="E506" s="455" t="s">
        <v>34</v>
      </c>
      <c r="F506" s="455" t="s">
        <v>34</v>
      </c>
      <c r="G506" s="594" t="s">
        <v>34</v>
      </c>
      <c r="H506" s="213"/>
    </row>
    <row r="507" spans="1:11" s="155" customFormat="1" ht="12.75" customHeight="1">
      <c r="A507" s="217">
        <v>1</v>
      </c>
      <c r="B507" s="603" t="s">
        <v>752</v>
      </c>
      <c r="C507" s="368" t="s">
        <v>321</v>
      </c>
      <c r="D507" s="165"/>
      <c r="E507" s="319" t="s">
        <v>648</v>
      </c>
      <c r="F507" s="319" t="s">
        <v>648</v>
      </c>
      <c r="G507" s="591" t="s">
        <v>742</v>
      </c>
      <c r="H507" s="213"/>
    </row>
    <row r="508" spans="1:11" s="155" customFormat="1" ht="12.75" customHeight="1">
      <c r="A508" s="217">
        <v>1</v>
      </c>
      <c r="B508" s="603" t="s">
        <v>752</v>
      </c>
      <c r="C508" s="624" t="s">
        <v>355</v>
      </c>
      <c r="D508" s="165"/>
      <c r="E508" s="537" t="s">
        <v>358</v>
      </c>
      <c r="F508" s="537" t="s">
        <v>358</v>
      </c>
      <c r="G508" s="591" t="s">
        <v>725</v>
      </c>
      <c r="H508" s="213"/>
    </row>
    <row r="509" spans="1:11" s="155" customFormat="1" ht="12.75" customHeight="1">
      <c r="A509" s="217">
        <f>A508</f>
        <v>1</v>
      </c>
      <c r="B509" s="214" t="str">
        <f>B508</f>
        <v>2024Plan_RILA_NoDynLapse</v>
      </c>
      <c r="C509" s="368" t="s">
        <v>797</v>
      </c>
      <c r="D509" s="165"/>
      <c r="E509" s="455">
        <v>0</v>
      </c>
      <c r="F509" s="455">
        <v>0</v>
      </c>
      <c r="G509" s="594">
        <v>0</v>
      </c>
      <c r="H509" s="213"/>
    </row>
    <row r="510" spans="1:11" s="155" customFormat="1" ht="12.75" customHeight="1">
      <c r="A510" s="217">
        <v>1</v>
      </c>
      <c r="B510" s="603" t="s">
        <v>752</v>
      </c>
      <c r="C510" s="368" t="s">
        <v>405</v>
      </c>
      <c r="D510" s="165"/>
      <c r="E510" s="455">
        <v>0.2</v>
      </c>
      <c r="F510" s="455">
        <v>0.2</v>
      </c>
      <c r="G510" s="539">
        <v>0.2</v>
      </c>
      <c r="H510" s="595"/>
    </row>
    <row r="511" spans="1:11" ht="12.75" customHeight="1">
      <c r="A511" s="217">
        <v>0</v>
      </c>
      <c r="B511" s="214" t="s">
        <v>726</v>
      </c>
      <c r="C511" s="368" t="s">
        <v>245</v>
      </c>
      <c r="D511" s="34"/>
      <c r="E511" s="462">
        <v>43008</v>
      </c>
      <c r="F511" s="462">
        <v>43008</v>
      </c>
      <c r="G511" s="588">
        <v>43465</v>
      </c>
      <c r="H511" s="508"/>
    </row>
    <row r="512" spans="1:11" ht="12.75" customHeight="1">
      <c r="A512" s="217">
        <v>0</v>
      </c>
      <c r="B512" s="214" t="s">
        <v>726</v>
      </c>
      <c r="C512" s="368" t="s">
        <v>359</v>
      </c>
      <c r="D512" s="34"/>
      <c r="E512" s="589" t="s">
        <v>647</v>
      </c>
      <c r="F512" s="589" t="s">
        <v>647</v>
      </c>
      <c r="G512" s="588" t="s">
        <v>619</v>
      </c>
    </row>
    <row r="513" spans="1:8" s="155" customFormat="1" ht="12.75" customHeight="1">
      <c r="A513" s="217">
        <v>0</v>
      </c>
      <c r="B513" s="214" t="s">
        <v>726</v>
      </c>
      <c r="C513" s="172" t="s">
        <v>178</v>
      </c>
      <c r="D513" s="165"/>
      <c r="E513" s="590" t="s">
        <v>407</v>
      </c>
      <c r="F513" s="590" t="s">
        <v>407</v>
      </c>
      <c r="G513" s="588" t="s">
        <v>619</v>
      </c>
      <c r="H513" s="213"/>
    </row>
    <row r="514" spans="1:8" s="155" customFormat="1" ht="12.75" customHeight="1">
      <c r="A514" s="217">
        <v>0</v>
      </c>
      <c r="B514" s="214" t="s">
        <v>726</v>
      </c>
      <c r="C514" s="172" t="s">
        <v>181</v>
      </c>
      <c r="D514" s="165"/>
      <c r="E514" s="590" t="s">
        <v>407</v>
      </c>
      <c r="F514" s="590" t="s">
        <v>407</v>
      </c>
      <c r="G514" s="588" t="s">
        <v>619</v>
      </c>
      <c r="H514" s="213"/>
    </row>
    <row r="515" spans="1:8" s="155" customFormat="1" ht="12.75" customHeight="1">
      <c r="A515" s="217">
        <v>0</v>
      </c>
      <c r="B515" s="214" t="s">
        <v>726</v>
      </c>
      <c r="C515" s="368" t="s">
        <v>322</v>
      </c>
      <c r="D515" s="165"/>
      <c r="E515" s="319" t="s">
        <v>324</v>
      </c>
      <c r="F515" s="319" t="s">
        <v>324</v>
      </c>
      <c r="G515" s="591" t="s">
        <v>617</v>
      </c>
      <c r="H515" s="213"/>
    </row>
    <row r="516" spans="1:8" s="155" customFormat="1" ht="12.75" customHeight="1">
      <c r="A516" s="217">
        <v>0</v>
      </c>
      <c r="B516" s="214" t="s">
        <v>726</v>
      </c>
      <c r="C516" s="368" t="s">
        <v>385</v>
      </c>
      <c r="D516" s="165"/>
      <c r="E516" s="517">
        <v>0.96</v>
      </c>
      <c r="F516" s="517">
        <v>0.96</v>
      </c>
      <c r="G516" s="592">
        <v>0.98</v>
      </c>
      <c r="H516" s="213"/>
    </row>
    <row r="517" spans="1:8" s="155" customFormat="1" ht="12.75" customHeight="1">
      <c r="A517" s="217">
        <v>0</v>
      </c>
      <c r="B517" s="214" t="s">
        <v>726</v>
      </c>
      <c r="C517" s="368" t="s">
        <v>155</v>
      </c>
      <c r="D517" s="165"/>
      <c r="E517" s="593" t="s">
        <v>323</v>
      </c>
      <c r="F517" s="593" t="s">
        <v>323</v>
      </c>
      <c r="G517" s="591" t="s">
        <v>323</v>
      </c>
      <c r="H517" s="213"/>
    </row>
    <row r="518" spans="1:8" s="155" customFormat="1" ht="12.75" customHeight="1">
      <c r="A518" s="217">
        <v>0</v>
      </c>
      <c r="B518" s="214" t="s">
        <v>726</v>
      </c>
      <c r="C518" s="623" t="s">
        <v>235</v>
      </c>
      <c r="D518" s="165"/>
      <c r="E518" s="319" t="s">
        <v>269</v>
      </c>
      <c r="F518" s="319" t="s">
        <v>269</v>
      </c>
      <c r="G518" s="591" t="s">
        <v>269</v>
      </c>
      <c r="H518" s="213"/>
    </row>
    <row r="519" spans="1:8" s="155" customFormat="1" ht="12.75" customHeight="1">
      <c r="A519" s="217">
        <v>0</v>
      </c>
      <c r="B519" s="214" t="s">
        <v>726</v>
      </c>
      <c r="C519" s="368" t="s">
        <v>246</v>
      </c>
      <c r="D519" s="165"/>
      <c r="E519" s="455">
        <v>0</v>
      </c>
      <c r="F519" s="455">
        <v>0</v>
      </c>
      <c r="G519" s="594">
        <v>0</v>
      </c>
      <c r="H519" s="213"/>
    </row>
    <row r="520" spans="1:8" s="155" customFormat="1" ht="12.75" customHeight="1">
      <c r="A520" s="217">
        <v>0</v>
      </c>
      <c r="B520" s="214" t="s">
        <v>726</v>
      </c>
      <c r="C520" s="368" t="s">
        <v>448</v>
      </c>
      <c r="D520" s="165"/>
      <c r="E520" s="455" t="s">
        <v>34</v>
      </c>
      <c r="F520" s="455" t="s">
        <v>34</v>
      </c>
      <c r="G520" s="594" t="s">
        <v>34</v>
      </c>
      <c r="H520" s="213"/>
    </row>
    <row r="521" spans="1:8" s="155" customFormat="1" ht="12.75" customHeight="1">
      <c r="A521" s="217">
        <v>0</v>
      </c>
      <c r="B521" s="214" t="s">
        <v>726</v>
      </c>
      <c r="C521" s="368" t="s">
        <v>321</v>
      </c>
      <c r="D521" s="165"/>
      <c r="E521" s="319" t="s">
        <v>648</v>
      </c>
      <c r="F521" s="319" t="s">
        <v>648</v>
      </c>
      <c r="G521" s="591" t="s">
        <v>618</v>
      </c>
      <c r="H521" s="213"/>
    </row>
    <row r="522" spans="1:8" s="155" customFormat="1" ht="12.75" customHeight="1">
      <c r="A522" s="348">
        <v>0</v>
      </c>
      <c r="B522" s="214" t="s">
        <v>726</v>
      </c>
      <c r="C522" s="624" t="s">
        <v>355</v>
      </c>
      <c r="D522" s="165"/>
      <c r="E522" s="537" t="s">
        <v>358</v>
      </c>
      <c r="F522" s="537" t="s">
        <v>358</v>
      </c>
      <c r="G522" s="591" t="s">
        <v>358</v>
      </c>
      <c r="H522" s="213"/>
    </row>
    <row r="523" spans="1:8" s="155" customFormat="1" ht="12.75" customHeight="1">
      <c r="A523" s="217">
        <f>A522</f>
        <v>0</v>
      </c>
      <c r="B523" s="214" t="str">
        <f>B522</f>
        <v>2024Plan_RILA</v>
      </c>
      <c r="C523" s="368" t="s">
        <v>797</v>
      </c>
      <c r="D523" s="165"/>
      <c r="E523" s="455">
        <v>0</v>
      </c>
      <c r="F523" s="455">
        <v>0</v>
      </c>
      <c r="G523" s="594">
        <v>0</v>
      </c>
      <c r="H523" s="213"/>
    </row>
    <row r="524" spans="1:8" s="155" customFormat="1" ht="12.75" customHeight="1">
      <c r="A524" s="217">
        <v>0</v>
      </c>
      <c r="B524" s="214" t="s">
        <v>726</v>
      </c>
      <c r="C524" s="368" t="s">
        <v>405</v>
      </c>
      <c r="D524" s="165"/>
      <c r="E524" s="455">
        <v>0.2</v>
      </c>
      <c r="F524" s="455">
        <v>0.2</v>
      </c>
      <c r="G524" s="539">
        <v>0.2</v>
      </c>
      <c r="H524" s="595" t="s">
        <v>626</v>
      </c>
    </row>
    <row r="525" spans="1:8" ht="12.75" customHeight="1">
      <c r="A525" s="217">
        <v>1</v>
      </c>
      <c r="B525" s="214" t="s">
        <v>726</v>
      </c>
      <c r="C525" s="368" t="s">
        <v>245</v>
      </c>
      <c r="D525" s="34"/>
      <c r="E525" s="462">
        <v>43008</v>
      </c>
      <c r="F525" s="462">
        <v>43008</v>
      </c>
      <c r="G525" s="588">
        <v>43465</v>
      </c>
      <c r="H525" s="508" t="s">
        <v>640</v>
      </c>
    </row>
    <row r="526" spans="1:8" ht="12.75" customHeight="1">
      <c r="A526" s="217">
        <v>1</v>
      </c>
      <c r="B526" s="214" t="s">
        <v>726</v>
      </c>
      <c r="C526" s="368" t="s">
        <v>359</v>
      </c>
      <c r="D526" s="34"/>
      <c r="E526" s="589" t="s">
        <v>647</v>
      </c>
      <c r="F526" s="589" t="s">
        <v>647</v>
      </c>
      <c r="G526" s="588" t="s">
        <v>619</v>
      </c>
    </row>
    <row r="527" spans="1:8" s="155" customFormat="1" ht="12.75" customHeight="1">
      <c r="A527" s="217">
        <v>1</v>
      </c>
      <c r="B527" s="214" t="s">
        <v>726</v>
      </c>
      <c r="C527" s="172" t="s">
        <v>178</v>
      </c>
      <c r="D527" s="165"/>
      <c r="E527" s="590" t="s">
        <v>407</v>
      </c>
      <c r="F527" s="590" t="s">
        <v>407</v>
      </c>
      <c r="G527" s="588" t="s">
        <v>619</v>
      </c>
      <c r="H527" s="213"/>
    </row>
    <row r="528" spans="1:8" s="155" customFormat="1" ht="12.75" customHeight="1">
      <c r="A528" s="217">
        <v>1</v>
      </c>
      <c r="B528" s="214" t="s">
        <v>726</v>
      </c>
      <c r="C528" s="172" t="s">
        <v>181</v>
      </c>
      <c r="D528" s="165"/>
      <c r="E528" s="590" t="s">
        <v>407</v>
      </c>
      <c r="F528" s="590" t="s">
        <v>407</v>
      </c>
      <c r="G528" s="588" t="s">
        <v>619</v>
      </c>
      <c r="H528" s="213"/>
    </row>
    <row r="529" spans="1:8" s="155" customFormat="1" ht="12.75" customHeight="1">
      <c r="A529" s="217">
        <v>1</v>
      </c>
      <c r="B529" s="214" t="s">
        <v>726</v>
      </c>
      <c r="C529" s="368" t="s">
        <v>322</v>
      </c>
      <c r="D529" s="165"/>
      <c r="E529" s="319" t="s">
        <v>324</v>
      </c>
      <c r="F529" s="319" t="s">
        <v>324</v>
      </c>
      <c r="G529" s="591" t="s">
        <v>617</v>
      </c>
      <c r="H529" s="213"/>
    </row>
    <row r="530" spans="1:8" s="155" customFormat="1" ht="12.75" customHeight="1">
      <c r="A530" s="217">
        <v>1</v>
      </c>
      <c r="B530" s="214" t="s">
        <v>726</v>
      </c>
      <c r="C530" s="368" t="s">
        <v>385</v>
      </c>
      <c r="D530" s="165"/>
      <c r="E530" s="517">
        <v>0.96</v>
      </c>
      <c r="F530" s="517">
        <v>0.96</v>
      </c>
      <c r="G530" s="592">
        <v>0.98</v>
      </c>
      <c r="H530" s="213"/>
    </row>
    <row r="531" spans="1:8" s="155" customFormat="1" ht="12.75" customHeight="1">
      <c r="A531" s="217">
        <v>1</v>
      </c>
      <c r="B531" s="214" t="s">
        <v>726</v>
      </c>
      <c r="C531" s="368" t="s">
        <v>155</v>
      </c>
      <c r="D531" s="165"/>
      <c r="E531" s="593" t="s">
        <v>323</v>
      </c>
      <c r="F531" s="593" t="s">
        <v>323</v>
      </c>
      <c r="G531" s="591" t="s">
        <v>323</v>
      </c>
      <c r="H531" s="213"/>
    </row>
    <row r="532" spans="1:8" s="155" customFormat="1" ht="12.75" customHeight="1">
      <c r="A532" s="217">
        <v>1</v>
      </c>
      <c r="B532" s="214" t="s">
        <v>726</v>
      </c>
      <c r="C532" s="623" t="s">
        <v>235</v>
      </c>
      <c r="D532" s="165"/>
      <c r="E532" s="319" t="s">
        <v>269</v>
      </c>
      <c r="F532" s="319" t="s">
        <v>269</v>
      </c>
      <c r="G532" s="591" t="s">
        <v>269</v>
      </c>
      <c r="H532" s="213"/>
    </row>
    <row r="533" spans="1:8" s="155" customFormat="1" ht="12.75" customHeight="1">
      <c r="A533" s="217">
        <v>1</v>
      </c>
      <c r="B533" s="214" t="s">
        <v>726</v>
      </c>
      <c r="C533" s="368" t="s">
        <v>246</v>
      </c>
      <c r="D533" s="165"/>
      <c r="E533" s="455">
        <v>0</v>
      </c>
      <c r="F533" s="455">
        <v>0</v>
      </c>
      <c r="G533" s="594">
        <v>0</v>
      </c>
      <c r="H533" s="213"/>
    </row>
    <row r="534" spans="1:8" s="155" customFormat="1" ht="12.75" customHeight="1">
      <c r="A534" s="217">
        <v>1</v>
      </c>
      <c r="B534" s="214" t="s">
        <v>726</v>
      </c>
      <c r="C534" s="368" t="s">
        <v>448</v>
      </c>
      <c r="D534" s="165"/>
      <c r="E534" s="455" t="s">
        <v>34</v>
      </c>
      <c r="F534" s="455" t="s">
        <v>34</v>
      </c>
      <c r="G534" s="594" t="s">
        <v>34</v>
      </c>
      <c r="H534" s="213"/>
    </row>
    <row r="535" spans="1:8" s="155" customFormat="1" ht="12.75" customHeight="1">
      <c r="A535" s="217">
        <v>1</v>
      </c>
      <c r="B535" s="214" t="s">
        <v>726</v>
      </c>
      <c r="C535" s="368" t="s">
        <v>321</v>
      </c>
      <c r="D535" s="165"/>
      <c r="E535" s="319" t="s">
        <v>648</v>
      </c>
      <c r="F535" s="319" t="s">
        <v>648</v>
      </c>
      <c r="G535" s="591" t="s">
        <v>742</v>
      </c>
      <c r="H535" s="213"/>
    </row>
    <row r="536" spans="1:8" s="155" customFormat="1" ht="12.75" customHeight="1">
      <c r="A536" s="348">
        <v>1</v>
      </c>
      <c r="B536" s="214" t="s">
        <v>726</v>
      </c>
      <c r="C536" s="624" t="s">
        <v>355</v>
      </c>
      <c r="D536" s="165"/>
      <c r="E536" s="537" t="s">
        <v>358</v>
      </c>
      <c r="F536" s="537" t="s">
        <v>358</v>
      </c>
      <c r="G536" s="591" t="s">
        <v>744</v>
      </c>
      <c r="H536" s="213"/>
    </row>
    <row r="537" spans="1:8" s="155" customFormat="1" ht="12.75" customHeight="1">
      <c r="A537" s="217">
        <f>A536</f>
        <v>1</v>
      </c>
      <c r="B537" s="214" t="str">
        <f>B536</f>
        <v>2024Plan_RILA</v>
      </c>
      <c r="C537" s="368" t="s">
        <v>797</v>
      </c>
      <c r="D537" s="165"/>
      <c r="E537" s="455">
        <v>0</v>
      </c>
      <c r="F537" s="455">
        <v>0</v>
      </c>
      <c r="G537" s="594">
        <v>0</v>
      </c>
      <c r="H537" s="213"/>
    </row>
    <row r="538" spans="1:8" s="155" customFormat="1" ht="12.75" customHeight="1">
      <c r="A538" s="217">
        <v>1</v>
      </c>
      <c r="B538" s="214" t="s">
        <v>726</v>
      </c>
      <c r="C538" s="368" t="s">
        <v>405</v>
      </c>
      <c r="D538" s="165"/>
      <c r="E538" s="455">
        <v>0.2</v>
      </c>
      <c r="F538" s="455">
        <v>0.2</v>
      </c>
      <c r="G538" s="539">
        <v>0.2</v>
      </c>
      <c r="H538" s="595" t="s">
        <v>626</v>
      </c>
    </row>
    <row r="539" spans="1:8" s="155" customFormat="1" ht="12.75" customHeight="1">
      <c r="A539" s="217">
        <v>0</v>
      </c>
      <c r="B539" s="214" t="s">
        <v>623</v>
      </c>
      <c r="C539" s="368" t="s">
        <v>245</v>
      </c>
      <c r="D539" s="165"/>
      <c r="E539" s="462">
        <v>43008</v>
      </c>
      <c r="F539" s="462">
        <v>43008</v>
      </c>
      <c r="G539" s="588">
        <v>43465</v>
      </c>
      <c r="H539" s="213" t="s">
        <v>640</v>
      </c>
    </row>
    <row r="540" spans="1:8" s="155" customFormat="1" ht="12.75" customHeight="1">
      <c r="A540" s="217">
        <v>0</v>
      </c>
      <c r="B540" s="214" t="s">
        <v>623</v>
      </c>
      <c r="C540" s="368" t="s">
        <v>359</v>
      </c>
      <c r="D540" s="165"/>
      <c r="E540" s="589" t="s">
        <v>647</v>
      </c>
      <c r="F540" s="589" t="s">
        <v>647</v>
      </c>
      <c r="G540" s="588" t="s">
        <v>619</v>
      </c>
    </row>
    <row r="541" spans="1:8" s="155" customFormat="1" ht="12.75" customHeight="1">
      <c r="A541" s="217">
        <v>0</v>
      </c>
      <c r="B541" s="214" t="s">
        <v>623</v>
      </c>
      <c r="C541" s="96" t="s">
        <v>178</v>
      </c>
      <c r="D541" s="165"/>
      <c r="E541" s="590" t="s">
        <v>407</v>
      </c>
      <c r="F541" s="590" t="s">
        <v>407</v>
      </c>
      <c r="G541" s="588" t="s">
        <v>619</v>
      </c>
    </row>
    <row r="542" spans="1:8" s="155" customFormat="1" ht="12.75" customHeight="1">
      <c r="A542" s="217">
        <v>0</v>
      </c>
      <c r="B542" s="214" t="s">
        <v>623</v>
      </c>
      <c r="C542" s="96" t="s">
        <v>181</v>
      </c>
      <c r="D542" s="165"/>
      <c r="E542" s="590" t="s">
        <v>407</v>
      </c>
      <c r="F542" s="590" t="s">
        <v>407</v>
      </c>
      <c r="G542" s="588" t="s">
        <v>619</v>
      </c>
    </row>
    <row r="543" spans="1:8" s="155" customFormat="1" ht="12.75" customHeight="1">
      <c r="A543" s="217">
        <v>0</v>
      </c>
      <c r="B543" s="214" t="s">
        <v>623</v>
      </c>
      <c r="C543" s="368" t="s">
        <v>322</v>
      </c>
      <c r="D543" s="165"/>
      <c r="E543" s="319" t="s">
        <v>324</v>
      </c>
      <c r="F543" s="319" t="s">
        <v>324</v>
      </c>
      <c r="G543" s="591" t="s">
        <v>617</v>
      </c>
    </row>
    <row r="544" spans="1:8" s="155" customFormat="1" ht="12.75" customHeight="1">
      <c r="A544" s="217">
        <v>0</v>
      </c>
      <c r="B544" s="214" t="s">
        <v>623</v>
      </c>
      <c r="C544" s="368" t="s">
        <v>385</v>
      </c>
      <c r="D544" s="165"/>
      <c r="E544" s="517">
        <v>0.96</v>
      </c>
      <c r="F544" s="517">
        <v>0.96</v>
      </c>
      <c r="G544" s="592">
        <v>0.98</v>
      </c>
    </row>
    <row r="545" spans="1:8" s="155" customFormat="1" ht="12.75" customHeight="1">
      <c r="A545" s="217">
        <v>0</v>
      </c>
      <c r="B545" s="214" t="s">
        <v>623</v>
      </c>
      <c r="C545" s="368" t="s">
        <v>155</v>
      </c>
      <c r="D545" s="165"/>
      <c r="E545" s="593" t="s">
        <v>323</v>
      </c>
      <c r="F545" s="593" t="s">
        <v>323</v>
      </c>
      <c r="G545" s="591" t="s">
        <v>323</v>
      </c>
    </row>
    <row r="546" spans="1:8" s="155" customFormat="1" ht="12.75" customHeight="1">
      <c r="A546" s="217">
        <v>0</v>
      </c>
      <c r="B546" s="214" t="s">
        <v>623</v>
      </c>
      <c r="C546" s="623" t="s">
        <v>235</v>
      </c>
      <c r="D546" s="165"/>
      <c r="E546" s="319" t="s">
        <v>269</v>
      </c>
      <c r="F546" s="319" t="s">
        <v>269</v>
      </c>
      <c r="G546" s="591" t="s">
        <v>269</v>
      </c>
    </row>
    <row r="547" spans="1:8" s="155" customFormat="1" ht="12.75" customHeight="1">
      <c r="A547" s="217">
        <v>0</v>
      </c>
      <c r="B547" s="214" t="s">
        <v>623</v>
      </c>
      <c r="C547" s="368" t="s">
        <v>246</v>
      </c>
      <c r="D547" s="165"/>
      <c r="E547" s="455">
        <v>0</v>
      </c>
      <c r="F547" s="455">
        <v>0</v>
      </c>
      <c r="G547" s="594">
        <v>0</v>
      </c>
    </row>
    <row r="548" spans="1:8" s="155" customFormat="1" ht="12.75" customHeight="1">
      <c r="A548" s="217">
        <v>0</v>
      </c>
      <c r="B548" s="214" t="s">
        <v>623</v>
      </c>
      <c r="C548" s="368" t="s">
        <v>448</v>
      </c>
      <c r="D548" s="165"/>
      <c r="E548" s="455" t="s">
        <v>34</v>
      </c>
      <c r="F548" s="455" t="s">
        <v>34</v>
      </c>
      <c r="G548" s="594" t="s">
        <v>34</v>
      </c>
    </row>
    <row r="549" spans="1:8" s="155" customFormat="1" ht="12.75" customHeight="1">
      <c r="A549" s="217">
        <v>0</v>
      </c>
      <c r="B549" s="214" t="s">
        <v>623</v>
      </c>
      <c r="C549" s="368" t="s">
        <v>321</v>
      </c>
      <c r="D549" s="165"/>
      <c r="E549" s="319" t="s">
        <v>648</v>
      </c>
      <c r="F549" s="319" t="s">
        <v>648</v>
      </c>
      <c r="G549" s="591" t="s">
        <v>618</v>
      </c>
    </row>
    <row r="550" spans="1:8" s="155" customFormat="1" ht="12.75" customHeight="1">
      <c r="A550" s="348">
        <v>0</v>
      </c>
      <c r="B550" s="214" t="s">
        <v>623</v>
      </c>
      <c r="C550" s="624" t="s">
        <v>355</v>
      </c>
      <c r="D550" s="165"/>
      <c r="E550" s="537" t="s">
        <v>358</v>
      </c>
      <c r="F550" s="537" t="s">
        <v>358</v>
      </c>
      <c r="G550" s="591" t="s">
        <v>725</v>
      </c>
    </row>
    <row r="551" spans="1:8" s="155" customFormat="1" ht="12.75" customHeight="1">
      <c r="A551" s="217">
        <f>A550</f>
        <v>0</v>
      </c>
      <c r="B551" s="214" t="str">
        <f>B550</f>
        <v>2021Plan_newX5SC_RILA</v>
      </c>
      <c r="C551" s="368" t="s">
        <v>797</v>
      </c>
      <c r="D551" s="165"/>
      <c r="E551" s="455">
        <v>0</v>
      </c>
      <c r="F551" s="455">
        <v>0</v>
      </c>
      <c r="G551" s="594">
        <v>0</v>
      </c>
      <c r="H551" s="213"/>
    </row>
    <row r="552" spans="1:8" s="155" customFormat="1" ht="12.75" customHeight="1">
      <c r="A552" s="217">
        <v>0</v>
      </c>
      <c r="B552" s="214" t="s">
        <v>623</v>
      </c>
      <c r="C552" s="368" t="s">
        <v>405</v>
      </c>
      <c r="D552" s="165"/>
      <c r="E552" s="455">
        <v>0.2</v>
      </c>
      <c r="F552" s="455">
        <v>0.2</v>
      </c>
      <c r="G552" s="539">
        <v>0.2</v>
      </c>
      <c r="H552" s="498" t="s">
        <v>626</v>
      </c>
    </row>
    <row r="553" spans="1:8" s="155" customFormat="1" ht="12.75" customHeight="1">
      <c r="A553" s="217">
        <v>1</v>
      </c>
      <c r="B553" s="214" t="s">
        <v>623</v>
      </c>
      <c r="C553" s="368" t="s">
        <v>245</v>
      </c>
      <c r="D553" s="165"/>
      <c r="E553" s="462">
        <v>43008</v>
      </c>
      <c r="F553" s="462">
        <v>43008</v>
      </c>
      <c r="G553" s="588">
        <v>43465</v>
      </c>
    </row>
    <row r="554" spans="1:8" s="155" customFormat="1" ht="12.75" customHeight="1">
      <c r="A554" s="217">
        <v>1</v>
      </c>
      <c r="B554" s="214" t="s">
        <v>623</v>
      </c>
      <c r="C554" s="368" t="s">
        <v>359</v>
      </c>
      <c r="D554" s="165"/>
      <c r="E554" s="589" t="s">
        <v>647</v>
      </c>
      <c r="F554" s="589" t="s">
        <v>647</v>
      </c>
      <c r="G554" s="588" t="s">
        <v>619</v>
      </c>
    </row>
    <row r="555" spans="1:8" s="155" customFormat="1" ht="12.75" customHeight="1">
      <c r="A555" s="217">
        <v>1</v>
      </c>
      <c r="B555" s="214" t="s">
        <v>623</v>
      </c>
      <c r="C555" s="96" t="s">
        <v>178</v>
      </c>
      <c r="D555" s="165"/>
      <c r="E555" s="590" t="s">
        <v>407</v>
      </c>
      <c r="F555" s="590" t="s">
        <v>407</v>
      </c>
      <c r="G555" s="588" t="s">
        <v>619</v>
      </c>
    </row>
    <row r="556" spans="1:8" s="155" customFormat="1" ht="12.75" customHeight="1">
      <c r="A556" s="217">
        <v>1</v>
      </c>
      <c r="B556" s="214" t="s">
        <v>623</v>
      </c>
      <c r="C556" s="96" t="s">
        <v>181</v>
      </c>
      <c r="D556" s="165"/>
      <c r="E556" s="590" t="s">
        <v>407</v>
      </c>
      <c r="F556" s="590" t="s">
        <v>407</v>
      </c>
      <c r="G556" s="588" t="s">
        <v>619</v>
      </c>
    </row>
    <row r="557" spans="1:8" s="155" customFormat="1" ht="12.75" customHeight="1">
      <c r="A557" s="217">
        <v>1</v>
      </c>
      <c r="B557" s="214" t="s">
        <v>623</v>
      </c>
      <c r="C557" s="368" t="s">
        <v>322</v>
      </c>
      <c r="D557" s="165"/>
      <c r="E557" s="319" t="s">
        <v>324</v>
      </c>
      <c r="F557" s="319" t="s">
        <v>324</v>
      </c>
      <c r="G557" s="591" t="s">
        <v>617</v>
      </c>
    </row>
    <row r="558" spans="1:8" s="155" customFormat="1" ht="12.75" customHeight="1">
      <c r="A558" s="217">
        <v>1</v>
      </c>
      <c r="B558" s="214" t="s">
        <v>623</v>
      </c>
      <c r="C558" s="368" t="s">
        <v>385</v>
      </c>
      <c r="D558" s="165"/>
      <c r="E558" s="517">
        <v>0.96</v>
      </c>
      <c r="F558" s="517">
        <v>0.96</v>
      </c>
      <c r="G558" s="592">
        <v>0.98</v>
      </c>
    </row>
    <row r="559" spans="1:8" s="155" customFormat="1" ht="12.75" customHeight="1">
      <c r="A559" s="217">
        <v>1</v>
      </c>
      <c r="B559" s="214" t="s">
        <v>623</v>
      </c>
      <c r="C559" s="368" t="s">
        <v>155</v>
      </c>
      <c r="D559" s="165"/>
      <c r="E559" s="593" t="s">
        <v>323</v>
      </c>
      <c r="F559" s="593" t="s">
        <v>323</v>
      </c>
      <c r="G559" s="591" t="s">
        <v>323</v>
      </c>
    </row>
    <row r="560" spans="1:8" s="155" customFormat="1" ht="12.75" customHeight="1">
      <c r="A560" s="217">
        <v>1</v>
      </c>
      <c r="B560" s="214" t="s">
        <v>623</v>
      </c>
      <c r="C560" s="623" t="s">
        <v>235</v>
      </c>
      <c r="D560" s="165"/>
      <c r="E560" s="319" t="s">
        <v>269</v>
      </c>
      <c r="F560" s="319" t="s">
        <v>269</v>
      </c>
      <c r="G560" s="591" t="s">
        <v>269</v>
      </c>
    </row>
    <row r="561" spans="1:8" s="155" customFormat="1" ht="12.75" customHeight="1">
      <c r="A561" s="217">
        <v>1</v>
      </c>
      <c r="B561" s="214" t="s">
        <v>623</v>
      </c>
      <c r="C561" s="368" t="s">
        <v>246</v>
      </c>
      <c r="D561" s="165"/>
      <c r="E561" s="455">
        <v>0</v>
      </c>
      <c r="F561" s="455">
        <v>0</v>
      </c>
      <c r="G561" s="594">
        <v>0</v>
      </c>
    </row>
    <row r="562" spans="1:8" s="155" customFormat="1" ht="12.75" customHeight="1">
      <c r="A562" s="217">
        <v>1</v>
      </c>
      <c r="B562" s="214" t="s">
        <v>623</v>
      </c>
      <c r="C562" s="368" t="s">
        <v>448</v>
      </c>
      <c r="D562" s="165"/>
      <c r="E562" s="455" t="s">
        <v>34</v>
      </c>
      <c r="F562" s="455" t="s">
        <v>34</v>
      </c>
      <c r="G562" s="594" t="s">
        <v>34</v>
      </c>
    </row>
    <row r="563" spans="1:8" s="155" customFormat="1" ht="12.75" customHeight="1">
      <c r="A563" s="217">
        <v>1</v>
      </c>
      <c r="B563" s="214" t="s">
        <v>623</v>
      </c>
      <c r="C563" s="368" t="s">
        <v>321</v>
      </c>
      <c r="D563" s="165"/>
      <c r="E563" s="319" t="s">
        <v>648</v>
      </c>
      <c r="F563" s="319" t="s">
        <v>648</v>
      </c>
      <c r="G563" s="591" t="s">
        <v>618</v>
      </c>
    </row>
    <row r="564" spans="1:8" s="155" customFormat="1" ht="12.75" customHeight="1">
      <c r="A564" s="217">
        <v>1</v>
      </c>
      <c r="B564" s="214" t="s">
        <v>623</v>
      </c>
      <c r="C564" s="368" t="s">
        <v>355</v>
      </c>
      <c r="D564" s="165"/>
      <c r="E564" s="537" t="s">
        <v>358</v>
      </c>
      <c r="F564" s="537" t="s">
        <v>358</v>
      </c>
      <c r="G564" s="591" t="s">
        <v>725</v>
      </c>
    </row>
    <row r="565" spans="1:8" s="155" customFormat="1" ht="12.75" customHeight="1">
      <c r="A565" s="217">
        <f>A564</f>
        <v>1</v>
      </c>
      <c r="B565" s="214" t="str">
        <f>B564</f>
        <v>2021Plan_newX5SC_RILA</v>
      </c>
      <c r="C565" s="368" t="s">
        <v>797</v>
      </c>
      <c r="D565" s="165"/>
      <c r="E565" s="455">
        <v>0</v>
      </c>
      <c r="F565" s="455">
        <v>0</v>
      </c>
      <c r="G565" s="594">
        <v>0</v>
      </c>
      <c r="H565" s="213"/>
    </row>
    <row r="566" spans="1:8" s="155" customFormat="1" ht="12.75" customHeight="1">
      <c r="A566" s="217">
        <v>1</v>
      </c>
      <c r="B566" s="214" t="s">
        <v>623</v>
      </c>
      <c r="C566" s="368" t="s">
        <v>405</v>
      </c>
      <c r="D566" s="165"/>
      <c r="E566" s="455">
        <v>0.2</v>
      </c>
      <c r="F566" s="455">
        <v>0.2</v>
      </c>
      <c r="G566" s="539">
        <v>0.2</v>
      </c>
    </row>
  </sheetData>
  <dataConsolidate link="1"/>
  <conditionalFormatting sqref="G518:G520">
    <cfRule type="cellIs" dxfId="750" priority="621" operator="notEqual">
      <formula>$A518</formula>
    </cfRule>
  </conditionalFormatting>
  <conditionalFormatting sqref="G519">
    <cfRule type="cellIs" dxfId="749" priority="620" operator="notEqual">
      <formula>$A519</formula>
    </cfRule>
  </conditionalFormatting>
  <conditionalFormatting sqref="G520">
    <cfRule type="cellIs" dxfId="748" priority="619" operator="notEqual">
      <formula>$A520</formula>
    </cfRule>
  </conditionalFormatting>
  <conditionalFormatting sqref="G522">
    <cfRule type="cellIs" dxfId="747" priority="618" operator="equal">
      <formula>""</formula>
    </cfRule>
  </conditionalFormatting>
  <conditionalFormatting sqref="E519">
    <cfRule type="cellIs" dxfId="746" priority="617" operator="notEqual">
      <formula>$A519</formula>
    </cfRule>
  </conditionalFormatting>
  <conditionalFormatting sqref="F519">
    <cfRule type="cellIs" dxfId="745" priority="616" operator="notEqual">
      <formula>$A519</formula>
    </cfRule>
  </conditionalFormatting>
  <conditionalFormatting sqref="E518">
    <cfRule type="cellIs" dxfId="744" priority="615" operator="notEqual">
      <formula>$A518</formula>
    </cfRule>
  </conditionalFormatting>
  <conditionalFormatting sqref="F518">
    <cfRule type="cellIs" dxfId="743" priority="614" operator="notEqual">
      <formula>$A518</formula>
    </cfRule>
  </conditionalFormatting>
  <conditionalFormatting sqref="E518:F518">
    <cfRule type="cellIs" dxfId="742" priority="613" operator="notEqual">
      <formula>$A518</formula>
    </cfRule>
  </conditionalFormatting>
  <conditionalFormatting sqref="E520">
    <cfRule type="cellIs" dxfId="741" priority="612" operator="notEqual">
      <formula>$A520</formula>
    </cfRule>
  </conditionalFormatting>
  <conditionalFormatting sqref="F520">
    <cfRule type="cellIs" dxfId="740" priority="611" operator="notEqual">
      <formula>$A520</formula>
    </cfRule>
  </conditionalFormatting>
  <conditionalFormatting sqref="G532:G534">
    <cfRule type="cellIs" dxfId="739" priority="598" operator="notEqual">
      <formula>$A532</formula>
    </cfRule>
  </conditionalFormatting>
  <conditionalFormatting sqref="G533">
    <cfRule type="cellIs" dxfId="738" priority="597" operator="notEqual">
      <formula>$A533</formula>
    </cfRule>
  </conditionalFormatting>
  <conditionalFormatting sqref="G534">
    <cfRule type="cellIs" dxfId="737" priority="596" operator="notEqual">
      <formula>$A534</formula>
    </cfRule>
  </conditionalFormatting>
  <conditionalFormatting sqref="G536">
    <cfRule type="cellIs" dxfId="736" priority="595" operator="equal">
      <formula>""</formula>
    </cfRule>
  </conditionalFormatting>
  <conditionalFormatting sqref="E533">
    <cfRule type="cellIs" dxfId="735" priority="594" operator="notEqual">
      <formula>$A533</formula>
    </cfRule>
  </conditionalFormatting>
  <conditionalFormatting sqref="F533">
    <cfRule type="cellIs" dxfId="734" priority="593" operator="notEqual">
      <formula>$A533</formula>
    </cfRule>
  </conditionalFormatting>
  <conditionalFormatting sqref="E532">
    <cfRule type="cellIs" dxfId="733" priority="592" operator="notEqual">
      <formula>$A532</formula>
    </cfRule>
  </conditionalFormatting>
  <conditionalFormatting sqref="F532">
    <cfRule type="cellIs" dxfId="732" priority="591" operator="notEqual">
      <formula>$A532</formula>
    </cfRule>
  </conditionalFormatting>
  <conditionalFormatting sqref="E532:F532">
    <cfRule type="cellIs" dxfId="731" priority="590" operator="notEqual">
      <formula>$A532</formula>
    </cfRule>
  </conditionalFormatting>
  <conditionalFormatting sqref="E534">
    <cfRule type="cellIs" dxfId="730" priority="589" operator="notEqual">
      <formula>$A534</formula>
    </cfRule>
  </conditionalFormatting>
  <conditionalFormatting sqref="F534">
    <cfRule type="cellIs" dxfId="729" priority="588" operator="notEqual">
      <formula>$A534</formula>
    </cfRule>
  </conditionalFormatting>
  <conditionalFormatting sqref="G546:G548 G560:G562">
    <cfRule type="cellIs" dxfId="728" priority="549" operator="notEqual">
      <formula>$A546</formula>
    </cfRule>
  </conditionalFormatting>
  <conditionalFormatting sqref="G547 G561">
    <cfRule type="cellIs" dxfId="727" priority="548" operator="notEqual">
      <formula>$A547</formula>
    </cfRule>
  </conditionalFormatting>
  <conditionalFormatting sqref="G548 G562">
    <cfRule type="cellIs" dxfId="726" priority="547" operator="notEqual">
      <formula>$A548</formula>
    </cfRule>
  </conditionalFormatting>
  <conditionalFormatting sqref="G550 G564">
    <cfRule type="cellIs" dxfId="725" priority="546" operator="equal">
      <formula>""</formula>
    </cfRule>
  </conditionalFormatting>
  <conditionalFormatting sqref="E547 E561">
    <cfRule type="cellIs" dxfId="724" priority="545" operator="notEqual">
      <formula>$A547</formula>
    </cfRule>
  </conditionalFormatting>
  <conditionalFormatting sqref="F547 F561">
    <cfRule type="cellIs" dxfId="723" priority="544" operator="notEqual">
      <formula>$A547</formula>
    </cfRule>
  </conditionalFormatting>
  <conditionalFormatting sqref="E546 E560">
    <cfRule type="cellIs" dxfId="722" priority="543" operator="notEqual">
      <formula>$A546</formula>
    </cfRule>
  </conditionalFormatting>
  <conditionalFormatting sqref="F546 F560">
    <cfRule type="cellIs" dxfId="721" priority="542" operator="notEqual">
      <formula>$A546</formula>
    </cfRule>
  </conditionalFormatting>
  <conditionalFormatting sqref="E546:F546 E560:F560">
    <cfRule type="cellIs" dxfId="720" priority="541" operator="notEqual">
      <formula>$A546</formula>
    </cfRule>
  </conditionalFormatting>
  <conditionalFormatting sqref="E548 E562">
    <cfRule type="cellIs" dxfId="719" priority="540" operator="notEqual">
      <formula>$A548</formula>
    </cfRule>
  </conditionalFormatting>
  <conditionalFormatting sqref="F548 F562">
    <cfRule type="cellIs" dxfId="718" priority="539" operator="notEqual">
      <formula>$A548</formula>
    </cfRule>
  </conditionalFormatting>
  <conditionalFormatting sqref="E491">
    <cfRule type="cellIs" dxfId="717" priority="530" operator="notEqual">
      <formula>$A491</formula>
    </cfRule>
  </conditionalFormatting>
  <conditionalFormatting sqref="F491">
    <cfRule type="cellIs" dxfId="716" priority="529" operator="notEqual">
      <formula>$A491</formula>
    </cfRule>
  </conditionalFormatting>
  <conditionalFormatting sqref="E490">
    <cfRule type="cellIs" dxfId="715" priority="528" operator="notEqual">
      <formula>$A490</formula>
    </cfRule>
  </conditionalFormatting>
  <conditionalFormatting sqref="F490">
    <cfRule type="cellIs" dxfId="714" priority="527" operator="notEqual">
      <formula>$A490</formula>
    </cfRule>
  </conditionalFormatting>
  <conditionalFormatting sqref="E490:F490">
    <cfRule type="cellIs" dxfId="713" priority="526" operator="notEqual">
      <formula>$A490</formula>
    </cfRule>
  </conditionalFormatting>
  <conditionalFormatting sqref="E492">
    <cfRule type="cellIs" dxfId="712" priority="525" operator="notEqual">
      <formula>$A492</formula>
    </cfRule>
  </conditionalFormatting>
  <conditionalFormatting sqref="F492">
    <cfRule type="cellIs" dxfId="711" priority="524" operator="notEqual">
      <formula>$A492</formula>
    </cfRule>
  </conditionalFormatting>
  <conditionalFormatting sqref="E505">
    <cfRule type="cellIs" dxfId="710" priority="481" operator="notEqual">
      <formula>$A505</formula>
    </cfRule>
  </conditionalFormatting>
  <conditionalFormatting sqref="F505">
    <cfRule type="cellIs" dxfId="709" priority="480" operator="notEqual">
      <formula>$A505</formula>
    </cfRule>
  </conditionalFormatting>
  <conditionalFormatting sqref="E504">
    <cfRule type="cellIs" dxfId="708" priority="479" operator="notEqual">
      <formula>$A504</formula>
    </cfRule>
  </conditionalFormatting>
  <conditionalFormatting sqref="F504">
    <cfRule type="cellIs" dxfId="707" priority="478" operator="notEqual">
      <formula>$A504</formula>
    </cfRule>
  </conditionalFormatting>
  <conditionalFormatting sqref="E504:F504">
    <cfRule type="cellIs" dxfId="706" priority="477" operator="notEqual">
      <formula>$A504</formula>
    </cfRule>
  </conditionalFormatting>
  <conditionalFormatting sqref="E506">
    <cfRule type="cellIs" dxfId="705" priority="476" operator="notEqual">
      <formula>$A506</formula>
    </cfRule>
  </conditionalFormatting>
  <conditionalFormatting sqref="F506">
    <cfRule type="cellIs" dxfId="704" priority="475" operator="notEqual">
      <formula>$A506</formula>
    </cfRule>
  </conditionalFormatting>
  <conditionalFormatting sqref="G490:G492">
    <cfRule type="cellIs" dxfId="703" priority="448" operator="notEqual">
      <formula>$A490</formula>
    </cfRule>
  </conditionalFormatting>
  <conditionalFormatting sqref="G491">
    <cfRule type="cellIs" dxfId="702" priority="447" operator="notEqual">
      <formula>$A491</formula>
    </cfRule>
  </conditionalFormatting>
  <conditionalFormatting sqref="G492">
    <cfRule type="cellIs" dxfId="701" priority="446" operator="notEqual">
      <formula>$A492</formula>
    </cfRule>
  </conditionalFormatting>
  <conditionalFormatting sqref="G504:G506">
    <cfRule type="cellIs" dxfId="700" priority="444" operator="notEqual">
      <formula>$A504</formula>
    </cfRule>
  </conditionalFormatting>
  <conditionalFormatting sqref="G505">
    <cfRule type="cellIs" dxfId="699" priority="443" operator="notEqual">
      <formula>$A505</formula>
    </cfRule>
  </conditionalFormatting>
  <conditionalFormatting sqref="G506">
    <cfRule type="cellIs" dxfId="698" priority="442" operator="notEqual">
      <formula>$A506</formula>
    </cfRule>
  </conditionalFormatting>
  <conditionalFormatting sqref="G508">
    <cfRule type="cellIs" dxfId="697" priority="440" operator="equal">
      <formula>""</formula>
    </cfRule>
  </conditionalFormatting>
  <conditionalFormatting sqref="G494">
    <cfRule type="cellIs" dxfId="696" priority="439" operator="equal">
      <formula>""</formula>
    </cfRule>
  </conditionalFormatting>
  <conditionalFormatting sqref="G350:G352">
    <cfRule type="cellIs" dxfId="695" priority="438" operator="notEqual">
      <formula>$A350</formula>
    </cfRule>
  </conditionalFormatting>
  <conditionalFormatting sqref="G351">
    <cfRule type="cellIs" dxfId="694" priority="437" operator="notEqual">
      <formula>$A351</formula>
    </cfRule>
  </conditionalFormatting>
  <conditionalFormatting sqref="G352">
    <cfRule type="cellIs" dxfId="693" priority="436" operator="notEqual">
      <formula>$A352</formula>
    </cfRule>
  </conditionalFormatting>
  <conditionalFormatting sqref="G354">
    <cfRule type="cellIs" dxfId="692" priority="435" operator="equal">
      <formula>""</formula>
    </cfRule>
  </conditionalFormatting>
  <conditionalFormatting sqref="E351">
    <cfRule type="cellIs" dxfId="691" priority="434" operator="notEqual">
      <formula>$A351</formula>
    </cfRule>
  </conditionalFormatting>
  <conditionalFormatting sqref="F351">
    <cfRule type="cellIs" dxfId="690" priority="433" operator="notEqual">
      <formula>$A351</formula>
    </cfRule>
  </conditionalFormatting>
  <conditionalFormatting sqref="E350">
    <cfRule type="cellIs" dxfId="689" priority="432" operator="notEqual">
      <formula>$A350</formula>
    </cfRule>
  </conditionalFormatting>
  <conditionalFormatting sqref="F350">
    <cfRule type="cellIs" dxfId="688" priority="431" operator="notEqual">
      <formula>$A350</formula>
    </cfRule>
  </conditionalFormatting>
  <conditionalFormatting sqref="E350:F350">
    <cfRule type="cellIs" dxfId="687" priority="430" operator="notEqual">
      <formula>$A350</formula>
    </cfRule>
  </conditionalFormatting>
  <conditionalFormatting sqref="E352">
    <cfRule type="cellIs" dxfId="686" priority="429" operator="notEqual">
      <formula>$A352</formula>
    </cfRule>
  </conditionalFormatting>
  <conditionalFormatting sqref="F352">
    <cfRule type="cellIs" dxfId="685" priority="428" operator="notEqual">
      <formula>$A352</formula>
    </cfRule>
  </conditionalFormatting>
  <conditionalFormatting sqref="G364:G366">
    <cfRule type="cellIs" dxfId="684" priority="427" operator="notEqual">
      <formula>$A364</formula>
    </cfRule>
  </conditionalFormatting>
  <conditionalFormatting sqref="G365">
    <cfRule type="cellIs" dxfId="683" priority="426" operator="notEqual">
      <formula>$A365</formula>
    </cfRule>
  </conditionalFormatting>
  <conditionalFormatting sqref="G366">
    <cfRule type="cellIs" dxfId="682" priority="425" operator="notEqual">
      <formula>$A366</formula>
    </cfRule>
  </conditionalFormatting>
  <conditionalFormatting sqref="G368">
    <cfRule type="cellIs" dxfId="681" priority="424" operator="equal">
      <formula>""</formula>
    </cfRule>
  </conditionalFormatting>
  <conditionalFormatting sqref="E365">
    <cfRule type="cellIs" dxfId="680" priority="423" operator="notEqual">
      <formula>$A365</formula>
    </cfRule>
  </conditionalFormatting>
  <conditionalFormatting sqref="F365">
    <cfRule type="cellIs" dxfId="679" priority="422" operator="notEqual">
      <formula>$A365</formula>
    </cfRule>
  </conditionalFormatting>
  <conditionalFormatting sqref="E364">
    <cfRule type="cellIs" dxfId="678" priority="421" operator="notEqual">
      <formula>$A364</formula>
    </cfRule>
  </conditionalFormatting>
  <conditionalFormatting sqref="F364">
    <cfRule type="cellIs" dxfId="677" priority="420" operator="notEqual">
      <formula>$A364</formula>
    </cfRule>
  </conditionalFormatting>
  <conditionalFormatting sqref="E364:F364">
    <cfRule type="cellIs" dxfId="676" priority="419" operator="notEqual">
      <formula>$A364</formula>
    </cfRule>
  </conditionalFormatting>
  <conditionalFormatting sqref="E366">
    <cfRule type="cellIs" dxfId="675" priority="418" operator="notEqual">
      <formula>$A366</formula>
    </cfRule>
  </conditionalFormatting>
  <conditionalFormatting sqref="F366">
    <cfRule type="cellIs" dxfId="674" priority="417" operator="notEqual">
      <formula>$A366</formula>
    </cfRule>
  </conditionalFormatting>
  <conditionalFormatting sqref="G322:G324">
    <cfRule type="cellIs" dxfId="673" priority="416" operator="notEqual">
      <formula>$A322</formula>
    </cfRule>
  </conditionalFormatting>
  <conditionalFormatting sqref="G323">
    <cfRule type="cellIs" dxfId="672" priority="415" operator="notEqual">
      <formula>$A323</formula>
    </cfRule>
  </conditionalFormatting>
  <conditionalFormatting sqref="G324">
    <cfRule type="cellIs" dxfId="671" priority="414" operator="notEqual">
      <formula>$A324</formula>
    </cfRule>
  </conditionalFormatting>
  <conditionalFormatting sqref="G326">
    <cfRule type="cellIs" dxfId="670" priority="413" operator="equal">
      <formula>""</formula>
    </cfRule>
  </conditionalFormatting>
  <conditionalFormatting sqref="E323">
    <cfRule type="cellIs" dxfId="669" priority="412" operator="notEqual">
      <formula>$A323</formula>
    </cfRule>
  </conditionalFormatting>
  <conditionalFormatting sqref="F323">
    <cfRule type="cellIs" dxfId="668" priority="411" operator="notEqual">
      <formula>$A323</formula>
    </cfRule>
  </conditionalFormatting>
  <conditionalFormatting sqref="E322">
    <cfRule type="cellIs" dxfId="667" priority="410" operator="notEqual">
      <formula>$A322</formula>
    </cfRule>
  </conditionalFormatting>
  <conditionalFormatting sqref="F322">
    <cfRule type="cellIs" dxfId="666" priority="409" operator="notEqual">
      <formula>$A322</formula>
    </cfRule>
  </conditionalFormatting>
  <conditionalFormatting sqref="E322:F322">
    <cfRule type="cellIs" dxfId="665" priority="408" operator="notEqual">
      <formula>$A322</formula>
    </cfRule>
  </conditionalFormatting>
  <conditionalFormatting sqref="E324">
    <cfRule type="cellIs" dxfId="664" priority="407" operator="notEqual">
      <formula>$A324</formula>
    </cfRule>
  </conditionalFormatting>
  <conditionalFormatting sqref="F324">
    <cfRule type="cellIs" dxfId="663" priority="406" operator="notEqual">
      <formula>$A324</formula>
    </cfRule>
  </conditionalFormatting>
  <conditionalFormatting sqref="G336:G338">
    <cfRule type="cellIs" dxfId="662" priority="405" operator="notEqual">
      <formula>$A336</formula>
    </cfRule>
  </conditionalFormatting>
  <conditionalFormatting sqref="G337">
    <cfRule type="cellIs" dxfId="661" priority="404" operator="notEqual">
      <formula>$A337</formula>
    </cfRule>
  </conditionalFormatting>
  <conditionalFormatting sqref="G338">
    <cfRule type="cellIs" dxfId="660" priority="403" operator="notEqual">
      <formula>$A338</formula>
    </cfRule>
  </conditionalFormatting>
  <conditionalFormatting sqref="G340">
    <cfRule type="cellIs" dxfId="659" priority="402" operator="equal">
      <formula>""</formula>
    </cfRule>
  </conditionalFormatting>
  <conditionalFormatting sqref="E337">
    <cfRule type="cellIs" dxfId="658" priority="401" operator="notEqual">
      <formula>$A337</formula>
    </cfRule>
  </conditionalFormatting>
  <conditionalFormatting sqref="F337">
    <cfRule type="cellIs" dxfId="657" priority="400" operator="notEqual">
      <formula>$A337</formula>
    </cfRule>
  </conditionalFormatting>
  <conditionalFormatting sqref="E336">
    <cfRule type="cellIs" dxfId="656" priority="399" operator="notEqual">
      <formula>$A336</formula>
    </cfRule>
  </conditionalFormatting>
  <conditionalFormatting sqref="F336">
    <cfRule type="cellIs" dxfId="655" priority="398" operator="notEqual">
      <formula>$A336</formula>
    </cfRule>
  </conditionalFormatting>
  <conditionalFormatting sqref="E336:F336">
    <cfRule type="cellIs" dxfId="654" priority="397" operator="notEqual">
      <formula>$A336</formula>
    </cfRule>
  </conditionalFormatting>
  <conditionalFormatting sqref="E338">
    <cfRule type="cellIs" dxfId="653" priority="396" operator="notEqual">
      <formula>$A338</formula>
    </cfRule>
  </conditionalFormatting>
  <conditionalFormatting sqref="F338">
    <cfRule type="cellIs" dxfId="652" priority="395" operator="notEqual">
      <formula>$A338</formula>
    </cfRule>
  </conditionalFormatting>
  <conditionalFormatting sqref="G294:G296">
    <cfRule type="cellIs" dxfId="651" priority="394" operator="notEqual">
      <formula>$A294</formula>
    </cfRule>
  </conditionalFormatting>
  <conditionalFormatting sqref="G295">
    <cfRule type="cellIs" dxfId="650" priority="393" operator="notEqual">
      <formula>$A295</formula>
    </cfRule>
  </conditionalFormatting>
  <conditionalFormatting sqref="G296">
    <cfRule type="cellIs" dxfId="649" priority="392" operator="notEqual">
      <formula>$A296</formula>
    </cfRule>
  </conditionalFormatting>
  <conditionalFormatting sqref="G298">
    <cfRule type="cellIs" dxfId="648" priority="391" operator="equal">
      <formula>""</formula>
    </cfRule>
  </conditionalFormatting>
  <conditionalFormatting sqref="E295">
    <cfRule type="cellIs" dxfId="647" priority="390" operator="notEqual">
      <formula>$A295</formula>
    </cfRule>
  </conditionalFormatting>
  <conditionalFormatting sqref="F295">
    <cfRule type="cellIs" dxfId="646" priority="389" operator="notEqual">
      <formula>$A295</formula>
    </cfRule>
  </conditionalFormatting>
  <conditionalFormatting sqref="E294">
    <cfRule type="cellIs" dxfId="645" priority="388" operator="notEqual">
      <formula>$A294</formula>
    </cfRule>
  </conditionalFormatting>
  <conditionalFormatting sqref="F294">
    <cfRule type="cellIs" dxfId="644" priority="387" operator="notEqual">
      <formula>$A294</formula>
    </cfRule>
  </conditionalFormatting>
  <conditionalFormatting sqref="E294:F294">
    <cfRule type="cellIs" dxfId="643" priority="386" operator="notEqual">
      <formula>$A294</formula>
    </cfRule>
  </conditionalFormatting>
  <conditionalFormatting sqref="E296">
    <cfRule type="cellIs" dxfId="642" priority="385" operator="notEqual">
      <formula>$A296</formula>
    </cfRule>
  </conditionalFormatting>
  <conditionalFormatting sqref="F296">
    <cfRule type="cellIs" dxfId="641" priority="384" operator="notEqual">
      <formula>$A296</formula>
    </cfRule>
  </conditionalFormatting>
  <conditionalFormatting sqref="G308:G310">
    <cfRule type="cellIs" dxfId="640" priority="383" operator="notEqual">
      <formula>$A308</formula>
    </cfRule>
  </conditionalFormatting>
  <conditionalFormatting sqref="G309">
    <cfRule type="cellIs" dxfId="639" priority="382" operator="notEqual">
      <formula>$A309</formula>
    </cfRule>
  </conditionalFormatting>
  <conditionalFormatting sqref="G310">
    <cfRule type="cellIs" dxfId="638" priority="381" operator="notEqual">
      <formula>$A310</formula>
    </cfRule>
  </conditionalFormatting>
  <conditionalFormatting sqref="G312">
    <cfRule type="cellIs" dxfId="637" priority="380" operator="equal">
      <formula>""</formula>
    </cfRule>
  </conditionalFormatting>
  <conditionalFormatting sqref="E309">
    <cfRule type="cellIs" dxfId="636" priority="379" operator="notEqual">
      <formula>$A309</formula>
    </cfRule>
  </conditionalFormatting>
  <conditionalFormatting sqref="F309">
    <cfRule type="cellIs" dxfId="635" priority="378" operator="notEqual">
      <formula>$A309</formula>
    </cfRule>
  </conditionalFormatting>
  <conditionalFormatting sqref="E308">
    <cfRule type="cellIs" dxfId="634" priority="377" operator="notEqual">
      <formula>$A308</formula>
    </cfRule>
  </conditionalFormatting>
  <conditionalFormatting sqref="F308">
    <cfRule type="cellIs" dxfId="633" priority="376" operator="notEqual">
      <formula>$A308</formula>
    </cfRule>
  </conditionalFormatting>
  <conditionalFormatting sqref="E308:F308">
    <cfRule type="cellIs" dxfId="632" priority="375" operator="notEqual">
      <formula>$A308</formula>
    </cfRule>
  </conditionalFormatting>
  <conditionalFormatting sqref="E310">
    <cfRule type="cellIs" dxfId="631" priority="374" operator="notEqual">
      <formula>$A310</formula>
    </cfRule>
  </conditionalFormatting>
  <conditionalFormatting sqref="F310">
    <cfRule type="cellIs" dxfId="630" priority="373" operator="notEqual">
      <formula>$A310</formula>
    </cfRule>
  </conditionalFormatting>
  <conditionalFormatting sqref="G266:G268">
    <cfRule type="cellIs" dxfId="629" priority="372" operator="notEqual">
      <formula>$A266</formula>
    </cfRule>
  </conditionalFormatting>
  <conditionalFormatting sqref="G267">
    <cfRule type="cellIs" dxfId="628" priority="371" operator="notEqual">
      <formula>$A267</formula>
    </cfRule>
  </conditionalFormatting>
  <conditionalFormatting sqref="G268">
    <cfRule type="cellIs" dxfId="627" priority="370" operator="notEqual">
      <formula>$A268</formula>
    </cfRule>
  </conditionalFormatting>
  <conditionalFormatting sqref="G270">
    <cfRule type="cellIs" dxfId="626" priority="369" operator="equal">
      <formula>""</formula>
    </cfRule>
  </conditionalFormatting>
  <conditionalFormatting sqref="E267">
    <cfRule type="cellIs" dxfId="625" priority="368" operator="notEqual">
      <formula>$A267</formula>
    </cfRule>
  </conditionalFormatting>
  <conditionalFormatting sqref="F267">
    <cfRule type="cellIs" dxfId="624" priority="367" operator="notEqual">
      <formula>$A267</formula>
    </cfRule>
  </conditionalFormatting>
  <conditionalFormatting sqref="E266">
    <cfRule type="cellIs" dxfId="623" priority="366" operator="notEqual">
      <formula>$A266</formula>
    </cfRule>
  </conditionalFormatting>
  <conditionalFormatting sqref="F266">
    <cfRule type="cellIs" dxfId="622" priority="365" operator="notEqual">
      <formula>$A266</formula>
    </cfRule>
  </conditionalFormatting>
  <conditionalFormatting sqref="E266:F266">
    <cfRule type="cellIs" dxfId="621" priority="364" operator="notEqual">
      <formula>$A266</formula>
    </cfRule>
  </conditionalFormatting>
  <conditionalFormatting sqref="E268">
    <cfRule type="cellIs" dxfId="620" priority="363" operator="notEqual">
      <formula>$A268</formula>
    </cfRule>
  </conditionalFormatting>
  <conditionalFormatting sqref="F268">
    <cfRule type="cellIs" dxfId="619" priority="362" operator="notEqual">
      <formula>$A268</formula>
    </cfRule>
  </conditionalFormatting>
  <conditionalFormatting sqref="G280:G282">
    <cfRule type="cellIs" dxfId="618" priority="361" operator="notEqual">
      <formula>$A280</formula>
    </cfRule>
  </conditionalFormatting>
  <conditionalFormatting sqref="G281">
    <cfRule type="cellIs" dxfId="617" priority="360" operator="notEqual">
      <formula>$A281</formula>
    </cfRule>
  </conditionalFormatting>
  <conditionalFormatting sqref="G282">
    <cfRule type="cellIs" dxfId="616" priority="359" operator="notEqual">
      <formula>$A282</formula>
    </cfRule>
  </conditionalFormatting>
  <conditionalFormatting sqref="G284">
    <cfRule type="cellIs" dxfId="615" priority="358" operator="equal">
      <formula>""</formula>
    </cfRule>
  </conditionalFormatting>
  <conditionalFormatting sqref="E281">
    <cfRule type="cellIs" dxfId="614" priority="357" operator="notEqual">
      <formula>$A281</formula>
    </cfRule>
  </conditionalFormatting>
  <conditionalFormatting sqref="F281">
    <cfRule type="cellIs" dxfId="613" priority="356" operator="notEqual">
      <formula>$A281</formula>
    </cfRule>
  </conditionalFormatting>
  <conditionalFormatting sqref="E280">
    <cfRule type="cellIs" dxfId="612" priority="355" operator="notEqual">
      <formula>$A280</formula>
    </cfRule>
  </conditionalFormatting>
  <conditionalFormatting sqref="F280">
    <cfRule type="cellIs" dxfId="611" priority="354" operator="notEqual">
      <formula>$A280</formula>
    </cfRule>
  </conditionalFormatting>
  <conditionalFormatting sqref="E280:F280">
    <cfRule type="cellIs" dxfId="610" priority="353" operator="notEqual">
      <formula>$A280</formula>
    </cfRule>
  </conditionalFormatting>
  <conditionalFormatting sqref="E282">
    <cfRule type="cellIs" dxfId="609" priority="352" operator="notEqual">
      <formula>$A282</formula>
    </cfRule>
  </conditionalFormatting>
  <conditionalFormatting sqref="F282">
    <cfRule type="cellIs" dxfId="608" priority="351" operator="notEqual">
      <formula>$A282</formula>
    </cfRule>
  </conditionalFormatting>
  <conditionalFormatting sqref="G238:G240">
    <cfRule type="cellIs" dxfId="607" priority="350" operator="notEqual">
      <formula>$A238</formula>
    </cfRule>
  </conditionalFormatting>
  <conditionalFormatting sqref="G239">
    <cfRule type="cellIs" dxfId="606" priority="349" operator="notEqual">
      <formula>$A239</formula>
    </cfRule>
  </conditionalFormatting>
  <conditionalFormatting sqref="G240">
    <cfRule type="cellIs" dxfId="605" priority="348" operator="notEqual">
      <formula>$A240</formula>
    </cfRule>
  </conditionalFormatting>
  <conditionalFormatting sqref="G242">
    <cfRule type="cellIs" dxfId="604" priority="347" operator="equal">
      <formula>""</formula>
    </cfRule>
  </conditionalFormatting>
  <conditionalFormatting sqref="E239">
    <cfRule type="cellIs" dxfId="603" priority="346" operator="notEqual">
      <formula>$A239</formula>
    </cfRule>
  </conditionalFormatting>
  <conditionalFormatting sqref="F239">
    <cfRule type="cellIs" dxfId="602" priority="345" operator="notEqual">
      <formula>$A239</formula>
    </cfRule>
  </conditionalFormatting>
  <conditionalFormatting sqref="E238">
    <cfRule type="cellIs" dxfId="601" priority="344" operator="notEqual">
      <formula>$A238</formula>
    </cfRule>
  </conditionalFormatting>
  <conditionalFormatting sqref="F238">
    <cfRule type="cellIs" dxfId="600" priority="343" operator="notEqual">
      <formula>$A238</formula>
    </cfRule>
  </conditionalFormatting>
  <conditionalFormatting sqref="E238:F238">
    <cfRule type="cellIs" dxfId="599" priority="342" operator="notEqual">
      <formula>$A238</formula>
    </cfRule>
  </conditionalFormatting>
  <conditionalFormatting sqref="E240">
    <cfRule type="cellIs" dxfId="598" priority="341" operator="notEqual">
      <formula>$A240</formula>
    </cfRule>
  </conditionalFormatting>
  <conditionalFormatting sqref="F240">
    <cfRule type="cellIs" dxfId="597" priority="340" operator="notEqual">
      <formula>$A240</formula>
    </cfRule>
  </conditionalFormatting>
  <conditionalFormatting sqref="G252:G254">
    <cfRule type="cellIs" dxfId="596" priority="339" operator="notEqual">
      <formula>$A252</formula>
    </cfRule>
  </conditionalFormatting>
  <conditionalFormatting sqref="G253">
    <cfRule type="cellIs" dxfId="595" priority="338" operator="notEqual">
      <formula>$A253</formula>
    </cfRule>
  </conditionalFormatting>
  <conditionalFormatting sqref="G254">
    <cfRule type="cellIs" dxfId="594" priority="337" operator="notEqual">
      <formula>$A254</formula>
    </cfRule>
  </conditionalFormatting>
  <conditionalFormatting sqref="G256">
    <cfRule type="cellIs" dxfId="593" priority="336" operator="equal">
      <formula>""</formula>
    </cfRule>
  </conditionalFormatting>
  <conditionalFormatting sqref="E253">
    <cfRule type="cellIs" dxfId="592" priority="335" operator="notEqual">
      <formula>$A253</formula>
    </cfRule>
  </conditionalFormatting>
  <conditionalFormatting sqref="F253">
    <cfRule type="cellIs" dxfId="591" priority="334" operator="notEqual">
      <formula>$A253</formula>
    </cfRule>
  </conditionalFormatting>
  <conditionalFormatting sqref="E252">
    <cfRule type="cellIs" dxfId="590" priority="333" operator="notEqual">
      <formula>$A252</formula>
    </cfRule>
  </conditionalFormatting>
  <conditionalFormatting sqref="F252">
    <cfRule type="cellIs" dxfId="589" priority="332" operator="notEqual">
      <formula>$A252</formula>
    </cfRule>
  </conditionalFormatting>
  <conditionalFormatting sqref="E252:F252">
    <cfRule type="cellIs" dxfId="588" priority="331" operator="notEqual">
      <formula>$A252</formula>
    </cfRule>
  </conditionalFormatting>
  <conditionalFormatting sqref="E254">
    <cfRule type="cellIs" dxfId="587" priority="330" operator="notEqual">
      <formula>$A254</formula>
    </cfRule>
  </conditionalFormatting>
  <conditionalFormatting sqref="F254">
    <cfRule type="cellIs" dxfId="586" priority="329" operator="notEqual">
      <formula>$A254</formula>
    </cfRule>
  </conditionalFormatting>
  <conditionalFormatting sqref="G210:G212">
    <cfRule type="cellIs" dxfId="585" priority="328" operator="notEqual">
      <formula>$A210</formula>
    </cfRule>
  </conditionalFormatting>
  <conditionalFormatting sqref="G211">
    <cfRule type="cellIs" dxfId="584" priority="327" operator="notEqual">
      <formula>$A211</formula>
    </cfRule>
  </conditionalFormatting>
  <conditionalFormatting sqref="G212">
    <cfRule type="cellIs" dxfId="583" priority="326" operator="notEqual">
      <formula>$A212</formula>
    </cfRule>
  </conditionalFormatting>
  <conditionalFormatting sqref="G214">
    <cfRule type="cellIs" dxfId="582" priority="325" operator="equal">
      <formula>""</formula>
    </cfRule>
  </conditionalFormatting>
  <conditionalFormatting sqref="E211">
    <cfRule type="cellIs" dxfId="581" priority="324" operator="notEqual">
      <formula>$A211</formula>
    </cfRule>
  </conditionalFormatting>
  <conditionalFormatting sqref="F211">
    <cfRule type="cellIs" dxfId="580" priority="323" operator="notEqual">
      <formula>$A211</formula>
    </cfRule>
  </conditionalFormatting>
  <conditionalFormatting sqref="E210">
    <cfRule type="cellIs" dxfId="579" priority="322" operator="notEqual">
      <formula>$A210</formula>
    </cfRule>
  </conditionalFormatting>
  <conditionalFormatting sqref="F210">
    <cfRule type="cellIs" dxfId="578" priority="321" operator="notEqual">
      <formula>$A210</formula>
    </cfRule>
  </conditionalFormatting>
  <conditionalFormatting sqref="E210:F210">
    <cfRule type="cellIs" dxfId="577" priority="320" operator="notEqual">
      <formula>$A210</formula>
    </cfRule>
  </conditionalFormatting>
  <conditionalFormatting sqref="E212">
    <cfRule type="cellIs" dxfId="576" priority="319" operator="notEqual">
      <formula>$A212</formula>
    </cfRule>
  </conditionalFormatting>
  <conditionalFormatting sqref="F212">
    <cfRule type="cellIs" dxfId="575" priority="318" operator="notEqual">
      <formula>$A212</formula>
    </cfRule>
  </conditionalFormatting>
  <conditionalFormatting sqref="G224:G226">
    <cfRule type="cellIs" dxfId="574" priority="317" operator="notEqual">
      <formula>$A224</formula>
    </cfRule>
  </conditionalFormatting>
  <conditionalFormatting sqref="G225">
    <cfRule type="cellIs" dxfId="573" priority="316" operator="notEqual">
      <formula>$A225</formula>
    </cfRule>
  </conditionalFormatting>
  <conditionalFormatting sqref="G226">
    <cfRule type="cellIs" dxfId="572" priority="315" operator="notEqual">
      <formula>$A226</formula>
    </cfRule>
  </conditionalFormatting>
  <conditionalFormatting sqref="G228">
    <cfRule type="cellIs" dxfId="571" priority="314" operator="equal">
      <formula>""</formula>
    </cfRule>
  </conditionalFormatting>
  <conditionalFormatting sqref="E225">
    <cfRule type="cellIs" dxfId="570" priority="313" operator="notEqual">
      <formula>$A225</formula>
    </cfRule>
  </conditionalFormatting>
  <conditionalFormatting sqref="F225">
    <cfRule type="cellIs" dxfId="569" priority="312" operator="notEqual">
      <formula>$A225</formula>
    </cfRule>
  </conditionalFormatting>
  <conditionalFormatting sqref="E224">
    <cfRule type="cellIs" dxfId="568" priority="311" operator="notEqual">
      <formula>$A224</formula>
    </cfRule>
  </conditionalFormatting>
  <conditionalFormatting sqref="F224">
    <cfRule type="cellIs" dxfId="567" priority="310" operator="notEqual">
      <formula>$A224</formula>
    </cfRule>
  </conditionalFormatting>
  <conditionalFormatting sqref="E224:F224">
    <cfRule type="cellIs" dxfId="566" priority="309" operator="notEqual">
      <formula>$A224</formula>
    </cfRule>
  </conditionalFormatting>
  <conditionalFormatting sqref="E226">
    <cfRule type="cellIs" dxfId="565" priority="308" operator="notEqual">
      <formula>$A226</formula>
    </cfRule>
  </conditionalFormatting>
  <conditionalFormatting sqref="F226">
    <cfRule type="cellIs" dxfId="564" priority="307" operator="notEqual">
      <formula>$A226</formula>
    </cfRule>
  </conditionalFormatting>
  <conditionalFormatting sqref="G182:G184">
    <cfRule type="cellIs" dxfId="563" priority="306" operator="notEqual">
      <formula>$A182</formula>
    </cfRule>
  </conditionalFormatting>
  <conditionalFormatting sqref="G183">
    <cfRule type="cellIs" dxfId="562" priority="305" operator="notEqual">
      <formula>$A183</formula>
    </cfRule>
  </conditionalFormatting>
  <conditionalFormatting sqref="G184">
    <cfRule type="cellIs" dxfId="561" priority="304" operator="notEqual">
      <formula>$A184</formula>
    </cfRule>
  </conditionalFormatting>
  <conditionalFormatting sqref="G186">
    <cfRule type="cellIs" dxfId="560" priority="303" operator="equal">
      <formula>""</formula>
    </cfRule>
  </conditionalFormatting>
  <conditionalFormatting sqref="E183">
    <cfRule type="cellIs" dxfId="559" priority="302" operator="notEqual">
      <formula>$A183</formula>
    </cfRule>
  </conditionalFormatting>
  <conditionalFormatting sqref="F183">
    <cfRule type="cellIs" dxfId="558" priority="301" operator="notEqual">
      <formula>$A183</formula>
    </cfRule>
  </conditionalFormatting>
  <conditionalFormatting sqref="E182">
    <cfRule type="cellIs" dxfId="557" priority="300" operator="notEqual">
      <formula>$A182</formula>
    </cfRule>
  </conditionalFormatting>
  <conditionalFormatting sqref="F182">
    <cfRule type="cellIs" dxfId="556" priority="299" operator="notEqual">
      <formula>$A182</formula>
    </cfRule>
  </conditionalFormatting>
  <conditionalFormatting sqref="E182:F182">
    <cfRule type="cellIs" dxfId="555" priority="298" operator="notEqual">
      <formula>$A182</formula>
    </cfRule>
  </conditionalFormatting>
  <conditionalFormatting sqref="E184">
    <cfRule type="cellIs" dxfId="554" priority="297" operator="notEqual">
      <formula>$A184</formula>
    </cfRule>
  </conditionalFormatting>
  <conditionalFormatting sqref="F184">
    <cfRule type="cellIs" dxfId="553" priority="296" operator="notEqual">
      <formula>$A184</formula>
    </cfRule>
  </conditionalFormatting>
  <conditionalFormatting sqref="G196:G198">
    <cfRule type="cellIs" dxfId="552" priority="295" operator="notEqual">
      <formula>$A196</formula>
    </cfRule>
  </conditionalFormatting>
  <conditionalFormatting sqref="G197">
    <cfRule type="cellIs" dxfId="551" priority="294" operator="notEqual">
      <formula>$A197</formula>
    </cfRule>
  </conditionalFormatting>
  <conditionalFormatting sqref="G198">
    <cfRule type="cellIs" dxfId="550" priority="293" operator="notEqual">
      <formula>$A198</formula>
    </cfRule>
  </conditionalFormatting>
  <conditionalFormatting sqref="G200">
    <cfRule type="cellIs" dxfId="549" priority="292" operator="equal">
      <formula>""</formula>
    </cfRule>
  </conditionalFormatting>
  <conditionalFormatting sqref="E197">
    <cfRule type="cellIs" dxfId="548" priority="291" operator="notEqual">
      <formula>$A197</formula>
    </cfRule>
  </conditionalFormatting>
  <conditionalFormatting sqref="F197">
    <cfRule type="cellIs" dxfId="547" priority="290" operator="notEqual">
      <formula>$A197</formula>
    </cfRule>
  </conditionalFormatting>
  <conditionalFormatting sqref="E196">
    <cfRule type="cellIs" dxfId="546" priority="289" operator="notEqual">
      <formula>$A196</formula>
    </cfRule>
  </conditionalFormatting>
  <conditionalFormatting sqref="F196">
    <cfRule type="cellIs" dxfId="545" priority="288" operator="notEqual">
      <formula>$A196</formula>
    </cfRule>
  </conditionalFormatting>
  <conditionalFormatting sqref="E196:F196">
    <cfRule type="cellIs" dxfId="544" priority="287" operator="notEqual">
      <formula>$A196</formula>
    </cfRule>
  </conditionalFormatting>
  <conditionalFormatting sqref="E198">
    <cfRule type="cellIs" dxfId="543" priority="286" operator="notEqual">
      <formula>$A198</formula>
    </cfRule>
  </conditionalFormatting>
  <conditionalFormatting sqref="F198">
    <cfRule type="cellIs" dxfId="542" priority="285" operator="notEqual">
      <formula>$A198</formula>
    </cfRule>
  </conditionalFormatting>
  <conditionalFormatting sqref="G154:G156">
    <cfRule type="cellIs" dxfId="541" priority="284" operator="notEqual">
      <formula>$A154</formula>
    </cfRule>
  </conditionalFormatting>
  <conditionalFormatting sqref="G155">
    <cfRule type="cellIs" dxfId="540" priority="283" operator="notEqual">
      <formula>$A155</formula>
    </cfRule>
  </conditionalFormatting>
  <conditionalFormatting sqref="G156">
    <cfRule type="cellIs" dxfId="539" priority="282" operator="notEqual">
      <formula>$A156</formula>
    </cfRule>
  </conditionalFormatting>
  <conditionalFormatting sqref="E155">
    <cfRule type="cellIs" dxfId="538" priority="280" operator="notEqual">
      <formula>$A155</formula>
    </cfRule>
  </conditionalFormatting>
  <conditionalFormatting sqref="F155">
    <cfRule type="cellIs" dxfId="537" priority="279" operator="notEqual">
      <formula>$A155</formula>
    </cfRule>
  </conditionalFormatting>
  <conditionalFormatting sqref="E154">
    <cfRule type="cellIs" dxfId="536" priority="278" operator="notEqual">
      <formula>$A154</formula>
    </cfRule>
  </conditionalFormatting>
  <conditionalFormatting sqref="F154">
    <cfRule type="cellIs" dxfId="535" priority="277" operator="notEqual">
      <formula>$A154</formula>
    </cfRule>
  </conditionalFormatting>
  <conditionalFormatting sqref="E154:F154">
    <cfRule type="cellIs" dxfId="534" priority="276" operator="notEqual">
      <formula>$A154</formula>
    </cfRule>
  </conditionalFormatting>
  <conditionalFormatting sqref="E156">
    <cfRule type="cellIs" dxfId="533" priority="275" operator="notEqual">
      <formula>$A156</formula>
    </cfRule>
  </conditionalFormatting>
  <conditionalFormatting sqref="F156">
    <cfRule type="cellIs" dxfId="532" priority="274" operator="notEqual">
      <formula>$A156</formula>
    </cfRule>
  </conditionalFormatting>
  <conditionalFormatting sqref="G168:G170">
    <cfRule type="cellIs" dxfId="531" priority="273" operator="notEqual">
      <formula>$A168</formula>
    </cfRule>
  </conditionalFormatting>
  <conditionalFormatting sqref="G169">
    <cfRule type="cellIs" dxfId="530" priority="272" operator="notEqual">
      <formula>$A169</formula>
    </cfRule>
  </conditionalFormatting>
  <conditionalFormatting sqref="G170">
    <cfRule type="cellIs" dxfId="529" priority="271" operator="notEqual">
      <formula>$A170</formula>
    </cfRule>
  </conditionalFormatting>
  <conditionalFormatting sqref="E169">
    <cfRule type="cellIs" dxfId="528" priority="269" operator="notEqual">
      <formula>$A169</formula>
    </cfRule>
  </conditionalFormatting>
  <conditionalFormatting sqref="F169">
    <cfRule type="cellIs" dxfId="527" priority="268" operator="notEqual">
      <formula>$A169</formula>
    </cfRule>
  </conditionalFormatting>
  <conditionalFormatting sqref="E168">
    <cfRule type="cellIs" dxfId="526" priority="267" operator="notEqual">
      <formula>$A168</formula>
    </cfRule>
  </conditionalFormatting>
  <conditionalFormatting sqref="F168">
    <cfRule type="cellIs" dxfId="525" priority="266" operator="notEqual">
      <formula>$A168</formula>
    </cfRule>
  </conditionalFormatting>
  <conditionalFormatting sqref="E168:F168">
    <cfRule type="cellIs" dxfId="524" priority="265" operator="notEqual">
      <formula>$A168</formula>
    </cfRule>
  </conditionalFormatting>
  <conditionalFormatting sqref="E170">
    <cfRule type="cellIs" dxfId="523" priority="264" operator="notEqual">
      <formula>$A170</formula>
    </cfRule>
  </conditionalFormatting>
  <conditionalFormatting sqref="F170">
    <cfRule type="cellIs" dxfId="522" priority="263" operator="notEqual">
      <formula>$A170</formula>
    </cfRule>
  </conditionalFormatting>
  <conditionalFormatting sqref="G126:G128">
    <cfRule type="cellIs" dxfId="521" priority="262" operator="notEqual">
      <formula>$A126</formula>
    </cfRule>
  </conditionalFormatting>
  <conditionalFormatting sqref="G127">
    <cfRule type="cellIs" dxfId="520" priority="261" operator="notEqual">
      <formula>$A127</formula>
    </cfRule>
  </conditionalFormatting>
  <conditionalFormatting sqref="G128">
    <cfRule type="cellIs" dxfId="519" priority="260" operator="notEqual">
      <formula>$A128</formula>
    </cfRule>
  </conditionalFormatting>
  <conditionalFormatting sqref="E127">
    <cfRule type="cellIs" dxfId="518" priority="259" operator="notEqual">
      <formula>$A127</formula>
    </cfRule>
  </conditionalFormatting>
  <conditionalFormatting sqref="F127">
    <cfRule type="cellIs" dxfId="517" priority="258" operator="notEqual">
      <formula>$A127</formula>
    </cfRule>
  </conditionalFormatting>
  <conditionalFormatting sqref="E126">
    <cfRule type="cellIs" dxfId="516" priority="257" operator="notEqual">
      <formula>$A126</formula>
    </cfRule>
  </conditionalFormatting>
  <conditionalFormatting sqref="F126">
    <cfRule type="cellIs" dxfId="515" priority="256" operator="notEqual">
      <formula>$A126</formula>
    </cfRule>
  </conditionalFormatting>
  <conditionalFormatting sqref="E126:F126">
    <cfRule type="cellIs" dxfId="514" priority="255" operator="notEqual">
      <formula>$A126</formula>
    </cfRule>
  </conditionalFormatting>
  <conditionalFormatting sqref="E128">
    <cfRule type="cellIs" dxfId="513" priority="254" operator="notEqual">
      <formula>$A128</formula>
    </cfRule>
  </conditionalFormatting>
  <conditionalFormatting sqref="F128">
    <cfRule type="cellIs" dxfId="512" priority="253" operator="notEqual">
      <formula>$A128</formula>
    </cfRule>
  </conditionalFormatting>
  <conditionalFormatting sqref="G140:G142">
    <cfRule type="cellIs" dxfId="511" priority="252" operator="notEqual">
      <formula>$A140</formula>
    </cfRule>
  </conditionalFormatting>
  <conditionalFormatting sqref="G141">
    <cfRule type="cellIs" dxfId="510" priority="251" operator="notEqual">
      <formula>$A141</formula>
    </cfRule>
  </conditionalFormatting>
  <conditionalFormatting sqref="G142">
    <cfRule type="cellIs" dxfId="509" priority="250" operator="notEqual">
      <formula>$A142</formula>
    </cfRule>
  </conditionalFormatting>
  <conditionalFormatting sqref="E141">
    <cfRule type="cellIs" dxfId="508" priority="249" operator="notEqual">
      <formula>$A141</formula>
    </cfRule>
  </conditionalFormatting>
  <conditionalFormatting sqref="F141">
    <cfRule type="cellIs" dxfId="507" priority="248" operator="notEqual">
      <formula>$A141</formula>
    </cfRule>
  </conditionalFormatting>
  <conditionalFormatting sqref="E140">
    <cfRule type="cellIs" dxfId="506" priority="247" operator="notEqual">
      <formula>$A140</formula>
    </cfRule>
  </conditionalFormatting>
  <conditionalFormatting sqref="F140">
    <cfRule type="cellIs" dxfId="505" priority="246" operator="notEqual">
      <formula>$A140</formula>
    </cfRule>
  </conditionalFormatting>
  <conditionalFormatting sqref="E140:F140">
    <cfRule type="cellIs" dxfId="504" priority="245" operator="notEqual">
      <formula>$A140</formula>
    </cfRule>
  </conditionalFormatting>
  <conditionalFormatting sqref="E142">
    <cfRule type="cellIs" dxfId="503" priority="244" operator="notEqual">
      <formula>$A142</formula>
    </cfRule>
  </conditionalFormatting>
  <conditionalFormatting sqref="F142">
    <cfRule type="cellIs" dxfId="502" priority="243" operator="notEqual">
      <formula>$A142</formula>
    </cfRule>
  </conditionalFormatting>
  <conditionalFormatting sqref="G98:G100">
    <cfRule type="cellIs" dxfId="501" priority="242" operator="notEqual">
      <formula>$A98</formula>
    </cfRule>
  </conditionalFormatting>
  <conditionalFormatting sqref="G99">
    <cfRule type="cellIs" dxfId="500" priority="241" operator="notEqual">
      <formula>$A99</formula>
    </cfRule>
  </conditionalFormatting>
  <conditionalFormatting sqref="G100">
    <cfRule type="cellIs" dxfId="499" priority="240" operator="notEqual">
      <formula>$A100</formula>
    </cfRule>
  </conditionalFormatting>
  <conditionalFormatting sqref="E99">
    <cfRule type="cellIs" dxfId="498" priority="239" operator="notEqual">
      <formula>$A99</formula>
    </cfRule>
  </conditionalFormatting>
  <conditionalFormatting sqref="F99">
    <cfRule type="cellIs" dxfId="497" priority="238" operator="notEqual">
      <formula>$A99</formula>
    </cfRule>
  </conditionalFormatting>
  <conditionalFormatting sqref="E98">
    <cfRule type="cellIs" dxfId="496" priority="237" operator="notEqual">
      <formula>$A98</formula>
    </cfRule>
  </conditionalFormatting>
  <conditionalFormatting sqref="F98">
    <cfRule type="cellIs" dxfId="495" priority="236" operator="notEqual">
      <formula>$A98</formula>
    </cfRule>
  </conditionalFormatting>
  <conditionalFormatting sqref="E98:F98">
    <cfRule type="cellIs" dxfId="494" priority="235" operator="notEqual">
      <formula>$A98</formula>
    </cfRule>
  </conditionalFormatting>
  <conditionalFormatting sqref="E100">
    <cfRule type="cellIs" dxfId="493" priority="234" operator="notEqual">
      <formula>$A100</formula>
    </cfRule>
  </conditionalFormatting>
  <conditionalFormatting sqref="F100">
    <cfRule type="cellIs" dxfId="492" priority="233" operator="notEqual">
      <formula>$A100</formula>
    </cfRule>
  </conditionalFormatting>
  <conditionalFormatting sqref="G112:G114">
    <cfRule type="cellIs" dxfId="491" priority="232" operator="notEqual">
      <formula>$A112</formula>
    </cfRule>
  </conditionalFormatting>
  <conditionalFormatting sqref="G113">
    <cfRule type="cellIs" dxfId="490" priority="231" operator="notEqual">
      <formula>$A113</formula>
    </cfRule>
  </conditionalFormatting>
  <conditionalFormatting sqref="G114">
    <cfRule type="cellIs" dxfId="489" priority="230" operator="notEqual">
      <formula>$A114</formula>
    </cfRule>
  </conditionalFormatting>
  <conditionalFormatting sqref="E113">
    <cfRule type="cellIs" dxfId="488" priority="229" operator="notEqual">
      <formula>$A113</formula>
    </cfRule>
  </conditionalFormatting>
  <conditionalFormatting sqref="F113">
    <cfRule type="cellIs" dxfId="487" priority="228" operator="notEqual">
      <formula>$A113</formula>
    </cfRule>
  </conditionalFormatting>
  <conditionalFormatting sqref="E112">
    <cfRule type="cellIs" dxfId="486" priority="227" operator="notEqual">
      <formula>$A112</formula>
    </cfRule>
  </conditionalFormatting>
  <conditionalFormatting sqref="F112">
    <cfRule type="cellIs" dxfId="485" priority="226" operator="notEqual">
      <formula>$A112</formula>
    </cfRule>
  </conditionalFormatting>
  <conditionalFormatting sqref="E112:F112">
    <cfRule type="cellIs" dxfId="484" priority="225" operator="notEqual">
      <formula>$A112</formula>
    </cfRule>
  </conditionalFormatting>
  <conditionalFormatting sqref="E114">
    <cfRule type="cellIs" dxfId="483" priority="224" operator="notEqual">
      <formula>$A114</formula>
    </cfRule>
  </conditionalFormatting>
  <conditionalFormatting sqref="F114">
    <cfRule type="cellIs" dxfId="482" priority="223" operator="notEqual">
      <formula>$A114</formula>
    </cfRule>
  </conditionalFormatting>
  <conditionalFormatting sqref="G70:G72">
    <cfRule type="cellIs" dxfId="481" priority="222" operator="notEqual">
      <formula>$A70</formula>
    </cfRule>
  </conditionalFormatting>
  <conditionalFormatting sqref="G71">
    <cfRule type="cellIs" dxfId="480" priority="221" operator="notEqual">
      <formula>$A71</formula>
    </cfRule>
  </conditionalFormatting>
  <conditionalFormatting sqref="G72">
    <cfRule type="cellIs" dxfId="479" priority="220" operator="notEqual">
      <formula>$A72</formula>
    </cfRule>
  </conditionalFormatting>
  <conditionalFormatting sqref="E71">
    <cfRule type="cellIs" dxfId="478" priority="219" operator="notEqual">
      <formula>$A71</formula>
    </cfRule>
  </conditionalFormatting>
  <conditionalFormatting sqref="F71">
    <cfRule type="cellIs" dxfId="477" priority="218" operator="notEqual">
      <formula>$A71</formula>
    </cfRule>
  </conditionalFormatting>
  <conditionalFormatting sqref="E70">
    <cfRule type="cellIs" dxfId="476" priority="217" operator="notEqual">
      <formula>$A70</formula>
    </cfRule>
  </conditionalFormatting>
  <conditionalFormatting sqref="F70">
    <cfRule type="cellIs" dxfId="475" priority="216" operator="notEqual">
      <formula>$A70</formula>
    </cfRule>
  </conditionalFormatting>
  <conditionalFormatting sqref="E70:F70">
    <cfRule type="cellIs" dxfId="474" priority="215" operator="notEqual">
      <formula>$A70</formula>
    </cfRule>
  </conditionalFormatting>
  <conditionalFormatting sqref="E72">
    <cfRule type="cellIs" dxfId="473" priority="214" operator="notEqual">
      <formula>$A72</formula>
    </cfRule>
  </conditionalFormatting>
  <conditionalFormatting sqref="F72">
    <cfRule type="cellIs" dxfId="472" priority="213" operator="notEqual">
      <formula>$A72</formula>
    </cfRule>
  </conditionalFormatting>
  <conditionalFormatting sqref="G84:G86">
    <cfRule type="cellIs" dxfId="471" priority="212" operator="notEqual">
      <formula>$A84</formula>
    </cfRule>
  </conditionalFormatting>
  <conditionalFormatting sqref="G85">
    <cfRule type="cellIs" dxfId="470" priority="211" operator="notEqual">
      <formula>$A85</formula>
    </cfRule>
  </conditionalFormatting>
  <conditionalFormatting sqref="G86">
    <cfRule type="cellIs" dxfId="469" priority="210" operator="notEqual">
      <formula>$A86</formula>
    </cfRule>
  </conditionalFormatting>
  <conditionalFormatting sqref="E85">
    <cfRule type="cellIs" dxfId="468" priority="209" operator="notEqual">
      <formula>$A85</formula>
    </cfRule>
  </conditionalFormatting>
  <conditionalFormatting sqref="F85">
    <cfRule type="cellIs" dxfId="467" priority="208" operator="notEqual">
      <formula>$A85</formula>
    </cfRule>
  </conditionalFormatting>
  <conditionalFormatting sqref="E84">
    <cfRule type="cellIs" dxfId="466" priority="207" operator="notEqual">
      <formula>$A84</formula>
    </cfRule>
  </conditionalFormatting>
  <conditionalFormatting sqref="F84">
    <cfRule type="cellIs" dxfId="465" priority="206" operator="notEqual">
      <formula>$A84</formula>
    </cfRule>
  </conditionalFormatting>
  <conditionalFormatting sqref="E84:F84">
    <cfRule type="cellIs" dxfId="464" priority="205" operator="notEqual">
      <formula>$A84</formula>
    </cfRule>
  </conditionalFormatting>
  <conditionalFormatting sqref="E86">
    <cfRule type="cellIs" dxfId="463" priority="204" operator="notEqual">
      <formula>$A86</formula>
    </cfRule>
  </conditionalFormatting>
  <conditionalFormatting sqref="F86">
    <cfRule type="cellIs" dxfId="462" priority="203" operator="notEqual">
      <formula>$A86</formula>
    </cfRule>
  </conditionalFormatting>
  <conditionalFormatting sqref="G42:G44">
    <cfRule type="cellIs" dxfId="461" priority="202" operator="notEqual">
      <formula>$A42</formula>
    </cfRule>
  </conditionalFormatting>
  <conditionalFormatting sqref="G43">
    <cfRule type="cellIs" dxfId="460" priority="201" operator="notEqual">
      <formula>$A43</formula>
    </cfRule>
  </conditionalFormatting>
  <conditionalFormatting sqref="G44">
    <cfRule type="cellIs" dxfId="459" priority="200" operator="notEqual">
      <formula>$A44</formula>
    </cfRule>
  </conditionalFormatting>
  <conditionalFormatting sqref="E43">
    <cfRule type="cellIs" dxfId="458" priority="199" operator="notEqual">
      <formula>$A43</formula>
    </cfRule>
  </conditionalFormatting>
  <conditionalFormatting sqref="F43">
    <cfRule type="cellIs" dxfId="457" priority="198" operator="notEqual">
      <formula>$A43</formula>
    </cfRule>
  </conditionalFormatting>
  <conditionalFormatting sqref="E42">
    <cfRule type="cellIs" dxfId="456" priority="197" operator="notEqual">
      <formula>$A42</formula>
    </cfRule>
  </conditionalFormatting>
  <conditionalFormatting sqref="F42">
    <cfRule type="cellIs" dxfId="455" priority="196" operator="notEqual">
      <formula>$A42</formula>
    </cfRule>
  </conditionalFormatting>
  <conditionalFormatting sqref="E42:F42">
    <cfRule type="cellIs" dxfId="454" priority="195" operator="notEqual">
      <formula>$A42</formula>
    </cfRule>
  </conditionalFormatting>
  <conditionalFormatting sqref="E44">
    <cfRule type="cellIs" dxfId="453" priority="194" operator="notEqual">
      <formula>$A44</formula>
    </cfRule>
  </conditionalFormatting>
  <conditionalFormatting sqref="F44">
    <cfRule type="cellIs" dxfId="452" priority="193" operator="notEqual">
      <formula>$A44</formula>
    </cfRule>
  </conditionalFormatting>
  <conditionalFormatting sqref="G56:G58">
    <cfRule type="cellIs" dxfId="451" priority="192" operator="notEqual">
      <formula>$A56</formula>
    </cfRule>
  </conditionalFormatting>
  <conditionalFormatting sqref="G57">
    <cfRule type="cellIs" dxfId="450" priority="191" operator="notEqual">
      <formula>$A57</formula>
    </cfRule>
  </conditionalFormatting>
  <conditionalFormatting sqref="G58">
    <cfRule type="cellIs" dxfId="449" priority="190" operator="notEqual">
      <formula>$A58</formula>
    </cfRule>
  </conditionalFormatting>
  <conditionalFormatting sqref="E57">
    <cfRule type="cellIs" dxfId="448" priority="189" operator="notEqual">
      <formula>$A57</formula>
    </cfRule>
  </conditionalFormatting>
  <conditionalFormatting sqref="F57">
    <cfRule type="cellIs" dxfId="447" priority="188" operator="notEqual">
      <formula>$A57</formula>
    </cfRule>
  </conditionalFormatting>
  <conditionalFormatting sqref="E56">
    <cfRule type="cellIs" dxfId="446" priority="187" operator="notEqual">
      <formula>$A56</formula>
    </cfRule>
  </conditionalFormatting>
  <conditionalFormatting sqref="F56">
    <cfRule type="cellIs" dxfId="445" priority="186" operator="notEqual">
      <formula>$A56</formula>
    </cfRule>
  </conditionalFormatting>
  <conditionalFormatting sqref="E56:F56">
    <cfRule type="cellIs" dxfId="444" priority="185" operator="notEqual">
      <formula>$A56</formula>
    </cfRule>
  </conditionalFormatting>
  <conditionalFormatting sqref="E58">
    <cfRule type="cellIs" dxfId="443" priority="184" operator="notEqual">
      <formula>$A58</formula>
    </cfRule>
  </conditionalFormatting>
  <conditionalFormatting sqref="F58">
    <cfRule type="cellIs" dxfId="442" priority="183" operator="notEqual">
      <formula>$A58</formula>
    </cfRule>
  </conditionalFormatting>
  <conditionalFormatting sqref="G14:G16">
    <cfRule type="cellIs" dxfId="441" priority="182" operator="notEqual">
      <formula>$A14</formula>
    </cfRule>
  </conditionalFormatting>
  <conditionalFormatting sqref="G15">
    <cfRule type="cellIs" dxfId="440" priority="181" operator="notEqual">
      <formula>$A15</formula>
    </cfRule>
  </conditionalFormatting>
  <conditionalFormatting sqref="G16">
    <cfRule type="cellIs" dxfId="439" priority="180" operator="notEqual">
      <formula>$A16</formula>
    </cfRule>
  </conditionalFormatting>
  <conditionalFormatting sqref="G18">
    <cfRule type="cellIs" dxfId="438" priority="179" operator="equal">
      <formula>""</formula>
    </cfRule>
  </conditionalFormatting>
  <conditionalFormatting sqref="E15">
    <cfRule type="cellIs" dxfId="437" priority="178" operator="notEqual">
      <formula>$A15</formula>
    </cfRule>
  </conditionalFormatting>
  <conditionalFormatting sqref="F15">
    <cfRule type="cellIs" dxfId="436" priority="177" operator="notEqual">
      <formula>$A15</formula>
    </cfRule>
  </conditionalFormatting>
  <conditionalFormatting sqref="E14">
    <cfRule type="cellIs" dxfId="435" priority="176" operator="notEqual">
      <formula>$A14</formula>
    </cfRule>
  </conditionalFormatting>
  <conditionalFormatting sqref="F14">
    <cfRule type="cellIs" dxfId="434" priority="175" operator="notEqual">
      <formula>$A14</formula>
    </cfRule>
  </conditionalFormatting>
  <conditionalFormatting sqref="E14:F14">
    <cfRule type="cellIs" dxfId="433" priority="174" operator="notEqual">
      <formula>$A14</formula>
    </cfRule>
  </conditionalFormatting>
  <conditionalFormatting sqref="E16">
    <cfRule type="cellIs" dxfId="432" priority="173" operator="notEqual">
      <formula>$A16</formula>
    </cfRule>
  </conditionalFormatting>
  <conditionalFormatting sqref="F16">
    <cfRule type="cellIs" dxfId="431" priority="172" operator="notEqual">
      <formula>$A16</formula>
    </cfRule>
  </conditionalFormatting>
  <conditionalFormatting sqref="G28:G30">
    <cfRule type="cellIs" dxfId="430" priority="171" operator="notEqual">
      <formula>$A28</formula>
    </cfRule>
  </conditionalFormatting>
  <conditionalFormatting sqref="G29">
    <cfRule type="cellIs" dxfId="429" priority="170" operator="notEqual">
      <formula>$A29</formula>
    </cfRule>
  </conditionalFormatting>
  <conditionalFormatting sqref="G30">
    <cfRule type="cellIs" dxfId="428" priority="169" operator="notEqual">
      <formula>$A30</formula>
    </cfRule>
  </conditionalFormatting>
  <conditionalFormatting sqref="G32">
    <cfRule type="cellIs" dxfId="427" priority="168" operator="equal">
      <formula>""</formula>
    </cfRule>
  </conditionalFormatting>
  <conditionalFormatting sqref="E29">
    <cfRule type="cellIs" dxfId="426" priority="167" operator="notEqual">
      <formula>$A29</formula>
    </cfRule>
  </conditionalFormatting>
  <conditionalFormatting sqref="F29">
    <cfRule type="cellIs" dxfId="425" priority="166" operator="notEqual">
      <formula>$A29</formula>
    </cfRule>
  </conditionalFormatting>
  <conditionalFormatting sqref="E28">
    <cfRule type="cellIs" dxfId="424" priority="165" operator="notEqual">
      <formula>$A28</formula>
    </cfRule>
  </conditionalFormatting>
  <conditionalFormatting sqref="F28">
    <cfRule type="cellIs" dxfId="423" priority="164" operator="notEqual">
      <formula>$A28</formula>
    </cfRule>
  </conditionalFormatting>
  <conditionalFormatting sqref="E28:F28">
    <cfRule type="cellIs" dxfId="422" priority="163" operator="notEqual">
      <formula>$A28</formula>
    </cfRule>
  </conditionalFormatting>
  <conditionalFormatting sqref="E30">
    <cfRule type="cellIs" dxfId="421" priority="162" operator="notEqual">
      <formula>$A30</formula>
    </cfRule>
  </conditionalFormatting>
  <conditionalFormatting sqref="F30">
    <cfRule type="cellIs" dxfId="420" priority="161" operator="notEqual">
      <formula>$A30</formula>
    </cfRule>
  </conditionalFormatting>
  <conditionalFormatting sqref="G19">
    <cfRule type="cellIs" dxfId="419" priority="160" operator="notEqual">
      <formula>$A19</formula>
    </cfRule>
  </conditionalFormatting>
  <conditionalFormatting sqref="G19">
    <cfRule type="cellIs" dxfId="418" priority="159" operator="notEqual">
      <formula>$A19</formula>
    </cfRule>
  </conditionalFormatting>
  <conditionalFormatting sqref="E19">
    <cfRule type="cellIs" dxfId="417" priority="158" operator="notEqual">
      <formula>$A19</formula>
    </cfRule>
  </conditionalFormatting>
  <conditionalFormatting sqref="F19">
    <cfRule type="cellIs" dxfId="416" priority="157" operator="notEqual">
      <formula>$A19</formula>
    </cfRule>
  </conditionalFormatting>
  <conditionalFormatting sqref="G33">
    <cfRule type="cellIs" dxfId="415" priority="156" operator="notEqual">
      <formula>$A33</formula>
    </cfRule>
  </conditionalFormatting>
  <conditionalFormatting sqref="G33">
    <cfRule type="cellIs" dxfId="414" priority="155" operator="notEqual">
      <formula>$A33</formula>
    </cfRule>
  </conditionalFormatting>
  <conditionalFormatting sqref="E33">
    <cfRule type="cellIs" dxfId="413" priority="154" operator="notEqual">
      <formula>$A33</formula>
    </cfRule>
  </conditionalFormatting>
  <conditionalFormatting sqref="F33">
    <cfRule type="cellIs" dxfId="412" priority="153" operator="notEqual">
      <formula>$A33</formula>
    </cfRule>
  </conditionalFormatting>
  <conditionalFormatting sqref="G47">
    <cfRule type="cellIs" dxfId="411" priority="152" operator="notEqual">
      <formula>$A47</formula>
    </cfRule>
  </conditionalFormatting>
  <conditionalFormatting sqref="G47">
    <cfRule type="cellIs" dxfId="410" priority="151" operator="notEqual">
      <formula>$A47</formula>
    </cfRule>
  </conditionalFormatting>
  <conditionalFormatting sqref="E47">
    <cfRule type="cellIs" dxfId="409" priority="150" operator="notEqual">
      <formula>$A47</formula>
    </cfRule>
  </conditionalFormatting>
  <conditionalFormatting sqref="F47">
    <cfRule type="cellIs" dxfId="408" priority="149" operator="notEqual">
      <formula>$A47</formula>
    </cfRule>
  </conditionalFormatting>
  <conditionalFormatting sqref="G61">
    <cfRule type="cellIs" dxfId="407" priority="148" operator="notEqual">
      <formula>$A61</formula>
    </cfRule>
  </conditionalFormatting>
  <conditionalFormatting sqref="G61">
    <cfRule type="cellIs" dxfId="406" priority="147" operator="notEqual">
      <formula>$A61</formula>
    </cfRule>
  </conditionalFormatting>
  <conditionalFormatting sqref="E61">
    <cfRule type="cellIs" dxfId="405" priority="146" operator="notEqual">
      <formula>$A61</formula>
    </cfRule>
  </conditionalFormatting>
  <conditionalFormatting sqref="F61">
    <cfRule type="cellIs" dxfId="404" priority="145" operator="notEqual">
      <formula>$A61</formula>
    </cfRule>
  </conditionalFormatting>
  <conditionalFormatting sqref="G75">
    <cfRule type="cellIs" dxfId="403" priority="144" operator="notEqual">
      <formula>$A75</formula>
    </cfRule>
  </conditionalFormatting>
  <conditionalFormatting sqref="G75">
    <cfRule type="cellIs" dxfId="402" priority="143" operator="notEqual">
      <formula>$A75</formula>
    </cfRule>
  </conditionalFormatting>
  <conditionalFormatting sqref="E75">
    <cfRule type="cellIs" dxfId="401" priority="142" operator="notEqual">
      <formula>$A75</formula>
    </cfRule>
  </conditionalFormatting>
  <conditionalFormatting sqref="F75">
    <cfRule type="cellIs" dxfId="400" priority="141" operator="notEqual">
      <formula>$A75</formula>
    </cfRule>
  </conditionalFormatting>
  <conditionalFormatting sqref="G89">
    <cfRule type="cellIs" dxfId="399" priority="140" operator="notEqual">
      <formula>$A89</formula>
    </cfRule>
  </conditionalFormatting>
  <conditionalFormatting sqref="G89">
    <cfRule type="cellIs" dxfId="398" priority="139" operator="notEqual">
      <formula>$A89</formula>
    </cfRule>
  </conditionalFormatting>
  <conditionalFormatting sqref="E89">
    <cfRule type="cellIs" dxfId="397" priority="138" operator="notEqual">
      <formula>$A89</formula>
    </cfRule>
  </conditionalFormatting>
  <conditionalFormatting sqref="F89">
    <cfRule type="cellIs" dxfId="396" priority="137" operator="notEqual">
      <formula>$A89</formula>
    </cfRule>
  </conditionalFormatting>
  <conditionalFormatting sqref="G103">
    <cfRule type="cellIs" dxfId="395" priority="136" operator="notEqual">
      <formula>$A103</formula>
    </cfRule>
  </conditionalFormatting>
  <conditionalFormatting sqref="G103">
    <cfRule type="cellIs" dxfId="394" priority="135" operator="notEqual">
      <formula>$A103</formula>
    </cfRule>
  </conditionalFormatting>
  <conditionalFormatting sqref="E103">
    <cfRule type="cellIs" dxfId="393" priority="134" operator="notEqual">
      <formula>$A103</formula>
    </cfRule>
  </conditionalFormatting>
  <conditionalFormatting sqref="F103">
    <cfRule type="cellIs" dxfId="392" priority="133" operator="notEqual">
      <formula>$A103</formula>
    </cfRule>
  </conditionalFormatting>
  <conditionalFormatting sqref="G117">
    <cfRule type="cellIs" dxfId="391" priority="132" operator="notEqual">
      <formula>$A117</formula>
    </cfRule>
  </conditionalFormatting>
  <conditionalFormatting sqref="G117">
    <cfRule type="cellIs" dxfId="390" priority="131" operator="notEqual">
      <formula>$A117</formula>
    </cfRule>
  </conditionalFormatting>
  <conditionalFormatting sqref="E117">
    <cfRule type="cellIs" dxfId="389" priority="130" operator="notEqual">
      <formula>$A117</formula>
    </cfRule>
  </conditionalFormatting>
  <conditionalFormatting sqref="F117">
    <cfRule type="cellIs" dxfId="388" priority="129" operator="notEqual">
      <formula>$A117</formula>
    </cfRule>
  </conditionalFormatting>
  <conditionalFormatting sqref="G131">
    <cfRule type="cellIs" dxfId="387" priority="128" operator="notEqual">
      <formula>$A131</formula>
    </cfRule>
  </conditionalFormatting>
  <conditionalFormatting sqref="G131">
    <cfRule type="cellIs" dxfId="386" priority="127" operator="notEqual">
      <formula>$A131</formula>
    </cfRule>
  </conditionalFormatting>
  <conditionalFormatting sqref="E131">
    <cfRule type="cellIs" dxfId="385" priority="126" operator="notEqual">
      <formula>$A131</formula>
    </cfRule>
  </conditionalFormatting>
  <conditionalFormatting sqref="F131">
    <cfRule type="cellIs" dxfId="384" priority="125" operator="notEqual">
      <formula>$A131</formula>
    </cfRule>
  </conditionalFormatting>
  <conditionalFormatting sqref="G145">
    <cfRule type="cellIs" dxfId="383" priority="124" operator="notEqual">
      <formula>$A145</formula>
    </cfRule>
  </conditionalFormatting>
  <conditionalFormatting sqref="G145">
    <cfRule type="cellIs" dxfId="382" priority="123" operator="notEqual">
      <formula>$A145</formula>
    </cfRule>
  </conditionalFormatting>
  <conditionalFormatting sqref="E145">
    <cfRule type="cellIs" dxfId="381" priority="122" operator="notEqual">
      <formula>$A145</formula>
    </cfRule>
  </conditionalFormatting>
  <conditionalFormatting sqref="F145">
    <cfRule type="cellIs" dxfId="380" priority="121" operator="notEqual">
      <formula>$A145</formula>
    </cfRule>
  </conditionalFormatting>
  <conditionalFormatting sqref="G159">
    <cfRule type="cellIs" dxfId="379" priority="120" operator="notEqual">
      <formula>$A159</formula>
    </cfRule>
  </conditionalFormatting>
  <conditionalFormatting sqref="G159">
    <cfRule type="cellIs" dxfId="378" priority="119" operator="notEqual">
      <formula>$A159</formula>
    </cfRule>
  </conditionalFormatting>
  <conditionalFormatting sqref="E159">
    <cfRule type="cellIs" dxfId="377" priority="118" operator="notEqual">
      <formula>$A159</formula>
    </cfRule>
  </conditionalFormatting>
  <conditionalFormatting sqref="F159">
    <cfRule type="cellIs" dxfId="376" priority="117" operator="notEqual">
      <formula>$A159</formula>
    </cfRule>
  </conditionalFormatting>
  <conditionalFormatting sqref="G173">
    <cfRule type="cellIs" dxfId="375" priority="116" operator="notEqual">
      <formula>$A173</formula>
    </cfRule>
  </conditionalFormatting>
  <conditionalFormatting sqref="G173">
    <cfRule type="cellIs" dxfId="374" priority="115" operator="notEqual">
      <formula>$A173</formula>
    </cfRule>
  </conditionalFormatting>
  <conditionalFormatting sqref="E173">
    <cfRule type="cellIs" dxfId="373" priority="114" operator="notEqual">
      <formula>$A173</formula>
    </cfRule>
  </conditionalFormatting>
  <conditionalFormatting sqref="F173">
    <cfRule type="cellIs" dxfId="372" priority="113" operator="notEqual">
      <formula>$A173</formula>
    </cfRule>
  </conditionalFormatting>
  <conditionalFormatting sqref="G187">
    <cfRule type="cellIs" dxfId="371" priority="112" operator="notEqual">
      <formula>$A187</formula>
    </cfRule>
  </conditionalFormatting>
  <conditionalFormatting sqref="G187">
    <cfRule type="cellIs" dxfId="370" priority="111" operator="notEqual">
      <formula>$A187</formula>
    </cfRule>
  </conditionalFormatting>
  <conditionalFormatting sqref="E187">
    <cfRule type="cellIs" dxfId="369" priority="110" operator="notEqual">
      <formula>$A187</formula>
    </cfRule>
  </conditionalFormatting>
  <conditionalFormatting sqref="F187">
    <cfRule type="cellIs" dxfId="368" priority="109" operator="notEqual">
      <formula>$A187</formula>
    </cfRule>
  </conditionalFormatting>
  <conditionalFormatting sqref="G201">
    <cfRule type="cellIs" dxfId="367" priority="108" operator="notEqual">
      <formula>$A201</formula>
    </cfRule>
  </conditionalFormatting>
  <conditionalFormatting sqref="G201">
    <cfRule type="cellIs" dxfId="366" priority="107" operator="notEqual">
      <formula>$A201</formula>
    </cfRule>
  </conditionalFormatting>
  <conditionalFormatting sqref="E201">
    <cfRule type="cellIs" dxfId="365" priority="106" operator="notEqual">
      <formula>$A201</formula>
    </cfRule>
  </conditionalFormatting>
  <conditionalFormatting sqref="F201">
    <cfRule type="cellIs" dxfId="364" priority="105" operator="notEqual">
      <formula>$A201</formula>
    </cfRule>
  </conditionalFormatting>
  <conditionalFormatting sqref="G215">
    <cfRule type="cellIs" dxfId="363" priority="104" operator="notEqual">
      <formula>$A215</formula>
    </cfRule>
  </conditionalFormatting>
  <conditionalFormatting sqref="G215">
    <cfRule type="cellIs" dxfId="362" priority="103" operator="notEqual">
      <formula>$A215</formula>
    </cfRule>
  </conditionalFormatting>
  <conditionalFormatting sqref="E215">
    <cfRule type="cellIs" dxfId="361" priority="102" operator="notEqual">
      <formula>$A215</formula>
    </cfRule>
  </conditionalFormatting>
  <conditionalFormatting sqref="F215">
    <cfRule type="cellIs" dxfId="360" priority="101" operator="notEqual">
      <formula>$A215</formula>
    </cfRule>
  </conditionalFormatting>
  <conditionalFormatting sqref="G229">
    <cfRule type="cellIs" dxfId="359" priority="100" operator="notEqual">
      <formula>$A229</formula>
    </cfRule>
  </conditionalFormatting>
  <conditionalFormatting sqref="G229">
    <cfRule type="cellIs" dxfId="358" priority="99" operator="notEqual">
      <formula>$A229</formula>
    </cfRule>
  </conditionalFormatting>
  <conditionalFormatting sqref="E229">
    <cfRule type="cellIs" dxfId="357" priority="98" operator="notEqual">
      <formula>$A229</formula>
    </cfRule>
  </conditionalFormatting>
  <conditionalFormatting sqref="F229">
    <cfRule type="cellIs" dxfId="356" priority="97" operator="notEqual">
      <formula>$A229</formula>
    </cfRule>
  </conditionalFormatting>
  <conditionalFormatting sqref="G243">
    <cfRule type="cellIs" dxfId="355" priority="96" operator="notEqual">
      <formula>$A243</formula>
    </cfRule>
  </conditionalFormatting>
  <conditionalFormatting sqref="G243">
    <cfRule type="cellIs" dxfId="354" priority="95" operator="notEqual">
      <formula>$A243</formula>
    </cfRule>
  </conditionalFormatting>
  <conditionalFormatting sqref="E243">
    <cfRule type="cellIs" dxfId="353" priority="94" operator="notEqual">
      <formula>$A243</formula>
    </cfRule>
  </conditionalFormatting>
  <conditionalFormatting sqref="F243">
    <cfRule type="cellIs" dxfId="352" priority="93" operator="notEqual">
      <formula>$A243</formula>
    </cfRule>
  </conditionalFormatting>
  <conditionalFormatting sqref="G257">
    <cfRule type="cellIs" dxfId="351" priority="92" operator="notEqual">
      <formula>$A257</formula>
    </cfRule>
  </conditionalFormatting>
  <conditionalFormatting sqref="G257">
    <cfRule type="cellIs" dxfId="350" priority="91" operator="notEqual">
      <formula>$A257</formula>
    </cfRule>
  </conditionalFormatting>
  <conditionalFormatting sqref="E257">
    <cfRule type="cellIs" dxfId="349" priority="90" operator="notEqual">
      <formula>$A257</formula>
    </cfRule>
  </conditionalFormatting>
  <conditionalFormatting sqref="F257">
    <cfRule type="cellIs" dxfId="348" priority="89" operator="notEqual">
      <formula>$A257</formula>
    </cfRule>
  </conditionalFormatting>
  <conditionalFormatting sqref="G271">
    <cfRule type="cellIs" dxfId="347" priority="88" operator="notEqual">
      <formula>$A271</formula>
    </cfRule>
  </conditionalFormatting>
  <conditionalFormatting sqref="G271">
    <cfRule type="cellIs" dxfId="346" priority="87" operator="notEqual">
      <formula>$A271</formula>
    </cfRule>
  </conditionalFormatting>
  <conditionalFormatting sqref="E271">
    <cfRule type="cellIs" dxfId="345" priority="86" operator="notEqual">
      <formula>$A271</formula>
    </cfRule>
  </conditionalFormatting>
  <conditionalFormatting sqref="F271">
    <cfRule type="cellIs" dxfId="344" priority="85" operator="notEqual">
      <formula>$A271</formula>
    </cfRule>
  </conditionalFormatting>
  <conditionalFormatting sqref="G285">
    <cfRule type="cellIs" dxfId="343" priority="84" operator="notEqual">
      <formula>$A285</formula>
    </cfRule>
  </conditionalFormatting>
  <conditionalFormatting sqref="G285">
    <cfRule type="cellIs" dxfId="342" priority="83" operator="notEqual">
      <formula>$A285</formula>
    </cfRule>
  </conditionalFormatting>
  <conditionalFormatting sqref="E285">
    <cfRule type="cellIs" dxfId="341" priority="82" operator="notEqual">
      <formula>$A285</formula>
    </cfRule>
  </conditionalFormatting>
  <conditionalFormatting sqref="F285">
    <cfRule type="cellIs" dxfId="340" priority="81" operator="notEqual">
      <formula>$A285</formula>
    </cfRule>
  </conditionalFormatting>
  <conditionalFormatting sqref="G299">
    <cfRule type="cellIs" dxfId="339" priority="80" operator="notEqual">
      <formula>$A299</formula>
    </cfRule>
  </conditionalFormatting>
  <conditionalFormatting sqref="G299">
    <cfRule type="cellIs" dxfId="338" priority="79" operator="notEqual">
      <formula>$A299</formula>
    </cfRule>
  </conditionalFormatting>
  <conditionalFormatting sqref="E299">
    <cfRule type="cellIs" dxfId="337" priority="78" operator="notEqual">
      <formula>$A299</formula>
    </cfRule>
  </conditionalFormatting>
  <conditionalFormatting sqref="F299">
    <cfRule type="cellIs" dxfId="336" priority="77" operator="notEqual">
      <formula>$A299</formula>
    </cfRule>
  </conditionalFormatting>
  <conditionalFormatting sqref="G313">
    <cfRule type="cellIs" dxfId="335" priority="76" operator="notEqual">
      <formula>$A313</formula>
    </cfRule>
  </conditionalFormatting>
  <conditionalFormatting sqref="G313">
    <cfRule type="cellIs" dxfId="334" priority="75" operator="notEqual">
      <formula>$A313</formula>
    </cfRule>
  </conditionalFormatting>
  <conditionalFormatting sqref="E313">
    <cfRule type="cellIs" dxfId="333" priority="74" operator="notEqual">
      <formula>$A313</formula>
    </cfRule>
  </conditionalFormatting>
  <conditionalFormatting sqref="F313">
    <cfRule type="cellIs" dxfId="332" priority="73" operator="notEqual">
      <formula>$A313</formula>
    </cfRule>
  </conditionalFormatting>
  <conditionalFormatting sqref="G327">
    <cfRule type="cellIs" dxfId="331" priority="72" operator="notEqual">
      <formula>$A327</formula>
    </cfRule>
  </conditionalFormatting>
  <conditionalFormatting sqref="G327">
    <cfRule type="cellIs" dxfId="330" priority="71" operator="notEqual">
      <formula>$A327</formula>
    </cfRule>
  </conditionalFormatting>
  <conditionalFormatting sqref="E327">
    <cfRule type="cellIs" dxfId="329" priority="70" operator="notEqual">
      <formula>$A327</formula>
    </cfRule>
  </conditionalFormatting>
  <conditionalFormatting sqref="F327">
    <cfRule type="cellIs" dxfId="328" priority="69" operator="notEqual">
      <formula>$A327</formula>
    </cfRule>
  </conditionalFormatting>
  <conditionalFormatting sqref="G341">
    <cfRule type="cellIs" dxfId="327" priority="68" operator="notEqual">
      <formula>$A341</formula>
    </cfRule>
  </conditionalFormatting>
  <conditionalFormatting sqref="G341">
    <cfRule type="cellIs" dxfId="326" priority="67" operator="notEqual">
      <formula>$A341</formula>
    </cfRule>
  </conditionalFormatting>
  <conditionalFormatting sqref="E341">
    <cfRule type="cellIs" dxfId="325" priority="66" operator="notEqual">
      <formula>$A341</formula>
    </cfRule>
  </conditionalFormatting>
  <conditionalFormatting sqref="F341">
    <cfRule type="cellIs" dxfId="324" priority="65" operator="notEqual">
      <formula>$A341</formula>
    </cfRule>
  </conditionalFormatting>
  <conditionalFormatting sqref="G355">
    <cfRule type="cellIs" dxfId="323" priority="64" operator="notEqual">
      <formula>$A355</formula>
    </cfRule>
  </conditionalFormatting>
  <conditionalFormatting sqref="G355">
    <cfRule type="cellIs" dxfId="322" priority="63" operator="notEqual">
      <formula>$A355</formula>
    </cfRule>
  </conditionalFormatting>
  <conditionalFormatting sqref="E355">
    <cfRule type="cellIs" dxfId="321" priority="62" operator="notEqual">
      <formula>$A355</formula>
    </cfRule>
  </conditionalFormatting>
  <conditionalFormatting sqref="F355">
    <cfRule type="cellIs" dxfId="320" priority="61" operator="notEqual">
      <formula>$A355</formula>
    </cfRule>
  </conditionalFormatting>
  <conditionalFormatting sqref="G369">
    <cfRule type="cellIs" dxfId="319" priority="60" operator="notEqual">
      <formula>$A369</formula>
    </cfRule>
  </conditionalFormatting>
  <conditionalFormatting sqref="G369">
    <cfRule type="cellIs" dxfId="318" priority="59" operator="notEqual">
      <formula>$A369</formula>
    </cfRule>
  </conditionalFormatting>
  <conditionalFormatting sqref="E369">
    <cfRule type="cellIs" dxfId="317" priority="58" operator="notEqual">
      <formula>$A369</formula>
    </cfRule>
  </conditionalFormatting>
  <conditionalFormatting sqref="F369">
    <cfRule type="cellIs" dxfId="316" priority="57" operator="notEqual">
      <formula>$A369</formula>
    </cfRule>
  </conditionalFormatting>
  <conditionalFormatting sqref="G383">
    <cfRule type="cellIs" dxfId="315" priority="56" operator="notEqual">
      <formula>$A383</formula>
    </cfRule>
  </conditionalFormatting>
  <conditionalFormatting sqref="G383">
    <cfRule type="cellIs" dxfId="314" priority="55" operator="notEqual">
      <formula>$A383</formula>
    </cfRule>
  </conditionalFormatting>
  <conditionalFormatting sqref="E383">
    <cfRule type="cellIs" dxfId="313" priority="54" operator="notEqual">
      <formula>$A383</formula>
    </cfRule>
  </conditionalFormatting>
  <conditionalFormatting sqref="F383">
    <cfRule type="cellIs" dxfId="312" priority="53" operator="notEqual">
      <formula>$A383</formula>
    </cfRule>
  </conditionalFormatting>
  <conditionalFormatting sqref="G397">
    <cfRule type="cellIs" dxfId="311" priority="52" operator="notEqual">
      <formula>$A397</formula>
    </cfRule>
  </conditionalFormatting>
  <conditionalFormatting sqref="G397">
    <cfRule type="cellIs" dxfId="310" priority="51" operator="notEqual">
      <formula>$A397</formula>
    </cfRule>
  </conditionalFormatting>
  <conditionalFormatting sqref="E397">
    <cfRule type="cellIs" dxfId="309" priority="50" operator="notEqual">
      <formula>$A397</formula>
    </cfRule>
  </conditionalFormatting>
  <conditionalFormatting sqref="F397">
    <cfRule type="cellIs" dxfId="308" priority="49" operator="notEqual">
      <formula>$A397</formula>
    </cfRule>
  </conditionalFormatting>
  <conditionalFormatting sqref="G411">
    <cfRule type="cellIs" dxfId="307" priority="48" operator="notEqual">
      <formula>$A411</formula>
    </cfRule>
  </conditionalFormatting>
  <conditionalFormatting sqref="G411">
    <cfRule type="cellIs" dxfId="306" priority="47" operator="notEqual">
      <formula>$A411</formula>
    </cfRule>
  </conditionalFormatting>
  <conditionalFormatting sqref="E411">
    <cfRule type="cellIs" dxfId="305" priority="46" operator="notEqual">
      <formula>$A411</formula>
    </cfRule>
  </conditionalFormatting>
  <conditionalFormatting sqref="F411">
    <cfRule type="cellIs" dxfId="304" priority="45" operator="notEqual">
      <formula>$A411</formula>
    </cfRule>
  </conditionalFormatting>
  <conditionalFormatting sqref="G425">
    <cfRule type="cellIs" dxfId="303" priority="44" operator="notEqual">
      <formula>$A425</formula>
    </cfRule>
  </conditionalFormatting>
  <conditionalFormatting sqref="G425">
    <cfRule type="cellIs" dxfId="302" priority="43" operator="notEqual">
      <formula>$A425</formula>
    </cfRule>
  </conditionalFormatting>
  <conditionalFormatting sqref="E425">
    <cfRule type="cellIs" dxfId="301" priority="42" operator="notEqual">
      <formula>$A425</formula>
    </cfRule>
  </conditionalFormatting>
  <conditionalFormatting sqref="F425">
    <cfRule type="cellIs" dxfId="300" priority="41" operator="notEqual">
      <formula>$A425</formula>
    </cfRule>
  </conditionalFormatting>
  <conditionalFormatting sqref="G439">
    <cfRule type="cellIs" dxfId="299" priority="40" operator="notEqual">
      <formula>$A439</formula>
    </cfRule>
  </conditionalFormatting>
  <conditionalFormatting sqref="G439">
    <cfRule type="cellIs" dxfId="298" priority="39" operator="notEqual">
      <formula>$A439</formula>
    </cfRule>
  </conditionalFormatting>
  <conditionalFormatting sqref="E439">
    <cfRule type="cellIs" dxfId="297" priority="38" operator="notEqual">
      <formula>$A439</formula>
    </cfRule>
  </conditionalFormatting>
  <conditionalFormatting sqref="F439">
    <cfRule type="cellIs" dxfId="296" priority="37" operator="notEqual">
      <formula>$A439</formula>
    </cfRule>
  </conditionalFormatting>
  <conditionalFormatting sqref="G453">
    <cfRule type="cellIs" dxfId="295" priority="36" operator="notEqual">
      <formula>$A453</formula>
    </cfRule>
  </conditionalFormatting>
  <conditionalFormatting sqref="G453">
    <cfRule type="cellIs" dxfId="294" priority="35" operator="notEqual">
      <formula>$A453</formula>
    </cfRule>
  </conditionalFormatting>
  <conditionalFormatting sqref="E453">
    <cfRule type="cellIs" dxfId="293" priority="34" operator="notEqual">
      <formula>$A453</formula>
    </cfRule>
  </conditionalFormatting>
  <conditionalFormatting sqref="F453">
    <cfRule type="cellIs" dxfId="292" priority="33" operator="notEqual">
      <formula>$A453</formula>
    </cfRule>
  </conditionalFormatting>
  <conditionalFormatting sqref="G467">
    <cfRule type="cellIs" dxfId="291" priority="32" operator="notEqual">
      <formula>$A467</formula>
    </cfRule>
  </conditionalFormatting>
  <conditionalFormatting sqref="G467">
    <cfRule type="cellIs" dxfId="290" priority="31" operator="notEqual">
      <formula>$A467</formula>
    </cfRule>
  </conditionalFormatting>
  <conditionalFormatting sqref="E467">
    <cfRule type="cellIs" dxfId="289" priority="30" operator="notEqual">
      <formula>$A467</formula>
    </cfRule>
  </conditionalFormatting>
  <conditionalFormatting sqref="F467">
    <cfRule type="cellIs" dxfId="288" priority="29" operator="notEqual">
      <formula>$A467</formula>
    </cfRule>
  </conditionalFormatting>
  <conditionalFormatting sqref="G481">
    <cfRule type="cellIs" dxfId="287" priority="28" operator="notEqual">
      <formula>$A481</formula>
    </cfRule>
  </conditionalFormatting>
  <conditionalFormatting sqref="G481">
    <cfRule type="cellIs" dxfId="286" priority="27" operator="notEqual">
      <formula>$A481</formula>
    </cfRule>
  </conditionalFormatting>
  <conditionalFormatting sqref="E481">
    <cfRule type="cellIs" dxfId="285" priority="26" operator="notEqual">
      <formula>$A481</formula>
    </cfRule>
  </conditionalFormatting>
  <conditionalFormatting sqref="F481">
    <cfRule type="cellIs" dxfId="284" priority="25" operator="notEqual">
      <formula>$A481</formula>
    </cfRule>
  </conditionalFormatting>
  <conditionalFormatting sqref="G495">
    <cfRule type="cellIs" dxfId="283" priority="24" operator="notEqual">
      <formula>$A495</formula>
    </cfRule>
  </conditionalFormatting>
  <conditionalFormatting sqref="G495">
    <cfRule type="cellIs" dxfId="282" priority="23" operator="notEqual">
      <formula>$A495</formula>
    </cfRule>
  </conditionalFormatting>
  <conditionalFormatting sqref="E495">
    <cfRule type="cellIs" dxfId="281" priority="22" operator="notEqual">
      <formula>$A495</formula>
    </cfRule>
  </conditionalFormatting>
  <conditionalFormatting sqref="F495">
    <cfRule type="cellIs" dxfId="280" priority="21" operator="notEqual">
      <formula>$A495</formula>
    </cfRule>
  </conditionalFormatting>
  <conditionalFormatting sqref="G509">
    <cfRule type="cellIs" dxfId="279" priority="20" operator="notEqual">
      <formula>$A509</formula>
    </cfRule>
  </conditionalFormatting>
  <conditionalFormatting sqref="G509">
    <cfRule type="cellIs" dxfId="278" priority="19" operator="notEqual">
      <formula>$A509</formula>
    </cfRule>
  </conditionalFormatting>
  <conditionalFormatting sqref="E509">
    <cfRule type="cellIs" dxfId="277" priority="18" operator="notEqual">
      <formula>$A509</formula>
    </cfRule>
  </conditionalFormatting>
  <conditionalFormatting sqref="F509">
    <cfRule type="cellIs" dxfId="276" priority="17" operator="notEqual">
      <formula>$A509</formula>
    </cfRule>
  </conditionalFormatting>
  <conditionalFormatting sqref="G523">
    <cfRule type="cellIs" dxfId="275" priority="16" operator="notEqual">
      <formula>$A523</formula>
    </cfRule>
  </conditionalFormatting>
  <conditionalFormatting sqref="G523">
    <cfRule type="cellIs" dxfId="274" priority="15" operator="notEqual">
      <formula>$A523</formula>
    </cfRule>
  </conditionalFormatting>
  <conditionalFormatting sqref="E523">
    <cfRule type="cellIs" dxfId="273" priority="14" operator="notEqual">
      <formula>$A523</formula>
    </cfRule>
  </conditionalFormatting>
  <conditionalFormatting sqref="F523">
    <cfRule type="cellIs" dxfId="272" priority="13" operator="notEqual">
      <formula>$A523</formula>
    </cfRule>
  </conditionalFormatting>
  <conditionalFormatting sqref="G537">
    <cfRule type="cellIs" dxfId="271" priority="12" operator="notEqual">
      <formula>$A537</formula>
    </cfRule>
  </conditionalFormatting>
  <conditionalFormatting sqref="G537">
    <cfRule type="cellIs" dxfId="270" priority="11" operator="notEqual">
      <formula>$A537</formula>
    </cfRule>
  </conditionalFormatting>
  <conditionalFormatting sqref="E537">
    <cfRule type="cellIs" dxfId="269" priority="10" operator="notEqual">
      <formula>$A537</formula>
    </cfRule>
  </conditionalFormatting>
  <conditionalFormatting sqref="F537">
    <cfRule type="cellIs" dxfId="268" priority="9" operator="notEqual">
      <formula>$A537</formula>
    </cfRule>
  </conditionalFormatting>
  <conditionalFormatting sqref="G551">
    <cfRule type="cellIs" dxfId="267" priority="8" operator="notEqual">
      <formula>$A551</formula>
    </cfRule>
  </conditionalFormatting>
  <conditionalFormatting sqref="G551">
    <cfRule type="cellIs" dxfId="266" priority="7" operator="notEqual">
      <formula>$A551</formula>
    </cfRule>
  </conditionalFormatting>
  <conditionalFormatting sqref="E551">
    <cfRule type="cellIs" dxfId="265" priority="6" operator="notEqual">
      <formula>$A551</formula>
    </cfRule>
  </conditionalFormatting>
  <conditionalFormatting sqref="F551">
    <cfRule type="cellIs" dxfId="264" priority="5" operator="notEqual">
      <formula>$A551</formula>
    </cfRule>
  </conditionalFormatting>
  <conditionalFormatting sqref="G565">
    <cfRule type="cellIs" dxfId="263" priority="4" operator="notEqual">
      <formula>$A565</formula>
    </cfRule>
  </conditionalFormatting>
  <conditionalFormatting sqref="G565">
    <cfRule type="cellIs" dxfId="262" priority="3" operator="notEqual">
      <formula>$A565</formula>
    </cfRule>
  </conditionalFormatting>
  <conditionalFormatting sqref="E565">
    <cfRule type="cellIs" dxfId="261" priority="2" operator="notEqual">
      <formula>$A565</formula>
    </cfRule>
  </conditionalFormatting>
  <conditionalFormatting sqref="F565">
    <cfRule type="cellIs" dxfId="260" priority="1" operator="notEqual">
      <formula>$A565</formula>
    </cfRule>
  </conditionalFormatting>
  <dataValidations disablePrompts="1" count="4">
    <dataValidation type="list" allowBlank="1" showInputMessage="1" showErrorMessage="1" sqref="E550:G550 E564:G564" xr:uid="{00000000-0002-0000-0800-000000000000}">
      <formula1>"NoDyn,NoGLB_Plan2019,NoGLB_2018Q3,Beta_NonAdvisory,Beta_Advisory,Beta_Genesis,ArcTan_NonAdvisory,ArcTan_Advisory,ArcTan_Genesis"</formula1>
    </dataValidation>
    <dataValidation allowBlank="1" showErrorMessage="1" sqref="C548 C562" xr:uid="{00000000-0002-0000-0800-000001000000}"/>
    <dataValidation type="list" allowBlank="1" showInputMessage="1" showErrorMessage="1" sqref="E546:G546 E560:G560" xr:uid="{00000000-0002-0000-0800-000002000000}">
      <formula1>"None, Spousal 2018, Spousal 2019"</formula1>
    </dataValidation>
    <dataValidation type="list" allowBlank="1" showErrorMessage="1" sqref="E548:G548 E562:G562" xr:uid="{00000000-0002-0000-0800-000003000000}">
      <formula1>"No,Yes"</formula1>
    </dataValidation>
  </dataValidations>
  <hyperlinks>
    <hyperlink ref="A1" location="'Table of Contents'!A1" display="Go to TOC" xr:uid="{00000000-0004-0000-0800-000000000000}"/>
  </hyperlinks>
  <pageMargins left="0.7" right="0.7" top="0.75" bottom="0.75" header="0.3" footer="0.3"/>
  <pageSetup orientation="portrait" r:id="rId1"/>
  <customProperties>
    <customPr name="EpmWorksheetKeyString_GUID" r:id="rId2"/>
  </customPropertie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5"/>
  <dimension ref="A1:AC37"/>
  <sheetViews>
    <sheetView showGridLines="0" zoomScaleNormal="100" workbookViewId="0">
      <pane xSplit="3" ySplit="5" topLeftCell="D6" activePane="bottomRight" state="frozen"/>
      <selection activeCell="R14" sqref="R14"/>
      <selection pane="topRight" activeCell="R14" sqref="R14"/>
      <selection pane="bottomLeft" activeCell="R14" sqref="R14"/>
      <selection pane="bottomRight" activeCell="B15" sqref="B15"/>
    </sheetView>
  </sheetViews>
  <sheetFormatPr defaultColWidth="15.54296875" defaultRowHeight="12.75" customHeight="1"/>
  <cols>
    <col min="1" max="1" width="15.54296875" customWidth="1"/>
    <col min="2" max="2" width="21.81640625" customWidth="1"/>
    <col min="3" max="3" width="11" customWidth="1"/>
    <col min="4" max="4" width="12" customWidth="1"/>
    <col min="13" max="14" width="15.54296875" style="164"/>
    <col min="20" max="16384" width="15.54296875" style="27"/>
  </cols>
  <sheetData>
    <row r="1" spans="1:29" ht="15.5">
      <c r="A1" s="29" t="s">
        <v>161</v>
      </c>
      <c r="B1" s="17" t="s">
        <v>136</v>
      </c>
      <c r="C1" s="17"/>
      <c r="F1" s="164"/>
      <c r="G1" s="164"/>
      <c r="H1" s="164"/>
      <c r="I1" s="164"/>
      <c r="J1" s="164"/>
      <c r="K1" s="164"/>
      <c r="L1" s="164"/>
      <c r="O1" s="164"/>
      <c r="P1" s="164"/>
      <c r="Q1" s="164"/>
      <c r="R1" s="164"/>
      <c r="S1" s="164"/>
      <c r="T1" s="164"/>
      <c r="U1" s="18"/>
      <c r="V1"/>
      <c r="W1"/>
      <c r="X1"/>
      <c r="Y1"/>
      <c r="Z1"/>
      <c r="AA1" s="164"/>
      <c r="AB1"/>
      <c r="AC1"/>
    </row>
    <row r="2" spans="1:29" ht="12.75" customHeight="1">
      <c r="A2" s="14"/>
      <c r="B2" s="14"/>
      <c r="F2" s="164"/>
      <c r="G2" s="164"/>
      <c r="H2" s="164"/>
      <c r="I2" s="164"/>
      <c r="J2" s="164"/>
      <c r="K2" s="164"/>
      <c r="L2" s="164"/>
      <c r="O2" s="164"/>
      <c r="P2" s="164"/>
      <c r="Q2" s="164"/>
      <c r="R2" s="164"/>
      <c r="S2" s="164"/>
      <c r="T2" s="164"/>
      <c r="U2"/>
      <c r="V2"/>
      <c r="W2"/>
      <c r="X2"/>
      <c r="Y2"/>
      <c r="Z2"/>
      <c r="AA2" s="164"/>
      <c r="AB2"/>
      <c r="AC2"/>
    </row>
    <row r="3" spans="1:29" ht="12.75" customHeight="1">
      <c r="B3" s="18" t="str">
        <f ca="1">GetNameRange(B5)</f>
        <v>FIAMort</v>
      </c>
      <c r="F3" s="164"/>
      <c r="G3" s="164"/>
      <c r="H3" s="164"/>
      <c r="I3" s="164"/>
      <c r="J3" s="164"/>
      <c r="K3" s="164"/>
      <c r="L3" s="164"/>
      <c r="O3" s="164"/>
      <c r="P3" s="164"/>
      <c r="Q3" s="164"/>
      <c r="R3" s="164"/>
      <c r="S3" s="164"/>
      <c r="T3" s="164"/>
      <c r="U3"/>
      <c r="V3"/>
      <c r="W3"/>
      <c r="X3"/>
      <c r="Y3"/>
      <c r="Z3"/>
      <c r="AA3" s="164"/>
      <c r="AB3"/>
      <c r="AC3"/>
    </row>
    <row r="4" spans="1:29" s="155" customFormat="1" ht="12.75" customHeight="1">
      <c r="A4" s="566"/>
      <c r="B4" s="567"/>
      <c r="C4" s="567" t="s">
        <v>47</v>
      </c>
      <c r="D4" s="568" t="str">
        <f>Product!D$4</f>
        <v>Value</v>
      </c>
      <c r="E4" s="569" t="s">
        <v>642</v>
      </c>
      <c r="F4" s="569" t="s">
        <v>643</v>
      </c>
      <c r="G4" s="570" t="str">
        <f>Product!G$4</f>
        <v>RILA_1</v>
      </c>
    </row>
    <row r="5" spans="1:29" ht="12.75" customHeight="1" thickBot="1">
      <c r="A5" s="571"/>
      <c r="B5" s="84" t="s">
        <v>29</v>
      </c>
      <c r="C5" s="78"/>
      <c r="D5" s="78"/>
      <c r="E5" s="85"/>
      <c r="F5" s="85"/>
      <c r="G5" s="572"/>
      <c r="H5" s="25"/>
      <c r="I5" s="25"/>
      <c r="J5" s="27"/>
      <c r="K5" s="27"/>
      <c r="L5" s="27"/>
      <c r="M5" s="27"/>
      <c r="N5" s="27"/>
      <c r="O5" s="27"/>
      <c r="P5" s="27"/>
      <c r="Q5" s="27"/>
      <c r="R5" s="27"/>
      <c r="S5" s="27"/>
    </row>
    <row r="6" spans="1:29" ht="12.75" customHeight="1">
      <c r="A6" s="573"/>
      <c r="B6" s="19"/>
      <c r="C6" s="165"/>
      <c r="D6" s="165"/>
      <c r="E6" s="166"/>
      <c r="F6" s="166"/>
      <c r="G6" s="574"/>
      <c r="H6" s="25"/>
      <c r="I6" s="25"/>
      <c r="J6" s="27"/>
      <c r="K6" s="27"/>
      <c r="L6" s="27"/>
      <c r="M6" s="27"/>
      <c r="N6" s="27"/>
      <c r="O6" s="27"/>
      <c r="P6" s="27"/>
      <c r="Q6" s="27"/>
      <c r="R6" s="27"/>
      <c r="S6" s="27"/>
    </row>
    <row r="7" spans="1:29" ht="12.75" customHeight="1">
      <c r="A7" s="575">
        <v>1</v>
      </c>
      <c r="B7" s="162" t="s">
        <v>137</v>
      </c>
      <c r="C7" s="162"/>
      <c r="D7" s="160"/>
      <c r="E7" s="31" t="s">
        <v>164</v>
      </c>
      <c r="F7" s="31" t="s">
        <v>164</v>
      </c>
      <c r="G7" s="576" t="s">
        <v>164</v>
      </c>
      <c r="H7" s="25"/>
      <c r="I7" s="25"/>
      <c r="J7" s="27"/>
      <c r="K7" s="27"/>
      <c r="L7" s="27"/>
      <c r="M7" s="27"/>
      <c r="N7" s="27"/>
      <c r="O7" s="27"/>
      <c r="P7" s="27"/>
      <c r="Q7" s="27"/>
      <c r="R7" s="27"/>
      <c r="S7" s="27"/>
    </row>
    <row r="8" spans="1:29" ht="12.75" customHeight="1">
      <c r="A8" s="577" t="s">
        <v>176</v>
      </c>
      <c r="B8" s="81" t="s">
        <v>178</v>
      </c>
      <c r="C8" s="81"/>
      <c r="D8" s="160"/>
      <c r="E8" s="31" t="s">
        <v>184</v>
      </c>
      <c r="F8" s="31" t="s">
        <v>184</v>
      </c>
      <c r="G8" s="576" t="s">
        <v>184</v>
      </c>
      <c r="H8" s="25"/>
      <c r="I8" s="25"/>
      <c r="J8" s="27"/>
      <c r="K8" s="27"/>
      <c r="L8" s="27"/>
      <c r="M8" s="27"/>
      <c r="N8" s="27"/>
      <c r="O8" s="27"/>
      <c r="P8" s="27"/>
      <c r="Q8" s="27"/>
      <c r="R8" s="27"/>
      <c r="S8" s="27"/>
    </row>
    <row r="9" spans="1:29" ht="12.75" customHeight="1">
      <c r="A9" s="577" t="s">
        <v>180</v>
      </c>
      <c r="B9" s="81" t="s">
        <v>179</v>
      </c>
      <c r="C9" s="81"/>
      <c r="D9" s="160"/>
      <c r="E9" s="31" t="s">
        <v>184</v>
      </c>
      <c r="F9" s="31" t="s">
        <v>184</v>
      </c>
      <c r="G9" s="576" t="s">
        <v>184</v>
      </c>
      <c r="H9" s="25"/>
      <c r="I9" s="25"/>
      <c r="J9" s="27"/>
      <c r="K9" s="27"/>
      <c r="L9" s="27"/>
      <c r="M9" s="27"/>
      <c r="N9" s="27"/>
      <c r="O9" s="27"/>
      <c r="P9" s="27"/>
      <c r="Q9" s="27"/>
      <c r="R9" s="27"/>
      <c r="S9" s="27"/>
    </row>
    <row r="10" spans="1:29" ht="12.75" customHeight="1">
      <c r="A10" s="578">
        <v>0</v>
      </c>
      <c r="B10" s="162" t="s">
        <v>138</v>
      </c>
      <c r="C10" s="162"/>
      <c r="D10" s="160"/>
      <c r="E10" s="31" t="s">
        <v>186</v>
      </c>
      <c r="F10" s="31" t="s">
        <v>186</v>
      </c>
      <c r="G10" s="576" t="s">
        <v>186</v>
      </c>
      <c r="H10" s="25"/>
      <c r="I10" s="25"/>
      <c r="J10" s="27"/>
      <c r="K10" s="27"/>
      <c r="L10" s="27"/>
      <c r="M10" s="27"/>
      <c r="N10" s="27"/>
      <c r="O10" s="27"/>
      <c r="P10" s="27"/>
      <c r="Q10" s="27"/>
      <c r="R10" s="27"/>
      <c r="S10" s="27"/>
    </row>
    <row r="11" spans="1:29" ht="12.75" customHeight="1">
      <c r="A11" s="577">
        <v>9999</v>
      </c>
      <c r="B11" s="596" t="s">
        <v>139</v>
      </c>
      <c r="C11" s="162"/>
      <c r="D11" s="160"/>
      <c r="E11" s="31">
        <v>2018</v>
      </c>
      <c r="F11" s="31">
        <v>2018</v>
      </c>
      <c r="G11" s="576">
        <v>2018</v>
      </c>
      <c r="H11" s="25"/>
      <c r="I11" s="25"/>
      <c r="J11" s="27"/>
      <c r="K11" s="27"/>
      <c r="L11" s="27"/>
      <c r="M11" s="27"/>
      <c r="N11" s="27"/>
      <c r="O11" s="27"/>
      <c r="P11" s="27"/>
      <c r="Q11" s="27"/>
      <c r="R11" s="27"/>
      <c r="S11" s="27"/>
    </row>
    <row r="12" spans="1:29" ht="12.75" customHeight="1">
      <c r="A12" s="579">
        <v>0</v>
      </c>
      <c r="B12" s="162" t="s">
        <v>140</v>
      </c>
      <c r="C12" s="162"/>
      <c r="D12" s="160"/>
      <c r="E12" s="161">
        <v>0</v>
      </c>
      <c r="F12" s="161">
        <v>0</v>
      </c>
      <c r="G12" s="580">
        <v>0</v>
      </c>
      <c r="H12" s="25"/>
      <c r="I12" s="25"/>
      <c r="J12" s="27"/>
      <c r="K12" s="27"/>
      <c r="L12" s="27"/>
      <c r="M12" s="27"/>
      <c r="N12" s="27"/>
      <c r="O12" s="27"/>
      <c r="P12" s="27"/>
      <c r="Q12" s="27"/>
      <c r="R12" s="27"/>
      <c r="S12" s="27"/>
    </row>
    <row r="13" spans="1:29" ht="12.75" customHeight="1">
      <c r="A13" s="575">
        <v>0</v>
      </c>
      <c r="B13" s="162" t="s">
        <v>141</v>
      </c>
      <c r="C13" s="162"/>
      <c r="D13" s="160"/>
      <c r="E13" s="51" t="s">
        <v>185</v>
      </c>
      <c r="F13" s="51" t="s">
        <v>185</v>
      </c>
      <c r="G13" s="581" t="s">
        <v>185</v>
      </c>
      <c r="H13" s="25"/>
      <c r="I13" s="25"/>
      <c r="J13" s="27"/>
      <c r="K13" s="27"/>
      <c r="L13" s="27"/>
      <c r="M13" s="27"/>
      <c r="N13" s="27"/>
      <c r="O13" s="27"/>
      <c r="P13" s="27"/>
      <c r="Q13" s="27"/>
      <c r="R13" s="27"/>
      <c r="S13" s="27"/>
    </row>
    <row r="14" spans="1:29" ht="12.75" customHeight="1">
      <c r="A14" s="575">
        <v>1</v>
      </c>
      <c r="B14" s="162" t="s">
        <v>142</v>
      </c>
      <c r="C14" s="162"/>
      <c r="D14" s="160"/>
      <c r="E14" s="51" t="s">
        <v>185</v>
      </c>
      <c r="F14" s="51" t="s">
        <v>185</v>
      </c>
      <c r="G14" s="581" t="s">
        <v>185</v>
      </c>
      <c r="H14" s="25"/>
      <c r="I14" s="25"/>
      <c r="J14" s="27"/>
      <c r="K14" s="27"/>
      <c r="L14" s="27"/>
      <c r="M14" s="27"/>
      <c r="N14" s="27"/>
      <c r="O14" s="27"/>
      <c r="P14" s="27"/>
      <c r="Q14" s="27"/>
      <c r="R14" s="27"/>
      <c r="S14" s="27"/>
    </row>
    <row r="15" spans="1:29" ht="12.75" customHeight="1">
      <c r="A15" s="582">
        <v>1</v>
      </c>
      <c r="B15" s="583" t="s">
        <v>724</v>
      </c>
      <c r="C15" s="583"/>
      <c r="D15" s="584"/>
      <c r="E15" s="585">
        <v>1</v>
      </c>
      <c r="F15" s="585">
        <v>1</v>
      </c>
      <c r="G15" s="586">
        <v>1.06</v>
      </c>
      <c r="H15" s="25"/>
      <c r="I15" s="25"/>
      <c r="J15" s="27"/>
      <c r="K15" s="27"/>
      <c r="L15" s="27"/>
      <c r="M15" s="27"/>
      <c r="N15" s="27"/>
      <c r="O15" s="27"/>
      <c r="P15" s="27"/>
      <c r="Q15" s="27"/>
      <c r="R15" s="27"/>
      <c r="S15" s="27"/>
    </row>
    <row r="17" spans="1:29" ht="12.75" customHeight="1">
      <c r="A17" s="42"/>
      <c r="F17" s="164"/>
      <c r="G17" s="164"/>
      <c r="H17" s="164"/>
      <c r="I17" s="164"/>
      <c r="J17" s="164"/>
      <c r="K17" s="164"/>
      <c r="L17" s="164"/>
      <c r="O17" s="164"/>
      <c r="P17" s="164"/>
      <c r="Q17" s="164"/>
      <c r="R17" s="164"/>
      <c r="S17" s="164"/>
      <c r="T17" s="164"/>
      <c r="U17"/>
      <c r="V17"/>
      <c r="W17"/>
      <c r="X17"/>
      <c r="Y17"/>
      <c r="Z17"/>
      <c r="AA17" s="164"/>
      <c r="AB17"/>
      <c r="AC17"/>
    </row>
    <row r="18" spans="1:29" ht="12.75" customHeight="1">
      <c r="A18" s="42"/>
      <c r="B18" s="9"/>
      <c r="C18" s="9"/>
    </row>
    <row r="19" spans="1:29" ht="12.75" customHeight="1">
      <c r="A19" s="43" t="s">
        <v>161</v>
      </c>
      <c r="B19" s="33" t="str">
        <f ca="1">GetNameRange(B20)</f>
        <v>MortAdjMult</v>
      </c>
      <c r="C19" s="34"/>
      <c r="E19" s="29" t="s">
        <v>161</v>
      </c>
      <c r="F19" s="33" t="str">
        <f ca="1">GetNameRange(F20)</f>
        <v>MortAdjMult110Pct</v>
      </c>
      <c r="G19" s="34"/>
      <c r="I19" s="29" t="s">
        <v>161</v>
      </c>
      <c r="J19" s="33" t="str">
        <f ca="1">GetNameRange(J20)</f>
        <v>MortAdjMult90Pct</v>
      </c>
      <c r="K19" s="34"/>
    </row>
    <row r="20" spans="1:29" ht="12.75" customHeight="1">
      <c r="A20" s="43" t="s">
        <v>162</v>
      </c>
      <c r="B20" s="86" t="s">
        <v>170</v>
      </c>
      <c r="C20" s="89" t="s">
        <v>49</v>
      </c>
      <c r="E20" s="29" t="s">
        <v>162</v>
      </c>
      <c r="F20" s="86" t="s">
        <v>170</v>
      </c>
      <c r="G20" s="89" t="s">
        <v>49</v>
      </c>
      <c r="H20" s="16"/>
      <c r="I20" s="29" t="s">
        <v>162</v>
      </c>
      <c r="J20" s="86" t="s">
        <v>170</v>
      </c>
      <c r="K20" s="89" t="s">
        <v>49</v>
      </c>
      <c r="L20" s="16"/>
      <c r="M20" s="159"/>
      <c r="N20" s="159"/>
    </row>
    <row r="21" spans="1:29" ht="12.75" customHeight="1">
      <c r="A21" s="52">
        <v>1</v>
      </c>
      <c r="B21" s="87">
        <v>39814</v>
      </c>
      <c r="C21" s="53">
        <v>1</v>
      </c>
      <c r="D21" s="16"/>
      <c r="E21" s="55">
        <v>1</v>
      </c>
      <c r="F21" s="87">
        <v>39814</v>
      </c>
      <c r="G21" s="56">
        <f>C21*1.1</f>
        <v>1.1000000000000001</v>
      </c>
      <c r="H21" s="16"/>
      <c r="I21" s="55">
        <v>1</v>
      </c>
      <c r="J21" s="87">
        <v>39814</v>
      </c>
      <c r="K21" s="56">
        <f>C21*0.9</f>
        <v>0.9</v>
      </c>
      <c r="L21" s="16"/>
      <c r="M21" s="159"/>
      <c r="N21" s="159"/>
    </row>
    <row r="22" spans="1:29" ht="12.75" customHeight="1">
      <c r="A22" s="52">
        <v>1</v>
      </c>
      <c r="B22" s="88">
        <v>39845</v>
      </c>
      <c r="C22" s="54">
        <v>1</v>
      </c>
      <c r="D22" s="16"/>
      <c r="E22" s="55">
        <v>1</v>
      </c>
      <c r="F22" s="88">
        <v>39845</v>
      </c>
      <c r="G22" s="57">
        <f>C22*1.1</f>
        <v>1.1000000000000001</v>
      </c>
      <c r="H22" s="16"/>
      <c r="I22" s="55">
        <v>1</v>
      </c>
      <c r="J22" s="88">
        <v>39845</v>
      </c>
      <c r="K22" s="57">
        <f>C22*0.9</f>
        <v>0.9</v>
      </c>
      <c r="L22" s="16"/>
      <c r="M22" s="159"/>
      <c r="N22" s="159"/>
    </row>
    <row r="23" spans="1:29" ht="12.75" customHeight="1">
      <c r="A23" s="42"/>
      <c r="B23" s="9"/>
      <c r="C23" s="9"/>
    </row>
    <row r="24" spans="1:29" ht="12.75" customHeight="1">
      <c r="A24" s="42"/>
      <c r="B24" s="9"/>
      <c r="C24" s="9"/>
    </row>
    <row r="25" spans="1:29" ht="12.75" customHeight="1">
      <c r="A25" s="42"/>
      <c r="B25" s="9"/>
      <c r="C25" s="9"/>
    </row>
    <row r="26" spans="1:29" ht="12.75" customHeight="1">
      <c r="A26" s="42"/>
      <c r="B26" s="9"/>
      <c r="C26" s="9"/>
    </row>
    <row r="27" spans="1:29" ht="12.75" customHeight="1">
      <c r="E27" s="16"/>
    </row>
    <row r="28" spans="1:29" ht="12.75" customHeight="1">
      <c r="E28" s="16"/>
    </row>
    <row r="29" spans="1:29" ht="12.75" customHeight="1">
      <c r="E29" s="16"/>
    </row>
    <row r="32" spans="1:29" ht="12.75" customHeight="1">
      <c r="P32" s="27"/>
      <c r="Q32" s="27"/>
      <c r="R32" s="27"/>
      <c r="S32" s="27"/>
    </row>
    <row r="33" spans="1:19" ht="12.75" customHeight="1">
      <c r="A33" s="16"/>
      <c r="P33" s="27"/>
      <c r="Q33" s="27"/>
      <c r="R33" s="27"/>
      <c r="S33" s="27"/>
    </row>
    <row r="34" spans="1:19" ht="12.75" customHeight="1">
      <c r="A34" s="16"/>
      <c r="P34" s="27"/>
      <c r="Q34" s="27"/>
      <c r="R34" s="27"/>
      <c r="S34" s="27"/>
    </row>
    <row r="35" spans="1:19" ht="12.75" customHeight="1">
      <c r="A35" s="16"/>
      <c r="P35" s="27"/>
      <c r="Q35" s="27"/>
      <c r="R35" s="27"/>
      <c r="S35" s="27"/>
    </row>
    <row r="36" spans="1:19" ht="12.75" customHeight="1">
      <c r="A36" s="16"/>
      <c r="P36" s="27"/>
      <c r="Q36" s="27"/>
      <c r="R36" s="27"/>
      <c r="S36" s="27"/>
    </row>
    <row r="37" spans="1:19" ht="12.75" customHeight="1">
      <c r="P37" s="27"/>
      <c r="Q37" s="27"/>
      <c r="R37" s="27"/>
      <c r="S37" s="27"/>
    </row>
  </sheetData>
  <conditionalFormatting sqref="A7:A14 D7:D15">
    <cfRule type="cellIs" dxfId="259" priority="99" operator="equal">
      <formula>""</formula>
    </cfRule>
  </conditionalFormatting>
  <conditionalFormatting sqref="A7:A14">
    <cfRule type="cellIs" dxfId="258" priority="146" operator="notEqual">
      <formula>$A7</formula>
    </cfRule>
  </conditionalFormatting>
  <conditionalFormatting sqref="A15">
    <cfRule type="cellIs" dxfId="257" priority="40" operator="notEqual">
      <formula>$A15</formula>
    </cfRule>
  </conditionalFormatting>
  <conditionalFormatting sqref="G7:G15">
    <cfRule type="cellIs" dxfId="256" priority="11" operator="equal">
      <formula>""</formula>
    </cfRule>
  </conditionalFormatting>
  <conditionalFormatting sqref="G7:G15">
    <cfRule type="cellIs" dxfId="255" priority="12" operator="notEqual">
      <formula>$A7</formula>
    </cfRule>
  </conditionalFormatting>
  <conditionalFormatting sqref="E7:F14">
    <cfRule type="cellIs" dxfId="254" priority="5" operator="equal">
      <formula>""</formula>
    </cfRule>
  </conditionalFormatting>
  <conditionalFormatting sqref="E7:F14">
    <cfRule type="cellIs" dxfId="253" priority="6" operator="notEqual">
      <formula>$A7</formula>
    </cfRule>
  </conditionalFormatting>
  <conditionalFormatting sqref="E15:F15">
    <cfRule type="cellIs" dxfId="252" priority="1" operator="equal">
      <formula>""</formula>
    </cfRule>
  </conditionalFormatting>
  <conditionalFormatting sqref="E15:F15">
    <cfRule type="cellIs" dxfId="251" priority="2" operator="notEqual">
      <formula>$A15</formula>
    </cfRule>
  </conditionalFormatting>
  <dataValidations count="1">
    <dataValidation allowBlank="1" showInputMessage="1" showErrorMessage="1" promptTitle="Basic death benefit definition:" prompt="Fund Value: The basic death benefit is the fund value_x000a__x000a_Cash Value: The basic death benefit is the cash value._x000a__x000a_When a GMDB or EEB rider is included, the death benefit will be the greater of this basic death benefit and the rider basis." sqref="B7:C12" xr:uid="{00000000-0002-0000-0900-000000000000}"/>
  </dataValidations>
  <hyperlinks>
    <hyperlink ref="A1" location="'Table of Contents'!A1" display="Go to TOC" xr:uid="{00000000-0004-0000-0900-000000000000}"/>
    <hyperlink ref="A19" location="'Table of Contents'!A1" display="Go to TOC" xr:uid="{00000000-0004-0000-0900-000001000000}"/>
    <hyperlink ref="A20" location="Mortality!B7" display="Back to Main" xr:uid="{00000000-0004-0000-0900-000002000000}"/>
    <hyperlink ref="E19" location="'Table of Contents'!A1" display="Go to TOC" xr:uid="{00000000-0004-0000-0900-000003000000}"/>
    <hyperlink ref="E20" location="Mortality!B7" display="Back to Main" xr:uid="{00000000-0004-0000-0900-000004000000}"/>
    <hyperlink ref="I19" location="'Table of Contents'!A1" display="Go to TOC" xr:uid="{00000000-0004-0000-0900-000005000000}"/>
    <hyperlink ref="I20" location="Mortality!B7" display="Back to Main" xr:uid="{00000000-0004-0000-0900-000006000000}"/>
    <hyperlink ref="B9" location="TblIndexByPlanCode" display="mort_base_tbl_style" xr:uid="{00000000-0004-0000-0900-000007000000}"/>
    <hyperlink ref="B8" location="TblIndexByPlanCode" display="mort_base_tbl_id" xr:uid="{00000000-0004-0000-0900-000008000000}"/>
  </hyperlinks>
  <pageMargins left="0.7" right="0.7" top="0.75" bottom="0.75" header="0.3" footer="0.3"/>
  <pageSetup scale="82" orientation="landscape" r:id="rId1"/>
  <headerFooter>
    <oddHeader>&amp;CUSLMS - External Source Template</oddHeader>
    <oddFooter>&amp;L&amp;D&amp;C&amp;F&amp;RPage &amp;P of &amp;N</oddFooter>
  </headerFooter>
  <customProperties>
    <customPr name="EpmWorksheetKeyString_GUID" r:id="rId2"/>
  </customPropertie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M434"/>
  <sheetViews>
    <sheetView zoomScaleNormal="100" workbookViewId="0">
      <pane xSplit="3" ySplit="5" topLeftCell="D6" activePane="bottomRight" state="frozen"/>
      <selection activeCell="R14" sqref="R14"/>
      <selection pane="topRight" activeCell="R14" sqref="R14"/>
      <selection pane="bottomLeft" activeCell="R14" sqref="R14"/>
      <selection pane="bottomRight" activeCell="E1" sqref="E1:L1048576"/>
    </sheetView>
  </sheetViews>
  <sheetFormatPr defaultRowHeight="12.5"/>
  <cols>
    <col min="1" max="1" width="9.54296875" customWidth="1"/>
    <col min="2" max="2" width="17.54296875" customWidth="1"/>
    <col min="3" max="3" width="4.54296875" style="164" customWidth="1"/>
    <col min="5" max="12" width="15.81640625" style="167" customWidth="1"/>
  </cols>
  <sheetData>
    <row r="1" spans="1:12" ht="15.5">
      <c r="A1" s="64" t="s">
        <v>161</v>
      </c>
      <c r="B1" s="17" t="s">
        <v>307</v>
      </c>
      <c r="C1" s="17"/>
    </row>
    <row r="3" spans="1:12" s="150" customFormat="1" ht="12.75" customHeight="1">
      <c r="A3" s="155"/>
      <c r="B3" s="149" t="str">
        <f ca="1">GetNameRange(B5)</f>
        <v>FIAGmwb_aig</v>
      </c>
      <c r="C3" s="149"/>
      <c r="D3" s="155"/>
      <c r="E3" s="167"/>
      <c r="F3" s="167"/>
      <c r="G3" s="167"/>
      <c r="H3" s="167"/>
      <c r="I3" s="167"/>
      <c r="J3" s="167"/>
      <c r="K3" s="167"/>
      <c r="L3" s="167"/>
    </row>
    <row r="4" spans="1:12" s="155" customFormat="1" ht="12.75" customHeight="1">
      <c r="A4" s="119" t="s">
        <v>48</v>
      </c>
      <c r="B4" s="169" t="s">
        <v>314</v>
      </c>
      <c r="C4" s="198"/>
      <c r="D4" s="170" t="str">
        <f>Product!C$4</f>
        <v>plan_code</v>
      </c>
      <c r="E4" s="168" t="s">
        <v>380</v>
      </c>
      <c r="F4" s="168" t="s">
        <v>381</v>
      </c>
      <c r="G4" s="168" t="s">
        <v>382</v>
      </c>
      <c r="H4" s="168" t="s">
        <v>528</v>
      </c>
      <c r="I4" s="168" t="s">
        <v>527</v>
      </c>
      <c r="J4" s="168" t="s">
        <v>383</v>
      </c>
      <c r="K4" s="168" t="s">
        <v>529</v>
      </c>
      <c r="L4" s="168" t="s">
        <v>313</v>
      </c>
    </row>
    <row r="5" spans="1:12" s="155" customFormat="1" ht="12.75" customHeight="1" thickBot="1">
      <c r="A5" s="120"/>
      <c r="B5" s="120" t="s">
        <v>29</v>
      </c>
      <c r="C5" s="199"/>
      <c r="D5" s="78"/>
      <c r="E5" s="85"/>
      <c r="F5" s="85"/>
      <c r="G5" s="85"/>
      <c r="H5" s="85"/>
      <c r="I5" s="85"/>
      <c r="J5" s="221"/>
      <c r="K5" s="221"/>
      <c r="L5" s="85"/>
    </row>
    <row r="6" spans="1:12" s="155" customFormat="1" ht="12.75" customHeight="1">
      <c r="A6" s="121"/>
      <c r="B6" s="280"/>
      <c r="C6" s="142"/>
      <c r="D6" s="165"/>
      <c r="E6" s="166"/>
      <c r="F6" s="166"/>
      <c r="G6" s="166"/>
      <c r="H6" s="166"/>
      <c r="I6" s="166"/>
      <c r="J6" s="222"/>
      <c r="K6" s="222"/>
      <c r="L6" s="166"/>
    </row>
    <row r="7" spans="1:12" s="65" customFormat="1" ht="12.75" customHeight="1">
      <c r="A7" s="122"/>
      <c r="B7" s="196" t="s">
        <v>3</v>
      </c>
      <c r="C7" s="197"/>
      <c r="D7" s="136"/>
      <c r="E7" s="31"/>
      <c r="F7" s="31"/>
      <c r="G7" s="31"/>
      <c r="H7" s="31"/>
      <c r="I7" s="31"/>
      <c r="J7" s="190"/>
      <c r="K7" s="190"/>
      <c r="L7" s="31"/>
    </row>
    <row r="8" spans="1:12" s="65" customFormat="1" ht="12.75" customHeight="1">
      <c r="A8" s="122" t="s">
        <v>40</v>
      </c>
      <c r="B8" s="282" t="s">
        <v>4</v>
      </c>
      <c r="C8" s="189"/>
      <c r="D8" s="136"/>
      <c r="E8" s="195" t="s">
        <v>40</v>
      </c>
      <c r="F8" s="195" t="s">
        <v>41</v>
      </c>
      <c r="G8" s="195" t="s">
        <v>41</v>
      </c>
      <c r="H8" s="195" t="s">
        <v>41</v>
      </c>
      <c r="I8" s="195" t="s">
        <v>41</v>
      </c>
      <c r="J8" s="195" t="s">
        <v>41</v>
      </c>
      <c r="K8" s="195" t="s">
        <v>41</v>
      </c>
      <c r="L8" s="330" t="s">
        <v>40</v>
      </c>
    </row>
    <row r="9" spans="1:12" s="155" customFormat="1" ht="12.75" customHeight="1">
      <c r="A9" s="157"/>
      <c r="B9" s="282" t="s">
        <v>444</v>
      </c>
      <c r="C9" s="189"/>
      <c r="D9" s="160"/>
      <c r="E9" s="468" t="s">
        <v>445</v>
      </c>
      <c r="F9" s="468" t="s">
        <v>445</v>
      </c>
      <c r="G9" s="468" t="s">
        <v>445</v>
      </c>
      <c r="H9" s="468" t="s">
        <v>445</v>
      </c>
      <c r="I9" s="468" t="s">
        <v>445</v>
      </c>
      <c r="J9" s="468" t="s">
        <v>445</v>
      </c>
      <c r="K9" s="468" t="s">
        <v>445</v>
      </c>
      <c r="L9" s="468" t="s">
        <v>445</v>
      </c>
    </row>
    <row r="10" spans="1:12" s="65" customFormat="1" ht="12.75" customHeight="1">
      <c r="A10" s="122">
        <v>10</v>
      </c>
      <c r="B10" s="282" t="s">
        <v>252</v>
      </c>
      <c r="C10" s="189"/>
      <c r="D10" s="136"/>
      <c r="E10" s="195">
        <v>0</v>
      </c>
      <c r="F10" s="195">
        <v>999</v>
      </c>
      <c r="G10" s="195">
        <v>10</v>
      </c>
      <c r="H10" s="195">
        <v>999</v>
      </c>
      <c r="I10" s="195">
        <v>0</v>
      </c>
      <c r="J10" s="195">
        <v>999</v>
      </c>
      <c r="K10" s="195">
        <v>999</v>
      </c>
      <c r="L10" s="330">
        <v>0</v>
      </c>
    </row>
    <row r="11" spans="1:12" s="65" customFormat="1" ht="12.75" customHeight="1">
      <c r="A11" s="122" t="s">
        <v>42</v>
      </c>
      <c r="B11" s="282" t="s">
        <v>7</v>
      </c>
      <c r="C11" s="189"/>
      <c r="D11" s="136"/>
      <c r="E11" s="195" t="s">
        <v>37</v>
      </c>
      <c r="F11" s="195" t="s">
        <v>37</v>
      </c>
      <c r="G11" s="195" t="s">
        <v>37</v>
      </c>
      <c r="H11" s="195" t="s">
        <v>37</v>
      </c>
      <c r="I11" s="195" t="s">
        <v>37</v>
      </c>
      <c r="J11" s="195" t="s">
        <v>37</v>
      </c>
      <c r="K11" s="195" t="s">
        <v>37</v>
      </c>
      <c r="L11" s="330" t="s">
        <v>37</v>
      </c>
    </row>
    <row r="12" spans="1:12" s="65" customFormat="1" ht="12.75" customHeight="1">
      <c r="A12" s="122">
        <v>0</v>
      </c>
      <c r="B12" s="282" t="s">
        <v>217</v>
      </c>
      <c r="C12" s="189"/>
      <c r="D12" s="136"/>
      <c r="E12" s="303">
        <v>0</v>
      </c>
      <c r="F12" s="303">
        <v>0</v>
      </c>
      <c r="G12" s="303">
        <v>0</v>
      </c>
      <c r="H12" s="303">
        <v>0</v>
      </c>
      <c r="I12" s="303">
        <v>0</v>
      </c>
      <c r="J12" s="303">
        <v>0</v>
      </c>
      <c r="K12" s="303">
        <v>0</v>
      </c>
      <c r="L12" s="331">
        <v>0</v>
      </c>
    </row>
    <row r="13" spans="1:12" s="65" customFormat="1" ht="12.75" customHeight="1">
      <c r="A13" s="122" t="s">
        <v>347</v>
      </c>
      <c r="B13" s="282" t="s">
        <v>253</v>
      </c>
      <c r="C13" s="189"/>
      <c r="D13" s="136"/>
      <c r="E13" s="332" t="s">
        <v>347</v>
      </c>
      <c r="F13" s="332" t="s">
        <v>348</v>
      </c>
      <c r="G13" s="332" t="s">
        <v>347</v>
      </c>
      <c r="H13" s="332" t="s">
        <v>348</v>
      </c>
      <c r="I13" s="332" t="s">
        <v>347</v>
      </c>
      <c r="J13" s="332" t="s">
        <v>391</v>
      </c>
      <c r="K13" s="332" t="s">
        <v>391</v>
      </c>
      <c r="L13" s="330" t="s">
        <v>347</v>
      </c>
    </row>
    <row r="14" spans="1:12" s="155" customFormat="1" ht="12.75" customHeight="1">
      <c r="A14" s="157">
        <v>0</v>
      </c>
      <c r="B14" s="282" t="s">
        <v>349</v>
      </c>
      <c r="C14" s="189"/>
      <c r="D14" s="160"/>
      <c r="E14" s="195">
        <v>0</v>
      </c>
      <c r="F14" s="195">
        <v>1</v>
      </c>
      <c r="G14" s="195">
        <v>0</v>
      </c>
      <c r="H14" s="195">
        <v>1</v>
      </c>
      <c r="I14" s="195">
        <v>0</v>
      </c>
      <c r="J14" s="195">
        <v>1</v>
      </c>
      <c r="K14" s="195">
        <v>1</v>
      </c>
      <c r="L14" s="330">
        <v>0</v>
      </c>
    </row>
    <row r="15" spans="1:12" s="65" customFormat="1" ht="12.75" customHeight="1">
      <c r="A15" s="122" t="s">
        <v>36</v>
      </c>
      <c r="B15" s="282" t="s">
        <v>82</v>
      </c>
      <c r="C15" s="189"/>
      <c r="D15" s="160"/>
      <c r="E15" s="195" t="s">
        <v>36</v>
      </c>
      <c r="F15" s="195" t="s">
        <v>300</v>
      </c>
      <c r="G15" s="195" t="s">
        <v>300</v>
      </c>
      <c r="H15" s="195" t="s">
        <v>300</v>
      </c>
      <c r="I15" s="195" t="s">
        <v>300</v>
      </c>
      <c r="J15" s="195" t="s">
        <v>300</v>
      </c>
      <c r="K15" s="195" t="s">
        <v>300</v>
      </c>
      <c r="L15" s="330" t="s">
        <v>36</v>
      </c>
    </row>
    <row r="16" spans="1:12" s="65" customFormat="1" ht="12.75" customHeight="1">
      <c r="A16" s="122">
        <v>1</v>
      </c>
      <c r="B16" s="282" t="s">
        <v>83</v>
      </c>
      <c r="C16" s="189"/>
      <c r="D16" s="136"/>
      <c r="E16" s="195">
        <v>1</v>
      </c>
      <c r="F16" s="195">
        <v>1</v>
      </c>
      <c r="G16" s="195">
        <v>1</v>
      </c>
      <c r="H16" s="195">
        <v>1</v>
      </c>
      <c r="I16" s="195">
        <v>1</v>
      </c>
      <c r="J16" s="195">
        <v>1</v>
      </c>
      <c r="K16" s="195">
        <v>1</v>
      </c>
      <c r="L16" s="330">
        <v>1</v>
      </c>
    </row>
    <row r="17" spans="1:13" s="65" customFormat="1" ht="12.75" customHeight="1">
      <c r="A17" s="122" t="s">
        <v>176</v>
      </c>
      <c r="B17" s="294" t="s">
        <v>181</v>
      </c>
      <c r="C17" s="205"/>
      <c r="D17" s="136"/>
      <c r="E17" s="195" t="s">
        <v>184</v>
      </c>
      <c r="F17" s="195" t="s">
        <v>184</v>
      </c>
      <c r="G17" s="195" t="s">
        <v>184</v>
      </c>
      <c r="H17" s="195" t="s">
        <v>184</v>
      </c>
      <c r="I17" s="195" t="s">
        <v>184</v>
      </c>
      <c r="J17" s="195" t="s">
        <v>184</v>
      </c>
      <c r="K17" s="195" t="s">
        <v>184</v>
      </c>
      <c r="L17" s="330" t="s">
        <v>184</v>
      </c>
    </row>
    <row r="18" spans="1:13" s="65" customFormat="1" ht="12.75" customHeight="1">
      <c r="A18" s="122" t="s">
        <v>180</v>
      </c>
      <c r="B18" s="294" t="s">
        <v>182</v>
      </c>
      <c r="C18" s="205"/>
      <c r="D18" s="136"/>
      <c r="E18" s="195" t="s">
        <v>184</v>
      </c>
      <c r="F18" s="195" t="s">
        <v>184</v>
      </c>
      <c r="G18" s="195" t="s">
        <v>184</v>
      </c>
      <c r="H18" s="195" t="s">
        <v>184</v>
      </c>
      <c r="I18" s="195" t="s">
        <v>184</v>
      </c>
      <c r="J18" s="195" t="s">
        <v>184</v>
      </c>
      <c r="K18" s="195" t="s">
        <v>184</v>
      </c>
      <c r="L18" s="330" t="s">
        <v>184</v>
      </c>
    </row>
    <row r="19" spans="1:13" s="65" customFormat="1" ht="12.75" customHeight="1">
      <c r="A19" s="123">
        <v>0</v>
      </c>
      <c r="B19" s="282" t="s">
        <v>13</v>
      </c>
      <c r="C19" s="189"/>
      <c r="D19" s="160"/>
      <c r="E19" s="195" t="s">
        <v>186</v>
      </c>
      <c r="F19" s="195" t="s">
        <v>186</v>
      </c>
      <c r="G19" s="195" t="s">
        <v>186</v>
      </c>
      <c r="H19" s="195" t="s">
        <v>186</v>
      </c>
      <c r="I19" s="195" t="s">
        <v>186</v>
      </c>
      <c r="J19" s="195" t="s">
        <v>186</v>
      </c>
      <c r="K19" s="195" t="s">
        <v>186</v>
      </c>
      <c r="L19" s="330" t="s">
        <v>186</v>
      </c>
    </row>
    <row r="20" spans="1:13" s="65" customFormat="1" ht="12.75" customHeight="1">
      <c r="A20" s="122">
        <v>110</v>
      </c>
      <c r="B20" s="282" t="s">
        <v>5</v>
      </c>
      <c r="C20" s="189"/>
      <c r="D20" s="160"/>
      <c r="E20" s="195">
        <v>115</v>
      </c>
      <c r="F20" s="195">
        <v>115</v>
      </c>
      <c r="G20" s="195">
        <v>115</v>
      </c>
      <c r="H20" s="195">
        <v>115</v>
      </c>
      <c r="I20" s="195">
        <v>115</v>
      </c>
      <c r="J20" s="195">
        <v>115</v>
      </c>
      <c r="K20" s="195">
        <v>115</v>
      </c>
      <c r="L20" s="330">
        <v>115</v>
      </c>
    </row>
    <row r="21" spans="1:13" s="65" customFormat="1" ht="12.75" customHeight="1">
      <c r="A21" s="122">
        <v>65</v>
      </c>
      <c r="B21" s="282" t="s">
        <v>84</v>
      </c>
      <c r="C21" s="189"/>
      <c r="D21" s="136"/>
      <c r="E21" s="195">
        <v>50</v>
      </c>
      <c r="F21" s="195">
        <v>50</v>
      </c>
      <c r="G21" s="195">
        <v>50</v>
      </c>
      <c r="H21" s="195">
        <v>50</v>
      </c>
      <c r="I21" s="195">
        <v>50</v>
      </c>
      <c r="J21" s="195">
        <v>50</v>
      </c>
      <c r="K21" s="195">
        <v>50</v>
      </c>
      <c r="L21" s="330">
        <v>50</v>
      </c>
    </row>
    <row r="22" spans="1:13" s="65" customFormat="1" ht="12.75" customHeight="1">
      <c r="A22" s="122">
        <v>5</v>
      </c>
      <c r="B22" s="282" t="s">
        <v>6</v>
      </c>
      <c r="C22" s="189"/>
      <c r="D22" s="136"/>
      <c r="E22" s="195">
        <v>0</v>
      </c>
      <c r="F22" s="195">
        <v>0</v>
      </c>
      <c r="G22" s="195">
        <v>0</v>
      </c>
      <c r="H22" s="195">
        <v>0</v>
      </c>
      <c r="I22" s="195">
        <v>0</v>
      </c>
      <c r="J22" s="195">
        <v>10</v>
      </c>
      <c r="K22" s="195">
        <v>10</v>
      </c>
      <c r="L22" s="330">
        <v>0</v>
      </c>
    </row>
    <row r="23" spans="1:13" s="65" customFormat="1" ht="12.75" customHeight="1">
      <c r="A23" s="123">
        <v>0.05</v>
      </c>
      <c r="B23" s="282" t="s">
        <v>9</v>
      </c>
      <c r="C23" s="189"/>
      <c r="D23" s="136"/>
      <c r="E23" s="303">
        <v>0.05</v>
      </c>
      <c r="F23" s="303">
        <v>0.05</v>
      </c>
      <c r="G23" s="303">
        <v>0.05</v>
      </c>
      <c r="H23" s="303">
        <v>0.05</v>
      </c>
      <c r="I23" s="303">
        <v>0.05</v>
      </c>
      <c r="J23" s="303">
        <v>0.05</v>
      </c>
      <c r="K23" s="303">
        <v>0.05</v>
      </c>
      <c r="L23" s="331">
        <v>0.05</v>
      </c>
    </row>
    <row r="24" spans="1:13" s="65" customFormat="1" ht="12.75" customHeight="1">
      <c r="A24" s="122" t="s">
        <v>91</v>
      </c>
      <c r="B24" s="282" t="s">
        <v>85</v>
      </c>
      <c r="C24" s="189"/>
      <c r="D24" s="136"/>
      <c r="E24" s="195" t="s">
        <v>316</v>
      </c>
      <c r="F24" s="195" t="s">
        <v>91</v>
      </c>
      <c r="G24" s="195" t="s">
        <v>316</v>
      </c>
      <c r="H24" s="195" t="s">
        <v>91</v>
      </c>
      <c r="I24" s="195" t="s">
        <v>316</v>
      </c>
      <c r="J24" s="195" t="s">
        <v>91</v>
      </c>
      <c r="K24" s="195" t="s">
        <v>91</v>
      </c>
      <c r="L24" s="330" t="s">
        <v>316</v>
      </c>
    </row>
    <row r="25" spans="1:13" s="65" customFormat="1" ht="12.75" customHeight="1">
      <c r="A25" s="125">
        <v>0.05</v>
      </c>
      <c r="B25" s="282" t="s">
        <v>8</v>
      </c>
      <c r="C25" s="189"/>
      <c r="D25" s="47"/>
      <c r="E25" s="226">
        <v>0</v>
      </c>
      <c r="F25" s="226">
        <v>0.06</v>
      </c>
      <c r="G25" s="226">
        <v>7.4999999999999997E-2</v>
      </c>
      <c r="H25" s="226">
        <v>0.06</v>
      </c>
      <c r="I25" s="226">
        <v>7.0000000000000007E-2</v>
      </c>
      <c r="J25" s="235">
        <v>0.06</v>
      </c>
      <c r="K25" s="235">
        <v>0.06</v>
      </c>
      <c r="L25" s="333">
        <v>0</v>
      </c>
    </row>
    <row r="26" spans="1:13" s="65" customFormat="1" ht="12.75" customHeight="1">
      <c r="A26" s="122" t="s">
        <v>38</v>
      </c>
      <c r="B26" s="282" t="s">
        <v>10</v>
      </c>
      <c r="C26" s="189"/>
      <c r="D26" s="136"/>
      <c r="E26" s="195" t="s">
        <v>38</v>
      </c>
      <c r="F26" s="195" t="s">
        <v>38</v>
      </c>
      <c r="G26" s="195" t="s">
        <v>38</v>
      </c>
      <c r="H26" s="195" t="s">
        <v>38</v>
      </c>
      <c r="I26" s="195" t="s">
        <v>38</v>
      </c>
      <c r="J26" s="195" t="s">
        <v>38</v>
      </c>
      <c r="K26" s="195" t="s">
        <v>38</v>
      </c>
      <c r="L26" s="330" t="s">
        <v>38</v>
      </c>
    </row>
    <row r="27" spans="1:13" s="65" customFormat="1" ht="12.75" customHeight="1">
      <c r="A27" s="123">
        <v>999.99</v>
      </c>
      <c r="B27" s="282" t="s">
        <v>11</v>
      </c>
      <c r="C27" s="189"/>
      <c r="D27" s="136"/>
      <c r="E27" s="304">
        <v>999.99</v>
      </c>
      <c r="F27" s="304">
        <v>999.99</v>
      </c>
      <c r="G27" s="304">
        <v>999.99</v>
      </c>
      <c r="H27" s="304">
        <v>999.99</v>
      </c>
      <c r="I27" s="304">
        <v>999.99</v>
      </c>
      <c r="J27" s="304">
        <v>999.99</v>
      </c>
      <c r="K27" s="304">
        <v>999.99</v>
      </c>
      <c r="L27" s="334">
        <v>999.99</v>
      </c>
    </row>
    <row r="28" spans="1:13" s="65" customFormat="1" ht="12.75" customHeight="1">
      <c r="A28" s="124">
        <v>999</v>
      </c>
      <c r="B28" s="282" t="s">
        <v>12</v>
      </c>
      <c r="C28" s="189"/>
      <c r="D28" s="136"/>
      <c r="E28" s="239">
        <v>0</v>
      </c>
      <c r="F28" s="239">
        <v>999</v>
      </c>
      <c r="G28" s="239">
        <v>10</v>
      </c>
      <c r="H28" s="239">
        <v>999</v>
      </c>
      <c r="I28" s="239">
        <v>10</v>
      </c>
      <c r="J28" s="239">
        <v>999</v>
      </c>
      <c r="K28" s="239">
        <v>999</v>
      </c>
      <c r="L28" s="335">
        <v>0</v>
      </c>
    </row>
    <row r="29" spans="1:13" s="65" customFormat="1" ht="12.75" customHeight="1">
      <c r="A29" s="124" t="s">
        <v>39</v>
      </c>
      <c r="B29" s="282" t="s">
        <v>247</v>
      </c>
      <c r="C29" s="189"/>
      <c r="D29" s="160"/>
      <c r="E29" s="195" t="s">
        <v>39</v>
      </c>
      <c r="F29" s="195" t="s">
        <v>39</v>
      </c>
      <c r="G29" s="195" t="s">
        <v>39</v>
      </c>
      <c r="H29" s="195" t="s">
        <v>39</v>
      </c>
      <c r="I29" s="195" t="s">
        <v>39</v>
      </c>
      <c r="J29" s="195" t="s">
        <v>34</v>
      </c>
      <c r="K29" s="195" t="s">
        <v>34</v>
      </c>
      <c r="L29" s="330" t="s">
        <v>39</v>
      </c>
    </row>
    <row r="30" spans="1:13" s="155" customFormat="1" ht="12.75" customHeight="1">
      <c r="A30" s="124" t="s">
        <v>39</v>
      </c>
      <c r="B30" s="282" t="s">
        <v>291</v>
      </c>
      <c r="C30" s="189"/>
      <c r="D30" s="160"/>
      <c r="E30" s="195" t="s">
        <v>39</v>
      </c>
      <c r="F30" s="195" t="s">
        <v>39</v>
      </c>
      <c r="G30" s="195" t="s">
        <v>39</v>
      </c>
      <c r="H30" s="195" t="s">
        <v>39</v>
      </c>
      <c r="I30" s="195" t="s">
        <v>39</v>
      </c>
      <c r="J30" s="195" t="s">
        <v>39</v>
      </c>
      <c r="K30" s="195" t="s">
        <v>39</v>
      </c>
      <c r="L30" s="330" t="s">
        <v>39</v>
      </c>
    </row>
    <row r="31" spans="1:13" s="65" customFormat="1" ht="12.75" customHeight="1">
      <c r="A31" s="122" t="s">
        <v>39</v>
      </c>
      <c r="B31" s="282" t="s">
        <v>86</v>
      </c>
      <c r="C31" s="189"/>
      <c r="D31" s="160"/>
      <c r="E31" s="195" t="s">
        <v>39</v>
      </c>
      <c r="F31" s="195" t="s">
        <v>39</v>
      </c>
      <c r="G31" s="195" t="s">
        <v>39</v>
      </c>
      <c r="H31" s="195" t="s">
        <v>39</v>
      </c>
      <c r="I31" s="195" t="s">
        <v>39</v>
      </c>
      <c r="J31" s="195" t="s">
        <v>39</v>
      </c>
      <c r="K31" s="195" t="s">
        <v>39</v>
      </c>
      <c r="L31" s="330" t="s">
        <v>39</v>
      </c>
    </row>
    <row r="32" spans="1:13" s="65" customFormat="1" ht="12.75" customHeight="1">
      <c r="A32" s="122" t="s">
        <v>43</v>
      </c>
      <c r="B32" s="282" t="s">
        <v>15</v>
      </c>
      <c r="C32" s="189"/>
      <c r="D32" s="160"/>
      <c r="E32" s="228" t="s">
        <v>256</v>
      </c>
      <c r="F32" s="228" t="s">
        <v>256</v>
      </c>
      <c r="G32" s="228" t="s">
        <v>256</v>
      </c>
      <c r="H32" s="195" t="s">
        <v>44</v>
      </c>
      <c r="I32" s="195" t="s">
        <v>44</v>
      </c>
      <c r="J32" s="195" t="s">
        <v>256</v>
      </c>
      <c r="K32" s="195" t="s">
        <v>256</v>
      </c>
      <c r="L32" s="228" t="s">
        <v>256</v>
      </c>
      <c r="M32" s="195" t="s">
        <v>44</v>
      </c>
    </row>
    <row r="33" spans="1:12" s="65" customFormat="1" ht="12.75" customHeight="1">
      <c r="A33" s="125">
        <v>7.0000000000000007E-2</v>
      </c>
      <c r="B33" s="282" t="s">
        <v>14</v>
      </c>
      <c r="C33" s="189"/>
      <c r="D33" s="160"/>
      <c r="E33" s="195" t="s">
        <v>164</v>
      </c>
      <c r="F33" s="195" t="s">
        <v>164</v>
      </c>
      <c r="G33" s="195" t="s">
        <v>164</v>
      </c>
      <c r="H33" s="195" t="s">
        <v>164</v>
      </c>
      <c r="I33" s="195" t="s">
        <v>164</v>
      </c>
      <c r="J33" s="195" t="s">
        <v>164</v>
      </c>
      <c r="K33" s="195" t="s">
        <v>164</v>
      </c>
      <c r="L33" s="330" t="s">
        <v>164</v>
      </c>
    </row>
    <row r="34" spans="1:12" s="155" customFormat="1" ht="12.75" customHeight="1">
      <c r="A34" s="125"/>
      <c r="B34" s="282" t="s">
        <v>446</v>
      </c>
      <c r="C34" s="189"/>
      <c r="D34" s="160"/>
      <c r="E34" s="195" t="s">
        <v>447</v>
      </c>
      <c r="F34" s="195" t="s">
        <v>447</v>
      </c>
      <c r="G34" s="195" t="s">
        <v>447</v>
      </c>
      <c r="H34" s="195" t="s">
        <v>447</v>
      </c>
      <c r="I34" s="195" t="s">
        <v>447</v>
      </c>
      <c r="J34" s="195" t="s">
        <v>447</v>
      </c>
      <c r="K34" s="195" t="s">
        <v>447</v>
      </c>
      <c r="L34" s="195" t="s">
        <v>447</v>
      </c>
    </row>
    <row r="35" spans="1:12" s="65" customFormat="1" ht="12.75" customHeight="1">
      <c r="A35" s="122" t="s">
        <v>92</v>
      </c>
      <c r="B35" s="282" t="s">
        <v>87</v>
      </c>
      <c r="C35" s="189"/>
      <c r="D35" s="160"/>
      <c r="E35" s="195" t="s">
        <v>216</v>
      </c>
      <c r="F35" s="195" t="s">
        <v>216</v>
      </c>
      <c r="G35" s="195" t="s">
        <v>216</v>
      </c>
      <c r="H35" s="195" t="s">
        <v>216</v>
      </c>
      <c r="I35" s="195" t="s">
        <v>216</v>
      </c>
      <c r="J35" s="195" t="s">
        <v>216</v>
      </c>
      <c r="K35" s="195" t="s">
        <v>216</v>
      </c>
      <c r="L35" s="330" t="s">
        <v>216</v>
      </c>
    </row>
    <row r="36" spans="1:12" s="65" customFormat="1" ht="12.75" customHeight="1">
      <c r="A36" s="123">
        <v>0.05</v>
      </c>
      <c r="B36" s="309" t="s">
        <v>88</v>
      </c>
      <c r="C36" s="189"/>
      <c r="D36" s="160"/>
      <c r="E36" s="303">
        <v>0.05</v>
      </c>
      <c r="F36" s="303">
        <v>0.05</v>
      </c>
      <c r="G36" s="303">
        <v>0.05</v>
      </c>
      <c r="H36" s="303">
        <v>0.05</v>
      </c>
      <c r="I36" s="303">
        <v>0.05</v>
      </c>
      <c r="J36" s="303">
        <v>0.05</v>
      </c>
      <c r="K36" s="303">
        <v>0.05</v>
      </c>
      <c r="L36" s="331">
        <v>0.05</v>
      </c>
    </row>
    <row r="37" spans="1:12" s="155" customFormat="1" ht="12.75" customHeight="1">
      <c r="A37" s="124">
        <v>0</v>
      </c>
      <c r="B37" s="282" t="s">
        <v>523</v>
      </c>
      <c r="C37" s="189"/>
      <c r="D37" s="160"/>
      <c r="E37" s="473">
        <v>0</v>
      </c>
      <c r="F37" s="473">
        <v>0</v>
      </c>
      <c r="G37" s="473">
        <v>0</v>
      </c>
      <c r="H37" s="473">
        <v>0</v>
      </c>
      <c r="I37" s="473">
        <v>0</v>
      </c>
      <c r="J37" s="473">
        <v>0</v>
      </c>
      <c r="K37" s="473">
        <v>0</v>
      </c>
      <c r="L37" s="239">
        <v>999</v>
      </c>
    </row>
    <row r="38" spans="1:12" s="155" customFormat="1" ht="12.75" customHeight="1">
      <c r="A38" s="124" t="s">
        <v>39</v>
      </c>
      <c r="B38" s="282" t="s">
        <v>538</v>
      </c>
      <c r="C38" s="189"/>
      <c r="D38" s="160"/>
      <c r="E38" s="195" t="s">
        <v>39</v>
      </c>
      <c r="F38" s="195" t="s">
        <v>39</v>
      </c>
      <c r="G38" s="195" t="s">
        <v>39</v>
      </c>
      <c r="H38" s="195" t="s">
        <v>39</v>
      </c>
      <c r="I38" s="195" t="s">
        <v>39</v>
      </c>
      <c r="J38" s="195" t="s">
        <v>39</v>
      </c>
      <c r="K38" s="195" t="s">
        <v>39</v>
      </c>
      <c r="L38" s="330" t="s">
        <v>39</v>
      </c>
    </row>
    <row r="39" spans="1:12" s="65" customFormat="1" ht="12.75" customHeight="1">
      <c r="A39" s="122"/>
      <c r="B39" s="291"/>
      <c r="C39" s="203"/>
      <c r="D39" s="136"/>
      <c r="E39" s="195"/>
      <c r="F39" s="195"/>
      <c r="G39" s="195"/>
      <c r="H39" s="195"/>
      <c r="I39" s="195"/>
      <c r="J39" s="474"/>
      <c r="K39" s="474"/>
      <c r="L39" s="195"/>
    </row>
    <row r="40" spans="1:12" s="164" customFormat="1" ht="12.75" customHeight="1">
      <c r="A40" s="157"/>
      <c r="B40" s="196" t="s">
        <v>433</v>
      </c>
      <c r="C40" s="186"/>
      <c r="D40" s="320"/>
      <c r="E40" s="332"/>
      <c r="F40" s="332"/>
      <c r="G40" s="332"/>
      <c r="H40" s="332"/>
      <c r="I40" s="332"/>
      <c r="J40" s="474"/>
      <c r="K40" s="474"/>
      <c r="L40" s="332"/>
    </row>
    <row r="41" spans="1:12" s="164" customFormat="1" ht="12.75" customHeight="1">
      <c r="A41" s="157"/>
      <c r="B41" s="282" t="s">
        <v>434</v>
      </c>
      <c r="C41" s="322"/>
      <c r="D41" s="160"/>
      <c r="E41" s="195">
        <v>2</v>
      </c>
      <c r="F41" s="195">
        <v>2</v>
      </c>
      <c r="G41" s="195">
        <v>2</v>
      </c>
      <c r="H41" s="419">
        <v>2</v>
      </c>
      <c r="I41" s="419">
        <v>2</v>
      </c>
      <c r="J41" s="195">
        <v>10</v>
      </c>
      <c r="K41" s="195">
        <v>10</v>
      </c>
      <c r="L41" s="330">
        <v>2</v>
      </c>
    </row>
    <row r="42" spans="1:12" s="164" customFormat="1" ht="12.75" customHeight="1">
      <c r="A42" s="157"/>
      <c r="B42" s="282" t="s">
        <v>435</v>
      </c>
      <c r="C42" s="322"/>
      <c r="D42" s="160"/>
      <c r="E42" s="195">
        <v>5</v>
      </c>
      <c r="F42" s="195">
        <v>5</v>
      </c>
      <c r="G42" s="195">
        <v>5</v>
      </c>
      <c r="H42" s="419">
        <v>5</v>
      </c>
      <c r="I42" s="419">
        <v>5</v>
      </c>
      <c r="J42" s="195">
        <v>5</v>
      </c>
      <c r="K42" s="195">
        <v>5</v>
      </c>
      <c r="L42" s="330">
        <v>5</v>
      </c>
    </row>
    <row r="43" spans="1:12" s="164" customFormat="1" ht="12.75" customHeight="1">
      <c r="A43" s="157"/>
      <c r="B43" s="291"/>
      <c r="C43" s="186"/>
      <c r="D43" s="320"/>
      <c r="E43" s="332"/>
      <c r="F43" s="332"/>
      <c r="G43" s="332"/>
      <c r="H43" s="332"/>
      <c r="I43" s="332"/>
      <c r="J43" s="474"/>
      <c r="K43" s="474"/>
      <c r="L43" s="332"/>
    </row>
    <row r="44" spans="1:12" s="155" customFormat="1" ht="12.75" customHeight="1">
      <c r="A44" s="157"/>
      <c r="B44" s="196" t="s">
        <v>376</v>
      </c>
      <c r="C44" s="203"/>
      <c r="D44" s="160"/>
      <c r="E44" s="195"/>
      <c r="F44" s="195"/>
      <c r="G44" s="195"/>
      <c r="H44" s="195"/>
      <c r="I44" s="195"/>
      <c r="J44" s="474"/>
      <c r="K44" s="474"/>
      <c r="L44" s="195"/>
    </row>
    <row r="45" spans="1:12" s="155" customFormat="1" ht="12.75" customHeight="1">
      <c r="A45" s="157" t="s">
        <v>377</v>
      </c>
      <c r="B45" s="282" t="s">
        <v>378</v>
      </c>
      <c r="C45" s="189"/>
      <c r="D45" s="160"/>
      <c r="E45" s="195" t="s">
        <v>377</v>
      </c>
      <c r="F45" s="195" t="s">
        <v>379</v>
      </c>
      <c r="G45" s="195" t="s">
        <v>379</v>
      </c>
      <c r="H45" s="195" t="s">
        <v>379</v>
      </c>
      <c r="I45" s="195" t="s">
        <v>379</v>
      </c>
      <c r="J45" s="474" t="s">
        <v>377</v>
      </c>
      <c r="K45" s="474" t="s">
        <v>377</v>
      </c>
      <c r="L45" s="195" t="s">
        <v>377</v>
      </c>
    </row>
    <row r="46" spans="1:12" ht="12.25" customHeight="1">
      <c r="E46" s="242"/>
      <c r="F46" s="242"/>
      <c r="G46" s="242"/>
      <c r="H46" s="242"/>
      <c r="I46" s="242"/>
      <c r="J46" s="242"/>
      <c r="K46" s="242"/>
      <c r="L46" s="242"/>
    </row>
    <row r="47" spans="1:12" s="164" customFormat="1" ht="12.25" customHeight="1">
      <c r="B47" s="365" t="s">
        <v>494</v>
      </c>
      <c r="C47" s="366"/>
      <c r="D47" s="320"/>
      <c r="E47" s="332"/>
      <c r="F47" s="332"/>
      <c r="G47" s="332"/>
      <c r="H47" s="332"/>
      <c r="I47" s="332"/>
      <c r="J47" s="332"/>
      <c r="K47" s="332"/>
      <c r="L47" s="332"/>
    </row>
    <row r="48" spans="1:12" s="164" customFormat="1" ht="12.25" customHeight="1">
      <c r="B48" s="367" t="s">
        <v>495</v>
      </c>
      <c r="C48" s="322"/>
      <c r="D48" s="160"/>
      <c r="E48" s="475">
        <v>0.2</v>
      </c>
      <c r="F48" s="475">
        <v>0.2</v>
      </c>
      <c r="G48" s="475">
        <v>0.2</v>
      </c>
      <c r="H48" s="475">
        <v>0.2</v>
      </c>
      <c r="I48" s="475">
        <v>0.2</v>
      </c>
      <c r="J48" s="475">
        <v>0.2</v>
      </c>
      <c r="K48" s="475">
        <v>0.2</v>
      </c>
      <c r="L48" s="475">
        <v>0.2</v>
      </c>
    </row>
    <row r="49" spans="1:12" s="164" customFormat="1" ht="12.25" customHeight="1">
      <c r="E49" s="242"/>
      <c r="F49" s="242"/>
      <c r="G49" s="242"/>
      <c r="H49" s="242"/>
      <c r="I49" s="242"/>
      <c r="J49" s="242"/>
      <c r="K49" s="242"/>
      <c r="L49" s="242"/>
    </row>
    <row r="50" spans="1:12" s="164" customFormat="1" ht="13">
      <c r="B50" s="318" t="s">
        <v>451</v>
      </c>
      <c r="E50" s="242"/>
      <c r="F50" s="242"/>
      <c r="G50" s="242"/>
      <c r="H50" s="242"/>
      <c r="I50" s="242"/>
      <c r="J50" s="242"/>
      <c r="K50" s="242"/>
      <c r="L50" s="476"/>
    </row>
    <row r="51" spans="1:12" s="164" customFormat="1">
      <c r="B51" s="282" t="s">
        <v>452</v>
      </c>
      <c r="C51" s="322"/>
      <c r="D51" s="160"/>
      <c r="E51" s="332" t="s">
        <v>269</v>
      </c>
      <c r="F51" s="332" t="s">
        <v>269</v>
      </c>
      <c r="G51" s="332" t="s">
        <v>269</v>
      </c>
      <c r="H51" s="332" t="s">
        <v>269</v>
      </c>
      <c r="I51" s="332" t="s">
        <v>269</v>
      </c>
      <c r="J51" s="332" t="s">
        <v>269</v>
      </c>
      <c r="K51" s="332" t="s">
        <v>269</v>
      </c>
      <c r="L51" s="332" t="s">
        <v>269</v>
      </c>
    </row>
    <row r="52" spans="1:12" s="164" customFormat="1">
      <c r="B52" s="282" t="s">
        <v>453</v>
      </c>
      <c r="C52" s="322"/>
      <c r="D52" s="160"/>
      <c r="E52" s="332" t="s">
        <v>39</v>
      </c>
      <c r="F52" s="332" t="s">
        <v>39</v>
      </c>
      <c r="G52" s="332" t="s">
        <v>39</v>
      </c>
      <c r="H52" s="332" t="s">
        <v>39</v>
      </c>
      <c r="I52" s="332" t="s">
        <v>39</v>
      </c>
      <c r="J52" s="332" t="s">
        <v>39</v>
      </c>
      <c r="K52" s="332" t="s">
        <v>39</v>
      </c>
      <c r="L52" s="330" t="s">
        <v>39</v>
      </c>
    </row>
    <row r="53" spans="1:12" s="164" customFormat="1">
      <c r="B53" s="282" t="s">
        <v>454</v>
      </c>
      <c r="C53" s="322"/>
      <c r="D53" s="160"/>
      <c r="E53" s="336">
        <v>0</v>
      </c>
      <c r="F53" s="336">
        <v>0</v>
      </c>
      <c r="G53" s="336">
        <v>0</v>
      </c>
      <c r="H53" s="336">
        <v>0</v>
      </c>
      <c r="I53" s="336">
        <v>0</v>
      </c>
      <c r="J53" s="336">
        <v>0</v>
      </c>
      <c r="K53" s="336">
        <v>0</v>
      </c>
      <c r="L53" s="336">
        <v>0</v>
      </c>
    </row>
    <row r="54" spans="1:12" s="164" customFormat="1">
      <c r="B54" s="282" t="s">
        <v>455</v>
      </c>
      <c r="C54" s="322"/>
      <c r="D54" s="160"/>
      <c r="E54" s="336">
        <v>0.04</v>
      </c>
      <c r="F54" s="336">
        <v>0.04</v>
      </c>
      <c r="G54" s="336">
        <v>0.04</v>
      </c>
      <c r="H54" s="336">
        <v>0.04</v>
      </c>
      <c r="I54" s="336">
        <v>0.04</v>
      </c>
      <c r="J54" s="336">
        <v>0.04</v>
      </c>
      <c r="K54" s="336">
        <v>0.04</v>
      </c>
      <c r="L54" s="336">
        <v>0.04</v>
      </c>
    </row>
    <row r="55" spans="1:12" s="155" customFormat="1" ht="12.75" customHeight="1">
      <c r="A55" s="157"/>
      <c r="B55" s="291"/>
      <c r="C55" s="203"/>
      <c r="D55" s="160"/>
      <c r="E55" s="195"/>
      <c r="F55" s="195"/>
      <c r="G55" s="195"/>
      <c r="H55" s="195"/>
      <c r="I55" s="195"/>
      <c r="J55" s="474"/>
      <c r="K55" s="474"/>
      <c r="L55" s="195"/>
    </row>
    <row r="56" spans="1:12" s="65" customFormat="1" ht="12.75" customHeight="1">
      <c r="A56" s="122"/>
      <c r="B56" s="196" t="s">
        <v>20</v>
      </c>
      <c r="C56" s="197"/>
      <c r="D56" s="136"/>
      <c r="E56" s="195"/>
      <c r="F56" s="195"/>
      <c r="G56" s="195"/>
      <c r="H56" s="195"/>
      <c r="I56" s="195"/>
      <c r="J56" s="474"/>
      <c r="K56" s="474"/>
      <c r="L56" s="195"/>
    </row>
    <row r="57" spans="1:12" s="65" customFormat="1" ht="12.75" customHeight="1">
      <c r="A57" s="125">
        <v>0</v>
      </c>
      <c r="B57" s="282" t="s">
        <v>89</v>
      </c>
      <c r="C57" s="189"/>
      <c r="D57" s="136"/>
      <c r="E57" s="226">
        <v>0</v>
      </c>
      <c r="F57" s="226">
        <v>9.4999999999999998E-3</v>
      </c>
      <c r="G57" s="226">
        <v>0.01</v>
      </c>
      <c r="H57" s="336">
        <v>1.0999999999999999E-2</v>
      </c>
      <c r="I57" s="336">
        <v>1.0999999999999999E-2</v>
      </c>
      <c r="J57" s="336">
        <v>0</v>
      </c>
      <c r="K57" s="336">
        <v>9.4999999999999998E-3</v>
      </c>
      <c r="L57" s="226">
        <v>0</v>
      </c>
    </row>
    <row r="58" spans="1:12" s="65" customFormat="1" ht="12.75" customHeight="1">
      <c r="A58" s="122" t="s">
        <v>35</v>
      </c>
      <c r="B58" s="282" t="s">
        <v>21</v>
      </c>
      <c r="C58" s="189"/>
      <c r="D58" s="136"/>
      <c r="E58" s="469" t="s">
        <v>44</v>
      </c>
      <c r="F58" s="469" t="s">
        <v>44</v>
      </c>
      <c r="G58" s="469" t="s">
        <v>44</v>
      </c>
      <c r="H58" s="332" t="s">
        <v>44</v>
      </c>
      <c r="I58" s="332" t="s">
        <v>44</v>
      </c>
      <c r="J58" s="332" t="s">
        <v>44</v>
      </c>
      <c r="K58" s="332" t="s">
        <v>503</v>
      </c>
      <c r="L58" s="469" t="s">
        <v>44</v>
      </c>
    </row>
    <row r="59" spans="1:12" s="155" customFormat="1" ht="12.75" customHeight="1">
      <c r="A59" s="157"/>
      <c r="B59" s="282" t="s">
        <v>504</v>
      </c>
      <c r="C59" s="322"/>
      <c r="D59" s="160"/>
      <c r="E59" s="332" t="s">
        <v>505</v>
      </c>
      <c r="F59" s="332" t="s">
        <v>505</v>
      </c>
      <c r="G59" s="332" t="s">
        <v>505</v>
      </c>
      <c r="H59" s="332" t="s">
        <v>505</v>
      </c>
      <c r="I59" s="332" t="s">
        <v>505</v>
      </c>
      <c r="J59" s="332" t="s">
        <v>505</v>
      </c>
      <c r="K59" s="332" t="s">
        <v>505</v>
      </c>
      <c r="L59" s="332" t="s">
        <v>505</v>
      </c>
    </row>
    <row r="60" spans="1:12" s="155" customFormat="1" ht="12.75" customHeight="1">
      <c r="A60" s="31"/>
      <c r="B60" s="31"/>
      <c r="C60" s="31"/>
      <c r="D60" s="160"/>
      <c r="E60" s="195"/>
      <c r="F60" s="195"/>
      <c r="G60" s="195"/>
      <c r="H60" s="195"/>
      <c r="I60" s="195"/>
      <c r="J60" s="195"/>
      <c r="K60" s="195"/>
      <c r="L60" s="195"/>
    </row>
    <row r="61" spans="1:12" s="155" customFormat="1" ht="12.75" customHeight="1">
      <c r="A61" s="31"/>
      <c r="B61" s="196" t="s">
        <v>481</v>
      </c>
      <c r="C61" s="356"/>
      <c r="D61" s="320"/>
      <c r="E61" s="332"/>
      <c r="F61" s="195"/>
      <c r="G61" s="195"/>
      <c r="H61" s="195"/>
      <c r="I61" s="195"/>
      <c r="J61" s="195"/>
      <c r="K61" s="195"/>
      <c r="L61" s="195"/>
    </row>
    <row r="62" spans="1:12" s="155" customFormat="1" ht="12.75" customHeight="1">
      <c r="A62" s="31"/>
      <c r="B62" s="282" t="s">
        <v>482</v>
      </c>
      <c r="C62" s="322"/>
      <c r="D62" s="160"/>
      <c r="E62" s="357" t="s">
        <v>39</v>
      </c>
      <c r="F62" s="357" t="s">
        <v>39</v>
      </c>
      <c r="G62" s="357" t="s">
        <v>39</v>
      </c>
      <c r="H62" s="357" t="s">
        <v>39</v>
      </c>
      <c r="I62" s="357" t="s">
        <v>39</v>
      </c>
      <c r="J62" s="357" t="s">
        <v>39</v>
      </c>
      <c r="K62" s="357" t="s">
        <v>39</v>
      </c>
      <c r="L62" s="357" t="s">
        <v>39</v>
      </c>
    </row>
    <row r="63" spans="1:12" s="155" customFormat="1" ht="12.75" customHeight="1">
      <c r="A63" s="31"/>
      <c r="B63" s="282" t="s">
        <v>483</v>
      </c>
      <c r="C63" s="322"/>
      <c r="D63" s="160"/>
      <c r="E63" s="332">
        <v>65</v>
      </c>
      <c r="F63" s="332">
        <v>65</v>
      </c>
      <c r="G63" s="332">
        <v>65</v>
      </c>
      <c r="H63" s="332">
        <v>65</v>
      </c>
      <c r="I63" s="332">
        <v>65</v>
      </c>
      <c r="J63" s="332">
        <v>65</v>
      </c>
      <c r="K63" s="332">
        <v>65</v>
      </c>
      <c r="L63" s="332">
        <v>65</v>
      </c>
    </row>
    <row r="64" spans="1:12" s="155" customFormat="1" ht="12.75" customHeight="1">
      <c r="A64" s="31"/>
      <c r="B64" s="31"/>
      <c r="C64" s="31"/>
      <c r="D64" s="320"/>
      <c r="E64" s="332"/>
      <c r="F64" s="332"/>
      <c r="G64" s="332"/>
      <c r="H64" s="332"/>
      <c r="I64" s="332"/>
      <c r="J64" s="332"/>
      <c r="K64" s="332"/>
      <c r="L64" s="332"/>
    </row>
    <row r="65" spans="1:12" ht="13">
      <c r="A65" s="31"/>
      <c r="B65" s="196" t="s">
        <v>512</v>
      </c>
      <c r="C65" s="356"/>
      <c r="D65" s="320"/>
      <c r="E65" s="332"/>
      <c r="F65" s="195"/>
      <c r="G65" s="242"/>
      <c r="H65" s="195"/>
      <c r="I65" s="195"/>
      <c r="J65" s="195"/>
      <c r="K65" s="195"/>
      <c r="L65" s="242"/>
    </row>
    <row r="66" spans="1:12" s="164" customFormat="1">
      <c r="A66" s="346">
        <v>1.25</v>
      </c>
      <c r="B66" s="282" t="s">
        <v>513</v>
      </c>
      <c r="C66" s="322"/>
      <c r="D66" s="160"/>
      <c r="E66" s="346">
        <v>1.25</v>
      </c>
      <c r="F66" s="346">
        <v>1.25</v>
      </c>
      <c r="G66" s="346">
        <v>1.25</v>
      </c>
      <c r="H66" s="346">
        <v>1.25</v>
      </c>
      <c r="I66" s="346">
        <v>1.25</v>
      </c>
      <c r="J66" s="346">
        <v>1.25</v>
      </c>
      <c r="K66" s="346">
        <v>1.25</v>
      </c>
      <c r="L66" s="346">
        <v>1.25</v>
      </c>
    </row>
    <row r="67" spans="1:12" s="155" customFormat="1" ht="12" customHeight="1">
      <c r="A67" s="124" t="s">
        <v>39</v>
      </c>
      <c r="B67" s="282" t="s">
        <v>499</v>
      </c>
      <c r="C67" s="189"/>
      <c r="D67" s="160"/>
      <c r="E67" s="195" t="s">
        <v>39</v>
      </c>
      <c r="F67" s="195" t="s">
        <v>39</v>
      </c>
      <c r="G67" s="195" t="s">
        <v>39</v>
      </c>
      <c r="H67" s="195" t="s">
        <v>39</v>
      </c>
      <c r="I67" s="195" t="s">
        <v>39</v>
      </c>
      <c r="J67" s="195" t="s">
        <v>39</v>
      </c>
      <c r="K67" s="195" t="s">
        <v>39</v>
      </c>
      <c r="L67" s="330" t="s">
        <v>39</v>
      </c>
    </row>
    <row r="68" spans="1:12" s="164" customFormat="1">
      <c r="A68" s="357" t="s">
        <v>514</v>
      </c>
      <c r="B68" s="282" t="s">
        <v>515</v>
      </c>
      <c r="C68" s="322"/>
      <c r="D68" s="160"/>
      <c r="E68" s="357" t="s">
        <v>514</v>
      </c>
      <c r="F68" s="357" t="s">
        <v>514</v>
      </c>
      <c r="G68" s="357" t="s">
        <v>514</v>
      </c>
      <c r="H68" s="357" t="s">
        <v>514</v>
      </c>
      <c r="I68" s="357" t="s">
        <v>514</v>
      </c>
      <c r="J68" s="357" t="s">
        <v>514</v>
      </c>
      <c r="K68" s="357" t="s">
        <v>514</v>
      </c>
      <c r="L68" s="357" t="s">
        <v>514</v>
      </c>
    </row>
    <row r="69" spans="1:12" s="164" customFormat="1">
      <c r="A69" s="357" t="s">
        <v>516</v>
      </c>
      <c r="B69" s="282" t="s">
        <v>517</v>
      </c>
      <c r="C69" s="322"/>
      <c r="D69" s="320"/>
      <c r="E69" s="357" t="s">
        <v>516</v>
      </c>
      <c r="F69" s="357" t="s">
        <v>516</v>
      </c>
      <c r="G69" s="357" t="s">
        <v>516</v>
      </c>
      <c r="H69" s="357" t="s">
        <v>516</v>
      </c>
      <c r="I69" s="357" t="s">
        <v>516</v>
      </c>
      <c r="J69" s="357" t="s">
        <v>516</v>
      </c>
      <c r="K69" s="357" t="s">
        <v>516</v>
      </c>
      <c r="L69" s="357" t="s">
        <v>516</v>
      </c>
    </row>
    <row r="70" spans="1:12" s="164" customFormat="1">
      <c r="B70" s="34"/>
      <c r="E70" s="242"/>
      <c r="F70" s="242"/>
      <c r="G70" s="242"/>
      <c r="H70" s="242"/>
      <c r="I70" s="242"/>
      <c r="J70" s="242"/>
      <c r="K70" s="242"/>
      <c r="L70" s="242"/>
    </row>
    <row r="71" spans="1:12" s="164" customFormat="1" ht="12.75" customHeight="1">
      <c r="A71" s="319"/>
      <c r="B71" s="196" t="s">
        <v>595</v>
      </c>
      <c r="C71" s="356"/>
      <c r="D71" s="320"/>
      <c r="E71" s="332"/>
      <c r="F71" s="332"/>
      <c r="G71" s="332"/>
      <c r="H71" s="332"/>
      <c r="I71" s="332"/>
      <c r="J71" s="332"/>
      <c r="K71" s="332"/>
      <c r="L71" s="332"/>
    </row>
    <row r="72" spans="1:12" s="164" customFormat="1" ht="12.75" customHeight="1">
      <c r="A72" s="319"/>
      <c r="B72" s="282" t="s">
        <v>596</v>
      </c>
      <c r="C72" s="322"/>
      <c r="D72" s="320"/>
      <c r="E72" s="357" t="s">
        <v>34</v>
      </c>
      <c r="F72" s="357" t="s">
        <v>34</v>
      </c>
      <c r="G72" s="357" t="s">
        <v>34</v>
      </c>
      <c r="H72" s="357" t="s">
        <v>34</v>
      </c>
      <c r="I72" s="357" t="s">
        <v>34</v>
      </c>
      <c r="J72" s="357" t="s">
        <v>34</v>
      </c>
      <c r="K72" s="357" t="s">
        <v>34</v>
      </c>
      <c r="L72" s="357" t="s">
        <v>34</v>
      </c>
    </row>
    <row r="73" spans="1:12" s="164" customFormat="1" ht="12.75" customHeight="1">
      <c r="A73" s="319"/>
      <c r="B73" s="315"/>
      <c r="C73" s="322"/>
      <c r="D73" s="320"/>
      <c r="E73" s="357"/>
      <c r="F73" s="357"/>
      <c r="G73" s="357"/>
      <c r="H73" s="357"/>
      <c r="I73" s="357"/>
      <c r="J73" s="357"/>
      <c r="K73" s="357"/>
      <c r="L73" s="357"/>
    </row>
    <row r="74" spans="1:12" s="164" customFormat="1">
      <c r="B74" s="34" t="str">
        <f ca="1">GetNameRange(B75)</f>
        <v>gmwb_withdrl_rate_indexing_assessment_ind_aig</v>
      </c>
      <c r="E74" s="242"/>
      <c r="F74" s="242"/>
      <c r="G74" s="242"/>
      <c r="H74" s="242"/>
      <c r="I74" s="242"/>
      <c r="J74" s="242"/>
      <c r="K74" s="242"/>
      <c r="L74" s="242"/>
    </row>
    <row r="75" spans="1:12" s="156" customFormat="1" ht="12.75" customHeight="1">
      <c r="A75" s="159"/>
      <c r="B75" s="297" t="s">
        <v>314</v>
      </c>
      <c r="C75" s="300"/>
      <c r="D75" s="310"/>
      <c r="E75" s="358" t="str">
        <f>E$4</f>
        <v>BASE_DEV</v>
      </c>
      <c r="F75" s="358" t="str">
        <f>F$4</f>
        <v>LIPM_DEV</v>
      </c>
      <c r="G75" s="358" t="str">
        <f>G$4</f>
        <v>LIP_DEV</v>
      </c>
      <c r="H75" s="477" t="s">
        <v>528</v>
      </c>
      <c r="I75" s="477" t="s">
        <v>527</v>
      </c>
      <c r="J75" s="477" t="s">
        <v>383</v>
      </c>
      <c r="K75" s="477" t="s">
        <v>529</v>
      </c>
      <c r="L75" s="358" t="str">
        <f t="shared" ref="L75" si="0">L$4</f>
        <v>BASE</v>
      </c>
    </row>
    <row r="76" spans="1:12" s="156" customFormat="1" ht="12.75" customHeight="1">
      <c r="A76" s="159"/>
      <c r="B76" s="297" t="s">
        <v>163</v>
      </c>
      <c r="C76" s="141"/>
      <c r="D76" s="300"/>
      <c r="E76" s="358"/>
      <c r="F76" s="358"/>
      <c r="G76" s="358"/>
      <c r="H76" s="242"/>
      <c r="I76" s="242"/>
      <c r="J76" s="242"/>
      <c r="K76" s="242"/>
      <c r="L76" s="358"/>
    </row>
    <row r="77" spans="1:12" s="164" customFormat="1">
      <c r="B77" s="298">
        <v>1</v>
      </c>
      <c r="C77" s="322"/>
      <c r="D77" s="160"/>
      <c r="E77" s="242" t="s">
        <v>39</v>
      </c>
      <c r="F77" s="242" t="s">
        <v>39</v>
      </c>
      <c r="G77" s="242" t="s">
        <v>39</v>
      </c>
      <c r="H77" s="242" t="s">
        <v>39</v>
      </c>
      <c r="I77" s="242" t="s">
        <v>39</v>
      </c>
      <c r="J77" s="242" t="s">
        <v>39</v>
      </c>
      <c r="K77" s="242" t="s">
        <v>39</v>
      </c>
      <c r="L77" s="242" t="s">
        <v>39</v>
      </c>
    </row>
    <row r="78" spans="1:12" s="164" customFormat="1">
      <c r="B78" s="298">
        <v>6</v>
      </c>
      <c r="C78" s="322"/>
      <c r="D78" s="160"/>
      <c r="E78" s="242" t="s">
        <v>39</v>
      </c>
      <c r="F78" s="242" t="s">
        <v>34</v>
      </c>
      <c r="G78" s="242" t="s">
        <v>39</v>
      </c>
      <c r="H78" s="242" t="s">
        <v>39</v>
      </c>
      <c r="I78" s="242" t="s">
        <v>39</v>
      </c>
      <c r="J78" s="242" t="s">
        <v>39</v>
      </c>
      <c r="K78" s="242" t="s">
        <v>39</v>
      </c>
      <c r="L78" s="242" t="s">
        <v>39</v>
      </c>
    </row>
    <row r="79" spans="1:12" s="164" customFormat="1">
      <c r="B79" s="298">
        <v>7</v>
      </c>
      <c r="C79" s="322"/>
      <c r="D79" s="160"/>
      <c r="E79" s="242" t="s">
        <v>39</v>
      </c>
      <c r="F79" s="242" t="s">
        <v>39</v>
      </c>
      <c r="G79" s="242" t="s">
        <v>34</v>
      </c>
      <c r="H79" s="242" t="s">
        <v>39</v>
      </c>
      <c r="I79" s="242" t="s">
        <v>39</v>
      </c>
      <c r="J79" s="242" t="s">
        <v>39</v>
      </c>
      <c r="K79" s="242" t="s">
        <v>39</v>
      </c>
      <c r="L79" s="242" t="s">
        <v>39</v>
      </c>
    </row>
    <row r="80" spans="1:12" s="164" customFormat="1">
      <c r="B80" s="298">
        <v>11</v>
      </c>
      <c r="C80" s="322"/>
      <c r="D80" s="160"/>
      <c r="E80" s="242" t="s">
        <v>39</v>
      </c>
      <c r="F80" s="242" t="s">
        <v>34</v>
      </c>
      <c r="G80" s="242" t="s">
        <v>39</v>
      </c>
      <c r="H80" s="242" t="s">
        <v>39</v>
      </c>
      <c r="I80" s="242" t="s">
        <v>39</v>
      </c>
      <c r="J80" s="242" t="s">
        <v>39</v>
      </c>
      <c r="K80" s="242" t="s">
        <v>39</v>
      </c>
      <c r="L80" s="242" t="s">
        <v>39</v>
      </c>
    </row>
    <row r="81" spans="2:12" s="164" customFormat="1">
      <c r="B81" s="298">
        <v>12</v>
      </c>
      <c r="C81" s="322"/>
      <c r="D81" s="160"/>
      <c r="E81" s="242" t="s">
        <v>39</v>
      </c>
      <c r="F81" s="242" t="s">
        <v>39</v>
      </c>
      <c r="G81" s="242" t="s">
        <v>34</v>
      </c>
      <c r="H81" s="242" t="s">
        <v>39</v>
      </c>
      <c r="I81" s="242" t="s">
        <v>39</v>
      </c>
      <c r="J81" s="242" t="s">
        <v>39</v>
      </c>
      <c r="K81" s="242" t="s">
        <v>39</v>
      </c>
      <c r="L81" s="242" t="s">
        <v>39</v>
      </c>
    </row>
    <row r="82" spans="2:12" s="164" customFormat="1">
      <c r="B82" s="298">
        <v>25</v>
      </c>
      <c r="C82" s="322"/>
      <c r="D82" s="160"/>
      <c r="E82" s="242" t="s">
        <v>39</v>
      </c>
      <c r="F82" s="242" t="s">
        <v>39</v>
      </c>
      <c r="G82" s="242" t="s">
        <v>39</v>
      </c>
      <c r="H82" s="242" t="s">
        <v>39</v>
      </c>
      <c r="I82" s="242" t="s">
        <v>39</v>
      </c>
      <c r="J82" s="242" t="s">
        <v>39</v>
      </c>
      <c r="K82" s="242" t="s">
        <v>39</v>
      </c>
      <c r="L82" s="242" t="s">
        <v>39</v>
      </c>
    </row>
    <row r="83" spans="2:12" s="164" customFormat="1">
      <c r="B83" s="299">
        <v>30</v>
      </c>
      <c r="C83" s="322"/>
      <c r="D83" s="160"/>
      <c r="E83" s="478" t="s">
        <v>39</v>
      </c>
      <c r="F83" s="478" t="s">
        <v>39</v>
      </c>
      <c r="G83" s="478" t="s">
        <v>39</v>
      </c>
      <c r="H83" s="478" t="s">
        <v>39</v>
      </c>
      <c r="I83" s="478" t="s">
        <v>39</v>
      </c>
      <c r="J83" s="478" t="s">
        <v>39</v>
      </c>
      <c r="K83" s="478" t="s">
        <v>39</v>
      </c>
      <c r="L83" s="478" t="s">
        <v>39</v>
      </c>
    </row>
    <row r="85" spans="2:12" s="164" customFormat="1">
      <c r="B85" s="34" t="str">
        <f ca="1">GetNameRange(B86)</f>
        <v>gmwb_withdrl_rate_indexing_part_rate_aig</v>
      </c>
      <c r="E85" s="167"/>
      <c r="F85" s="167"/>
      <c r="G85" s="167"/>
      <c r="H85" s="167"/>
      <c r="I85" s="167"/>
      <c r="J85" s="167"/>
      <c r="K85" s="167"/>
      <c r="L85" s="167"/>
    </row>
    <row r="86" spans="2:12" s="164" customFormat="1" ht="13">
      <c r="B86" s="297" t="s">
        <v>314</v>
      </c>
      <c r="C86" s="300"/>
      <c r="D86" s="310"/>
      <c r="E86" s="90" t="str">
        <f>E$4</f>
        <v>BASE_DEV</v>
      </c>
      <c r="F86" s="90" t="str">
        <f>F$4</f>
        <v>LIPM_DEV</v>
      </c>
      <c r="G86" s="90" t="str">
        <f>G$4</f>
        <v>LIP_DEV</v>
      </c>
      <c r="H86" s="168" t="s">
        <v>528</v>
      </c>
      <c r="I86" s="168" t="s">
        <v>527</v>
      </c>
      <c r="J86" s="168" t="s">
        <v>383</v>
      </c>
      <c r="K86" s="168" t="s">
        <v>529</v>
      </c>
      <c r="L86" s="90" t="str">
        <f t="shared" ref="L86" si="1">L$4</f>
        <v>BASE</v>
      </c>
    </row>
    <row r="87" spans="2:12" s="164" customFormat="1" ht="13">
      <c r="B87" s="297" t="s">
        <v>219</v>
      </c>
      <c r="C87" s="141"/>
      <c r="D87" s="300"/>
      <c r="E87" s="90"/>
      <c r="F87" s="90"/>
      <c r="G87" s="90"/>
      <c r="H87" s="167"/>
      <c r="I87" s="167"/>
      <c r="J87" s="167"/>
      <c r="K87" s="167"/>
      <c r="L87" s="90"/>
    </row>
    <row r="88" spans="2:12" s="164" customFormat="1">
      <c r="B88" s="298" t="s">
        <v>220</v>
      </c>
      <c r="C88" s="322">
        <v>1</v>
      </c>
      <c r="D88" s="160"/>
      <c r="E88" s="479">
        <v>0.5</v>
      </c>
      <c r="F88" s="479">
        <v>0.5</v>
      </c>
      <c r="G88" s="479">
        <v>0.5</v>
      </c>
      <c r="H88" s="479">
        <v>0.5</v>
      </c>
      <c r="I88" s="479">
        <v>0.5</v>
      </c>
      <c r="J88" s="479">
        <v>0.5</v>
      </c>
      <c r="K88" s="479">
        <v>0.5</v>
      </c>
      <c r="L88" s="479">
        <v>0.5</v>
      </c>
    </row>
    <row r="89" spans="2:12" s="164" customFormat="1">
      <c r="B89" s="298" t="s">
        <v>220</v>
      </c>
      <c r="C89" s="322">
        <v>10</v>
      </c>
      <c r="D89" s="160"/>
      <c r="E89" s="479">
        <v>0.5</v>
      </c>
      <c r="F89" s="479">
        <v>0.5</v>
      </c>
      <c r="G89" s="479">
        <v>0.5</v>
      </c>
      <c r="H89" s="479">
        <v>0.5</v>
      </c>
      <c r="I89" s="479">
        <v>0.5</v>
      </c>
      <c r="J89" s="479">
        <v>0.5</v>
      </c>
      <c r="K89" s="479">
        <v>0.5</v>
      </c>
      <c r="L89" s="479">
        <v>0.5</v>
      </c>
    </row>
    <row r="90" spans="2:12" s="164" customFormat="1">
      <c r="B90" s="298" t="s">
        <v>220</v>
      </c>
      <c r="C90" s="322">
        <v>15</v>
      </c>
      <c r="D90" s="160"/>
      <c r="E90" s="479">
        <v>0.5</v>
      </c>
      <c r="F90" s="479">
        <v>0.5</v>
      </c>
      <c r="G90" s="479">
        <v>0.5</v>
      </c>
      <c r="H90" s="479">
        <v>0.5</v>
      </c>
      <c r="I90" s="479">
        <v>0.5</v>
      </c>
      <c r="J90" s="479">
        <v>0.5</v>
      </c>
      <c r="K90" s="479">
        <v>0.5</v>
      </c>
      <c r="L90" s="479">
        <v>0.5</v>
      </c>
    </row>
    <row r="91" spans="2:12" s="164" customFormat="1">
      <c r="B91" s="298" t="s">
        <v>221</v>
      </c>
      <c r="C91" s="322">
        <v>1</v>
      </c>
      <c r="D91" s="160"/>
      <c r="E91" s="479">
        <v>0.5</v>
      </c>
      <c r="F91" s="479">
        <v>0.5</v>
      </c>
      <c r="G91" s="479">
        <v>0.5</v>
      </c>
      <c r="H91" s="479">
        <v>0.5</v>
      </c>
      <c r="I91" s="479">
        <v>0.5</v>
      </c>
      <c r="J91" s="479">
        <v>0.5</v>
      </c>
      <c r="K91" s="479">
        <v>0.5</v>
      </c>
      <c r="L91" s="479">
        <v>0.5</v>
      </c>
    </row>
    <row r="92" spans="2:12" s="164" customFormat="1">
      <c r="B92" s="298" t="s">
        <v>222</v>
      </c>
      <c r="C92" s="322">
        <v>1</v>
      </c>
      <c r="D92" s="160"/>
      <c r="E92" s="479">
        <v>0.5</v>
      </c>
      <c r="F92" s="479">
        <v>0.5</v>
      </c>
      <c r="G92" s="479">
        <v>0.5</v>
      </c>
      <c r="H92" s="479">
        <v>0.5</v>
      </c>
      <c r="I92" s="479">
        <v>0.5</v>
      </c>
      <c r="J92" s="479">
        <v>0.5</v>
      </c>
      <c r="K92" s="479">
        <v>0.5</v>
      </c>
      <c r="L92" s="479">
        <v>0.5</v>
      </c>
    </row>
    <row r="93" spans="2:12" s="164" customFormat="1">
      <c r="B93" s="298" t="s">
        <v>222</v>
      </c>
      <c r="C93" s="322">
        <v>10</v>
      </c>
      <c r="D93" s="160"/>
      <c r="E93" s="479">
        <v>0.5</v>
      </c>
      <c r="F93" s="479">
        <v>0.5</v>
      </c>
      <c r="G93" s="479">
        <v>0.5</v>
      </c>
      <c r="H93" s="479">
        <v>0.5</v>
      </c>
      <c r="I93" s="479">
        <v>0.5</v>
      </c>
      <c r="J93" s="479">
        <v>0.5</v>
      </c>
      <c r="K93" s="479">
        <v>0.5</v>
      </c>
      <c r="L93" s="479">
        <v>0.5</v>
      </c>
    </row>
    <row r="94" spans="2:12" s="164" customFormat="1">
      <c r="B94" s="298" t="s">
        <v>222</v>
      </c>
      <c r="C94" s="322">
        <v>15</v>
      </c>
      <c r="D94" s="160"/>
      <c r="E94" s="479">
        <v>0.5</v>
      </c>
      <c r="F94" s="479">
        <v>0.5</v>
      </c>
      <c r="G94" s="479">
        <v>0.5</v>
      </c>
      <c r="H94" s="479">
        <v>0.5</v>
      </c>
      <c r="I94" s="479">
        <v>0.5</v>
      </c>
      <c r="J94" s="479">
        <v>0.5</v>
      </c>
      <c r="K94" s="479">
        <v>0.5</v>
      </c>
      <c r="L94" s="479">
        <v>0.5</v>
      </c>
    </row>
    <row r="95" spans="2:12" s="164" customFormat="1">
      <c r="B95" s="298" t="s">
        <v>222</v>
      </c>
      <c r="C95" s="322">
        <v>20</v>
      </c>
      <c r="D95" s="160"/>
      <c r="E95" s="479">
        <v>0.5</v>
      </c>
      <c r="F95" s="479">
        <v>0.5</v>
      </c>
      <c r="G95" s="479">
        <v>0.5</v>
      </c>
      <c r="H95" s="479">
        <v>0.5</v>
      </c>
      <c r="I95" s="479">
        <v>0.5</v>
      </c>
      <c r="J95" s="479">
        <v>0.5</v>
      </c>
      <c r="K95" s="479">
        <v>0.5</v>
      </c>
      <c r="L95" s="479">
        <v>0.5</v>
      </c>
    </row>
    <row r="96" spans="2:12" s="164" customFormat="1">
      <c r="B96" s="298" t="s">
        <v>222</v>
      </c>
      <c r="C96" s="322">
        <v>25</v>
      </c>
      <c r="D96" s="160"/>
      <c r="E96" s="479">
        <v>0.5</v>
      </c>
      <c r="F96" s="479">
        <v>0.5</v>
      </c>
      <c r="G96" s="479">
        <v>0.5</v>
      </c>
      <c r="H96" s="479">
        <v>0.5</v>
      </c>
      <c r="I96" s="479">
        <v>0.5</v>
      </c>
      <c r="J96" s="479">
        <v>0.5</v>
      </c>
      <c r="K96" s="479">
        <v>0.5</v>
      </c>
      <c r="L96" s="479">
        <v>0.5</v>
      </c>
    </row>
    <row r="97" spans="2:12" s="164" customFormat="1">
      <c r="B97" s="298" t="s">
        <v>223</v>
      </c>
      <c r="C97" s="322">
        <v>1</v>
      </c>
      <c r="D97" s="160"/>
      <c r="E97" s="479">
        <v>0.5</v>
      </c>
      <c r="F97" s="479">
        <v>0.5</v>
      </c>
      <c r="G97" s="479">
        <v>0.5</v>
      </c>
      <c r="H97" s="479">
        <v>0.5</v>
      </c>
      <c r="I97" s="479">
        <v>0.5</v>
      </c>
      <c r="J97" s="479">
        <v>0.5</v>
      </c>
      <c r="K97" s="479">
        <v>0.5</v>
      </c>
      <c r="L97" s="479">
        <v>0.5</v>
      </c>
    </row>
    <row r="98" spans="2:12" s="164" customFormat="1">
      <c r="B98" s="298" t="s">
        <v>223</v>
      </c>
      <c r="C98" s="322">
        <v>10</v>
      </c>
      <c r="D98" s="160"/>
      <c r="E98" s="479">
        <v>0.5</v>
      </c>
      <c r="F98" s="479">
        <v>0.5</v>
      </c>
      <c r="G98" s="479">
        <v>0.5</v>
      </c>
      <c r="H98" s="479">
        <v>0.5</v>
      </c>
      <c r="I98" s="479">
        <v>0.5</v>
      </c>
      <c r="J98" s="479">
        <v>0.5</v>
      </c>
      <c r="K98" s="479">
        <v>0.5</v>
      </c>
      <c r="L98" s="479">
        <v>0.5</v>
      </c>
    </row>
    <row r="99" spans="2:12" s="164" customFormat="1">
      <c r="B99" s="299" t="s">
        <v>223</v>
      </c>
      <c r="C99" s="322">
        <v>25</v>
      </c>
      <c r="D99" s="160"/>
      <c r="E99" s="479">
        <v>0.5</v>
      </c>
      <c r="F99" s="479">
        <v>0.5</v>
      </c>
      <c r="G99" s="479">
        <v>0.5</v>
      </c>
      <c r="H99" s="479">
        <v>0.5</v>
      </c>
      <c r="I99" s="479">
        <v>0.5</v>
      </c>
      <c r="J99" s="479">
        <v>0.5</v>
      </c>
      <c r="K99" s="479">
        <v>0.5</v>
      </c>
      <c r="L99" s="479">
        <v>0.5</v>
      </c>
    </row>
    <row r="100" spans="2:12" s="164" customFormat="1">
      <c r="B100" s="34"/>
      <c r="E100" s="167"/>
      <c r="F100" s="167"/>
      <c r="G100" s="167"/>
      <c r="H100" s="167"/>
      <c r="I100" s="167"/>
      <c r="J100" s="167"/>
      <c r="K100" s="167"/>
      <c r="L100" s="167"/>
    </row>
    <row r="101" spans="2:12" s="65" customFormat="1" ht="12.75" customHeight="1">
      <c r="B101" s="33" t="str">
        <f ca="1">GetNameRange(B102)</f>
        <v>gmwb_max_annual_wdl_pct</v>
      </c>
      <c r="C101" s="33"/>
      <c r="D101" s="18"/>
      <c r="E101" s="242"/>
      <c r="F101" s="242"/>
      <c r="G101" s="242"/>
      <c r="H101" s="242"/>
      <c r="I101" s="242"/>
      <c r="J101" s="242"/>
      <c r="K101" s="242"/>
      <c r="L101" s="242"/>
    </row>
    <row r="102" spans="2:12" s="65" customFormat="1" ht="12.75" customHeight="1">
      <c r="B102" s="297" t="s">
        <v>314</v>
      </c>
      <c r="C102" s="300"/>
      <c r="D102" s="310" t="str">
        <f>Product!C$4</f>
        <v>plan_code</v>
      </c>
      <c r="E102" s="90" t="str">
        <f t="shared" ref="E102:L102" si="2">E$4</f>
        <v>BASE_DEV</v>
      </c>
      <c r="F102" s="90" t="str">
        <f t="shared" si="2"/>
        <v>LIPM_DEV</v>
      </c>
      <c r="G102" s="90" t="str">
        <f t="shared" si="2"/>
        <v>LIP_DEV</v>
      </c>
      <c r="H102" s="168" t="s">
        <v>528</v>
      </c>
      <c r="I102" s="168" t="s">
        <v>527</v>
      </c>
      <c r="J102" s="168" t="s">
        <v>383</v>
      </c>
      <c r="K102" s="168" t="s">
        <v>529</v>
      </c>
      <c r="L102" s="90" t="str">
        <f t="shared" si="2"/>
        <v>BASE</v>
      </c>
    </row>
    <row r="103" spans="2:12" s="65" customFormat="1" ht="12.75" customHeight="1">
      <c r="B103" s="297" t="s">
        <v>242</v>
      </c>
      <c r="C103" s="141" t="s">
        <v>212</v>
      </c>
      <c r="D103" s="300"/>
      <c r="E103" s="90"/>
      <c r="F103" s="90"/>
      <c r="G103" s="90"/>
      <c r="H103" s="237"/>
      <c r="I103" s="237"/>
      <c r="J103" s="237"/>
      <c r="K103" s="237"/>
      <c r="L103" s="90"/>
    </row>
    <row r="104" spans="2:12" s="65" customFormat="1" ht="12.75" customHeight="1">
      <c r="B104" s="310" t="s">
        <v>243</v>
      </c>
      <c r="C104" s="189">
        <v>50</v>
      </c>
      <c r="D104" s="160"/>
      <c r="E104" s="336">
        <v>0</v>
      </c>
      <c r="F104" s="336">
        <v>3.5000000000000003E-2</v>
      </c>
      <c r="G104" s="336">
        <v>3.5000000000000003E-2</v>
      </c>
      <c r="H104" s="336">
        <v>3.2000000000000001E-2</v>
      </c>
      <c r="I104" s="336">
        <v>3.2000000000000001E-2</v>
      </c>
      <c r="J104" s="337">
        <v>0.03</v>
      </c>
      <c r="K104" s="337">
        <v>0.03</v>
      </c>
      <c r="L104" s="336">
        <v>0</v>
      </c>
    </row>
    <row r="105" spans="2:12" s="155" customFormat="1" ht="12.75" customHeight="1">
      <c r="B105" s="310" t="s">
        <v>243</v>
      </c>
      <c r="C105" s="189">
        <v>51</v>
      </c>
      <c r="D105" s="160"/>
      <c r="E105" s="336">
        <v>0</v>
      </c>
      <c r="F105" s="336">
        <v>3.5000000000000003E-2</v>
      </c>
      <c r="G105" s="336">
        <v>3.5000000000000003E-2</v>
      </c>
      <c r="H105" s="337">
        <v>3.2000000000000001E-2</v>
      </c>
      <c r="I105" s="337">
        <v>3.2000000000000001E-2</v>
      </c>
      <c r="J105" s="337">
        <v>0.03</v>
      </c>
      <c r="K105" s="337">
        <v>0.03</v>
      </c>
      <c r="L105" s="336">
        <v>0</v>
      </c>
    </row>
    <row r="106" spans="2:12" s="155" customFormat="1" ht="12.75" customHeight="1">
      <c r="B106" s="310" t="s">
        <v>243</v>
      </c>
      <c r="C106" s="189">
        <v>52</v>
      </c>
      <c r="D106" s="160"/>
      <c r="E106" s="336">
        <v>0</v>
      </c>
      <c r="F106" s="336">
        <v>3.5000000000000003E-2</v>
      </c>
      <c r="G106" s="336">
        <v>3.5000000000000003E-2</v>
      </c>
      <c r="H106" s="337">
        <v>3.2000000000000001E-2</v>
      </c>
      <c r="I106" s="337">
        <v>3.2000000000000001E-2</v>
      </c>
      <c r="J106" s="337">
        <v>0.03</v>
      </c>
      <c r="K106" s="337">
        <v>0.03</v>
      </c>
      <c r="L106" s="336">
        <v>0</v>
      </c>
    </row>
    <row r="107" spans="2:12" s="155" customFormat="1" ht="12.75" customHeight="1">
      <c r="B107" s="310" t="s">
        <v>243</v>
      </c>
      <c r="C107" s="189">
        <v>53</v>
      </c>
      <c r="D107" s="160"/>
      <c r="E107" s="336">
        <v>0</v>
      </c>
      <c r="F107" s="336">
        <v>3.5000000000000003E-2</v>
      </c>
      <c r="G107" s="336">
        <v>3.5000000000000003E-2</v>
      </c>
      <c r="H107" s="337">
        <v>3.2000000000000001E-2</v>
      </c>
      <c r="I107" s="337">
        <v>3.2000000000000001E-2</v>
      </c>
      <c r="J107" s="337">
        <v>0.03</v>
      </c>
      <c r="K107" s="337">
        <v>0.03</v>
      </c>
      <c r="L107" s="336">
        <v>0</v>
      </c>
    </row>
    <row r="108" spans="2:12" s="65" customFormat="1" ht="12.75" customHeight="1">
      <c r="B108" s="310" t="s">
        <v>243</v>
      </c>
      <c r="C108" s="189">
        <v>54</v>
      </c>
      <c r="D108" s="160"/>
      <c r="E108" s="336">
        <v>0</v>
      </c>
      <c r="F108" s="336">
        <v>3.5000000000000003E-2</v>
      </c>
      <c r="G108" s="336">
        <v>3.5000000000000003E-2</v>
      </c>
      <c r="H108" s="337">
        <v>3.2000000000000001E-2</v>
      </c>
      <c r="I108" s="337">
        <v>3.2000000000000001E-2</v>
      </c>
      <c r="J108" s="337">
        <v>0.03</v>
      </c>
      <c r="K108" s="337">
        <v>0.03</v>
      </c>
      <c r="L108" s="336">
        <v>0</v>
      </c>
    </row>
    <row r="109" spans="2:12" s="65" customFormat="1" ht="12.75" customHeight="1">
      <c r="B109" s="310" t="s">
        <v>243</v>
      </c>
      <c r="C109" s="189">
        <v>55</v>
      </c>
      <c r="D109" s="160"/>
      <c r="E109" s="336">
        <v>0</v>
      </c>
      <c r="F109" s="336">
        <v>3.5000000000000003E-2</v>
      </c>
      <c r="G109" s="336">
        <v>3.5000000000000003E-2</v>
      </c>
      <c r="H109" s="337">
        <v>3.2999999999999995E-2</v>
      </c>
      <c r="I109" s="337">
        <v>3.2999999999999995E-2</v>
      </c>
      <c r="J109" s="337">
        <v>0.03</v>
      </c>
      <c r="K109" s="337">
        <v>0.03</v>
      </c>
      <c r="L109" s="336">
        <v>0</v>
      </c>
    </row>
    <row r="110" spans="2:12" s="65" customFormat="1" ht="12.75" customHeight="1">
      <c r="B110" s="310" t="s">
        <v>243</v>
      </c>
      <c r="C110" s="189">
        <v>56</v>
      </c>
      <c r="D110" s="160"/>
      <c r="E110" s="336">
        <v>0</v>
      </c>
      <c r="F110" s="336">
        <v>3.5000000000000003E-2</v>
      </c>
      <c r="G110" s="336">
        <v>3.5000000000000003E-2</v>
      </c>
      <c r="H110" s="337">
        <v>3.4499999999999996E-2</v>
      </c>
      <c r="I110" s="337">
        <v>3.4499999999999996E-2</v>
      </c>
      <c r="J110" s="337">
        <v>3.15E-2</v>
      </c>
      <c r="K110" s="337">
        <v>3.15E-2</v>
      </c>
      <c r="L110" s="336">
        <v>0</v>
      </c>
    </row>
    <row r="111" spans="2:12" s="65" customFormat="1" ht="12.75" customHeight="1">
      <c r="B111" s="310" t="s">
        <v>243</v>
      </c>
      <c r="C111" s="189">
        <v>57</v>
      </c>
      <c r="D111" s="160"/>
      <c r="E111" s="336">
        <v>0</v>
      </c>
      <c r="F111" s="336">
        <v>3.5000000000000003E-2</v>
      </c>
      <c r="G111" s="336">
        <v>3.5000000000000003E-2</v>
      </c>
      <c r="H111" s="337">
        <v>3.5999999999999997E-2</v>
      </c>
      <c r="I111" s="337">
        <v>3.5999999999999997E-2</v>
      </c>
      <c r="J111" s="337">
        <v>3.3000000000000002E-2</v>
      </c>
      <c r="K111" s="337">
        <v>3.3000000000000002E-2</v>
      </c>
      <c r="L111" s="336">
        <v>0</v>
      </c>
    </row>
    <row r="112" spans="2:12" s="65" customFormat="1" ht="12.75" customHeight="1">
      <c r="B112" s="310" t="s">
        <v>243</v>
      </c>
      <c r="C112" s="189">
        <v>58</v>
      </c>
      <c r="D112" s="160"/>
      <c r="E112" s="336">
        <v>0</v>
      </c>
      <c r="F112" s="336">
        <v>3.5000000000000003E-2</v>
      </c>
      <c r="G112" s="336">
        <v>3.5000000000000003E-2</v>
      </c>
      <c r="H112" s="337">
        <v>3.7499999999999999E-2</v>
      </c>
      <c r="I112" s="337">
        <v>3.7499999999999999E-2</v>
      </c>
      <c r="J112" s="337">
        <v>3.4500000000000003E-2</v>
      </c>
      <c r="K112" s="337">
        <v>3.4500000000000003E-2</v>
      </c>
      <c r="L112" s="336">
        <v>0</v>
      </c>
    </row>
    <row r="113" spans="2:12" s="65" customFormat="1" ht="12.75" customHeight="1">
      <c r="B113" s="310" t="s">
        <v>243</v>
      </c>
      <c r="C113" s="189">
        <v>59</v>
      </c>
      <c r="D113" s="160"/>
      <c r="E113" s="336">
        <v>0</v>
      </c>
      <c r="F113" s="336">
        <v>3.5000000000000003E-2</v>
      </c>
      <c r="G113" s="336">
        <v>3.5000000000000003E-2</v>
      </c>
      <c r="H113" s="337">
        <v>3.8999999999999993E-2</v>
      </c>
      <c r="I113" s="337">
        <v>3.8999999999999993E-2</v>
      </c>
      <c r="J113" s="337">
        <v>3.6000000000000004E-2</v>
      </c>
      <c r="K113" s="337">
        <v>3.6000000000000004E-2</v>
      </c>
      <c r="L113" s="336">
        <v>0</v>
      </c>
    </row>
    <row r="114" spans="2:12" s="65" customFormat="1" ht="12.75" customHeight="1">
      <c r="B114" s="310" t="s">
        <v>243</v>
      </c>
      <c r="C114" s="189">
        <v>60</v>
      </c>
      <c r="D114" s="160"/>
      <c r="E114" s="336">
        <v>0</v>
      </c>
      <c r="F114" s="336">
        <v>0.04</v>
      </c>
      <c r="G114" s="336">
        <v>0.04</v>
      </c>
      <c r="H114" s="337">
        <v>4.0499999999999994E-2</v>
      </c>
      <c r="I114" s="337">
        <v>4.0499999999999994E-2</v>
      </c>
      <c r="J114" s="337">
        <v>3.7500000000000006E-2</v>
      </c>
      <c r="K114" s="337">
        <v>3.7500000000000006E-2</v>
      </c>
      <c r="L114" s="336">
        <v>0</v>
      </c>
    </row>
    <row r="115" spans="2:12" s="65" customFormat="1" ht="12.75" customHeight="1">
      <c r="B115" s="310" t="s">
        <v>243</v>
      </c>
      <c r="C115" s="189">
        <v>61</v>
      </c>
      <c r="D115" s="160"/>
      <c r="E115" s="336">
        <v>0</v>
      </c>
      <c r="F115" s="336">
        <v>0.04</v>
      </c>
      <c r="G115" s="336">
        <v>0.04</v>
      </c>
      <c r="H115" s="337">
        <v>4.1999999999999996E-2</v>
      </c>
      <c r="I115" s="337">
        <v>4.1999999999999996E-2</v>
      </c>
      <c r="J115" s="337">
        <v>3.9000000000000007E-2</v>
      </c>
      <c r="K115" s="337">
        <v>3.9000000000000007E-2</v>
      </c>
      <c r="L115" s="336">
        <v>0</v>
      </c>
    </row>
    <row r="116" spans="2:12" s="65" customFormat="1" ht="12.75" customHeight="1">
      <c r="B116" s="310" t="s">
        <v>243</v>
      </c>
      <c r="C116" s="189">
        <v>62</v>
      </c>
      <c r="D116" s="160"/>
      <c r="E116" s="336">
        <v>0</v>
      </c>
      <c r="F116" s="336">
        <v>0.04</v>
      </c>
      <c r="G116" s="336">
        <v>0.04</v>
      </c>
      <c r="H116" s="337">
        <v>4.3499999999999997E-2</v>
      </c>
      <c r="I116" s="337">
        <v>4.3499999999999997E-2</v>
      </c>
      <c r="J116" s="337">
        <v>4.0500000000000008E-2</v>
      </c>
      <c r="K116" s="337">
        <v>4.0500000000000008E-2</v>
      </c>
      <c r="L116" s="336">
        <v>0</v>
      </c>
    </row>
    <row r="117" spans="2:12" s="65" customFormat="1" ht="12.75" customHeight="1">
      <c r="B117" s="310" t="s">
        <v>243</v>
      </c>
      <c r="C117" s="189">
        <v>63</v>
      </c>
      <c r="D117" s="160"/>
      <c r="E117" s="336">
        <v>0</v>
      </c>
      <c r="F117" s="336">
        <v>0.04</v>
      </c>
      <c r="G117" s="336">
        <v>0.04</v>
      </c>
      <c r="H117" s="337">
        <v>4.4999999999999998E-2</v>
      </c>
      <c r="I117" s="337">
        <v>4.4999999999999998E-2</v>
      </c>
      <c r="J117" s="337">
        <v>4.200000000000001E-2</v>
      </c>
      <c r="K117" s="337">
        <v>4.200000000000001E-2</v>
      </c>
      <c r="L117" s="336">
        <v>0</v>
      </c>
    </row>
    <row r="118" spans="2:12" s="65" customFormat="1" ht="12.75" customHeight="1">
      <c r="B118" s="310" t="s">
        <v>243</v>
      </c>
      <c r="C118" s="189">
        <v>64</v>
      </c>
      <c r="D118" s="160"/>
      <c r="E118" s="336">
        <v>0</v>
      </c>
      <c r="F118" s="336">
        <v>0.04</v>
      </c>
      <c r="G118" s="336">
        <v>0.04</v>
      </c>
      <c r="H118" s="337">
        <v>4.6499999999999993E-2</v>
      </c>
      <c r="I118" s="337">
        <v>4.6499999999999993E-2</v>
      </c>
      <c r="J118" s="337">
        <v>4.3500000000000011E-2</v>
      </c>
      <c r="K118" s="337">
        <v>4.3500000000000011E-2</v>
      </c>
      <c r="L118" s="336">
        <v>0</v>
      </c>
    </row>
    <row r="119" spans="2:12" s="65" customFormat="1" ht="12.75" customHeight="1">
      <c r="B119" s="310" t="s">
        <v>243</v>
      </c>
      <c r="C119" s="189">
        <v>65</v>
      </c>
      <c r="D119" s="160"/>
      <c r="E119" s="336">
        <v>0</v>
      </c>
      <c r="F119" s="336">
        <v>5.2499999999999998E-2</v>
      </c>
      <c r="G119" s="336">
        <v>5.5E-2</v>
      </c>
      <c r="H119" s="337">
        <v>4.7999999999999994E-2</v>
      </c>
      <c r="I119" s="337">
        <v>4.7999999999999994E-2</v>
      </c>
      <c r="J119" s="337">
        <v>4.5000000000000012E-2</v>
      </c>
      <c r="K119" s="337">
        <v>4.5000000000000012E-2</v>
      </c>
      <c r="L119" s="336">
        <v>0</v>
      </c>
    </row>
    <row r="120" spans="2:12" s="65" customFormat="1" ht="12.75" customHeight="1">
      <c r="B120" s="310" t="s">
        <v>243</v>
      </c>
      <c r="C120" s="189">
        <v>66</v>
      </c>
      <c r="D120" s="160"/>
      <c r="E120" s="336">
        <v>0</v>
      </c>
      <c r="F120" s="336">
        <v>5.2499999999999998E-2</v>
      </c>
      <c r="G120" s="336">
        <v>5.5E-2</v>
      </c>
      <c r="H120" s="337">
        <v>4.9499999999999995E-2</v>
      </c>
      <c r="I120" s="337">
        <v>4.9499999999999995E-2</v>
      </c>
      <c r="J120" s="337">
        <v>4.6000000000000013E-2</v>
      </c>
      <c r="K120" s="337">
        <v>4.6000000000000013E-2</v>
      </c>
      <c r="L120" s="336">
        <v>0</v>
      </c>
    </row>
    <row r="121" spans="2:12" s="65" customFormat="1" ht="12.75" customHeight="1">
      <c r="B121" s="310" t="s">
        <v>243</v>
      </c>
      <c r="C121" s="189">
        <v>67</v>
      </c>
      <c r="D121" s="160"/>
      <c r="E121" s="336">
        <v>0</v>
      </c>
      <c r="F121" s="336">
        <v>5.2499999999999998E-2</v>
      </c>
      <c r="G121" s="336">
        <v>5.5E-2</v>
      </c>
      <c r="H121" s="337">
        <v>5.0999999999999997E-2</v>
      </c>
      <c r="I121" s="337">
        <v>5.0999999999999997E-2</v>
      </c>
      <c r="J121" s="337">
        <v>4.7000000000000014E-2</v>
      </c>
      <c r="K121" s="337">
        <v>4.7000000000000014E-2</v>
      </c>
      <c r="L121" s="336">
        <v>0</v>
      </c>
    </row>
    <row r="122" spans="2:12" s="65" customFormat="1" ht="12.75" customHeight="1">
      <c r="B122" s="310" t="s">
        <v>243</v>
      </c>
      <c r="C122" s="189">
        <v>68</v>
      </c>
      <c r="D122" s="160"/>
      <c r="E122" s="336">
        <v>0</v>
      </c>
      <c r="F122" s="336">
        <v>5.2499999999999998E-2</v>
      </c>
      <c r="G122" s="336">
        <v>5.5E-2</v>
      </c>
      <c r="H122" s="337">
        <v>5.2499999999999998E-2</v>
      </c>
      <c r="I122" s="337">
        <v>5.2499999999999998E-2</v>
      </c>
      <c r="J122" s="337">
        <v>4.8000000000000015E-2</v>
      </c>
      <c r="K122" s="337">
        <v>4.8000000000000015E-2</v>
      </c>
      <c r="L122" s="336">
        <v>0</v>
      </c>
    </row>
    <row r="123" spans="2:12" s="65" customFormat="1" ht="12.75" customHeight="1">
      <c r="B123" s="310" t="s">
        <v>243</v>
      </c>
      <c r="C123" s="189">
        <v>69</v>
      </c>
      <c r="D123" s="160"/>
      <c r="E123" s="336">
        <v>0</v>
      </c>
      <c r="F123" s="336">
        <v>5.2499999999999998E-2</v>
      </c>
      <c r="G123" s="336">
        <v>5.5E-2</v>
      </c>
      <c r="H123" s="337">
        <v>5.3999999999999999E-2</v>
      </c>
      <c r="I123" s="337">
        <v>5.3999999999999999E-2</v>
      </c>
      <c r="J123" s="337">
        <v>4.9000000000000016E-2</v>
      </c>
      <c r="K123" s="337">
        <v>4.9000000000000016E-2</v>
      </c>
      <c r="L123" s="336">
        <v>0</v>
      </c>
    </row>
    <row r="124" spans="2:12" s="65" customFormat="1" ht="12.75" customHeight="1">
      <c r="B124" s="310" t="s">
        <v>243</v>
      </c>
      <c r="C124" s="189">
        <v>70</v>
      </c>
      <c r="D124" s="160"/>
      <c r="E124" s="336">
        <v>0</v>
      </c>
      <c r="F124" s="336">
        <v>5.2499999999999998E-2</v>
      </c>
      <c r="G124" s="336">
        <v>5.5E-2</v>
      </c>
      <c r="H124" s="337">
        <v>5.5499999999999994E-2</v>
      </c>
      <c r="I124" s="337">
        <v>5.5499999999999994E-2</v>
      </c>
      <c r="J124" s="337">
        <v>5.0000000000000017E-2</v>
      </c>
      <c r="K124" s="337">
        <v>5.0000000000000017E-2</v>
      </c>
      <c r="L124" s="336">
        <v>0</v>
      </c>
    </row>
    <row r="125" spans="2:12" s="65" customFormat="1" ht="12.75" customHeight="1">
      <c r="B125" s="310" t="s">
        <v>243</v>
      </c>
      <c r="C125" s="189">
        <v>71</v>
      </c>
      <c r="D125" s="160"/>
      <c r="E125" s="336">
        <v>0</v>
      </c>
      <c r="F125" s="336">
        <v>5.2499999999999998E-2</v>
      </c>
      <c r="G125" s="336">
        <v>5.5E-2</v>
      </c>
      <c r="H125" s="337">
        <v>5.6999999999999995E-2</v>
      </c>
      <c r="I125" s="337">
        <v>5.6999999999999995E-2</v>
      </c>
      <c r="J125" s="337">
        <v>5.0500000000000017E-2</v>
      </c>
      <c r="K125" s="337">
        <v>5.0500000000000017E-2</v>
      </c>
      <c r="L125" s="336">
        <v>0</v>
      </c>
    </row>
    <row r="126" spans="2:12" s="65" customFormat="1" ht="12.75" customHeight="1">
      <c r="B126" s="310" t="s">
        <v>243</v>
      </c>
      <c r="C126" s="189">
        <v>72</v>
      </c>
      <c r="D126" s="160"/>
      <c r="E126" s="336">
        <v>0</v>
      </c>
      <c r="F126" s="336">
        <v>6.5000000000000002E-2</v>
      </c>
      <c r="G126" s="336">
        <v>6.5000000000000002E-2</v>
      </c>
      <c r="H126" s="337">
        <v>5.8499999999999996E-2</v>
      </c>
      <c r="I126" s="337">
        <v>5.8499999999999996E-2</v>
      </c>
      <c r="J126" s="337">
        <v>5.1000000000000018E-2</v>
      </c>
      <c r="K126" s="337">
        <v>5.1000000000000018E-2</v>
      </c>
      <c r="L126" s="336">
        <v>0</v>
      </c>
    </row>
    <row r="127" spans="2:12" s="65" customFormat="1" ht="12.75" customHeight="1">
      <c r="B127" s="310" t="s">
        <v>243</v>
      </c>
      <c r="C127" s="189">
        <v>73</v>
      </c>
      <c r="D127" s="160"/>
      <c r="E127" s="336">
        <v>0</v>
      </c>
      <c r="F127" s="336">
        <v>6.5000000000000002E-2</v>
      </c>
      <c r="G127" s="336">
        <v>6.5000000000000002E-2</v>
      </c>
      <c r="H127" s="337">
        <v>0.06</v>
      </c>
      <c r="I127" s="337">
        <v>0.06</v>
      </c>
      <c r="J127" s="337">
        <v>5.1500000000000018E-2</v>
      </c>
      <c r="K127" s="337">
        <v>5.1500000000000018E-2</v>
      </c>
      <c r="L127" s="336">
        <v>0</v>
      </c>
    </row>
    <row r="128" spans="2:12" s="65" customFormat="1" ht="12.75" customHeight="1">
      <c r="B128" s="310" t="s">
        <v>243</v>
      </c>
      <c r="C128" s="189">
        <v>74</v>
      </c>
      <c r="D128" s="160"/>
      <c r="E128" s="336">
        <v>0</v>
      </c>
      <c r="F128" s="336">
        <v>6.5000000000000002E-2</v>
      </c>
      <c r="G128" s="336">
        <v>6.5000000000000002E-2</v>
      </c>
      <c r="H128" s="337">
        <v>6.1499999999999999E-2</v>
      </c>
      <c r="I128" s="337">
        <v>6.1499999999999999E-2</v>
      </c>
      <c r="J128" s="337">
        <v>5.2000000000000018E-2</v>
      </c>
      <c r="K128" s="337">
        <v>5.2000000000000018E-2</v>
      </c>
      <c r="L128" s="336">
        <v>0</v>
      </c>
    </row>
    <row r="129" spans="2:12" s="65" customFormat="1" ht="12.75" customHeight="1">
      <c r="B129" s="310" t="s">
        <v>243</v>
      </c>
      <c r="C129" s="189">
        <v>75</v>
      </c>
      <c r="D129" s="160"/>
      <c r="E129" s="336">
        <v>0</v>
      </c>
      <c r="F129" s="336">
        <v>6.5000000000000002E-2</v>
      </c>
      <c r="G129" s="336">
        <v>6.5000000000000002E-2</v>
      </c>
      <c r="H129" s="337">
        <v>6.3E-2</v>
      </c>
      <c r="I129" s="337">
        <v>6.3E-2</v>
      </c>
      <c r="J129" s="337">
        <v>5.2500000000000019E-2</v>
      </c>
      <c r="K129" s="337">
        <v>5.2500000000000019E-2</v>
      </c>
      <c r="L129" s="336">
        <v>0</v>
      </c>
    </row>
    <row r="130" spans="2:12" s="65" customFormat="1" ht="12.75" customHeight="1">
      <c r="B130" s="310" t="s">
        <v>243</v>
      </c>
      <c r="C130" s="189">
        <v>76</v>
      </c>
      <c r="D130" s="160"/>
      <c r="E130" s="336">
        <v>0</v>
      </c>
      <c r="F130" s="336">
        <v>6.5000000000000002E-2</v>
      </c>
      <c r="G130" s="336">
        <v>6.5000000000000002E-2</v>
      </c>
      <c r="H130" s="337">
        <v>6.4500000000000002E-2</v>
      </c>
      <c r="I130" s="337">
        <v>6.4500000000000002E-2</v>
      </c>
      <c r="J130" s="337">
        <v>5.3000000000000019E-2</v>
      </c>
      <c r="K130" s="337">
        <v>5.3000000000000019E-2</v>
      </c>
      <c r="L130" s="336">
        <v>0</v>
      </c>
    </row>
    <row r="131" spans="2:12" s="65" customFormat="1" ht="12.75" customHeight="1">
      <c r="B131" s="310" t="s">
        <v>243</v>
      </c>
      <c r="C131" s="189">
        <v>77</v>
      </c>
      <c r="D131" s="160"/>
      <c r="E131" s="336">
        <v>0</v>
      </c>
      <c r="F131" s="336">
        <v>6.5000000000000002E-2</v>
      </c>
      <c r="G131" s="336">
        <v>6.5000000000000002E-2</v>
      </c>
      <c r="H131" s="337">
        <v>6.5999999999999989E-2</v>
      </c>
      <c r="I131" s="337">
        <v>6.5999999999999989E-2</v>
      </c>
      <c r="J131" s="337">
        <v>5.350000000000002E-2</v>
      </c>
      <c r="K131" s="337">
        <v>5.350000000000002E-2</v>
      </c>
      <c r="L131" s="336">
        <v>0</v>
      </c>
    </row>
    <row r="132" spans="2:12" s="65" customFormat="1" ht="12.75" customHeight="1">
      <c r="B132" s="310" t="s">
        <v>243</v>
      </c>
      <c r="C132" s="189">
        <v>78</v>
      </c>
      <c r="D132" s="160"/>
      <c r="E132" s="336">
        <v>0</v>
      </c>
      <c r="F132" s="336">
        <v>6.5000000000000002E-2</v>
      </c>
      <c r="G132" s="336">
        <v>6.5000000000000002E-2</v>
      </c>
      <c r="H132" s="337">
        <v>6.7499999999999991E-2</v>
      </c>
      <c r="I132" s="337">
        <v>6.7499999999999991E-2</v>
      </c>
      <c r="J132" s="337">
        <v>5.400000000000002E-2</v>
      </c>
      <c r="K132" s="337">
        <v>5.400000000000002E-2</v>
      </c>
      <c r="L132" s="336">
        <v>0</v>
      </c>
    </row>
    <row r="133" spans="2:12" s="65" customFormat="1" ht="12.75" customHeight="1">
      <c r="B133" s="310" t="s">
        <v>243</v>
      </c>
      <c r="C133" s="189">
        <v>79</v>
      </c>
      <c r="D133" s="160"/>
      <c r="E133" s="336">
        <v>0</v>
      </c>
      <c r="F133" s="336">
        <v>6.5000000000000002E-2</v>
      </c>
      <c r="G133" s="336">
        <v>6.5000000000000002E-2</v>
      </c>
      <c r="H133" s="337">
        <v>6.7999999999999991E-2</v>
      </c>
      <c r="I133" s="337">
        <v>6.7999999999999991E-2</v>
      </c>
      <c r="J133" s="337">
        <v>5.4500000000000021E-2</v>
      </c>
      <c r="K133" s="337">
        <v>5.4500000000000021E-2</v>
      </c>
      <c r="L133" s="336">
        <v>0</v>
      </c>
    </row>
    <row r="134" spans="2:12" s="155" customFormat="1" ht="12.75" customHeight="1">
      <c r="B134" s="310" t="s">
        <v>243</v>
      </c>
      <c r="C134" s="189">
        <v>80</v>
      </c>
      <c r="D134" s="160"/>
      <c r="E134" s="336">
        <v>0</v>
      </c>
      <c r="F134" s="336">
        <v>6.5000000000000002E-2</v>
      </c>
      <c r="G134" s="336">
        <v>6.5000000000000002E-2</v>
      </c>
      <c r="H134" s="337">
        <v>6.7999999999999991E-2</v>
      </c>
      <c r="I134" s="337">
        <v>6.7999999999999991E-2</v>
      </c>
      <c r="J134" s="337">
        <v>5.5000000000000021E-2</v>
      </c>
      <c r="K134" s="337">
        <v>5.5000000000000021E-2</v>
      </c>
      <c r="L134" s="336">
        <v>0</v>
      </c>
    </row>
    <row r="135" spans="2:12" s="155" customFormat="1" ht="12.75" customHeight="1">
      <c r="B135" s="310" t="s">
        <v>244</v>
      </c>
      <c r="C135" s="189">
        <f>C104</f>
        <v>50</v>
      </c>
      <c r="D135" s="160"/>
      <c r="E135" s="336">
        <v>0</v>
      </c>
      <c r="F135" s="336">
        <f t="shared" ref="F135:G150" si="3">F104-0.005</f>
        <v>3.0000000000000002E-2</v>
      </c>
      <c r="G135" s="336">
        <f t="shared" si="3"/>
        <v>3.0000000000000002E-2</v>
      </c>
      <c r="H135" s="336">
        <v>2.7E-2</v>
      </c>
      <c r="I135" s="336">
        <v>2.7E-2</v>
      </c>
      <c r="J135" s="336">
        <v>2.4999999999999998E-2</v>
      </c>
      <c r="K135" s="336">
        <v>2.4999999999999998E-2</v>
      </c>
      <c r="L135" s="336">
        <v>0</v>
      </c>
    </row>
    <row r="136" spans="2:12" s="155" customFormat="1" ht="12.75" customHeight="1">
      <c r="B136" s="310" t="s">
        <v>244</v>
      </c>
      <c r="C136" s="189">
        <f t="shared" ref="C136:C165" si="4">C105</f>
        <v>51</v>
      </c>
      <c r="D136" s="160"/>
      <c r="E136" s="336">
        <v>0</v>
      </c>
      <c r="F136" s="336">
        <f t="shared" si="3"/>
        <v>3.0000000000000002E-2</v>
      </c>
      <c r="G136" s="336">
        <f t="shared" si="3"/>
        <v>3.0000000000000002E-2</v>
      </c>
      <c r="H136" s="336">
        <v>2.7E-2</v>
      </c>
      <c r="I136" s="336">
        <v>2.7E-2</v>
      </c>
      <c r="J136" s="336">
        <v>2.4999999999999998E-2</v>
      </c>
      <c r="K136" s="336">
        <v>2.4999999999999998E-2</v>
      </c>
      <c r="L136" s="336">
        <v>0</v>
      </c>
    </row>
    <row r="137" spans="2:12" s="155" customFormat="1" ht="12.75" customHeight="1">
      <c r="B137" s="310" t="s">
        <v>244</v>
      </c>
      <c r="C137" s="189">
        <f t="shared" si="4"/>
        <v>52</v>
      </c>
      <c r="D137" s="160"/>
      <c r="E137" s="336">
        <v>0</v>
      </c>
      <c r="F137" s="336">
        <f t="shared" si="3"/>
        <v>3.0000000000000002E-2</v>
      </c>
      <c r="G137" s="336">
        <f t="shared" si="3"/>
        <v>3.0000000000000002E-2</v>
      </c>
      <c r="H137" s="336">
        <v>2.7E-2</v>
      </c>
      <c r="I137" s="336">
        <v>2.7E-2</v>
      </c>
      <c r="J137" s="336">
        <v>2.4999999999999998E-2</v>
      </c>
      <c r="K137" s="336">
        <v>2.4999999999999998E-2</v>
      </c>
      <c r="L137" s="336">
        <v>0</v>
      </c>
    </row>
    <row r="138" spans="2:12" s="155" customFormat="1" ht="12.75" customHeight="1">
      <c r="B138" s="310" t="s">
        <v>244</v>
      </c>
      <c r="C138" s="189">
        <f t="shared" si="4"/>
        <v>53</v>
      </c>
      <c r="D138" s="160"/>
      <c r="E138" s="336">
        <v>0</v>
      </c>
      <c r="F138" s="336">
        <f t="shared" si="3"/>
        <v>3.0000000000000002E-2</v>
      </c>
      <c r="G138" s="336">
        <f t="shared" si="3"/>
        <v>3.0000000000000002E-2</v>
      </c>
      <c r="H138" s="336">
        <v>2.7E-2</v>
      </c>
      <c r="I138" s="336">
        <v>2.7E-2</v>
      </c>
      <c r="J138" s="336">
        <v>2.4999999999999998E-2</v>
      </c>
      <c r="K138" s="336">
        <v>2.4999999999999998E-2</v>
      </c>
      <c r="L138" s="336">
        <v>0</v>
      </c>
    </row>
    <row r="139" spans="2:12" s="155" customFormat="1" ht="12.75" customHeight="1">
      <c r="B139" s="310" t="s">
        <v>244</v>
      </c>
      <c r="C139" s="189">
        <f t="shared" si="4"/>
        <v>54</v>
      </c>
      <c r="D139" s="160"/>
      <c r="E139" s="336">
        <v>0</v>
      </c>
      <c r="F139" s="336">
        <f t="shared" si="3"/>
        <v>3.0000000000000002E-2</v>
      </c>
      <c r="G139" s="336">
        <f t="shared" si="3"/>
        <v>3.0000000000000002E-2</v>
      </c>
      <c r="H139" s="336">
        <v>2.7E-2</v>
      </c>
      <c r="I139" s="336">
        <v>2.7E-2</v>
      </c>
      <c r="J139" s="336">
        <v>2.4999999999999998E-2</v>
      </c>
      <c r="K139" s="336">
        <v>2.4999999999999998E-2</v>
      </c>
      <c r="L139" s="336">
        <v>0</v>
      </c>
    </row>
    <row r="140" spans="2:12" s="155" customFormat="1" ht="12.75" customHeight="1">
      <c r="B140" s="310" t="s">
        <v>244</v>
      </c>
      <c r="C140" s="189">
        <f t="shared" si="4"/>
        <v>55</v>
      </c>
      <c r="D140" s="160"/>
      <c r="E140" s="336">
        <v>0</v>
      </c>
      <c r="F140" s="336">
        <f t="shared" si="3"/>
        <v>3.0000000000000002E-2</v>
      </c>
      <c r="G140" s="336">
        <f t="shared" si="3"/>
        <v>3.0000000000000002E-2</v>
      </c>
      <c r="H140" s="336">
        <v>2.7999999999999994E-2</v>
      </c>
      <c r="I140" s="336">
        <v>2.7999999999999994E-2</v>
      </c>
      <c r="J140" s="336">
        <v>2.4999999999999998E-2</v>
      </c>
      <c r="K140" s="336">
        <v>2.4999999999999998E-2</v>
      </c>
      <c r="L140" s="336">
        <v>0</v>
      </c>
    </row>
    <row r="141" spans="2:12" s="155" customFormat="1" ht="12.75" customHeight="1">
      <c r="B141" s="310" t="s">
        <v>244</v>
      </c>
      <c r="C141" s="189">
        <f t="shared" si="4"/>
        <v>56</v>
      </c>
      <c r="D141" s="160"/>
      <c r="E141" s="336">
        <v>0</v>
      </c>
      <c r="F141" s="336">
        <f t="shared" si="3"/>
        <v>3.0000000000000002E-2</v>
      </c>
      <c r="G141" s="336">
        <f t="shared" si="3"/>
        <v>3.0000000000000002E-2</v>
      </c>
      <c r="H141" s="336">
        <v>2.9499999999999995E-2</v>
      </c>
      <c r="I141" s="336">
        <v>2.9499999999999995E-2</v>
      </c>
      <c r="J141" s="336">
        <v>2.6499999999999999E-2</v>
      </c>
      <c r="K141" s="336">
        <v>2.6499999999999999E-2</v>
      </c>
      <c r="L141" s="336">
        <v>0</v>
      </c>
    </row>
    <row r="142" spans="2:12" s="155" customFormat="1" ht="12.75" customHeight="1">
      <c r="B142" s="310" t="s">
        <v>244</v>
      </c>
      <c r="C142" s="189">
        <f t="shared" si="4"/>
        <v>57</v>
      </c>
      <c r="D142" s="160"/>
      <c r="E142" s="336">
        <v>0</v>
      </c>
      <c r="F142" s="336">
        <f t="shared" si="3"/>
        <v>3.0000000000000002E-2</v>
      </c>
      <c r="G142" s="336">
        <f t="shared" si="3"/>
        <v>3.0000000000000002E-2</v>
      </c>
      <c r="H142" s="336">
        <v>3.0999999999999996E-2</v>
      </c>
      <c r="I142" s="336">
        <v>3.0999999999999996E-2</v>
      </c>
      <c r="J142" s="336">
        <v>2.8000000000000001E-2</v>
      </c>
      <c r="K142" s="336">
        <v>2.8000000000000001E-2</v>
      </c>
      <c r="L142" s="336">
        <v>0</v>
      </c>
    </row>
    <row r="143" spans="2:12" s="155" customFormat="1" ht="12.75" customHeight="1">
      <c r="B143" s="310" t="s">
        <v>244</v>
      </c>
      <c r="C143" s="189">
        <f t="shared" si="4"/>
        <v>58</v>
      </c>
      <c r="D143" s="160"/>
      <c r="E143" s="336">
        <v>0</v>
      </c>
      <c r="F143" s="336">
        <f t="shared" si="3"/>
        <v>3.0000000000000002E-2</v>
      </c>
      <c r="G143" s="336">
        <f t="shared" si="3"/>
        <v>3.0000000000000002E-2</v>
      </c>
      <c r="H143" s="336">
        <v>3.2500000000000001E-2</v>
      </c>
      <c r="I143" s="336">
        <v>3.2500000000000001E-2</v>
      </c>
      <c r="J143" s="336">
        <v>2.9500000000000002E-2</v>
      </c>
      <c r="K143" s="336">
        <v>2.9500000000000002E-2</v>
      </c>
      <c r="L143" s="336">
        <v>0</v>
      </c>
    </row>
    <row r="144" spans="2:12" s="155" customFormat="1" ht="12.75" customHeight="1">
      <c r="B144" s="310" t="s">
        <v>244</v>
      </c>
      <c r="C144" s="189">
        <f t="shared" si="4"/>
        <v>59</v>
      </c>
      <c r="D144" s="160"/>
      <c r="E144" s="336">
        <v>0</v>
      </c>
      <c r="F144" s="336">
        <f t="shared" si="3"/>
        <v>3.0000000000000002E-2</v>
      </c>
      <c r="G144" s="336">
        <f t="shared" si="3"/>
        <v>3.0000000000000002E-2</v>
      </c>
      <c r="H144" s="336">
        <v>3.3999999999999996E-2</v>
      </c>
      <c r="I144" s="336">
        <v>3.3999999999999996E-2</v>
      </c>
      <c r="J144" s="336">
        <v>3.1000000000000003E-2</v>
      </c>
      <c r="K144" s="336">
        <v>3.1000000000000003E-2</v>
      </c>
      <c r="L144" s="336">
        <v>0</v>
      </c>
    </row>
    <row r="145" spans="2:12" s="155" customFormat="1" ht="12.75" customHeight="1">
      <c r="B145" s="310" t="s">
        <v>244</v>
      </c>
      <c r="C145" s="189">
        <f t="shared" si="4"/>
        <v>60</v>
      </c>
      <c r="D145" s="160"/>
      <c r="E145" s="336">
        <v>0</v>
      </c>
      <c r="F145" s="336">
        <f t="shared" si="3"/>
        <v>3.5000000000000003E-2</v>
      </c>
      <c r="G145" s="336">
        <f t="shared" si="3"/>
        <v>3.5000000000000003E-2</v>
      </c>
      <c r="H145" s="336">
        <v>3.5499999999999997E-2</v>
      </c>
      <c r="I145" s="336">
        <v>3.5499999999999997E-2</v>
      </c>
      <c r="J145" s="336">
        <v>3.2500000000000008E-2</v>
      </c>
      <c r="K145" s="336">
        <v>3.2500000000000008E-2</v>
      </c>
      <c r="L145" s="336">
        <v>0</v>
      </c>
    </row>
    <row r="146" spans="2:12" s="155" customFormat="1" ht="12.75" customHeight="1">
      <c r="B146" s="310" t="s">
        <v>244</v>
      </c>
      <c r="C146" s="189">
        <f t="shared" si="4"/>
        <v>61</v>
      </c>
      <c r="D146" s="160"/>
      <c r="E146" s="336">
        <v>0</v>
      </c>
      <c r="F146" s="336">
        <f t="shared" si="3"/>
        <v>3.5000000000000003E-2</v>
      </c>
      <c r="G146" s="336">
        <f t="shared" si="3"/>
        <v>3.5000000000000003E-2</v>
      </c>
      <c r="H146" s="336">
        <v>3.6999999999999998E-2</v>
      </c>
      <c r="I146" s="336">
        <v>3.6999999999999998E-2</v>
      </c>
      <c r="J146" s="336">
        <v>3.4000000000000009E-2</v>
      </c>
      <c r="K146" s="336">
        <v>3.4000000000000009E-2</v>
      </c>
      <c r="L146" s="336">
        <v>0</v>
      </c>
    </row>
    <row r="147" spans="2:12" s="155" customFormat="1" ht="12.75" customHeight="1">
      <c r="B147" s="310" t="s">
        <v>244</v>
      </c>
      <c r="C147" s="189">
        <f t="shared" si="4"/>
        <v>62</v>
      </c>
      <c r="D147" s="160"/>
      <c r="E147" s="336">
        <v>0</v>
      </c>
      <c r="F147" s="336">
        <f t="shared" si="3"/>
        <v>3.5000000000000003E-2</v>
      </c>
      <c r="G147" s="336">
        <f t="shared" si="3"/>
        <v>3.5000000000000003E-2</v>
      </c>
      <c r="H147" s="336">
        <v>3.85E-2</v>
      </c>
      <c r="I147" s="336">
        <v>3.85E-2</v>
      </c>
      <c r="J147" s="336">
        <v>3.5500000000000011E-2</v>
      </c>
      <c r="K147" s="336">
        <v>3.5500000000000011E-2</v>
      </c>
      <c r="L147" s="336">
        <v>0</v>
      </c>
    </row>
    <row r="148" spans="2:12" s="155" customFormat="1" ht="12.75" customHeight="1">
      <c r="B148" s="310" t="s">
        <v>244</v>
      </c>
      <c r="C148" s="189">
        <f t="shared" si="4"/>
        <v>63</v>
      </c>
      <c r="D148" s="160"/>
      <c r="E148" s="336">
        <v>0</v>
      </c>
      <c r="F148" s="336">
        <f t="shared" si="3"/>
        <v>3.5000000000000003E-2</v>
      </c>
      <c r="G148" s="336">
        <f t="shared" si="3"/>
        <v>3.5000000000000003E-2</v>
      </c>
      <c r="H148" s="336">
        <v>0.04</v>
      </c>
      <c r="I148" s="336">
        <v>0.04</v>
      </c>
      <c r="J148" s="336">
        <v>3.7000000000000012E-2</v>
      </c>
      <c r="K148" s="336">
        <v>3.7000000000000012E-2</v>
      </c>
      <c r="L148" s="336">
        <v>0</v>
      </c>
    </row>
    <row r="149" spans="2:12" s="155" customFormat="1" ht="12.75" customHeight="1">
      <c r="B149" s="310" t="s">
        <v>244</v>
      </c>
      <c r="C149" s="189">
        <f t="shared" si="4"/>
        <v>64</v>
      </c>
      <c r="D149" s="160"/>
      <c r="E149" s="336">
        <v>0</v>
      </c>
      <c r="F149" s="336">
        <f t="shared" si="3"/>
        <v>3.5000000000000003E-2</v>
      </c>
      <c r="G149" s="336">
        <f t="shared" si="3"/>
        <v>3.5000000000000003E-2</v>
      </c>
      <c r="H149" s="336">
        <v>4.1499999999999995E-2</v>
      </c>
      <c r="I149" s="336">
        <v>4.1499999999999995E-2</v>
      </c>
      <c r="J149" s="336">
        <v>3.8500000000000013E-2</v>
      </c>
      <c r="K149" s="336">
        <v>3.8500000000000013E-2</v>
      </c>
      <c r="L149" s="336">
        <v>0</v>
      </c>
    </row>
    <row r="150" spans="2:12" s="155" customFormat="1" ht="12.75" customHeight="1">
      <c r="B150" s="310" t="s">
        <v>244</v>
      </c>
      <c r="C150" s="189">
        <f t="shared" si="4"/>
        <v>65</v>
      </c>
      <c r="D150" s="160"/>
      <c r="E150" s="336">
        <v>0</v>
      </c>
      <c r="F150" s="336">
        <f t="shared" si="3"/>
        <v>4.7500000000000001E-2</v>
      </c>
      <c r="G150" s="336">
        <f t="shared" si="3"/>
        <v>0.05</v>
      </c>
      <c r="H150" s="336">
        <v>4.2999999999999997E-2</v>
      </c>
      <c r="I150" s="336">
        <v>4.2999999999999997E-2</v>
      </c>
      <c r="J150" s="336">
        <v>4.0000000000000015E-2</v>
      </c>
      <c r="K150" s="336">
        <v>4.0000000000000015E-2</v>
      </c>
      <c r="L150" s="336">
        <v>0</v>
      </c>
    </row>
    <row r="151" spans="2:12" s="155" customFormat="1" ht="12.75" customHeight="1">
      <c r="B151" s="310" t="s">
        <v>244</v>
      </c>
      <c r="C151" s="189">
        <f t="shared" si="4"/>
        <v>66</v>
      </c>
      <c r="D151" s="160"/>
      <c r="E151" s="336">
        <v>0</v>
      </c>
      <c r="F151" s="336">
        <f t="shared" ref="F151:G165" si="5">F120-0.005</f>
        <v>4.7500000000000001E-2</v>
      </c>
      <c r="G151" s="336">
        <f t="shared" si="5"/>
        <v>0.05</v>
      </c>
      <c r="H151" s="336">
        <v>4.4499999999999998E-2</v>
      </c>
      <c r="I151" s="336">
        <v>4.4499999999999998E-2</v>
      </c>
      <c r="J151" s="336">
        <v>4.1000000000000016E-2</v>
      </c>
      <c r="K151" s="336">
        <v>4.1000000000000016E-2</v>
      </c>
      <c r="L151" s="336">
        <v>0</v>
      </c>
    </row>
    <row r="152" spans="2:12" s="155" customFormat="1" ht="12.75" customHeight="1">
      <c r="B152" s="310" t="s">
        <v>244</v>
      </c>
      <c r="C152" s="189">
        <f t="shared" si="4"/>
        <v>67</v>
      </c>
      <c r="D152" s="160"/>
      <c r="E152" s="336">
        <v>0</v>
      </c>
      <c r="F152" s="336">
        <f t="shared" si="5"/>
        <v>4.7500000000000001E-2</v>
      </c>
      <c r="G152" s="336">
        <f t="shared" si="5"/>
        <v>0.05</v>
      </c>
      <c r="H152" s="336">
        <v>4.5999999999999999E-2</v>
      </c>
      <c r="I152" s="336">
        <v>4.5999999999999999E-2</v>
      </c>
      <c r="J152" s="336">
        <v>4.2000000000000016E-2</v>
      </c>
      <c r="K152" s="336">
        <v>4.2000000000000016E-2</v>
      </c>
      <c r="L152" s="336">
        <v>0</v>
      </c>
    </row>
    <row r="153" spans="2:12" s="155" customFormat="1" ht="12.75" customHeight="1">
      <c r="B153" s="310" t="s">
        <v>244</v>
      </c>
      <c r="C153" s="189">
        <f t="shared" si="4"/>
        <v>68</v>
      </c>
      <c r="D153" s="160"/>
      <c r="E153" s="336">
        <v>0</v>
      </c>
      <c r="F153" s="336">
        <f t="shared" si="5"/>
        <v>4.7500000000000001E-2</v>
      </c>
      <c r="G153" s="336">
        <f t="shared" si="5"/>
        <v>0.05</v>
      </c>
      <c r="H153" s="336">
        <v>4.7500000000000001E-2</v>
      </c>
      <c r="I153" s="336">
        <v>4.7500000000000001E-2</v>
      </c>
      <c r="J153" s="336">
        <v>4.3000000000000017E-2</v>
      </c>
      <c r="K153" s="336">
        <v>4.3000000000000017E-2</v>
      </c>
      <c r="L153" s="336">
        <v>0</v>
      </c>
    </row>
    <row r="154" spans="2:12" s="155" customFormat="1" ht="12.75" customHeight="1">
      <c r="B154" s="310" t="s">
        <v>244</v>
      </c>
      <c r="C154" s="189">
        <f t="shared" si="4"/>
        <v>69</v>
      </c>
      <c r="D154" s="160"/>
      <c r="E154" s="336">
        <v>0</v>
      </c>
      <c r="F154" s="336">
        <f t="shared" si="5"/>
        <v>4.7500000000000001E-2</v>
      </c>
      <c r="G154" s="336">
        <f t="shared" si="5"/>
        <v>0.05</v>
      </c>
      <c r="H154" s="336">
        <v>4.9000000000000002E-2</v>
      </c>
      <c r="I154" s="336">
        <v>4.9000000000000002E-2</v>
      </c>
      <c r="J154" s="336">
        <v>4.4000000000000018E-2</v>
      </c>
      <c r="K154" s="336">
        <v>4.4000000000000018E-2</v>
      </c>
      <c r="L154" s="336">
        <v>0</v>
      </c>
    </row>
    <row r="155" spans="2:12" s="155" customFormat="1" ht="12.75" customHeight="1">
      <c r="B155" s="310" t="s">
        <v>244</v>
      </c>
      <c r="C155" s="189">
        <f t="shared" si="4"/>
        <v>70</v>
      </c>
      <c r="D155" s="160"/>
      <c r="E155" s="336">
        <v>0</v>
      </c>
      <c r="F155" s="336">
        <f t="shared" si="5"/>
        <v>4.7500000000000001E-2</v>
      </c>
      <c r="G155" s="336">
        <f t="shared" si="5"/>
        <v>0.05</v>
      </c>
      <c r="H155" s="336">
        <v>5.0499999999999996E-2</v>
      </c>
      <c r="I155" s="336">
        <v>5.0499999999999996E-2</v>
      </c>
      <c r="J155" s="336">
        <v>4.5000000000000019E-2</v>
      </c>
      <c r="K155" s="336">
        <v>4.5000000000000019E-2</v>
      </c>
      <c r="L155" s="336">
        <v>0</v>
      </c>
    </row>
    <row r="156" spans="2:12" s="155" customFormat="1" ht="12.75" customHeight="1">
      <c r="B156" s="310" t="s">
        <v>244</v>
      </c>
      <c r="C156" s="189">
        <f t="shared" si="4"/>
        <v>71</v>
      </c>
      <c r="D156" s="160"/>
      <c r="E156" s="336">
        <v>0</v>
      </c>
      <c r="F156" s="336">
        <f t="shared" si="5"/>
        <v>4.7500000000000001E-2</v>
      </c>
      <c r="G156" s="336">
        <f t="shared" si="5"/>
        <v>0.05</v>
      </c>
      <c r="H156" s="336">
        <v>5.1999999999999998E-2</v>
      </c>
      <c r="I156" s="336">
        <v>5.1999999999999998E-2</v>
      </c>
      <c r="J156" s="336">
        <v>4.550000000000002E-2</v>
      </c>
      <c r="K156" s="336">
        <v>4.550000000000002E-2</v>
      </c>
      <c r="L156" s="336">
        <v>0</v>
      </c>
    </row>
    <row r="157" spans="2:12" s="155" customFormat="1" ht="12.75" customHeight="1">
      <c r="B157" s="310" t="s">
        <v>244</v>
      </c>
      <c r="C157" s="189">
        <f t="shared" si="4"/>
        <v>72</v>
      </c>
      <c r="D157" s="160"/>
      <c r="E157" s="336">
        <v>0</v>
      </c>
      <c r="F157" s="336">
        <f t="shared" si="5"/>
        <v>6.0000000000000005E-2</v>
      </c>
      <c r="G157" s="336">
        <f t="shared" si="5"/>
        <v>6.0000000000000005E-2</v>
      </c>
      <c r="H157" s="336">
        <v>5.3499999999999999E-2</v>
      </c>
      <c r="I157" s="336">
        <v>5.3499999999999999E-2</v>
      </c>
      <c r="J157" s="336">
        <v>4.600000000000002E-2</v>
      </c>
      <c r="K157" s="336">
        <v>4.600000000000002E-2</v>
      </c>
      <c r="L157" s="336">
        <v>0</v>
      </c>
    </row>
    <row r="158" spans="2:12" s="155" customFormat="1" ht="12.75" customHeight="1">
      <c r="B158" s="310" t="s">
        <v>244</v>
      </c>
      <c r="C158" s="189">
        <f t="shared" si="4"/>
        <v>73</v>
      </c>
      <c r="D158" s="160"/>
      <c r="E158" s="336">
        <v>0</v>
      </c>
      <c r="F158" s="336">
        <f t="shared" si="5"/>
        <v>6.0000000000000005E-2</v>
      </c>
      <c r="G158" s="336">
        <f t="shared" si="5"/>
        <v>6.0000000000000005E-2</v>
      </c>
      <c r="H158" s="336">
        <v>5.5E-2</v>
      </c>
      <c r="I158" s="336">
        <v>5.5E-2</v>
      </c>
      <c r="J158" s="336">
        <v>4.650000000000002E-2</v>
      </c>
      <c r="K158" s="336">
        <v>4.650000000000002E-2</v>
      </c>
      <c r="L158" s="336">
        <v>0</v>
      </c>
    </row>
    <row r="159" spans="2:12" s="155" customFormat="1" ht="12.75" customHeight="1">
      <c r="B159" s="310" t="s">
        <v>244</v>
      </c>
      <c r="C159" s="189">
        <f t="shared" si="4"/>
        <v>74</v>
      </c>
      <c r="D159" s="160"/>
      <c r="E159" s="336">
        <v>0</v>
      </c>
      <c r="F159" s="336">
        <f t="shared" si="5"/>
        <v>6.0000000000000005E-2</v>
      </c>
      <c r="G159" s="336">
        <f t="shared" si="5"/>
        <v>6.0000000000000005E-2</v>
      </c>
      <c r="H159" s="336">
        <v>5.6500000000000002E-2</v>
      </c>
      <c r="I159" s="336">
        <v>5.6500000000000002E-2</v>
      </c>
      <c r="J159" s="336">
        <v>4.7000000000000021E-2</v>
      </c>
      <c r="K159" s="336">
        <v>4.7000000000000021E-2</v>
      </c>
      <c r="L159" s="336">
        <v>0</v>
      </c>
    </row>
    <row r="160" spans="2:12" s="155" customFormat="1" ht="12.75" customHeight="1">
      <c r="B160" s="310" t="s">
        <v>244</v>
      </c>
      <c r="C160" s="189">
        <f t="shared" si="4"/>
        <v>75</v>
      </c>
      <c r="D160" s="160"/>
      <c r="E160" s="336">
        <v>0</v>
      </c>
      <c r="F160" s="336">
        <f t="shared" si="5"/>
        <v>6.0000000000000005E-2</v>
      </c>
      <c r="G160" s="336">
        <f t="shared" si="5"/>
        <v>6.0000000000000005E-2</v>
      </c>
      <c r="H160" s="336">
        <v>5.8000000000000003E-2</v>
      </c>
      <c r="I160" s="336">
        <v>5.8000000000000003E-2</v>
      </c>
      <c r="J160" s="336">
        <v>4.7500000000000021E-2</v>
      </c>
      <c r="K160" s="336">
        <v>4.7500000000000021E-2</v>
      </c>
      <c r="L160" s="336">
        <v>0</v>
      </c>
    </row>
    <row r="161" spans="2:12" s="155" customFormat="1" ht="12.75" customHeight="1">
      <c r="B161" s="310" t="s">
        <v>244</v>
      </c>
      <c r="C161" s="189">
        <f t="shared" si="4"/>
        <v>76</v>
      </c>
      <c r="D161" s="160"/>
      <c r="E161" s="336">
        <v>0</v>
      </c>
      <c r="F161" s="336">
        <f t="shared" si="5"/>
        <v>6.0000000000000005E-2</v>
      </c>
      <c r="G161" s="336">
        <f t="shared" si="5"/>
        <v>6.0000000000000005E-2</v>
      </c>
      <c r="H161" s="336">
        <v>5.9500000000000004E-2</v>
      </c>
      <c r="I161" s="336">
        <v>5.9500000000000004E-2</v>
      </c>
      <c r="J161" s="336">
        <v>4.8000000000000022E-2</v>
      </c>
      <c r="K161" s="336">
        <v>4.8000000000000022E-2</v>
      </c>
      <c r="L161" s="336">
        <v>0</v>
      </c>
    </row>
    <row r="162" spans="2:12" s="155" customFormat="1" ht="12.75" customHeight="1">
      <c r="B162" s="310" t="s">
        <v>244</v>
      </c>
      <c r="C162" s="189">
        <f t="shared" si="4"/>
        <v>77</v>
      </c>
      <c r="D162" s="160"/>
      <c r="E162" s="336">
        <v>0</v>
      </c>
      <c r="F162" s="336">
        <f t="shared" si="5"/>
        <v>6.0000000000000005E-2</v>
      </c>
      <c r="G162" s="336">
        <f t="shared" si="5"/>
        <v>6.0000000000000005E-2</v>
      </c>
      <c r="H162" s="336">
        <v>6.0999999999999992E-2</v>
      </c>
      <c r="I162" s="336">
        <v>6.0999999999999992E-2</v>
      </c>
      <c r="J162" s="336">
        <v>4.8500000000000022E-2</v>
      </c>
      <c r="K162" s="336">
        <v>4.8500000000000022E-2</v>
      </c>
      <c r="L162" s="336">
        <v>0</v>
      </c>
    </row>
    <row r="163" spans="2:12" s="155" customFormat="1" ht="12.75" customHeight="1">
      <c r="B163" s="310" t="s">
        <v>244</v>
      </c>
      <c r="C163" s="189">
        <f t="shared" si="4"/>
        <v>78</v>
      </c>
      <c r="D163" s="160"/>
      <c r="E163" s="336">
        <v>0</v>
      </c>
      <c r="F163" s="336">
        <f t="shared" si="5"/>
        <v>6.0000000000000005E-2</v>
      </c>
      <c r="G163" s="336">
        <f t="shared" si="5"/>
        <v>6.0000000000000005E-2</v>
      </c>
      <c r="H163" s="336">
        <v>6.2499999999999993E-2</v>
      </c>
      <c r="I163" s="336">
        <v>6.2499999999999993E-2</v>
      </c>
      <c r="J163" s="336">
        <v>4.9000000000000023E-2</v>
      </c>
      <c r="K163" s="336">
        <v>4.9000000000000023E-2</v>
      </c>
      <c r="L163" s="336">
        <v>0</v>
      </c>
    </row>
    <row r="164" spans="2:12" s="155" customFormat="1" ht="12.75" customHeight="1">
      <c r="B164" s="310" t="s">
        <v>244</v>
      </c>
      <c r="C164" s="189">
        <f t="shared" si="4"/>
        <v>79</v>
      </c>
      <c r="D164" s="160"/>
      <c r="E164" s="336">
        <v>0</v>
      </c>
      <c r="F164" s="336">
        <f t="shared" si="5"/>
        <v>6.0000000000000005E-2</v>
      </c>
      <c r="G164" s="336">
        <f t="shared" si="5"/>
        <v>6.0000000000000005E-2</v>
      </c>
      <c r="H164" s="336">
        <v>6.2999999999999987E-2</v>
      </c>
      <c r="I164" s="336">
        <v>6.2999999999999987E-2</v>
      </c>
      <c r="J164" s="336">
        <v>4.9500000000000023E-2</v>
      </c>
      <c r="K164" s="336">
        <v>4.9500000000000023E-2</v>
      </c>
      <c r="L164" s="336">
        <v>0</v>
      </c>
    </row>
    <row r="165" spans="2:12" s="155" customFormat="1" ht="12.75" customHeight="1">
      <c r="B165" s="310" t="s">
        <v>244</v>
      </c>
      <c r="C165" s="189">
        <f t="shared" si="4"/>
        <v>80</v>
      </c>
      <c r="D165" s="160"/>
      <c r="E165" s="336">
        <v>0</v>
      </c>
      <c r="F165" s="336">
        <f t="shared" si="5"/>
        <v>6.0000000000000005E-2</v>
      </c>
      <c r="G165" s="336">
        <f t="shared" si="5"/>
        <v>6.0000000000000005E-2</v>
      </c>
      <c r="H165" s="336">
        <v>6.2999999999999987E-2</v>
      </c>
      <c r="I165" s="336">
        <v>6.2999999999999987E-2</v>
      </c>
      <c r="J165" s="336">
        <v>5.0000000000000024E-2</v>
      </c>
      <c r="K165" s="336">
        <v>5.0000000000000024E-2</v>
      </c>
      <c r="L165" s="336">
        <v>0</v>
      </c>
    </row>
    <row r="166" spans="2:12" s="65" customFormat="1" ht="12.75" customHeight="1">
      <c r="C166" s="155"/>
      <c r="E166" s="167"/>
      <c r="F166" s="167"/>
      <c r="G166" s="167"/>
      <c r="H166" s="167"/>
      <c r="I166" s="167"/>
      <c r="J166" s="167"/>
      <c r="K166" s="167"/>
      <c r="L166" s="167"/>
    </row>
    <row r="167" spans="2:12" s="155" customFormat="1" ht="12.75" customHeight="1">
      <c r="B167" s="33" t="str">
        <f ca="1">GetNameRange(B168)</f>
        <v>gmwb_pipp_pct_aig</v>
      </c>
      <c r="C167" s="33"/>
      <c r="D167" s="18"/>
      <c r="E167" s="242"/>
      <c r="F167" s="242"/>
      <c r="G167" s="242"/>
      <c r="H167" s="242"/>
      <c r="I167" s="242"/>
      <c r="J167" s="242"/>
      <c r="K167" s="242"/>
      <c r="L167" s="242"/>
    </row>
    <row r="168" spans="2:12" s="155" customFormat="1" ht="12.75" customHeight="1">
      <c r="B168" s="297" t="s">
        <v>314</v>
      </c>
      <c r="C168" s="300"/>
      <c r="D168" s="310" t="str">
        <f>Product!C$4</f>
        <v>plan_code</v>
      </c>
      <c r="E168" s="90" t="str">
        <f t="shared" ref="E168:L168" si="6">E$4</f>
        <v>BASE_DEV</v>
      </c>
      <c r="F168" s="90" t="str">
        <f t="shared" si="6"/>
        <v>LIPM_DEV</v>
      </c>
      <c r="G168" s="90" t="str">
        <f t="shared" si="6"/>
        <v>LIP_DEV</v>
      </c>
      <c r="H168" s="168" t="s">
        <v>528</v>
      </c>
      <c r="I168" s="168" t="s">
        <v>527</v>
      </c>
      <c r="J168" s="168" t="s">
        <v>383</v>
      </c>
      <c r="K168" s="168" t="s">
        <v>529</v>
      </c>
      <c r="L168" s="90" t="str">
        <f t="shared" si="6"/>
        <v>BASE</v>
      </c>
    </row>
    <row r="169" spans="2:12" s="155" customFormat="1" ht="12.75" customHeight="1">
      <c r="B169" s="297" t="s">
        <v>242</v>
      </c>
      <c r="C169" s="141" t="s">
        <v>212</v>
      </c>
      <c r="D169" s="300"/>
      <c r="E169" s="90"/>
      <c r="F169" s="90"/>
      <c r="G169" s="90"/>
      <c r="H169" s="237"/>
      <c r="I169" s="237"/>
      <c r="J169" s="237"/>
      <c r="K169" s="237"/>
      <c r="L169" s="90"/>
    </row>
    <row r="170" spans="2:12" s="155" customFormat="1" ht="12.75" customHeight="1">
      <c r="B170" s="310" t="s">
        <v>243</v>
      </c>
      <c r="C170" s="189">
        <v>50</v>
      </c>
      <c r="D170" s="160"/>
      <c r="E170" s="336">
        <f t="shared" ref="E170:G189" si="7">E104</f>
        <v>0</v>
      </c>
      <c r="F170" s="336">
        <f t="shared" si="7"/>
        <v>3.5000000000000003E-2</v>
      </c>
      <c r="G170" s="336">
        <f t="shared" si="7"/>
        <v>3.5000000000000003E-2</v>
      </c>
      <c r="H170" s="336">
        <v>3.2000000000000001E-2</v>
      </c>
      <c r="I170" s="336">
        <v>3.2000000000000001E-2</v>
      </c>
      <c r="J170" s="336">
        <v>0.03</v>
      </c>
      <c r="K170" s="336">
        <v>0.03</v>
      </c>
      <c r="L170" s="336">
        <f t="shared" ref="L170" si="8">L104</f>
        <v>0</v>
      </c>
    </row>
    <row r="171" spans="2:12" s="155" customFormat="1" ht="12.75" customHeight="1">
      <c r="B171" s="310" t="s">
        <v>243</v>
      </c>
      <c r="C171" s="189">
        <v>51</v>
      </c>
      <c r="D171" s="160"/>
      <c r="E171" s="336">
        <f t="shared" si="7"/>
        <v>0</v>
      </c>
      <c r="F171" s="336">
        <f t="shared" si="7"/>
        <v>3.5000000000000003E-2</v>
      </c>
      <c r="G171" s="336">
        <f t="shared" si="7"/>
        <v>3.5000000000000003E-2</v>
      </c>
      <c r="H171" s="336">
        <v>3.2000000000000001E-2</v>
      </c>
      <c r="I171" s="336">
        <v>3.2000000000000001E-2</v>
      </c>
      <c r="J171" s="336">
        <v>0.03</v>
      </c>
      <c r="K171" s="336">
        <v>0.03</v>
      </c>
      <c r="L171" s="336">
        <f t="shared" ref="L171" si="9">L105</f>
        <v>0</v>
      </c>
    </row>
    <row r="172" spans="2:12" s="155" customFormat="1" ht="12.75" customHeight="1">
      <c r="B172" s="310" t="s">
        <v>243</v>
      </c>
      <c r="C172" s="189">
        <v>52</v>
      </c>
      <c r="D172" s="160"/>
      <c r="E172" s="336">
        <f t="shared" si="7"/>
        <v>0</v>
      </c>
      <c r="F172" s="336">
        <f t="shared" si="7"/>
        <v>3.5000000000000003E-2</v>
      </c>
      <c r="G172" s="336">
        <f t="shared" si="7"/>
        <v>3.5000000000000003E-2</v>
      </c>
      <c r="H172" s="336">
        <v>3.2000000000000001E-2</v>
      </c>
      <c r="I172" s="336">
        <v>3.2000000000000001E-2</v>
      </c>
      <c r="J172" s="336">
        <v>0.03</v>
      </c>
      <c r="K172" s="336">
        <v>0.03</v>
      </c>
      <c r="L172" s="336">
        <f t="shared" ref="L172" si="10">L106</f>
        <v>0</v>
      </c>
    </row>
    <row r="173" spans="2:12" s="155" customFormat="1" ht="12.75" customHeight="1">
      <c r="B173" s="310" t="s">
        <v>243</v>
      </c>
      <c r="C173" s="189">
        <v>53</v>
      </c>
      <c r="D173" s="160"/>
      <c r="E173" s="336">
        <f t="shared" si="7"/>
        <v>0</v>
      </c>
      <c r="F173" s="336">
        <f t="shared" si="7"/>
        <v>3.5000000000000003E-2</v>
      </c>
      <c r="G173" s="336">
        <f t="shared" si="7"/>
        <v>3.5000000000000003E-2</v>
      </c>
      <c r="H173" s="336">
        <v>3.2000000000000001E-2</v>
      </c>
      <c r="I173" s="336">
        <v>3.2000000000000001E-2</v>
      </c>
      <c r="J173" s="336">
        <v>0.03</v>
      </c>
      <c r="K173" s="336">
        <v>0.03</v>
      </c>
      <c r="L173" s="336">
        <f t="shared" ref="L173" si="11">L107</f>
        <v>0</v>
      </c>
    </row>
    <row r="174" spans="2:12" s="155" customFormat="1" ht="12.75" customHeight="1">
      <c r="B174" s="310" t="s">
        <v>243</v>
      </c>
      <c r="C174" s="189">
        <v>54</v>
      </c>
      <c r="D174" s="160"/>
      <c r="E174" s="336">
        <f t="shared" si="7"/>
        <v>0</v>
      </c>
      <c r="F174" s="336">
        <f t="shared" si="7"/>
        <v>3.5000000000000003E-2</v>
      </c>
      <c r="G174" s="336">
        <f t="shared" si="7"/>
        <v>3.5000000000000003E-2</v>
      </c>
      <c r="H174" s="336">
        <v>3.2000000000000001E-2</v>
      </c>
      <c r="I174" s="336">
        <v>3.2000000000000001E-2</v>
      </c>
      <c r="J174" s="336">
        <v>0.03</v>
      </c>
      <c r="K174" s="336">
        <v>0.03</v>
      </c>
      <c r="L174" s="336">
        <f t="shared" ref="L174" si="12">L108</f>
        <v>0</v>
      </c>
    </row>
    <row r="175" spans="2:12" s="155" customFormat="1" ht="12.75" customHeight="1">
      <c r="B175" s="310" t="s">
        <v>243</v>
      </c>
      <c r="C175" s="189">
        <v>55</v>
      </c>
      <c r="D175" s="160"/>
      <c r="E175" s="336">
        <f t="shared" si="7"/>
        <v>0</v>
      </c>
      <c r="F175" s="336">
        <f t="shared" si="7"/>
        <v>3.5000000000000003E-2</v>
      </c>
      <c r="G175" s="336">
        <f t="shared" si="7"/>
        <v>3.5000000000000003E-2</v>
      </c>
      <c r="H175" s="336">
        <v>3.2999999999999995E-2</v>
      </c>
      <c r="I175" s="336">
        <v>3.2999999999999995E-2</v>
      </c>
      <c r="J175" s="336">
        <v>0.03</v>
      </c>
      <c r="K175" s="336">
        <v>0.03</v>
      </c>
      <c r="L175" s="336">
        <f t="shared" ref="L175" si="13">L109</f>
        <v>0</v>
      </c>
    </row>
    <row r="176" spans="2:12" s="155" customFormat="1" ht="12.75" customHeight="1">
      <c r="B176" s="310" t="s">
        <v>243</v>
      </c>
      <c r="C176" s="189">
        <v>56</v>
      </c>
      <c r="D176" s="160"/>
      <c r="E176" s="336">
        <f t="shared" si="7"/>
        <v>0</v>
      </c>
      <c r="F176" s="336">
        <f t="shared" si="7"/>
        <v>3.5000000000000003E-2</v>
      </c>
      <c r="G176" s="336">
        <f t="shared" si="7"/>
        <v>3.5000000000000003E-2</v>
      </c>
      <c r="H176" s="336">
        <v>3.4499999999999996E-2</v>
      </c>
      <c r="I176" s="336">
        <v>3.4499999999999996E-2</v>
      </c>
      <c r="J176" s="336">
        <v>3.15E-2</v>
      </c>
      <c r="K176" s="336">
        <v>3.15E-2</v>
      </c>
      <c r="L176" s="336">
        <f t="shared" ref="L176" si="14">L110</f>
        <v>0</v>
      </c>
    </row>
    <row r="177" spans="2:12" s="155" customFormat="1" ht="12.75" customHeight="1">
      <c r="B177" s="310" t="s">
        <v>243</v>
      </c>
      <c r="C177" s="189">
        <v>57</v>
      </c>
      <c r="D177" s="160"/>
      <c r="E177" s="336">
        <f t="shared" si="7"/>
        <v>0</v>
      </c>
      <c r="F177" s="336">
        <f t="shared" si="7"/>
        <v>3.5000000000000003E-2</v>
      </c>
      <c r="G177" s="336">
        <f t="shared" si="7"/>
        <v>3.5000000000000003E-2</v>
      </c>
      <c r="H177" s="336">
        <v>3.5999999999999997E-2</v>
      </c>
      <c r="I177" s="336">
        <v>3.5999999999999997E-2</v>
      </c>
      <c r="J177" s="336">
        <v>3.3000000000000002E-2</v>
      </c>
      <c r="K177" s="336">
        <v>3.3000000000000002E-2</v>
      </c>
      <c r="L177" s="336">
        <f t="shared" ref="L177" si="15">L111</f>
        <v>0</v>
      </c>
    </row>
    <row r="178" spans="2:12" s="155" customFormat="1" ht="12.75" customHeight="1">
      <c r="B178" s="310" t="s">
        <v>243</v>
      </c>
      <c r="C178" s="189">
        <v>58</v>
      </c>
      <c r="D178" s="160"/>
      <c r="E178" s="336">
        <f t="shared" si="7"/>
        <v>0</v>
      </c>
      <c r="F178" s="336">
        <f t="shared" si="7"/>
        <v>3.5000000000000003E-2</v>
      </c>
      <c r="G178" s="336">
        <f t="shared" si="7"/>
        <v>3.5000000000000003E-2</v>
      </c>
      <c r="H178" s="336">
        <v>3.7499999999999999E-2</v>
      </c>
      <c r="I178" s="336">
        <v>3.7499999999999999E-2</v>
      </c>
      <c r="J178" s="336">
        <v>3.4500000000000003E-2</v>
      </c>
      <c r="K178" s="336">
        <v>3.4500000000000003E-2</v>
      </c>
      <c r="L178" s="336">
        <f t="shared" ref="L178" si="16">L112</f>
        <v>0</v>
      </c>
    </row>
    <row r="179" spans="2:12" s="155" customFormat="1" ht="12.75" customHeight="1">
      <c r="B179" s="310" t="s">
        <v>243</v>
      </c>
      <c r="C179" s="189">
        <v>59</v>
      </c>
      <c r="D179" s="160"/>
      <c r="E179" s="336">
        <f t="shared" si="7"/>
        <v>0</v>
      </c>
      <c r="F179" s="336">
        <f t="shared" si="7"/>
        <v>3.5000000000000003E-2</v>
      </c>
      <c r="G179" s="336">
        <f t="shared" si="7"/>
        <v>3.5000000000000003E-2</v>
      </c>
      <c r="H179" s="336">
        <v>3.8999999999999993E-2</v>
      </c>
      <c r="I179" s="336">
        <v>3.8999999999999993E-2</v>
      </c>
      <c r="J179" s="336">
        <v>3.6000000000000004E-2</v>
      </c>
      <c r="K179" s="336">
        <v>3.6000000000000004E-2</v>
      </c>
      <c r="L179" s="336">
        <f t="shared" ref="L179" si="17">L113</f>
        <v>0</v>
      </c>
    </row>
    <row r="180" spans="2:12" s="155" customFormat="1" ht="12.75" customHeight="1">
      <c r="B180" s="310" t="s">
        <v>243</v>
      </c>
      <c r="C180" s="189">
        <v>60</v>
      </c>
      <c r="D180" s="160"/>
      <c r="E180" s="336">
        <f t="shared" si="7"/>
        <v>0</v>
      </c>
      <c r="F180" s="336">
        <f t="shared" si="7"/>
        <v>0.04</v>
      </c>
      <c r="G180" s="336">
        <f t="shared" si="7"/>
        <v>0.04</v>
      </c>
      <c r="H180" s="336">
        <v>4.0499999999999994E-2</v>
      </c>
      <c r="I180" s="336">
        <v>4.0499999999999994E-2</v>
      </c>
      <c r="J180" s="336">
        <v>3.7500000000000006E-2</v>
      </c>
      <c r="K180" s="336">
        <v>3.7500000000000006E-2</v>
      </c>
      <c r="L180" s="336">
        <f t="shared" ref="L180" si="18">L114</f>
        <v>0</v>
      </c>
    </row>
    <row r="181" spans="2:12" s="155" customFormat="1" ht="12.75" customHeight="1">
      <c r="B181" s="310" t="s">
        <v>243</v>
      </c>
      <c r="C181" s="189">
        <v>61</v>
      </c>
      <c r="D181" s="160"/>
      <c r="E181" s="336">
        <f t="shared" si="7"/>
        <v>0</v>
      </c>
      <c r="F181" s="336">
        <f t="shared" si="7"/>
        <v>0.04</v>
      </c>
      <c r="G181" s="336">
        <f t="shared" si="7"/>
        <v>0.04</v>
      </c>
      <c r="H181" s="336">
        <v>4.1999999999999996E-2</v>
      </c>
      <c r="I181" s="336">
        <v>4.1999999999999996E-2</v>
      </c>
      <c r="J181" s="336">
        <v>3.9000000000000007E-2</v>
      </c>
      <c r="K181" s="336">
        <v>3.9000000000000007E-2</v>
      </c>
      <c r="L181" s="336">
        <f t="shared" ref="L181" si="19">L115</f>
        <v>0</v>
      </c>
    </row>
    <row r="182" spans="2:12" s="155" customFormat="1" ht="12.75" customHeight="1">
      <c r="B182" s="310" t="s">
        <v>243</v>
      </c>
      <c r="C182" s="189">
        <v>62</v>
      </c>
      <c r="D182" s="160"/>
      <c r="E182" s="336">
        <f t="shared" si="7"/>
        <v>0</v>
      </c>
      <c r="F182" s="336">
        <f t="shared" si="7"/>
        <v>0.04</v>
      </c>
      <c r="G182" s="336">
        <f t="shared" si="7"/>
        <v>0.04</v>
      </c>
      <c r="H182" s="336">
        <v>4.3499999999999997E-2</v>
      </c>
      <c r="I182" s="336">
        <v>4.3499999999999997E-2</v>
      </c>
      <c r="J182" s="336">
        <v>4.0500000000000008E-2</v>
      </c>
      <c r="K182" s="336">
        <v>4.0500000000000008E-2</v>
      </c>
      <c r="L182" s="336">
        <f t="shared" ref="L182" si="20">L116</f>
        <v>0</v>
      </c>
    </row>
    <row r="183" spans="2:12" s="155" customFormat="1" ht="12.75" customHeight="1">
      <c r="B183" s="310" t="s">
        <v>243</v>
      </c>
      <c r="C183" s="189">
        <v>63</v>
      </c>
      <c r="D183" s="160"/>
      <c r="E183" s="336">
        <f t="shared" si="7"/>
        <v>0</v>
      </c>
      <c r="F183" s="336">
        <f t="shared" si="7"/>
        <v>0.04</v>
      </c>
      <c r="G183" s="336">
        <f t="shared" si="7"/>
        <v>0.04</v>
      </c>
      <c r="H183" s="336">
        <v>4.4999999999999998E-2</v>
      </c>
      <c r="I183" s="336">
        <v>4.4999999999999998E-2</v>
      </c>
      <c r="J183" s="336">
        <v>4.200000000000001E-2</v>
      </c>
      <c r="K183" s="336">
        <v>4.200000000000001E-2</v>
      </c>
      <c r="L183" s="336">
        <f t="shared" ref="L183" si="21">L117</f>
        <v>0</v>
      </c>
    </row>
    <row r="184" spans="2:12" s="155" customFormat="1" ht="12.75" customHeight="1">
      <c r="B184" s="310" t="s">
        <v>243</v>
      </c>
      <c r="C184" s="189">
        <v>64</v>
      </c>
      <c r="D184" s="160"/>
      <c r="E184" s="336">
        <f t="shared" si="7"/>
        <v>0</v>
      </c>
      <c r="F184" s="336">
        <f t="shared" si="7"/>
        <v>0.04</v>
      </c>
      <c r="G184" s="336">
        <f t="shared" si="7"/>
        <v>0.04</v>
      </c>
      <c r="H184" s="336">
        <v>4.6499999999999993E-2</v>
      </c>
      <c r="I184" s="336">
        <v>4.6499999999999993E-2</v>
      </c>
      <c r="J184" s="336">
        <v>4.3500000000000011E-2</v>
      </c>
      <c r="K184" s="336">
        <v>4.3500000000000011E-2</v>
      </c>
      <c r="L184" s="336">
        <f t="shared" ref="L184" si="22">L118</f>
        <v>0</v>
      </c>
    </row>
    <row r="185" spans="2:12" s="155" customFormat="1" ht="12.75" customHeight="1">
      <c r="B185" s="310" t="s">
        <v>243</v>
      </c>
      <c r="C185" s="189">
        <v>65</v>
      </c>
      <c r="D185" s="160"/>
      <c r="E185" s="336">
        <f t="shared" si="7"/>
        <v>0</v>
      </c>
      <c r="F185" s="336">
        <f t="shared" si="7"/>
        <v>5.2499999999999998E-2</v>
      </c>
      <c r="G185" s="336">
        <f t="shared" si="7"/>
        <v>5.5E-2</v>
      </c>
      <c r="H185" s="336">
        <v>4.7999999999999994E-2</v>
      </c>
      <c r="I185" s="336">
        <v>4.7999999999999994E-2</v>
      </c>
      <c r="J185" s="336">
        <v>4.5000000000000012E-2</v>
      </c>
      <c r="K185" s="336">
        <v>4.5000000000000012E-2</v>
      </c>
      <c r="L185" s="336">
        <f t="shared" ref="L185" si="23">L119</f>
        <v>0</v>
      </c>
    </row>
    <row r="186" spans="2:12" s="155" customFormat="1" ht="12.75" customHeight="1">
      <c r="B186" s="310" t="s">
        <v>243</v>
      </c>
      <c r="C186" s="189">
        <v>66</v>
      </c>
      <c r="D186" s="160"/>
      <c r="E186" s="336">
        <f t="shared" si="7"/>
        <v>0</v>
      </c>
      <c r="F186" s="336">
        <f t="shared" si="7"/>
        <v>5.2499999999999998E-2</v>
      </c>
      <c r="G186" s="336">
        <f t="shared" si="7"/>
        <v>5.5E-2</v>
      </c>
      <c r="H186" s="336">
        <v>4.9499999999999995E-2</v>
      </c>
      <c r="I186" s="336">
        <v>4.9499999999999995E-2</v>
      </c>
      <c r="J186" s="336">
        <v>4.6000000000000013E-2</v>
      </c>
      <c r="K186" s="336">
        <v>4.6000000000000013E-2</v>
      </c>
      <c r="L186" s="336">
        <f>L120</f>
        <v>0</v>
      </c>
    </row>
    <row r="187" spans="2:12" s="155" customFormat="1" ht="12.75" customHeight="1">
      <c r="B187" s="310" t="s">
        <v>243</v>
      </c>
      <c r="C187" s="189">
        <v>67</v>
      </c>
      <c r="D187" s="160"/>
      <c r="E187" s="336">
        <f t="shared" si="7"/>
        <v>0</v>
      </c>
      <c r="F187" s="336">
        <f t="shared" si="7"/>
        <v>5.2499999999999998E-2</v>
      </c>
      <c r="G187" s="336">
        <f t="shared" si="7"/>
        <v>5.5E-2</v>
      </c>
      <c r="H187" s="336">
        <v>5.0999999999999997E-2</v>
      </c>
      <c r="I187" s="336">
        <v>5.0999999999999997E-2</v>
      </c>
      <c r="J187" s="336">
        <v>4.7000000000000014E-2</v>
      </c>
      <c r="K187" s="336">
        <v>4.7000000000000014E-2</v>
      </c>
      <c r="L187" s="336">
        <f t="shared" ref="L187" si="24">L121</f>
        <v>0</v>
      </c>
    </row>
    <row r="188" spans="2:12" s="155" customFormat="1" ht="12.75" customHeight="1">
      <c r="B188" s="310" t="s">
        <v>243</v>
      </c>
      <c r="C188" s="189">
        <v>68</v>
      </c>
      <c r="D188" s="160"/>
      <c r="E188" s="336">
        <f t="shared" si="7"/>
        <v>0</v>
      </c>
      <c r="F188" s="336">
        <f t="shared" si="7"/>
        <v>5.2499999999999998E-2</v>
      </c>
      <c r="G188" s="336">
        <f t="shared" si="7"/>
        <v>5.5E-2</v>
      </c>
      <c r="H188" s="336">
        <v>5.2499999999999998E-2</v>
      </c>
      <c r="I188" s="336">
        <v>5.2499999999999998E-2</v>
      </c>
      <c r="J188" s="336">
        <v>4.8000000000000015E-2</v>
      </c>
      <c r="K188" s="336">
        <v>4.8000000000000015E-2</v>
      </c>
      <c r="L188" s="336">
        <f t="shared" ref="L188" si="25">L122</f>
        <v>0</v>
      </c>
    </row>
    <row r="189" spans="2:12" s="155" customFormat="1" ht="12.75" customHeight="1">
      <c r="B189" s="310" t="s">
        <v>243</v>
      </c>
      <c r="C189" s="189">
        <v>69</v>
      </c>
      <c r="D189" s="160"/>
      <c r="E189" s="336">
        <f t="shared" si="7"/>
        <v>0</v>
      </c>
      <c r="F189" s="336">
        <f t="shared" si="7"/>
        <v>5.2499999999999998E-2</v>
      </c>
      <c r="G189" s="336">
        <f t="shared" si="7"/>
        <v>5.5E-2</v>
      </c>
      <c r="H189" s="336">
        <v>5.3999999999999999E-2</v>
      </c>
      <c r="I189" s="336">
        <v>5.3999999999999999E-2</v>
      </c>
      <c r="J189" s="336">
        <v>4.9000000000000016E-2</v>
      </c>
      <c r="K189" s="336">
        <v>4.9000000000000016E-2</v>
      </c>
      <c r="L189" s="336">
        <f t="shared" ref="L189" si="26">L123</f>
        <v>0</v>
      </c>
    </row>
    <row r="190" spans="2:12" s="155" customFormat="1" ht="12.75" customHeight="1">
      <c r="B190" s="310" t="s">
        <v>243</v>
      </c>
      <c r="C190" s="189">
        <v>70</v>
      </c>
      <c r="D190" s="160"/>
      <c r="E190" s="336">
        <f t="shared" ref="E190:G209" si="27">E124</f>
        <v>0</v>
      </c>
      <c r="F190" s="336">
        <f t="shared" si="27"/>
        <v>5.2499999999999998E-2</v>
      </c>
      <c r="G190" s="336">
        <f t="shared" si="27"/>
        <v>5.5E-2</v>
      </c>
      <c r="H190" s="336">
        <v>5.5499999999999994E-2</v>
      </c>
      <c r="I190" s="336">
        <v>5.5499999999999994E-2</v>
      </c>
      <c r="J190" s="336">
        <v>5.0000000000000017E-2</v>
      </c>
      <c r="K190" s="336">
        <v>5.0000000000000017E-2</v>
      </c>
      <c r="L190" s="336">
        <f t="shared" ref="L190" si="28">L124</f>
        <v>0</v>
      </c>
    </row>
    <row r="191" spans="2:12" s="155" customFormat="1" ht="12.75" customHeight="1">
      <c r="B191" s="310" t="s">
        <v>243</v>
      </c>
      <c r="C191" s="189">
        <v>71</v>
      </c>
      <c r="D191" s="160"/>
      <c r="E191" s="336">
        <f t="shared" si="27"/>
        <v>0</v>
      </c>
      <c r="F191" s="336">
        <f t="shared" si="27"/>
        <v>5.2499999999999998E-2</v>
      </c>
      <c r="G191" s="336">
        <f t="shared" si="27"/>
        <v>5.5E-2</v>
      </c>
      <c r="H191" s="336">
        <v>5.6999999999999995E-2</v>
      </c>
      <c r="I191" s="336">
        <v>5.6999999999999995E-2</v>
      </c>
      <c r="J191" s="336">
        <v>5.0500000000000017E-2</v>
      </c>
      <c r="K191" s="336">
        <v>5.0500000000000017E-2</v>
      </c>
      <c r="L191" s="336">
        <f t="shared" ref="L191" si="29">L125</f>
        <v>0</v>
      </c>
    </row>
    <row r="192" spans="2:12" s="155" customFormat="1" ht="12.75" customHeight="1">
      <c r="B192" s="310" t="s">
        <v>243</v>
      </c>
      <c r="C192" s="189">
        <v>72</v>
      </c>
      <c r="D192" s="160"/>
      <c r="E192" s="336">
        <f t="shared" si="27"/>
        <v>0</v>
      </c>
      <c r="F192" s="336">
        <f t="shared" si="27"/>
        <v>6.5000000000000002E-2</v>
      </c>
      <c r="G192" s="336">
        <f t="shared" si="27"/>
        <v>6.5000000000000002E-2</v>
      </c>
      <c r="H192" s="336">
        <v>5.8499999999999996E-2</v>
      </c>
      <c r="I192" s="336">
        <v>5.8499999999999996E-2</v>
      </c>
      <c r="J192" s="336">
        <v>5.1000000000000018E-2</v>
      </c>
      <c r="K192" s="336">
        <v>5.1000000000000018E-2</v>
      </c>
      <c r="L192" s="336">
        <f t="shared" ref="L192" si="30">L126</f>
        <v>0</v>
      </c>
    </row>
    <row r="193" spans="2:12" s="155" customFormat="1" ht="12.75" customHeight="1">
      <c r="B193" s="310" t="s">
        <v>243</v>
      </c>
      <c r="C193" s="189">
        <v>73</v>
      </c>
      <c r="D193" s="160"/>
      <c r="E193" s="336">
        <f t="shared" si="27"/>
        <v>0</v>
      </c>
      <c r="F193" s="336">
        <f t="shared" si="27"/>
        <v>6.5000000000000002E-2</v>
      </c>
      <c r="G193" s="336">
        <f t="shared" si="27"/>
        <v>6.5000000000000002E-2</v>
      </c>
      <c r="H193" s="336">
        <v>0.06</v>
      </c>
      <c r="I193" s="336">
        <v>0.06</v>
      </c>
      <c r="J193" s="336">
        <v>5.1500000000000018E-2</v>
      </c>
      <c r="K193" s="336">
        <v>5.1500000000000018E-2</v>
      </c>
      <c r="L193" s="336">
        <f t="shared" ref="L193" si="31">L127</f>
        <v>0</v>
      </c>
    </row>
    <row r="194" spans="2:12" s="155" customFormat="1" ht="12.75" customHeight="1">
      <c r="B194" s="310" t="s">
        <v>243</v>
      </c>
      <c r="C194" s="189">
        <v>74</v>
      </c>
      <c r="D194" s="160"/>
      <c r="E194" s="336">
        <f t="shared" si="27"/>
        <v>0</v>
      </c>
      <c r="F194" s="336">
        <f t="shared" si="27"/>
        <v>6.5000000000000002E-2</v>
      </c>
      <c r="G194" s="336">
        <f t="shared" si="27"/>
        <v>6.5000000000000002E-2</v>
      </c>
      <c r="H194" s="336">
        <v>6.1499999999999999E-2</v>
      </c>
      <c r="I194" s="336">
        <v>6.1499999999999999E-2</v>
      </c>
      <c r="J194" s="336">
        <v>5.2000000000000018E-2</v>
      </c>
      <c r="K194" s="336">
        <v>5.2000000000000018E-2</v>
      </c>
      <c r="L194" s="336">
        <f t="shared" ref="L194" si="32">L128</f>
        <v>0</v>
      </c>
    </row>
    <row r="195" spans="2:12" s="155" customFormat="1" ht="12.75" customHeight="1">
      <c r="B195" s="310" t="s">
        <v>243</v>
      </c>
      <c r="C195" s="189">
        <v>75</v>
      </c>
      <c r="D195" s="160"/>
      <c r="E195" s="336">
        <f t="shared" si="27"/>
        <v>0</v>
      </c>
      <c r="F195" s="336">
        <f t="shared" si="27"/>
        <v>6.5000000000000002E-2</v>
      </c>
      <c r="G195" s="336">
        <f t="shared" si="27"/>
        <v>6.5000000000000002E-2</v>
      </c>
      <c r="H195" s="336">
        <v>6.3E-2</v>
      </c>
      <c r="I195" s="336">
        <v>6.3E-2</v>
      </c>
      <c r="J195" s="336">
        <v>5.2500000000000019E-2</v>
      </c>
      <c r="K195" s="336">
        <v>5.2500000000000019E-2</v>
      </c>
      <c r="L195" s="336">
        <f t="shared" ref="L195" si="33">L129</f>
        <v>0</v>
      </c>
    </row>
    <row r="196" spans="2:12" s="155" customFormat="1" ht="12.75" customHeight="1">
      <c r="B196" s="310" t="s">
        <v>243</v>
      </c>
      <c r="C196" s="189">
        <v>76</v>
      </c>
      <c r="D196" s="160"/>
      <c r="E196" s="336">
        <f t="shared" si="27"/>
        <v>0</v>
      </c>
      <c r="F196" s="336">
        <f t="shared" si="27"/>
        <v>6.5000000000000002E-2</v>
      </c>
      <c r="G196" s="336">
        <f t="shared" si="27"/>
        <v>6.5000000000000002E-2</v>
      </c>
      <c r="H196" s="336">
        <v>6.4500000000000002E-2</v>
      </c>
      <c r="I196" s="336">
        <v>6.4500000000000002E-2</v>
      </c>
      <c r="J196" s="336">
        <v>5.3000000000000019E-2</v>
      </c>
      <c r="K196" s="336">
        <v>5.3000000000000019E-2</v>
      </c>
      <c r="L196" s="336">
        <f t="shared" ref="L196" si="34">L130</f>
        <v>0</v>
      </c>
    </row>
    <row r="197" spans="2:12" s="155" customFormat="1" ht="12.75" customHeight="1">
      <c r="B197" s="310" t="s">
        <v>243</v>
      </c>
      <c r="C197" s="189">
        <v>77</v>
      </c>
      <c r="D197" s="160"/>
      <c r="E197" s="336">
        <f t="shared" si="27"/>
        <v>0</v>
      </c>
      <c r="F197" s="336">
        <f t="shared" si="27"/>
        <v>6.5000000000000002E-2</v>
      </c>
      <c r="G197" s="336">
        <f t="shared" si="27"/>
        <v>6.5000000000000002E-2</v>
      </c>
      <c r="H197" s="336">
        <v>6.5999999999999989E-2</v>
      </c>
      <c r="I197" s="336">
        <v>6.5999999999999989E-2</v>
      </c>
      <c r="J197" s="336">
        <v>5.350000000000002E-2</v>
      </c>
      <c r="K197" s="336">
        <v>5.350000000000002E-2</v>
      </c>
      <c r="L197" s="336">
        <f t="shared" ref="L197" si="35">L131</f>
        <v>0</v>
      </c>
    </row>
    <row r="198" spans="2:12" s="155" customFormat="1" ht="12.75" customHeight="1">
      <c r="B198" s="310" t="s">
        <v>243</v>
      </c>
      <c r="C198" s="189">
        <v>78</v>
      </c>
      <c r="D198" s="160"/>
      <c r="E198" s="336">
        <f t="shared" si="27"/>
        <v>0</v>
      </c>
      <c r="F198" s="336">
        <f t="shared" si="27"/>
        <v>6.5000000000000002E-2</v>
      </c>
      <c r="G198" s="336">
        <f t="shared" si="27"/>
        <v>6.5000000000000002E-2</v>
      </c>
      <c r="H198" s="336">
        <v>6.7499999999999991E-2</v>
      </c>
      <c r="I198" s="336">
        <v>6.7499999999999991E-2</v>
      </c>
      <c r="J198" s="336">
        <v>5.400000000000002E-2</v>
      </c>
      <c r="K198" s="336">
        <v>5.400000000000002E-2</v>
      </c>
      <c r="L198" s="336">
        <f t="shared" ref="L198" si="36">L132</f>
        <v>0</v>
      </c>
    </row>
    <row r="199" spans="2:12" s="155" customFormat="1" ht="12.75" customHeight="1">
      <c r="B199" s="310" t="s">
        <v>243</v>
      </c>
      <c r="C199" s="189">
        <v>79</v>
      </c>
      <c r="D199" s="160"/>
      <c r="E199" s="336">
        <f t="shared" si="27"/>
        <v>0</v>
      </c>
      <c r="F199" s="336">
        <f t="shared" si="27"/>
        <v>6.5000000000000002E-2</v>
      </c>
      <c r="G199" s="336">
        <f t="shared" si="27"/>
        <v>6.5000000000000002E-2</v>
      </c>
      <c r="H199" s="336">
        <v>6.7999999999999991E-2</v>
      </c>
      <c r="I199" s="336">
        <v>6.7999999999999991E-2</v>
      </c>
      <c r="J199" s="336">
        <v>5.4500000000000021E-2</v>
      </c>
      <c r="K199" s="336">
        <v>5.4500000000000021E-2</v>
      </c>
      <c r="L199" s="336">
        <f t="shared" ref="L199" si="37">L133</f>
        <v>0</v>
      </c>
    </row>
    <row r="200" spans="2:12" s="155" customFormat="1" ht="12.75" customHeight="1">
      <c r="B200" s="310" t="s">
        <v>243</v>
      </c>
      <c r="C200" s="189">
        <v>80</v>
      </c>
      <c r="D200" s="160"/>
      <c r="E200" s="336">
        <f t="shared" si="27"/>
        <v>0</v>
      </c>
      <c r="F200" s="336">
        <f t="shared" si="27"/>
        <v>6.5000000000000002E-2</v>
      </c>
      <c r="G200" s="336">
        <f t="shared" si="27"/>
        <v>6.5000000000000002E-2</v>
      </c>
      <c r="H200" s="336">
        <v>6.7999999999999991E-2</v>
      </c>
      <c r="I200" s="336">
        <v>6.7999999999999991E-2</v>
      </c>
      <c r="J200" s="336">
        <v>5.5000000000000021E-2</v>
      </c>
      <c r="K200" s="336">
        <v>5.5000000000000021E-2</v>
      </c>
      <c r="L200" s="336">
        <f t="shared" ref="L200" si="38">L134</f>
        <v>0</v>
      </c>
    </row>
    <row r="201" spans="2:12" s="155" customFormat="1" ht="12.75" customHeight="1">
      <c r="B201" s="310" t="s">
        <v>244</v>
      </c>
      <c r="C201" s="189">
        <f>C170</f>
        <v>50</v>
      </c>
      <c r="D201" s="160"/>
      <c r="E201" s="336">
        <f t="shared" si="27"/>
        <v>0</v>
      </c>
      <c r="F201" s="336">
        <f t="shared" si="27"/>
        <v>3.0000000000000002E-2</v>
      </c>
      <c r="G201" s="336">
        <f t="shared" si="27"/>
        <v>3.0000000000000002E-2</v>
      </c>
      <c r="H201" s="336">
        <v>2.7E-2</v>
      </c>
      <c r="I201" s="336">
        <v>2.7E-2</v>
      </c>
      <c r="J201" s="336">
        <v>2.4999999999999998E-2</v>
      </c>
      <c r="K201" s="336">
        <v>2.4999999999999998E-2</v>
      </c>
      <c r="L201" s="336">
        <f t="shared" ref="L201" si="39">L135</f>
        <v>0</v>
      </c>
    </row>
    <row r="202" spans="2:12" s="155" customFormat="1" ht="12.75" customHeight="1">
      <c r="B202" s="310" t="s">
        <v>244</v>
      </c>
      <c r="C202" s="189">
        <f t="shared" ref="C202:C231" si="40">C171</f>
        <v>51</v>
      </c>
      <c r="D202" s="160"/>
      <c r="E202" s="336">
        <f t="shared" si="27"/>
        <v>0</v>
      </c>
      <c r="F202" s="336">
        <f t="shared" si="27"/>
        <v>3.0000000000000002E-2</v>
      </c>
      <c r="G202" s="336">
        <f t="shared" si="27"/>
        <v>3.0000000000000002E-2</v>
      </c>
      <c r="H202" s="336">
        <v>2.7E-2</v>
      </c>
      <c r="I202" s="336">
        <v>2.7E-2</v>
      </c>
      <c r="J202" s="336">
        <v>2.4999999999999998E-2</v>
      </c>
      <c r="K202" s="336">
        <v>2.4999999999999998E-2</v>
      </c>
      <c r="L202" s="336">
        <f>L136</f>
        <v>0</v>
      </c>
    </row>
    <row r="203" spans="2:12" s="155" customFormat="1" ht="12.75" customHeight="1">
      <c r="B203" s="310" t="s">
        <v>244</v>
      </c>
      <c r="C203" s="189">
        <f t="shared" si="40"/>
        <v>52</v>
      </c>
      <c r="D203" s="160"/>
      <c r="E203" s="336">
        <f t="shared" si="27"/>
        <v>0</v>
      </c>
      <c r="F203" s="336">
        <f t="shared" si="27"/>
        <v>3.0000000000000002E-2</v>
      </c>
      <c r="G203" s="336">
        <f t="shared" si="27"/>
        <v>3.0000000000000002E-2</v>
      </c>
      <c r="H203" s="336">
        <v>2.7E-2</v>
      </c>
      <c r="I203" s="336">
        <v>2.7E-2</v>
      </c>
      <c r="J203" s="336">
        <v>2.4999999999999998E-2</v>
      </c>
      <c r="K203" s="336">
        <v>2.4999999999999998E-2</v>
      </c>
      <c r="L203" s="336">
        <f t="shared" ref="L203" si="41">L137</f>
        <v>0</v>
      </c>
    </row>
    <row r="204" spans="2:12" s="155" customFormat="1" ht="12.75" customHeight="1">
      <c r="B204" s="310" t="s">
        <v>244</v>
      </c>
      <c r="C204" s="189">
        <f t="shared" si="40"/>
        <v>53</v>
      </c>
      <c r="D204" s="160"/>
      <c r="E204" s="336">
        <f t="shared" si="27"/>
        <v>0</v>
      </c>
      <c r="F204" s="336">
        <f t="shared" si="27"/>
        <v>3.0000000000000002E-2</v>
      </c>
      <c r="G204" s="336">
        <f t="shared" si="27"/>
        <v>3.0000000000000002E-2</v>
      </c>
      <c r="H204" s="336">
        <v>2.7E-2</v>
      </c>
      <c r="I204" s="336">
        <v>2.7E-2</v>
      </c>
      <c r="J204" s="336">
        <v>2.4999999999999998E-2</v>
      </c>
      <c r="K204" s="336">
        <v>2.4999999999999998E-2</v>
      </c>
      <c r="L204" s="336">
        <f t="shared" ref="L204" si="42">L138</f>
        <v>0</v>
      </c>
    </row>
    <row r="205" spans="2:12" s="155" customFormat="1" ht="12.75" customHeight="1">
      <c r="B205" s="310" t="s">
        <v>244</v>
      </c>
      <c r="C205" s="189">
        <f t="shared" si="40"/>
        <v>54</v>
      </c>
      <c r="D205" s="160"/>
      <c r="E205" s="336">
        <f t="shared" si="27"/>
        <v>0</v>
      </c>
      <c r="F205" s="336">
        <f t="shared" si="27"/>
        <v>3.0000000000000002E-2</v>
      </c>
      <c r="G205" s="336">
        <f t="shared" si="27"/>
        <v>3.0000000000000002E-2</v>
      </c>
      <c r="H205" s="336">
        <v>2.7E-2</v>
      </c>
      <c r="I205" s="336">
        <v>2.7E-2</v>
      </c>
      <c r="J205" s="336">
        <v>2.4999999999999998E-2</v>
      </c>
      <c r="K205" s="336">
        <v>2.4999999999999998E-2</v>
      </c>
      <c r="L205" s="336">
        <f t="shared" ref="L205" si="43">L139</f>
        <v>0</v>
      </c>
    </row>
    <row r="206" spans="2:12" s="155" customFormat="1" ht="12.75" customHeight="1">
      <c r="B206" s="310" t="s">
        <v>244</v>
      </c>
      <c r="C206" s="189">
        <f t="shared" si="40"/>
        <v>55</v>
      </c>
      <c r="D206" s="160"/>
      <c r="E206" s="336">
        <f t="shared" si="27"/>
        <v>0</v>
      </c>
      <c r="F206" s="336">
        <f t="shared" si="27"/>
        <v>3.0000000000000002E-2</v>
      </c>
      <c r="G206" s="336">
        <f t="shared" si="27"/>
        <v>3.0000000000000002E-2</v>
      </c>
      <c r="H206" s="336">
        <v>2.7999999999999994E-2</v>
      </c>
      <c r="I206" s="336">
        <v>2.7999999999999994E-2</v>
      </c>
      <c r="J206" s="336">
        <v>2.4999999999999998E-2</v>
      </c>
      <c r="K206" s="336">
        <v>2.4999999999999998E-2</v>
      </c>
      <c r="L206" s="336">
        <f t="shared" ref="L206" si="44">L140</f>
        <v>0</v>
      </c>
    </row>
    <row r="207" spans="2:12" s="155" customFormat="1" ht="12.75" customHeight="1">
      <c r="B207" s="310" t="s">
        <v>244</v>
      </c>
      <c r="C207" s="189">
        <f t="shared" si="40"/>
        <v>56</v>
      </c>
      <c r="D207" s="160"/>
      <c r="E207" s="336">
        <f t="shared" si="27"/>
        <v>0</v>
      </c>
      <c r="F207" s="336">
        <f t="shared" si="27"/>
        <v>3.0000000000000002E-2</v>
      </c>
      <c r="G207" s="336">
        <f t="shared" si="27"/>
        <v>3.0000000000000002E-2</v>
      </c>
      <c r="H207" s="336">
        <v>2.9499999999999995E-2</v>
      </c>
      <c r="I207" s="336">
        <v>2.9499999999999995E-2</v>
      </c>
      <c r="J207" s="336">
        <v>2.6499999999999999E-2</v>
      </c>
      <c r="K207" s="336">
        <v>2.6499999999999999E-2</v>
      </c>
      <c r="L207" s="336">
        <f t="shared" ref="L207" si="45">L141</f>
        <v>0</v>
      </c>
    </row>
    <row r="208" spans="2:12" s="155" customFormat="1" ht="12.75" customHeight="1">
      <c r="B208" s="310" t="s">
        <v>244</v>
      </c>
      <c r="C208" s="189">
        <f t="shared" si="40"/>
        <v>57</v>
      </c>
      <c r="D208" s="160"/>
      <c r="E208" s="336">
        <f t="shared" si="27"/>
        <v>0</v>
      </c>
      <c r="F208" s="336">
        <f t="shared" si="27"/>
        <v>3.0000000000000002E-2</v>
      </c>
      <c r="G208" s="336">
        <f t="shared" si="27"/>
        <v>3.0000000000000002E-2</v>
      </c>
      <c r="H208" s="336">
        <v>3.0999999999999996E-2</v>
      </c>
      <c r="I208" s="336">
        <v>3.0999999999999996E-2</v>
      </c>
      <c r="J208" s="336">
        <v>2.8000000000000001E-2</v>
      </c>
      <c r="K208" s="336">
        <v>2.8000000000000001E-2</v>
      </c>
      <c r="L208" s="336">
        <f t="shared" ref="L208" si="46">L142</f>
        <v>0</v>
      </c>
    </row>
    <row r="209" spans="2:12" s="155" customFormat="1" ht="12.75" customHeight="1">
      <c r="B209" s="310" t="s">
        <v>244</v>
      </c>
      <c r="C209" s="189">
        <f t="shared" si="40"/>
        <v>58</v>
      </c>
      <c r="D209" s="160"/>
      <c r="E209" s="336">
        <f t="shared" si="27"/>
        <v>0</v>
      </c>
      <c r="F209" s="336">
        <f t="shared" si="27"/>
        <v>3.0000000000000002E-2</v>
      </c>
      <c r="G209" s="336">
        <f t="shared" si="27"/>
        <v>3.0000000000000002E-2</v>
      </c>
      <c r="H209" s="336">
        <v>3.2500000000000001E-2</v>
      </c>
      <c r="I209" s="336">
        <v>3.2500000000000001E-2</v>
      </c>
      <c r="J209" s="336">
        <v>2.9500000000000002E-2</v>
      </c>
      <c r="K209" s="336">
        <v>2.9500000000000002E-2</v>
      </c>
      <c r="L209" s="336">
        <f t="shared" ref="L209" si="47">L143</f>
        <v>0</v>
      </c>
    </row>
    <row r="210" spans="2:12" s="155" customFormat="1" ht="12.75" customHeight="1">
      <c r="B210" s="310" t="s">
        <v>244</v>
      </c>
      <c r="C210" s="189">
        <f t="shared" si="40"/>
        <v>59</v>
      </c>
      <c r="D210" s="160"/>
      <c r="E210" s="336">
        <f t="shared" ref="E210:G229" si="48">E144</f>
        <v>0</v>
      </c>
      <c r="F210" s="336">
        <f t="shared" si="48"/>
        <v>3.0000000000000002E-2</v>
      </c>
      <c r="G210" s="336">
        <f t="shared" si="48"/>
        <v>3.0000000000000002E-2</v>
      </c>
      <c r="H210" s="336">
        <v>3.3999999999999996E-2</v>
      </c>
      <c r="I210" s="336">
        <v>3.3999999999999996E-2</v>
      </c>
      <c r="J210" s="336">
        <v>3.1000000000000003E-2</v>
      </c>
      <c r="K210" s="336">
        <v>3.1000000000000003E-2</v>
      </c>
      <c r="L210" s="336">
        <f t="shared" ref="L210" si="49">L144</f>
        <v>0</v>
      </c>
    </row>
    <row r="211" spans="2:12" s="155" customFormat="1" ht="12.75" customHeight="1">
      <c r="B211" s="310" t="s">
        <v>244</v>
      </c>
      <c r="C211" s="189">
        <f t="shared" si="40"/>
        <v>60</v>
      </c>
      <c r="D211" s="160"/>
      <c r="E211" s="336">
        <f t="shared" si="48"/>
        <v>0</v>
      </c>
      <c r="F211" s="336">
        <f t="shared" si="48"/>
        <v>3.5000000000000003E-2</v>
      </c>
      <c r="G211" s="336">
        <f t="shared" si="48"/>
        <v>3.5000000000000003E-2</v>
      </c>
      <c r="H211" s="336">
        <v>3.5499999999999997E-2</v>
      </c>
      <c r="I211" s="336">
        <v>3.5499999999999997E-2</v>
      </c>
      <c r="J211" s="336">
        <v>3.2500000000000008E-2</v>
      </c>
      <c r="K211" s="336">
        <v>3.2500000000000008E-2</v>
      </c>
      <c r="L211" s="336">
        <f t="shared" ref="L211" si="50">L145</f>
        <v>0</v>
      </c>
    </row>
    <row r="212" spans="2:12" s="155" customFormat="1" ht="12.75" customHeight="1">
      <c r="B212" s="310" t="s">
        <v>244</v>
      </c>
      <c r="C212" s="189">
        <f t="shared" si="40"/>
        <v>61</v>
      </c>
      <c r="D212" s="160"/>
      <c r="E212" s="336">
        <f t="shared" si="48"/>
        <v>0</v>
      </c>
      <c r="F212" s="336">
        <f t="shared" si="48"/>
        <v>3.5000000000000003E-2</v>
      </c>
      <c r="G212" s="336">
        <f t="shared" si="48"/>
        <v>3.5000000000000003E-2</v>
      </c>
      <c r="H212" s="336">
        <v>3.6999999999999998E-2</v>
      </c>
      <c r="I212" s="336">
        <v>3.6999999999999998E-2</v>
      </c>
      <c r="J212" s="336">
        <v>3.4000000000000009E-2</v>
      </c>
      <c r="K212" s="336">
        <v>3.4000000000000009E-2</v>
      </c>
      <c r="L212" s="336">
        <f t="shared" ref="L212" si="51">L146</f>
        <v>0</v>
      </c>
    </row>
    <row r="213" spans="2:12" s="155" customFormat="1" ht="12.75" customHeight="1">
      <c r="B213" s="310" t="s">
        <v>244</v>
      </c>
      <c r="C213" s="189">
        <f t="shared" si="40"/>
        <v>62</v>
      </c>
      <c r="D213" s="160"/>
      <c r="E213" s="336">
        <f t="shared" si="48"/>
        <v>0</v>
      </c>
      <c r="F213" s="336">
        <f t="shared" si="48"/>
        <v>3.5000000000000003E-2</v>
      </c>
      <c r="G213" s="336">
        <f t="shared" si="48"/>
        <v>3.5000000000000003E-2</v>
      </c>
      <c r="H213" s="336">
        <v>3.85E-2</v>
      </c>
      <c r="I213" s="336">
        <v>3.85E-2</v>
      </c>
      <c r="J213" s="336">
        <v>3.5500000000000011E-2</v>
      </c>
      <c r="K213" s="336">
        <v>3.5500000000000011E-2</v>
      </c>
      <c r="L213" s="336">
        <f t="shared" ref="L213" si="52">L147</f>
        <v>0</v>
      </c>
    </row>
    <row r="214" spans="2:12" s="155" customFormat="1" ht="12.75" customHeight="1">
      <c r="B214" s="310" t="s">
        <v>244</v>
      </c>
      <c r="C214" s="189">
        <f t="shared" si="40"/>
        <v>63</v>
      </c>
      <c r="D214" s="160"/>
      <c r="E214" s="336">
        <f t="shared" si="48"/>
        <v>0</v>
      </c>
      <c r="F214" s="336">
        <f t="shared" si="48"/>
        <v>3.5000000000000003E-2</v>
      </c>
      <c r="G214" s="336">
        <f t="shared" si="48"/>
        <v>3.5000000000000003E-2</v>
      </c>
      <c r="H214" s="336">
        <v>0.04</v>
      </c>
      <c r="I214" s="336">
        <v>0.04</v>
      </c>
      <c r="J214" s="336">
        <v>3.7000000000000012E-2</v>
      </c>
      <c r="K214" s="336">
        <v>3.7000000000000012E-2</v>
      </c>
      <c r="L214" s="336">
        <f t="shared" ref="L214" si="53">L148</f>
        <v>0</v>
      </c>
    </row>
    <row r="215" spans="2:12" s="155" customFormat="1" ht="12.75" customHeight="1">
      <c r="B215" s="310" t="s">
        <v>244</v>
      </c>
      <c r="C215" s="189">
        <f t="shared" si="40"/>
        <v>64</v>
      </c>
      <c r="D215" s="160"/>
      <c r="E215" s="336">
        <f t="shared" si="48"/>
        <v>0</v>
      </c>
      <c r="F215" s="336">
        <f t="shared" si="48"/>
        <v>3.5000000000000003E-2</v>
      </c>
      <c r="G215" s="336">
        <f t="shared" si="48"/>
        <v>3.5000000000000003E-2</v>
      </c>
      <c r="H215" s="336">
        <v>4.1499999999999995E-2</v>
      </c>
      <c r="I215" s="336">
        <v>4.1499999999999995E-2</v>
      </c>
      <c r="J215" s="336">
        <v>3.8500000000000013E-2</v>
      </c>
      <c r="K215" s="336">
        <v>3.8500000000000013E-2</v>
      </c>
      <c r="L215" s="336">
        <f t="shared" ref="L215" si="54">L149</f>
        <v>0</v>
      </c>
    </row>
    <row r="216" spans="2:12" s="155" customFormat="1" ht="12.75" customHeight="1">
      <c r="B216" s="310" t="s">
        <v>244</v>
      </c>
      <c r="C216" s="189">
        <f t="shared" si="40"/>
        <v>65</v>
      </c>
      <c r="D216" s="160"/>
      <c r="E216" s="336">
        <f t="shared" si="48"/>
        <v>0</v>
      </c>
      <c r="F216" s="336">
        <f t="shared" si="48"/>
        <v>4.7500000000000001E-2</v>
      </c>
      <c r="G216" s="336">
        <f t="shared" si="48"/>
        <v>0.05</v>
      </c>
      <c r="H216" s="336">
        <v>4.2999999999999997E-2</v>
      </c>
      <c r="I216" s="336">
        <v>4.2999999999999997E-2</v>
      </c>
      <c r="J216" s="336">
        <v>4.0000000000000015E-2</v>
      </c>
      <c r="K216" s="336">
        <v>4.0000000000000015E-2</v>
      </c>
      <c r="L216" s="336">
        <f t="shared" ref="L216" si="55">L150</f>
        <v>0</v>
      </c>
    </row>
    <row r="217" spans="2:12" s="155" customFormat="1" ht="12.75" customHeight="1">
      <c r="B217" s="310" t="s">
        <v>244</v>
      </c>
      <c r="C217" s="189">
        <f t="shared" si="40"/>
        <v>66</v>
      </c>
      <c r="D217" s="160"/>
      <c r="E217" s="336">
        <f t="shared" si="48"/>
        <v>0</v>
      </c>
      <c r="F217" s="336">
        <f t="shared" si="48"/>
        <v>4.7500000000000001E-2</v>
      </c>
      <c r="G217" s="336">
        <f t="shared" si="48"/>
        <v>0.05</v>
      </c>
      <c r="H217" s="336">
        <v>4.4499999999999998E-2</v>
      </c>
      <c r="I217" s="336">
        <v>4.4499999999999998E-2</v>
      </c>
      <c r="J217" s="336">
        <v>4.1000000000000016E-2</v>
      </c>
      <c r="K217" s="336">
        <v>4.1000000000000016E-2</v>
      </c>
      <c r="L217" s="336">
        <f t="shared" ref="L217" si="56">L151</f>
        <v>0</v>
      </c>
    </row>
    <row r="218" spans="2:12" s="155" customFormat="1" ht="12.75" customHeight="1">
      <c r="B218" s="310" t="s">
        <v>244</v>
      </c>
      <c r="C218" s="189">
        <f t="shared" si="40"/>
        <v>67</v>
      </c>
      <c r="D218" s="160"/>
      <c r="E218" s="336">
        <f t="shared" si="48"/>
        <v>0</v>
      </c>
      <c r="F218" s="336">
        <f t="shared" si="48"/>
        <v>4.7500000000000001E-2</v>
      </c>
      <c r="G218" s="336">
        <f t="shared" si="48"/>
        <v>0.05</v>
      </c>
      <c r="H218" s="336">
        <v>4.5999999999999999E-2</v>
      </c>
      <c r="I218" s="336">
        <v>4.5999999999999999E-2</v>
      </c>
      <c r="J218" s="336">
        <v>4.2000000000000016E-2</v>
      </c>
      <c r="K218" s="336">
        <v>4.2000000000000016E-2</v>
      </c>
      <c r="L218" s="336">
        <f>L152</f>
        <v>0</v>
      </c>
    </row>
    <row r="219" spans="2:12" s="155" customFormat="1" ht="12.75" customHeight="1">
      <c r="B219" s="310" t="s">
        <v>244</v>
      </c>
      <c r="C219" s="189">
        <f t="shared" si="40"/>
        <v>68</v>
      </c>
      <c r="D219" s="160"/>
      <c r="E219" s="336">
        <f t="shared" si="48"/>
        <v>0</v>
      </c>
      <c r="F219" s="336">
        <f t="shared" si="48"/>
        <v>4.7500000000000001E-2</v>
      </c>
      <c r="G219" s="336">
        <f t="shared" si="48"/>
        <v>0.05</v>
      </c>
      <c r="H219" s="336">
        <v>4.7500000000000001E-2</v>
      </c>
      <c r="I219" s="336">
        <v>4.7500000000000001E-2</v>
      </c>
      <c r="J219" s="336">
        <v>4.3000000000000017E-2</v>
      </c>
      <c r="K219" s="336">
        <v>4.3000000000000017E-2</v>
      </c>
      <c r="L219" s="336">
        <f t="shared" ref="L219" si="57">L153</f>
        <v>0</v>
      </c>
    </row>
    <row r="220" spans="2:12" s="155" customFormat="1" ht="12.75" customHeight="1">
      <c r="B220" s="310" t="s">
        <v>244</v>
      </c>
      <c r="C220" s="189">
        <f t="shared" si="40"/>
        <v>69</v>
      </c>
      <c r="D220" s="160"/>
      <c r="E220" s="336">
        <f t="shared" si="48"/>
        <v>0</v>
      </c>
      <c r="F220" s="336">
        <f t="shared" si="48"/>
        <v>4.7500000000000001E-2</v>
      </c>
      <c r="G220" s="336">
        <f t="shared" si="48"/>
        <v>0.05</v>
      </c>
      <c r="H220" s="336">
        <v>4.9000000000000002E-2</v>
      </c>
      <c r="I220" s="336">
        <v>4.9000000000000002E-2</v>
      </c>
      <c r="J220" s="336">
        <v>4.4000000000000018E-2</v>
      </c>
      <c r="K220" s="336">
        <v>4.4000000000000018E-2</v>
      </c>
      <c r="L220" s="336">
        <f t="shared" ref="L220" si="58">L154</f>
        <v>0</v>
      </c>
    </row>
    <row r="221" spans="2:12" s="155" customFormat="1" ht="12.75" customHeight="1">
      <c r="B221" s="310" t="s">
        <v>244</v>
      </c>
      <c r="C221" s="189">
        <f t="shared" si="40"/>
        <v>70</v>
      </c>
      <c r="D221" s="160"/>
      <c r="E221" s="336">
        <f t="shared" si="48"/>
        <v>0</v>
      </c>
      <c r="F221" s="336">
        <f t="shared" si="48"/>
        <v>4.7500000000000001E-2</v>
      </c>
      <c r="G221" s="336">
        <f t="shared" si="48"/>
        <v>0.05</v>
      </c>
      <c r="H221" s="336">
        <v>5.0499999999999996E-2</v>
      </c>
      <c r="I221" s="336">
        <v>5.0499999999999996E-2</v>
      </c>
      <c r="J221" s="336">
        <v>4.5000000000000019E-2</v>
      </c>
      <c r="K221" s="336">
        <v>4.5000000000000019E-2</v>
      </c>
      <c r="L221" s="336">
        <f t="shared" ref="L221" si="59">L155</f>
        <v>0</v>
      </c>
    </row>
    <row r="222" spans="2:12" s="155" customFormat="1" ht="12.75" customHeight="1">
      <c r="B222" s="310" t="s">
        <v>244</v>
      </c>
      <c r="C222" s="189">
        <f t="shared" si="40"/>
        <v>71</v>
      </c>
      <c r="D222" s="160"/>
      <c r="E222" s="336">
        <f t="shared" si="48"/>
        <v>0</v>
      </c>
      <c r="F222" s="336">
        <f t="shared" si="48"/>
        <v>4.7500000000000001E-2</v>
      </c>
      <c r="G222" s="336">
        <f t="shared" si="48"/>
        <v>0.05</v>
      </c>
      <c r="H222" s="336">
        <v>5.1999999999999998E-2</v>
      </c>
      <c r="I222" s="336">
        <v>5.1999999999999998E-2</v>
      </c>
      <c r="J222" s="336">
        <v>4.550000000000002E-2</v>
      </c>
      <c r="K222" s="336">
        <v>4.550000000000002E-2</v>
      </c>
      <c r="L222" s="336">
        <f t="shared" ref="L222" si="60">L156</f>
        <v>0</v>
      </c>
    </row>
    <row r="223" spans="2:12" s="155" customFormat="1" ht="12.75" customHeight="1">
      <c r="B223" s="310" t="s">
        <v>244</v>
      </c>
      <c r="C223" s="189">
        <f t="shared" si="40"/>
        <v>72</v>
      </c>
      <c r="D223" s="160"/>
      <c r="E223" s="336">
        <f t="shared" si="48"/>
        <v>0</v>
      </c>
      <c r="F223" s="336">
        <f t="shared" si="48"/>
        <v>6.0000000000000005E-2</v>
      </c>
      <c r="G223" s="336">
        <f t="shared" si="48"/>
        <v>6.0000000000000005E-2</v>
      </c>
      <c r="H223" s="336">
        <v>5.3499999999999999E-2</v>
      </c>
      <c r="I223" s="336">
        <v>5.3499999999999999E-2</v>
      </c>
      <c r="J223" s="336">
        <v>4.600000000000002E-2</v>
      </c>
      <c r="K223" s="336">
        <v>4.600000000000002E-2</v>
      </c>
      <c r="L223" s="336">
        <f t="shared" ref="L223" si="61">L157</f>
        <v>0</v>
      </c>
    </row>
    <row r="224" spans="2:12" s="155" customFormat="1" ht="12.75" customHeight="1">
      <c r="B224" s="310" t="s">
        <v>244</v>
      </c>
      <c r="C224" s="189">
        <f t="shared" si="40"/>
        <v>73</v>
      </c>
      <c r="D224" s="160"/>
      <c r="E224" s="336">
        <f t="shared" si="48"/>
        <v>0</v>
      </c>
      <c r="F224" s="336">
        <f t="shared" si="48"/>
        <v>6.0000000000000005E-2</v>
      </c>
      <c r="G224" s="336">
        <f t="shared" si="48"/>
        <v>6.0000000000000005E-2</v>
      </c>
      <c r="H224" s="336">
        <v>5.5E-2</v>
      </c>
      <c r="I224" s="336">
        <v>5.5E-2</v>
      </c>
      <c r="J224" s="336">
        <v>4.650000000000002E-2</v>
      </c>
      <c r="K224" s="336">
        <v>4.650000000000002E-2</v>
      </c>
      <c r="L224" s="336">
        <f t="shared" ref="L224" si="62">L158</f>
        <v>0</v>
      </c>
    </row>
    <row r="225" spans="2:12" s="155" customFormat="1" ht="12.75" customHeight="1">
      <c r="B225" s="310" t="s">
        <v>244</v>
      </c>
      <c r="C225" s="189">
        <f t="shared" si="40"/>
        <v>74</v>
      </c>
      <c r="D225" s="160"/>
      <c r="E225" s="336">
        <f t="shared" si="48"/>
        <v>0</v>
      </c>
      <c r="F225" s="336">
        <f t="shared" si="48"/>
        <v>6.0000000000000005E-2</v>
      </c>
      <c r="G225" s="336">
        <f t="shared" si="48"/>
        <v>6.0000000000000005E-2</v>
      </c>
      <c r="H225" s="336">
        <v>5.6500000000000002E-2</v>
      </c>
      <c r="I225" s="336">
        <v>5.6500000000000002E-2</v>
      </c>
      <c r="J225" s="336">
        <v>4.7000000000000021E-2</v>
      </c>
      <c r="K225" s="336">
        <v>4.7000000000000021E-2</v>
      </c>
      <c r="L225" s="336">
        <f t="shared" ref="L225" si="63">L159</f>
        <v>0</v>
      </c>
    </row>
    <row r="226" spans="2:12" s="155" customFormat="1" ht="12.75" customHeight="1">
      <c r="B226" s="310" t="s">
        <v>244</v>
      </c>
      <c r="C226" s="189">
        <f t="shared" si="40"/>
        <v>75</v>
      </c>
      <c r="D226" s="160"/>
      <c r="E226" s="336">
        <f t="shared" si="48"/>
        <v>0</v>
      </c>
      <c r="F226" s="336">
        <f t="shared" si="48"/>
        <v>6.0000000000000005E-2</v>
      </c>
      <c r="G226" s="336">
        <f t="shared" si="48"/>
        <v>6.0000000000000005E-2</v>
      </c>
      <c r="H226" s="336">
        <v>5.8000000000000003E-2</v>
      </c>
      <c r="I226" s="336">
        <v>5.8000000000000003E-2</v>
      </c>
      <c r="J226" s="336">
        <v>4.7500000000000021E-2</v>
      </c>
      <c r="K226" s="336">
        <v>4.7500000000000021E-2</v>
      </c>
      <c r="L226" s="336">
        <f t="shared" ref="L226" si="64">L160</f>
        <v>0</v>
      </c>
    </row>
    <row r="227" spans="2:12" s="155" customFormat="1" ht="12.75" customHeight="1">
      <c r="B227" s="310" t="s">
        <v>244</v>
      </c>
      <c r="C227" s="189">
        <f t="shared" si="40"/>
        <v>76</v>
      </c>
      <c r="D227" s="160"/>
      <c r="E227" s="336">
        <f t="shared" si="48"/>
        <v>0</v>
      </c>
      <c r="F227" s="336">
        <f t="shared" si="48"/>
        <v>6.0000000000000005E-2</v>
      </c>
      <c r="G227" s="336">
        <f t="shared" si="48"/>
        <v>6.0000000000000005E-2</v>
      </c>
      <c r="H227" s="336">
        <v>5.9500000000000004E-2</v>
      </c>
      <c r="I227" s="336">
        <v>5.9500000000000004E-2</v>
      </c>
      <c r="J227" s="336">
        <v>4.8000000000000022E-2</v>
      </c>
      <c r="K227" s="336">
        <v>4.8000000000000022E-2</v>
      </c>
      <c r="L227" s="336">
        <f t="shared" ref="L227" si="65">L161</f>
        <v>0</v>
      </c>
    </row>
    <row r="228" spans="2:12" s="155" customFormat="1" ht="12.75" customHeight="1">
      <c r="B228" s="310" t="s">
        <v>244</v>
      </c>
      <c r="C228" s="189">
        <f t="shared" si="40"/>
        <v>77</v>
      </c>
      <c r="D228" s="160"/>
      <c r="E228" s="336">
        <f t="shared" si="48"/>
        <v>0</v>
      </c>
      <c r="F228" s="336">
        <f t="shared" si="48"/>
        <v>6.0000000000000005E-2</v>
      </c>
      <c r="G228" s="336">
        <f t="shared" si="48"/>
        <v>6.0000000000000005E-2</v>
      </c>
      <c r="H228" s="336">
        <v>6.0999999999999992E-2</v>
      </c>
      <c r="I228" s="336">
        <v>6.0999999999999992E-2</v>
      </c>
      <c r="J228" s="336">
        <v>4.8500000000000022E-2</v>
      </c>
      <c r="K228" s="336">
        <v>4.8500000000000022E-2</v>
      </c>
      <c r="L228" s="336">
        <f t="shared" ref="L228" si="66">L162</f>
        <v>0</v>
      </c>
    </row>
    <row r="229" spans="2:12" s="155" customFormat="1" ht="12.75" customHeight="1">
      <c r="B229" s="310" t="s">
        <v>244</v>
      </c>
      <c r="C229" s="189">
        <f t="shared" si="40"/>
        <v>78</v>
      </c>
      <c r="D229" s="160"/>
      <c r="E229" s="336">
        <f t="shared" si="48"/>
        <v>0</v>
      </c>
      <c r="F229" s="336">
        <f t="shared" si="48"/>
        <v>6.0000000000000005E-2</v>
      </c>
      <c r="G229" s="336">
        <f t="shared" si="48"/>
        <v>6.0000000000000005E-2</v>
      </c>
      <c r="H229" s="336">
        <v>6.2499999999999993E-2</v>
      </c>
      <c r="I229" s="336">
        <v>6.2499999999999993E-2</v>
      </c>
      <c r="J229" s="336">
        <v>4.9000000000000023E-2</v>
      </c>
      <c r="K229" s="336">
        <v>4.9000000000000023E-2</v>
      </c>
      <c r="L229" s="336">
        <f t="shared" ref="L229" si="67">L163</f>
        <v>0</v>
      </c>
    </row>
    <row r="230" spans="2:12" s="155" customFormat="1" ht="12.75" customHeight="1">
      <c r="B230" s="310" t="s">
        <v>244</v>
      </c>
      <c r="C230" s="189">
        <f t="shared" si="40"/>
        <v>79</v>
      </c>
      <c r="D230" s="160"/>
      <c r="E230" s="336">
        <f t="shared" ref="E230:G231" si="68">E164</f>
        <v>0</v>
      </c>
      <c r="F230" s="336">
        <f t="shared" si="68"/>
        <v>6.0000000000000005E-2</v>
      </c>
      <c r="G230" s="336">
        <f t="shared" si="68"/>
        <v>6.0000000000000005E-2</v>
      </c>
      <c r="H230" s="336">
        <v>6.2999999999999987E-2</v>
      </c>
      <c r="I230" s="336">
        <v>6.2999999999999987E-2</v>
      </c>
      <c r="J230" s="336">
        <v>4.9500000000000023E-2</v>
      </c>
      <c r="K230" s="336">
        <v>4.9500000000000023E-2</v>
      </c>
      <c r="L230" s="336">
        <f t="shared" ref="L230" si="69">L164</f>
        <v>0</v>
      </c>
    </row>
    <row r="231" spans="2:12" s="155" customFormat="1" ht="12.75" customHeight="1">
      <c r="B231" s="310" t="s">
        <v>244</v>
      </c>
      <c r="C231" s="189">
        <f t="shared" si="40"/>
        <v>80</v>
      </c>
      <c r="D231" s="160"/>
      <c r="E231" s="336">
        <f t="shared" si="68"/>
        <v>0</v>
      </c>
      <c r="F231" s="336">
        <f t="shared" si="68"/>
        <v>6.0000000000000005E-2</v>
      </c>
      <c r="G231" s="336">
        <f t="shared" si="68"/>
        <v>6.0000000000000005E-2</v>
      </c>
      <c r="H231" s="336">
        <v>6.2999999999999987E-2</v>
      </c>
      <c r="I231" s="336">
        <v>6.2999999999999987E-2</v>
      </c>
      <c r="J231" s="336">
        <v>5.0000000000000024E-2</v>
      </c>
      <c r="K231" s="336">
        <v>5.0000000000000024E-2</v>
      </c>
      <c r="L231" s="336">
        <f t="shared" ref="L231" si="70">L165</f>
        <v>0</v>
      </c>
    </row>
    <row r="232" spans="2:12" s="155" customFormat="1" ht="12.75" customHeight="1">
      <c r="E232" s="167"/>
      <c r="F232" s="167"/>
      <c r="G232" s="167"/>
      <c r="H232" s="167"/>
      <c r="I232" s="167"/>
      <c r="J232" s="167"/>
      <c r="K232" s="167"/>
      <c r="L232" s="167"/>
    </row>
    <row r="233" spans="2:12" s="155" customFormat="1" ht="12.75" customHeight="1">
      <c r="B233" s="33" t="str">
        <f ca="1">GetNameRange(B234)</f>
        <v>gmwb_pipp_stepup_pct_aig</v>
      </c>
      <c r="C233" s="33"/>
      <c r="D233" s="18"/>
      <c r="E233" s="242"/>
      <c r="F233" s="242"/>
      <c r="G233" s="242"/>
      <c r="H233" s="242"/>
      <c r="I233" s="242"/>
      <c r="J233" s="242"/>
      <c r="K233" s="242"/>
      <c r="L233" s="242"/>
    </row>
    <row r="234" spans="2:12" s="155" customFormat="1" ht="12.75" customHeight="1">
      <c r="B234" s="297" t="s">
        <v>314</v>
      </c>
      <c r="C234" s="300"/>
      <c r="D234" s="310" t="str">
        <f>Product!C$4</f>
        <v>plan_code</v>
      </c>
      <c r="E234" s="90" t="str">
        <f t="shared" ref="E234:L234" si="71">E$4</f>
        <v>BASE_DEV</v>
      </c>
      <c r="F234" s="90" t="str">
        <f t="shared" si="71"/>
        <v>LIPM_DEV</v>
      </c>
      <c r="G234" s="90" t="str">
        <f t="shared" si="71"/>
        <v>LIP_DEV</v>
      </c>
      <c r="H234" s="168" t="s">
        <v>528</v>
      </c>
      <c r="I234" s="168" t="s">
        <v>527</v>
      </c>
      <c r="J234" s="168" t="s">
        <v>383</v>
      </c>
      <c r="K234" s="168" t="s">
        <v>529</v>
      </c>
      <c r="L234" s="90" t="str">
        <f t="shared" si="71"/>
        <v>BASE</v>
      </c>
    </row>
    <row r="235" spans="2:12" s="155" customFormat="1" ht="12.75" customHeight="1">
      <c r="B235" s="297" t="s">
        <v>242</v>
      </c>
      <c r="C235" s="141" t="s">
        <v>212</v>
      </c>
      <c r="D235" s="300"/>
      <c r="E235" s="90"/>
      <c r="F235" s="90"/>
      <c r="G235" s="90"/>
      <c r="H235" s="237"/>
      <c r="I235" s="237"/>
      <c r="J235" s="237"/>
      <c r="K235" s="237"/>
      <c r="L235" s="90"/>
    </row>
    <row r="236" spans="2:12" s="155" customFormat="1" ht="12.75" customHeight="1">
      <c r="B236" s="310" t="s">
        <v>243</v>
      </c>
      <c r="C236" s="189">
        <v>50</v>
      </c>
      <c r="D236" s="160"/>
      <c r="E236" s="336">
        <f t="shared" ref="E236:G255" si="72">E170</f>
        <v>0</v>
      </c>
      <c r="F236" s="336">
        <f t="shared" si="72"/>
        <v>3.5000000000000003E-2</v>
      </c>
      <c r="G236" s="336">
        <f t="shared" si="72"/>
        <v>3.5000000000000003E-2</v>
      </c>
      <c r="H236" s="336">
        <v>3.2000000000000001E-2</v>
      </c>
      <c r="I236" s="336">
        <v>3.2000000000000001E-2</v>
      </c>
      <c r="J236" s="336">
        <v>0.03</v>
      </c>
      <c r="K236" s="336">
        <v>0.03</v>
      </c>
      <c r="L236" s="336">
        <f t="shared" ref="L236" si="73">L170</f>
        <v>0</v>
      </c>
    </row>
    <row r="237" spans="2:12" s="155" customFormat="1" ht="12.75" customHeight="1">
      <c r="B237" s="310" t="s">
        <v>243</v>
      </c>
      <c r="C237" s="189">
        <v>51</v>
      </c>
      <c r="D237" s="160"/>
      <c r="E237" s="336">
        <f t="shared" si="72"/>
        <v>0</v>
      </c>
      <c r="F237" s="336">
        <f t="shared" si="72"/>
        <v>3.5000000000000003E-2</v>
      </c>
      <c r="G237" s="336">
        <f t="shared" si="72"/>
        <v>3.5000000000000003E-2</v>
      </c>
      <c r="H237" s="336">
        <v>3.2000000000000001E-2</v>
      </c>
      <c r="I237" s="336">
        <v>3.2000000000000001E-2</v>
      </c>
      <c r="J237" s="336">
        <v>0.03</v>
      </c>
      <c r="K237" s="336">
        <v>0.03</v>
      </c>
      <c r="L237" s="336">
        <f t="shared" ref="L237" si="74">L171</f>
        <v>0</v>
      </c>
    </row>
    <row r="238" spans="2:12" s="155" customFormat="1" ht="12.75" customHeight="1">
      <c r="B238" s="310" t="s">
        <v>243</v>
      </c>
      <c r="C238" s="189">
        <v>52</v>
      </c>
      <c r="D238" s="160"/>
      <c r="E238" s="336">
        <f t="shared" si="72"/>
        <v>0</v>
      </c>
      <c r="F238" s="336">
        <f t="shared" si="72"/>
        <v>3.5000000000000003E-2</v>
      </c>
      <c r="G238" s="336">
        <f t="shared" si="72"/>
        <v>3.5000000000000003E-2</v>
      </c>
      <c r="H238" s="336">
        <v>3.2000000000000001E-2</v>
      </c>
      <c r="I238" s="336">
        <v>3.2000000000000001E-2</v>
      </c>
      <c r="J238" s="336">
        <v>0.03</v>
      </c>
      <c r="K238" s="336">
        <v>0.03</v>
      </c>
      <c r="L238" s="336">
        <f t="shared" ref="L238" si="75">L172</f>
        <v>0</v>
      </c>
    </row>
    <row r="239" spans="2:12" s="155" customFormat="1" ht="12.75" customHeight="1">
      <c r="B239" s="310" t="s">
        <v>243</v>
      </c>
      <c r="C239" s="189">
        <v>53</v>
      </c>
      <c r="D239" s="160"/>
      <c r="E239" s="336">
        <f t="shared" si="72"/>
        <v>0</v>
      </c>
      <c r="F239" s="336">
        <f t="shared" si="72"/>
        <v>3.5000000000000003E-2</v>
      </c>
      <c r="G239" s="336">
        <f t="shared" si="72"/>
        <v>3.5000000000000003E-2</v>
      </c>
      <c r="H239" s="336">
        <v>3.2000000000000001E-2</v>
      </c>
      <c r="I239" s="336">
        <v>3.2000000000000001E-2</v>
      </c>
      <c r="J239" s="336">
        <v>0.03</v>
      </c>
      <c r="K239" s="336">
        <v>0.03</v>
      </c>
      <c r="L239" s="336">
        <f t="shared" ref="L239" si="76">L173</f>
        <v>0</v>
      </c>
    </row>
    <row r="240" spans="2:12" s="155" customFormat="1" ht="12.75" customHeight="1">
      <c r="B240" s="310" t="s">
        <v>243</v>
      </c>
      <c r="C240" s="189">
        <v>54</v>
      </c>
      <c r="D240" s="160"/>
      <c r="E240" s="336">
        <f t="shared" si="72"/>
        <v>0</v>
      </c>
      <c r="F240" s="336">
        <f t="shared" si="72"/>
        <v>3.5000000000000003E-2</v>
      </c>
      <c r="G240" s="336">
        <f t="shared" si="72"/>
        <v>3.5000000000000003E-2</v>
      </c>
      <c r="H240" s="336">
        <v>3.2000000000000001E-2</v>
      </c>
      <c r="I240" s="336">
        <v>3.2000000000000001E-2</v>
      </c>
      <c r="J240" s="336">
        <v>0.03</v>
      </c>
      <c r="K240" s="336">
        <v>0.03</v>
      </c>
      <c r="L240" s="336">
        <f t="shared" ref="L240" si="77">L174</f>
        <v>0</v>
      </c>
    </row>
    <row r="241" spans="2:12" s="155" customFormat="1" ht="12.75" customHeight="1">
      <c r="B241" s="310" t="s">
        <v>243</v>
      </c>
      <c r="C241" s="189">
        <v>55</v>
      </c>
      <c r="D241" s="160"/>
      <c r="E241" s="336">
        <f t="shared" si="72"/>
        <v>0</v>
      </c>
      <c r="F241" s="336">
        <f t="shared" si="72"/>
        <v>3.5000000000000003E-2</v>
      </c>
      <c r="G241" s="336">
        <f t="shared" si="72"/>
        <v>3.5000000000000003E-2</v>
      </c>
      <c r="H241" s="336">
        <v>3.2999999999999995E-2</v>
      </c>
      <c r="I241" s="336">
        <v>3.2999999999999995E-2</v>
      </c>
      <c r="J241" s="336">
        <v>0.03</v>
      </c>
      <c r="K241" s="336">
        <v>0.03</v>
      </c>
      <c r="L241" s="336">
        <f t="shared" ref="L241" si="78">L175</f>
        <v>0</v>
      </c>
    </row>
    <row r="242" spans="2:12" s="155" customFormat="1" ht="12.75" customHeight="1">
      <c r="B242" s="310" t="s">
        <v>243</v>
      </c>
      <c r="C242" s="189">
        <v>56</v>
      </c>
      <c r="D242" s="160"/>
      <c r="E242" s="336">
        <f t="shared" si="72"/>
        <v>0</v>
      </c>
      <c r="F242" s="336">
        <f t="shared" si="72"/>
        <v>3.5000000000000003E-2</v>
      </c>
      <c r="G242" s="336">
        <f t="shared" si="72"/>
        <v>3.5000000000000003E-2</v>
      </c>
      <c r="H242" s="336">
        <v>3.4499999999999996E-2</v>
      </c>
      <c r="I242" s="336">
        <v>3.4499999999999996E-2</v>
      </c>
      <c r="J242" s="336">
        <v>3.15E-2</v>
      </c>
      <c r="K242" s="336">
        <v>3.15E-2</v>
      </c>
      <c r="L242" s="336">
        <f t="shared" ref="L242" si="79">L176</f>
        <v>0</v>
      </c>
    </row>
    <row r="243" spans="2:12" s="155" customFormat="1" ht="12.75" customHeight="1">
      <c r="B243" s="310" t="s">
        <v>243</v>
      </c>
      <c r="C243" s="189">
        <v>57</v>
      </c>
      <c r="D243" s="160"/>
      <c r="E243" s="336">
        <f t="shared" si="72"/>
        <v>0</v>
      </c>
      <c r="F243" s="336">
        <f t="shared" si="72"/>
        <v>3.5000000000000003E-2</v>
      </c>
      <c r="G243" s="336">
        <f t="shared" si="72"/>
        <v>3.5000000000000003E-2</v>
      </c>
      <c r="H243" s="336">
        <v>3.5999999999999997E-2</v>
      </c>
      <c r="I243" s="336">
        <v>3.5999999999999997E-2</v>
      </c>
      <c r="J243" s="336">
        <v>3.3000000000000002E-2</v>
      </c>
      <c r="K243" s="336">
        <v>3.3000000000000002E-2</v>
      </c>
      <c r="L243" s="336">
        <f t="shared" ref="L243" si="80">L177</f>
        <v>0</v>
      </c>
    </row>
    <row r="244" spans="2:12" s="155" customFormat="1" ht="12.75" customHeight="1">
      <c r="B244" s="310" t="s">
        <v>243</v>
      </c>
      <c r="C244" s="189">
        <v>58</v>
      </c>
      <c r="D244" s="160"/>
      <c r="E244" s="336">
        <f t="shared" si="72"/>
        <v>0</v>
      </c>
      <c r="F244" s="336">
        <f t="shared" si="72"/>
        <v>3.5000000000000003E-2</v>
      </c>
      <c r="G244" s="336">
        <f t="shared" si="72"/>
        <v>3.5000000000000003E-2</v>
      </c>
      <c r="H244" s="336">
        <v>3.7499999999999999E-2</v>
      </c>
      <c r="I244" s="336">
        <v>3.7499999999999999E-2</v>
      </c>
      <c r="J244" s="336">
        <v>3.4500000000000003E-2</v>
      </c>
      <c r="K244" s="336">
        <v>3.4500000000000003E-2</v>
      </c>
      <c r="L244" s="336">
        <f t="shared" ref="L244" si="81">L178</f>
        <v>0</v>
      </c>
    </row>
    <row r="245" spans="2:12" s="155" customFormat="1" ht="12.75" customHeight="1">
      <c r="B245" s="310" t="s">
        <v>243</v>
      </c>
      <c r="C245" s="189">
        <v>59</v>
      </c>
      <c r="D245" s="160"/>
      <c r="E245" s="336">
        <f t="shared" si="72"/>
        <v>0</v>
      </c>
      <c r="F245" s="336">
        <f t="shared" si="72"/>
        <v>3.5000000000000003E-2</v>
      </c>
      <c r="G245" s="336">
        <f t="shared" si="72"/>
        <v>3.5000000000000003E-2</v>
      </c>
      <c r="H245" s="336">
        <v>3.8999999999999993E-2</v>
      </c>
      <c r="I245" s="336">
        <v>3.8999999999999993E-2</v>
      </c>
      <c r="J245" s="336">
        <v>3.6000000000000004E-2</v>
      </c>
      <c r="K245" s="336">
        <v>3.6000000000000004E-2</v>
      </c>
      <c r="L245" s="336">
        <f t="shared" ref="L245" si="82">L179</f>
        <v>0</v>
      </c>
    </row>
    <row r="246" spans="2:12" s="155" customFormat="1" ht="12.75" customHeight="1">
      <c r="B246" s="310" t="s">
        <v>243</v>
      </c>
      <c r="C246" s="189">
        <v>60</v>
      </c>
      <c r="D246" s="160"/>
      <c r="E246" s="336">
        <f t="shared" si="72"/>
        <v>0</v>
      </c>
      <c r="F246" s="336">
        <f t="shared" si="72"/>
        <v>0.04</v>
      </c>
      <c r="G246" s="336">
        <f t="shared" si="72"/>
        <v>0.04</v>
      </c>
      <c r="H246" s="336">
        <v>4.0499999999999994E-2</v>
      </c>
      <c r="I246" s="336">
        <v>4.0499999999999994E-2</v>
      </c>
      <c r="J246" s="336">
        <v>3.7500000000000006E-2</v>
      </c>
      <c r="K246" s="336">
        <v>3.7500000000000006E-2</v>
      </c>
      <c r="L246" s="336">
        <f t="shared" ref="L246" si="83">L180</f>
        <v>0</v>
      </c>
    </row>
    <row r="247" spans="2:12" s="155" customFormat="1" ht="12.75" customHeight="1">
      <c r="B247" s="310" t="s">
        <v>243</v>
      </c>
      <c r="C247" s="189">
        <v>61</v>
      </c>
      <c r="D247" s="160"/>
      <c r="E247" s="336">
        <f t="shared" si="72"/>
        <v>0</v>
      </c>
      <c r="F247" s="336">
        <f t="shared" si="72"/>
        <v>0.04</v>
      </c>
      <c r="G247" s="336">
        <f t="shared" si="72"/>
        <v>0.04</v>
      </c>
      <c r="H247" s="336">
        <v>4.1999999999999996E-2</v>
      </c>
      <c r="I247" s="336">
        <v>4.1999999999999996E-2</v>
      </c>
      <c r="J247" s="336">
        <v>3.9000000000000007E-2</v>
      </c>
      <c r="K247" s="336">
        <v>3.9000000000000007E-2</v>
      </c>
      <c r="L247" s="336">
        <f t="shared" ref="L247" si="84">L181</f>
        <v>0</v>
      </c>
    </row>
    <row r="248" spans="2:12" s="155" customFormat="1" ht="12.75" customHeight="1">
      <c r="B248" s="310" t="s">
        <v>243</v>
      </c>
      <c r="C248" s="189">
        <v>62</v>
      </c>
      <c r="D248" s="160"/>
      <c r="E248" s="336">
        <f t="shared" si="72"/>
        <v>0</v>
      </c>
      <c r="F248" s="336">
        <f t="shared" si="72"/>
        <v>0.04</v>
      </c>
      <c r="G248" s="336">
        <f t="shared" si="72"/>
        <v>0.04</v>
      </c>
      <c r="H248" s="336">
        <v>4.3499999999999997E-2</v>
      </c>
      <c r="I248" s="336">
        <v>4.3499999999999997E-2</v>
      </c>
      <c r="J248" s="336">
        <v>4.0500000000000008E-2</v>
      </c>
      <c r="K248" s="336">
        <v>4.0500000000000008E-2</v>
      </c>
      <c r="L248" s="336">
        <f t="shared" ref="L248" si="85">L182</f>
        <v>0</v>
      </c>
    </row>
    <row r="249" spans="2:12" s="155" customFormat="1" ht="12.75" customHeight="1">
      <c r="B249" s="310" t="s">
        <v>243</v>
      </c>
      <c r="C249" s="189">
        <v>63</v>
      </c>
      <c r="D249" s="160"/>
      <c r="E249" s="336">
        <f t="shared" si="72"/>
        <v>0</v>
      </c>
      <c r="F249" s="336">
        <f t="shared" si="72"/>
        <v>0.04</v>
      </c>
      <c r="G249" s="336">
        <f t="shared" si="72"/>
        <v>0.04</v>
      </c>
      <c r="H249" s="336">
        <v>4.4999999999999998E-2</v>
      </c>
      <c r="I249" s="336">
        <v>4.4999999999999998E-2</v>
      </c>
      <c r="J249" s="336">
        <v>4.200000000000001E-2</v>
      </c>
      <c r="K249" s="336">
        <v>4.200000000000001E-2</v>
      </c>
      <c r="L249" s="336">
        <f t="shared" ref="L249" si="86">L183</f>
        <v>0</v>
      </c>
    </row>
    <row r="250" spans="2:12" s="155" customFormat="1" ht="12.75" customHeight="1">
      <c r="B250" s="310" t="s">
        <v>243</v>
      </c>
      <c r="C250" s="189">
        <v>64</v>
      </c>
      <c r="D250" s="160"/>
      <c r="E250" s="336">
        <f t="shared" si="72"/>
        <v>0</v>
      </c>
      <c r="F250" s="336">
        <f t="shared" si="72"/>
        <v>0.04</v>
      </c>
      <c r="G250" s="336">
        <f t="shared" si="72"/>
        <v>0.04</v>
      </c>
      <c r="H250" s="336">
        <v>4.6499999999999993E-2</v>
      </c>
      <c r="I250" s="336">
        <v>4.6499999999999993E-2</v>
      </c>
      <c r="J250" s="336">
        <v>4.3500000000000011E-2</v>
      </c>
      <c r="K250" s="336">
        <v>4.3500000000000011E-2</v>
      </c>
      <c r="L250" s="336">
        <f t="shared" ref="L250" si="87">L184</f>
        <v>0</v>
      </c>
    </row>
    <row r="251" spans="2:12" s="155" customFormat="1" ht="12.75" customHeight="1">
      <c r="B251" s="310" t="s">
        <v>243</v>
      </c>
      <c r="C251" s="189">
        <v>65</v>
      </c>
      <c r="D251" s="160"/>
      <c r="E251" s="336">
        <f t="shared" si="72"/>
        <v>0</v>
      </c>
      <c r="F251" s="336">
        <f t="shared" si="72"/>
        <v>5.2499999999999998E-2</v>
      </c>
      <c r="G251" s="336">
        <f t="shared" si="72"/>
        <v>5.5E-2</v>
      </c>
      <c r="H251" s="336">
        <v>4.7999999999999994E-2</v>
      </c>
      <c r="I251" s="336">
        <v>4.7999999999999994E-2</v>
      </c>
      <c r="J251" s="336">
        <v>4.5000000000000012E-2</v>
      </c>
      <c r="K251" s="336">
        <v>4.5000000000000012E-2</v>
      </c>
      <c r="L251" s="336">
        <f t="shared" ref="L251" si="88">L185</f>
        <v>0</v>
      </c>
    </row>
    <row r="252" spans="2:12" s="155" customFormat="1" ht="12.75" customHeight="1">
      <c r="B252" s="310" t="s">
        <v>243</v>
      </c>
      <c r="C252" s="189">
        <v>66</v>
      </c>
      <c r="D252" s="160"/>
      <c r="E252" s="336">
        <f t="shared" si="72"/>
        <v>0</v>
      </c>
      <c r="F252" s="336">
        <f t="shared" si="72"/>
        <v>5.2499999999999998E-2</v>
      </c>
      <c r="G252" s="336">
        <f t="shared" si="72"/>
        <v>5.5E-2</v>
      </c>
      <c r="H252" s="336">
        <v>4.9499999999999995E-2</v>
      </c>
      <c r="I252" s="336">
        <v>4.9499999999999995E-2</v>
      </c>
      <c r="J252" s="336">
        <v>4.6000000000000013E-2</v>
      </c>
      <c r="K252" s="336">
        <v>4.6000000000000013E-2</v>
      </c>
      <c r="L252" s="336">
        <f>L186</f>
        <v>0</v>
      </c>
    </row>
    <row r="253" spans="2:12" s="155" customFormat="1" ht="12.75" customHeight="1">
      <c r="B253" s="310" t="s">
        <v>243</v>
      </c>
      <c r="C253" s="189">
        <v>67</v>
      </c>
      <c r="D253" s="160"/>
      <c r="E253" s="336">
        <f t="shared" si="72"/>
        <v>0</v>
      </c>
      <c r="F253" s="336">
        <f t="shared" si="72"/>
        <v>5.2499999999999998E-2</v>
      </c>
      <c r="G253" s="336">
        <f t="shared" si="72"/>
        <v>5.5E-2</v>
      </c>
      <c r="H253" s="336">
        <v>5.0999999999999997E-2</v>
      </c>
      <c r="I253" s="336">
        <v>5.0999999999999997E-2</v>
      </c>
      <c r="J253" s="336">
        <v>4.7000000000000014E-2</v>
      </c>
      <c r="K253" s="336">
        <v>4.7000000000000014E-2</v>
      </c>
      <c r="L253" s="336">
        <f>L187</f>
        <v>0</v>
      </c>
    </row>
    <row r="254" spans="2:12" s="155" customFormat="1" ht="12.75" customHeight="1">
      <c r="B254" s="310" t="s">
        <v>243</v>
      </c>
      <c r="C254" s="189">
        <v>68</v>
      </c>
      <c r="D254" s="160"/>
      <c r="E254" s="336">
        <f t="shared" si="72"/>
        <v>0</v>
      </c>
      <c r="F254" s="336">
        <f t="shared" si="72"/>
        <v>5.2499999999999998E-2</v>
      </c>
      <c r="G254" s="336">
        <f t="shared" si="72"/>
        <v>5.5E-2</v>
      </c>
      <c r="H254" s="336">
        <v>5.2499999999999998E-2</v>
      </c>
      <c r="I254" s="336">
        <v>5.2499999999999998E-2</v>
      </c>
      <c r="J254" s="336">
        <v>4.8000000000000015E-2</v>
      </c>
      <c r="K254" s="336">
        <v>4.8000000000000015E-2</v>
      </c>
      <c r="L254" s="336">
        <f t="shared" ref="L254" si="89">L188</f>
        <v>0</v>
      </c>
    </row>
    <row r="255" spans="2:12" s="155" customFormat="1" ht="12.75" customHeight="1">
      <c r="B255" s="310" t="s">
        <v>243</v>
      </c>
      <c r="C255" s="189">
        <v>69</v>
      </c>
      <c r="D255" s="160"/>
      <c r="E255" s="336">
        <f t="shared" si="72"/>
        <v>0</v>
      </c>
      <c r="F255" s="336">
        <f t="shared" si="72"/>
        <v>5.2499999999999998E-2</v>
      </c>
      <c r="G255" s="336">
        <f t="shared" si="72"/>
        <v>5.5E-2</v>
      </c>
      <c r="H255" s="336">
        <v>5.3999999999999999E-2</v>
      </c>
      <c r="I255" s="336">
        <v>5.3999999999999999E-2</v>
      </c>
      <c r="J255" s="336">
        <v>4.9000000000000016E-2</v>
      </c>
      <c r="K255" s="336">
        <v>4.9000000000000016E-2</v>
      </c>
      <c r="L255" s="336">
        <f t="shared" ref="L255" si="90">L189</f>
        <v>0</v>
      </c>
    </row>
    <row r="256" spans="2:12" s="155" customFormat="1" ht="12.75" customHeight="1">
      <c r="B256" s="310" t="s">
        <v>243</v>
      </c>
      <c r="C256" s="189">
        <v>70</v>
      </c>
      <c r="D256" s="160"/>
      <c r="E256" s="336">
        <f t="shared" ref="E256:G275" si="91">E190</f>
        <v>0</v>
      </c>
      <c r="F256" s="336">
        <f t="shared" si="91"/>
        <v>5.2499999999999998E-2</v>
      </c>
      <c r="G256" s="336">
        <f t="shared" si="91"/>
        <v>5.5E-2</v>
      </c>
      <c r="H256" s="336">
        <v>5.5499999999999994E-2</v>
      </c>
      <c r="I256" s="336">
        <v>5.5499999999999994E-2</v>
      </c>
      <c r="J256" s="336">
        <v>5.0000000000000017E-2</v>
      </c>
      <c r="K256" s="336">
        <v>5.0000000000000017E-2</v>
      </c>
      <c r="L256" s="336">
        <f t="shared" ref="L256" si="92">L190</f>
        <v>0</v>
      </c>
    </row>
    <row r="257" spans="2:12" s="155" customFormat="1" ht="12.75" customHeight="1">
      <c r="B257" s="310" t="s">
        <v>243</v>
      </c>
      <c r="C257" s="189">
        <v>71</v>
      </c>
      <c r="D257" s="160"/>
      <c r="E257" s="336">
        <f t="shared" si="91"/>
        <v>0</v>
      </c>
      <c r="F257" s="336">
        <f t="shared" si="91"/>
        <v>5.2499999999999998E-2</v>
      </c>
      <c r="G257" s="336">
        <f t="shared" si="91"/>
        <v>5.5E-2</v>
      </c>
      <c r="H257" s="336">
        <v>5.6999999999999995E-2</v>
      </c>
      <c r="I257" s="336">
        <v>5.6999999999999995E-2</v>
      </c>
      <c r="J257" s="336">
        <v>5.0500000000000017E-2</v>
      </c>
      <c r="K257" s="336">
        <v>5.0500000000000017E-2</v>
      </c>
      <c r="L257" s="336">
        <f t="shared" ref="L257" si="93">L191</f>
        <v>0</v>
      </c>
    </row>
    <row r="258" spans="2:12" s="155" customFormat="1" ht="12.75" customHeight="1">
      <c r="B258" s="310" t="s">
        <v>243</v>
      </c>
      <c r="C258" s="189">
        <v>72</v>
      </c>
      <c r="D258" s="160"/>
      <c r="E258" s="336">
        <f t="shared" si="91"/>
        <v>0</v>
      </c>
      <c r="F258" s="336">
        <f t="shared" si="91"/>
        <v>6.5000000000000002E-2</v>
      </c>
      <c r="G258" s="336">
        <f t="shared" si="91"/>
        <v>6.5000000000000002E-2</v>
      </c>
      <c r="H258" s="336">
        <v>5.8499999999999996E-2</v>
      </c>
      <c r="I258" s="336">
        <v>5.8499999999999996E-2</v>
      </c>
      <c r="J258" s="336">
        <v>5.1000000000000018E-2</v>
      </c>
      <c r="K258" s="336">
        <v>5.1000000000000018E-2</v>
      </c>
      <c r="L258" s="336">
        <f t="shared" ref="L258" si="94">L192</f>
        <v>0</v>
      </c>
    </row>
    <row r="259" spans="2:12" s="155" customFormat="1" ht="12.75" customHeight="1">
      <c r="B259" s="310" t="s">
        <v>243</v>
      </c>
      <c r="C259" s="189">
        <v>73</v>
      </c>
      <c r="D259" s="160"/>
      <c r="E259" s="336">
        <f t="shared" si="91"/>
        <v>0</v>
      </c>
      <c r="F259" s="336">
        <f t="shared" si="91"/>
        <v>6.5000000000000002E-2</v>
      </c>
      <c r="G259" s="336">
        <f t="shared" si="91"/>
        <v>6.5000000000000002E-2</v>
      </c>
      <c r="H259" s="336">
        <v>0.06</v>
      </c>
      <c r="I259" s="336">
        <v>0.06</v>
      </c>
      <c r="J259" s="336">
        <v>5.1500000000000018E-2</v>
      </c>
      <c r="K259" s="336">
        <v>5.1500000000000018E-2</v>
      </c>
      <c r="L259" s="336">
        <f t="shared" ref="L259" si="95">L193</f>
        <v>0</v>
      </c>
    </row>
    <row r="260" spans="2:12" s="155" customFormat="1" ht="12.75" customHeight="1">
      <c r="B260" s="310" t="s">
        <v>243</v>
      </c>
      <c r="C260" s="189">
        <v>74</v>
      </c>
      <c r="D260" s="160"/>
      <c r="E260" s="336">
        <f t="shared" si="91"/>
        <v>0</v>
      </c>
      <c r="F260" s="336">
        <f t="shared" si="91"/>
        <v>6.5000000000000002E-2</v>
      </c>
      <c r="G260" s="336">
        <f t="shared" si="91"/>
        <v>6.5000000000000002E-2</v>
      </c>
      <c r="H260" s="336">
        <v>6.1499999999999999E-2</v>
      </c>
      <c r="I260" s="336">
        <v>6.1499999999999999E-2</v>
      </c>
      <c r="J260" s="336">
        <v>5.2000000000000018E-2</v>
      </c>
      <c r="K260" s="336">
        <v>5.2000000000000018E-2</v>
      </c>
      <c r="L260" s="336">
        <f t="shared" ref="L260" si="96">L194</f>
        <v>0</v>
      </c>
    </row>
    <row r="261" spans="2:12" s="155" customFormat="1" ht="12.75" customHeight="1">
      <c r="B261" s="310" t="s">
        <v>243</v>
      </c>
      <c r="C261" s="189">
        <v>75</v>
      </c>
      <c r="D261" s="160"/>
      <c r="E261" s="336">
        <f t="shared" si="91"/>
        <v>0</v>
      </c>
      <c r="F261" s="336">
        <f t="shared" si="91"/>
        <v>6.5000000000000002E-2</v>
      </c>
      <c r="G261" s="336">
        <f t="shared" si="91"/>
        <v>6.5000000000000002E-2</v>
      </c>
      <c r="H261" s="336">
        <v>6.3E-2</v>
      </c>
      <c r="I261" s="336">
        <v>6.3E-2</v>
      </c>
      <c r="J261" s="336">
        <v>5.2500000000000019E-2</v>
      </c>
      <c r="K261" s="336">
        <v>5.2500000000000019E-2</v>
      </c>
      <c r="L261" s="336">
        <f t="shared" ref="L261" si="97">L195</f>
        <v>0</v>
      </c>
    </row>
    <row r="262" spans="2:12" s="155" customFormat="1" ht="12.75" customHeight="1">
      <c r="B262" s="310" t="s">
        <v>243</v>
      </c>
      <c r="C262" s="189">
        <v>76</v>
      </c>
      <c r="D262" s="160"/>
      <c r="E262" s="336">
        <f t="shared" si="91"/>
        <v>0</v>
      </c>
      <c r="F262" s="336">
        <f t="shared" si="91"/>
        <v>6.5000000000000002E-2</v>
      </c>
      <c r="G262" s="336">
        <f t="shared" si="91"/>
        <v>6.5000000000000002E-2</v>
      </c>
      <c r="H262" s="336">
        <v>6.4500000000000002E-2</v>
      </c>
      <c r="I262" s="336">
        <v>6.4500000000000002E-2</v>
      </c>
      <c r="J262" s="336">
        <v>5.3000000000000019E-2</v>
      </c>
      <c r="K262" s="336">
        <v>5.3000000000000019E-2</v>
      </c>
      <c r="L262" s="336">
        <f t="shared" ref="L262" si="98">L196</f>
        <v>0</v>
      </c>
    </row>
    <row r="263" spans="2:12" s="155" customFormat="1" ht="12.75" customHeight="1">
      <c r="B263" s="310" t="s">
        <v>243</v>
      </c>
      <c r="C263" s="189">
        <v>77</v>
      </c>
      <c r="D263" s="160"/>
      <c r="E263" s="336">
        <f t="shared" si="91"/>
        <v>0</v>
      </c>
      <c r="F263" s="336">
        <f t="shared" si="91"/>
        <v>6.5000000000000002E-2</v>
      </c>
      <c r="G263" s="336">
        <f t="shared" si="91"/>
        <v>6.5000000000000002E-2</v>
      </c>
      <c r="H263" s="336">
        <v>6.5999999999999989E-2</v>
      </c>
      <c r="I263" s="336">
        <v>6.5999999999999989E-2</v>
      </c>
      <c r="J263" s="336">
        <v>5.350000000000002E-2</v>
      </c>
      <c r="K263" s="336">
        <v>5.350000000000002E-2</v>
      </c>
      <c r="L263" s="336">
        <f t="shared" ref="L263" si="99">L197</f>
        <v>0</v>
      </c>
    </row>
    <row r="264" spans="2:12" s="155" customFormat="1" ht="12.75" customHeight="1">
      <c r="B264" s="310" t="s">
        <v>243</v>
      </c>
      <c r="C264" s="189">
        <v>78</v>
      </c>
      <c r="D264" s="160"/>
      <c r="E264" s="336">
        <f t="shared" si="91"/>
        <v>0</v>
      </c>
      <c r="F264" s="336">
        <f t="shared" si="91"/>
        <v>6.5000000000000002E-2</v>
      </c>
      <c r="G264" s="336">
        <f t="shared" si="91"/>
        <v>6.5000000000000002E-2</v>
      </c>
      <c r="H264" s="336">
        <v>6.7499999999999991E-2</v>
      </c>
      <c r="I264" s="336">
        <v>6.7499999999999991E-2</v>
      </c>
      <c r="J264" s="336">
        <v>5.400000000000002E-2</v>
      </c>
      <c r="K264" s="336">
        <v>5.400000000000002E-2</v>
      </c>
      <c r="L264" s="336">
        <f t="shared" ref="L264" si="100">L198</f>
        <v>0</v>
      </c>
    </row>
    <row r="265" spans="2:12" s="155" customFormat="1" ht="12.75" customHeight="1">
      <c r="B265" s="310" t="s">
        <v>243</v>
      </c>
      <c r="C265" s="189">
        <v>79</v>
      </c>
      <c r="D265" s="160"/>
      <c r="E265" s="336">
        <f t="shared" si="91"/>
        <v>0</v>
      </c>
      <c r="F265" s="336">
        <f t="shared" si="91"/>
        <v>6.5000000000000002E-2</v>
      </c>
      <c r="G265" s="336">
        <f t="shared" si="91"/>
        <v>6.5000000000000002E-2</v>
      </c>
      <c r="H265" s="336">
        <v>6.7999999999999991E-2</v>
      </c>
      <c r="I265" s="336">
        <v>6.7999999999999991E-2</v>
      </c>
      <c r="J265" s="336">
        <v>5.4500000000000021E-2</v>
      </c>
      <c r="K265" s="336">
        <v>5.4500000000000021E-2</v>
      </c>
      <c r="L265" s="336">
        <f t="shared" ref="L265" si="101">L199</f>
        <v>0</v>
      </c>
    </row>
    <row r="266" spans="2:12" s="155" customFormat="1" ht="12.75" customHeight="1">
      <c r="B266" s="310" t="s">
        <v>243</v>
      </c>
      <c r="C266" s="189">
        <v>80</v>
      </c>
      <c r="D266" s="160"/>
      <c r="E266" s="336">
        <f t="shared" si="91"/>
        <v>0</v>
      </c>
      <c r="F266" s="336">
        <f t="shared" si="91"/>
        <v>6.5000000000000002E-2</v>
      </c>
      <c r="G266" s="336">
        <f t="shared" si="91"/>
        <v>6.5000000000000002E-2</v>
      </c>
      <c r="H266" s="336">
        <v>6.7999999999999991E-2</v>
      </c>
      <c r="I266" s="336">
        <v>6.7999999999999991E-2</v>
      </c>
      <c r="J266" s="336">
        <v>5.5000000000000021E-2</v>
      </c>
      <c r="K266" s="336">
        <v>5.5000000000000021E-2</v>
      </c>
      <c r="L266" s="336">
        <f t="shared" ref="L266" si="102">L200</f>
        <v>0</v>
      </c>
    </row>
    <row r="267" spans="2:12" s="155" customFormat="1" ht="12.75" customHeight="1">
      <c r="B267" s="310" t="s">
        <v>244</v>
      </c>
      <c r="C267" s="189">
        <f>C236</f>
        <v>50</v>
      </c>
      <c r="D267" s="160"/>
      <c r="E267" s="336">
        <f t="shared" si="91"/>
        <v>0</v>
      </c>
      <c r="F267" s="336">
        <f t="shared" si="91"/>
        <v>3.0000000000000002E-2</v>
      </c>
      <c r="G267" s="336">
        <f t="shared" si="91"/>
        <v>3.0000000000000002E-2</v>
      </c>
      <c r="H267" s="336">
        <v>2.7E-2</v>
      </c>
      <c r="I267" s="336">
        <v>2.7E-2</v>
      </c>
      <c r="J267" s="336">
        <v>2.4999999999999998E-2</v>
      </c>
      <c r="K267" s="336">
        <v>2.4999999999999998E-2</v>
      </c>
      <c r="L267" s="336">
        <f t="shared" ref="L267" si="103">L201</f>
        <v>0</v>
      </c>
    </row>
    <row r="268" spans="2:12" s="155" customFormat="1" ht="12.75" customHeight="1">
      <c r="B268" s="310" t="s">
        <v>244</v>
      </c>
      <c r="C268" s="189">
        <f t="shared" ref="C268:C297" si="104">C237</f>
        <v>51</v>
      </c>
      <c r="D268" s="160"/>
      <c r="E268" s="336">
        <f t="shared" si="91"/>
        <v>0</v>
      </c>
      <c r="F268" s="336">
        <f t="shared" si="91"/>
        <v>3.0000000000000002E-2</v>
      </c>
      <c r="G268" s="336">
        <f t="shared" si="91"/>
        <v>3.0000000000000002E-2</v>
      </c>
      <c r="H268" s="336">
        <v>2.7E-2</v>
      </c>
      <c r="I268" s="336">
        <v>2.7E-2</v>
      </c>
      <c r="J268" s="336">
        <v>2.4999999999999998E-2</v>
      </c>
      <c r="K268" s="336">
        <v>2.4999999999999998E-2</v>
      </c>
      <c r="L268" s="336">
        <f>L202</f>
        <v>0</v>
      </c>
    </row>
    <row r="269" spans="2:12" s="155" customFormat="1" ht="12.75" customHeight="1">
      <c r="B269" s="310" t="s">
        <v>244</v>
      </c>
      <c r="C269" s="189">
        <f t="shared" si="104"/>
        <v>52</v>
      </c>
      <c r="D269" s="160"/>
      <c r="E269" s="336">
        <f t="shared" si="91"/>
        <v>0</v>
      </c>
      <c r="F269" s="336">
        <f t="shared" si="91"/>
        <v>3.0000000000000002E-2</v>
      </c>
      <c r="G269" s="336">
        <f t="shared" si="91"/>
        <v>3.0000000000000002E-2</v>
      </c>
      <c r="H269" s="336">
        <v>2.7E-2</v>
      </c>
      <c r="I269" s="336">
        <v>2.7E-2</v>
      </c>
      <c r="J269" s="336">
        <v>2.4999999999999998E-2</v>
      </c>
      <c r="K269" s="336">
        <v>2.4999999999999998E-2</v>
      </c>
      <c r="L269" s="336">
        <f>L203</f>
        <v>0</v>
      </c>
    </row>
    <row r="270" spans="2:12" s="155" customFormat="1" ht="12.75" customHeight="1">
      <c r="B270" s="310" t="s">
        <v>244</v>
      </c>
      <c r="C270" s="189">
        <f t="shared" si="104"/>
        <v>53</v>
      </c>
      <c r="D270" s="160"/>
      <c r="E270" s="336">
        <f t="shared" si="91"/>
        <v>0</v>
      </c>
      <c r="F270" s="336">
        <f t="shared" si="91"/>
        <v>3.0000000000000002E-2</v>
      </c>
      <c r="G270" s="336">
        <f t="shared" si="91"/>
        <v>3.0000000000000002E-2</v>
      </c>
      <c r="H270" s="336">
        <v>2.7E-2</v>
      </c>
      <c r="I270" s="336">
        <v>2.7E-2</v>
      </c>
      <c r="J270" s="336">
        <v>2.4999999999999998E-2</v>
      </c>
      <c r="K270" s="336">
        <v>2.4999999999999998E-2</v>
      </c>
      <c r="L270" s="336">
        <f t="shared" ref="L270" si="105">L204</f>
        <v>0</v>
      </c>
    </row>
    <row r="271" spans="2:12" s="155" customFormat="1" ht="12.75" customHeight="1">
      <c r="B271" s="310" t="s">
        <v>244</v>
      </c>
      <c r="C271" s="189">
        <f t="shared" si="104"/>
        <v>54</v>
      </c>
      <c r="D271" s="160"/>
      <c r="E271" s="336">
        <f t="shared" si="91"/>
        <v>0</v>
      </c>
      <c r="F271" s="336">
        <f t="shared" si="91"/>
        <v>3.0000000000000002E-2</v>
      </c>
      <c r="G271" s="336">
        <f t="shared" si="91"/>
        <v>3.0000000000000002E-2</v>
      </c>
      <c r="H271" s="336">
        <v>2.7E-2</v>
      </c>
      <c r="I271" s="336">
        <v>2.7E-2</v>
      </c>
      <c r="J271" s="336">
        <v>2.4999999999999998E-2</v>
      </c>
      <c r="K271" s="336">
        <v>2.4999999999999998E-2</v>
      </c>
      <c r="L271" s="336">
        <f t="shared" ref="L271" si="106">L205</f>
        <v>0</v>
      </c>
    </row>
    <row r="272" spans="2:12" s="155" customFormat="1" ht="12.75" customHeight="1">
      <c r="B272" s="310" t="s">
        <v>244</v>
      </c>
      <c r="C272" s="189">
        <f t="shared" si="104"/>
        <v>55</v>
      </c>
      <c r="D272" s="160"/>
      <c r="E272" s="336">
        <f t="shared" si="91"/>
        <v>0</v>
      </c>
      <c r="F272" s="336">
        <f t="shared" si="91"/>
        <v>3.0000000000000002E-2</v>
      </c>
      <c r="G272" s="336">
        <f t="shared" si="91"/>
        <v>3.0000000000000002E-2</v>
      </c>
      <c r="H272" s="336">
        <v>2.7999999999999994E-2</v>
      </c>
      <c r="I272" s="336">
        <v>2.7999999999999994E-2</v>
      </c>
      <c r="J272" s="336">
        <v>2.4999999999999998E-2</v>
      </c>
      <c r="K272" s="336">
        <v>2.4999999999999998E-2</v>
      </c>
      <c r="L272" s="336">
        <f t="shared" ref="L272" si="107">L206</f>
        <v>0</v>
      </c>
    </row>
    <row r="273" spans="2:12" s="155" customFormat="1" ht="12.75" customHeight="1">
      <c r="B273" s="310" t="s">
        <v>244</v>
      </c>
      <c r="C273" s="189">
        <f t="shared" si="104"/>
        <v>56</v>
      </c>
      <c r="D273" s="160"/>
      <c r="E273" s="336">
        <f t="shared" si="91"/>
        <v>0</v>
      </c>
      <c r="F273" s="336">
        <f t="shared" si="91"/>
        <v>3.0000000000000002E-2</v>
      </c>
      <c r="G273" s="336">
        <f t="shared" si="91"/>
        <v>3.0000000000000002E-2</v>
      </c>
      <c r="H273" s="336">
        <v>2.9499999999999995E-2</v>
      </c>
      <c r="I273" s="336">
        <v>2.9499999999999995E-2</v>
      </c>
      <c r="J273" s="336">
        <v>2.6499999999999999E-2</v>
      </c>
      <c r="K273" s="336">
        <v>2.6499999999999999E-2</v>
      </c>
      <c r="L273" s="336">
        <f t="shared" ref="L273" si="108">L207</f>
        <v>0</v>
      </c>
    </row>
    <row r="274" spans="2:12" s="155" customFormat="1" ht="12.75" customHeight="1">
      <c r="B274" s="310" t="s">
        <v>244</v>
      </c>
      <c r="C274" s="189">
        <f t="shared" si="104"/>
        <v>57</v>
      </c>
      <c r="D274" s="160"/>
      <c r="E274" s="336">
        <f t="shared" si="91"/>
        <v>0</v>
      </c>
      <c r="F274" s="336">
        <f t="shared" si="91"/>
        <v>3.0000000000000002E-2</v>
      </c>
      <c r="G274" s="336">
        <f t="shared" si="91"/>
        <v>3.0000000000000002E-2</v>
      </c>
      <c r="H274" s="336">
        <v>3.0999999999999996E-2</v>
      </c>
      <c r="I274" s="336">
        <v>3.0999999999999996E-2</v>
      </c>
      <c r="J274" s="336">
        <v>2.8000000000000001E-2</v>
      </c>
      <c r="K274" s="336">
        <v>2.8000000000000001E-2</v>
      </c>
      <c r="L274" s="336">
        <f t="shared" ref="L274" si="109">L208</f>
        <v>0</v>
      </c>
    </row>
    <row r="275" spans="2:12" s="155" customFormat="1" ht="12.75" customHeight="1">
      <c r="B275" s="310" t="s">
        <v>244</v>
      </c>
      <c r="C275" s="189">
        <f t="shared" si="104"/>
        <v>58</v>
      </c>
      <c r="D275" s="160"/>
      <c r="E275" s="336">
        <f t="shared" si="91"/>
        <v>0</v>
      </c>
      <c r="F275" s="336">
        <f t="shared" si="91"/>
        <v>3.0000000000000002E-2</v>
      </c>
      <c r="G275" s="336">
        <f t="shared" si="91"/>
        <v>3.0000000000000002E-2</v>
      </c>
      <c r="H275" s="336">
        <v>3.2500000000000001E-2</v>
      </c>
      <c r="I275" s="336">
        <v>3.2500000000000001E-2</v>
      </c>
      <c r="J275" s="336">
        <v>2.9500000000000002E-2</v>
      </c>
      <c r="K275" s="336">
        <v>2.9500000000000002E-2</v>
      </c>
      <c r="L275" s="336">
        <f t="shared" ref="L275" si="110">L209</f>
        <v>0</v>
      </c>
    </row>
    <row r="276" spans="2:12" s="155" customFormat="1" ht="12.75" customHeight="1">
      <c r="B276" s="310" t="s">
        <v>244</v>
      </c>
      <c r="C276" s="189">
        <f t="shared" si="104"/>
        <v>59</v>
      </c>
      <c r="D276" s="160"/>
      <c r="E276" s="336">
        <f t="shared" ref="E276:G295" si="111">E210</f>
        <v>0</v>
      </c>
      <c r="F276" s="336">
        <f t="shared" si="111"/>
        <v>3.0000000000000002E-2</v>
      </c>
      <c r="G276" s="336">
        <f t="shared" si="111"/>
        <v>3.0000000000000002E-2</v>
      </c>
      <c r="H276" s="336">
        <v>3.3999999999999996E-2</v>
      </c>
      <c r="I276" s="336">
        <v>3.3999999999999996E-2</v>
      </c>
      <c r="J276" s="336">
        <v>3.1000000000000003E-2</v>
      </c>
      <c r="K276" s="336">
        <v>3.1000000000000003E-2</v>
      </c>
      <c r="L276" s="336">
        <f t="shared" ref="L276" si="112">L210</f>
        <v>0</v>
      </c>
    </row>
    <row r="277" spans="2:12" s="155" customFormat="1" ht="12.75" customHeight="1">
      <c r="B277" s="310" t="s">
        <v>244</v>
      </c>
      <c r="C277" s="189">
        <f t="shared" si="104"/>
        <v>60</v>
      </c>
      <c r="D277" s="160"/>
      <c r="E277" s="336">
        <f t="shared" si="111"/>
        <v>0</v>
      </c>
      <c r="F277" s="336">
        <f t="shared" si="111"/>
        <v>3.5000000000000003E-2</v>
      </c>
      <c r="G277" s="336">
        <f t="shared" si="111"/>
        <v>3.5000000000000003E-2</v>
      </c>
      <c r="H277" s="336">
        <v>3.5499999999999997E-2</v>
      </c>
      <c r="I277" s="336">
        <v>3.5499999999999997E-2</v>
      </c>
      <c r="J277" s="336">
        <v>3.2500000000000008E-2</v>
      </c>
      <c r="K277" s="336">
        <v>3.2500000000000008E-2</v>
      </c>
      <c r="L277" s="336">
        <f t="shared" ref="L277" si="113">L211</f>
        <v>0</v>
      </c>
    </row>
    <row r="278" spans="2:12" s="155" customFormat="1" ht="12.75" customHeight="1">
      <c r="B278" s="310" t="s">
        <v>244</v>
      </c>
      <c r="C278" s="189">
        <f t="shared" si="104"/>
        <v>61</v>
      </c>
      <c r="D278" s="160"/>
      <c r="E278" s="336">
        <f t="shared" si="111"/>
        <v>0</v>
      </c>
      <c r="F278" s="336">
        <f t="shared" si="111"/>
        <v>3.5000000000000003E-2</v>
      </c>
      <c r="G278" s="336">
        <f t="shared" si="111"/>
        <v>3.5000000000000003E-2</v>
      </c>
      <c r="H278" s="336">
        <v>3.6999999999999998E-2</v>
      </c>
      <c r="I278" s="336">
        <v>3.6999999999999998E-2</v>
      </c>
      <c r="J278" s="336">
        <v>3.4000000000000009E-2</v>
      </c>
      <c r="K278" s="336">
        <v>3.4000000000000009E-2</v>
      </c>
      <c r="L278" s="336">
        <f t="shared" ref="L278" si="114">L212</f>
        <v>0</v>
      </c>
    </row>
    <row r="279" spans="2:12" s="155" customFormat="1" ht="12.75" customHeight="1">
      <c r="B279" s="310" t="s">
        <v>244</v>
      </c>
      <c r="C279" s="189">
        <f t="shared" si="104"/>
        <v>62</v>
      </c>
      <c r="D279" s="160"/>
      <c r="E279" s="336">
        <f t="shared" si="111"/>
        <v>0</v>
      </c>
      <c r="F279" s="336">
        <f t="shared" si="111"/>
        <v>3.5000000000000003E-2</v>
      </c>
      <c r="G279" s="336">
        <f t="shared" si="111"/>
        <v>3.5000000000000003E-2</v>
      </c>
      <c r="H279" s="336">
        <v>3.85E-2</v>
      </c>
      <c r="I279" s="336">
        <v>3.85E-2</v>
      </c>
      <c r="J279" s="336">
        <v>3.5500000000000011E-2</v>
      </c>
      <c r="K279" s="336">
        <v>3.5500000000000011E-2</v>
      </c>
      <c r="L279" s="336">
        <f t="shared" ref="L279" si="115">L213</f>
        <v>0</v>
      </c>
    </row>
    <row r="280" spans="2:12" s="155" customFormat="1" ht="12.75" customHeight="1">
      <c r="B280" s="310" t="s">
        <v>244</v>
      </c>
      <c r="C280" s="189">
        <f t="shared" si="104"/>
        <v>63</v>
      </c>
      <c r="D280" s="160"/>
      <c r="E280" s="336">
        <f t="shared" si="111"/>
        <v>0</v>
      </c>
      <c r="F280" s="336">
        <f t="shared" si="111"/>
        <v>3.5000000000000003E-2</v>
      </c>
      <c r="G280" s="336">
        <f t="shared" si="111"/>
        <v>3.5000000000000003E-2</v>
      </c>
      <c r="H280" s="336">
        <v>0.04</v>
      </c>
      <c r="I280" s="336">
        <v>0.04</v>
      </c>
      <c r="J280" s="336">
        <v>3.7000000000000012E-2</v>
      </c>
      <c r="K280" s="336">
        <v>3.7000000000000012E-2</v>
      </c>
      <c r="L280" s="336">
        <f t="shared" ref="L280" si="116">L214</f>
        <v>0</v>
      </c>
    </row>
    <row r="281" spans="2:12" s="155" customFormat="1" ht="12.75" customHeight="1">
      <c r="B281" s="310" t="s">
        <v>244</v>
      </c>
      <c r="C281" s="189">
        <f t="shared" si="104"/>
        <v>64</v>
      </c>
      <c r="D281" s="160"/>
      <c r="E281" s="336">
        <f t="shared" si="111"/>
        <v>0</v>
      </c>
      <c r="F281" s="336">
        <f t="shared" si="111"/>
        <v>3.5000000000000003E-2</v>
      </c>
      <c r="G281" s="336">
        <f t="shared" si="111"/>
        <v>3.5000000000000003E-2</v>
      </c>
      <c r="H281" s="336">
        <v>4.1499999999999995E-2</v>
      </c>
      <c r="I281" s="336">
        <v>4.1499999999999995E-2</v>
      </c>
      <c r="J281" s="336">
        <v>3.8500000000000013E-2</v>
      </c>
      <c r="K281" s="336">
        <v>3.8500000000000013E-2</v>
      </c>
      <c r="L281" s="336">
        <f t="shared" ref="L281" si="117">L215</f>
        <v>0</v>
      </c>
    </row>
    <row r="282" spans="2:12" s="155" customFormat="1" ht="12.75" customHeight="1">
      <c r="B282" s="310" t="s">
        <v>244</v>
      </c>
      <c r="C282" s="189">
        <f t="shared" si="104"/>
        <v>65</v>
      </c>
      <c r="D282" s="160"/>
      <c r="E282" s="336">
        <f t="shared" si="111"/>
        <v>0</v>
      </c>
      <c r="F282" s="336">
        <f t="shared" si="111"/>
        <v>4.7500000000000001E-2</v>
      </c>
      <c r="G282" s="336">
        <f t="shared" si="111"/>
        <v>0.05</v>
      </c>
      <c r="H282" s="336">
        <v>4.2999999999999997E-2</v>
      </c>
      <c r="I282" s="336">
        <v>4.2999999999999997E-2</v>
      </c>
      <c r="J282" s="336">
        <v>4.0000000000000015E-2</v>
      </c>
      <c r="K282" s="336">
        <v>4.0000000000000015E-2</v>
      </c>
      <c r="L282" s="336">
        <f t="shared" ref="L282" si="118">L216</f>
        <v>0</v>
      </c>
    </row>
    <row r="283" spans="2:12" s="155" customFormat="1" ht="12.75" customHeight="1">
      <c r="B283" s="310" t="s">
        <v>244</v>
      </c>
      <c r="C283" s="189">
        <f t="shared" si="104"/>
        <v>66</v>
      </c>
      <c r="D283" s="160"/>
      <c r="E283" s="336">
        <f t="shared" si="111"/>
        <v>0</v>
      </c>
      <c r="F283" s="336">
        <f t="shared" si="111"/>
        <v>4.7500000000000001E-2</v>
      </c>
      <c r="G283" s="336">
        <f t="shared" si="111"/>
        <v>0.05</v>
      </c>
      <c r="H283" s="336">
        <v>4.4499999999999998E-2</v>
      </c>
      <c r="I283" s="336">
        <v>4.4499999999999998E-2</v>
      </c>
      <c r="J283" s="336">
        <v>4.1000000000000016E-2</v>
      </c>
      <c r="K283" s="336">
        <v>4.1000000000000016E-2</v>
      </c>
      <c r="L283" s="336">
        <f t="shared" ref="L283" si="119">L217</f>
        <v>0</v>
      </c>
    </row>
    <row r="284" spans="2:12" s="155" customFormat="1" ht="12.75" customHeight="1">
      <c r="B284" s="310" t="s">
        <v>244</v>
      </c>
      <c r="C284" s="189">
        <f t="shared" si="104"/>
        <v>67</v>
      </c>
      <c r="D284" s="160"/>
      <c r="E284" s="336">
        <f t="shared" si="111"/>
        <v>0</v>
      </c>
      <c r="F284" s="336">
        <f t="shared" si="111"/>
        <v>4.7500000000000001E-2</v>
      </c>
      <c r="G284" s="336">
        <f t="shared" si="111"/>
        <v>0.05</v>
      </c>
      <c r="H284" s="336">
        <v>4.5999999999999999E-2</v>
      </c>
      <c r="I284" s="336">
        <v>4.5999999999999999E-2</v>
      </c>
      <c r="J284" s="336">
        <v>4.2000000000000016E-2</v>
      </c>
      <c r="K284" s="336">
        <v>4.2000000000000016E-2</v>
      </c>
      <c r="L284" s="336">
        <f>L218</f>
        <v>0</v>
      </c>
    </row>
    <row r="285" spans="2:12" s="155" customFormat="1" ht="12.75" customHeight="1">
      <c r="B285" s="310" t="s">
        <v>244</v>
      </c>
      <c r="C285" s="189">
        <f t="shared" si="104"/>
        <v>68</v>
      </c>
      <c r="D285" s="160"/>
      <c r="E285" s="336">
        <f t="shared" si="111"/>
        <v>0</v>
      </c>
      <c r="F285" s="336">
        <f t="shared" si="111"/>
        <v>4.7500000000000001E-2</v>
      </c>
      <c r="G285" s="336">
        <f t="shared" si="111"/>
        <v>0.05</v>
      </c>
      <c r="H285" s="336">
        <v>4.7500000000000001E-2</v>
      </c>
      <c r="I285" s="336">
        <v>4.7500000000000001E-2</v>
      </c>
      <c r="J285" s="336">
        <v>4.3000000000000017E-2</v>
      </c>
      <c r="K285" s="336">
        <v>4.3000000000000017E-2</v>
      </c>
      <c r="L285" s="336">
        <f>L219</f>
        <v>0</v>
      </c>
    </row>
    <row r="286" spans="2:12" s="155" customFormat="1" ht="12.75" customHeight="1">
      <c r="B286" s="310" t="s">
        <v>244</v>
      </c>
      <c r="C286" s="189">
        <f t="shared" si="104"/>
        <v>69</v>
      </c>
      <c r="D286" s="160"/>
      <c r="E286" s="336">
        <f t="shared" si="111"/>
        <v>0</v>
      </c>
      <c r="F286" s="336">
        <f t="shared" si="111"/>
        <v>4.7500000000000001E-2</v>
      </c>
      <c r="G286" s="336">
        <f t="shared" si="111"/>
        <v>0.05</v>
      </c>
      <c r="H286" s="336">
        <v>4.9000000000000002E-2</v>
      </c>
      <c r="I286" s="336">
        <v>4.9000000000000002E-2</v>
      </c>
      <c r="J286" s="336">
        <v>4.4000000000000018E-2</v>
      </c>
      <c r="K286" s="336">
        <v>4.4000000000000018E-2</v>
      </c>
      <c r="L286" s="336">
        <f t="shared" ref="L286" si="120">L220</f>
        <v>0</v>
      </c>
    </row>
    <row r="287" spans="2:12" s="155" customFormat="1" ht="12.75" customHeight="1">
      <c r="B287" s="310" t="s">
        <v>244</v>
      </c>
      <c r="C287" s="189">
        <f t="shared" si="104"/>
        <v>70</v>
      </c>
      <c r="D287" s="160"/>
      <c r="E287" s="336">
        <f t="shared" si="111"/>
        <v>0</v>
      </c>
      <c r="F287" s="336">
        <f t="shared" si="111"/>
        <v>4.7500000000000001E-2</v>
      </c>
      <c r="G287" s="336">
        <f t="shared" si="111"/>
        <v>0.05</v>
      </c>
      <c r="H287" s="336">
        <v>5.0499999999999996E-2</v>
      </c>
      <c r="I287" s="336">
        <v>5.0499999999999996E-2</v>
      </c>
      <c r="J287" s="336">
        <v>4.5000000000000019E-2</v>
      </c>
      <c r="K287" s="336">
        <v>4.5000000000000019E-2</v>
      </c>
      <c r="L287" s="336">
        <f t="shared" ref="L287" si="121">L221</f>
        <v>0</v>
      </c>
    </row>
    <row r="288" spans="2:12" s="155" customFormat="1" ht="12.75" customHeight="1">
      <c r="B288" s="310" t="s">
        <v>244</v>
      </c>
      <c r="C288" s="189">
        <f t="shared" si="104"/>
        <v>71</v>
      </c>
      <c r="D288" s="160"/>
      <c r="E288" s="336">
        <f t="shared" si="111"/>
        <v>0</v>
      </c>
      <c r="F288" s="336">
        <f t="shared" si="111"/>
        <v>4.7500000000000001E-2</v>
      </c>
      <c r="G288" s="336">
        <f t="shared" si="111"/>
        <v>0.05</v>
      </c>
      <c r="H288" s="336">
        <v>5.1999999999999998E-2</v>
      </c>
      <c r="I288" s="336">
        <v>5.1999999999999998E-2</v>
      </c>
      <c r="J288" s="336">
        <v>4.550000000000002E-2</v>
      </c>
      <c r="K288" s="336">
        <v>4.550000000000002E-2</v>
      </c>
      <c r="L288" s="336">
        <f t="shared" ref="L288" si="122">L222</f>
        <v>0</v>
      </c>
    </row>
    <row r="289" spans="2:12" s="155" customFormat="1" ht="12.75" customHeight="1">
      <c r="B289" s="310" t="s">
        <v>244</v>
      </c>
      <c r="C289" s="189">
        <f t="shared" si="104"/>
        <v>72</v>
      </c>
      <c r="D289" s="160"/>
      <c r="E289" s="336">
        <f t="shared" si="111"/>
        <v>0</v>
      </c>
      <c r="F289" s="336">
        <f t="shared" si="111"/>
        <v>6.0000000000000005E-2</v>
      </c>
      <c r="G289" s="336">
        <f t="shared" si="111"/>
        <v>6.0000000000000005E-2</v>
      </c>
      <c r="H289" s="336">
        <v>5.3499999999999999E-2</v>
      </c>
      <c r="I289" s="336">
        <v>5.3499999999999999E-2</v>
      </c>
      <c r="J289" s="336">
        <v>4.600000000000002E-2</v>
      </c>
      <c r="K289" s="336">
        <v>4.600000000000002E-2</v>
      </c>
      <c r="L289" s="336">
        <f t="shared" ref="L289" si="123">L223</f>
        <v>0</v>
      </c>
    </row>
    <row r="290" spans="2:12" s="155" customFormat="1" ht="12.75" customHeight="1">
      <c r="B290" s="310" t="s">
        <v>244</v>
      </c>
      <c r="C290" s="189">
        <f t="shared" si="104"/>
        <v>73</v>
      </c>
      <c r="D290" s="160"/>
      <c r="E290" s="336">
        <f t="shared" si="111"/>
        <v>0</v>
      </c>
      <c r="F290" s="336">
        <f t="shared" si="111"/>
        <v>6.0000000000000005E-2</v>
      </c>
      <c r="G290" s="336">
        <f t="shared" si="111"/>
        <v>6.0000000000000005E-2</v>
      </c>
      <c r="H290" s="336">
        <v>5.5E-2</v>
      </c>
      <c r="I290" s="336">
        <v>5.5E-2</v>
      </c>
      <c r="J290" s="336">
        <v>4.650000000000002E-2</v>
      </c>
      <c r="K290" s="336">
        <v>4.650000000000002E-2</v>
      </c>
      <c r="L290" s="336">
        <f t="shared" ref="L290" si="124">L224</f>
        <v>0</v>
      </c>
    </row>
    <row r="291" spans="2:12" s="155" customFormat="1" ht="12.75" customHeight="1">
      <c r="B291" s="310" t="s">
        <v>244</v>
      </c>
      <c r="C291" s="189">
        <f t="shared" si="104"/>
        <v>74</v>
      </c>
      <c r="D291" s="160"/>
      <c r="E291" s="336">
        <f t="shared" si="111"/>
        <v>0</v>
      </c>
      <c r="F291" s="336">
        <f t="shared" si="111"/>
        <v>6.0000000000000005E-2</v>
      </c>
      <c r="G291" s="336">
        <f t="shared" si="111"/>
        <v>6.0000000000000005E-2</v>
      </c>
      <c r="H291" s="336">
        <v>5.6500000000000002E-2</v>
      </c>
      <c r="I291" s="336">
        <v>5.6500000000000002E-2</v>
      </c>
      <c r="J291" s="336">
        <v>4.7000000000000021E-2</v>
      </c>
      <c r="K291" s="336">
        <v>4.7000000000000021E-2</v>
      </c>
      <c r="L291" s="336">
        <f t="shared" ref="L291" si="125">L225</f>
        <v>0</v>
      </c>
    </row>
    <row r="292" spans="2:12" s="155" customFormat="1" ht="12.75" customHeight="1">
      <c r="B292" s="310" t="s">
        <v>244</v>
      </c>
      <c r="C292" s="189">
        <f t="shared" si="104"/>
        <v>75</v>
      </c>
      <c r="D292" s="160"/>
      <c r="E292" s="336">
        <f t="shared" si="111"/>
        <v>0</v>
      </c>
      <c r="F292" s="336">
        <f t="shared" si="111"/>
        <v>6.0000000000000005E-2</v>
      </c>
      <c r="G292" s="336">
        <f t="shared" si="111"/>
        <v>6.0000000000000005E-2</v>
      </c>
      <c r="H292" s="336">
        <v>5.8000000000000003E-2</v>
      </c>
      <c r="I292" s="336">
        <v>5.8000000000000003E-2</v>
      </c>
      <c r="J292" s="336">
        <v>4.7500000000000021E-2</v>
      </c>
      <c r="K292" s="336">
        <v>4.7500000000000021E-2</v>
      </c>
      <c r="L292" s="336">
        <f t="shared" ref="L292" si="126">L226</f>
        <v>0</v>
      </c>
    </row>
    <row r="293" spans="2:12" s="155" customFormat="1" ht="12.75" customHeight="1">
      <c r="B293" s="310" t="s">
        <v>244</v>
      </c>
      <c r="C293" s="189">
        <f t="shared" si="104"/>
        <v>76</v>
      </c>
      <c r="D293" s="160"/>
      <c r="E293" s="336">
        <f t="shared" si="111"/>
        <v>0</v>
      </c>
      <c r="F293" s="336">
        <f t="shared" si="111"/>
        <v>6.0000000000000005E-2</v>
      </c>
      <c r="G293" s="336">
        <f t="shared" si="111"/>
        <v>6.0000000000000005E-2</v>
      </c>
      <c r="H293" s="336">
        <v>5.9500000000000004E-2</v>
      </c>
      <c r="I293" s="336">
        <v>5.9500000000000004E-2</v>
      </c>
      <c r="J293" s="336">
        <v>4.8000000000000022E-2</v>
      </c>
      <c r="K293" s="336">
        <v>4.8000000000000022E-2</v>
      </c>
      <c r="L293" s="336">
        <f t="shared" ref="L293" si="127">L227</f>
        <v>0</v>
      </c>
    </row>
    <row r="294" spans="2:12" s="155" customFormat="1" ht="12.75" customHeight="1">
      <c r="B294" s="310" t="s">
        <v>244</v>
      </c>
      <c r="C294" s="189">
        <f t="shared" si="104"/>
        <v>77</v>
      </c>
      <c r="D294" s="160"/>
      <c r="E294" s="336">
        <f t="shared" si="111"/>
        <v>0</v>
      </c>
      <c r="F294" s="336">
        <f t="shared" si="111"/>
        <v>6.0000000000000005E-2</v>
      </c>
      <c r="G294" s="336">
        <f t="shared" si="111"/>
        <v>6.0000000000000005E-2</v>
      </c>
      <c r="H294" s="336">
        <v>6.0999999999999992E-2</v>
      </c>
      <c r="I294" s="336">
        <v>6.0999999999999992E-2</v>
      </c>
      <c r="J294" s="336">
        <v>4.8500000000000022E-2</v>
      </c>
      <c r="K294" s="336">
        <v>4.8500000000000022E-2</v>
      </c>
      <c r="L294" s="336">
        <f t="shared" ref="L294" si="128">L228</f>
        <v>0</v>
      </c>
    </row>
    <row r="295" spans="2:12" s="155" customFormat="1" ht="12.75" customHeight="1">
      <c r="B295" s="310" t="s">
        <v>244</v>
      </c>
      <c r="C295" s="189">
        <f t="shared" si="104"/>
        <v>78</v>
      </c>
      <c r="D295" s="160"/>
      <c r="E295" s="336">
        <f t="shared" si="111"/>
        <v>0</v>
      </c>
      <c r="F295" s="336">
        <f t="shared" si="111"/>
        <v>6.0000000000000005E-2</v>
      </c>
      <c r="G295" s="336">
        <f t="shared" si="111"/>
        <v>6.0000000000000005E-2</v>
      </c>
      <c r="H295" s="336">
        <v>6.2499999999999993E-2</v>
      </c>
      <c r="I295" s="336">
        <v>6.2499999999999993E-2</v>
      </c>
      <c r="J295" s="336">
        <v>4.9000000000000023E-2</v>
      </c>
      <c r="K295" s="336">
        <v>4.9000000000000023E-2</v>
      </c>
      <c r="L295" s="336">
        <f t="shared" ref="L295" si="129">L229</f>
        <v>0</v>
      </c>
    </row>
    <row r="296" spans="2:12" s="155" customFormat="1" ht="12.75" customHeight="1">
      <c r="B296" s="310" t="s">
        <v>244</v>
      </c>
      <c r="C296" s="189">
        <f t="shared" si="104"/>
        <v>79</v>
      </c>
      <c r="D296" s="160"/>
      <c r="E296" s="336">
        <f t="shared" ref="E296:G297" si="130">E230</f>
        <v>0</v>
      </c>
      <c r="F296" s="336">
        <f t="shared" si="130"/>
        <v>6.0000000000000005E-2</v>
      </c>
      <c r="G296" s="336">
        <f t="shared" si="130"/>
        <v>6.0000000000000005E-2</v>
      </c>
      <c r="H296" s="336">
        <v>6.2999999999999987E-2</v>
      </c>
      <c r="I296" s="336">
        <v>6.2999999999999987E-2</v>
      </c>
      <c r="J296" s="336">
        <v>4.9500000000000023E-2</v>
      </c>
      <c r="K296" s="336">
        <v>4.9500000000000023E-2</v>
      </c>
      <c r="L296" s="336">
        <f t="shared" ref="L296" si="131">L230</f>
        <v>0</v>
      </c>
    </row>
    <row r="297" spans="2:12" s="155" customFormat="1" ht="12.75" customHeight="1">
      <c r="B297" s="310" t="s">
        <v>244</v>
      </c>
      <c r="C297" s="189">
        <f t="shared" si="104"/>
        <v>80</v>
      </c>
      <c r="D297" s="160"/>
      <c r="E297" s="336">
        <f t="shared" si="130"/>
        <v>0</v>
      </c>
      <c r="F297" s="336">
        <f t="shared" si="130"/>
        <v>6.0000000000000005E-2</v>
      </c>
      <c r="G297" s="336">
        <f t="shared" si="130"/>
        <v>6.0000000000000005E-2</v>
      </c>
      <c r="H297" s="336">
        <v>6.2999999999999987E-2</v>
      </c>
      <c r="I297" s="336">
        <v>6.2999999999999987E-2</v>
      </c>
      <c r="J297" s="336">
        <v>5.0000000000000024E-2</v>
      </c>
      <c r="K297" s="336">
        <v>5.0000000000000024E-2</v>
      </c>
      <c r="L297" s="336">
        <f t="shared" ref="L297" si="132">L231</f>
        <v>0</v>
      </c>
    </row>
    <row r="298" spans="2:12" s="155" customFormat="1" ht="12.75" customHeight="1">
      <c r="E298" s="167"/>
      <c r="F298" s="167"/>
      <c r="G298" s="167"/>
      <c r="H298" s="167"/>
      <c r="I298" s="167"/>
      <c r="J298" s="167"/>
      <c r="K298" s="167"/>
      <c r="L298" s="167"/>
    </row>
    <row r="299" spans="2:12" s="155" customFormat="1" ht="12.75" customHeight="1">
      <c r="B299" s="338" t="str">
        <f ca="1">GetNameRange(B301)</f>
        <v>gmwb_max_annual_wdl_addn_pct_aig</v>
      </c>
      <c r="C299" s="171"/>
      <c r="D299" s="339"/>
      <c r="E299" s="167"/>
      <c r="F299" s="167"/>
      <c r="G299" s="167"/>
      <c r="H299" s="167"/>
      <c r="I299" s="167"/>
      <c r="J299" s="167"/>
      <c r="K299" s="167"/>
      <c r="L299" s="167"/>
    </row>
    <row r="300" spans="2:12" s="155" customFormat="1" ht="12.75" customHeight="1">
      <c r="B300" s="297" t="s">
        <v>314</v>
      </c>
      <c r="C300" s="300"/>
      <c r="D300" s="310" t="str">
        <f>Product!C$4</f>
        <v>plan_code</v>
      </c>
      <c r="E300" s="90" t="str">
        <f t="shared" ref="E300:L300" si="133">E$4</f>
        <v>BASE_DEV</v>
      </c>
      <c r="F300" s="90" t="str">
        <f t="shared" si="133"/>
        <v>LIPM_DEV</v>
      </c>
      <c r="G300" s="90" t="str">
        <f t="shared" si="133"/>
        <v>LIP_DEV</v>
      </c>
      <c r="H300" s="168" t="s">
        <v>528</v>
      </c>
      <c r="I300" s="168" t="s">
        <v>527</v>
      </c>
      <c r="J300" s="168" t="s">
        <v>383</v>
      </c>
      <c r="K300" s="168" t="s">
        <v>529</v>
      </c>
      <c r="L300" s="90" t="str">
        <f t="shared" si="133"/>
        <v>BASE</v>
      </c>
    </row>
    <row r="301" spans="2:12" s="155" customFormat="1" ht="12.75" customHeight="1">
      <c r="B301" s="297" t="s">
        <v>242</v>
      </c>
      <c r="C301" s="141" t="s">
        <v>163</v>
      </c>
      <c r="D301" s="300"/>
      <c r="E301" s="90"/>
      <c r="F301" s="90"/>
      <c r="G301" s="90"/>
      <c r="H301" s="167"/>
      <c r="I301" s="167"/>
      <c r="J301" s="167"/>
      <c r="K301" s="167"/>
      <c r="L301" s="90"/>
    </row>
    <row r="302" spans="2:12" s="155" customFormat="1" ht="12.75" customHeight="1">
      <c r="B302" s="310" t="s">
        <v>243</v>
      </c>
      <c r="C302" s="189">
        <v>1</v>
      </c>
      <c r="D302" s="160"/>
      <c r="E302" s="167"/>
      <c r="F302" s="167"/>
      <c r="G302" s="167"/>
      <c r="H302" s="167"/>
      <c r="I302" s="167"/>
      <c r="J302" s="167"/>
      <c r="K302" s="167"/>
      <c r="L302" s="167"/>
    </row>
    <row r="303" spans="2:12" s="155" customFormat="1" ht="12.75" customHeight="1">
      <c r="B303" s="310" t="s">
        <v>243</v>
      </c>
      <c r="C303" s="189">
        <f>C302+1</f>
        <v>2</v>
      </c>
      <c r="D303" s="160"/>
      <c r="E303" s="167"/>
      <c r="F303" s="167"/>
      <c r="G303" s="167"/>
      <c r="H303" s="167"/>
      <c r="I303" s="167"/>
      <c r="J303" s="167"/>
      <c r="K303" s="167"/>
      <c r="L303" s="167"/>
    </row>
    <row r="304" spans="2:12" s="155" customFormat="1" ht="12.75" customHeight="1">
      <c r="B304" s="310" t="s">
        <v>243</v>
      </c>
      <c r="C304" s="189">
        <f t="shared" ref="C304:C332" si="134">C303+1</f>
        <v>3</v>
      </c>
      <c r="D304" s="160"/>
      <c r="E304" s="167"/>
      <c r="F304" s="167"/>
      <c r="G304" s="167"/>
      <c r="H304" s="167"/>
      <c r="I304" s="167"/>
      <c r="J304" s="167"/>
      <c r="K304" s="167"/>
      <c r="L304" s="167"/>
    </row>
    <row r="305" spans="2:12" s="155" customFormat="1" ht="12.75" customHeight="1">
      <c r="B305" s="310" t="s">
        <v>243</v>
      </c>
      <c r="C305" s="189">
        <f t="shared" si="134"/>
        <v>4</v>
      </c>
      <c r="D305" s="160"/>
      <c r="E305" s="167"/>
      <c r="F305" s="167"/>
      <c r="G305" s="167"/>
      <c r="H305" s="167"/>
      <c r="I305" s="167"/>
      <c r="J305" s="167"/>
      <c r="K305" s="167"/>
      <c r="L305" s="167"/>
    </row>
    <row r="306" spans="2:12" s="155" customFormat="1" ht="12.75" customHeight="1">
      <c r="B306" s="310" t="s">
        <v>243</v>
      </c>
      <c r="C306" s="189">
        <f t="shared" si="134"/>
        <v>5</v>
      </c>
      <c r="D306" s="160"/>
      <c r="E306" s="167"/>
      <c r="F306" s="167"/>
      <c r="G306" s="167"/>
      <c r="H306" s="167"/>
      <c r="I306" s="167"/>
      <c r="J306" s="167"/>
      <c r="K306" s="167"/>
      <c r="L306" s="167"/>
    </row>
    <row r="307" spans="2:12" s="155" customFormat="1" ht="12.75" customHeight="1">
      <c r="B307" s="310" t="s">
        <v>243</v>
      </c>
      <c r="C307" s="189">
        <f t="shared" si="134"/>
        <v>6</v>
      </c>
      <c r="D307" s="160"/>
      <c r="E307" s="167"/>
      <c r="F307" s="167"/>
      <c r="G307" s="167"/>
      <c r="H307" s="167"/>
      <c r="I307" s="167"/>
      <c r="J307" s="167"/>
      <c r="K307" s="167"/>
      <c r="L307" s="167"/>
    </row>
    <row r="308" spans="2:12" s="155" customFormat="1" ht="12.75" customHeight="1">
      <c r="B308" s="310" t="s">
        <v>243</v>
      </c>
      <c r="C308" s="189">
        <f t="shared" si="134"/>
        <v>7</v>
      </c>
      <c r="D308" s="160"/>
      <c r="E308" s="167"/>
      <c r="F308" s="167"/>
      <c r="G308" s="167"/>
      <c r="H308" s="167"/>
      <c r="I308" s="167"/>
      <c r="J308" s="167"/>
      <c r="K308" s="167"/>
      <c r="L308" s="167"/>
    </row>
    <row r="309" spans="2:12" s="155" customFormat="1" ht="12.75" customHeight="1">
      <c r="B309" s="310" t="s">
        <v>243</v>
      </c>
      <c r="C309" s="189">
        <f t="shared" si="134"/>
        <v>8</v>
      </c>
      <c r="D309" s="160"/>
      <c r="E309" s="167"/>
      <c r="F309" s="167"/>
      <c r="G309" s="167"/>
      <c r="H309" s="167"/>
      <c r="I309" s="167"/>
      <c r="J309" s="167"/>
      <c r="K309" s="167"/>
      <c r="L309" s="167"/>
    </row>
    <row r="310" spans="2:12" s="155" customFormat="1" ht="12.75" customHeight="1">
      <c r="B310" s="310" t="s">
        <v>243</v>
      </c>
      <c r="C310" s="189">
        <f t="shared" si="134"/>
        <v>9</v>
      </c>
      <c r="D310" s="160"/>
      <c r="E310" s="167"/>
      <c r="F310" s="167"/>
      <c r="G310" s="167"/>
      <c r="H310" s="167"/>
      <c r="I310" s="167"/>
      <c r="J310" s="167"/>
      <c r="K310" s="167"/>
      <c r="L310" s="167"/>
    </row>
    <row r="311" spans="2:12" s="155" customFormat="1" ht="12.75" customHeight="1">
      <c r="B311" s="310" t="s">
        <v>243</v>
      </c>
      <c r="C311" s="189">
        <f t="shared" si="134"/>
        <v>10</v>
      </c>
      <c r="D311" s="160"/>
      <c r="E311" s="167"/>
      <c r="F311" s="167"/>
      <c r="G311" s="167"/>
      <c r="H311" s="167"/>
      <c r="I311" s="167"/>
      <c r="J311" s="167"/>
      <c r="K311" s="167"/>
      <c r="L311" s="167"/>
    </row>
    <row r="312" spans="2:12" s="155" customFormat="1" ht="12.75" customHeight="1">
      <c r="B312" s="310" t="s">
        <v>243</v>
      </c>
      <c r="C312" s="189">
        <f t="shared" si="134"/>
        <v>11</v>
      </c>
      <c r="D312" s="160"/>
      <c r="E312" s="167"/>
      <c r="F312" s="167"/>
      <c r="G312" s="167"/>
      <c r="H312" s="167"/>
      <c r="I312" s="167"/>
      <c r="J312" s="167"/>
      <c r="K312" s="167"/>
      <c r="L312" s="167"/>
    </row>
    <row r="313" spans="2:12" s="155" customFormat="1" ht="12.75" customHeight="1">
      <c r="B313" s="310" t="s">
        <v>243</v>
      </c>
      <c r="C313" s="189">
        <f t="shared" si="134"/>
        <v>12</v>
      </c>
      <c r="D313" s="160"/>
      <c r="E313" s="167"/>
      <c r="F313" s="167"/>
      <c r="G313" s="167"/>
      <c r="H313" s="167"/>
      <c r="I313" s="167"/>
      <c r="J313" s="167"/>
      <c r="K313" s="167"/>
      <c r="L313" s="167"/>
    </row>
    <row r="314" spans="2:12" s="155" customFormat="1" ht="12.75" customHeight="1">
      <c r="B314" s="310" t="s">
        <v>243</v>
      </c>
      <c r="C314" s="189">
        <f t="shared" si="134"/>
        <v>13</v>
      </c>
      <c r="D314" s="160"/>
      <c r="E314" s="167"/>
      <c r="F314" s="167"/>
      <c r="G314" s="167"/>
      <c r="H314" s="167"/>
      <c r="I314" s="167"/>
      <c r="J314" s="167"/>
      <c r="K314" s="167"/>
      <c r="L314" s="167"/>
    </row>
    <row r="315" spans="2:12" s="155" customFormat="1" ht="12.75" customHeight="1">
      <c r="B315" s="310" t="s">
        <v>243</v>
      </c>
      <c r="C315" s="189">
        <f t="shared" si="134"/>
        <v>14</v>
      </c>
      <c r="D315" s="160"/>
      <c r="E315" s="167"/>
      <c r="F315" s="167"/>
      <c r="G315" s="167"/>
      <c r="H315" s="167"/>
      <c r="I315" s="167"/>
      <c r="J315" s="167"/>
      <c r="K315" s="167"/>
      <c r="L315" s="167"/>
    </row>
    <row r="316" spans="2:12" s="155" customFormat="1" ht="12.75" customHeight="1">
      <c r="B316" s="310" t="s">
        <v>243</v>
      </c>
      <c r="C316" s="189">
        <f t="shared" si="134"/>
        <v>15</v>
      </c>
      <c r="D316" s="160"/>
      <c r="E316" s="167"/>
      <c r="F316" s="167"/>
      <c r="G316" s="167"/>
      <c r="H316" s="167"/>
      <c r="I316" s="167"/>
      <c r="J316" s="167"/>
      <c r="K316" s="167"/>
      <c r="L316" s="167"/>
    </row>
    <row r="317" spans="2:12" s="155" customFormat="1">
      <c r="B317" s="310" t="s">
        <v>243</v>
      </c>
      <c r="C317" s="189">
        <v>16</v>
      </c>
      <c r="D317" s="160"/>
      <c r="E317" s="167"/>
      <c r="F317" s="167"/>
      <c r="G317" s="167"/>
      <c r="H317" s="167"/>
      <c r="I317" s="167"/>
      <c r="J317" s="167"/>
      <c r="K317" s="167"/>
      <c r="L317" s="167"/>
    </row>
    <row r="318" spans="2:12" s="155" customFormat="1" ht="12.75" customHeight="1">
      <c r="B318" s="310" t="s">
        <v>244</v>
      </c>
      <c r="C318" s="189">
        <v>1</v>
      </c>
      <c r="D318" s="160"/>
      <c r="E318" s="167"/>
      <c r="F318" s="167"/>
      <c r="G318" s="167"/>
      <c r="H318" s="167"/>
      <c r="I318" s="167"/>
      <c r="J318" s="167"/>
      <c r="K318" s="167"/>
      <c r="L318" s="167"/>
    </row>
    <row r="319" spans="2:12" s="155" customFormat="1" ht="12.75" customHeight="1">
      <c r="B319" s="310" t="s">
        <v>244</v>
      </c>
      <c r="C319" s="189">
        <f t="shared" si="134"/>
        <v>2</v>
      </c>
      <c r="D319" s="160"/>
      <c r="E319" s="167"/>
      <c r="F319" s="167"/>
      <c r="G319" s="167"/>
      <c r="H319" s="167"/>
      <c r="I319" s="167"/>
      <c r="J319" s="167"/>
      <c r="K319" s="167"/>
      <c r="L319" s="167"/>
    </row>
    <row r="320" spans="2:12" s="155" customFormat="1" ht="12.75" customHeight="1">
      <c r="B320" s="310" t="s">
        <v>244</v>
      </c>
      <c r="C320" s="189">
        <f t="shared" si="134"/>
        <v>3</v>
      </c>
      <c r="D320" s="160"/>
      <c r="E320" s="167"/>
      <c r="F320" s="167"/>
      <c r="G320" s="167"/>
      <c r="H320" s="167"/>
      <c r="I320" s="167"/>
      <c r="J320" s="167"/>
      <c r="K320" s="167"/>
      <c r="L320" s="167"/>
    </row>
    <row r="321" spans="2:12" s="155" customFormat="1" ht="12.75" customHeight="1">
      <c r="B321" s="310" t="s">
        <v>244</v>
      </c>
      <c r="C321" s="189">
        <f t="shared" si="134"/>
        <v>4</v>
      </c>
      <c r="D321" s="160"/>
      <c r="E321" s="167"/>
      <c r="F321" s="167"/>
      <c r="G321" s="167"/>
      <c r="H321" s="167"/>
      <c r="I321" s="167"/>
      <c r="J321" s="167"/>
      <c r="K321" s="167"/>
      <c r="L321" s="167"/>
    </row>
    <row r="322" spans="2:12" s="155" customFormat="1" ht="12.75" customHeight="1">
      <c r="B322" s="310" t="s">
        <v>244</v>
      </c>
      <c r="C322" s="189">
        <f t="shared" si="134"/>
        <v>5</v>
      </c>
      <c r="D322" s="160"/>
      <c r="E322" s="167"/>
      <c r="F322" s="167"/>
      <c r="G322" s="167"/>
      <c r="H322" s="167"/>
      <c r="I322" s="167"/>
      <c r="J322" s="167"/>
      <c r="K322" s="167"/>
      <c r="L322" s="167"/>
    </row>
    <row r="323" spans="2:12" s="155" customFormat="1" ht="12.75" customHeight="1">
      <c r="B323" s="310" t="s">
        <v>244</v>
      </c>
      <c r="C323" s="189">
        <f t="shared" si="134"/>
        <v>6</v>
      </c>
      <c r="D323" s="160"/>
      <c r="E323" s="167"/>
      <c r="F323" s="167"/>
      <c r="G323" s="167"/>
      <c r="H323" s="167"/>
      <c r="I323" s="167"/>
      <c r="J323" s="167"/>
      <c r="K323" s="167"/>
      <c r="L323" s="167"/>
    </row>
    <row r="324" spans="2:12" s="155" customFormat="1" ht="12.75" customHeight="1">
      <c r="B324" s="310" t="s">
        <v>244</v>
      </c>
      <c r="C324" s="189">
        <f t="shared" si="134"/>
        <v>7</v>
      </c>
      <c r="D324" s="160"/>
      <c r="E324" s="167"/>
      <c r="F324" s="167"/>
      <c r="G324" s="167"/>
      <c r="H324" s="167"/>
      <c r="I324" s="167"/>
      <c r="J324" s="167"/>
      <c r="K324" s="167"/>
      <c r="L324" s="167"/>
    </row>
    <row r="325" spans="2:12" s="155" customFormat="1" ht="12.75" customHeight="1">
      <c r="B325" s="310" t="s">
        <v>244</v>
      </c>
      <c r="C325" s="189">
        <f t="shared" si="134"/>
        <v>8</v>
      </c>
      <c r="D325" s="160"/>
      <c r="E325" s="167"/>
      <c r="F325" s="167"/>
      <c r="G325" s="167"/>
      <c r="H325" s="167"/>
      <c r="I325" s="167"/>
      <c r="J325" s="167"/>
      <c r="K325" s="167"/>
      <c r="L325" s="167"/>
    </row>
    <row r="326" spans="2:12" s="155" customFormat="1" ht="12.75" customHeight="1">
      <c r="B326" s="310" t="s">
        <v>244</v>
      </c>
      <c r="C326" s="189">
        <f t="shared" si="134"/>
        <v>9</v>
      </c>
      <c r="D326" s="160"/>
      <c r="E326" s="167"/>
      <c r="F326" s="167"/>
      <c r="G326" s="167"/>
      <c r="H326" s="167"/>
      <c r="I326" s="167"/>
      <c r="J326" s="167"/>
      <c r="K326" s="167"/>
      <c r="L326" s="167"/>
    </row>
    <row r="327" spans="2:12" s="155" customFormat="1" ht="12.75" customHeight="1">
      <c r="B327" s="310" t="s">
        <v>244</v>
      </c>
      <c r="C327" s="189">
        <f t="shared" si="134"/>
        <v>10</v>
      </c>
      <c r="D327" s="160"/>
      <c r="E327" s="167"/>
      <c r="F327" s="167"/>
      <c r="G327" s="167"/>
      <c r="H327" s="167"/>
      <c r="I327" s="167"/>
      <c r="J327" s="167"/>
      <c r="K327" s="167"/>
      <c r="L327" s="167"/>
    </row>
    <row r="328" spans="2:12" s="155" customFormat="1" ht="12.75" customHeight="1">
      <c r="B328" s="310" t="s">
        <v>244</v>
      </c>
      <c r="C328" s="189">
        <f t="shared" si="134"/>
        <v>11</v>
      </c>
      <c r="D328" s="160"/>
      <c r="E328" s="167"/>
      <c r="F328" s="167"/>
      <c r="G328" s="167"/>
      <c r="H328" s="167"/>
      <c r="I328" s="167"/>
      <c r="J328" s="167"/>
      <c r="K328" s="167"/>
      <c r="L328" s="167"/>
    </row>
    <row r="329" spans="2:12" s="155" customFormat="1" ht="12.75" customHeight="1">
      <c r="B329" s="310" t="s">
        <v>244</v>
      </c>
      <c r="C329" s="189">
        <f t="shared" si="134"/>
        <v>12</v>
      </c>
      <c r="D329" s="160"/>
      <c r="E329" s="167"/>
      <c r="F329" s="167"/>
      <c r="G329" s="167"/>
      <c r="H329" s="167"/>
      <c r="I329" s="167"/>
      <c r="J329" s="167"/>
      <c r="K329" s="167"/>
      <c r="L329" s="167"/>
    </row>
    <row r="330" spans="2:12" s="155" customFormat="1" ht="12.75" customHeight="1">
      <c r="B330" s="310" t="s">
        <v>244</v>
      </c>
      <c r="C330" s="189">
        <f t="shared" si="134"/>
        <v>13</v>
      </c>
      <c r="D330" s="160"/>
      <c r="E330" s="167"/>
      <c r="F330" s="167"/>
      <c r="G330" s="167"/>
      <c r="H330" s="167"/>
      <c r="I330" s="167"/>
      <c r="J330" s="167"/>
      <c r="K330" s="167"/>
      <c r="L330" s="167"/>
    </row>
    <row r="331" spans="2:12" s="155" customFormat="1" ht="12.75" customHeight="1">
      <c r="B331" s="310" t="s">
        <v>244</v>
      </c>
      <c r="C331" s="189">
        <f t="shared" si="134"/>
        <v>14</v>
      </c>
      <c r="D331" s="160"/>
      <c r="E331" s="167"/>
      <c r="F331" s="167"/>
      <c r="G331" s="167"/>
      <c r="H331" s="167"/>
      <c r="I331" s="167"/>
      <c r="J331" s="167"/>
      <c r="K331" s="167"/>
      <c r="L331" s="167"/>
    </row>
    <row r="332" spans="2:12" s="155" customFormat="1" ht="12.75" customHeight="1">
      <c r="B332" s="310" t="s">
        <v>244</v>
      </c>
      <c r="C332" s="189">
        <f t="shared" si="134"/>
        <v>15</v>
      </c>
      <c r="D332" s="160"/>
      <c r="E332" s="167"/>
      <c r="F332" s="167"/>
      <c r="G332" s="167"/>
      <c r="H332" s="167"/>
      <c r="I332" s="167"/>
      <c r="J332" s="167"/>
      <c r="K332" s="167"/>
      <c r="L332" s="167"/>
    </row>
    <row r="333" spans="2:12" s="155" customFormat="1" ht="12.75" customHeight="1">
      <c r="B333" s="310" t="s">
        <v>244</v>
      </c>
      <c r="C333" s="189">
        <v>16</v>
      </c>
      <c r="D333" s="160"/>
      <c r="E333" s="167"/>
      <c r="F333" s="167"/>
      <c r="G333" s="167"/>
      <c r="H333" s="167"/>
      <c r="I333" s="167"/>
      <c r="J333" s="167"/>
      <c r="K333" s="167"/>
      <c r="L333" s="167"/>
    </row>
    <row r="334" spans="2:12" s="155" customFormat="1" ht="12.75" customHeight="1">
      <c r="E334" s="167"/>
      <c r="F334" s="167"/>
      <c r="G334" s="167"/>
      <c r="H334" s="167"/>
      <c r="I334" s="167"/>
      <c r="J334" s="167"/>
      <c r="K334" s="167"/>
      <c r="L334" s="167"/>
    </row>
    <row r="335" spans="2:12" s="155" customFormat="1" ht="12.75" customHeight="1">
      <c r="B335" s="33" t="str">
        <f ca="1">GetNameRange(B336)</f>
        <v>gmwb_credit_mult_aig</v>
      </c>
      <c r="C335" s="33"/>
      <c r="D335" s="149"/>
      <c r="E335" s="167"/>
      <c r="F335" s="167"/>
      <c r="G335" s="167"/>
      <c r="H335" s="167"/>
      <c r="I335" s="167"/>
      <c r="J335" s="167"/>
      <c r="K335" s="167"/>
      <c r="L335" s="167"/>
    </row>
    <row r="336" spans="2:12" s="155" customFormat="1" ht="12.75" customHeight="1">
      <c r="B336" s="297"/>
      <c r="C336" s="300" t="s">
        <v>314</v>
      </c>
      <c r="D336" s="310"/>
      <c r="E336" s="90" t="str">
        <f t="shared" ref="E336:L336" si="135">E$4</f>
        <v>BASE_DEV</v>
      </c>
      <c r="F336" s="90" t="str">
        <f t="shared" si="135"/>
        <v>LIPM_DEV</v>
      </c>
      <c r="G336" s="90" t="str">
        <f t="shared" si="135"/>
        <v>LIP_DEV</v>
      </c>
      <c r="H336" s="168" t="s">
        <v>528</v>
      </c>
      <c r="I336" s="168" t="s">
        <v>527</v>
      </c>
      <c r="J336" s="168" t="s">
        <v>383</v>
      </c>
      <c r="K336" s="168" t="s">
        <v>529</v>
      </c>
      <c r="L336" s="90" t="str">
        <f t="shared" si="135"/>
        <v>BASE</v>
      </c>
    </row>
    <row r="337" spans="2:12" s="155" customFormat="1" ht="12.75" customHeight="1">
      <c r="B337" s="297" t="s">
        <v>219</v>
      </c>
      <c r="C337" s="141"/>
      <c r="D337" s="300"/>
      <c r="E337" s="90"/>
      <c r="F337" s="90"/>
      <c r="G337" s="90"/>
      <c r="H337" s="237"/>
      <c r="I337" s="237"/>
      <c r="J337" s="222"/>
      <c r="K337" s="222"/>
      <c r="L337" s="90"/>
    </row>
    <row r="338" spans="2:12" s="155" customFormat="1" ht="12.75" customHeight="1">
      <c r="B338" s="298" t="s">
        <v>220</v>
      </c>
      <c r="C338" s="189"/>
      <c r="D338" s="160"/>
      <c r="E338" s="340">
        <v>0</v>
      </c>
      <c r="F338" s="340">
        <v>2</v>
      </c>
      <c r="G338" s="340">
        <v>1</v>
      </c>
      <c r="H338" s="340">
        <v>2</v>
      </c>
      <c r="I338" s="340">
        <v>1</v>
      </c>
      <c r="J338" s="341">
        <v>2</v>
      </c>
      <c r="K338" s="341">
        <v>2</v>
      </c>
      <c r="L338" s="340">
        <v>0</v>
      </c>
    </row>
    <row r="339" spans="2:12" s="155" customFormat="1" ht="12.75" customHeight="1">
      <c r="B339" s="298" t="s">
        <v>221</v>
      </c>
      <c r="C339" s="189"/>
      <c r="D339" s="160"/>
      <c r="E339" s="340">
        <v>0</v>
      </c>
      <c r="F339" s="340">
        <v>2</v>
      </c>
      <c r="G339" s="340">
        <v>1</v>
      </c>
      <c r="H339" s="340">
        <v>2</v>
      </c>
      <c r="I339" s="340">
        <v>1</v>
      </c>
      <c r="J339" s="341">
        <v>2</v>
      </c>
      <c r="K339" s="341">
        <v>2</v>
      </c>
      <c r="L339" s="340">
        <v>0</v>
      </c>
    </row>
    <row r="340" spans="2:12" s="155" customFormat="1" ht="12.75" customHeight="1">
      <c r="B340" s="298" t="s">
        <v>222</v>
      </c>
      <c r="C340" s="189"/>
      <c r="D340" s="160"/>
      <c r="E340" s="340">
        <v>0</v>
      </c>
      <c r="F340" s="340">
        <v>1</v>
      </c>
      <c r="G340" s="340">
        <v>1</v>
      </c>
      <c r="H340" s="340">
        <v>1</v>
      </c>
      <c r="I340" s="340">
        <v>1</v>
      </c>
      <c r="J340" s="341">
        <v>1.5</v>
      </c>
      <c r="K340" s="341">
        <v>1.5</v>
      </c>
      <c r="L340" s="340">
        <v>0</v>
      </c>
    </row>
    <row r="341" spans="2:12" s="155" customFormat="1" ht="12.75" customHeight="1">
      <c r="B341" s="299" t="s">
        <v>223</v>
      </c>
      <c r="C341" s="189"/>
      <c r="D341" s="160"/>
      <c r="E341" s="342">
        <v>0</v>
      </c>
      <c r="F341" s="342">
        <v>0</v>
      </c>
      <c r="G341" s="342">
        <v>0</v>
      </c>
      <c r="H341" s="342">
        <v>0</v>
      </c>
      <c r="I341" s="342">
        <v>0</v>
      </c>
      <c r="J341" s="343">
        <v>1.5</v>
      </c>
      <c r="K341" s="343">
        <v>1.5</v>
      </c>
      <c r="L341" s="342">
        <v>0</v>
      </c>
    </row>
    <row r="342" spans="2:12" s="155" customFormat="1" ht="12.75" customHeight="1">
      <c r="E342" s="167"/>
      <c r="F342" s="167"/>
      <c r="G342" s="167"/>
      <c r="H342" s="167"/>
      <c r="I342" s="167"/>
      <c r="J342" s="167"/>
      <c r="K342" s="167"/>
      <c r="L342" s="167"/>
    </row>
    <row r="343" spans="2:12" s="155" customFormat="1" ht="12.75" customHeight="1">
      <c r="B343" s="33" t="str">
        <f ca="1">GetNameRange(B344)</f>
        <v>gmwb_net_credit_aig</v>
      </c>
      <c r="C343" s="33"/>
      <c r="D343" s="149"/>
      <c r="E343" s="167"/>
      <c r="F343" s="167"/>
      <c r="G343" s="167"/>
      <c r="H343" s="167"/>
      <c r="I343" s="167"/>
      <c r="J343" s="167"/>
      <c r="K343" s="167"/>
      <c r="L343" s="167"/>
    </row>
    <row r="344" spans="2:12" s="155" customFormat="1" ht="12.75" customHeight="1">
      <c r="B344" s="297"/>
      <c r="C344" s="300" t="s">
        <v>314</v>
      </c>
      <c r="D344" s="310"/>
      <c r="E344" s="90" t="str">
        <f t="shared" ref="E344:L344" si="136">E$4</f>
        <v>BASE_DEV</v>
      </c>
      <c r="F344" s="90" t="str">
        <f t="shared" si="136"/>
        <v>LIPM_DEV</v>
      </c>
      <c r="G344" s="90" t="str">
        <f t="shared" si="136"/>
        <v>LIP_DEV</v>
      </c>
      <c r="H344" s="168" t="s">
        <v>528</v>
      </c>
      <c r="I344" s="168" t="s">
        <v>527</v>
      </c>
      <c r="J344" s="168" t="s">
        <v>383</v>
      </c>
      <c r="K344" s="168" t="s">
        <v>529</v>
      </c>
      <c r="L344" s="90" t="str">
        <f t="shared" si="136"/>
        <v>BASE</v>
      </c>
    </row>
    <row r="345" spans="2:12" s="155" customFormat="1" ht="12.75" customHeight="1">
      <c r="B345" s="297" t="s">
        <v>219</v>
      </c>
      <c r="C345" s="141"/>
      <c r="D345" s="300"/>
      <c r="E345" s="90"/>
      <c r="F345" s="90"/>
      <c r="G345" s="90"/>
      <c r="H345" s="237"/>
      <c r="I345" s="237"/>
      <c r="J345" s="222"/>
      <c r="K345" s="222"/>
      <c r="L345" s="90"/>
    </row>
    <row r="346" spans="2:12" s="155" customFormat="1" ht="12.75" customHeight="1">
      <c r="B346" s="298" t="s">
        <v>220</v>
      </c>
      <c r="C346" s="189"/>
      <c r="D346" s="160"/>
      <c r="E346" s="340" t="s">
        <v>317</v>
      </c>
      <c r="F346" s="340" t="s">
        <v>224</v>
      </c>
      <c r="G346" s="340" t="s">
        <v>224</v>
      </c>
      <c r="H346" s="340" t="s">
        <v>224</v>
      </c>
      <c r="I346" s="340" t="s">
        <v>224</v>
      </c>
      <c r="J346" s="341" t="s">
        <v>224</v>
      </c>
      <c r="K346" s="341" t="s">
        <v>224</v>
      </c>
      <c r="L346" s="340" t="s">
        <v>317</v>
      </c>
    </row>
    <row r="347" spans="2:12" s="155" customFormat="1" ht="12.75" customHeight="1">
      <c r="B347" s="298" t="s">
        <v>221</v>
      </c>
      <c r="C347" s="189"/>
      <c r="D347" s="160"/>
      <c r="E347" s="340" t="s">
        <v>317</v>
      </c>
      <c r="F347" s="340" t="s">
        <v>224</v>
      </c>
      <c r="G347" s="340" t="s">
        <v>224</v>
      </c>
      <c r="H347" s="340" t="s">
        <v>224</v>
      </c>
      <c r="I347" s="340" t="s">
        <v>224</v>
      </c>
      <c r="J347" s="341" t="s">
        <v>224</v>
      </c>
      <c r="K347" s="341" t="s">
        <v>224</v>
      </c>
      <c r="L347" s="340" t="s">
        <v>317</v>
      </c>
    </row>
    <row r="348" spans="2:12" s="155" customFormat="1" ht="12.75" customHeight="1">
      <c r="B348" s="298" t="s">
        <v>222</v>
      </c>
      <c r="C348" s="189"/>
      <c r="D348" s="160"/>
      <c r="E348" s="340" t="s">
        <v>317</v>
      </c>
      <c r="F348" s="340" t="s">
        <v>224</v>
      </c>
      <c r="G348" s="340" t="s">
        <v>318</v>
      </c>
      <c r="H348" s="340" t="s">
        <v>224</v>
      </c>
      <c r="I348" s="340" t="s">
        <v>317</v>
      </c>
      <c r="J348" s="341" t="s">
        <v>224</v>
      </c>
      <c r="K348" s="341" t="s">
        <v>224</v>
      </c>
      <c r="L348" s="340" t="s">
        <v>317</v>
      </c>
    </row>
    <row r="349" spans="2:12" s="155" customFormat="1" ht="12.75" customHeight="1">
      <c r="B349" s="344" t="s">
        <v>223</v>
      </c>
      <c r="C349" s="189"/>
      <c r="D349" s="160"/>
      <c r="E349" s="340" t="s">
        <v>317</v>
      </c>
      <c r="F349" s="342" t="s">
        <v>224</v>
      </c>
      <c r="G349" s="342" t="s">
        <v>318</v>
      </c>
      <c r="H349" s="342" t="s">
        <v>224</v>
      </c>
      <c r="I349" s="342" t="s">
        <v>317</v>
      </c>
      <c r="J349" s="343" t="s">
        <v>224</v>
      </c>
      <c r="K349" s="343" t="s">
        <v>224</v>
      </c>
      <c r="L349" s="340" t="s">
        <v>317</v>
      </c>
    </row>
    <row r="350" spans="2:12" s="155" customFormat="1" ht="12.75" customHeight="1">
      <c r="E350" s="167"/>
      <c r="F350" s="167"/>
      <c r="G350" s="167"/>
      <c r="H350" s="167"/>
      <c r="I350" s="167"/>
      <c r="J350" s="167"/>
      <c r="K350" s="167"/>
      <c r="L350" s="167"/>
    </row>
    <row r="351" spans="2:12" s="155" customFormat="1" ht="12.75" customHeight="1">
      <c r="B351" s="33" t="str">
        <f ca="1">GetNameRange(B352)</f>
        <v>gmwb_rollup_rate_type_aig</v>
      </c>
      <c r="C351" s="33"/>
      <c r="D351" s="149"/>
      <c r="E351" s="167"/>
      <c r="F351" s="167"/>
      <c r="G351" s="167"/>
      <c r="H351" s="167"/>
      <c r="I351" s="167"/>
      <c r="J351" s="167"/>
      <c r="K351" s="167"/>
      <c r="L351" s="167"/>
    </row>
    <row r="352" spans="2:12" s="155" customFormat="1" ht="12.75" customHeight="1">
      <c r="B352" s="297"/>
      <c r="C352" s="300" t="s">
        <v>314</v>
      </c>
      <c r="D352" s="310"/>
      <c r="E352" s="90" t="str">
        <f t="shared" ref="E352:L352" si="137">E$4</f>
        <v>BASE_DEV</v>
      </c>
      <c r="F352" s="90" t="str">
        <f t="shared" si="137"/>
        <v>LIPM_DEV</v>
      </c>
      <c r="G352" s="90" t="str">
        <f t="shared" si="137"/>
        <v>LIP_DEV</v>
      </c>
      <c r="H352" s="168" t="s">
        <v>528</v>
      </c>
      <c r="I352" s="168" t="s">
        <v>527</v>
      </c>
      <c r="J352" s="168" t="s">
        <v>383</v>
      </c>
      <c r="K352" s="168" t="s">
        <v>529</v>
      </c>
      <c r="L352" s="90" t="str">
        <f t="shared" si="137"/>
        <v>BASE</v>
      </c>
    </row>
    <row r="353" spans="2:12" s="155" customFormat="1" ht="12.75" customHeight="1">
      <c r="B353" s="297" t="s">
        <v>219</v>
      </c>
      <c r="C353" s="141"/>
      <c r="D353" s="300"/>
      <c r="E353" s="90"/>
      <c r="F353" s="90"/>
      <c r="G353" s="90"/>
      <c r="H353" s="237"/>
      <c r="I353" s="237"/>
      <c r="J353" s="222"/>
      <c r="K353" s="222"/>
      <c r="L353" s="90"/>
    </row>
    <row r="354" spans="2:12" s="155" customFormat="1" ht="12.75" customHeight="1">
      <c r="B354" s="298" t="s">
        <v>220</v>
      </c>
      <c r="C354" s="189"/>
      <c r="D354" s="160"/>
      <c r="E354" s="31" t="s">
        <v>225</v>
      </c>
      <c r="F354" s="195" t="s">
        <v>225</v>
      </c>
      <c r="G354" s="195" t="s">
        <v>225</v>
      </c>
      <c r="H354" s="195" t="s">
        <v>225</v>
      </c>
      <c r="I354" s="195" t="s">
        <v>225</v>
      </c>
      <c r="J354" s="228" t="s">
        <v>226</v>
      </c>
      <c r="K354" s="228" t="s">
        <v>226</v>
      </c>
      <c r="L354" s="195" t="s">
        <v>225</v>
      </c>
    </row>
    <row r="355" spans="2:12" s="155" customFormat="1" ht="12.75" customHeight="1">
      <c r="B355" s="298" t="s">
        <v>221</v>
      </c>
      <c r="C355" s="189"/>
      <c r="D355" s="160"/>
      <c r="E355" s="31" t="s">
        <v>225</v>
      </c>
      <c r="F355" s="195" t="s">
        <v>225</v>
      </c>
      <c r="G355" s="195" t="s">
        <v>225</v>
      </c>
      <c r="H355" s="195" t="s">
        <v>225</v>
      </c>
      <c r="I355" s="195" t="s">
        <v>225</v>
      </c>
      <c r="J355" s="228" t="s">
        <v>226</v>
      </c>
      <c r="K355" s="228" t="s">
        <v>226</v>
      </c>
      <c r="L355" s="195" t="s">
        <v>225</v>
      </c>
    </row>
    <row r="356" spans="2:12" s="155" customFormat="1" ht="12.75" customHeight="1">
      <c r="B356" s="298" t="s">
        <v>222</v>
      </c>
      <c r="C356" s="189"/>
      <c r="D356" s="160"/>
      <c r="E356" s="195" t="s">
        <v>225</v>
      </c>
      <c r="F356" s="195" t="s">
        <v>226</v>
      </c>
      <c r="G356" s="195" t="s">
        <v>225</v>
      </c>
      <c r="H356" s="195" t="s">
        <v>226</v>
      </c>
      <c r="I356" s="195" t="s">
        <v>225</v>
      </c>
      <c r="J356" s="228" t="s">
        <v>226</v>
      </c>
      <c r="K356" s="228" t="s">
        <v>226</v>
      </c>
      <c r="L356" s="195" t="s">
        <v>225</v>
      </c>
    </row>
    <row r="357" spans="2:12" s="155" customFormat="1" ht="12.75" customHeight="1">
      <c r="B357" s="299" t="s">
        <v>223</v>
      </c>
      <c r="C357" s="189"/>
      <c r="D357" s="160"/>
      <c r="E357" s="246" t="s">
        <v>225</v>
      </c>
      <c r="F357" s="246" t="s">
        <v>226</v>
      </c>
      <c r="G357" s="246" t="s">
        <v>225</v>
      </c>
      <c r="H357" s="246" t="s">
        <v>226</v>
      </c>
      <c r="I357" s="246" t="s">
        <v>225</v>
      </c>
      <c r="J357" s="247" t="s">
        <v>226</v>
      </c>
      <c r="K357" s="247" t="s">
        <v>226</v>
      </c>
      <c r="L357" s="246" t="s">
        <v>225</v>
      </c>
    </row>
    <row r="358" spans="2:12" s="155" customFormat="1" ht="12.75" customHeight="1">
      <c r="E358" s="167"/>
      <c r="F358" s="167"/>
      <c r="G358" s="167"/>
      <c r="H358" s="167"/>
      <c r="I358" s="167"/>
      <c r="J358" s="167"/>
      <c r="K358" s="167"/>
      <c r="L358" s="167"/>
    </row>
    <row r="359" spans="2:12" s="155" customFormat="1" ht="12.75" customHeight="1">
      <c r="E359" s="167"/>
      <c r="F359" s="167"/>
      <c r="G359" s="167"/>
      <c r="H359" s="167"/>
      <c r="I359" s="167"/>
      <c r="J359" s="167"/>
      <c r="K359" s="167"/>
      <c r="L359" s="167"/>
    </row>
    <row r="360" spans="2:12" s="155" customFormat="1" ht="12.75" customHeight="1">
      <c r="B360" s="33" t="str">
        <f ca="1">GetNameRange(B361)</f>
        <v>gmwb_income_prem_base_reduction_method_aig</v>
      </c>
      <c r="C360" s="33"/>
      <c r="D360" s="149"/>
      <c r="E360" s="167"/>
      <c r="F360" s="167"/>
      <c r="G360" s="167"/>
      <c r="H360" s="167"/>
      <c r="I360" s="167"/>
      <c r="J360" s="167"/>
      <c r="K360" s="167"/>
      <c r="L360" s="167"/>
    </row>
    <row r="361" spans="2:12" s="155" customFormat="1" ht="12.75" customHeight="1">
      <c r="B361" s="297"/>
      <c r="C361" s="300" t="s">
        <v>314</v>
      </c>
      <c r="D361" s="310"/>
      <c r="E361" s="90" t="str">
        <f t="shared" ref="E361:L361" si="138">E$4</f>
        <v>BASE_DEV</v>
      </c>
      <c r="F361" s="90" t="str">
        <f t="shared" si="138"/>
        <v>LIPM_DEV</v>
      </c>
      <c r="G361" s="90" t="str">
        <f t="shared" si="138"/>
        <v>LIP_DEV</v>
      </c>
      <c r="H361" s="168" t="s">
        <v>528</v>
      </c>
      <c r="I361" s="168" t="s">
        <v>527</v>
      </c>
      <c r="J361" s="168" t="s">
        <v>383</v>
      </c>
      <c r="K361" s="168" t="s">
        <v>529</v>
      </c>
      <c r="L361" s="90" t="str">
        <f t="shared" si="138"/>
        <v>BASE</v>
      </c>
    </row>
    <row r="362" spans="2:12" s="155" customFormat="1" ht="12.75" customHeight="1">
      <c r="B362" s="297" t="s">
        <v>219</v>
      </c>
      <c r="C362" s="141"/>
      <c r="D362" s="300"/>
      <c r="E362" s="90"/>
      <c r="F362" s="90"/>
      <c r="G362" s="90"/>
      <c r="H362" s="237"/>
      <c r="I362" s="237"/>
      <c r="J362" s="225"/>
      <c r="K362" s="225"/>
      <c r="L362" s="90"/>
    </row>
    <row r="363" spans="2:12" s="155" customFormat="1" ht="12.75" customHeight="1">
      <c r="B363" s="298" t="s">
        <v>220</v>
      </c>
      <c r="C363" s="189"/>
      <c r="D363" s="160"/>
      <c r="E363" s="195" t="s">
        <v>232</v>
      </c>
      <c r="F363" s="195" t="s">
        <v>232</v>
      </c>
      <c r="G363" s="195" t="s">
        <v>232</v>
      </c>
      <c r="H363" s="195" t="s">
        <v>232</v>
      </c>
      <c r="I363" s="195" t="s">
        <v>232</v>
      </c>
      <c r="J363" s="228" t="s">
        <v>232</v>
      </c>
      <c r="K363" s="228" t="s">
        <v>232</v>
      </c>
      <c r="L363" s="195" t="s">
        <v>232</v>
      </c>
    </row>
    <row r="364" spans="2:12" s="155" customFormat="1" ht="12.75" customHeight="1">
      <c r="B364" s="298" t="s">
        <v>221</v>
      </c>
      <c r="C364" s="189"/>
      <c r="D364" s="160"/>
      <c r="E364" s="195" t="s">
        <v>232</v>
      </c>
      <c r="F364" s="195" t="s">
        <v>232</v>
      </c>
      <c r="G364" s="195" t="s">
        <v>232</v>
      </c>
      <c r="H364" s="195" t="s">
        <v>232</v>
      </c>
      <c r="I364" s="195" t="s">
        <v>232</v>
      </c>
      <c r="J364" s="228" t="s">
        <v>232</v>
      </c>
      <c r="K364" s="228" t="s">
        <v>232</v>
      </c>
      <c r="L364" s="195" t="s">
        <v>232</v>
      </c>
    </row>
    <row r="365" spans="2:12" s="155" customFormat="1" ht="12.75" customHeight="1">
      <c r="B365" s="298" t="s">
        <v>222</v>
      </c>
      <c r="C365" s="189"/>
      <c r="D365" s="160"/>
      <c r="E365" s="195" t="s">
        <v>227</v>
      </c>
      <c r="F365" s="195" t="s">
        <v>227</v>
      </c>
      <c r="G365" s="195" t="s">
        <v>227</v>
      </c>
      <c r="H365" s="195" t="s">
        <v>227</v>
      </c>
      <c r="I365" s="195" t="s">
        <v>227</v>
      </c>
      <c r="J365" s="228" t="s">
        <v>227</v>
      </c>
      <c r="K365" s="228" t="s">
        <v>227</v>
      </c>
      <c r="L365" s="195" t="s">
        <v>227</v>
      </c>
    </row>
    <row r="366" spans="2:12" s="155" customFormat="1" ht="12.75" customHeight="1">
      <c r="B366" s="299" t="s">
        <v>223</v>
      </c>
      <c r="C366" s="189"/>
      <c r="D366" s="160"/>
      <c r="E366" s="246" t="s">
        <v>227</v>
      </c>
      <c r="F366" s="246" t="s">
        <v>227</v>
      </c>
      <c r="G366" s="246" t="s">
        <v>227</v>
      </c>
      <c r="H366" s="246" t="s">
        <v>227</v>
      </c>
      <c r="I366" s="246" t="s">
        <v>227</v>
      </c>
      <c r="J366" s="247" t="s">
        <v>227</v>
      </c>
      <c r="K366" s="247" t="s">
        <v>227</v>
      </c>
      <c r="L366" s="246" t="s">
        <v>227</v>
      </c>
    </row>
    <row r="367" spans="2:12" s="155" customFormat="1" ht="12.75" customHeight="1">
      <c r="E367" s="167"/>
      <c r="F367" s="167"/>
      <c r="G367" s="167"/>
      <c r="H367" s="167"/>
      <c r="I367" s="167"/>
      <c r="J367" s="167"/>
      <c r="K367" s="167"/>
      <c r="L367" s="167"/>
    </row>
    <row r="368" spans="2:12" s="155" customFormat="1" ht="12.75" customHeight="1">
      <c r="B368" s="33" t="str">
        <f ca="1">GetNameRange(B369)</f>
        <v>gmwb_income_fund_val_base_reduction_method_aig</v>
      </c>
      <c r="C368" s="33"/>
      <c r="D368" s="149"/>
      <c r="E368" s="167"/>
      <c r="F368" s="167"/>
      <c r="G368" s="167"/>
      <c r="H368" s="167"/>
      <c r="I368" s="167"/>
      <c r="J368" s="167"/>
      <c r="K368" s="167"/>
      <c r="L368" s="167"/>
    </row>
    <row r="369" spans="2:12" s="155" customFormat="1" ht="12.75" customHeight="1">
      <c r="B369" s="297"/>
      <c r="C369" s="300" t="s">
        <v>314</v>
      </c>
      <c r="D369" s="310"/>
      <c r="E369" s="90" t="str">
        <f t="shared" ref="E369:L369" si="139">E$4</f>
        <v>BASE_DEV</v>
      </c>
      <c r="F369" s="90" t="str">
        <f t="shared" si="139"/>
        <v>LIPM_DEV</v>
      </c>
      <c r="G369" s="90" t="str">
        <f t="shared" si="139"/>
        <v>LIP_DEV</v>
      </c>
      <c r="H369" s="168" t="s">
        <v>528</v>
      </c>
      <c r="I369" s="168" t="s">
        <v>527</v>
      </c>
      <c r="J369" s="168" t="s">
        <v>383</v>
      </c>
      <c r="K369" s="168" t="s">
        <v>529</v>
      </c>
      <c r="L369" s="90" t="str">
        <f t="shared" si="139"/>
        <v>BASE</v>
      </c>
    </row>
    <row r="370" spans="2:12" s="155" customFormat="1" ht="12.75" customHeight="1">
      <c r="B370" s="297" t="s">
        <v>219</v>
      </c>
      <c r="C370" s="141"/>
      <c r="D370" s="300"/>
      <c r="E370" s="90"/>
      <c r="F370" s="90"/>
      <c r="G370" s="90"/>
      <c r="H370" s="237"/>
      <c r="I370" s="237"/>
      <c r="J370" s="225"/>
      <c r="K370" s="225"/>
      <c r="L370" s="90"/>
    </row>
    <row r="371" spans="2:12" s="155" customFormat="1" ht="12.75" customHeight="1">
      <c r="B371" s="298" t="s">
        <v>220</v>
      </c>
      <c r="C371" s="189"/>
      <c r="D371" s="160"/>
      <c r="E371" s="195" t="s">
        <v>233</v>
      </c>
      <c r="F371" s="195" t="s">
        <v>233</v>
      </c>
      <c r="G371" s="195" t="s">
        <v>233</v>
      </c>
      <c r="H371" s="195" t="s">
        <v>233</v>
      </c>
      <c r="I371" s="195" t="s">
        <v>233</v>
      </c>
      <c r="J371" s="228" t="s">
        <v>233</v>
      </c>
      <c r="K371" s="228" t="s">
        <v>233</v>
      </c>
      <c r="L371" s="195" t="s">
        <v>233</v>
      </c>
    </row>
    <row r="372" spans="2:12" s="155" customFormat="1" ht="12.75" customHeight="1">
      <c r="B372" s="298" t="s">
        <v>221</v>
      </c>
      <c r="C372" s="189"/>
      <c r="D372" s="160"/>
      <c r="E372" s="195" t="s">
        <v>233</v>
      </c>
      <c r="F372" s="195" t="s">
        <v>233</v>
      </c>
      <c r="G372" s="195" t="s">
        <v>233</v>
      </c>
      <c r="H372" s="195" t="s">
        <v>233</v>
      </c>
      <c r="I372" s="195" t="s">
        <v>233</v>
      </c>
      <c r="J372" s="228" t="s">
        <v>233</v>
      </c>
      <c r="K372" s="228" t="s">
        <v>233</v>
      </c>
      <c r="L372" s="195" t="s">
        <v>233</v>
      </c>
    </row>
    <row r="373" spans="2:12" s="155" customFormat="1" ht="12.75" customHeight="1">
      <c r="B373" s="298" t="s">
        <v>222</v>
      </c>
      <c r="C373" s="189"/>
      <c r="D373" s="160"/>
      <c r="E373" s="195" t="s">
        <v>227</v>
      </c>
      <c r="F373" s="195" t="s">
        <v>227</v>
      </c>
      <c r="G373" s="195" t="s">
        <v>227</v>
      </c>
      <c r="H373" s="195" t="s">
        <v>227</v>
      </c>
      <c r="I373" s="195" t="s">
        <v>227</v>
      </c>
      <c r="J373" s="228" t="s">
        <v>227</v>
      </c>
      <c r="K373" s="228" t="s">
        <v>227</v>
      </c>
      <c r="L373" s="195" t="s">
        <v>227</v>
      </c>
    </row>
    <row r="374" spans="2:12" s="155" customFormat="1" ht="12.75" customHeight="1">
      <c r="B374" s="299" t="s">
        <v>223</v>
      </c>
      <c r="C374" s="189"/>
      <c r="D374" s="160"/>
      <c r="E374" s="246" t="s">
        <v>227</v>
      </c>
      <c r="F374" s="246" t="s">
        <v>227</v>
      </c>
      <c r="G374" s="246" t="s">
        <v>227</v>
      </c>
      <c r="H374" s="246" t="s">
        <v>227</v>
      </c>
      <c r="I374" s="246" t="s">
        <v>227</v>
      </c>
      <c r="J374" s="247" t="s">
        <v>227</v>
      </c>
      <c r="K374" s="247" t="s">
        <v>227</v>
      </c>
      <c r="L374" s="246" t="s">
        <v>227</v>
      </c>
    </row>
    <row r="375" spans="2:12" s="155" customFormat="1" ht="12.75" customHeight="1">
      <c r="E375" s="167"/>
      <c r="F375" s="167"/>
      <c r="G375" s="167"/>
      <c r="H375" s="167"/>
      <c r="I375" s="167"/>
      <c r="J375" s="167"/>
      <c r="K375" s="167"/>
      <c r="L375" s="167"/>
    </row>
    <row r="376" spans="2:12" s="155" customFormat="1" ht="12.75" customHeight="1">
      <c r="B376" s="33" t="str">
        <f ca="1">GetNameRange(B377)</f>
        <v>gmwb_income_rollup_cap_base_reduction_method_aig</v>
      </c>
      <c r="C376" s="33"/>
      <c r="D376" s="149"/>
      <c r="E376" s="167"/>
      <c r="F376" s="167"/>
      <c r="G376" s="167"/>
      <c r="H376" s="167"/>
      <c r="I376" s="167"/>
      <c r="J376" s="167"/>
      <c r="K376" s="167"/>
      <c r="L376" s="167"/>
    </row>
    <row r="377" spans="2:12" s="155" customFormat="1" ht="12.75" customHeight="1">
      <c r="B377" s="297"/>
      <c r="C377" s="300" t="s">
        <v>314</v>
      </c>
      <c r="D377" s="310"/>
      <c r="E377" s="90" t="str">
        <f t="shared" ref="E377:L377" si="140">E$4</f>
        <v>BASE_DEV</v>
      </c>
      <c r="F377" s="90" t="str">
        <f t="shared" si="140"/>
        <v>LIPM_DEV</v>
      </c>
      <c r="G377" s="90" t="str">
        <f t="shared" si="140"/>
        <v>LIP_DEV</v>
      </c>
      <c r="H377" s="168" t="s">
        <v>528</v>
      </c>
      <c r="I377" s="168" t="s">
        <v>527</v>
      </c>
      <c r="J377" s="168" t="s">
        <v>383</v>
      </c>
      <c r="K377" s="168" t="s">
        <v>529</v>
      </c>
      <c r="L377" s="90" t="str">
        <f t="shared" si="140"/>
        <v>BASE</v>
      </c>
    </row>
    <row r="378" spans="2:12" s="155" customFormat="1" ht="12.75" customHeight="1">
      <c r="B378" s="297" t="s">
        <v>219</v>
      </c>
      <c r="C378" s="141"/>
      <c r="D378" s="300"/>
      <c r="E378" s="90"/>
      <c r="F378" s="90"/>
      <c r="G378" s="90"/>
      <c r="H378" s="237"/>
      <c r="I378" s="237"/>
      <c r="J378" s="225"/>
      <c r="K378" s="225"/>
      <c r="L378" s="90"/>
    </row>
    <row r="379" spans="2:12" s="155" customFormat="1" ht="12.75" customHeight="1">
      <c r="B379" s="298" t="s">
        <v>220</v>
      </c>
      <c r="C379" s="189"/>
      <c r="D379" s="160"/>
      <c r="E379" s="195" t="s">
        <v>227</v>
      </c>
      <c r="F379" s="195" t="s">
        <v>227</v>
      </c>
      <c r="G379" s="195" t="s">
        <v>227</v>
      </c>
      <c r="H379" s="195" t="s">
        <v>227</v>
      </c>
      <c r="I379" s="195" t="s">
        <v>227</v>
      </c>
      <c r="J379" s="228" t="s">
        <v>227</v>
      </c>
      <c r="K379" s="228" t="s">
        <v>227</v>
      </c>
      <c r="L379" s="195" t="s">
        <v>227</v>
      </c>
    </row>
    <row r="380" spans="2:12" s="155" customFormat="1" ht="12.75" customHeight="1">
      <c r="B380" s="298" t="s">
        <v>221</v>
      </c>
      <c r="C380" s="189"/>
      <c r="D380" s="160"/>
      <c r="E380" s="195" t="s">
        <v>227</v>
      </c>
      <c r="F380" s="195" t="s">
        <v>227</v>
      </c>
      <c r="G380" s="195" t="s">
        <v>227</v>
      </c>
      <c r="H380" s="195" t="s">
        <v>227</v>
      </c>
      <c r="I380" s="195" t="s">
        <v>227</v>
      </c>
      <c r="J380" s="228" t="s">
        <v>227</v>
      </c>
      <c r="K380" s="228" t="s">
        <v>227</v>
      </c>
      <c r="L380" s="195" t="s">
        <v>227</v>
      </c>
    </row>
    <row r="381" spans="2:12" s="155" customFormat="1" ht="12.75" customHeight="1">
      <c r="B381" s="298" t="s">
        <v>222</v>
      </c>
      <c r="C381" s="189"/>
      <c r="D381" s="160"/>
      <c r="E381" s="195" t="s">
        <v>227</v>
      </c>
      <c r="F381" s="195" t="s">
        <v>227</v>
      </c>
      <c r="G381" s="195" t="s">
        <v>227</v>
      </c>
      <c r="H381" s="195" t="s">
        <v>227</v>
      </c>
      <c r="I381" s="195" t="s">
        <v>227</v>
      </c>
      <c r="J381" s="228" t="s">
        <v>227</v>
      </c>
      <c r="K381" s="228" t="s">
        <v>227</v>
      </c>
      <c r="L381" s="195" t="s">
        <v>227</v>
      </c>
    </row>
    <row r="382" spans="2:12" s="155" customFormat="1" ht="12.75" customHeight="1">
      <c r="B382" s="299" t="s">
        <v>223</v>
      </c>
      <c r="C382" s="189"/>
      <c r="D382" s="160"/>
      <c r="E382" s="246" t="s">
        <v>227</v>
      </c>
      <c r="F382" s="246" t="s">
        <v>227</v>
      </c>
      <c r="G382" s="246" t="s">
        <v>227</v>
      </c>
      <c r="H382" s="246" t="s">
        <v>227</v>
      </c>
      <c r="I382" s="246" t="s">
        <v>227</v>
      </c>
      <c r="J382" s="247" t="s">
        <v>227</v>
      </c>
      <c r="K382" s="247" t="s">
        <v>227</v>
      </c>
      <c r="L382" s="246" t="s">
        <v>227</v>
      </c>
    </row>
    <row r="383" spans="2:12">
      <c r="B383" s="155"/>
      <c r="C383" s="155"/>
      <c r="D383" s="155"/>
    </row>
    <row r="384" spans="2:12" ht="13">
      <c r="B384" s="33" t="str">
        <f ca="1">GetNameRange(B385)</f>
        <v>gmwb_income_base_floor_prem_pct_aig</v>
      </c>
      <c r="C384" s="33"/>
      <c r="D384" s="18"/>
      <c r="E384" s="242"/>
      <c r="F384" s="242"/>
      <c r="G384" s="242"/>
      <c r="H384" s="242"/>
      <c r="I384" s="242"/>
      <c r="J384" s="242"/>
      <c r="K384" s="242"/>
      <c r="L384" s="242"/>
    </row>
    <row r="385" spans="2:12" ht="13">
      <c r="B385" s="297" t="s">
        <v>314</v>
      </c>
      <c r="C385" s="300"/>
      <c r="D385" s="310"/>
      <c r="E385" s="90" t="str">
        <f t="shared" ref="E385:L385" si="141">E$4</f>
        <v>BASE_DEV</v>
      </c>
      <c r="F385" s="90" t="str">
        <f t="shared" si="141"/>
        <v>LIPM_DEV</v>
      </c>
      <c r="G385" s="90" t="str">
        <f t="shared" si="141"/>
        <v>LIP_DEV</v>
      </c>
      <c r="H385" s="168" t="s">
        <v>528</v>
      </c>
      <c r="I385" s="168" t="s">
        <v>527</v>
      </c>
      <c r="J385" s="168" t="s">
        <v>383</v>
      </c>
      <c r="K385" s="168" t="s">
        <v>529</v>
      </c>
      <c r="L385" s="90" t="str">
        <f t="shared" si="141"/>
        <v>BASE</v>
      </c>
    </row>
    <row r="386" spans="2:12" ht="13">
      <c r="B386" s="297" t="s">
        <v>163</v>
      </c>
      <c r="C386" s="141"/>
      <c r="D386" s="300"/>
      <c r="E386" s="90"/>
      <c r="F386" s="90"/>
      <c r="G386" s="90"/>
      <c r="H386" s="237"/>
      <c r="I386" s="237"/>
      <c r="J386" s="237"/>
      <c r="K386" s="237"/>
      <c r="L386" s="90"/>
    </row>
    <row r="387" spans="2:12">
      <c r="B387" s="310">
        <v>1</v>
      </c>
      <c r="C387" s="189"/>
      <c r="D387" s="160"/>
      <c r="E387" s="226">
        <v>0</v>
      </c>
      <c r="F387" s="226">
        <v>0</v>
      </c>
      <c r="G387" s="226">
        <v>0</v>
      </c>
      <c r="H387" s="226">
        <v>0</v>
      </c>
      <c r="I387" s="226">
        <v>0</v>
      </c>
      <c r="J387" s="226">
        <v>0</v>
      </c>
      <c r="K387" s="226">
        <v>0</v>
      </c>
      <c r="L387" s="226">
        <v>0</v>
      </c>
    </row>
    <row r="388" spans="2:12">
      <c r="B388" s="310">
        <v>2</v>
      </c>
      <c r="C388" s="189"/>
      <c r="D388" s="160"/>
      <c r="E388" s="226">
        <v>0</v>
      </c>
      <c r="F388" s="226">
        <v>0</v>
      </c>
      <c r="G388" s="226">
        <v>0</v>
      </c>
      <c r="H388" s="226">
        <v>0</v>
      </c>
      <c r="I388" s="226">
        <v>0</v>
      </c>
      <c r="J388" s="226">
        <v>0</v>
      </c>
      <c r="K388" s="226">
        <v>0</v>
      </c>
      <c r="L388" s="226">
        <v>0</v>
      </c>
    </row>
    <row r="389" spans="2:12">
      <c r="B389" s="310">
        <f>B388+1</f>
        <v>3</v>
      </c>
      <c r="C389" s="189"/>
      <c r="D389" s="160"/>
      <c r="E389" s="226">
        <v>0</v>
      </c>
      <c r="F389" s="226">
        <v>0</v>
      </c>
      <c r="G389" s="226">
        <v>0</v>
      </c>
      <c r="H389" s="226">
        <v>0</v>
      </c>
      <c r="I389" s="226">
        <v>0</v>
      </c>
      <c r="J389" s="226">
        <v>0</v>
      </c>
      <c r="K389" s="226">
        <v>0</v>
      </c>
      <c r="L389" s="226">
        <v>0</v>
      </c>
    </row>
    <row r="390" spans="2:12">
      <c r="B390" s="310">
        <f t="shared" ref="B390:B398" si="142">B389+1</f>
        <v>4</v>
      </c>
      <c r="C390" s="189"/>
      <c r="D390" s="160"/>
      <c r="E390" s="226">
        <v>0</v>
      </c>
      <c r="F390" s="226">
        <v>0</v>
      </c>
      <c r="G390" s="226">
        <v>0</v>
      </c>
      <c r="H390" s="226">
        <v>0</v>
      </c>
      <c r="I390" s="226">
        <v>0</v>
      </c>
      <c r="J390" s="226">
        <v>0</v>
      </c>
      <c r="K390" s="226">
        <v>0</v>
      </c>
      <c r="L390" s="226">
        <v>0</v>
      </c>
    </row>
    <row r="391" spans="2:12">
      <c r="B391" s="310">
        <f t="shared" si="142"/>
        <v>5</v>
      </c>
      <c r="C391" s="189"/>
      <c r="D391" s="160"/>
      <c r="E391" s="226">
        <v>0</v>
      </c>
      <c r="F391" s="226">
        <v>0</v>
      </c>
      <c r="G391" s="226">
        <v>0</v>
      </c>
      <c r="H391" s="226">
        <v>0</v>
      </c>
      <c r="I391" s="226">
        <v>0</v>
      </c>
      <c r="J391" s="226">
        <v>0</v>
      </c>
      <c r="K391" s="226">
        <v>0</v>
      </c>
      <c r="L391" s="226">
        <v>0</v>
      </c>
    </row>
    <row r="392" spans="2:12">
      <c r="B392" s="310">
        <f t="shared" si="142"/>
        <v>6</v>
      </c>
      <c r="C392" s="189"/>
      <c r="D392" s="160"/>
      <c r="E392" s="226">
        <v>0</v>
      </c>
      <c r="F392" s="226">
        <v>0</v>
      </c>
      <c r="G392" s="226">
        <v>0</v>
      </c>
      <c r="H392" s="226">
        <v>0</v>
      </c>
      <c r="I392" s="226">
        <v>0</v>
      </c>
      <c r="J392" s="226">
        <v>0</v>
      </c>
      <c r="K392" s="226">
        <v>0</v>
      </c>
      <c r="L392" s="226">
        <v>0</v>
      </c>
    </row>
    <row r="393" spans="2:12">
      <c r="B393" s="310">
        <f t="shared" si="142"/>
        <v>7</v>
      </c>
      <c r="C393" s="189"/>
      <c r="D393" s="160"/>
      <c r="E393" s="226">
        <v>0</v>
      </c>
      <c r="F393" s="226">
        <v>0</v>
      </c>
      <c r="G393" s="226">
        <v>0</v>
      </c>
      <c r="H393" s="226">
        <v>0</v>
      </c>
      <c r="I393" s="226">
        <v>0</v>
      </c>
      <c r="J393" s="226">
        <v>0</v>
      </c>
      <c r="K393" s="226">
        <v>0</v>
      </c>
      <c r="L393" s="226">
        <v>0</v>
      </c>
    </row>
    <row r="394" spans="2:12">
      <c r="B394" s="310">
        <f t="shared" si="142"/>
        <v>8</v>
      </c>
      <c r="C394" s="189"/>
      <c r="D394" s="160"/>
      <c r="E394" s="226">
        <v>0</v>
      </c>
      <c r="F394" s="226">
        <v>0</v>
      </c>
      <c r="G394" s="226">
        <v>0</v>
      </c>
      <c r="H394" s="226">
        <v>0</v>
      </c>
      <c r="I394" s="226">
        <v>0</v>
      </c>
      <c r="J394" s="226">
        <v>0</v>
      </c>
      <c r="K394" s="226">
        <v>0</v>
      </c>
      <c r="L394" s="226">
        <v>0</v>
      </c>
    </row>
    <row r="395" spans="2:12">
      <c r="B395" s="310">
        <f t="shared" si="142"/>
        <v>9</v>
      </c>
      <c r="C395" s="189"/>
      <c r="D395" s="160"/>
      <c r="E395" s="226">
        <v>0</v>
      </c>
      <c r="F395" s="226">
        <v>0</v>
      </c>
      <c r="G395" s="226">
        <v>0</v>
      </c>
      <c r="H395" s="226">
        <v>0</v>
      </c>
      <c r="I395" s="226">
        <v>0</v>
      </c>
      <c r="J395" s="226">
        <v>0</v>
      </c>
      <c r="K395" s="226">
        <v>0</v>
      </c>
      <c r="L395" s="226">
        <v>0</v>
      </c>
    </row>
    <row r="396" spans="2:12">
      <c r="B396" s="310">
        <f t="shared" si="142"/>
        <v>10</v>
      </c>
      <c r="C396" s="189"/>
      <c r="D396" s="160"/>
      <c r="E396" s="226">
        <v>0</v>
      </c>
      <c r="F396" s="226">
        <v>0</v>
      </c>
      <c r="G396" s="226">
        <v>0</v>
      </c>
      <c r="H396" s="226">
        <v>0</v>
      </c>
      <c r="I396" s="226">
        <v>0</v>
      </c>
      <c r="J396" s="226">
        <v>0</v>
      </c>
      <c r="K396" s="226">
        <v>0</v>
      </c>
      <c r="L396" s="226">
        <v>0</v>
      </c>
    </row>
    <row r="397" spans="2:12">
      <c r="B397" s="310">
        <f t="shared" si="142"/>
        <v>11</v>
      </c>
      <c r="C397" s="189"/>
      <c r="D397" s="160"/>
      <c r="E397" s="226">
        <v>0</v>
      </c>
      <c r="F397" s="226">
        <v>0</v>
      </c>
      <c r="G397" s="226">
        <v>0</v>
      </c>
      <c r="H397" s="226">
        <v>0</v>
      </c>
      <c r="I397" s="226">
        <v>0</v>
      </c>
      <c r="J397" s="226">
        <v>1.1000000000000001</v>
      </c>
      <c r="K397" s="226">
        <v>1.1000000000000001</v>
      </c>
      <c r="L397" s="226">
        <v>0</v>
      </c>
    </row>
    <row r="398" spans="2:12">
      <c r="B398" s="310">
        <f t="shared" si="142"/>
        <v>12</v>
      </c>
      <c r="C398" s="189"/>
      <c r="D398" s="160"/>
      <c r="E398" s="226">
        <v>0</v>
      </c>
      <c r="F398" s="226">
        <v>0</v>
      </c>
      <c r="G398" s="226">
        <v>0</v>
      </c>
      <c r="H398" s="226">
        <v>0</v>
      </c>
      <c r="I398" s="226">
        <v>0</v>
      </c>
      <c r="J398" s="226">
        <v>1.1000000000000001</v>
      </c>
      <c r="K398" s="226">
        <v>1.1000000000000001</v>
      </c>
      <c r="L398" s="226">
        <v>0</v>
      </c>
    </row>
    <row r="399" spans="2:12">
      <c r="B399" s="310">
        <v>13</v>
      </c>
      <c r="C399" s="189"/>
      <c r="D399" s="160"/>
      <c r="E399" s="226">
        <v>0</v>
      </c>
      <c r="F399" s="226">
        <v>0</v>
      </c>
      <c r="G399" s="226">
        <v>0</v>
      </c>
      <c r="H399" s="226">
        <v>0</v>
      </c>
      <c r="I399" s="226">
        <v>0</v>
      </c>
      <c r="J399" s="226">
        <v>1.1000000000000001</v>
      </c>
      <c r="K399" s="226">
        <v>1.1000000000000001</v>
      </c>
      <c r="L399" s="226">
        <v>0</v>
      </c>
    </row>
    <row r="400" spans="2:12">
      <c r="B400" s="310">
        <v>14</v>
      </c>
      <c r="C400" s="189"/>
      <c r="D400" s="160"/>
      <c r="E400" s="226">
        <v>0</v>
      </c>
      <c r="F400" s="226">
        <v>0</v>
      </c>
      <c r="G400" s="226">
        <v>0</v>
      </c>
      <c r="H400" s="226">
        <v>0</v>
      </c>
      <c r="I400" s="226">
        <v>0</v>
      </c>
      <c r="J400" s="226">
        <v>1.1000000000000001</v>
      </c>
      <c r="K400" s="226">
        <v>1.1000000000000001</v>
      </c>
      <c r="L400" s="226">
        <v>0</v>
      </c>
    </row>
    <row r="401" spans="2:12">
      <c r="B401" s="310">
        <v>15</v>
      </c>
      <c r="C401" s="189"/>
      <c r="D401" s="160"/>
      <c r="E401" s="226">
        <v>0</v>
      </c>
      <c r="F401" s="226">
        <v>0</v>
      </c>
      <c r="G401" s="226">
        <v>0</v>
      </c>
      <c r="H401" s="226">
        <v>0</v>
      </c>
      <c r="I401" s="226">
        <v>0</v>
      </c>
      <c r="J401" s="226">
        <v>1.1000000000000001</v>
      </c>
      <c r="K401" s="226">
        <v>1.1000000000000001</v>
      </c>
      <c r="L401" s="226">
        <v>0</v>
      </c>
    </row>
    <row r="403" spans="2:12" ht="13">
      <c r="B403" s="33" t="str">
        <f ca="1">GetNameRange(B404)</f>
        <v>gmwb_dth_ben_floor_prem_pct_aig</v>
      </c>
      <c r="D403" s="164"/>
    </row>
    <row r="404" spans="2:12" ht="13">
      <c r="B404" s="297" t="s">
        <v>314</v>
      </c>
      <c r="C404" s="300"/>
      <c r="D404" s="310"/>
      <c r="E404" s="90" t="str">
        <f t="shared" ref="E404:L404" si="143">E$4</f>
        <v>BASE_DEV</v>
      </c>
      <c r="F404" s="90" t="str">
        <f t="shared" si="143"/>
        <v>LIPM_DEV</v>
      </c>
      <c r="G404" s="90" t="str">
        <f t="shared" si="143"/>
        <v>LIP_DEV</v>
      </c>
      <c r="H404" s="168" t="s">
        <v>528</v>
      </c>
      <c r="I404" s="168" t="s">
        <v>527</v>
      </c>
      <c r="J404" s="168" t="s">
        <v>383</v>
      </c>
      <c r="K404" s="168" t="s">
        <v>529</v>
      </c>
      <c r="L404" s="90" t="str">
        <f t="shared" si="143"/>
        <v>BASE</v>
      </c>
    </row>
    <row r="405" spans="2:12" ht="13">
      <c r="B405" s="297" t="s">
        <v>163</v>
      </c>
      <c r="C405" s="141"/>
      <c r="D405" s="300"/>
      <c r="E405" s="90"/>
      <c r="F405" s="90"/>
      <c r="G405" s="90"/>
      <c r="L405" s="90"/>
    </row>
    <row r="406" spans="2:12">
      <c r="B406" s="310">
        <v>1</v>
      </c>
      <c r="C406" s="189"/>
      <c r="D406" s="160"/>
      <c r="E406" s="226">
        <v>0</v>
      </c>
      <c r="F406" s="226">
        <v>0</v>
      </c>
      <c r="G406" s="226">
        <v>0</v>
      </c>
      <c r="H406" s="420">
        <v>0</v>
      </c>
      <c r="I406" s="420">
        <v>0</v>
      </c>
      <c r="J406" s="420">
        <v>0</v>
      </c>
      <c r="K406" s="420">
        <v>0</v>
      </c>
      <c r="L406" s="226">
        <v>0</v>
      </c>
    </row>
    <row r="407" spans="2:12">
      <c r="B407" s="310">
        <v>2</v>
      </c>
      <c r="C407" s="189"/>
      <c r="D407" s="160"/>
      <c r="E407" s="226">
        <v>0</v>
      </c>
      <c r="F407" s="226">
        <v>0</v>
      </c>
      <c r="G407" s="226">
        <v>0</v>
      </c>
      <c r="H407" s="420">
        <v>0</v>
      </c>
      <c r="I407" s="420">
        <v>0</v>
      </c>
      <c r="J407" s="420">
        <v>0</v>
      </c>
      <c r="K407" s="420">
        <v>0</v>
      </c>
      <c r="L407" s="226">
        <v>0</v>
      </c>
    </row>
    <row r="408" spans="2:12">
      <c r="B408" s="310">
        <f>B407+1</f>
        <v>3</v>
      </c>
      <c r="C408" s="189"/>
      <c r="D408" s="160"/>
      <c r="E408" s="226">
        <v>0</v>
      </c>
      <c r="F408" s="226">
        <v>0</v>
      </c>
      <c r="G408" s="226">
        <v>0</v>
      </c>
      <c r="H408" s="420">
        <v>0</v>
      </c>
      <c r="I408" s="420">
        <v>0</v>
      </c>
      <c r="J408" s="420">
        <v>0</v>
      </c>
      <c r="K408" s="420">
        <v>0</v>
      </c>
      <c r="L408" s="226">
        <v>0</v>
      </c>
    </row>
    <row r="409" spans="2:12">
      <c r="B409" s="310">
        <f t="shared" ref="B409:B417" si="144">B408+1</f>
        <v>4</v>
      </c>
      <c r="C409" s="189"/>
      <c r="D409" s="160"/>
      <c r="E409" s="226">
        <v>0</v>
      </c>
      <c r="F409" s="226">
        <v>0</v>
      </c>
      <c r="G409" s="226">
        <v>0</v>
      </c>
      <c r="H409" s="420">
        <v>0</v>
      </c>
      <c r="I409" s="420">
        <v>0</v>
      </c>
      <c r="J409" s="420">
        <v>0</v>
      </c>
      <c r="K409" s="420">
        <v>0</v>
      </c>
      <c r="L409" s="226">
        <v>0</v>
      </c>
    </row>
    <row r="410" spans="2:12">
      <c r="B410" s="310">
        <f t="shared" si="144"/>
        <v>5</v>
      </c>
      <c r="C410" s="189"/>
      <c r="D410" s="160"/>
      <c r="E410" s="226">
        <v>0</v>
      </c>
      <c r="F410" s="226">
        <v>0</v>
      </c>
      <c r="G410" s="226">
        <v>0</v>
      </c>
      <c r="H410" s="420">
        <v>0</v>
      </c>
      <c r="I410" s="420">
        <v>0</v>
      </c>
      <c r="J410" s="420">
        <v>0</v>
      </c>
      <c r="K410" s="420">
        <v>0</v>
      </c>
      <c r="L410" s="226">
        <v>0</v>
      </c>
    </row>
    <row r="411" spans="2:12">
      <c r="B411" s="310">
        <f t="shared" si="144"/>
        <v>6</v>
      </c>
      <c r="C411" s="189"/>
      <c r="D411" s="160"/>
      <c r="E411" s="226">
        <v>0</v>
      </c>
      <c r="F411" s="226">
        <v>0</v>
      </c>
      <c r="G411" s="226">
        <v>0</v>
      </c>
      <c r="H411" s="420">
        <v>0</v>
      </c>
      <c r="I411" s="420">
        <v>0</v>
      </c>
      <c r="J411" s="420">
        <v>0</v>
      </c>
      <c r="K411" s="420">
        <v>0</v>
      </c>
      <c r="L411" s="226">
        <v>0</v>
      </c>
    </row>
    <row r="412" spans="2:12">
      <c r="B412" s="310">
        <f t="shared" si="144"/>
        <v>7</v>
      </c>
      <c r="C412" s="189"/>
      <c r="D412" s="160"/>
      <c r="E412" s="226">
        <v>0</v>
      </c>
      <c r="F412" s="226">
        <v>0</v>
      </c>
      <c r="G412" s="226">
        <v>0</v>
      </c>
      <c r="H412" s="420">
        <v>0</v>
      </c>
      <c r="I412" s="420">
        <v>0</v>
      </c>
      <c r="J412" s="420">
        <v>0</v>
      </c>
      <c r="K412" s="420">
        <v>0</v>
      </c>
      <c r="L412" s="226">
        <v>0</v>
      </c>
    </row>
    <row r="413" spans="2:12">
      <c r="B413" s="310">
        <f t="shared" si="144"/>
        <v>8</v>
      </c>
      <c r="C413" s="189"/>
      <c r="D413" s="160"/>
      <c r="E413" s="226">
        <v>0</v>
      </c>
      <c r="F413" s="226">
        <v>0</v>
      </c>
      <c r="G413" s="226">
        <v>0</v>
      </c>
      <c r="H413" s="420">
        <v>0</v>
      </c>
      <c r="I413" s="420">
        <v>0</v>
      </c>
      <c r="J413" s="420">
        <v>0</v>
      </c>
      <c r="K413" s="420">
        <v>0</v>
      </c>
      <c r="L413" s="226">
        <v>0</v>
      </c>
    </row>
    <row r="414" spans="2:12">
      <c r="B414" s="310">
        <f t="shared" si="144"/>
        <v>9</v>
      </c>
      <c r="C414" s="189"/>
      <c r="D414" s="160"/>
      <c r="E414" s="226">
        <v>0</v>
      </c>
      <c r="F414" s="226">
        <v>0</v>
      </c>
      <c r="G414" s="226">
        <v>0</v>
      </c>
      <c r="H414" s="420">
        <v>0</v>
      </c>
      <c r="I414" s="420">
        <v>0</v>
      </c>
      <c r="J414" s="420">
        <v>0</v>
      </c>
      <c r="K414" s="420">
        <v>0</v>
      </c>
      <c r="L414" s="226">
        <v>0</v>
      </c>
    </row>
    <row r="415" spans="2:12">
      <c r="B415" s="310">
        <f t="shared" si="144"/>
        <v>10</v>
      </c>
      <c r="C415" s="189"/>
      <c r="D415" s="160"/>
      <c r="E415" s="226">
        <v>0</v>
      </c>
      <c r="F415" s="226">
        <v>0</v>
      </c>
      <c r="G415" s="226">
        <v>0</v>
      </c>
      <c r="H415" s="420">
        <v>0</v>
      </c>
      <c r="I415" s="420">
        <v>0</v>
      </c>
      <c r="J415" s="420">
        <v>0</v>
      </c>
      <c r="K415" s="420">
        <v>0</v>
      </c>
      <c r="L415" s="226">
        <v>0</v>
      </c>
    </row>
    <row r="416" spans="2:12">
      <c r="B416" s="310">
        <f t="shared" si="144"/>
        <v>11</v>
      </c>
      <c r="C416" s="189"/>
      <c r="D416" s="160"/>
      <c r="E416" s="226">
        <v>0</v>
      </c>
      <c r="F416" s="226">
        <v>0</v>
      </c>
      <c r="G416" s="226">
        <v>0</v>
      </c>
      <c r="H416" s="420">
        <v>0</v>
      </c>
      <c r="I416" s="420">
        <v>0</v>
      </c>
      <c r="J416" s="420">
        <v>1.1000000000000001</v>
      </c>
      <c r="K416" s="420">
        <v>1.1000000000000001</v>
      </c>
      <c r="L416" s="226">
        <v>0</v>
      </c>
    </row>
    <row r="417" spans="2:12">
      <c r="B417" s="310">
        <f t="shared" si="144"/>
        <v>12</v>
      </c>
      <c r="C417" s="189"/>
      <c r="D417" s="160"/>
      <c r="E417" s="226">
        <v>0</v>
      </c>
      <c r="F417" s="226">
        <v>0</v>
      </c>
      <c r="G417" s="226">
        <v>0</v>
      </c>
      <c r="H417" s="420">
        <v>0</v>
      </c>
      <c r="I417" s="420">
        <v>0</v>
      </c>
      <c r="J417" s="420">
        <v>1.1000000000000001</v>
      </c>
      <c r="K417" s="420">
        <v>1.1000000000000001</v>
      </c>
      <c r="L417" s="226">
        <v>0</v>
      </c>
    </row>
    <row r="418" spans="2:12">
      <c r="B418" s="310">
        <v>13</v>
      </c>
      <c r="C418" s="189"/>
      <c r="D418" s="160"/>
      <c r="E418" s="226">
        <v>0</v>
      </c>
      <c r="F418" s="226">
        <v>0</v>
      </c>
      <c r="G418" s="226">
        <v>0</v>
      </c>
      <c r="H418" s="420">
        <v>0</v>
      </c>
      <c r="I418" s="420">
        <v>0</v>
      </c>
      <c r="J418" s="420">
        <v>1.1000000000000001</v>
      </c>
      <c r="K418" s="420">
        <v>1.1000000000000001</v>
      </c>
      <c r="L418" s="226">
        <v>0</v>
      </c>
    </row>
    <row r="419" spans="2:12">
      <c r="B419" s="310">
        <v>14</v>
      </c>
      <c r="C419" s="189"/>
      <c r="D419" s="160"/>
      <c r="E419" s="226">
        <v>0</v>
      </c>
      <c r="F419" s="226">
        <v>0</v>
      </c>
      <c r="G419" s="226">
        <v>0</v>
      </c>
      <c r="H419" s="420">
        <v>0</v>
      </c>
      <c r="I419" s="420">
        <v>0</v>
      </c>
      <c r="J419" s="420">
        <v>1.1000000000000001</v>
      </c>
      <c r="K419" s="420">
        <v>1.1000000000000001</v>
      </c>
      <c r="L419" s="226">
        <v>0</v>
      </c>
    </row>
    <row r="420" spans="2:12">
      <c r="B420" s="310">
        <v>15</v>
      </c>
      <c r="C420" s="189"/>
      <c r="D420" s="160"/>
      <c r="E420" s="226">
        <v>0</v>
      </c>
      <c r="F420" s="226">
        <v>0</v>
      </c>
      <c r="G420" s="226">
        <v>0</v>
      </c>
      <c r="H420" s="420">
        <v>0</v>
      </c>
      <c r="I420" s="420">
        <v>0</v>
      </c>
      <c r="J420" s="420">
        <v>1.1000000000000001</v>
      </c>
      <c r="K420" s="420">
        <v>1.1000000000000001</v>
      </c>
      <c r="L420" s="226">
        <v>0</v>
      </c>
    </row>
    <row r="422" spans="2:12" s="164" customFormat="1" ht="13">
      <c r="B422" s="18" t="str">
        <f ca="1">GetNameRange(B423)</f>
        <v>gmwb_income_base_cap_prem_base_reduction_method_aig</v>
      </c>
      <c r="E422" s="167"/>
      <c r="F422" s="167"/>
      <c r="G422" s="167"/>
      <c r="H422" s="167"/>
      <c r="I422" s="167"/>
      <c r="J422" s="167"/>
      <c r="K422" s="167"/>
      <c r="L422" s="167"/>
    </row>
    <row r="423" spans="2:12" s="164" customFormat="1" ht="13">
      <c r="B423" s="169"/>
      <c r="C423" s="198" t="s">
        <v>314</v>
      </c>
      <c r="D423" s="314"/>
      <c r="E423" s="90" t="str">
        <f t="shared" ref="E423:L423" si="145">E$4</f>
        <v>BASE_DEV</v>
      </c>
      <c r="F423" s="90" t="str">
        <f t="shared" si="145"/>
        <v>LIPM_DEV</v>
      </c>
      <c r="G423" s="90" t="str">
        <f t="shared" si="145"/>
        <v>LIP_DEV</v>
      </c>
      <c r="H423" s="168" t="s">
        <v>528</v>
      </c>
      <c r="I423" s="168" t="s">
        <v>527</v>
      </c>
      <c r="J423" s="168" t="s">
        <v>383</v>
      </c>
      <c r="K423" s="168" t="s">
        <v>529</v>
      </c>
      <c r="L423" s="90" t="str">
        <f t="shared" si="145"/>
        <v>BASE</v>
      </c>
    </row>
    <row r="424" spans="2:12" s="164" customFormat="1" ht="13">
      <c r="B424" s="297" t="s">
        <v>219</v>
      </c>
      <c r="C424" s="435"/>
      <c r="D424" s="116"/>
      <c r="E424" s="347"/>
      <c r="F424" s="347"/>
      <c r="G424" s="347"/>
      <c r="H424" s="167"/>
      <c r="I424" s="167"/>
      <c r="J424" s="167"/>
      <c r="K424" s="167"/>
      <c r="L424" s="347"/>
    </row>
    <row r="425" spans="2:12" s="164" customFormat="1">
      <c r="B425" s="298" t="s">
        <v>220</v>
      </c>
      <c r="C425" s="322"/>
      <c r="D425" s="320"/>
      <c r="E425" s="319" t="s">
        <v>563</v>
      </c>
      <c r="F425" s="319" t="s">
        <v>563</v>
      </c>
      <c r="G425" s="319" t="s">
        <v>563</v>
      </c>
      <c r="H425" s="319" t="s">
        <v>563</v>
      </c>
      <c r="I425" s="319" t="s">
        <v>563</v>
      </c>
      <c r="J425" s="319" t="s">
        <v>563</v>
      </c>
      <c r="K425" s="319" t="s">
        <v>563</v>
      </c>
      <c r="L425" s="319" t="s">
        <v>563</v>
      </c>
    </row>
    <row r="426" spans="2:12" s="164" customFormat="1">
      <c r="B426" s="298" t="s">
        <v>221</v>
      </c>
      <c r="C426" s="322"/>
      <c r="D426" s="320"/>
      <c r="E426" s="319" t="s">
        <v>563</v>
      </c>
      <c r="F426" s="319" t="s">
        <v>563</v>
      </c>
      <c r="G426" s="319" t="s">
        <v>563</v>
      </c>
      <c r="H426" s="319" t="s">
        <v>564</v>
      </c>
      <c r="I426" s="319" t="s">
        <v>564</v>
      </c>
      <c r="J426" s="319" t="s">
        <v>563</v>
      </c>
      <c r="K426" s="319" t="s">
        <v>563</v>
      </c>
      <c r="L426" s="319" t="s">
        <v>563</v>
      </c>
    </row>
    <row r="427" spans="2:12" s="164" customFormat="1">
      <c r="B427" s="298" t="s">
        <v>222</v>
      </c>
      <c r="C427" s="322"/>
      <c r="D427" s="320"/>
      <c r="E427" s="319" t="s">
        <v>563</v>
      </c>
      <c r="F427" s="319" t="s">
        <v>563</v>
      </c>
      <c r="G427" s="319" t="s">
        <v>563</v>
      </c>
      <c r="H427" s="319" t="s">
        <v>565</v>
      </c>
      <c r="I427" s="319" t="s">
        <v>565</v>
      </c>
      <c r="J427" s="319" t="s">
        <v>563</v>
      </c>
      <c r="K427" s="319" t="s">
        <v>563</v>
      </c>
      <c r="L427" s="319" t="s">
        <v>563</v>
      </c>
    </row>
    <row r="428" spans="2:12" s="164" customFormat="1">
      <c r="B428" s="299" t="s">
        <v>223</v>
      </c>
      <c r="C428" s="207"/>
      <c r="D428" s="23"/>
      <c r="E428" s="319" t="s">
        <v>563</v>
      </c>
      <c r="F428" s="319" t="s">
        <v>563</v>
      </c>
      <c r="G428" s="319" t="s">
        <v>563</v>
      </c>
      <c r="H428" s="319" t="s">
        <v>563</v>
      </c>
      <c r="I428" s="319" t="s">
        <v>563</v>
      </c>
      <c r="J428" s="319" t="s">
        <v>563</v>
      </c>
      <c r="K428" s="319" t="s">
        <v>563</v>
      </c>
      <c r="L428" s="319" t="s">
        <v>563</v>
      </c>
    </row>
    <row r="429" spans="2:12" s="164" customFormat="1">
      <c r="E429" s="167"/>
      <c r="F429" s="167"/>
      <c r="G429" s="167"/>
      <c r="H429" s="167"/>
      <c r="I429" s="167"/>
      <c r="J429" s="167"/>
      <c r="K429" s="167"/>
      <c r="L429" s="167"/>
    </row>
    <row r="430" spans="2:12" s="164" customFormat="1" ht="13">
      <c r="B430" s="18" t="str">
        <f ca="1">GetNameRange(B431)</f>
        <v>gmwb_income_base_cap_prem_pct_aig</v>
      </c>
      <c r="E430" s="167"/>
      <c r="F430" s="167"/>
      <c r="G430" s="167"/>
      <c r="H430" s="167"/>
      <c r="I430" s="167"/>
      <c r="J430" s="167"/>
      <c r="K430" s="167"/>
      <c r="L430" s="167"/>
    </row>
    <row r="431" spans="2:12" s="164" customFormat="1" ht="13">
      <c r="B431" s="436" t="s">
        <v>314</v>
      </c>
      <c r="C431" s="437"/>
      <c r="D431" s="438"/>
      <c r="E431" s="90" t="str">
        <f t="shared" ref="E431:L431" si="146">E$4</f>
        <v>BASE_DEV</v>
      </c>
      <c r="F431" s="90" t="str">
        <f t="shared" si="146"/>
        <v>LIPM_DEV</v>
      </c>
      <c r="G431" s="90" t="str">
        <f t="shared" si="146"/>
        <v>LIP_DEV</v>
      </c>
      <c r="H431" s="168" t="s">
        <v>528</v>
      </c>
      <c r="I431" s="168" t="s">
        <v>527</v>
      </c>
      <c r="J431" s="168" t="s">
        <v>383</v>
      </c>
      <c r="K431" s="168" t="s">
        <v>529</v>
      </c>
      <c r="L431" s="90" t="str">
        <f t="shared" si="146"/>
        <v>BASE</v>
      </c>
    </row>
    <row r="432" spans="2:12" s="164" customFormat="1" ht="13">
      <c r="B432" s="439" t="s">
        <v>163</v>
      </c>
      <c r="C432" s="435"/>
      <c r="D432" s="116"/>
      <c r="E432" s="347"/>
      <c r="F432" s="347"/>
      <c r="G432" s="347"/>
      <c r="H432" s="167"/>
      <c r="I432" s="167"/>
      <c r="J432" s="167"/>
      <c r="K432" s="167"/>
      <c r="L432" s="347"/>
    </row>
    <row r="433" spans="2:12" s="164" customFormat="1">
      <c r="B433" s="440">
        <v>1</v>
      </c>
      <c r="C433" s="441"/>
      <c r="D433" s="442"/>
      <c r="E433" s="443">
        <v>3</v>
      </c>
      <c r="F433" s="443">
        <v>3</v>
      </c>
      <c r="G433" s="443">
        <v>3</v>
      </c>
      <c r="H433" s="443">
        <v>3</v>
      </c>
      <c r="I433" s="443">
        <v>3</v>
      </c>
      <c r="J433" s="443">
        <v>3</v>
      </c>
      <c r="K433" s="443">
        <v>3</v>
      </c>
      <c r="L433" s="443">
        <v>3</v>
      </c>
    </row>
    <row r="434" spans="2:12" s="164" customFormat="1">
      <c r="E434" s="167"/>
      <c r="F434" s="167"/>
      <c r="G434" s="167"/>
      <c r="H434" s="167"/>
      <c r="I434" s="167"/>
      <c r="J434" s="167"/>
      <c r="K434" s="167"/>
      <c r="L434" s="167"/>
    </row>
  </sheetData>
  <conditionalFormatting sqref="A12:A14 D16:D18 D57:D58 D8 D21:D28 D10:D14 D73 D41:D42 D48">
    <cfRule type="cellIs" dxfId="250" priority="5873" operator="equal">
      <formula>""</formula>
    </cfRule>
  </conditionalFormatting>
  <conditionalFormatting sqref="A8 A10:A33 A35:A36 L45 L51:L53 L9 L37 A38 E38:L38 F66:G66 F65:F66 H65:K66 H68:L69 L66 A67 E67:L67 A73 H47:L48 A60:A64 E60 F60:G64 L57:L64">
    <cfRule type="cellIs" dxfId="249" priority="5872" operator="notEqual">
      <formula>$A8</formula>
    </cfRule>
  </conditionalFormatting>
  <conditionalFormatting sqref="A57:A58">
    <cfRule type="cellIs" dxfId="248" priority="5889" operator="notEqual">
      <formula>$A57</formula>
    </cfRule>
  </conditionalFormatting>
  <conditionalFormatting sqref="L363:L366">
    <cfRule type="cellIs" dxfId="247" priority="5292" operator="notEqual">
      <formula>$A359</formula>
    </cfRule>
  </conditionalFormatting>
  <conditionalFormatting sqref="L371:L374">
    <cfRule type="cellIs" dxfId="246" priority="5290" operator="notEqual">
      <formula>$A359</formula>
    </cfRule>
  </conditionalFormatting>
  <conditionalFormatting sqref="L12">
    <cfRule type="cellIs" dxfId="245" priority="3938" operator="notEqual">
      <formula>$A12</formula>
    </cfRule>
  </conditionalFormatting>
  <conditionalFormatting sqref="A9">
    <cfRule type="cellIs" dxfId="244" priority="4105" operator="notEqual">
      <formula>$A9</formula>
    </cfRule>
  </conditionalFormatting>
  <conditionalFormatting sqref="L57">
    <cfRule type="cellIs" dxfId="243" priority="3667" operator="notEqual">
      <formula>$A57</formula>
    </cfRule>
  </conditionalFormatting>
  <conditionalFormatting sqref="A34">
    <cfRule type="cellIs" dxfId="242" priority="4060" operator="notEqual">
      <formula>$A34</formula>
    </cfRule>
  </conditionalFormatting>
  <conditionalFormatting sqref="L21:L31 L33:L36">
    <cfRule type="cellIs" dxfId="241" priority="4043" operator="notEqual">
      <formula>$A21</formula>
    </cfRule>
  </conditionalFormatting>
  <conditionalFormatting sqref="L15">
    <cfRule type="cellIs" dxfId="240" priority="3943" operator="notEqual">
      <formula>$A15</formula>
    </cfRule>
  </conditionalFormatting>
  <conditionalFormatting sqref="L16:L18 L10:L11 L14">
    <cfRule type="cellIs" dxfId="239" priority="3942" operator="notEqual">
      <formula>$A10</formula>
    </cfRule>
  </conditionalFormatting>
  <conditionalFormatting sqref="L15">
    <cfRule type="cellIs" dxfId="238" priority="3941" operator="notEqual">
      <formula>$A15</formula>
    </cfRule>
  </conditionalFormatting>
  <conditionalFormatting sqref="L19">
    <cfRule type="cellIs" dxfId="237" priority="3940" operator="notEqual">
      <formula>$A19</formula>
    </cfRule>
  </conditionalFormatting>
  <conditionalFormatting sqref="L20">
    <cfRule type="cellIs" dxfId="236" priority="3939" operator="notEqual">
      <formula>$A20</formula>
    </cfRule>
  </conditionalFormatting>
  <conditionalFormatting sqref="L8:L9">
    <cfRule type="cellIs" dxfId="235" priority="3937" operator="notEqual">
      <formula>$A8</formula>
    </cfRule>
  </conditionalFormatting>
  <conditionalFormatting sqref="L13">
    <cfRule type="cellIs" dxfId="234" priority="3722" operator="notEqual">
      <formula>$A13</formula>
    </cfRule>
  </conditionalFormatting>
  <conditionalFormatting sqref="L354:L357">
    <cfRule type="cellIs" dxfId="233" priority="3603" operator="notEqual">
      <formula>$A350</formula>
    </cfRule>
  </conditionalFormatting>
  <conditionalFormatting sqref="L381:L382">
    <cfRule type="cellIs" dxfId="232" priority="3525" operator="notEqual">
      <formula>$A361</formula>
    </cfRule>
  </conditionalFormatting>
  <conditionalFormatting sqref="L379:L380">
    <cfRule type="cellIs" dxfId="231" priority="3524" operator="notEqual">
      <formula>$A359</formula>
    </cfRule>
  </conditionalFormatting>
  <conditionalFormatting sqref="B60">
    <cfRule type="cellIs" dxfId="230" priority="3375" operator="notEqual">
      <formula>$A60</formula>
    </cfRule>
  </conditionalFormatting>
  <conditionalFormatting sqref="C60">
    <cfRule type="cellIs" dxfId="229" priority="3374" operator="notEqual">
      <formula>$A60</formula>
    </cfRule>
  </conditionalFormatting>
  <conditionalFormatting sqref="A59">
    <cfRule type="cellIs" dxfId="228" priority="3224" operator="notEqual">
      <formula>$A59</formula>
    </cfRule>
  </conditionalFormatting>
  <conditionalFormatting sqref="B64">
    <cfRule type="cellIs" dxfId="227" priority="2843" operator="notEqual">
      <formula>$A64</formula>
    </cfRule>
  </conditionalFormatting>
  <conditionalFormatting sqref="C64">
    <cfRule type="cellIs" dxfId="226" priority="2842" operator="notEqual">
      <formula>$A64</formula>
    </cfRule>
  </conditionalFormatting>
  <conditionalFormatting sqref="A65">
    <cfRule type="cellIs" dxfId="225" priority="2841" operator="notEqual">
      <formula>$A65</formula>
    </cfRule>
  </conditionalFormatting>
  <conditionalFormatting sqref="D69">
    <cfRule type="cellIs" dxfId="224" priority="2840" operator="equal">
      <formula>""</formula>
    </cfRule>
  </conditionalFormatting>
  <conditionalFormatting sqref="A68">
    <cfRule type="cellIs" dxfId="223" priority="2838" operator="notEqual">
      <formula>$A68</formula>
    </cfRule>
  </conditionalFormatting>
  <conditionalFormatting sqref="A69">
    <cfRule type="cellIs" dxfId="222" priority="2837" operator="notEqual">
      <formula>$A69</formula>
    </cfRule>
  </conditionalFormatting>
  <conditionalFormatting sqref="M32">
    <cfRule type="cellIs" dxfId="221" priority="2836" operator="notEqual">
      <formula>$A32</formula>
    </cfRule>
  </conditionalFormatting>
  <conditionalFormatting sqref="L32">
    <cfRule type="cellIs" dxfId="220" priority="2830" operator="notEqual">
      <formula>$A32</formula>
    </cfRule>
  </conditionalFormatting>
  <conditionalFormatting sqref="A37">
    <cfRule type="cellIs" dxfId="219" priority="2825" operator="notEqual">
      <formula>$A37</formula>
    </cfRule>
  </conditionalFormatting>
  <conditionalFormatting sqref="D19:D20">
    <cfRule type="cellIs" dxfId="218" priority="2730" operator="equal">
      <formula>""</formula>
    </cfRule>
  </conditionalFormatting>
  <conditionalFormatting sqref="D9">
    <cfRule type="cellIs" dxfId="217" priority="2729" operator="equal">
      <formula>""</formula>
    </cfRule>
  </conditionalFormatting>
  <conditionalFormatting sqref="D15">
    <cfRule type="cellIs" dxfId="216" priority="2728" operator="equal">
      <formula>""</formula>
    </cfRule>
  </conditionalFormatting>
  <conditionalFormatting sqref="D29:D37">
    <cfRule type="cellIs" dxfId="215" priority="2727" operator="equal">
      <formula>""</formula>
    </cfRule>
  </conditionalFormatting>
  <conditionalFormatting sqref="D45">
    <cfRule type="cellIs" dxfId="214" priority="2725" operator="equal">
      <formula>""</formula>
    </cfRule>
  </conditionalFormatting>
  <conditionalFormatting sqref="D51:D54">
    <cfRule type="cellIs" dxfId="213" priority="2723" operator="equal">
      <formula>""</formula>
    </cfRule>
  </conditionalFormatting>
  <conditionalFormatting sqref="D59">
    <cfRule type="cellIs" dxfId="212" priority="2722" operator="equal">
      <formula>""</formula>
    </cfRule>
  </conditionalFormatting>
  <conditionalFormatting sqref="D62:D63">
    <cfRule type="cellIs" dxfId="211" priority="2721" operator="equal">
      <formula>""</formula>
    </cfRule>
  </conditionalFormatting>
  <conditionalFormatting sqref="D66:D68">
    <cfRule type="cellIs" dxfId="210" priority="2720" operator="equal">
      <formula>""</formula>
    </cfRule>
  </conditionalFormatting>
  <conditionalFormatting sqref="D77:D83">
    <cfRule type="cellIs" dxfId="209" priority="2719" operator="equal">
      <formula>""</formula>
    </cfRule>
  </conditionalFormatting>
  <conditionalFormatting sqref="D88:D99">
    <cfRule type="cellIs" dxfId="208" priority="2718" operator="equal">
      <formula>""</formula>
    </cfRule>
  </conditionalFormatting>
  <conditionalFormatting sqref="D104:D165">
    <cfRule type="cellIs" dxfId="207" priority="2717" operator="equal">
      <formula>""</formula>
    </cfRule>
  </conditionalFormatting>
  <conditionalFormatting sqref="D170:D231">
    <cfRule type="cellIs" dxfId="206" priority="2716" operator="equal">
      <formula>""</formula>
    </cfRule>
  </conditionalFormatting>
  <conditionalFormatting sqref="D236:D297">
    <cfRule type="cellIs" dxfId="205" priority="2715" operator="equal">
      <formula>""</formula>
    </cfRule>
  </conditionalFormatting>
  <conditionalFormatting sqref="D406:D420">
    <cfRule type="cellIs" dxfId="204" priority="2706" operator="equal">
      <formula>""</formula>
    </cfRule>
  </conditionalFormatting>
  <conditionalFormatting sqref="D302:D333">
    <cfRule type="cellIs" dxfId="203" priority="2714" operator="equal">
      <formula>""</formula>
    </cfRule>
  </conditionalFormatting>
  <conditionalFormatting sqref="D338:D341">
    <cfRule type="cellIs" dxfId="202" priority="2713" operator="equal">
      <formula>""</formula>
    </cfRule>
  </conditionalFormatting>
  <conditionalFormatting sqref="D346:D349">
    <cfRule type="cellIs" dxfId="201" priority="2712" operator="equal">
      <formula>""</formula>
    </cfRule>
  </conditionalFormatting>
  <conditionalFormatting sqref="D354:D357">
    <cfRule type="cellIs" dxfId="200" priority="2711" operator="equal">
      <formula>""</formula>
    </cfRule>
  </conditionalFormatting>
  <conditionalFormatting sqref="D363:D366">
    <cfRule type="cellIs" dxfId="199" priority="2710" operator="equal">
      <formula>""</formula>
    </cfRule>
  </conditionalFormatting>
  <conditionalFormatting sqref="D371:D374">
    <cfRule type="cellIs" dxfId="198" priority="2709" operator="equal">
      <formula>""</formula>
    </cfRule>
  </conditionalFormatting>
  <conditionalFormatting sqref="D379:D382">
    <cfRule type="cellIs" dxfId="197" priority="2708" operator="equal">
      <formula>""</formula>
    </cfRule>
  </conditionalFormatting>
  <conditionalFormatting sqref="D387:D401">
    <cfRule type="cellIs" dxfId="196" priority="2707" operator="equal">
      <formula>""</formula>
    </cfRule>
  </conditionalFormatting>
  <conditionalFormatting sqref="E45:G45 E62:G62 E57:G57 F9:G9 E51:G53 E37:G37 E68:G69">
    <cfRule type="cellIs" dxfId="195" priority="1811" operator="notEqual">
      <formula>$A9</formula>
    </cfRule>
  </conditionalFormatting>
  <conditionalFormatting sqref="E363:E366">
    <cfRule type="cellIs" dxfId="194" priority="1810" operator="notEqual">
      <formula>$A359</formula>
    </cfRule>
  </conditionalFormatting>
  <conditionalFormatting sqref="E371:E374">
    <cfRule type="cellIs" dxfId="193" priority="1809" operator="notEqual">
      <formula>$A359</formula>
    </cfRule>
  </conditionalFormatting>
  <conditionalFormatting sqref="F363:F366">
    <cfRule type="cellIs" dxfId="192" priority="1808" operator="notEqual">
      <formula>$A359</formula>
    </cfRule>
  </conditionalFormatting>
  <conditionalFormatting sqref="F371:F374">
    <cfRule type="cellIs" dxfId="191" priority="1807" operator="notEqual">
      <formula>$A359</formula>
    </cfRule>
  </conditionalFormatting>
  <conditionalFormatting sqref="G363:G366">
    <cfRule type="cellIs" dxfId="190" priority="1806" operator="notEqual">
      <formula>$A359</formula>
    </cfRule>
  </conditionalFormatting>
  <conditionalFormatting sqref="G371:G374">
    <cfRule type="cellIs" dxfId="189" priority="1805" operator="notEqual">
      <formula>$A359</formula>
    </cfRule>
  </conditionalFormatting>
  <conditionalFormatting sqref="F13">
    <cfRule type="cellIs" dxfId="188" priority="1778" operator="notEqual">
      <formula>$A13</formula>
    </cfRule>
  </conditionalFormatting>
  <conditionalFormatting sqref="G13">
    <cfRule type="cellIs" dxfId="187" priority="1777" operator="notEqual">
      <formula>$A13</formula>
    </cfRule>
  </conditionalFormatting>
  <conditionalFormatting sqref="G13">
    <cfRule type="cellIs" dxfId="186" priority="1776" operator="notEqual">
      <formula>$A13</formula>
    </cfRule>
  </conditionalFormatting>
  <conditionalFormatting sqref="F57">
    <cfRule type="cellIs" dxfId="185" priority="1774" operator="notEqual">
      <formula>$A57</formula>
    </cfRule>
  </conditionalFormatting>
  <conditionalFormatting sqref="E21:G31 E33:G36">
    <cfRule type="cellIs" dxfId="184" priority="1804" operator="notEqual">
      <formula>$A21</formula>
    </cfRule>
  </conditionalFormatting>
  <conditionalFormatting sqref="E15">
    <cfRule type="cellIs" dxfId="183" priority="1801" operator="notEqual">
      <formula>$A15</formula>
    </cfRule>
  </conditionalFormatting>
  <conditionalFormatting sqref="E19">
    <cfRule type="cellIs" dxfId="182" priority="1800" operator="notEqual">
      <formula>$A19</formula>
    </cfRule>
  </conditionalFormatting>
  <conditionalFormatting sqref="E20">
    <cfRule type="cellIs" dxfId="181" priority="1799" operator="notEqual">
      <formula>$A20</formula>
    </cfRule>
  </conditionalFormatting>
  <conditionalFormatting sqref="E12">
    <cfRule type="cellIs" dxfId="180" priority="1798" operator="notEqual">
      <formula>$A12</formula>
    </cfRule>
  </conditionalFormatting>
  <conditionalFormatting sqref="E15">
    <cfRule type="cellIs" dxfId="179" priority="1803" operator="notEqual">
      <formula>$A15</formula>
    </cfRule>
  </conditionalFormatting>
  <conditionalFormatting sqref="E16:E18 E10:E11 E14">
    <cfRule type="cellIs" dxfId="178" priority="1802" operator="notEqual">
      <formula>$A10</formula>
    </cfRule>
  </conditionalFormatting>
  <conditionalFormatting sqref="E8:E9">
    <cfRule type="cellIs" dxfId="177" priority="1797" operator="notEqual">
      <formula>$A8</formula>
    </cfRule>
  </conditionalFormatting>
  <conditionalFormatting sqref="F15">
    <cfRule type="cellIs" dxfId="176" priority="1795" operator="notEqual">
      <formula>$A15</formula>
    </cfRule>
  </conditionalFormatting>
  <conditionalFormatting sqref="F12 F10 F14">
    <cfRule type="cellIs" dxfId="175" priority="1796" operator="notEqual">
      <formula>$A10</formula>
    </cfRule>
  </conditionalFormatting>
  <conditionalFormatting sqref="F8:F11 F16:F18">
    <cfRule type="cellIs" dxfId="174" priority="1794" operator="notEqual">
      <formula>$A8</formula>
    </cfRule>
  </conditionalFormatting>
  <conditionalFormatting sqref="F15">
    <cfRule type="cellIs" dxfId="173" priority="1793" operator="notEqual">
      <formula>$A15</formula>
    </cfRule>
  </conditionalFormatting>
  <conditionalFormatting sqref="F19">
    <cfRule type="cellIs" dxfId="172" priority="1792" operator="notEqual">
      <formula>$A19</formula>
    </cfRule>
  </conditionalFormatting>
  <conditionalFormatting sqref="F20">
    <cfRule type="cellIs" dxfId="171" priority="1791" operator="notEqual">
      <formula>$A20</formula>
    </cfRule>
  </conditionalFormatting>
  <conditionalFormatting sqref="F14">
    <cfRule type="cellIs" dxfId="170" priority="1790" operator="notEqual">
      <formula>$A14</formula>
    </cfRule>
  </conditionalFormatting>
  <conditionalFormatting sqref="F14">
    <cfRule type="cellIs" dxfId="169" priority="1789" operator="notEqual">
      <formula>$A14</formula>
    </cfRule>
  </conditionalFormatting>
  <conditionalFormatting sqref="G15">
    <cfRule type="cellIs" dxfId="168" priority="1788" operator="notEqual">
      <formula>$A15</formula>
    </cfRule>
  </conditionalFormatting>
  <conditionalFormatting sqref="G16:G18 G10:G11 G14">
    <cfRule type="cellIs" dxfId="167" priority="1787" operator="notEqual">
      <formula>$A10</formula>
    </cfRule>
  </conditionalFormatting>
  <conditionalFormatting sqref="G15">
    <cfRule type="cellIs" dxfId="166" priority="1786" operator="notEqual">
      <formula>$A15</formula>
    </cfRule>
  </conditionalFormatting>
  <conditionalFormatting sqref="G19">
    <cfRule type="cellIs" dxfId="165" priority="1785" operator="notEqual">
      <formula>$A19</formula>
    </cfRule>
  </conditionalFormatting>
  <conditionalFormatting sqref="G20">
    <cfRule type="cellIs" dxfId="164" priority="1784" operator="notEqual">
      <formula>$A20</formula>
    </cfRule>
  </conditionalFormatting>
  <conditionalFormatting sqref="G12">
    <cfRule type="cellIs" dxfId="163" priority="1783" operator="notEqual">
      <formula>$A12</formula>
    </cfRule>
  </conditionalFormatting>
  <conditionalFormatting sqref="G8:G9">
    <cfRule type="cellIs" dxfId="162" priority="1782" operator="notEqual">
      <formula>$A8</formula>
    </cfRule>
  </conditionalFormatting>
  <conditionalFormatting sqref="G14">
    <cfRule type="cellIs" dxfId="161" priority="1781" operator="notEqual">
      <formula>$A14</formula>
    </cfRule>
  </conditionalFormatting>
  <conditionalFormatting sqref="E13">
    <cfRule type="cellIs" dxfId="160" priority="1780" operator="notEqual">
      <formula>$A13</formula>
    </cfRule>
  </conditionalFormatting>
  <conditionalFormatting sqref="F13">
    <cfRule type="cellIs" dxfId="159" priority="1779" operator="notEqual">
      <formula>$A13</formula>
    </cfRule>
  </conditionalFormatting>
  <conditionalFormatting sqref="E354:E357">
    <cfRule type="cellIs" dxfId="158" priority="1772" operator="notEqual">
      <formula>$A350</formula>
    </cfRule>
  </conditionalFormatting>
  <conditionalFormatting sqref="F354:F357">
    <cfRule type="cellIs" dxfId="157" priority="1771" operator="notEqual">
      <formula>$A350</formula>
    </cfRule>
  </conditionalFormatting>
  <conditionalFormatting sqref="G354:G355">
    <cfRule type="cellIs" dxfId="156" priority="1770" operator="notEqual">
      <formula>$A350</formula>
    </cfRule>
  </conditionalFormatting>
  <conditionalFormatting sqref="G356:G357">
    <cfRule type="cellIs" dxfId="155" priority="1769" operator="notEqual">
      <formula>$A352</formula>
    </cfRule>
  </conditionalFormatting>
  <conditionalFormatting sqref="E381:E382">
    <cfRule type="cellIs" dxfId="154" priority="1768" operator="notEqual">
      <formula>$A361</formula>
    </cfRule>
  </conditionalFormatting>
  <conditionalFormatting sqref="E379:E380">
    <cfRule type="cellIs" dxfId="153" priority="1767" operator="notEqual">
      <formula>$A359</formula>
    </cfRule>
  </conditionalFormatting>
  <conditionalFormatting sqref="F381:F382">
    <cfRule type="cellIs" dxfId="152" priority="1766" operator="notEqual">
      <formula>$A361</formula>
    </cfRule>
  </conditionalFormatting>
  <conditionalFormatting sqref="F379:F380">
    <cfRule type="cellIs" dxfId="151" priority="1765" operator="notEqual">
      <formula>$A359</formula>
    </cfRule>
  </conditionalFormatting>
  <conditionalFormatting sqref="G381:G382">
    <cfRule type="cellIs" dxfId="150" priority="1764" operator="notEqual">
      <formula>$A361</formula>
    </cfRule>
  </conditionalFormatting>
  <conditionalFormatting sqref="G379:G380">
    <cfRule type="cellIs" dxfId="149" priority="1763" operator="notEqual">
      <formula>$A359</formula>
    </cfRule>
  </conditionalFormatting>
  <conditionalFormatting sqref="E47:G48">
    <cfRule type="cellIs" dxfId="148" priority="1762" operator="notEqual">
      <formula>$A47</formula>
    </cfRule>
  </conditionalFormatting>
  <conditionalFormatting sqref="E58:G58">
    <cfRule type="cellIs" dxfId="147" priority="1760" operator="notEqual">
      <formula>$A58</formula>
    </cfRule>
  </conditionalFormatting>
  <conditionalFormatting sqref="E59:G59">
    <cfRule type="cellIs" dxfId="146" priority="1759" operator="notEqual">
      <formula>$A59</formula>
    </cfRule>
  </conditionalFormatting>
  <conditionalFormatting sqref="G32">
    <cfRule type="cellIs" dxfId="145" priority="1757" operator="notEqual">
      <formula>$A32</formula>
    </cfRule>
  </conditionalFormatting>
  <conditionalFormatting sqref="E32:G32">
    <cfRule type="cellIs" dxfId="144" priority="1756" operator="notEqual">
      <formula>$A32</formula>
    </cfRule>
  </conditionalFormatting>
  <conditionalFormatting sqref="J60:J64 J51:J53 J9 J45">
    <cfRule type="cellIs" dxfId="143" priority="1755" operator="notEqual">
      <formula>$A9</formula>
    </cfRule>
  </conditionalFormatting>
  <conditionalFormatting sqref="J364:J366">
    <cfRule type="cellIs" dxfId="142" priority="1754" operator="notEqual">
      <formula>$A360</formula>
    </cfRule>
  </conditionalFormatting>
  <conditionalFormatting sqref="J371:J374">
    <cfRule type="cellIs" dxfId="141" priority="1753" operator="notEqual">
      <formula>$A359</formula>
    </cfRule>
  </conditionalFormatting>
  <conditionalFormatting sqref="J363">
    <cfRule type="cellIs" dxfId="140" priority="1752" operator="notEqual">
      <formula>$A359</formula>
    </cfRule>
  </conditionalFormatting>
  <conditionalFormatting sqref="J13">
    <cfRule type="cellIs" dxfId="139" priority="1741" operator="notEqual">
      <formula>$A13</formula>
    </cfRule>
  </conditionalFormatting>
  <conditionalFormatting sqref="J13">
    <cfRule type="cellIs" dxfId="138" priority="1740" operator="notEqual">
      <formula>$A13</formula>
    </cfRule>
  </conditionalFormatting>
  <conditionalFormatting sqref="J22:J35">
    <cfRule type="cellIs" dxfId="137" priority="1751" operator="notEqual">
      <formula>$A22</formula>
    </cfRule>
  </conditionalFormatting>
  <conditionalFormatting sqref="J14">
    <cfRule type="cellIs" dxfId="136" priority="1743" operator="notEqual">
      <formula>$A14</formula>
    </cfRule>
  </conditionalFormatting>
  <conditionalFormatting sqref="J15">
    <cfRule type="cellIs" dxfId="135" priority="1745" operator="notEqual">
      <formula>$A15</formula>
    </cfRule>
  </conditionalFormatting>
  <conditionalFormatting sqref="J12">
    <cfRule type="cellIs" dxfId="134" priority="1744" operator="notEqual">
      <formula>$A12</formula>
    </cfRule>
  </conditionalFormatting>
  <conditionalFormatting sqref="J10 J14">
    <cfRule type="cellIs" dxfId="133" priority="1750" operator="notEqual">
      <formula>$A10</formula>
    </cfRule>
  </conditionalFormatting>
  <conditionalFormatting sqref="J8:J11 J16:J18 J20">
    <cfRule type="cellIs" dxfId="132" priority="1749" operator="notEqual">
      <formula>$A8</formula>
    </cfRule>
  </conditionalFormatting>
  <conditionalFormatting sqref="J15">
    <cfRule type="cellIs" dxfId="131" priority="1748" operator="notEqual">
      <formula>$A15</formula>
    </cfRule>
  </conditionalFormatting>
  <conditionalFormatting sqref="J19">
    <cfRule type="cellIs" dxfId="130" priority="1747" operator="notEqual">
      <formula>$A19</formula>
    </cfRule>
  </conditionalFormatting>
  <conditionalFormatting sqref="J21">
    <cfRule type="cellIs" dxfId="129" priority="1746" operator="notEqual">
      <formula>$A21</formula>
    </cfRule>
  </conditionalFormatting>
  <conditionalFormatting sqref="J14">
    <cfRule type="cellIs" dxfId="128" priority="1742" operator="notEqual">
      <formula>$A14</formula>
    </cfRule>
  </conditionalFormatting>
  <conditionalFormatting sqref="J354:J357">
    <cfRule type="cellIs" dxfId="127" priority="1739" operator="notEqual">
      <formula>$A350</formula>
    </cfRule>
  </conditionalFormatting>
  <conditionalFormatting sqref="J381:J382">
    <cfRule type="cellIs" dxfId="126" priority="1738" operator="notEqual">
      <formula>$A361</formula>
    </cfRule>
  </conditionalFormatting>
  <conditionalFormatting sqref="J379:J380">
    <cfRule type="cellIs" dxfId="125" priority="1737" operator="notEqual">
      <formula>$A359</formula>
    </cfRule>
  </conditionalFormatting>
  <conditionalFormatting sqref="J57">
    <cfRule type="cellIs" dxfId="124" priority="1735" operator="notEqual">
      <formula>$A57</formula>
    </cfRule>
  </conditionalFormatting>
  <conditionalFormatting sqref="J57">
    <cfRule type="cellIs" dxfId="123" priority="1734" operator="notEqual">
      <formula>$A57</formula>
    </cfRule>
  </conditionalFormatting>
  <conditionalFormatting sqref="J58">
    <cfRule type="cellIs" dxfId="122" priority="1733" operator="notEqual">
      <formula>$A58</formula>
    </cfRule>
  </conditionalFormatting>
  <conditionalFormatting sqref="J69">
    <cfRule type="cellIs" dxfId="121" priority="1732" operator="notEqual">
      <formula>$A69</formula>
    </cfRule>
  </conditionalFormatting>
  <conditionalFormatting sqref="J59">
    <cfRule type="cellIs" dxfId="120" priority="1731" operator="notEqual">
      <formula>$A59</formula>
    </cfRule>
  </conditionalFormatting>
  <conditionalFormatting sqref="J36">
    <cfRule type="cellIs" dxfId="119" priority="1730" operator="notEqual">
      <formula>$A36</formula>
    </cfRule>
  </conditionalFormatting>
  <conditionalFormatting sqref="J37">
    <cfRule type="cellIs" dxfId="118" priority="1729" operator="notEqual">
      <formula>$A37</formula>
    </cfRule>
  </conditionalFormatting>
  <conditionalFormatting sqref="K45 K9 K51:K53 K60:K64">
    <cfRule type="cellIs" dxfId="117" priority="1728" operator="notEqual">
      <formula>$A9</formula>
    </cfRule>
  </conditionalFormatting>
  <conditionalFormatting sqref="K364:K366">
    <cfRule type="cellIs" dxfId="116" priority="1727" operator="notEqual">
      <formula>$A360</formula>
    </cfRule>
  </conditionalFormatting>
  <conditionalFormatting sqref="K371:K374">
    <cfRule type="cellIs" dxfId="115" priority="1726" operator="notEqual">
      <formula>$A359</formula>
    </cfRule>
  </conditionalFormatting>
  <conditionalFormatting sqref="K363">
    <cfRule type="cellIs" dxfId="114" priority="1725" operator="notEqual">
      <formula>$A359</formula>
    </cfRule>
  </conditionalFormatting>
  <conditionalFormatting sqref="K13">
    <cfRule type="cellIs" dxfId="113" priority="1714" operator="notEqual">
      <formula>$A13</formula>
    </cfRule>
  </conditionalFormatting>
  <conditionalFormatting sqref="K13">
    <cfRule type="cellIs" dxfId="112" priority="1713" operator="notEqual">
      <formula>$A13</formula>
    </cfRule>
  </conditionalFormatting>
  <conditionalFormatting sqref="K22:K35">
    <cfRule type="cellIs" dxfId="111" priority="1724" operator="notEqual">
      <formula>$A22</formula>
    </cfRule>
  </conditionalFormatting>
  <conditionalFormatting sqref="K14">
    <cfRule type="cellIs" dxfId="110" priority="1716" operator="notEqual">
      <formula>$A14</formula>
    </cfRule>
  </conditionalFormatting>
  <conditionalFormatting sqref="K15">
    <cfRule type="cellIs" dxfId="109" priority="1718" operator="notEqual">
      <formula>$A15</formula>
    </cfRule>
  </conditionalFormatting>
  <conditionalFormatting sqref="K12">
    <cfRule type="cellIs" dxfId="108" priority="1717" operator="notEqual">
      <formula>$A12</formula>
    </cfRule>
  </conditionalFormatting>
  <conditionalFormatting sqref="K10 K14">
    <cfRule type="cellIs" dxfId="107" priority="1723" operator="notEqual">
      <formula>$A10</formula>
    </cfRule>
  </conditionalFormatting>
  <conditionalFormatting sqref="K8:K11 K16:K18 K20">
    <cfRule type="cellIs" dxfId="106" priority="1722" operator="notEqual">
      <formula>$A8</formula>
    </cfRule>
  </conditionalFormatting>
  <conditionalFormatting sqref="K15">
    <cfRule type="cellIs" dxfId="105" priority="1721" operator="notEqual">
      <formula>$A15</formula>
    </cfRule>
  </conditionalFormatting>
  <conditionalFormatting sqref="K19">
    <cfRule type="cellIs" dxfId="104" priority="1720" operator="notEqual">
      <formula>$A19</formula>
    </cfRule>
  </conditionalFormatting>
  <conditionalFormatting sqref="K21">
    <cfRule type="cellIs" dxfId="103" priority="1719" operator="notEqual">
      <formula>$A21</formula>
    </cfRule>
  </conditionalFormatting>
  <conditionalFormatting sqref="K14">
    <cfRule type="cellIs" dxfId="102" priority="1715" operator="notEqual">
      <formula>$A14</formula>
    </cfRule>
  </conditionalFormatting>
  <conditionalFormatting sqref="K354:K357">
    <cfRule type="cellIs" dxfId="101" priority="1712" operator="notEqual">
      <formula>$A350</formula>
    </cfRule>
  </conditionalFormatting>
  <conditionalFormatting sqref="K381:K382">
    <cfRule type="cellIs" dxfId="100" priority="1711" operator="notEqual">
      <formula>$A361</formula>
    </cfRule>
  </conditionalFormatting>
  <conditionalFormatting sqref="K379:K380">
    <cfRule type="cellIs" dxfId="99" priority="1710" operator="notEqual">
      <formula>$A359</formula>
    </cfRule>
  </conditionalFormatting>
  <conditionalFormatting sqref="K57">
    <cfRule type="cellIs" dxfId="98" priority="1708" operator="notEqual">
      <formula>$A57</formula>
    </cfRule>
  </conditionalFormatting>
  <conditionalFormatting sqref="K57">
    <cfRule type="cellIs" dxfId="97" priority="1707" operator="notEqual">
      <formula>$A57</formula>
    </cfRule>
  </conditionalFormatting>
  <conditionalFormatting sqref="K58">
    <cfRule type="cellIs" dxfId="96" priority="1706" operator="notEqual">
      <formula>$A58</formula>
    </cfRule>
  </conditionalFormatting>
  <conditionalFormatting sqref="K69">
    <cfRule type="cellIs" dxfId="95" priority="1705" operator="notEqual">
      <formula>$A69</formula>
    </cfRule>
  </conditionalFormatting>
  <conditionalFormatting sqref="K59">
    <cfRule type="cellIs" dxfId="94" priority="1704" operator="notEqual">
      <formula>$A59</formula>
    </cfRule>
  </conditionalFormatting>
  <conditionalFormatting sqref="K36">
    <cfRule type="cellIs" dxfId="93" priority="1703" operator="notEqual">
      <formula>$A36</formula>
    </cfRule>
  </conditionalFormatting>
  <conditionalFormatting sqref="K37">
    <cfRule type="cellIs" dxfId="92" priority="1702" operator="notEqual">
      <formula>$A37</formula>
    </cfRule>
  </conditionalFormatting>
  <conditionalFormatting sqref="I51 I53 I60:I64">
    <cfRule type="cellIs" dxfId="91" priority="1701" operator="notEqual">
      <formula>$A51</formula>
    </cfRule>
  </conditionalFormatting>
  <conditionalFormatting sqref="I45">
    <cfRule type="cellIs" dxfId="90" priority="1700" operator="equal">
      <formula>""</formula>
    </cfRule>
  </conditionalFormatting>
  <conditionalFormatting sqref="I45">
    <cfRule type="cellIs" dxfId="89" priority="1699" operator="notEqual">
      <formula>$A45</formula>
    </cfRule>
  </conditionalFormatting>
  <conditionalFormatting sqref="I15">
    <cfRule type="cellIs" dxfId="88" priority="1691" operator="notEqual">
      <formula>$A15</formula>
    </cfRule>
  </conditionalFormatting>
  <conditionalFormatting sqref="I16:I18 I14 I11">
    <cfRule type="cellIs" dxfId="87" priority="1690" operator="notEqual">
      <formula>$A11</formula>
    </cfRule>
  </conditionalFormatting>
  <conditionalFormatting sqref="I15">
    <cfRule type="cellIs" dxfId="86" priority="1689" operator="notEqual">
      <formula>$A15</formula>
    </cfRule>
  </conditionalFormatting>
  <conditionalFormatting sqref="I19">
    <cfRule type="cellIs" dxfId="85" priority="1688" operator="notEqual">
      <formula>$A19</formula>
    </cfRule>
  </conditionalFormatting>
  <conditionalFormatting sqref="I20">
    <cfRule type="cellIs" dxfId="84" priority="1687" operator="notEqual">
      <formula>$A20</formula>
    </cfRule>
  </conditionalFormatting>
  <conditionalFormatting sqref="I363:I366">
    <cfRule type="cellIs" dxfId="83" priority="1698" operator="notEqual">
      <formula>$A359</formula>
    </cfRule>
  </conditionalFormatting>
  <conditionalFormatting sqref="I371:I374">
    <cfRule type="cellIs" dxfId="82" priority="1697" operator="notEqual">
      <formula>$A359</formula>
    </cfRule>
  </conditionalFormatting>
  <conditionalFormatting sqref="I13">
    <cfRule type="cellIs" dxfId="81" priority="1681" operator="notEqual">
      <formula>$A13</formula>
    </cfRule>
  </conditionalFormatting>
  <conditionalFormatting sqref="I13">
    <cfRule type="cellIs" dxfId="80" priority="1680" operator="notEqual">
      <formula>$A13</formula>
    </cfRule>
  </conditionalFormatting>
  <conditionalFormatting sqref="I34">
    <cfRule type="cellIs" dxfId="79" priority="1696" operator="notEqual">
      <formula>$A34</formula>
    </cfRule>
  </conditionalFormatting>
  <conditionalFormatting sqref="I9">
    <cfRule type="cellIs" dxfId="78" priority="1695" operator="notEqual">
      <formula>$A9</formula>
    </cfRule>
  </conditionalFormatting>
  <conditionalFormatting sqref="I9">
    <cfRule type="cellIs" dxfId="77" priority="1694" operator="notEqual">
      <formula>$A9</formula>
    </cfRule>
  </conditionalFormatting>
  <conditionalFormatting sqref="I24 I14 I30">
    <cfRule type="cellIs" dxfId="76" priority="1693" operator="equal">
      <formula>""</formula>
    </cfRule>
  </conditionalFormatting>
  <conditionalFormatting sqref="I14 I21:I35">
    <cfRule type="cellIs" dxfId="75" priority="1692" operator="notEqual">
      <formula>$A14</formula>
    </cfRule>
  </conditionalFormatting>
  <conditionalFormatting sqref="I12">
    <cfRule type="cellIs" dxfId="74" priority="1686" operator="notEqual">
      <formula>$A12</formula>
    </cfRule>
  </conditionalFormatting>
  <conditionalFormatting sqref="I8:I9">
    <cfRule type="cellIs" dxfId="73" priority="1685" operator="notEqual">
      <formula>$A8</formula>
    </cfRule>
  </conditionalFormatting>
  <conditionalFormatting sqref="I10">
    <cfRule type="cellIs" dxfId="72" priority="1684" operator="notEqual">
      <formula>$A10</formula>
    </cfRule>
  </conditionalFormatting>
  <conditionalFormatting sqref="I10">
    <cfRule type="cellIs" dxfId="71" priority="1683" operator="notEqual">
      <formula>$A10</formula>
    </cfRule>
  </conditionalFormatting>
  <conditionalFormatting sqref="I13">
    <cfRule type="cellIs" dxfId="70" priority="1682" operator="equal">
      <formula>""</formula>
    </cfRule>
  </conditionalFormatting>
  <conditionalFormatting sqref="I354:I355">
    <cfRule type="cellIs" dxfId="69" priority="1678" operator="notEqual">
      <formula>$A350</formula>
    </cfRule>
  </conditionalFormatting>
  <conditionalFormatting sqref="I356:I357">
    <cfRule type="cellIs" dxfId="68" priority="1677" operator="notEqual">
      <formula>$A352</formula>
    </cfRule>
  </conditionalFormatting>
  <conditionalFormatting sqref="I381:I382">
    <cfRule type="cellIs" dxfId="67" priority="1676" operator="notEqual">
      <formula>$A361</formula>
    </cfRule>
  </conditionalFormatting>
  <conditionalFormatting sqref="I379:I380">
    <cfRule type="cellIs" dxfId="66" priority="1675" operator="notEqual">
      <formula>$A359</formula>
    </cfRule>
  </conditionalFormatting>
  <conditionalFormatting sqref="I51:I53">
    <cfRule type="cellIs" dxfId="65" priority="1674" operator="notEqual">
      <formula>$A51</formula>
    </cfRule>
  </conditionalFormatting>
  <conditionalFormatting sqref="I57">
    <cfRule type="cellIs" dxfId="64" priority="1672" operator="notEqual">
      <formula>$A57</formula>
    </cfRule>
  </conditionalFormatting>
  <conditionalFormatting sqref="I57">
    <cfRule type="cellIs" dxfId="63" priority="1671" operator="notEqual">
      <formula>$A57</formula>
    </cfRule>
  </conditionalFormatting>
  <conditionalFormatting sqref="I57">
    <cfRule type="cellIs" dxfId="62" priority="1670" operator="notEqual">
      <formula>$A57</formula>
    </cfRule>
  </conditionalFormatting>
  <conditionalFormatting sqref="I58">
    <cfRule type="cellIs" dxfId="61" priority="1669" operator="notEqual">
      <formula>$A58</formula>
    </cfRule>
  </conditionalFormatting>
  <conditionalFormatting sqref="I69">
    <cfRule type="cellIs" dxfId="60" priority="1668" operator="notEqual">
      <formula>$A69</formula>
    </cfRule>
  </conditionalFormatting>
  <conditionalFormatting sqref="I59">
    <cfRule type="cellIs" dxfId="59" priority="1667" operator="notEqual">
      <formula>$A59</formula>
    </cfRule>
  </conditionalFormatting>
  <conditionalFormatting sqref="I36">
    <cfRule type="cellIs" dxfId="58" priority="1666" operator="notEqual">
      <formula>$A36</formula>
    </cfRule>
  </conditionalFormatting>
  <conditionalFormatting sqref="I37">
    <cfRule type="cellIs" dxfId="57" priority="1665" operator="notEqual">
      <formula>$A37</formula>
    </cfRule>
  </conditionalFormatting>
  <conditionalFormatting sqref="H9 H51:H53 H60:H64">
    <cfRule type="cellIs" dxfId="56" priority="1664" operator="notEqual">
      <formula>$A9</formula>
    </cfRule>
  </conditionalFormatting>
  <conditionalFormatting sqref="H25">
    <cfRule type="cellIs" dxfId="55" priority="1659" operator="notEqual">
      <formula>$A25</formula>
    </cfRule>
  </conditionalFormatting>
  <conditionalFormatting sqref="H12 H10 H14">
    <cfRule type="cellIs" dxfId="54" priority="1657" operator="notEqual">
      <formula>$A10</formula>
    </cfRule>
  </conditionalFormatting>
  <conditionalFormatting sqref="H20">
    <cfRule type="cellIs" dxfId="53" priority="1652" operator="notEqual">
      <formula>$A20</formula>
    </cfRule>
  </conditionalFormatting>
  <conditionalFormatting sqref="H14">
    <cfRule type="cellIs" dxfId="52" priority="1650" operator="notEqual">
      <formula>$A14</formula>
    </cfRule>
  </conditionalFormatting>
  <conditionalFormatting sqref="H25">
    <cfRule type="cellIs" dxfId="51" priority="1649" operator="notEqual">
      <formula>$A25</formula>
    </cfRule>
  </conditionalFormatting>
  <conditionalFormatting sqref="H45">
    <cfRule type="cellIs" dxfId="50" priority="1663" operator="notEqual">
      <formula>$A45</formula>
    </cfRule>
  </conditionalFormatting>
  <conditionalFormatting sqref="H363:H366">
    <cfRule type="cellIs" dxfId="49" priority="1662" operator="notEqual">
      <formula>$A359</formula>
    </cfRule>
  </conditionalFormatting>
  <conditionalFormatting sqref="H371:H374">
    <cfRule type="cellIs" dxfId="48" priority="1661" operator="notEqual">
      <formula>$A359</formula>
    </cfRule>
  </conditionalFormatting>
  <conditionalFormatting sqref="H13">
    <cfRule type="cellIs" dxfId="47" priority="1648" operator="notEqual">
      <formula>$A13</formula>
    </cfRule>
  </conditionalFormatting>
  <conditionalFormatting sqref="H34">
    <cfRule type="cellIs" dxfId="46" priority="1660" operator="notEqual">
      <formula>$A34</formula>
    </cfRule>
  </conditionalFormatting>
  <conditionalFormatting sqref="H21:H24 H26:H35">
    <cfRule type="cellIs" dxfId="45" priority="1658" operator="notEqual">
      <formula>$A21</formula>
    </cfRule>
  </conditionalFormatting>
  <conditionalFormatting sqref="H15">
    <cfRule type="cellIs" dxfId="44" priority="1656" operator="notEqual">
      <formula>$A15</formula>
    </cfRule>
  </conditionalFormatting>
  <conditionalFormatting sqref="H8:H11 H16:H18">
    <cfRule type="cellIs" dxfId="43" priority="1655" operator="notEqual">
      <formula>$A8</formula>
    </cfRule>
  </conditionalFormatting>
  <conditionalFormatting sqref="H15">
    <cfRule type="cellIs" dxfId="42" priority="1654" operator="notEqual">
      <formula>$A15</formula>
    </cfRule>
  </conditionalFormatting>
  <conditionalFormatting sqref="H19">
    <cfRule type="cellIs" dxfId="41" priority="1653" operator="notEqual">
      <formula>$A19</formula>
    </cfRule>
  </conditionalFormatting>
  <conditionalFormatting sqref="H14">
    <cfRule type="cellIs" dxfId="40" priority="1651" operator="notEqual">
      <formula>$A14</formula>
    </cfRule>
  </conditionalFormatting>
  <conditionalFormatting sqref="H13">
    <cfRule type="cellIs" dxfId="39" priority="1647" operator="notEqual">
      <formula>$A13</formula>
    </cfRule>
  </conditionalFormatting>
  <conditionalFormatting sqref="H354:H357">
    <cfRule type="cellIs" dxfId="38" priority="1646" operator="notEqual">
      <formula>$A350</formula>
    </cfRule>
  </conditionalFormatting>
  <conditionalFormatting sqref="H381:H382">
    <cfRule type="cellIs" dxfId="37" priority="1645" operator="notEqual">
      <formula>$A361</formula>
    </cfRule>
  </conditionalFormatting>
  <conditionalFormatting sqref="H379:H380">
    <cfRule type="cellIs" dxfId="36" priority="1644" operator="notEqual">
      <formula>$A359</formula>
    </cfRule>
  </conditionalFormatting>
  <conditionalFormatting sqref="H57">
    <cfRule type="cellIs" dxfId="35" priority="1641" operator="notEqual">
      <formula>$A57</formula>
    </cfRule>
  </conditionalFormatting>
  <conditionalFormatting sqref="H57">
    <cfRule type="cellIs" dxfId="34" priority="1640" operator="notEqual">
      <formula>$A57</formula>
    </cfRule>
  </conditionalFormatting>
  <conditionalFormatting sqref="H58">
    <cfRule type="cellIs" dxfId="33" priority="1639" operator="notEqual">
      <formula>$A58</formula>
    </cfRule>
  </conditionalFormatting>
  <conditionalFormatting sqref="H69">
    <cfRule type="cellIs" dxfId="32" priority="1638" operator="notEqual">
      <formula>$A69</formula>
    </cfRule>
  </conditionalFormatting>
  <conditionalFormatting sqref="H59">
    <cfRule type="cellIs" dxfId="31" priority="1637" operator="notEqual">
      <formula>$A59</formula>
    </cfRule>
  </conditionalFormatting>
  <conditionalFormatting sqref="H36">
    <cfRule type="cellIs" dxfId="30" priority="1636" operator="notEqual">
      <formula>$A36</formula>
    </cfRule>
  </conditionalFormatting>
  <conditionalFormatting sqref="E37:K37">
    <cfRule type="cellIs" dxfId="29" priority="1635" operator="notEqual">
      <formula>$A37</formula>
    </cfRule>
  </conditionalFormatting>
  <conditionalFormatting sqref="D67">
    <cfRule type="cellIs" dxfId="28" priority="1107" operator="equal">
      <formula>""</formula>
    </cfRule>
  </conditionalFormatting>
  <conditionalFormatting sqref="I67">
    <cfRule type="cellIs" dxfId="27" priority="1099" operator="equal">
      <formula>""</formula>
    </cfRule>
  </conditionalFormatting>
  <conditionalFormatting sqref="D38">
    <cfRule type="cellIs" dxfId="26" priority="1066" operator="equal">
      <formula>""</formula>
    </cfRule>
  </conditionalFormatting>
  <conditionalFormatting sqref="I38">
    <cfRule type="cellIs" dxfId="25" priority="1058" operator="equal">
      <formula>""</formula>
    </cfRule>
  </conditionalFormatting>
  <conditionalFormatting sqref="D425:D428">
    <cfRule type="cellIs" dxfId="24" priority="1041" operator="equal">
      <formula>""</formula>
    </cfRule>
  </conditionalFormatting>
  <conditionalFormatting sqref="D433">
    <cfRule type="cellIs" dxfId="23" priority="1040" operator="equal">
      <formula>""</formula>
    </cfRule>
  </conditionalFormatting>
  <conditionalFormatting sqref="E425:L428">
    <cfRule type="cellIs" dxfId="22" priority="1039" operator="notEqual">
      <formula>$A405</formula>
    </cfRule>
  </conditionalFormatting>
  <conditionalFormatting sqref="L73">
    <cfRule type="cellIs" dxfId="21" priority="247" operator="notEqual">
      <formula>$A73</formula>
    </cfRule>
  </conditionalFormatting>
  <conditionalFormatting sqref="L73">
    <cfRule type="cellIs" dxfId="20" priority="236" operator="notEqual">
      <formula>$A73</formula>
    </cfRule>
  </conditionalFormatting>
  <conditionalFormatting sqref="E73:L73">
    <cfRule type="cellIs" dxfId="19" priority="142" operator="notEqual">
      <formula>$A73</formula>
    </cfRule>
  </conditionalFormatting>
  <conditionalFormatting sqref="F73">
    <cfRule type="cellIs" dxfId="18" priority="141" operator="notEqual">
      <formula>$A73</formula>
    </cfRule>
  </conditionalFormatting>
  <conditionalFormatting sqref="G73">
    <cfRule type="cellIs" dxfId="17" priority="140" operator="notEqual">
      <formula>$A73</formula>
    </cfRule>
  </conditionalFormatting>
  <conditionalFormatting sqref="J73">
    <cfRule type="cellIs" dxfId="16" priority="139" operator="notEqual">
      <formula>$A73</formula>
    </cfRule>
  </conditionalFormatting>
  <conditionalFormatting sqref="K73">
    <cfRule type="cellIs" dxfId="15" priority="138" operator="notEqual">
      <formula>$A73</formula>
    </cfRule>
  </conditionalFormatting>
  <conditionalFormatting sqref="I73">
    <cfRule type="cellIs" dxfId="14" priority="137" operator="notEqual">
      <formula>$A73</formula>
    </cfRule>
  </conditionalFormatting>
  <conditionalFormatting sqref="H73">
    <cfRule type="cellIs" dxfId="13" priority="136" operator="notEqual">
      <formula>$A73</formula>
    </cfRule>
  </conditionalFormatting>
  <conditionalFormatting sqref="A71:A72">
    <cfRule type="cellIs" dxfId="12" priority="133" operator="notEqual">
      <formula>$A71</formula>
    </cfRule>
  </conditionalFormatting>
  <conditionalFormatting sqref="L71">
    <cfRule type="cellIs" dxfId="11" priority="121" operator="notEqual">
      <formula>$A71</formula>
    </cfRule>
  </conditionalFormatting>
  <conditionalFormatting sqref="D72">
    <cfRule type="cellIs" dxfId="10" priority="85" operator="equal">
      <formula>""</formula>
    </cfRule>
  </conditionalFormatting>
  <conditionalFormatting sqref="E72:L72">
    <cfRule type="cellIs" dxfId="9" priority="61" operator="notEqual">
      <formula>$A72</formula>
    </cfRule>
  </conditionalFormatting>
  <conditionalFormatting sqref="F71">
    <cfRule type="cellIs" dxfId="8" priority="60" operator="notEqual">
      <formula>$A71</formula>
    </cfRule>
  </conditionalFormatting>
  <conditionalFormatting sqref="G71">
    <cfRule type="cellIs" dxfId="7" priority="59" operator="notEqual">
      <formula>$A71</formula>
    </cfRule>
  </conditionalFormatting>
  <conditionalFormatting sqref="J71">
    <cfRule type="cellIs" dxfId="6" priority="58" operator="notEqual">
      <formula>$A71</formula>
    </cfRule>
  </conditionalFormatting>
  <conditionalFormatting sqref="K71">
    <cfRule type="cellIs" dxfId="5" priority="57" operator="notEqual">
      <formula>$A71</formula>
    </cfRule>
  </conditionalFormatting>
  <conditionalFormatting sqref="I71">
    <cfRule type="cellIs" dxfId="4" priority="56" operator="notEqual">
      <formula>$A71</formula>
    </cfRule>
  </conditionalFormatting>
  <conditionalFormatting sqref="H71">
    <cfRule type="cellIs" dxfId="3" priority="55" operator="notEqual">
      <formula>$A71</formula>
    </cfRule>
  </conditionalFormatting>
  <dataValidations count="26">
    <dataValidation type="list" allowBlank="1" showInputMessage="1" showErrorMessage="1" sqref="J35:K35" xr:uid="{00000000-0002-0000-0A00-000000000000}">
      <formula1>"Fixed Input, Asset Yield, AIG Discount Curve"</formula1>
    </dataValidation>
    <dataValidation type="list" allowBlank="1" showInputMessage="1" showErrorMessage="1" sqref="E35:I35 L35" xr:uid="{00000000-0002-0000-0A00-000001000000}">
      <formula1>"Fixed Input, Asset Yield"</formula1>
    </dataValidation>
    <dataValidation type="list" allowBlank="1" showInputMessage="1" showErrorMessage="1" sqref="E13:L13" xr:uid="{00000000-0002-0000-0A00-000002000000}">
      <formula1>"CONSTANT_RATE,INDEX_GROWTH"</formula1>
    </dataValidation>
    <dataValidation type="list" allowBlank="1" showInputMessage="1" showErrorMessage="1" sqref="F65 H61:K61 H65:K65 E52:L52 E67:L67 E38:L38 E29:L31 F71:L71 L60:L61 F60:G61 E60" xr:uid="{00000000-0002-0000-0A00-000003000000}">
      <formula1>"Yes,No"</formula1>
    </dataValidation>
    <dataValidation type="list" allowBlank="1" showInputMessage="1" showErrorMessage="1" sqref="A69 E69:L69" xr:uid="{00000000-0002-0000-0A00-000004000000}">
      <formula1>"Allow Deduct,Not Allow Deduct"</formula1>
    </dataValidation>
    <dataValidation type="list" allowBlank="1" showInputMessage="1" showErrorMessage="1" sqref="A68 E68:L68" xr:uid="{00000000-0002-0000-0A00-000005000000}">
      <formula1>"Cap,No Cap"</formula1>
    </dataValidation>
    <dataValidation type="whole" allowBlank="1" showInputMessage="1" showErrorMessage="1" sqref="E37:K37" xr:uid="{00000000-0002-0000-0A00-000006000000}">
      <formula1>0</formula1>
      <formula2>99999</formula2>
    </dataValidation>
    <dataValidation type="whole" allowBlank="1" showInputMessage="1" showErrorMessage="1" sqref="E10:L10" xr:uid="{00000000-0002-0000-0A00-000007000000}">
      <formula1>0</formula1>
      <formula2>9999</formula2>
    </dataValidation>
    <dataValidation type="list" allowBlank="1" showInputMessage="1" showErrorMessage="1" sqref="E26:L26" xr:uid="{00000000-0002-0000-0A00-000008000000}">
      <formula1>"Anniversary, Continuous"</formula1>
    </dataValidation>
    <dataValidation type="list" allowBlank="1" showInputMessage="1" showErrorMessage="1" sqref="E24:L24" xr:uid="{00000000-0002-0000-0A00-000009000000}">
      <formula1>"Simple, Compound"</formula1>
    </dataValidation>
    <dataValidation type="list" allowBlank="1" showInputMessage="1" showErrorMessage="1" sqref="E15:L15" xr:uid="{00000000-0002-0000-0A00-00000A000000}">
      <formula1>"Not Applicable, Ratchet"</formula1>
    </dataValidation>
    <dataValidation type="list" allowBlank="1" showInputMessage="1" showErrorMessage="1" sqref="E11:L11" xr:uid="{00000000-0002-0000-0A00-00000B000000}">
      <formula1>"Not Applicable, Return, Rollup, Stepup"</formula1>
    </dataValidation>
    <dataValidation type="list" allowBlank="1" showInputMessage="1" showErrorMessage="1" sqref="E8:L8" xr:uid="{00000000-0002-0000-0A00-00000C000000}">
      <formula1>"Life, Finite"</formula1>
    </dataValidation>
    <dataValidation type="list" allowBlank="1" showInputMessage="1" showErrorMessage="1" sqref="E371:L374 E363:L366 E379:L382" xr:uid="{00000000-0002-0000-0A00-00000D000000}">
      <formula1>"NO_REDUCTION,DOLLARS,CONTRACT_PCT"</formula1>
    </dataValidation>
    <dataValidation type="list" allowBlank="1" showInputMessage="1" showErrorMessage="1" sqref="E354:L357" xr:uid="{00000000-0002-0000-0A00-00000E000000}">
      <formula1>"SIMPLE,COMPOUND"</formula1>
    </dataValidation>
    <dataValidation type="list" allowBlank="1" showInputMessage="1" showErrorMessage="1" sqref="E346:L349" xr:uid="{00000000-0002-0000-0A00-00000F000000}">
      <formula1>"FULL,NET,ZERO"</formula1>
    </dataValidation>
    <dataValidation type="list" allowBlank="1" showInputMessage="1" showErrorMessage="1" sqref="E45:L45" xr:uid="{00000000-0002-0000-0A00-000010000000}">
      <formula1>"Include In Base, Exclude From Base"</formula1>
    </dataValidation>
    <dataValidation type="list" allowBlank="1" showInputMessage="1" showErrorMessage="1" sqref="E9:L9" xr:uid="{00000000-0002-0000-0A00-000011000000}">
      <formula1>"Standard,NYIA GLB Base"</formula1>
    </dataValidation>
    <dataValidation type="list" allowBlank="1" showInputMessage="1" showErrorMessage="1" sqref="E34:L34" xr:uid="{00000000-0002-0000-0A00-000012000000}">
      <formula1>"Age at First Withdrawal,Issue Age and Duration"</formula1>
    </dataValidation>
    <dataValidation type="list" allowBlank="1" showInputMessage="1" showErrorMessage="1" sqref="E51:L51" xr:uid="{00000000-0002-0000-0A00-000013000000}">
      <formula1>"None,Three Month Average,Highest Monthly Value"</formula1>
    </dataValidation>
    <dataValidation type="list" showInputMessage="1" showErrorMessage="1" sqref="E77:L83" xr:uid="{00000000-0002-0000-0A00-000014000000}">
      <formula1>"Yes,No"</formula1>
    </dataValidation>
    <dataValidation type="list" allowBlank="1" showInputMessage="1" showErrorMessage="1" sqref="E62:L62 E72:L72 E73:L73" xr:uid="{00000000-0002-0000-0A00-000015000000}">
      <formula1>"Yes, No"</formula1>
    </dataValidation>
    <dataValidation type="list" allowBlank="1" showInputMessage="1" showErrorMessage="1" sqref="E58:L58" xr:uid="{00000000-0002-0000-0A00-000016000000}">
      <formula1>"Fund Value, GMWB Base, Max Amount,X5 Daily Benefit Base"</formula1>
    </dataValidation>
    <dataValidation type="list" allowBlank="1" showInputMessage="1" showErrorMessage="1" sqref="E59:L59" xr:uid="{00000000-0002-0000-0A00-000017000000}">
      <formula1>"Annually,Quarterly"</formula1>
    </dataValidation>
    <dataValidation type="list" allowBlank="1" showInputMessage="1" showErrorMessage="1" sqref="E425:L428" xr:uid="{00000000-0002-0000-0A00-000018000000}">
      <formula1>"No Reduction,Percent Income Base, Excess Withdrawal Percent Income Base"</formula1>
    </dataValidation>
    <dataValidation type="list" allowBlank="1" showInputMessage="1" showErrorMessage="1" sqref="E32:M32" xr:uid="{00000000-0002-0000-0A00-000019000000}">
      <formula1>"Premium, GMWB Base, GMWB Base Adjustable"</formula1>
    </dataValidation>
  </dataValidations>
  <hyperlinks>
    <hyperlink ref="A1" location="'Table of Contents'!A1" display="Go to TOC" xr:uid="{00000000-0004-0000-0A00-000000000000}"/>
    <hyperlink ref="B17" location="TblIndexByPlanCode" display="gmwb_mort_base_tbl_id" xr:uid="{00000000-0004-0000-0A00-000001000000}"/>
    <hyperlink ref="B18" location="TblIndexByPlanCode" display="gmwb_mort_base_tbl_id" xr:uid="{00000000-0004-0000-0A00-000002000000}"/>
  </hyperlinks>
  <pageMargins left="0.7" right="0.7" top="0.75" bottom="0.75" header="0.3" footer="0.3"/>
  <pageSetup orientation="portrait" r:id="rId1"/>
  <customProperties>
    <customPr name="EpmWorksheetKeyString_GUID" r:id="rId2"/>
  </customPropertie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3"/>
  <dimension ref="A1:H44"/>
  <sheetViews>
    <sheetView topLeftCell="A16" zoomScaleNormal="100" workbookViewId="0">
      <selection activeCell="L18" sqref="L18"/>
    </sheetView>
  </sheetViews>
  <sheetFormatPr defaultColWidth="8.81640625" defaultRowHeight="12.5"/>
  <cols>
    <col min="1" max="1" width="8.81640625" style="164"/>
    <col min="2" max="2" width="22" style="164" customWidth="1"/>
    <col min="3" max="3" width="20.453125" style="164" customWidth="1"/>
    <col min="4" max="4" width="20.54296875" style="164" customWidth="1"/>
    <col min="5" max="5" width="16.453125" style="164" customWidth="1"/>
    <col min="6" max="6" width="15.54296875" style="164" customWidth="1"/>
    <col min="7" max="7" width="14.453125" style="164" customWidth="1"/>
    <col min="8" max="8" width="12.54296875" style="164" bestFit="1" customWidth="1"/>
    <col min="9" max="9" width="14.81640625" style="164" customWidth="1"/>
    <col min="10" max="11" width="12.81640625" style="164" bestFit="1" customWidth="1"/>
    <col min="12" max="13" width="12.54296875" style="164" bestFit="1" customWidth="1"/>
    <col min="14" max="16384" width="8.81640625" style="164"/>
  </cols>
  <sheetData>
    <row r="1" spans="1:8" ht="13">
      <c r="A1" s="401" t="s">
        <v>488</v>
      </c>
    </row>
    <row r="2" spans="1:8">
      <c r="B2" s="164" t="str">
        <f t="array" aca="1" ref="B2" ca="1">GetNameRange(C3)</f>
        <v>gmwb_wdl_utilization_primary_transition_prob_aig</v>
      </c>
    </row>
    <row r="3" spans="1:8" ht="26.5" customHeight="1">
      <c r="B3" s="372"/>
      <c r="C3" s="373" t="s">
        <v>506</v>
      </c>
      <c r="D3" s="374" t="s">
        <v>492</v>
      </c>
      <c r="E3" s="398" t="s">
        <v>489</v>
      </c>
      <c r="F3" s="399" t="s">
        <v>490</v>
      </c>
      <c r="G3" s="400" t="s">
        <v>491</v>
      </c>
    </row>
    <row r="4" spans="1:8" ht="14.5">
      <c r="B4" s="370" t="s">
        <v>392</v>
      </c>
      <c r="C4" s="376" t="s">
        <v>507</v>
      </c>
      <c r="D4" s="377" t="s">
        <v>489</v>
      </c>
      <c r="E4" s="378">
        <v>0</v>
      </c>
      <c r="F4" s="379">
        <v>0.4</v>
      </c>
      <c r="G4" s="380">
        <v>0.6</v>
      </c>
      <c r="H4" s="364">
        <f t="shared" ref="H4:H15" si="0">SUM(E4:G4)</f>
        <v>1</v>
      </c>
    </row>
    <row r="5" spans="1:8" ht="14.5">
      <c r="B5" s="370" t="s">
        <v>392</v>
      </c>
      <c r="C5" s="376" t="s">
        <v>507</v>
      </c>
      <c r="D5" s="117" t="s">
        <v>490</v>
      </c>
      <c r="E5" s="381">
        <v>0.02</v>
      </c>
      <c r="F5" s="382">
        <v>0.95</v>
      </c>
      <c r="G5" s="383">
        <v>0.03</v>
      </c>
      <c r="H5" s="364">
        <f t="shared" si="0"/>
        <v>1</v>
      </c>
    </row>
    <row r="6" spans="1:8" ht="14.5">
      <c r="B6" s="370" t="s">
        <v>392</v>
      </c>
      <c r="C6" s="376" t="s">
        <v>507</v>
      </c>
      <c r="D6" s="117" t="s">
        <v>491</v>
      </c>
      <c r="E6" s="381">
        <v>0.02</v>
      </c>
      <c r="F6" s="382">
        <v>0.38</v>
      </c>
      <c r="G6" s="383">
        <v>0.6</v>
      </c>
      <c r="H6" s="364">
        <f t="shared" si="0"/>
        <v>1</v>
      </c>
    </row>
    <row r="7" spans="1:8" ht="14.5">
      <c r="B7" s="370" t="s">
        <v>392</v>
      </c>
      <c r="C7" s="376" t="s">
        <v>508</v>
      </c>
      <c r="D7" s="377" t="s">
        <v>489</v>
      </c>
      <c r="E7" s="381">
        <v>0</v>
      </c>
      <c r="F7" s="382">
        <v>0.25</v>
      </c>
      <c r="G7" s="383">
        <v>0.75</v>
      </c>
      <c r="H7" s="364">
        <f t="shared" si="0"/>
        <v>1</v>
      </c>
    </row>
    <row r="8" spans="1:8" ht="14.5">
      <c r="B8" s="370" t="s">
        <v>392</v>
      </c>
      <c r="C8" s="376" t="s">
        <v>508</v>
      </c>
      <c r="D8" s="117" t="s">
        <v>490</v>
      </c>
      <c r="E8" s="381">
        <v>0.02</v>
      </c>
      <c r="F8" s="382">
        <v>0.93</v>
      </c>
      <c r="G8" s="383">
        <v>0.05</v>
      </c>
      <c r="H8" s="364">
        <f t="shared" si="0"/>
        <v>1</v>
      </c>
    </row>
    <row r="9" spans="1:8" ht="14.5">
      <c r="B9" s="371" t="s">
        <v>392</v>
      </c>
      <c r="C9" s="384" t="s">
        <v>508</v>
      </c>
      <c r="D9" s="369" t="s">
        <v>491</v>
      </c>
      <c r="E9" s="385">
        <v>0.04</v>
      </c>
      <c r="F9" s="386">
        <v>0.25</v>
      </c>
      <c r="G9" s="387">
        <v>0.71</v>
      </c>
      <c r="H9" s="364">
        <f t="shared" si="0"/>
        <v>1</v>
      </c>
    </row>
    <row r="10" spans="1:8" ht="14.5">
      <c r="B10" s="370" t="s">
        <v>526</v>
      </c>
      <c r="C10" s="410" t="s">
        <v>507</v>
      </c>
      <c r="D10" s="411" t="s">
        <v>489</v>
      </c>
      <c r="E10" s="412">
        <v>0</v>
      </c>
      <c r="F10" s="413">
        <v>0.4</v>
      </c>
      <c r="G10" s="414">
        <v>0.6</v>
      </c>
      <c r="H10" s="364">
        <f t="shared" si="0"/>
        <v>1</v>
      </c>
    </row>
    <row r="11" spans="1:8" ht="14.5">
      <c r="B11" s="370" t="s">
        <v>526</v>
      </c>
      <c r="C11" s="410" t="s">
        <v>507</v>
      </c>
      <c r="D11" s="117" t="s">
        <v>490</v>
      </c>
      <c r="E11" s="412">
        <v>0.02</v>
      </c>
      <c r="F11" s="413">
        <v>0.95</v>
      </c>
      <c r="G11" s="414">
        <v>0.03</v>
      </c>
      <c r="H11" s="364">
        <f t="shared" si="0"/>
        <v>1</v>
      </c>
    </row>
    <row r="12" spans="1:8" ht="14.5">
      <c r="B12" s="370" t="s">
        <v>526</v>
      </c>
      <c r="C12" s="410" t="s">
        <v>507</v>
      </c>
      <c r="D12" s="117" t="s">
        <v>491</v>
      </c>
      <c r="E12" s="412">
        <v>0.02</v>
      </c>
      <c r="F12" s="413">
        <v>0.38</v>
      </c>
      <c r="G12" s="414">
        <v>0.6</v>
      </c>
      <c r="H12" s="364">
        <f t="shared" si="0"/>
        <v>1</v>
      </c>
    </row>
    <row r="13" spans="1:8" ht="14.5">
      <c r="B13" s="370" t="s">
        <v>526</v>
      </c>
      <c r="C13" s="410" t="s">
        <v>508</v>
      </c>
      <c r="D13" s="411" t="s">
        <v>489</v>
      </c>
      <c r="E13" s="412">
        <v>0</v>
      </c>
      <c r="F13" s="413">
        <v>0.25</v>
      </c>
      <c r="G13" s="414">
        <v>0.75</v>
      </c>
      <c r="H13" s="364">
        <f t="shared" si="0"/>
        <v>1</v>
      </c>
    </row>
    <row r="14" spans="1:8" ht="14.5">
      <c r="B14" s="370" t="s">
        <v>526</v>
      </c>
      <c r="C14" s="410" t="s">
        <v>508</v>
      </c>
      <c r="D14" s="117" t="s">
        <v>490</v>
      </c>
      <c r="E14" s="412">
        <v>0.02</v>
      </c>
      <c r="F14" s="413">
        <v>0.93</v>
      </c>
      <c r="G14" s="414">
        <v>0.05</v>
      </c>
      <c r="H14" s="364">
        <f t="shared" si="0"/>
        <v>1</v>
      </c>
    </row>
    <row r="15" spans="1:8" ht="14.5">
      <c r="B15" s="371" t="s">
        <v>526</v>
      </c>
      <c r="C15" s="415" t="s">
        <v>508</v>
      </c>
      <c r="D15" s="369" t="s">
        <v>491</v>
      </c>
      <c r="E15" s="416">
        <v>0.04</v>
      </c>
      <c r="F15" s="417">
        <v>0.25</v>
      </c>
      <c r="G15" s="418">
        <v>0.71</v>
      </c>
      <c r="H15" s="364">
        <f t="shared" si="0"/>
        <v>1</v>
      </c>
    </row>
    <row r="17" spans="1:8">
      <c r="B17" s="164" t="str">
        <f t="array" aca="1" ref="B17" ca="1">GetNameRange(C18)</f>
        <v>gmwb_wdl_utilization_secondary_transition_prob_aig</v>
      </c>
    </row>
    <row r="18" spans="1:8" ht="26">
      <c r="B18" s="372"/>
      <c r="C18" s="373" t="s">
        <v>506</v>
      </c>
      <c r="D18" s="374" t="s">
        <v>492</v>
      </c>
      <c r="E18" s="398" t="s">
        <v>489</v>
      </c>
      <c r="F18" s="399" t="s">
        <v>490</v>
      </c>
      <c r="G18" s="400" t="s">
        <v>491</v>
      </c>
    </row>
    <row r="19" spans="1:8" ht="14.5">
      <c r="B19" s="370" t="s">
        <v>392</v>
      </c>
      <c r="C19" s="376" t="s">
        <v>507</v>
      </c>
      <c r="D19" s="377" t="s">
        <v>489</v>
      </c>
      <c r="E19" s="378">
        <v>0</v>
      </c>
      <c r="F19" s="379">
        <v>0.4</v>
      </c>
      <c r="G19" s="380">
        <v>0.6</v>
      </c>
      <c r="H19" s="364">
        <f>SUM(E19:G19)</f>
        <v>1</v>
      </c>
    </row>
    <row r="20" spans="1:8" ht="14.5">
      <c r="B20" s="370" t="s">
        <v>392</v>
      </c>
      <c r="C20" s="376" t="s">
        <v>507</v>
      </c>
      <c r="D20" s="117" t="s">
        <v>490</v>
      </c>
      <c r="E20" s="381">
        <v>0</v>
      </c>
      <c r="F20" s="382">
        <v>0.97</v>
      </c>
      <c r="G20" s="383">
        <v>0.03</v>
      </c>
      <c r="H20" s="364">
        <f>SUM(E20:G20)</f>
        <v>1</v>
      </c>
    </row>
    <row r="21" spans="1:8" ht="14.5">
      <c r="B21" s="370" t="s">
        <v>392</v>
      </c>
      <c r="C21" s="376" t="s">
        <v>507</v>
      </c>
      <c r="D21" s="117" t="s">
        <v>491</v>
      </c>
      <c r="E21" s="381">
        <v>0</v>
      </c>
      <c r="F21" s="382">
        <v>0.4</v>
      </c>
      <c r="G21" s="383">
        <v>0.6</v>
      </c>
      <c r="H21" s="364">
        <f>SUM(E21:G21)</f>
        <v>1</v>
      </c>
    </row>
    <row r="22" spans="1:8" ht="14.5">
      <c r="B22" s="370" t="s">
        <v>392</v>
      </c>
      <c r="C22" s="376" t="s">
        <v>508</v>
      </c>
      <c r="D22" s="117" t="s">
        <v>489</v>
      </c>
      <c r="E22" s="381">
        <v>0</v>
      </c>
      <c r="F22" s="382">
        <v>0.25</v>
      </c>
      <c r="G22" s="383">
        <v>0.75</v>
      </c>
      <c r="H22" s="364">
        <f>SUM(E22:G22)</f>
        <v>1</v>
      </c>
    </row>
    <row r="23" spans="1:8" ht="14.5">
      <c r="B23" s="370" t="s">
        <v>392</v>
      </c>
      <c r="C23" s="376" t="s">
        <v>508</v>
      </c>
      <c r="D23" s="117" t="s">
        <v>490</v>
      </c>
      <c r="E23" s="381">
        <v>0</v>
      </c>
      <c r="F23" s="382">
        <v>0.95</v>
      </c>
      <c r="G23" s="383">
        <v>0.05</v>
      </c>
      <c r="H23" s="364">
        <f>SUM(E23:G23)</f>
        <v>1</v>
      </c>
    </row>
    <row r="24" spans="1:8" ht="14.5">
      <c r="B24" s="371" t="s">
        <v>392</v>
      </c>
      <c r="C24" s="384" t="s">
        <v>508</v>
      </c>
      <c r="D24" s="369" t="s">
        <v>491</v>
      </c>
      <c r="E24" s="385">
        <v>0</v>
      </c>
      <c r="F24" s="386">
        <v>0.28999999999999998</v>
      </c>
      <c r="G24" s="387">
        <v>0.71</v>
      </c>
      <c r="H24" s="364">
        <f t="shared" ref="H24:H29" si="1">SUM(E24:G24)</f>
        <v>1</v>
      </c>
    </row>
    <row r="25" spans="1:8" ht="14.5">
      <c r="B25" s="370" t="s">
        <v>526</v>
      </c>
      <c r="C25" s="410" t="s">
        <v>507</v>
      </c>
      <c r="D25" s="117" t="s">
        <v>489</v>
      </c>
      <c r="E25" s="412">
        <v>0</v>
      </c>
      <c r="F25" s="413">
        <v>0.4</v>
      </c>
      <c r="G25" s="414">
        <v>0.6</v>
      </c>
      <c r="H25" s="364">
        <f t="shared" si="1"/>
        <v>1</v>
      </c>
    </row>
    <row r="26" spans="1:8" ht="14.5">
      <c r="B26" s="370" t="s">
        <v>526</v>
      </c>
      <c r="C26" s="410" t="s">
        <v>507</v>
      </c>
      <c r="D26" s="117" t="s">
        <v>490</v>
      </c>
      <c r="E26" s="412">
        <v>0</v>
      </c>
      <c r="F26" s="413">
        <v>0.97</v>
      </c>
      <c r="G26" s="414">
        <v>0.03</v>
      </c>
      <c r="H26" s="364">
        <f t="shared" si="1"/>
        <v>1</v>
      </c>
    </row>
    <row r="27" spans="1:8" ht="14.5">
      <c r="B27" s="370" t="s">
        <v>526</v>
      </c>
      <c r="C27" s="410" t="s">
        <v>507</v>
      </c>
      <c r="D27" s="117" t="s">
        <v>491</v>
      </c>
      <c r="E27" s="412">
        <v>0</v>
      </c>
      <c r="F27" s="413">
        <v>0.4</v>
      </c>
      <c r="G27" s="414">
        <v>0.6</v>
      </c>
      <c r="H27" s="364">
        <f t="shared" si="1"/>
        <v>1</v>
      </c>
    </row>
    <row r="28" spans="1:8" ht="14.5">
      <c r="B28" s="370" t="s">
        <v>526</v>
      </c>
      <c r="C28" s="410" t="s">
        <v>508</v>
      </c>
      <c r="D28" s="411" t="s">
        <v>489</v>
      </c>
      <c r="E28" s="412">
        <v>0</v>
      </c>
      <c r="F28" s="413">
        <v>0.25</v>
      </c>
      <c r="G28" s="414">
        <v>0.75</v>
      </c>
      <c r="H28" s="364">
        <f t="shared" si="1"/>
        <v>1</v>
      </c>
    </row>
    <row r="29" spans="1:8" ht="14.5">
      <c r="B29" s="370" t="s">
        <v>526</v>
      </c>
      <c r="C29" s="410" t="s">
        <v>508</v>
      </c>
      <c r="D29" s="117" t="s">
        <v>490</v>
      </c>
      <c r="E29" s="412">
        <v>0</v>
      </c>
      <c r="F29" s="413">
        <v>0.95</v>
      </c>
      <c r="G29" s="414">
        <v>0.05</v>
      </c>
      <c r="H29" s="364">
        <f t="shared" si="1"/>
        <v>1</v>
      </c>
    </row>
    <row r="30" spans="1:8" ht="14.5">
      <c r="B30" s="371" t="s">
        <v>526</v>
      </c>
      <c r="C30" s="415" t="s">
        <v>508</v>
      </c>
      <c r="D30" s="369" t="s">
        <v>491</v>
      </c>
      <c r="E30" s="416">
        <v>0</v>
      </c>
      <c r="F30" s="417">
        <v>0.28999999999999998</v>
      </c>
      <c r="G30" s="418">
        <v>0.71</v>
      </c>
      <c r="H30" s="364">
        <f>SUM(E30:G30)</f>
        <v>1</v>
      </c>
    </row>
    <row r="32" spans="1:8" ht="13">
      <c r="A32" s="401" t="s">
        <v>493</v>
      </c>
    </row>
    <row r="33" spans="1:8">
      <c r="B33" s="164" t="str">
        <f t="array" aca="1" ref="B33" ca="1">GetNameRange(C34)</f>
        <v>gmwb_wdl_utilization_init_population_aig</v>
      </c>
    </row>
    <row r="34" spans="1:8" ht="12.75" customHeight="1">
      <c r="B34" s="372"/>
      <c r="C34" s="373" t="s">
        <v>506</v>
      </c>
      <c r="D34" s="374"/>
      <c r="E34" s="398" t="s">
        <v>489</v>
      </c>
      <c r="F34" s="399" t="s">
        <v>490</v>
      </c>
      <c r="G34" s="400" t="s">
        <v>491</v>
      </c>
    </row>
    <row r="35" spans="1:8" ht="14.5">
      <c r="B35" s="375" t="s">
        <v>392</v>
      </c>
      <c r="C35" s="388" t="s">
        <v>507</v>
      </c>
      <c r="D35" s="388"/>
      <c r="E35" s="378">
        <v>0.1</v>
      </c>
      <c r="F35" s="379">
        <v>0.7</v>
      </c>
      <c r="G35" s="380">
        <v>0.2</v>
      </c>
      <c r="H35" s="364">
        <f>SUM(E35:G35)</f>
        <v>1</v>
      </c>
    </row>
    <row r="36" spans="1:8" ht="14.5">
      <c r="B36" s="371" t="s">
        <v>392</v>
      </c>
      <c r="C36" s="384" t="s">
        <v>508</v>
      </c>
      <c r="D36" s="369"/>
      <c r="E36" s="385">
        <v>7.0000000000000007E-2</v>
      </c>
      <c r="F36" s="386">
        <v>0.63</v>
      </c>
      <c r="G36" s="387">
        <v>0.3</v>
      </c>
      <c r="H36" s="364">
        <f>SUM(E36:G36)</f>
        <v>1</v>
      </c>
    </row>
    <row r="37" spans="1:8" ht="14.5">
      <c r="B37" s="370" t="s">
        <v>526</v>
      </c>
      <c r="C37" s="410" t="s">
        <v>507</v>
      </c>
      <c r="D37" s="410"/>
      <c r="E37" s="412">
        <v>0.1</v>
      </c>
      <c r="F37" s="413">
        <v>0.7</v>
      </c>
      <c r="G37" s="414">
        <v>0.2</v>
      </c>
      <c r="H37" s="364">
        <f>SUM(E37:G37)</f>
        <v>1</v>
      </c>
    </row>
    <row r="38" spans="1:8" ht="14.5">
      <c r="B38" s="371" t="s">
        <v>526</v>
      </c>
      <c r="C38" s="415" t="s">
        <v>508</v>
      </c>
      <c r="D38" s="415"/>
      <c r="E38" s="416">
        <v>7.0000000000000007E-2</v>
      </c>
      <c r="F38" s="417">
        <v>0.63</v>
      </c>
      <c r="G38" s="418">
        <v>0.3</v>
      </c>
      <c r="H38" s="364">
        <f>SUM(E38:G38)</f>
        <v>1</v>
      </c>
    </row>
    <row r="40" spans="1:8" ht="13">
      <c r="A40" s="401" t="s">
        <v>492</v>
      </c>
    </row>
    <row r="41" spans="1:8">
      <c r="B41" s="164" t="str">
        <f t="array" aca="1" ref="B41" ca="1">GetNameRange(C42)</f>
        <v>gmwb_wdl_default_utilization_rate_aig</v>
      </c>
    </row>
    <row r="42" spans="1:8" ht="14.5">
      <c r="B42" s="372"/>
      <c r="C42" s="373"/>
      <c r="D42" s="407"/>
      <c r="E42" s="403" t="s">
        <v>489</v>
      </c>
      <c r="F42" s="404" t="s">
        <v>490</v>
      </c>
      <c r="G42" s="404" t="s">
        <v>491</v>
      </c>
      <c r="H42" s="402" t="s">
        <v>269</v>
      </c>
    </row>
    <row r="43" spans="1:8" ht="14.25" customHeight="1">
      <c r="B43" s="395" t="s">
        <v>392</v>
      </c>
      <c r="C43" s="396"/>
      <c r="D43" s="408"/>
      <c r="E43" s="405">
        <v>2.5</v>
      </c>
      <c r="F43" s="397">
        <v>1</v>
      </c>
      <c r="G43" s="397">
        <v>0.8</v>
      </c>
      <c r="H43" s="406">
        <v>0</v>
      </c>
    </row>
    <row r="44" spans="1:8" ht="14.5">
      <c r="B44" s="371" t="s">
        <v>526</v>
      </c>
      <c r="C44" s="396"/>
      <c r="D44" s="408"/>
      <c r="E44" s="405">
        <v>2.5</v>
      </c>
      <c r="F44" s="397">
        <v>1</v>
      </c>
      <c r="G44" s="397">
        <v>0.8</v>
      </c>
      <c r="H44" s="406">
        <v>0</v>
      </c>
    </row>
  </sheetData>
  <pageMargins left="0.7" right="0.7" top="0.75" bottom="0.75" header="0.3" footer="0.3"/>
  <pageSetup orientation="portrait" r:id="rId1"/>
  <customProperties>
    <customPr name="EpmWorksheetKeyString_GUID" r:id="rId2"/>
  </customPropertie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/>
  <dimension ref="A1:H87"/>
  <sheetViews>
    <sheetView showGridLines="0" workbookViewId="0">
      <pane xSplit="3" ySplit="5" topLeftCell="D6" activePane="bottomRight" state="frozen"/>
      <selection activeCell="R14" sqref="R14"/>
      <selection pane="topRight" activeCell="R14" sqref="R14"/>
      <selection pane="bottomLeft" activeCell="R14" sqref="R14"/>
      <selection pane="bottomRight" activeCell="L35" sqref="L35"/>
    </sheetView>
  </sheetViews>
  <sheetFormatPr defaultColWidth="15.54296875" defaultRowHeight="12.75" customHeight="1"/>
  <cols>
    <col min="1" max="1" width="15.54296875" customWidth="1"/>
    <col min="2" max="2" width="30.54296875" customWidth="1"/>
    <col min="3" max="3" width="1.54296875" customWidth="1"/>
    <col min="4" max="6" width="9.81640625" style="164" customWidth="1"/>
    <col min="7" max="8" width="15.54296875" style="164"/>
  </cols>
  <sheetData>
    <row r="1" spans="1:7" ht="15.5">
      <c r="A1" s="29" t="s">
        <v>161</v>
      </c>
      <c r="B1" s="17" t="s">
        <v>177</v>
      </c>
      <c r="C1" s="39"/>
      <c r="D1" s="39"/>
      <c r="E1" s="39"/>
      <c r="F1" s="39"/>
    </row>
    <row r="2" spans="1:7" ht="12.75" customHeight="1">
      <c r="A2" s="40"/>
      <c r="B2" s="14"/>
    </row>
    <row r="3" spans="1:7" ht="12.75" customHeight="1">
      <c r="B3" s="33" t="str">
        <f ca="1">GetNameRange(B4)</f>
        <v>TblIndexByPlanCode</v>
      </c>
    </row>
    <row r="4" spans="1:7" ht="12.75" customHeight="1">
      <c r="B4" s="169"/>
      <c r="C4" s="169" t="s">
        <v>47</v>
      </c>
      <c r="D4" s="219" t="str">
        <f>Product!D$4</f>
        <v>Value</v>
      </c>
      <c r="E4" s="219" t="s">
        <v>642</v>
      </c>
      <c r="F4" s="219" t="s">
        <v>643</v>
      </c>
      <c r="G4" s="193" t="str">
        <f>Product!G$4</f>
        <v>RILA_1</v>
      </c>
    </row>
    <row r="5" spans="1:7" ht="12.75" customHeight="1">
      <c r="B5" s="95" t="s">
        <v>29</v>
      </c>
      <c r="C5" s="90"/>
      <c r="D5" s="90"/>
      <c r="E5" s="90"/>
      <c r="F5" s="90"/>
      <c r="G5" s="254"/>
    </row>
    <row r="6" spans="1:7" ht="12.75" customHeight="1">
      <c r="G6" s="255"/>
    </row>
    <row r="7" spans="1:7" ht="12.75" customHeight="1">
      <c r="A7" s="42"/>
      <c r="B7" s="96" t="s">
        <v>182</v>
      </c>
      <c r="C7" s="113"/>
      <c r="D7" s="113"/>
      <c r="E7" s="113" t="s">
        <v>180</v>
      </c>
      <c r="F7" s="113" t="s">
        <v>180</v>
      </c>
      <c r="G7" s="255" t="s">
        <v>180</v>
      </c>
    </row>
    <row r="8" spans="1:7" ht="12.75" customHeight="1">
      <c r="G8" s="255"/>
    </row>
    <row r="9" spans="1:7" ht="12.75" customHeight="1">
      <c r="A9" s="42"/>
      <c r="B9" s="97" t="s">
        <v>179</v>
      </c>
      <c r="C9" s="114"/>
      <c r="D9" s="114"/>
      <c r="E9" s="114" t="s">
        <v>180</v>
      </c>
      <c r="F9" s="114" t="s">
        <v>180</v>
      </c>
      <c r="G9" s="256" t="s">
        <v>180</v>
      </c>
    </row>
    <row r="10" spans="1:7" ht="12.75" customHeight="1">
      <c r="A10" s="42"/>
      <c r="C10" s="164"/>
      <c r="D10"/>
    </row>
    <row r="11" spans="1:7" ht="12.75" customHeight="1">
      <c r="A11" s="42"/>
    </row>
    <row r="12" spans="1:7" ht="12.75" customHeight="1">
      <c r="A12" s="42"/>
    </row>
    <row r="13" spans="1:7" ht="12.75" customHeight="1">
      <c r="A13" s="42"/>
    </row>
    <row r="14" spans="1:7" ht="12.75" customHeight="1">
      <c r="A14" s="42"/>
    </row>
    <row r="15" spans="1:7" ht="12.75" customHeight="1">
      <c r="A15" s="42"/>
    </row>
    <row r="16" spans="1:7" ht="12.75" customHeight="1">
      <c r="A16" s="42"/>
    </row>
    <row r="17" spans="1:1" ht="12.75" customHeight="1">
      <c r="A17" s="42"/>
    </row>
    <row r="18" spans="1:1" ht="12.75" customHeight="1">
      <c r="A18" s="42"/>
    </row>
    <row r="19" spans="1:1" ht="12.75" customHeight="1">
      <c r="A19" s="42"/>
    </row>
    <row r="20" spans="1:1" ht="12.75" customHeight="1">
      <c r="A20" s="42"/>
    </row>
    <row r="21" spans="1:1" ht="12.75" customHeight="1">
      <c r="A21" s="42"/>
    </row>
    <row r="22" spans="1:1" ht="12.75" customHeight="1">
      <c r="A22" s="42"/>
    </row>
    <row r="23" spans="1:1" ht="12.75" customHeight="1">
      <c r="A23" s="42"/>
    </row>
    <row r="24" spans="1:1" ht="12.75" customHeight="1">
      <c r="A24" s="42"/>
    </row>
    <row r="25" spans="1:1" ht="12.75" customHeight="1">
      <c r="A25" s="42"/>
    </row>
    <row r="26" spans="1:1" ht="12.75" customHeight="1">
      <c r="A26" s="42"/>
    </row>
    <row r="27" spans="1:1" ht="12.75" customHeight="1">
      <c r="A27" s="42"/>
    </row>
    <row r="28" spans="1:1" ht="12.75" customHeight="1">
      <c r="A28" s="42"/>
    </row>
    <row r="29" spans="1:1" ht="12.75" customHeight="1">
      <c r="A29" s="42"/>
    </row>
    <row r="30" spans="1:1" ht="12.75" customHeight="1">
      <c r="A30" s="42"/>
    </row>
    <row r="31" spans="1:1" ht="12.75" customHeight="1">
      <c r="A31" s="42"/>
    </row>
    <row r="32" spans="1:1" ht="12.75" customHeight="1">
      <c r="A32" s="42"/>
    </row>
    <row r="33" spans="1:1" ht="12.75" customHeight="1">
      <c r="A33" s="42"/>
    </row>
    <row r="34" spans="1:1" ht="12.75" customHeight="1">
      <c r="A34" s="42"/>
    </row>
    <row r="35" spans="1:1" ht="12.75" customHeight="1">
      <c r="A35" s="42"/>
    </row>
    <row r="36" spans="1:1" ht="12.75" customHeight="1">
      <c r="A36" s="42"/>
    </row>
    <row r="37" spans="1:1" ht="12.75" customHeight="1">
      <c r="A37" s="42"/>
    </row>
    <row r="38" spans="1:1" ht="12.75" customHeight="1">
      <c r="A38" s="42"/>
    </row>
    <row r="39" spans="1:1" ht="12.75" customHeight="1">
      <c r="A39" s="42"/>
    </row>
    <row r="40" spans="1:1" ht="12.75" customHeight="1">
      <c r="A40" s="42"/>
    </row>
    <row r="41" spans="1:1" ht="12.75" customHeight="1">
      <c r="A41" s="42"/>
    </row>
    <row r="42" spans="1:1" ht="12.75" customHeight="1">
      <c r="A42" s="42"/>
    </row>
    <row r="43" spans="1:1" ht="12.75" customHeight="1">
      <c r="A43" s="42"/>
    </row>
    <row r="44" spans="1:1" ht="12.75" customHeight="1">
      <c r="A44" s="42"/>
    </row>
    <row r="45" spans="1:1" ht="12.75" customHeight="1">
      <c r="A45" s="42"/>
    </row>
    <row r="46" spans="1:1" ht="12.75" customHeight="1">
      <c r="A46" s="42"/>
    </row>
    <row r="47" spans="1:1" ht="12.75" customHeight="1">
      <c r="A47" s="42"/>
    </row>
    <row r="48" spans="1:1" ht="12.75" customHeight="1">
      <c r="A48" s="42"/>
    </row>
    <row r="49" spans="1:1" ht="12.75" customHeight="1">
      <c r="A49" s="42"/>
    </row>
    <row r="50" spans="1:1" ht="12.75" customHeight="1">
      <c r="A50" s="42"/>
    </row>
    <row r="51" spans="1:1" ht="12.75" customHeight="1">
      <c r="A51" s="42"/>
    </row>
    <row r="52" spans="1:1" ht="12.75" customHeight="1">
      <c r="A52" s="42"/>
    </row>
    <row r="53" spans="1:1" ht="12.75" customHeight="1">
      <c r="A53" s="42"/>
    </row>
    <row r="54" spans="1:1" ht="12.75" customHeight="1">
      <c r="A54" s="42"/>
    </row>
    <row r="55" spans="1:1" ht="12.75" customHeight="1">
      <c r="A55" s="42"/>
    </row>
    <row r="56" spans="1:1" ht="12.75" customHeight="1">
      <c r="A56" s="42"/>
    </row>
    <row r="57" spans="1:1" ht="12.75" customHeight="1">
      <c r="A57" s="42"/>
    </row>
    <row r="58" spans="1:1" ht="12.75" customHeight="1">
      <c r="A58" s="42"/>
    </row>
    <row r="59" spans="1:1" ht="12.75" customHeight="1">
      <c r="A59" s="42"/>
    </row>
    <row r="60" spans="1:1" ht="12.75" customHeight="1">
      <c r="A60" s="42"/>
    </row>
    <row r="61" spans="1:1" ht="12.75" customHeight="1">
      <c r="A61" s="42"/>
    </row>
    <row r="62" spans="1:1" ht="12.75" customHeight="1">
      <c r="A62" s="42"/>
    </row>
    <row r="63" spans="1:1" ht="12.75" customHeight="1">
      <c r="A63" s="42"/>
    </row>
    <row r="64" spans="1:1" ht="12.75" customHeight="1">
      <c r="A64" s="42"/>
    </row>
    <row r="65" spans="1:1" ht="12.75" customHeight="1">
      <c r="A65" s="42"/>
    </row>
    <row r="66" spans="1:1" ht="12.75" customHeight="1">
      <c r="A66" s="42"/>
    </row>
    <row r="67" spans="1:1" ht="12.75" customHeight="1">
      <c r="A67" s="42"/>
    </row>
    <row r="68" spans="1:1" ht="12.75" customHeight="1">
      <c r="A68" s="42"/>
    </row>
    <row r="69" spans="1:1" ht="12.75" customHeight="1">
      <c r="A69" s="42"/>
    </row>
    <row r="70" spans="1:1" ht="12.75" customHeight="1">
      <c r="A70" s="42"/>
    </row>
    <row r="71" spans="1:1" ht="12.75" customHeight="1">
      <c r="A71" s="42"/>
    </row>
    <row r="72" spans="1:1" ht="12.75" customHeight="1">
      <c r="A72" s="42"/>
    </row>
    <row r="73" spans="1:1" ht="12.75" customHeight="1">
      <c r="A73" s="42"/>
    </row>
    <row r="74" spans="1:1" ht="12.75" customHeight="1">
      <c r="A74" s="42"/>
    </row>
    <row r="75" spans="1:1" ht="12.75" customHeight="1">
      <c r="A75" s="42"/>
    </row>
    <row r="76" spans="1:1" ht="12.75" customHeight="1">
      <c r="A76" s="42"/>
    </row>
    <row r="77" spans="1:1" ht="12.75" customHeight="1">
      <c r="A77" s="42"/>
    </row>
    <row r="78" spans="1:1" ht="12.75" customHeight="1">
      <c r="A78" s="42"/>
    </row>
    <row r="79" spans="1:1" ht="12.75" customHeight="1">
      <c r="A79" s="42"/>
    </row>
    <row r="80" spans="1:1" ht="12.75" customHeight="1">
      <c r="A80" s="42"/>
    </row>
    <row r="81" spans="1:1" ht="12.75" customHeight="1">
      <c r="A81" s="42"/>
    </row>
    <row r="82" spans="1:1" ht="12.75" customHeight="1">
      <c r="A82" s="34"/>
    </row>
    <row r="83" spans="1:1" ht="12.75" customHeight="1">
      <c r="A83" s="42"/>
    </row>
    <row r="84" spans="1:1" ht="12.75" customHeight="1">
      <c r="A84" s="42"/>
    </row>
    <row r="85" spans="1:1" ht="12.75" customHeight="1">
      <c r="A85" s="42"/>
    </row>
    <row r="86" spans="1:1" ht="12.75" customHeight="1">
      <c r="A86" s="42"/>
    </row>
    <row r="87" spans="1:1" ht="12.75" customHeight="1">
      <c r="A87" s="42"/>
    </row>
  </sheetData>
  <hyperlinks>
    <hyperlink ref="A1" location="'Table of Contents'!A1" display="Go to TOC" xr:uid="{00000000-0004-0000-0C00-000000000000}"/>
  </hyperlinks>
  <pageMargins left="0.7" right="0.7" top="0.75" bottom="0.75" header="0.3" footer="0.3"/>
  <pageSetup orientation="portrait" r:id="rId1"/>
  <customProperties>
    <customPr name="EpmWorksheetKeyString_GUID" r:id="rId2"/>
  </customPropertie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"/>
  <dimension ref="A1:L37"/>
  <sheetViews>
    <sheetView zoomScaleNormal="100" workbookViewId="0">
      <pane xSplit="2" ySplit="6" topLeftCell="H7" activePane="bottomRight" state="frozen"/>
      <selection activeCell="L20" sqref="L20"/>
      <selection pane="topRight" activeCell="L20" sqref="L20"/>
      <selection pane="bottomLeft" activeCell="L20" sqref="L20"/>
      <selection pane="bottomRight" activeCell="W37" sqref="W37"/>
    </sheetView>
  </sheetViews>
  <sheetFormatPr defaultColWidth="9.1796875" defaultRowHeight="12.5"/>
  <cols>
    <col min="1" max="1" width="9.1796875" style="164"/>
    <col min="2" max="2" width="12.1796875" style="164" customWidth="1"/>
    <col min="3" max="12" width="15.453125" style="164" customWidth="1"/>
    <col min="13" max="16384" width="9.1796875" style="164"/>
  </cols>
  <sheetData>
    <row r="1" spans="1:12" ht="15.5">
      <c r="A1" s="262" t="s">
        <v>161</v>
      </c>
      <c r="B1" s="14" t="s">
        <v>344</v>
      </c>
      <c r="C1" s="263"/>
      <c r="D1" s="263"/>
      <c r="E1" s="263"/>
      <c r="F1" s="263"/>
      <c r="G1" s="263"/>
      <c r="H1" s="263"/>
      <c r="I1" s="263"/>
      <c r="J1" s="263"/>
      <c r="K1" s="263"/>
      <c r="L1" s="263"/>
    </row>
    <row r="2" spans="1:12" ht="15.5">
      <c r="A2" s="262"/>
      <c r="B2" s="14"/>
      <c r="C2" s="263"/>
      <c r="D2" s="263"/>
      <c r="E2" s="263"/>
      <c r="F2" s="263"/>
      <c r="G2" s="263"/>
      <c r="H2" s="263"/>
      <c r="I2" s="263"/>
      <c r="J2" s="263"/>
      <c r="K2" s="263"/>
      <c r="L2" s="263"/>
    </row>
    <row r="3" spans="1:12" ht="13">
      <c r="A3" s="264"/>
      <c r="B3" s="265" t="str">
        <f ca="1">GetNameRange(B6)</f>
        <v>index_term_cap_rate_min_aig</v>
      </c>
      <c r="C3" s="266"/>
      <c r="D3" s="266"/>
      <c r="E3" s="266"/>
      <c r="F3" s="266"/>
      <c r="G3" s="266"/>
      <c r="H3" s="266"/>
      <c r="I3" s="266"/>
      <c r="J3" s="266"/>
      <c r="K3" s="266"/>
      <c r="L3" s="266"/>
    </row>
    <row r="4" spans="1:12" ht="13">
      <c r="A4" s="264" t="s">
        <v>176</v>
      </c>
      <c r="B4" s="267" t="s">
        <v>345</v>
      </c>
      <c r="C4" s="274" t="s">
        <v>350</v>
      </c>
      <c r="D4" s="274" t="s">
        <v>352</v>
      </c>
      <c r="E4" s="274" t="s">
        <v>337</v>
      </c>
      <c r="F4" s="274" t="s">
        <v>474</v>
      </c>
      <c r="G4" s="274" t="s">
        <v>547</v>
      </c>
      <c r="H4" s="274" t="s">
        <v>577</v>
      </c>
      <c r="I4" s="274" t="s">
        <v>340</v>
      </c>
      <c r="J4" s="274" t="s">
        <v>658</v>
      </c>
      <c r="K4" s="274" t="s">
        <v>465</v>
      </c>
      <c r="L4" s="274" t="s">
        <v>335</v>
      </c>
    </row>
    <row r="5" spans="1:12" ht="13">
      <c r="A5" s="269"/>
      <c r="B5" s="117"/>
      <c r="C5" s="268"/>
      <c r="D5" s="268"/>
      <c r="E5" s="268"/>
      <c r="F5" s="268"/>
      <c r="G5" s="268"/>
      <c r="H5" s="268"/>
      <c r="I5" s="268"/>
      <c r="J5" s="268"/>
      <c r="K5" s="268"/>
      <c r="L5" s="268"/>
    </row>
    <row r="6" spans="1:12" ht="13">
      <c r="A6" s="269" t="s">
        <v>48</v>
      </c>
      <c r="B6" s="260" t="s">
        <v>163</v>
      </c>
      <c r="C6" s="270"/>
      <c r="D6" s="270"/>
      <c r="E6" s="270"/>
      <c r="F6" s="270"/>
      <c r="G6" s="270"/>
      <c r="H6" s="270"/>
      <c r="I6" s="270"/>
      <c r="J6" s="270"/>
      <c r="K6" s="270"/>
      <c r="L6" s="270"/>
    </row>
    <row r="7" spans="1:12">
      <c r="A7" s="264"/>
      <c r="B7" s="118">
        <v>0</v>
      </c>
      <c r="C7" s="271">
        <v>0</v>
      </c>
      <c r="D7" s="271">
        <v>9999</v>
      </c>
      <c r="E7" s="271">
        <v>0.01</v>
      </c>
      <c r="F7" s="271">
        <v>1.4999999999999999E-2</v>
      </c>
      <c r="G7" s="271">
        <v>1.5E-3</v>
      </c>
      <c r="H7" s="271">
        <v>2.1000000000000001E-2</v>
      </c>
      <c r="I7" s="271">
        <v>0.03</v>
      </c>
      <c r="J7" s="271">
        <v>0.05</v>
      </c>
      <c r="K7" s="271">
        <v>0.02</v>
      </c>
      <c r="L7" s="271">
        <v>0.02</v>
      </c>
    </row>
    <row r="8" spans="1:12">
      <c r="A8" s="264"/>
      <c r="B8" s="118">
        <v>1</v>
      </c>
      <c r="C8" s="271">
        <v>0</v>
      </c>
      <c r="D8" s="271">
        <v>9999</v>
      </c>
      <c r="E8" s="271">
        <v>0.01</v>
      </c>
      <c r="F8" s="271">
        <v>1.4999999999999999E-2</v>
      </c>
      <c r="G8" s="271">
        <v>1.5E-3</v>
      </c>
      <c r="H8" s="271">
        <v>2.1000000000000001E-2</v>
      </c>
      <c r="I8" s="271">
        <v>0.03</v>
      </c>
      <c r="J8" s="271">
        <v>0.05</v>
      </c>
      <c r="K8" s="271">
        <v>0.02</v>
      </c>
      <c r="L8" s="271">
        <v>0.02</v>
      </c>
    </row>
    <row r="9" spans="1:12">
      <c r="B9" s="118">
        <v>5</v>
      </c>
      <c r="C9" s="272">
        <v>0</v>
      </c>
      <c r="D9" s="271">
        <v>9999</v>
      </c>
      <c r="E9" s="272">
        <v>0.01</v>
      </c>
      <c r="F9" s="271">
        <v>1.4999999999999999E-2</v>
      </c>
      <c r="G9" s="271">
        <v>1.5E-3</v>
      </c>
      <c r="H9" s="271">
        <v>2.1000000000000001E-2</v>
      </c>
      <c r="I9" s="271">
        <v>0.03</v>
      </c>
      <c r="J9" s="271">
        <v>0.05</v>
      </c>
      <c r="K9" s="272">
        <v>0.02</v>
      </c>
      <c r="L9" s="272">
        <v>0.01</v>
      </c>
    </row>
    <row r="10" spans="1:12">
      <c r="B10" s="118">
        <v>6</v>
      </c>
      <c r="C10" s="272">
        <v>0</v>
      </c>
      <c r="D10" s="271">
        <v>9999</v>
      </c>
      <c r="E10" s="272">
        <v>0.01</v>
      </c>
      <c r="F10" s="271">
        <v>1.4999999999999999E-2</v>
      </c>
      <c r="G10" s="271">
        <v>1.5E-3</v>
      </c>
      <c r="H10" s="271">
        <v>2.1000000000000001E-2</v>
      </c>
      <c r="I10" s="271">
        <v>0.03</v>
      </c>
      <c r="J10" s="271">
        <v>0.05</v>
      </c>
      <c r="K10" s="272">
        <v>0.01</v>
      </c>
      <c r="L10" s="272">
        <v>0.01</v>
      </c>
    </row>
    <row r="11" spans="1:12">
      <c r="B11" s="118">
        <v>7</v>
      </c>
      <c r="C11" s="272">
        <v>0</v>
      </c>
      <c r="D11" s="271">
        <v>9999</v>
      </c>
      <c r="E11" s="272">
        <v>0.01</v>
      </c>
      <c r="F11" s="271">
        <v>1.4999999999999999E-2</v>
      </c>
      <c r="G11" s="271">
        <v>1.5E-3</v>
      </c>
      <c r="H11" s="271">
        <v>2.1000000000000001E-2</v>
      </c>
      <c r="I11" s="271">
        <v>0.03</v>
      </c>
      <c r="J11" s="271">
        <v>0.05</v>
      </c>
      <c r="K11" s="272">
        <v>0.01</v>
      </c>
      <c r="L11" s="272">
        <v>0.01</v>
      </c>
    </row>
    <row r="12" spans="1:12">
      <c r="B12" s="118">
        <v>8</v>
      </c>
      <c r="C12" s="272">
        <v>0</v>
      </c>
      <c r="D12" s="271">
        <v>9999</v>
      </c>
      <c r="E12" s="272">
        <v>0.01</v>
      </c>
      <c r="F12" s="271">
        <v>1.4999999999999999E-2</v>
      </c>
      <c r="G12" s="271">
        <v>1.5E-3</v>
      </c>
      <c r="H12" s="271">
        <v>2.1000000000000001E-2</v>
      </c>
      <c r="I12" s="271">
        <v>0.03</v>
      </c>
      <c r="J12" s="271">
        <v>0.05</v>
      </c>
      <c r="K12" s="272">
        <v>0.01</v>
      </c>
      <c r="L12" s="272">
        <v>0.01</v>
      </c>
    </row>
    <row r="13" spans="1:12">
      <c r="B13" s="118">
        <v>9</v>
      </c>
      <c r="C13" s="272">
        <v>0</v>
      </c>
      <c r="D13" s="271">
        <v>9999</v>
      </c>
      <c r="E13" s="272">
        <v>0.01</v>
      </c>
      <c r="F13" s="271">
        <v>1.4999999999999999E-2</v>
      </c>
      <c r="G13" s="271">
        <v>1.5E-3</v>
      </c>
      <c r="H13" s="271">
        <v>2.1000000000000001E-2</v>
      </c>
      <c r="I13" s="271">
        <v>0.03</v>
      </c>
      <c r="J13" s="271">
        <v>0.05</v>
      </c>
      <c r="K13" s="272">
        <v>0.01</v>
      </c>
      <c r="L13" s="272">
        <v>0.01</v>
      </c>
    </row>
    <row r="14" spans="1:12">
      <c r="B14" s="118">
        <v>10</v>
      </c>
      <c r="C14" s="272">
        <v>0</v>
      </c>
      <c r="D14" s="271">
        <v>9999</v>
      </c>
      <c r="E14" s="272">
        <v>0.01</v>
      </c>
      <c r="F14" s="271">
        <v>1.4999999999999999E-2</v>
      </c>
      <c r="G14" s="271">
        <v>1.5E-3</v>
      </c>
      <c r="H14" s="271">
        <v>2.1000000000000001E-2</v>
      </c>
      <c r="I14" s="271">
        <v>0.03</v>
      </c>
      <c r="J14" s="271">
        <v>0.05</v>
      </c>
      <c r="K14" s="272">
        <v>0.01</v>
      </c>
      <c r="L14" s="272">
        <v>0.01</v>
      </c>
    </row>
    <row r="15" spans="1:12">
      <c r="B15" s="118">
        <v>11</v>
      </c>
      <c r="C15" s="272">
        <v>0</v>
      </c>
      <c r="D15" s="271">
        <v>9999</v>
      </c>
      <c r="E15" s="272">
        <v>0.01</v>
      </c>
      <c r="F15" s="271">
        <v>1.4999999999999999E-2</v>
      </c>
      <c r="G15" s="271">
        <v>1.5E-3</v>
      </c>
      <c r="H15" s="271">
        <v>2.1000000000000001E-2</v>
      </c>
      <c r="I15" s="271">
        <v>0.03</v>
      </c>
      <c r="J15" s="271">
        <v>0.05</v>
      </c>
      <c r="K15" s="272">
        <v>0.01</v>
      </c>
      <c r="L15" s="272">
        <v>0.01</v>
      </c>
    </row>
    <row r="16" spans="1:12">
      <c r="B16" s="118"/>
      <c r="C16" s="273"/>
      <c r="D16" s="273"/>
      <c r="E16" s="273"/>
      <c r="F16" s="273"/>
      <c r="G16" s="273"/>
      <c r="H16" s="273"/>
      <c r="I16" s="273"/>
      <c r="J16" s="273"/>
      <c r="K16" s="273"/>
      <c r="L16" s="273"/>
    </row>
    <row r="19" spans="2:7">
      <c r="B19" s="164" t="s">
        <v>458</v>
      </c>
    </row>
    <row r="20" spans="2:7">
      <c r="B20" s="164" t="s">
        <v>298</v>
      </c>
      <c r="C20" s="251" t="s">
        <v>351</v>
      </c>
      <c r="D20" s="164" t="str">
        <f t="shared" ref="D20:D26" si="0">B20&amp;C20</f>
        <v>LIPMNot_Available</v>
      </c>
      <c r="E20" s="251" t="s">
        <v>351</v>
      </c>
      <c r="F20" s="251"/>
      <c r="G20" s="251"/>
    </row>
    <row r="21" spans="2:7">
      <c r="B21" s="164" t="s">
        <v>298</v>
      </c>
      <c r="C21" s="274" t="s">
        <v>343</v>
      </c>
      <c r="D21" s="164" t="str">
        <f t="shared" si="0"/>
        <v>LIPM2%_AllYr</v>
      </c>
      <c r="E21" s="349" t="s">
        <v>457</v>
      </c>
      <c r="F21" s="350"/>
      <c r="G21" s="350"/>
    </row>
    <row r="22" spans="2:7">
      <c r="B22" s="164" t="s">
        <v>298</v>
      </c>
      <c r="C22" s="274" t="s">
        <v>341</v>
      </c>
      <c r="D22" s="164" t="str">
        <f t="shared" si="0"/>
        <v>LIPM2.5%_5Yr_1.5%</v>
      </c>
      <c r="E22" s="349" t="s">
        <v>459</v>
      </c>
      <c r="F22" s="350"/>
      <c r="G22" s="350"/>
    </row>
    <row r="23" spans="2:7">
      <c r="B23" s="164" t="s">
        <v>298</v>
      </c>
      <c r="C23" s="274" t="s">
        <v>342</v>
      </c>
      <c r="D23" s="164" t="str">
        <f t="shared" si="0"/>
        <v>LIPM3%_7Yr_1.5%</v>
      </c>
      <c r="E23" s="349" t="s">
        <v>456</v>
      </c>
      <c r="F23" s="350"/>
      <c r="G23" s="350"/>
    </row>
    <row r="24" spans="2:7">
      <c r="B24" s="164" t="s">
        <v>461</v>
      </c>
      <c r="C24" s="274" t="s">
        <v>343</v>
      </c>
      <c r="D24" s="164" t="str">
        <f t="shared" si="0"/>
        <v>LIPM_PRIM72%_AllYr</v>
      </c>
      <c r="E24" s="349" t="s">
        <v>456</v>
      </c>
      <c r="F24" s="350"/>
      <c r="G24" s="350"/>
    </row>
    <row r="25" spans="2:7">
      <c r="B25" s="164" t="s">
        <v>462</v>
      </c>
      <c r="C25" s="274" t="s">
        <v>342</v>
      </c>
      <c r="D25" s="164" t="str">
        <f t="shared" si="0"/>
        <v>LIPM_WF73%_7Yr_1.5%</v>
      </c>
      <c r="E25" s="349" t="s">
        <v>460</v>
      </c>
      <c r="F25" s="350"/>
      <c r="G25" s="350"/>
    </row>
    <row r="26" spans="2:7">
      <c r="B26" s="164" t="s">
        <v>463</v>
      </c>
      <c r="C26" s="251" t="s">
        <v>351</v>
      </c>
      <c r="D26" s="164" t="str">
        <f t="shared" si="0"/>
        <v>NonLIPMNot_Available</v>
      </c>
      <c r="E26" s="251" t="s">
        <v>351</v>
      </c>
      <c r="F26" s="345"/>
      <c r="G26" s="345"/>
    </row>
    <row r="27" spans="2:7">
      <c r="B27" s="164" t="s">
        <v>463</v>
      </c>
      <c r="C27" s="274" t="s">
        <v>337</v>
      </c>
      <c r="D27" s="164" t="str">
        <f t="shared" ref="D27:D35" si="1">B27&amp;C27</f>
        <v>NonLIPM1%_AllYr</v>
      </c>
      <c r="E27" s="274" t="s">
        <v>337</v>
      </c>
      <c r="F27" s="350"/>
      <c r="G27" s="350"/>
    </row>
    <row r="28" spans="2:7">
      <c r="B28" s="164" t="s">
        <v>463</v>
      </c>
      <c r="C28" s="274" t="s">
        <v>340</v>
      </c>
      <c r="D28" s="164" t="str">
        <f t="shared" si="1"/>
        <v>NonLIPM3%_AllYr</v>
      </c>
      <c r="E28" s="349" t="s">
        <v>464</v>
      </c>
      <c r="F28" s="350"/>
      <c r="G28" s="350"/>
    </row>
    <row r="29" spans="2:7">
      <c r="B29" s="164" t="s">
        <v>463</v>
      </c>
      <c r="C29" s="274" t="s">
        <v>335</v>
      </c>
      <c r="D29" s="164" t="str">
        <f t="shared" si="1"/>
        <v>NonLIPM2%_5Yr_1%</v>
      </c>
      <c r="E29" s="349" t="s">
        <v>465</v>
      </c>
      <c r="F29" s="350"/>
      <c r="G29" s="350"/>
    </row>
    <row r="30" spans="2:7">
      <c r="B30" s="164" t="s">
        <v>463</v>
      </c>
      <c r="C30" s="274" t="s">
        <v>469</v>
      </c>
      <c r="D30" s="164" t="str">
        <f t="shared" si="1"/>
        <v>NonLIPM10%_5Yr_5%</v>
      </c>
      <c r="E30" s="349" t="s">
        <v>470</v>
      </c>
      <c r="F30" s="350"/>
      <c r="G30" s="350"/>
    </row>
    <row r="31" spans="2:7">
      <c r="B31" s="164" t="s">
        <v>463</v>
      </c>
      <c r="C31" s="274" t="s">
        <v>473</v>
      </c>
      <c r="D31" s="164" t="str">
        <f t="shared" si="1"/>
        <v>NonLIPM3%_5Yr_2%</v>
      </c>
      <c r="E31" s="349" t="s">
        <v>473</v>
      </c>
      <c r="F31" s="350"/>
      <c r="G31" s="350"/>
    </row>
    <row r="32" spans="2:7">
      <c r="B32" s="164" t="s">
        <v>463</v>
      </c>
      <c r="C32" s="274" t="s">
        <v>336</v>
      </c>
      <c r="D32" s="164" t="str">
        <f t="shared" si="1"/>
        <v>NonLIPM2%_7Yr_1%</v>
      </c>
      <c r="E32" s="349" t="s">
        <v>467</v>
      </c>
      <c r="F32" s="350"/>
      <c r="G32" s="350"/>
    </row>
    <row r="33" spans="2:7">
      <c r="B33" s="164" t="s">
        <v>463</v>
      </c>
      <c r="C33" s="274" t="s">
        <v>339</v>
      </c>
      <c r="D33" s="164" t="str">
        <f t="shared" si="1"/>
        <v>NonLIPM3%_7Yr_2%</v>
      </c>
      <c r="E33" s="349" t="s">
        <v>468</v>
      </c>
      <c r="F33" s="350"/>
      <c r="G33" s="350"/>
    </row>
    <row r="34" spans="2:7">
      <c r="B34" s="164" t="s">
        <v>463</v>
      </c>
      <c r="C34" s="274" t="s">
        <v>346</v>
      </c>
      <c r="D34" s="164" t="str">
        <f t="shared" si="1"/>
        <v>NonLIPM10%_7Yr_5%</v>
      </c>
      <c r="E34" s="349" t="s">
        <v>466</v>
      </c>
      <c r="F34" s="350"/>
      <c r="G34" s="350"/>
    </row>
    <row r="35" spans="2:7">
      <c r="B35" s="164" t="s">
        <v>463</v>
      </c>
      <c r="C35" s="274" t="s">
        <v>338</v>
      </c>
      <c r="D35" s="164" t="str">
        <f t="shared" si="1"/>
        <v>NonLIPM3%_7Yr_1%</v>
      </c>
      <c r="E35" s="349" t="s">
        <v>471</v>
      </c>
      <c r="F35" s="350"/>
      <c r="G35" s="350"/>
    </row>
    <row r="37" spans="2:7">
      <c r="B37" s="164" t="s">
        <v>372</v>
      </c>
    </row>
  </sheetData>
  <hyperlinks>
    <hyperlink ref="A1" location="'Table of Contents'!A1" display="Go to TOC" xr:uid="{00000000-0004-0000-0D00-000000000000}"/>
  </hyperlinks>
  <pageMargins left="0.7" right="0.7" top="0.75" bottom="0.75" header="0.3" footer="0.3"/>
  <pageSetup orientation="portrait" verticalDpi="0" r:id="rId1"/>
  <customProperties>
    <customPr name="EpmWorksheetKeyString_GUID" r:id="rId2"/>
  </customProperties>
</worksheet>
</file>

<file path=customUI/customUI.xml><?xml version="1.0" encoding="utf-8"?>
<customUI xmlns="http://schemas.microsoft.com/office/2006/01/customui">
  <ribbon>
    <tabs>
      <tab id="customTab" label="Ext Source Utilities" keytip="U">
        <group id="USLMSUtilities" label="Adjust Ranges">
          <button id="AddColumn" visible="true" size="normal" label="Add Column" keytip="AC" screentip="Expand active range by one column." onAction="AddColumn"/>
          <button id="AddRow" visible="true" size="normal" label="Add Row" keytip="AR" screentip="Expand active range by one row." onAction="AddRow"/>
          <separator id="MySeparator1"/>
          <button id="RemoveColumn" visible="true" size="normal" label="Remove Column" keytip="RC" screentip="Remove last column from active range." onAction="RemoveColumn"/>
          <button id="RemoveRow" visible="true" size="normal" label="Remove Row" keytip="RR" screentip="Remove bottom row from active range." onAction="RemoveRow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8BE90905E3E8349B9C90157C464F879" ma:contentTypeVersion="0" ma:contentTypeDescription="Create a new document." ma:contentTypeScope="" ma:versionID="381d9c08b308340ab5487deb1c1245d2">
  <xsd:schema xmlns:xsd="http://www.w3.org/2001/XMLSchema" xmlns:p="http://schemas.microsoft.com/office/2006/metadata/properties" targetNamespace="http://schemas.microsoft.com/office/2006/metadata/properties" ma:root="true" ma:fieldsID="0abb83f1d16cbaf58ae769f481109e75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84D6E80-2345-45FA-BD69-575C46F8AC22}">
  <ds:schemaRefs>
    <ds:schemaRef ds:uri="http://www.w3.org/XML/1998/namespace"/>
    <ds:schemaRef ds:uri="http://schemas.microsoft.com/office/2006/documentManagement/types"/>
    <ds:schemaRef ds:uri="http://purl.org/dc/terms/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8E736673-76B0-48F2-A6FC-63C4812E182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3.xml><?xml version="1.0" encoding="utf-8"?>
<ds:datastoreItem xmlns:ds="http://schemas.openxmlformats.org/officeDocument/2006/customXml" ds:itemID="{9AC1F279-5C07-415F-A027-96E72274FC9C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101</vt:i4>
      </vt:variant>
    </vt:vector>
  </HeadingPairs>
  <TitlesOfParts>
    <vt:vector size="115" baseType="lpstr">
      <vt:lpstr>Change Log</vt:lpstr>
      <vt:lpstr>Design Details</vt:lpstr>
      <vt:lpstr>Table of Contents</vt:lpstr>
      <vt:lpstr>Product</vt:lpstr>
      <vt:lpstr>Fund</vt:lpstr>
      <vt:lpstr>DynSwitch</vt:lpstr>
      <vt:lpstr>Policyholder</vt:lpstr>
      <vt:lpstr>Expenses</vt:lpstr>
      <vt:lpstr>Decrement</vt:lpstr>
      <vt:lpstr>Mortality</vt:lpstr>
      <vt:lpstr>GMWB</vt:lpstr>
      <vt:lpstr>GMWB Utilization</vt:lpstr>
      <vt:lpstr>TblIndex</vt:lpstr>
      <vt:lpstr>MinCap</vt:lpstr>
      <vt:lpstr>addl_sc_shock_pfwd_use_aig</vt:lpstr>
      <vt:lpstr>allowable_threshold_deviation_aig</vt:lpstr>
      <vt:lpstr>carvm_table_aig</vt:lpstr>
      <vt:lpstr>comm_chargeback_pct_aig</vt:lpstr>
      <vt:lpstr>commission_set_aig</vt:lpstr>
      <vt:lpstr>crediting_dyn_lever</vt:lpstr>
      <vt:lpstr>crediting_rate_min_table_aig</vt:lpstr>
      <vt:lpstr>decrement_set_aig</vt:lpstr>
      <vt:lpstr>dyn_switching_aig</vt:lpstr>
      <vt:lpstr>eprs_add_part_rate_min_aig</vt:lpstr>
      <vt:lpstr>eprs_cost_aig</vt:lpstr>
      <vt:lpstr>eprs_hedge_min_par_aig</vt:lpstr>
      <vt:lpstr>eprs_index_term_part_rate_max_aig</vt:lpstr>
      <vt:lpstr>expense_set_aig</vt:lpstr>
      <vt:lpstr>FIACred</vt:lpstr>
      <vt:lpstr>FIAExp</vt:lpstr>
      <vt:lpstr>FIAFundCred</vt:lpstr>
      <vt:lpstr>FIAGmwb_aig</vt:lpstr>
      <vt:lpstr>FIAMort</vt:lpstr>
      <vt:lpstr>FIAPol</vt:lpstr>
      <vt:lpstr>FIAPol_by_gmwb_aig</vt:lpstr>
      <vt:lpstr>FIAProd</vt:lpstr>
      <vt:lpstr>glb_flex_cost_aig</vt:lpstr>
      <vt:lpstr>gmwb_credit_mult_aig</vt:lpstr>
      <vt:lpstr>gmwb_dth_ben_floor_prem_pct_aig</vt:lpstr>
      <vt:lpstr>gmwb_generation_set_aig</vt:lpstr>
      <vt:lpstr>gmwb_income_base_cap_prem_base_reduction_method_aig</vt:lpstr>
      <vt:lpstr>gmwb_income_base_cap_prem_pct_aig</vt:lpstr>
      <vt:lpstr>gmwb_income_base_floor_prem_pct_aig</vt:lpstr>
      <vt:lpstr>gmwb_income_fund_val_base_reduction_method_aig</vt:lpstr>
      <vt:lpstr>gmwb_income_prem_base_reduction_method_aig</vt:lpstr>
      <vt:lpstr>gmwb_income_rollup_cap_base_reduction_method_aig</vt:lpstr>
      <vt:lpstr>gmwb_max_annual_wdl_addn_pct_aig</vt:lpstr>
      <vt:lpstr>gmwb_max_annual_wdl_pct</vt:lpstr>
      <vt:lpstr>gmwb_net_credit_aig</vt:lpstr>
      <vt:lpstr>gmwb_pipp_pct_aig</vt:lpstr>
      <vt:lpstr>gmwb_pipp_stepup_pct_aig</vt:lpstr>
      <vt:lpstr>gmwb_rollup_rate_type_aig</vt:lpstr>
      <vt:lpstr>gmwb_wdl_default_utilization_rate_aig</vt:lpstr>
      <vt:lpstr>gmwb_wdl_utilization_init_population_aig</vt:lpstr>
      <vt:lpstr>gmwb_wdl_utilization_primary_transition_prob_aig</vt:lpstr>
      <vt:lpstr>gmwb_wdl_utilization_secondary_transition_prob_aig</vt:lpstr>
      <vt:lpstr>gmwb_withdrl_rate_indexing_assessment_ind_aig</vt:lpstr>
      <vt:lpstr>gmwb_withdrl_rate_indexing_part_rate_aig</vt:lpstr>
      <vt:lpstr>GmwbCohortId</vt:lpstr>
      <vt:lpstr>GmwbCohortUtilzRate</vt:lpstr>
      <vt:lpstr>gwl_exp_allow_levels_aig</vt:lpstr>
      <vt:lpstr>hedge_option_val_alpha_aig</vt:lpstr>
      <vt:lpstr>index_term_buffer_aig</vt:lpstr>
      <vt:lpstr>index_term_cap_rate_max_aig</vt:lpstr>
      <vt:lpstr>index_term_cap_rate_min_aig</vt:lpstr>
      <vt:lpstr>index_term_cap_rate_min_table_aig</vt:lpstr>
      <vt:lpstr>index_term_duration_aig</vt:lpstr>
      <vt:lpstr>index_term_floor_aig</vt:lpstr>
      <vt:lpstr>index_term_part_rate_max_aig</vt:lpstr>
      <vt:lpstr>index_term_part_rate_min_aig</vt:lpstr>
      <vt:lpstr>index_term_sprd_rate_max_aig</vt:lpstr>
      <vt:lpstr>index_term_sprd_rate_min_aig</vt:lpstr>
      <vt:lpstr>index_term_trigger_rate_max_aig</vt:lpstr>
      <vt:lpstr>index_term_trigger_rate_min_aig</vt:lpstr>
      <vt:lpstr>LapseAdjMult</vt:lpstr>
      <vt:lpstr>LapseAdjMult110Pct</vt:lpstr>
      <vt:lpstr>LapseAdjMult90Pct</vt:lpstr>
      <vt:lpstr>LapseDynArcTan2019ParamsAIG</vt:lpstr>
      <vt:lpstr>LapseDynArcTanParamsAIG</vt:lpstr>
      <vt:lpstr>LapseDynBaseProdParamsAIG</vt:lpstr>
      <vt:lpstr>maint_exp_pct_fund_2_aig</vt:lpstr>
      <vt:lpstr>make_whole_settlement_adj_coef_greater_aig</vt:lpstr>
      <vt:lpstr>make_whole_settlement_adj_coef_lower_aig</vt:lpstr>
      <vt:lpstr>max_downward_deviation_aig</vt:lpstr>
      <vt:lpstr>min_accum_val_params_ny_aig</vt:lpstr>
      <vt:lpstr>misc_product_feature_aig</vt:lpstr>
      <vt:lpstr>MortAdjMult</vt:lpstr>
      <vt:lpstr>MortAdjMult110Pct</vt:lpstr>
      <vt:lpstr>MortAdjMult90Pct</vt:lpstr>
      <vt:lpstr>opt_budget_tgt_alpha_aig</vt:lpstr>
      <vt:lpstr>opt_budget_tgt_reduction_aig</vt:lpstr>
      <vt:lpstr>part_rate_solve_type_aig</vt:lpstr>
      <vt:lpstr>PerfLockAIG</vt:lpstr>
      <vt:lpstr>pfwd_amt_avail_defn_aig</vt:lpstr>
      <vt:lpstr>PfwdPct</vt:lpstr>
      <vt:lpstr>prem_bonus_recapture_pct_aig</vt:lpstr>
      <vt:lpstr>prem_credit_pct_aig</vt:lpstr>
      <vt:lpstr>PurchRateCurrSprd</vt:lpstr>
      <vt:lpstr>quota_share_reinsured_aig</vt:lpstr>
      <vt:lpstr>rbc_c3_ann_risk_defn</vt:lpstr>
      <vt:lpstr>Renewal_2020</vt:lpstr>
      <vt:lpstr>Renewal_add_param_index1_aig</vt:lpstr>
      <vt:lpstr>renewal_alpha_index1_aig</vt:lpstr>
      <vt:lpstr>renewal_budget_reduction_index1_aig</vt:lpstr>
      <vt:lpstr>Renewal_param_index1_aig</vt:lpstr>
      <vt:lpstr>renewal_set_aig</vt:lpstr>
      <vt:lpstr>SNFL_Prospective_aig</vt:lpstr>
      <vt:lpstr>snfl_set_aig</vt:lpstr>
      <vt:lpstr>strategy_term_duration_aig</vt:lpstr>
      <vt:lpstr>strategy_term_duration_mths_aig</vt:lpstr>
      <vt:lpstr>strategy_term_floor_aig</vt:lpstr>
      <vt:lpstr>surr_chg</vt:lpstr>
      <vt:lpstr>TblIndexByPlanCode</vt:lpstr>
      <vt:lpstr>xol_deal_switch_aig</vt:lpstr>
      <vt:lpstr>xol_nb_eco_res_ratio_aig</vt:lpstr>
    </vt:vector>
  </TitlesOfParts>
  <Company>Towers Watson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Adam Sabzevari (RFS/RCS/Life Ins, New York City)</dc:creator>
  <cp:lastModifiedBy>Liu, Zihao</cp:lastModifiedBy>
  <cp:lastPrinted>2013-07-12T20:12:54Z</cp:lastPrinted>
  <dcterms:created xsi:type="dcterms:W3CDTF">2013-06-26T20:08:07Z</dcterms:created>
  <dcterms:modified xsi:type="dcterms:W3CDTF">2025-09-15T16:06:03Z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0x01010038BE90905E3E8349B9C90157C464F879</vt:lpwstr>
  </property>
  <property fmtid="{D5CDD505-2E9C-101B-9397-08002B2CF9AE}" pid="3" name="MSIP_Label_d347b247-e90e-43a3-9d7b-004f14ae6873_Enabled">
    <vt:lpwstr>true</vt:lpwstr>
  </property>
  <property fmtid="{D5CDD505-2E9C-101B-9397-08002B2CF9AE}" pid="4" name="MSIP_Label_d347b247-e90e-43a3-9d7b-004f14ae6873_SetDate">
    <vt:lpwstr>2023-02-22T14:07:58Z</vt:lpwstr>
  </property>
  <property fmtid="{D5CDD505-2E9C-101B-9397-08002B2CF9AE}" pid="5" name="MSIP_Label_d347b247-e90e-43a3-9d7b-004f14ae6873_Method">
    <vt:lpwstr>Standard</vt:lpwstr>
  </property>
  <property fmtid="{D5CDD505-2E9C-101B-9397-08002B2CF9AE}" pid="6" name="MSIP_Label_d347b247-e90e-43a3-9d7b-004f14ae6873_Name">
    <vt:lpwstr>d347b247-e90e-43a3-9d7b-004f14ae6873</vt:lpwstr>
  </property>
  <property fmtid="{D5CDD505-2E9C-101B-9397-08002B2CF9AE}" pid="7" name="MSIP_Label_d347b247-e90e-43a3-9d7b-004f14ae6873_SiteId">
    <vt:lpwstr>76e3921f-489b-4b7e-9547-9ea297add9b5</vt:lpwstr>
  </property>
  <property fmtid="{D5CDD505-2E9C-101B-9397-08002B2CF9AE}" pid="8" name="MSIP_Label_d347b247-e90e-43a3-9d7b-004f14ae6873_ActionId">
    <vt:lpwstr>a12de695-0fdd-4053-b083-73134cc36cd8</vt:lpwstr>
  </property>
  <property fmtid="{D5CDD505-2E9C-101B-9397-08002B2CF9AE}" pid="9" name="MSIP_Label_d347b247-e90e-43a3-9d7b-004f14ae6873_ContentBits">
    <vt:lpwstr>0</vt:lpwstr>
  </property>
</Properties>
</file>