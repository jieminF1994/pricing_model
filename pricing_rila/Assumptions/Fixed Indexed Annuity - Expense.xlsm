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RILA_Models\Assumptions_RILA\20240619\"/>
    </mc:Choice>
  </mc:AlternateContent>
  <xr:revisionPtr revIDLastSave="0" documentId="13_ncr:1_{FD155CDE-80BB-40CE-AAD4-DD0CF470AE29}" xr6:coauthVersionLast="47" xr6:coauthVersionMax="47" xr10:uidLastSave="{00000000-0000-0000-0000-000000000000}"/>
  <bookViews>
    <workbookView xWindow="28680" yWindow="-120" windowWidth="29040" windowHeight="15840" tabRatio="757" activeTab="2" xr2:uid="{00000000-000D-0000-FFFF-FFFF00000000}"/>
  </bookViews>
  <sheets>
    <sheet name="Change Log" sheetId="12" r:id="rId1"/>
    <sheet name="Table of Contents" sheetId="13" r:id="rId2"/>
    <sheet name="Upfront" sheetId="32" r:id="rId3"/>
    <sheet name="Trail" sheetId="28" r:id="rId4"/>
    <sheet name="LicensingFee" sheetId="33" r:id="rId5"/>
    <sheet name="InflationRate" sheetId="34" r:id="rId6"/>
  </sheets>
  <functionGroups builtInGroupCount="19"/>
  <definedNames>
    <definedName name="InflationRate">InflationRate!$B$4:$Q$11</definedName>
    <definedName name="LicensingFee">LicensingFee!$B$4:$AF$18</definedName>
    <definedName name="trail_comm_rate">Trail!$B$4:$S$8</definedName>
    <definedName name="Upfront">Upfront!$B$4:$X$8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34" l="1"/>
  <c r="G11" i="34"/>
  <c r="D11" i="34"/>
  <c r="P10" i="34"/>
  <c r="G10" i="34"/>
  <c r="D10" i="34"/>
  <c r="P9" i="34"/>
  <c r="G9" i="34"/>
  <c r="D9" i="34"/>
  <c r="P8" i="34"/>
  <c r="G8" i="34"/>
  <c r="D8" i="34"/>
  <c r="P7" i="34"/>
  <c r="G7" i="34"/>
  <c r="D7" i="34"/>
  <c r="B7" i="34"/>
  <c r="B8" i="34" s="1"/>
  <c r="B9" i="34" s="1"/>
  <c r="B10" i="34" s="1"/>
  <c r="P6" i="34"/>
  <c r="G6" i="34"/>
  <c r="D6" i="34"/>
  <c r="J18" i="33"/>
  <c r="I18" i="33"/>
  <c r="G18" i="33"/>
  <c r="H18" i="33" s="1"/>
  <c r="F18" i="33" s="1"/>
  <c r="E18" i="33"/>
  <c r="I17" i="33"/>
  <c r="J17" i="33" s="1"/>
  <c r="G17" i="33"/>
  <c r="H17" i="33" s="1"/>
  <c r="F17" i="33" s="1"/>
  <c r="E17" i="33"/>
  <c r="I16" i="33"/>
  <c r="J16" i="33" s="1"/>
  <c r="G16" i="33"/>
  <c r="E16" i="33" s="1"/>
  <c r="I15" i="33"/>
  <c r="J15" i="33" s="1"/>
  <c r="G15" i="33"/>
  <c r="H15" i="33" s="1"/>
  <c r="F15" i="33" s="1"/>
  <c r="E15" i="33"/>
  <c r="I14" i="33"/>
  <c r="J14" i="33" s="1"/>
  <c r="G14" i="33"/>
  <c r="H14" i="33" s="1"/>
  <c r="F14" i="33" s="1"/>
  <c r="I13" i="33"/>
  <c r="J13" i="33" s="1"/>
  <c r="H13" i="33"/>
  <c r="F13" i="33" s="1"/>
  <c r="G13" i="33"/>
  <c r="E13" i="33"/>
  <c r="J12" i="33"/>
  <c r="I12" i="33"/>
  <c r="G12" i="33"/>
  <c r="H12" i="33" s="1"/>
  <c r="F12" i="33" s="1"/>
  <c r="E12" i="33"/>
  <c r="I11" i="33"/>
  <c r="J11" i="33" s="1"/>
  <c r="G11" i="33"/>
  <c r="H11" i="33" s="1"/>
  <c r="F11" i="33" s="1"/>
  <c r="E11" i="33"/>
  <c r="I10" i="33"/>
  <c r="J10" i="33" s="1"/>
  <c r="G10" i="33"/>
  <c r="E10" i="33" s="1"/>
  <c r="I9" i="33"/>
  <c r="J9" i="33" s="1"/>
  <c r="H9" i="33"/>
  <c r="G9" i="33"/>
  <c r="F9" i="33"/>
  <c r="E9" i="33"/>
  <c r="L8" i="33"/>
  <c r="I8" i="33"/>
  <c r="J8" i="33" s="1"/>
  <c r="G8" i="33"/>
  <c r="H8" i="33" s="1"/>
  <c r="F8" i="33" s="1"/>
  <c r="E8" i="33"/>
  <c r="B8" i="33"/>
  <c r="P8" i="33" s="1"/>
  <c r="P7" i="33"/>
  <c r="O7" i="33"/>
  <c r="N7" i="33"/>
  <c r="I7" i="33"/>
  <c r="J7" i="33" s="1"/>
  <c r="G7" i="33"/>
  <c r="E7" i="33" s="1"/>
  <c r="B7" i="33"/>
  <c r="R7" i="33" s="1"/>
  <c r="R6" i="33"/>
  <c r="Q6" i="33"/>
  <c r="P6" i="33"/>
  <c r="O6" i="33"/>
  <c r="N6" i="33"/>
  <c r="M6" i="33"/>
  <c r="L6" i="33"/>
  <c r="I6" i="33"/>
  <c r="J6" i="33" s="1"/>
  <c r="H6" i="33"/>
  <c r="F6" i="33" s="1"/>
  <c r="G6" i="33"/>
  <c r="E6" i="33"/>
  <c r="S4" i="28"/>
  <c r="P8" i="32"/>
  <c r="O8" i="32"/>
  <c r="P7" i="32"/>
  <c r="O7" i="32"/>
  <c r="X4" i="32"/>
  <c r="B3" i="33"/>
  <c r="B3" i="28"/>
  <c r="B3" i="34"/>
  <c r="B3" i="32"/>
  <c r="H16" i="33" l="1"/>
  <c r="F16" i="33" s="1"/>
  <c r="H7" i="33"/>
  <c r="F7" i="33" s="1"/>
  <c r="Q8" i="33"/>
  <c r="H10" i="33"/>
  <c r="F10" i="33" s="1"/>
  <c r="L7" i="33"/>
  <c r="R8" i="33"/>
  <c r="B9" i="33"/>
  <c r="B10" i="33" s="1"/>
  <c r="M7" i="33"/>
  <c r="E14" i="33"/>
  <c r="M8" i="33"/>
  <c r="N8" i="33"/>
  <c r="Q7" i="33"/>
  <c r="O8" i="33"/>
  <c r="B11" i="33" l="1"/>
  <c r="R10" i="33"/>
  <c r="Q10" i="33"/>
  <c r="P10" i="33"/>
  <c r="N10" i="33"/>
  <c r="M10" i="33"/>
  <c r="L10" i="33"/>
  <c r="O10" i="33"/>
  <c r="Q11" i="33" l="1"/>
  <c r="P11" i="33"/>
  <c r="O11" i="33"/>
  <c r="N11" i="33"/>
  <c r="M11" i="33"/>
  <c r="L11" i="33"/>
  <c r="B12" i="33"/>
  <c r="R11" i="33"/>
  <c r="O12" i="33" l="1"/>
  <c r="N12" i="33"/>
  <c r="M12" i="33"/>
  <c r="L12" i="33"/>
  <c r="B13" i="33"/>
  <c r="R12" i="33"/>
  <c r="Q12" i="33"/>
  <c r="P12" i="33"/>
  <c r="M13" i="33" l="1"/>
  <c r="L13" i="33"/>
  <c r="Q13" i="33"/>
  <c r="P13" i="33"/>
  <c r="B14" i="33"/>
  <c r="N13" i="33"/>
  <c r="R13" i="33"/>
  <c r="O13" i="33"/>
  <c r="B15" i="33" l="1"/>
  <c r="R14" i="33"/>
  <c r="M14" i="33"/>
  <c r="L14" i="33"/>
  <c r="Q14" i="33"/>
  <c r="P14" i="33"/>
  <c r="O14" i="33"/>
  <c r="N14" i="33"/>
  <c r="B16" i="33" l="1"/>
  <c r="R15" i="33"/>
  <c r="Q15" i="33"/>
  <c r="P15" i="33"/>
  <c r="L15" i="33"/>
  <c r="O15" i="33"/>
  <c r="M15" i="33"/>
  <c r="N15" i="33"/>
  <c r="B17" i="33" l="1"/>
  <c r="R16" i="33"/>
  <c r="Q16" i="33"/>
  <c r="P16" i="33"/>
  <c r="O16" i="33"/>
  <c r="N16" i="33"/>
  <c r="M16" i="33"/>
  <c r="L16" i="33"/>
  <c r="Q17" i="33" l="1"/>
  <c r="P17" i="33"/>
  <c r="O17" i="33"/>
  <c r="N17" i="33"/>
  <c r="L17" i="33"/>
  <c r="R17" i="33"/>
  <c r="B18" i="33"/>
  <c r="M17" i="33"/>
  <c r="O18" i="33" l="1"/>
  <c r="N18" i="33"/>
  <c r="M18" i="33"/>
  <c r="L18" i="33"/>
  <c r="R18" i="33"/>
  <c r="Q18" i="33"/>
  <c r="P18" i="33"/>
</calcChain>
</file>

<file path=xl/sharedStrings.xml><?xml version="1.0" encoding="utf-8"?>
<sst xmlns="http://schemas.openxmlformats.org/spreadsheetml/2006/main" count="122" uniqueCount="88">
  <si>
    <t>#</t>
  </si>
  <si>
    <t>Date</t>
  </si>
  <si>
    <t>Name</t>
  </si>
  <si>
    <t>Comments</t>
  </si>
  <si>
    <t>Table of Contents</t>
  </si>
  <si>
    <t>Default</t>
  </si>
  <si>
    <t>Go to TOC</t>
  </si>
  <si>
    <t>NONE</t>
  </si>
  <si>
    <t>pol_yr</t>
  </si>
  <si>
    <t>tbl_id</t>
  </si>
  <si>
    <t>issue age</t>
  </si>
  <si>
    <t>Trail Commission Rate Tables</t>
  </si>
  <si>
    <t>Upfront Commission</t>
  </si>
  <si>
    <t>Trail Commission by Products</t>
  </si>
  <si>
    <t>Upfront Commission by Products</t>
  </si>
  <si>
    <t>Trail Commission</t>
  </si>
  <si>
    <t>zero</t>
  </si>
  <si>
    <t>PI5P_5yr2</t>
  </si>
  <si>
    <t>PI5P_3.50_2.00Age81</t>
  </si>
  <si>
    <t>PM2018</t>
  </si>
  <si>
    <t>ML2019</t>
  </si>
  <si>
    <t>PM2019</t>
  </si>
  <si>
    <t>7%3yr</t>
  </si>
  <si>
    <t>ML2015_Revised</t>
  </si>
  <si>
    <t>2%Constant</t>
  </si>
  <si>
    <t>RW2018</t>
  </si>
  <si>
    <t>RN2019</t>
  </si>
  <si>
    <t>RW2017</t>
  </si>
  <si>
    <t>Zero</t>
  </si>
  <si>
    <t>RW2019</t>
  </si>
  <si>
    <t>Upfront Commission Rate Tables</t>
  </si>
  <si>
    <t>Licensing Fee &amp; Rate-lock Expense</t>
  </si>
  <si>
    <t>Inflation Rate</t>
  </si>
  <si>
    <t>LicensingFee by Indices</t>
  </si>
  <si>
    <t>InflationRate</t>
  </si>
  <si>
    <t>Min Luo</t>
  </si>
  <si>
    <t>Peer Review the file</t>
  </si>
  <si>
    <t>MS2019</t>
  </si>
  <si>
    <t>P5P_4.25_2.00Age81</t>
  </si>
  <si>
    <t>P5P_0_age81_15yr2</t>
  </si>
  <si>
    <t>PI5P_3.21_1.48Age81</t>
  </si>
  <si>
    <t>PI5P_12_age81_19yr2</t>
  </si>
  <si>
    <t>AB2019</t>
  </si>
  <si>
    <t>SR2020</t>
  </si>
  <si>
    <t>RN2020</t>
  </si>
  <si>
    <t>RW2020</t>
  </si>
  <si>
    <t>PI5P_3.27_1.41Age81</t>
  </si>
  <si>
    <t>PI5P_10_age81_21yr2</t>
  </si>
  <si>
    <t>P5P_202101_4.67_2.42Age81</t>
  </si>
  <si>
    <t>PI5P_202101_3.21_1.48Age81</t>
  </si>
  <si>
    <t>PI5P_202101_9_age81_21yr2</t>
  </si>
  <si>
    <t>RN2021</t>
  </si>
  <si>
    <t>RW2021</t>
  </si>
  <si>
    <t>MS2021</t>
  </si>
  <si>
    <t>ML2021</t>
  </si>
  <si>
    <t>PM2021</t>
  </si>
  <si>
    <t>AB2021</t>
  </si>
  <si>
    <t>AQ2021</t>
  </si>
  <si>
    <t>LM2021</t>
  </si>
  <si>
    <t>PG2021</t>
  </si>
  <si>
    <t>RN2021_New</t>
  </si>
  <si>
    <t>X52021_10bps</t>
  </si>
  <si>
    <t>ML2021_new</t>
  </si>
  <si>
    <t>PM2021_new</t>
  </si>
  <si>
    <t>AB2021_new</t>
  </si>
  <si>
    <t>AQ2021_new</t>
  </si>
  <si>
    <t>LM2021_new</t>
  </si>
  <si>
    <t>MS2021_new</t>
  </si>
  <si>
    <t>RN2021_New_101</t>
  </si>
  <si>
    <t>PI5P_202201_14_Age81_16yr2</t>
  </si>
  <si>
    <t>7%3yr_GSIA_SP3</t>
  </si>
  <si>
    <t>7%3yr_GSIA_AG3</t>
  </si>
  <si>
    <t>7%3yr_GSIA_SP2</t>
  </si>
  <si>
    <t>7%3yr_GSIA_AG2</t>
  </si>
  <si>
    <t>PI5P_202201_2.95_1.79Age81</t>
  </si>
  <si>
    <t>P5P_202201_4.65_2.50Age81</t>
  </si>
  <si>
    <t>P5P_202201_2_age81_15yr2</t>
  </si>
  <si>
    <t>7%3yr_GSIA_SP4</t>
  </si>
  <si>
    <t>7%3yr_GSIA_AG4</t>
  </si>
  <si>
    <t>2%Constant_101Infl</t>
  </si>
  <si>
    <t>PI5P_202201_3.01_1.85Age81</t>
  </si>
  <si>
    <t>RN2022_Old</t>
  </si>
  <si>
    <t>RN2022_101_Old</t>
  </si>
  <si>
    <t>GSIA_SP4: 16bps = 2bps licensing fee for S&amp;P, + 5bps for Comfort trust expense, +4bps mainteance expense allowance, +5bps for assumed marketing allowance</t>
  </si>
  <si>
    <t>GSIA_AG4 for AG: 34bps = 10bps licensing fee for AG, + 5bps for Comfort trust expense, +4bps mainteance expense allowance, +15bps for assumed marketing allowance</t>
  </si>
  <si>
    <t>GSIA_AG4 for PB: 34bps = 17bps licensing fee for PB, + 5bps for Comfort trust expense, +4bps mainteance expense allowance, +8bps for assumed marketing allowance</t>
  </si>
  <si>
    <t>RILA_4.33_2.45age81</t>
  </si>
  <si>
    <t>RILA_41_age81_32yr2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</si>
</sst>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3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0"/>
      <color rgb="FF002060"/>
      <name val="Arial"/>
      <family val="2"/>
    </font>
    <font>
      <b/>
      <sz val="10"/>
      <color rgb="FF002060"/>
      <name val="Arial"/>
      <family val="2"/>
    </font>
    <font>
      <b/>
      <sz val="10"/>
      <color indexed="1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8E4B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</borders>
  <cellStyleXfs count="62">
    <xf numFmtId="0" fontId="0" fillId="0" borderId="0"/>
    <xf numFmtId="0" fontId="3" fillId="3" borderId="0">
      <alignment horizontal="left" vertical="top" wrapText="1"/>
    </xf>
    <xf numFmtId="0" fontId="3" fillId="3" borderId="0">
      <alignment horizontal="left" vertical="top" wrapText="1"/>
    </xf>
    <xf numFmtId="0" fontId="4" fillId="4" borderId="0">
      <alignment horizontal="left" vertical="top" wrapText="1"/>
    </xf>
    <xf numFmtId="0" fontId="5" fillId="4" borderId="0">
      <alignment horizontal="left" vertical="top" wrapText="1"/>
    </xf>
    <xf numFmtId="0" fontId="4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6" fillId="4" borderId="0">
      <alignment horizontal="left" vertical="top" wrapText="1"/>
    </xf>
    <xf numFmtId="0" fontId="7" fillId="4" borderId="0">
      <alignment horizontal="left" vertical="top" wrapText="1"/>
    </xf>
    <xf numFmtId="0" fontId="6" fillId="4" borderId="0">
      <alignment horizontal="left" vertical="top" wrapText="1"/>
    </xf>
    <xf numFmtId="0" fontId="4" fillId="4" borderId="0">
      <alignment horizontal="right" vertical="top" wrapText="1"/>
    </xf>
    <xf numFmtId="0" fontId="4" fillId="4" borderId="0">
      <alignment horizontal="left" vertical="top" wrapText="1"/>
    </xf>
    <xf numFmtId="0" fontId="5" fillId="4" borderId="0">
      <alignment horizontal="left" vertical="top" wrapText="1"/>
    </xf>
    <xf numFmtId="0" fontId="8" fillId="0" borderId="0" applyNumberFormat="0" applyFill="0" applyBorder="0" applyAlignment="0" applyProtection="0"/>
    <xf numFmtId="0" fontId="5" fillId="5" borderId="0">
      <alignment horizontal="left" vertical="top" wrapText="1"/>
    </xf>
    <xf numFmtId="0" fontId="6" fillId="4" borderId="0">
      <alignment horizontal="left" vertical="top" wrapText="1"/>
    </xf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9" applyNumberFormat="0" applyAlignment="0" applyProtection="0"/>
    <xf numFmtId="0" fontId="23" fillId="11" borderId="10" applyNumberFormat="0" applyAlignment="0" applyProtection="0"/>
    <xf numFmtId="0" fontId="24" fillId="11" borderId="9" applyNumberFormat="0" applyAlignment="0" applyProtection="0"/>
    <xf numFmtId="0" fontId="25" fillId="0" borderId="11" applyNumberFormat="0" applyFill="0" applyAlignment="0" applyProtection="0"/>
    <xf numFmtId="0" fontId="26" fillId="12" borderId="12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14" applyNumberFormat="0" applyFill="0" applyAlignment="0" applyProtection="0"/>
    <xf numFmtId="0" fontId="3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30" fillId="37" borderId="0" applyNumberFormat="0" applyBorder="0" applyAlignment="0" applyProtection="0"/>
    <xf numFmtId="0" fontId="1" fillId="0" borderId="0"/>
    <xf numFmtId="0" fontId="1" fillId="13" borderId="13" applyNumberFormat="0" applyFont="0" applyAlignment="0" applyProtection="0"/>
    <xf numFmtId="9" fontId="32" fillId="0" borderId="0" applyFont="0" applyFill="0" applyBorder="0" applyAlignment="0" applyProtection="0"/>
  </cellStyleXfs>
  <cellXfs count="6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1" fillId="0" borderId="0" xfId="0" applyFont="1" applyBorder="1" applyAlignment="1">
      <alignment horizontal="left" vertical="top"/>
    </xf>
    <xf numFmtId="0" fontId="8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14" fontId="0" fillId="0" borderId="1" xfId="0" quotePrefix="1" applyNumberFormat="1" applyBorder="1" applyAlignment="1">
      <alignment horizontal="center" vertical="top" wrapText="1"/>
    </xf>
    <xf numFmtId="0" fontId="8" fillId="0" borderId="0" xfId="16" applyAlignment="1">
      <alignment horizontal="left" vertical="top"/>
    </xf>
    <xf numFmtId="0" fontId="14" fillId="0" borderId="0" xfId="0" applyFont="1"/>
    <xf numFmtId="0" fontId="10" fillId="0" borderId="0" xfId="0" applyFont="1" applyAlignment="1"/>
    <xf numFmtId="0" fontId="10" fillId="0" borderId="0" xfId="0" applyFont="1" applyAlignment="1">
      <alignment horizontal="centerContinuous" vertical="center"/>
    </xf>
    <xf numFmtId="0" fontId="2" fillId="6" borderId="0" xfId="0" applyFont="1" applyFill="1" applyBorder="1" applyAlignment="1">
      <alignment horizontal="left" vertical="top"/>
    </xf>
    <xf numFmtId="0" fontId="11" fillId="0" borderId="0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6" borderId="2" xfId="0" applyFont="1" applyFill="1" applyBorder="1" applyAlignment="1">
      <alignment horizontal="center" vertical="top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/>
    </xf>
    <xf numFmtId="0" fontId="31" fillId="6" borderId="4" xfId="0" applyFont="1" applyFill="1" applyBorder="1" applyAlignment="1">
      <alignment horizontal="center" vertical="center" wrapText="1"/>
    </xf>
    <xf numFmtId="10" fontId="9" fillId="0" borderId="0" xfId="0" applyNumberFormat="1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13" fillId="6" borderId="0" xfId="0" applyFont="1" applyFill="1" applyBorder="1" applyAlignment="1">
      <alignment horizontal="left" vertical="top"/>
    </xf>
    <xf numFmtId="0" fontId="13" fillId="6" borderId="3" xfId="0" applyFont="1" applyFill="1" applyBorder="1" applyAlignment="1">
      <alignment horizontal="center" vertical="top"/>
    </xf>
    <xf numFmtId="0" fontId="9" fillId="0" borderId="0" xfId="0" applyFont="1"/>
    <xf numFmtId="0" fontId="2" fillId="6" borderId="0" xfId="0" applyFont="1" applyFill="1" applyBorder="1" applyAlignment="1">
      <alignment horizontal="center" vertical="top"/>
    </xf>
    <xf numFmtId="10" fontId="9" fillId="0" borderId="0" xfId="61" applyNumberFormat="1" applyFont="1" applyFill="1" applyBorder="1" applyAlignment="1">
      <alignment horizontal="right"/>
    </xf>
    <xf numFmtId="0" fontId="13" fillId="6" borderId="0" xfId="0" applyFont="1" applyFill="1" applyBorder="1" applyAlignment="1">
      <alignment horizontal="center" vertical="top"/>
    </xf>
    <xf numFmtId="0" fontId="31" fillId="6" borderId="0" xfId="0" applyFont="1" applyFill="1" applyBorder="1" applyAlignment="1">
      <alignment horizontal="center" vertical="center" wrapText="1"/>
    </xf>
    <xf numFmtId="10" fontId="9" fillId="0" borderId="0" xfId="61" applyNumberFormat="1" applyFont="1" applyFill="1" applyBorder="1" applyAlignment="1">
      <alignment horizontal="center"/>
    </xf>
    <xf numFmtId="0" fontId="9" fillId="38" borderId="0" xfId="0" applyFont="1" applyFill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0" fontId="34" fillId="6" borderId="4" xfId="0" applyFont="1" applyFill="1" applyBorder="1" applyAlignment="1">
      <alignment horizontal="center" vertical="center" wrapText="1"/>
    </xf>
    <xf numFmtId="10" fontId="33" fillId="0" borderId="0" xfId="0" applyNumberFormat="1" applyFont="1" applyFill="1" applyAlignment="1">
      <alignment horizontal="center" vertical="center" wrapText="1"/>
    </xf>
    <xf numFmtId="0" fontId="9" fillId="39" borderId="0" xfId="0" applyFont="1" applyFill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1" fillId="6" borderId="0" xfId="0" applyFont="1" applyFill="1" applyAlignment="1">
      <alignment horizontal="center"/>
    </xf>
    <xf numFmtId="164" fontId="9" fillId="0" borderId="0" xfId="61" applyNumberFormat="1" applyFont="1" applyFill="1" applyBorder="1" applyAlignment="1">
      <alignment horizontal="center"/>
    </xf>
    <xf numFmtId="0" fontId="13" fillId="6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10" fontId="9" fillId="40" borderId="0" xfId="61" applyNumberFormat="1" applyFont="1" applyFill="1" applyBorder="1" applyAlignment="1">
      <alignment horizontal="center"/>
    </xf>
    <xf numFmtId="0" fontId="33" fillId="41" borderId="0" xfId="0" applyFont="1" applyFill="1" applyAlignment="1">
      <alignment horizontal="center" vertical="center" wrapText="1"/>
    </xf>
    <xf numFmtId="0" fontId="9" fillId="41" borderId="0" xfId="0" applyFont="1" applyFill="1" applyAlignment="1">
      <alignment horizontal="center" vertical="center" wrapText="1"/>
    </xf>
    <xf numFmtId="165" fontId="9" fillId="0" borderId="0" xfId="61" applyNumberFormat="1" applyFont="1" applyFill="1" applyBorder="1" applyAlignment="1">
      <alignment horizontal="center"/>
    </xf>
    <xf numFmtId="0" fontId="33" fillId="41" borderId="0" xfId="0" applyFont="1" applyFill="1" applyBorder="1" applyAlignment="1">
      <alignment horizontal="left" vertical="center" wrapText="1"/>
    </xf>
    <xf numFmtId="0" fontId="33" fillId="42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9" fillId="40" borderId="0" xfId="0" applyNumberFormat="1" applyFont="1" applyFill="1" applyBorder="1" applyAlignment="1" applyProtection="1">
      <alignment horizontal="center" vertical="center" wrapText="1"/>
    </xf>
    <xf numFmtId="0" fontId="35" fillId="40" borderId="15" xfId="0" applyNumberFormat="1" applyFont="1" applyFill="1" applyBorder="1" applyAlignment="1" applyProtection="1">
      <alignment horizontal="center" vertical="center" wrapText="1"/>
    </xf>
    <xf numFmtId="10" fontId="9" fillId="40" borderId="0" xfId="0" applyNumberFormat="1" applyFont="1" applyFill="1" applyBorder="1" applyAlignment="1" applyProtection="1">
      <alignment horizontal="center" vertical="center" wrapText="1"/>
    </xf>
    <xf numFmtId="0" fontId="9" fillId="43" borderId="0" xfId="0" applyNumberFormat="1" applyFont="1" applyFill="1" applyBorder="1" applyAlignment="1" applyProtection="1">
      <alignment horizontal="center" vertical="center" wrapText="1"/>
    </xf>
    <xf numFmtId="0" fontId="13" fillId="43" borderId="15" xfId="0" applyNumberFormat="1" applyFont="1" applyFill="1" applyBorder="1" applyAlignment="1" applyProtection="1">
      <alignment horizontal="center" vertical="center" wrapText="1"/>
    </xf>
  </cellXfs>
  <cellStyles count="62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5" builtinId="27" customBuiltin="1"/>
    <cellStyle name="BodyStyle00" xfId="1" xr:uid="{00000000-0005-0000-0000-000019000000}"/>
    <cellStyle name="BodyStyle01" xfId="2" xr:uid="{00000000-0005-0000-0000-00001A000000}"/>
    <cellStyle name="BodyStyle010" xfId="13" xr:uid="{00000000-0005-0000-0000-00001B000000}"/>
    <cellStyle name="BodyStyle011_aa_1" xfId="3" xr:uid="{00000000-0005-0000-0000-00001C000000}"/>
    <cellStyle name="BodyStyle014_aa" xfId="4" xr:uid="{00000000-0005-0000-0000-00001D000000}"/>
    <cellStyle name="BodyStyle015_aa" xfId="5" xr:uid="{00000000-0005-0000-0000-00001E000000}"/>
    <cellStyle name="BodyStyle02_aa" xfId="6" xr:uid="{00000000-0005-0000-0000-00001F000000}"/>
    <cellStyle name="BodyStyle03_aa" xfId="7" xr:uid="{00000000-0005-0000-0000-000020000000}"/>
    <cellStyle name="BodyStyle04" xfId="14" xr:uid="{00000000-0005-0000-0000-000021000000}"/>
    <cellStyle name="BodyStyle05" xfId="17" xr:uid="{00000000-0005-0000-0000-000022000000}"/>
    <cellStyle name="BodyStyle06" xfId="8" xr:uid="{00000000-0005-0000-0000-000023000000}"/>
    <cellStyle name="BodyStyle06 2" xfId="9" xr:uid="{00000000-0005-0000-0000-000024000000}"/>
    <cellStyle name="BodyStyle06 3" xfId="10" xr:uid="{00000000-0005-0000-0000-000025000000}"/>
    <cellStyle name="BodyStyle06 4" xfId="11" xr:uid="{00000000-0005-0000-0000-000026000000}"/>
    <cellStyle name="BodyStyle06 4 2" xfId="12" xr:uid="{00000000-0005-0000-0000-000027000000}"/>
    <cellStyle name="BodyStyle07" xfId="15" xr:uid="{00000000-0005-0000-0000-000028000000}"/>
    <cellStyle name="BodyStyle08" xfId="18" xr:uid="{00000000-0005-0000-0000-000029000000}"/>
    <cellStyle name="Calculation" xfId="29" builtinId="22" customBuiltin="1"/>
    <cellStyle name="Check Cell" xfId="31" builtinId="23" customBuiltin="1"/>
    <cellStyle name="Explanatory Text" xfId="33" builtinId="53" customBuiltin="1"/>
    <cellStyle name="Good" xfId="24" builtinId="26" customBuiltin="1"/>
    <cellStyle name="Heading 1" xfId="20" builtinId="16" customBuiltin="1"/>
    <cellStyle name="Heading 2" xfId="21" builtinId="17" customBuiltin="1"/>
    <cellStyle name="Heading 3" xfId="22" builtinId="18" customBuiltin="1"/>
    <cellStyle name="Heading 4" xfId="23" builtinId="19" customBuiltin="1"/>
    <cellStyle name="Hyperlink" xfId="16" builtinId="8"/>
    <cellStyle name="Input" xfId="27" builtinId="20" customBuiltin="1"/>
    <cellStyle name="Linked Cell" xfId="30" builtinId="24" customBuiltin="1"/>
    <cellStyle name="Neutral" xfId="26" builtinId="28" customBuiltin="1"/>
    <cellStyle name="Normal" xfId="0" builtinId="0"/>
    <cellStyle name="Normal 2" xfId="59" xr:uid="{00000000-0005-0000-0000-000037000000}"/>
    <cellStyle name="Note 2" xfId="60" xr:uid="{00000000-0005-0000-0000-000038000000}"/>
    <cellStyle name="Output" xfId="28" builtinId="21" customBuiltin="1"/>
    <cellStyle name="Percent" xfId="61" builtinId="5"/>
    <cellStyle name="Title" xfId="19" builtinId="15" customBuiltin="1"/>
    <cellStyle name="Total" xfId="34" builtinId="25" customBuiltin="1"/>
    <cellStyle name="Warning Text" xfId="32" builtinId="11" customBuiltin="1"/>
  </cellStyles>
  <dxfs count="0"/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>
      <selection activeCell="D3" sqref="D3"/>
    </sheetView>
  </sheetViews>
  <sheetFormatPr defaultColWidth="9.1796875" defaultRowHeight="12.5" x14ac:dyDescent="0.25"/>
  <cols>
    <col min="1" max="1" width="3.81640625" style="9" customWidth="1"/>
    <col min="2" max="3" width="26" style="10" customWidth="1"/>
    <col min="4" max="4" width="100" style="11" customWidth="1"/>
    <col min="5" max="16384" width="9.1796875" style="8"/>
  </cols>
  <sheetData>
    <row r="1" spans="1:4" ht="13" x14ac:dyDescent="0.25">
      <c r="A1" s="1" t="s">
        <v>0</v>
      </c>
      <c r="B1" s="2" t="s">
        <v>1</v>
      </c>
      <c r="C1" s="2" t="s">
        <v>2</v>
      </c>
      <c r="D1" s="3" t="s">
        <v>3</v>
      </c>
    </row>
    <row r="2" spans="1:4" ht="13.25" x14ac:dyDescent="0.25">
      <c r="A2" s="6">
        <v>1</v>
      </c>
      <c r="B2" s="4">
        <v>43529</v>
      </c>
      <c r="C2" s="4" t="s">
        <v>35</v>
      </c>
      <c r="D2" s="5" t="s">
        <v>36</v>
      </c>
    </row>
    <row r="3" spans="1:4" ht="13.25" x14ac:dyDescent="0.25">
      <c r="A3" s="6"/>
      <c r="B3" s="16"/>
      <c r="C3" s="4"/>
      <c r="D3" s="5"/>
    </row>
    <row r="4" spans="1:4" ht="13.25" x14ac:dyDescent="0.25">
      <c r="A4" s="6"/>
      <c r="B4" s="16"/>
      <c r="C4" s="4"/>
      <c r="D4" s="5"/>
    </row>
    <row r="5" spans="1:4" ht="13.25" x14ac:dyDescent="0.25">
      <c r="A5" s="6"/>
      <c r="B5" s="16"/>
      <c r="C5" s="7"/>
      <c r="D5" s="5"/>
    </row>
    <row r="6" spans="1:4" ht="13.25" x14ac:dyDescent="0.25">
      <c r="A6" s="6"/>
      <c r="B6" s="16"/>
      <c r="C6" s="7"/>
      <c r="D6" s="5"/>
    </row>
    <row r="7" spans="1:4" ht="13.25" x14ac:dyDescent="0.25">
      <c r="A7" s="6"/>
      <c r="B7" s="7"/>
      <c r="C7" s="7"/>
      <c r="D7" s="5"/>
    </row>
    <row r="8" spans="1:4" ht="13.25" x14ac:dyDescent="0.25">
      <c r="A8" s="6"/>
      <c r="B8" s="7"/>
      <c r="C8" s="7"/>
      <c r="D8" s="5"/>
    </row>
    <row r="9" spans="1:4" ht="13.25" x14ac:dyDescent="0.25">
      <c r="A9" s="6"/>
      <c r="B9" s="7"/>
      <c r="C9" s="7"/>
      <c r="D9" s="5"/>
    </row>
    <row r="10" spans="1:4" ht="13.25" x14ac:dyDescent="0.25">
      <c r="A10" s="6"/>
      <c r="B10" s="7"/>
      <c r="C10" s="7"/>
      <c r="D10" s="5"/>
    </row>
    <row r="11" spans="1:4" ht="13.25" x14ac:dyDescent="0.25">
      <c r="A11" s="6"/>
      <c r="B11" s="7"/>
      <c r="C11" s="7"/>
      <c r="D11" s="5"/>
    </row>
    <row r="12" spans="1:4" ht="13.25" x14ac:dyDescent="0.25">
      <c r="A12" s="6"/>
      <c r="B12" s="7"/>
      <c r="C12" s="7"/>
      <c r="D12" s="5"/>
    </row>
    <row r="13" spans="1:4" ht="13.25" x14ac:dyDescent="0.25">
      <c r="A13" s="6"/>
      <c r="B13" s="7"/>
      <c r="C13" s="7"/>
      <c r="D13" s="5"/>
    </row>
    <row r="14" spans="1:4" ht="13.25" x14ac:dyDescent="0.25">
      <c r="A14" s="6"/>
      <c r="B14" s="7"/>
      <c r="C14" s="7"/>
      <c r="D14" s="5"/>
    </row>
    <row r="15" spans="1:4" ht="13.25" x14ac:dyDescent="0.25">
      <c r="A15" s="6"/>
      <c r="B15" s="7"/>
      <c r="C15" s="7"/>
      <c r="D15" s="5"/>
    </row>
    <row r="16" spans="1:4" ht="13.25" x14ac:dyDescent="0.25">
      <c r="A16" s="6"/>
      <c r="B16" s="7"/>
      <c r="C16" s="7"/>
      <c r="D16" s="5"/>
    </row>
    <row r="17" spans="1:4" ht="13.25" x14ac:dyDescent="0.25">
      <c r="A17" s="6"/>
      <c r="B17" s="7"/>
      <c r="C17" s="7"/>
      <c r="D17" s="5"/>
    </row>
    <row r="18" spans="1:4" ht="13.25" x14ac:dyDescent="0.25">
      <c r="A18" s="6"/>
      <c r="B18" s="7"/>
      <c r="C18" s="7"/>
      <c r="D18" s="5"/>
    </row>
    <row r="19" spans="1:4" ht="13.25" x14ac:dyDescent="0.25">
      <c r="A19" s="6"/>
      <c r="B19" s="7"/>
      <c r="C19" s="7"/>
      <c r="D19" s="5"/>
    </row>
    <row r="20" spans="1:4" ht="13.25" x14ac:dyDescent="0.25">
      <c r="A20" s="6"/>
      <c r="B20" s="7"/>
      <c r="C20" s="7"/>
      <c r="D20" s="5"/>
    </row>
    <row r="21" spans="1:4" ht="13.25" x14ac:dyDescent="0.25">
      <c r="A21" s="6"/>
      <c r="B21" s="7"/>
      <c r="C21" s="7"/>
      <c r="D21" s="5"/>
    </row>
    <row r="22" spans="1:4" ht="13.25" x14ac:dyDescent="0.25">
      <c r="A22" s="6"/>
      <c r="B22" s="7"/>
      <c r="C22" s="7"/>
      <c r="D22" s="5"/>
    </row>
    <row r="23" spans="1:4" ht="13.25" x14ac:dyDescent="0.25">
      <c r="A23" s="6"/>
      <c r="B23" s="7"/>
      <c r="C23" s="7"/>
      <c r="D23" s="5"/>
    </row>
    <row r="24" spans="1:4" ht="13.25" x14ac:dyDescent="0.25">
      <c r="A24" s="6"/>
      <c r="B24" s="7"/>
      <c r="C24" s="7"/>
      <c r="D24" s="5"/>
    </row>
    <row r="25" spans="1:4" ht="13.25" x14ac:dyDescent="0.25">
      <c r="A25" s="6"/>
      <c r="B25" s="7"/>
      <c r="C25" s="7"/>
      <c r="D25" s="5"/>
    </row>
    <row r="26" spans="1:4" ht="13.25" x14ac:dyDescent="0.25">
      <c r="A26" s="6"/>
      <c r="B26" s="7"/>
      <c r="C26" s="7"/>
      <c r="D26" s="5"/>
    </row>
    <row r="27" spans="1:4" ht="13.25" x14ac:dyDescent="0.25">
      <c r="A27" s="6"/>
      <c r="B27" s="7"/>
      <c r="C27" s="7"/>
      <c r="D27" s="5"/>
    </row>
    <row r="28" spans="1:4" ht="13.25" x14ac:dyDescent="0.25">
      <c r="A28" s="6"/>
      <c r="B28" s="7"/>
      <c r="C28" s="7"/>
      <c r="D28" s="5"/>
    </row>
    <row r="29" spans="1:4" ht="13.25" x14ac:dyDescent="0.25">
      <c r="A29" s="6"/>
      <c r="B29" s="7"/>
      <c r="C29" s="7"/>
      <c r="D29" s="5"/>
    </row>
    <row r="30" spans="1:4" ht="13.25" x14ac:dyDescent="0.25">
      <c r="A30" s="6"/>
      <c r="B30" s="7"/>
      <c r="C30" s="7"/>
      <c r="D30" s="5"/>
    </row>
    <row r="31" spans="1:4" ht="13.25" x14ac:dyDescent="0.25">
      <c r="A31" s="6"/>
      <c r="B31" s="7"/>
      <c r="C31" s="7"/>
      <c r="D31" s="5"/>
    </row>
    <row r="32" spans="1:4" ht="13.25" x14ac:dyDescent="0.25">
      <c r="A32" s="6"/>
      <c r="B32" s="7"/>
      <c r="C32" s="7"/>
      <c r="D32" s="5"/>
    </row>
    <row r="33" spans="1:4" ht="13.25" x14ac:dyDescent="0.25">
      <c r="A33" s="6"/>
      <c r="B33" s="7"/>
      <c r="C33" s="7"/>
      <c r="D33" s="5"/>
    </row>
    <row r="34" spans="1:4" ht="13.25" x14ac:dyDescent="0.25">
      <c r="A34" s="6"/>
      <c r="B34" s="7"/>
      <c r="C34" s="7"/>
      <c r="D34" s="5"/>
    </row>
    <row r="35" spans="1:4" ht="13.25" x14ac:dyDescent="0.25">
      <c r="A35" s="6"/>
      <c r="B35" s="7"/>
      <c r="C35" s="7"/>
      <c r="D35" s="5"/>
    </row>
    <row r="36" spans="1:4" ht="13.25" x14ac:dyDescent="0.25">
      <c r="A36" s="6"/>
      <c r="B36" s="7"/>
      <c r="C36" s="7"/>
      <c r="D36" s="5"/>
    </row>
    <row r="37" spans="1:4" ht="13.25" x14ac:dyDescent="0.25">
      <c r="A37" s="6"/>
      <c r="B37" s="7"/>
      <c r="C37" s="7"/>
      <c r="D37" s="5"/>
    </row>
    <row r="38" spans="1:4" ht="13.25" x14ac:dyDescent="0.25">
      <c r="A38" s="6"/>
      <c r="B38" s="7"/>
      <c r="C38" s="7"/>
      <c r="D38" s="5"/>
    </row>
    <row r="39" spans="1:4" ht="13.25" x14ac:dyDescent="0.25">
      <c r="A39" s="6"/>
      <c r="B39" s="7"/>
      <c r="C39" s="7"/>
      <c r="D39" s="5"/>
    </row>
    <row r="40" spans="1:4" ht="13.25" x14ac:dyDescent="0.25">
      <c r="A40" s="6"/>
      <c r="B40" s="7"/>
      <c r="C40" s="7"/>
      <c r="D40" s="5"/>
    </row>
    <row r="41" spans="1:4" x14ac:dyDescent="0.25">
      <c r="A41" s="6"/>
      <c r="B41" s="7"/>
      <c r="C41" s="7"/>
      <c r="D41" s="5"/>
    </row>
    <row r="42" spans="1:4" x14ac:dyDescent="0.25">
      <c r="A42" s="6"/>
      <c r="B42" s="7"/>
      <c r="C42" s="7"/>
      <c r="D42" s="5"/>
    </row>
    <row r="43" spans="1:4" x14ac:dyDescent="0.25">
      <c r="A43" s="6"/>
      <c r="B43" s="7"/>
      <c r="C43" s="7"/>
      <c r="D43" s="5"/>
    </row>
    <row r="44" spans="1:4" x14ac:dyDescent="0.25">
      <c r="A44" s="6"/>
      <c r="B44" s="7"/>
      <c r="C44" s="7"/>
      <c r="D44" s="5"/>
    </row>
    <row r="45" spans="1:4" x14ac:dyDescent="0.25">
      <c r="A45" s="6"/>
      <c r="B45" s="7"/>
      <c r="C45" s="7"/>
      <c r="D45" s="5"/>
    </row>
    <row r="46" spans="1:4" x14ac:dyDescent="0.25">
      <c r="A46" s="6"/>
      <c r="B46" s="7"/>
      <c r="C46" s="7"/>
      <c r="D46" s="5"/>
    </row>
    <row r="47" spans="1:4" x14ac:dyDescent="0.25">
      <c r="A47" s="6"/>
      <c r="B47" s="7"/>
      <c r="C47" s="7"/>
      <c r="D47" s="5"/>
    </row>
    <row r="48" spans="1:4" x14ac:dyDescent="0.25">
      <c r="A48" s="6"/>
      <c r="B48" s="7"/>
      <c r="C48" s="7"/>
      <c r="D48" s="5"/>
    </row>
    <row r="49" spans="1:4" x14ac:dyDescent="0.25">
      <c r="A49" s="6"/>
      <c r="B49" s="7"/>
      <c r="C49" s="7"/>
      <c r="D49" s="5"/>
    </row>
    <row r="50" spans="1:4" x14ac:dyDescent="0.25">
      <c r="A50" s="6"/>
      <c r="B50" s="7"/>
      <c r="C50" s="7"/>
      <c r="D50" s="5"/>
    </row>
    <row r="51" spans="1:4" x14ac:dyDescent="0.25">
      <c r="A51" s="6"/>
      <c r="B51" s="7"/>
      <c r="C51" s="7"/>
      <c r="D51" s="5"/>
    </row>
    <row r="52" spans="1:4" x14ac:dyDescent="0.25">
      <c r="A52" s="6"/>
      <c r="B52" s="7"/>
      <c r="C52" s="7"/>
      <c r="D52" s="5"/>
    </row>
    <row r="53" spans="1:4" x14ac:dyDescent="0.25">
      <c r="A53" s="6"/>
      <c r="B53" s="7"/>
      <c r="C53" s="7"/>
      <c r="D53" s="5"/>
    </row>
    <row r="54" spans="1:4" x14ac:dyDescent="0.25">
      <c r="A54" s="6"/>
      <c r="B54" s="7"/>
      <c r="C54" s="7"/>
      <c r="D54" s="5"/>
    </row>
    <row r="55" spans="1:4" x14ac:dyDescent="0.25">
      <c r="A55" s="6"/>
      <c r="B55" s="7"/>
      <c r="C55" s="7"/>
      <c r="D55" s="5"/>
    </row>
    <row r="56" spans="1:4" x14ac:dyDescent="0.25">
      <c r="A56" s="6"/>
      <c r="B56" s="7"/>
      <c r="C56" s="7"/>
      <c r="D56" s="5"/>
    </row>
    <row r="57" spans="1:4" x14ac:dyDescent="0.25">
      <c r="A57" s="6"/>
      <c r="B57" s="7"/>
      <c r="C57" s="7"/>
      <c r="D57" s="5"/>
    </row>
    <row r="58" spans="1:4" x14ac:dyDescent="0.25">
      <c r="A58" s="6"/>
      <c r="B58" s="7"/>
      <c r="C58" s="7"/>
      <c r="D58" s="5"/>
    </row>
    <row r="59" spans="1:4" x14ac:dyDescent="0.25">
      <c r="A59" s="6"/>
      <c r="B59" s="7"/>
      <c r="C59" s="7"/>
      <c r="D59" s="5"/>
    </row>
    <row r="60" spans="1:4" x14ac:dyDescent="0.25">
      <c r="A60" s="6"/>
      <c r="B60" s="7"/>
      <c r="C60" s="7"/>
      <c r="D60" s="5"/>
    </row>
    <row r="61" spans="1:4" x14ac:dyDescent="0.25">
      <c r="A61" s="6"/>
      <c r="B61" s="7"/>
      <c r="C61" s="7"/>
      <c r="D61" s="5"/>
    </row>
    <row r="62" spans="1:4" x14ac:dyDescent="0.25">
      <c r="A62" s="6"/>
      <c r="B62" s="7"/>
      <c r="C62" s="7"/>
      <c r="D62" s="5"/>
    </row>
    <row r="63" spans="1:4" x14ac:dyDescent="0.25">
      <c r="A63" s="6"/>
      <c r="B63" s="7"/>
      <c r="C63" s="7"/>
      <c r="D63" s="5"/>
    </row>
    <row r="64" spans="1:4" x14ac:dyDescent="0.25">
      <c r="A64" s="6"/>
      <c r="B64" s="7"/>
      <c r="C64" s="7"/>
      <c r="D64" s="5"/>
    </row>
    <row r="65" spans="1:4" x14ac:dyDescent="0.25">
      <c r="A65" s="6"/>
      <c r="B65" s="7"/>
      <c r="C65" s="7"/>
      <c r="D65" s="5"/>
    </row>
    <row r="66" spans="1:4" x14ac:dyDescent="0.25">
      <c r="A66" s="6"/>
      <c r="B66" s="7"/>
      <c r="C66" s="7"/>
      <c r="D66" s="5"/>
    </row>
    <row r="67" spans="1:4" x14ac:dyDescent="0.25">
      <c r="A67" s="6"/>
      <c r="B67" s="7"/>
      <c r="C67" s="7"/>
      <c r="D67" s="5"/>
    </row>
    <row r="68" spans="1:4" x14ac:dyDescent="0.25">
      <c r="A68" s="6"/>
      <c r="B68" s="7"/>
      <c r="C68" s="7"/>
      <c r="D68" s="5"/>
    </row>
    <row r="69" spans="1:4" x14ac:dyDescent="0.25">
      <c r="A69" s="6"/>
      <c r="B69" s="7"/>
      <c r="C69" s="7"/>
      <c r="D69" s="5"/>
    </row>
    <row r="70" spans="1:4" x14ac:dyDescent="0.25">
      <c r="A70" s="6"/>
      <c r="B70" s="7"/>
      <c r="C70" s="7"/>
      <c r="D70" s="5"/>
    </row>
    <row r="71" spans="1:4" x14ac:dyDescent="0.25">
      <c r="A71" s="6"/>
      <c r="B71" s="7"/>
      <c r="C71" s="7"/>
      <c r="D71" s="5"/>
    </row>
    <row r="72" spans="1:4" x14ac:dyDescent="0.25">
      <c r="A72" s="6"/>
      <c r="B72" s="7"/>
      <c r="C72" s="7"/>
      <c r="D72" s="5"/>
    </row>
    <row r="73" spans="1:4" x14ac:dyDescent="0.25">
      <c r="A73" s="6"/>
      <c r="B73" s="7"/>
      <c r="C73" s="7"/>
      <c r="D73" s="5"/>
    </row>
    <row r="74" spans="1:4" x14ac:dyDescent="0.25">
      <c r="A74" s="6"/>
      <c r="B74" s="7"/>
      <c r="C74" s="7"/>
      <c r="D74" s="5"/>
    </row>
    <row r="75" spans="1:4" x14ac:dyDescent="0.25">
      <c r="A75" s="6"/>
      <c r="B75" s="7"/>
      <c r="C75" s="7"/>
      <c r="D75" s="5"/>
    </row>
    <row r="76" spans="1:4" x14ac:dyDescent="0.25">
      <c r="A76" s="6"/>
      <c r="B76" s="7"/>
      <c r="C76" s="7"/>
      <c r="D76" s="5"/>
    </row>
    <row r="77" spans="1:4" x14ac:dyDescent="0.25">
      <c r="A77" s="6"/>
      <c r="B77" s="7"/>
      <c r="C77" s="7"/>
      <c r="D77" s="5"/>
    </row>
    <row r="78" spans="1:4" x14ac:dyDescent="0.25">
      <c r="A78" s="6"/>
      <c r="B78" s="7"/>
      <c r="C78" s="7"/>
      <c r="D78" s="5"/>
    </row>
    <row r="79" spans="1:4" x14ac:dyDescent="0.25">
      <c r="A79" s="6"/>
      <c r="B79" s="7"/>
      <c r="C79" s="7"/>
      <c r="D79" s="5"/>
    </row>
    <row r="80" spans="1:4" x14ac:dyDescent="0.25">
      <c r="A80" s="6"/>
      <c r="B80" s="7"/>
      <c r="C80" s="7"/>
      <c r="D80" s="5"/>
    </row>
    <row r="81" spans="1:4" x14ac:dyDescent="0.25">
      <c r="A81" s="6"/>
      <c r="B81" s="7"/>
      <c r="C81" s="7"/>
      <c r="D81" s="5"/>
    </row>
    <row r="82" spans="1:4" x14ac:dyDescent="0.25">
      <c r="A82" s="6"/>
      <c r="B82" s="7"/>
      <c r="C82" s="7"/>
      <c r="D82" s="5"/>
    </row>
    <row r="83" spans="1:4" x14ac:dyDescent="0.25">
      <c r="A83" s="6"/>
      <c r="B83" s="7"/>
      <c r="C83" s="7"/>
      <c r="D83" s="5"/>
    </row>
    <row r="84" spans="1:4" x14ac:dyDescent="0.25">
      <c r="A84" s="6"/>
      <c r="B84" s="7"/>
      <c r="C84" s="7"/>
      <c r="D84" s="5"/>
    </row>
    <row r="85" spans="1:4" x14ac:dyDescent="0.25">
      <c r="A85" s="6"/>
      <c r="B85" s="7"/>
      <c r="C85" s="7"/>
      <c r="D85" s="5"/>
    </row>
    <row r="86" spans="1:4" x14ac:dyDescent="0.25">
      <c r="A86" s="6"/>
      <c r="B86" s="7"/>
      <c r="C86" s="7"/>
      <c r="D86" s="5"/>
    </row>
    <row r="87" spans="1:4" x14ac:dyDescent="0.25">
      <c r="A87" s="6"/>
      <c r="B87" s="7"/>
      <c r="C87" s="7"/>
      <c r="D87" s="5"/>
    </row>
    <row r="88" spans="1:4" x14ac:dyDescent="0.25">
      <c r="A88" s="6"/>
      <c r="B88" s="7"/>
      <c r="C88" s="7"/>
      <c r="D88" s="5"/>
    </row>
    <row r="89" spans="1:4" x14ac:dyDescent="0.25">
      <c r="A89" s="6"/>
      <c r="B89" s="7"/>
      <c r="C89" s="7"/>
      <c r="D89" s="5"/>
    </row>
    <row r="90" spans="1:4" x14ac:dyDescent="0.25">
      <c r="A90" s="6"/>
      <c r="B90" s="7"/>
      <c r="C90" s="7"/>
      <c r="D90" s="5"/>
    </row>
    <row r="91" spans="1:4" x14ac:dyDescent="0.25">
      <c r="A91" s="6"/>
      <c r="B91" s="7"/>
      <c r="C91" s="7"/>
      <c r="D91" s="5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4"/>
  <sheetViews>
    <sheetView showGridLines="0" zoomScaleNormal="100" workbookViewId="0">
      <selection activeCell="E26" sqref="E26"/>
    </sheetView>
  </sheetViews>
  <sheetFormatPr defaultColWidth="15.81640625" defaultRowHeight="12.5" x14ac:dyDescent="0.25"/>
  <cols>
    <col min="1" max="1" width="15.81640625" style="8" customWidth="1"/>
    <col min="2" max="2" width="30.81640625" style="8" customWidth="1"/>
  </cols>
  <sheetData>
    <row r="1" spans="1:3" ht="15.75" customHeight="1" x14ac:dyDescent="0.25">
      <c r="B1" s="20" t="s">
        <v>4</v>
      </c>
    </row>
    <row r="2" spans="1:3" ht="12.75" customHeight="1" x14ac:dyDescent="0.5">
      <c r="A2" s="19"/>
      <c r="B2" s="19"/>
      <c r="C2" s="19"/>
    </row>
    <row r="4" spans="1:3" x14ac:dyDescent="0.25">
      <c r="A4" s="18" t="s">
        <v>14</v>
      </c>
    </row>
    <row r="5" spans="1:3" x14ac:dyDescent="0.25">
      <c r="A5"/>
      <c r="B5" s="17" t="s">
        <v>12</v>
      </c>
    </row>
    <row r="6" spans="1:3" x14ac:dyDescent="0.25">
      <c r="A6"/>
    </row>
    <row r="7" spans="1:3" x14ac:dyDescent="0.25">
      <c r="A7" s="18" t="s">
        <v>13</v>
      </c>
    </row>
    <row r="8" spans="1:3" x14ac:dyDescent="0.25">
      <c r="A8"/>
      <c r="B8" s="17" t="s">
        <v>15</v>
      </c>
    </row>
    <row r="9" spans="1:3" x14ac:dyDescent="0.25">
      <c r="A9"/>
      <c r="B9" s="17"/>
    </row>
    <row r="10" spans="1:3" x14ac:dyDescent="0.25">
      <c r="A10" s="18" t="s">
        <v>33</v>
      </c>
    </row>
    <row r="11" spans="1:3" x14ac:dyDescent="0.25">
      <c r="A11"/>
      <c r="B11" s="17" t="s">
        <v>31</v>
      </c>
    </row>
    <row r="13" spans="1:3" x14ac:dyDescent="0.25">
      <c r="A13" s="18" t="s">
        <v>32</v>
      </c>
    </row>
    <row r="14" spans="1:3" x14ac:dyDescent="0.25">
      <c r="A14"/>
      <c r="B14" s="17" t="s">
        <v>34</v>
      </c>
    </row>
  </sheetData>
  <hyperlinks>
    <hyperlink ref="B5" location="Upfront" display="Upfront Commission" xr:uid="{00000000-0004-0000-0100-000000000000}"/>
    <hyperlink ref="B8" location="trail_comm_rate" display="Trail Commission" xr:uid="{00000000-0004-0000-0100-000001000000}"/>
    <hyperlink ref="B11" location="LicensingFee" display="Licensing Fee &amp; Rate-lock Expense" xr:uid="{00000000-0004-0000-0100-000002000000}"/>
    <hyperlink ref="B14" location="InflationRate" display="Inflation Rate" xr:uid="{00000000-0004-0000-0100-000003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8"/>
  <sheetViews>
    <sheetView tabSelected="1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A13" sqref="AA13:AB13"/>
    </sheetView>
  </sheetViews>
  <sheetFormatPr defaultRowHeight="12.5" outlineLevelCol="1" x14ac:dyDescent="0.25"/>
  <cols>
    <col min="1" max="1" width="9.81640625" bestFit="1" customWidth="1"/>
    <col min="2" max="3" width="9.1796875" style="30"/>
    <col min="4" max="4" width="10.54296875" style="27" customWidth="1"/>
    <col min="5" max="5" width="10.54296875" style="27" hidden="1" customWidth="1" outlineLevel="1"/>
    <col min="6" max="6" width="12.453125" style="27" hidden="1" customWidth="1" outlineLevel="1"/>
    <col min="7" max="7" width="10.54296875" style="27" hidden="1" customWidth="1" outlineLevel="1"/>
    <col min="8" max="8" width="12.453125" style="27" hidden="1" customWidth="1" outlineLevel="1"/>
    <col min="9" max="9" width="10.54296875" style="27" hidden="1" customWidth="1" outlineLevel="1"/>
    <col min="10" max="10" width="12.453125" style="27" hidden="1" customWidth="1" outlineLevel="1"/>
    <col min="11" max="11" width="17" style="27" hidden="1" customWidth="1" outlineLevel="1"/>
    <col min="12" max="12" width="16.453125" style="27" hidden="1" customWidth="1" outlineLevel="1"/>
    <col min="13" max="13" width="17" style="27" hidden="1" customWidth="1" outlineLevel="1"/>
    <col min="14" max="16" width="16.453125" style="27" hidden="1" customWidth="1" outlineLevel="1"/>
    <col min="17" max="17" width="10.54296875" style="27" hidden="1" customWidth="1" outlineLevel="1"/>
    <col min="18" max="18" width="12.453125" style="27" hidden="1" customWidth="1" outlineLevel="1"/>
    <col min="19" max="19" width="16.1796875" style="27" hidden="1" customWidth="1" outlineLevel="1"/>
    <col min="20" max="20" width="15.81640625" style="27" hidden="1" customWidth="1" outlineLevel="1"/>
    <col min="21" max="21" width="16.1796875" style="27" hidden="1" customWidth="1" outlineLevel="1"/>
    <col min="22" max="22" width="16.453125" style="27" hidden="1" customWidth="1" outlineLevel="1"/>
    <col min="23" max="23" width="8.7265625" collapsed="1"/>
  </cols>
  <sheetData>
    <row r="1" spans="1:24" ht="15.5" x14ac:dyDescent="0.25">
      <c r="A1" s="13" t="s">
        <v>6</v>
      </c>
      <c r="B1" s="12" t="s">
        <v>30</v>
      </c>
      <c r="C1" s="1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4" ht="15.5" x14ac:dyDescent="0.25">
      <c r="A2" s="13"/>
      <c r="B2" s="12"/>
      <c r="C2" s="1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</row>
    <row r="3" spans="1:24" ht="13" x14ac:dyDescent="0.25">
      <c r="A3" s="14"/>
      <c r="B3" s="15" t="str">
        <f ca="1">GetNameRange(B5)</f>
        <v>Upfront</v>
      </c>
      <c r="C3" s="15"/>
      <c r="D3" s="23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</row>
    <row r="4" spans="1:24" ht="37.5" x14ac:dyDescent="0.25">
      <c r="A4" s="14" t="s">
        <v>7</v>
      </c>
      <c r="B4" s="28" t="s">
        <v>9</v>
      </c>
      <c r="C4" s="38"/>
      <c r="D4" s="34" t="s">
        <v>16</v>
      </c>
      <c r="E4" s="34" t="s">
        <v>18</v>
      </c>
      <c r="F4" s="34" t="s">
        <v>18</v>
      </c>
      <c r="G4" s="34" t="s">
        <v>40</v>
      </c>
      <c r="H4" s="34" t="s">
        <v>40</v>
      </c>
      <c r="I4" s="43" t="s">
        <v>46</v>
      </c>
      <c r="J4" s="43" t="s">
        <v>46</v>
      </c>
      <c r="K4" s="47" t="s">
        <v>49</v>
      </c>
      <c r="L4" s="47" t="s">
        <v>49</v>
      </c>
      <c r="M4" s="57" t="s">
        <v>74</v>
      </c>
      <c r="N4" s="57" t="s">
        <v>74</v>
      </c>
      <c r="O4" s="58" t="s">
        <v>80</v>
      </c>
      <c r="P4" s="58" t="s">
        <v>80</v>
      </c>
      <c r="Q4" s="43" t="s">
        <v>38</v>
      </c>
      <c r="R4" s="43" t="s">
        <v>38</v>
      </c>
      <c r="S4" s="48" t="s">
        <v>48</v>
      </c>
      <c r="T4" s="48" t="s">
        <v>48</v>
      </c>
      <c r="U4" s="54" t="s">
        <v>75</v>
      </c>
      <c r="V4" s="54" t="s">
        <v>75</v>
      </c>
      <c r="W4" s="60" t="s">
        <v>86</v>
      </c>
      <c r="X4" s="60" t="str">
        <f>W4</f>
        <v>RILA_4.33_2.45age81</v>
      </c>
    </row>
    <row r="5" spans="1:24" s="37" customFormat="1" ht="13" x14ac:dyDescent="0.25">
      <c r="A5" s="35"/>
      <c r="B5" s="36" t="s">
        <v>10</v>
      </c>
      <c r="C5" s="40"/>
      <c r="D5" s="34">
        <v>0</v>
      </c>
      <c r="E5" s="34">
        <v>0</v>
      </c>
      <c r="F5" s="34">
        <v>81</v>
      </c>
      <c r="G5" s="34">
        <v>0</v>
      </c>
      <c r="H5" s="34">
        <v>81</v>
      </c>
      <c r="I5" s="34">
        <v>0</v>
      </c>
      <c r="J5" s="34">
        <v>81</v>
      </c>
      <c r="K5" s="34">
        <v>0</v>
      </c>
      <c r="L5" s="34">
        <v>81</v>
      </c>
      <c r="M5" s="34">
        <v>0</v>
      </c>
      <c r="N5" s="34">
        <v>81</v>
      </c>
      <c r="O5" s="34">
        <v>0</v>
      </c>
      <c r="P5" s="34">
        <v>81</v>
      </c>
      <c r="Q5" s="34">
        <v>0</v>
      </c>
      <c r="R5" s="34">
        <v>81</v>
      </c>
      <c r="S5" s="44">
        <v>0</v>
      </c>
      <c r="T5" s="44">
        <v>81</v>
      </c>
      <c r="U5" s="44">
        <v>0</v>
      </c>
      <c r="V5" s="44">
        <v>81</v>
      </c>
      <c r="W5" s="63">
        <v>0</v>
      </c>
      <c r="X5" s="63">
        <v>81</v>
      </c>
    </row>
    <row r="6" spans="1:24" ht="13" x14ac:dyDescent="0.3">
      <c r="A6" s="21" t="s">
        <v>5</v>
      </c>
      <c r="B6" s="31" t="s">
        <v>8</v>
      </c>
      <c r="C6" s="31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45"/>
      <c r="T6" s="45"/>
      <c r="U6" s="45"/>
      <c r="V6" s="45"/>
      <c r="W6" s="64"/>
      <c r="X6" s="64"/>
    </row>
    <row r="7" spans="1:24" x14ac:dyDescent="0.25">
      <c r="A7" s="14"/>
      <c r="B7" s="29">
        <v>1</v>
      </c>
      <c r="C7" s="29"/>
      <c r="D7" s="33">
        <v>0</v>
      </c>
      <c r="E7" s="33">
        <v>3.5000000000000003E-2</v>
      </c>
      <c r="F7" s="33">
        <v>0.02</v>
      </c>
      <c r="G7" s="33">
        <v>3.2099999999999997E-2</v>
      </c>
      <c r="H7" s="33">
        <v>1.4800000000000001E-2</v>
      </c>
      <c r="I7" s="33">
        <v>3.27E-2</v>
      </c>
      <c r="J7" s="33">
        <v>1.41E-2</v>
      </c>
      <c r="K7" s="33">
        <v>3.2099999999999997E-2</v>
      </c>
      <c r="L7" s="33">
        <v>1.4800000000000001E-2</v>
      </c>
      <c r="M7" s="33">
        <v>2.9499999999999998E-2</v>
      </c>
      <c r="N7" s="33">
        <v>1.7899999999999999E-2</v>
      </c>
      <c r="O7" s="33">
        <f>ROUND(M7+0.059655%,4)</f>
        <v>3.0099999999999998E-2</v>
      </c>
      <c r="P7" s="33">
        <f>ROUND(N7+0.059655%,4)</f>
        <v>1.8499999999999999E-2</v>
      </c>
      <c r="Q7" s="33">
        <v>4.2500000000000003E-2</v>
      </c>
      <c r="R7" s="33">
        <v>0.02</v>
      </c>
      <c r="S7" s="46">
        <v>4.6699999999999998E-2</v>
      </c>
      <c r="T7" s="46">
        <v>2.4199999999999999E-2</v>
      </c>
      <c r="U7" s="46">
        <v>4.65E-2</v>
      </c>
      <c r="V7" s="46">
        <v>2.5000000000000001E-2</v>
      </c>
      <c r="W7" s="62">
        <v>4.3299999999999998E-2</v>
      </c>
      <c r="X7" s="62">
        <v>2.4500000000000001E-2</v>
      </c>
    </row>
    <row r="8" spans="1:24" x14ac:dyDescent="0.25">
      <c r="A8" s="14"/>
      <c r="B8" s="29">
        <v>2</v>
      </c>
      <c r="C8" s="29"/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f>M8</f>
        <v>0</v>
      </c>
      <c r="P8" s="33">
        <f>N8</f>
        <v>0</v>
      </c>
      <c r="Q8" s="33">
        <v>0</v>
      </c>
      <c r="R8" s="33">
        <v>0</v>
      </c>
      <c r="S8" s="46">
        <v>0</v>
      </c>
      <c r="T8" s="46">
        <v>0</v>
      </c>
      <c r="U8" s="46">
        <v>0</v>
      </c>
      <c r="V8" s="46">
        <v>0</v>
      </c>
      <c r="W8" s="62">
        <v>0</v>
      </c>
      <c r="X8" s="62">
        <v>0</v>
      </c>
    </row>
  </sheetData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11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U14" sqref="U14"/>
    </sheetView>
  </sheetViews>
  <sheetFormatPr defaultRowHeight="12.5" outlineLevelCol="1" x14ac:dyDescent="0.25"/>
  <cols>
    <col min="1" max="1" width="9.81640625" bestFit="1" customWidth="1"/>
    <col min="2" max="3" width="9.1796875" style="30"/>
    <col min="4" max="4" width="10.54296875" style="27" customWidth="1"/>
    <col min="5" max="15" width="12.453125" style="27" hidden="1" customWidth="1" outlineLevel="1"/>
    <col min="16" max="17" width="13.453125" style="27" hidden="1" customWidth="1" outlineLevel="1"/>
    <col min="18" max="18" width="8.7265625" collapsed="1"/>
  </cols>
  <sheetData>
    <row r="1" spans="1:19" ht="15.5" x14ac:dyDescent="0.25">
      <c r="A1" s="13" t="s">
        <v>6</v>
      </c>
      <c r="B1" s="12" t="s">
        <v>11</v>
      </c>
      <c r="C1" s="1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9" ht="15.5" x14ac:dyDescent="0.25">
      <c r="A2" s="13"/>
      <c r="B2" s="12"/>
      <c r="C2" s="1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9" ht="13" x14ac:dyDescent="0.25">
      <c r="A3" s="14"/>
      <c r="B3" s="15" t="str">
        <f ca="1">GetNameRange(B5)</f>
        <v>trail_comm_rate</v>
      </c>
      <c r="C3" s="15"/>
      <c r="D3" s="23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</row>
    <row r="4" spans="1:19" ht="37.5" x14ac:dyDescent="0.25">
      <c r="A4" s="14" t="s">
        <v>7</v>
      </c>
      <c r="B4" s="28" t="s">
        <v>9</v>
      </c>
      <c r="C4" s="38"/>
      <c r="D4" s="34" t="s">
        <v>16</v>
      </c>
      <c r="E4" s="34" t="s">
        <v>17</v>
      </c>
      <c r="F4" s="34" t="s">
        <v>41</v>
      </c>
      <c r="G4" s="34" t="s">
        <v>41</v>
      </c>
      <c r="H4" s="43" t="s">
        <v>47</v>
      </c>
      <c r="I4" s="43" t="s">
        <v>47</v>
      </c>
      <c r="J4" s="47" t="s">
        <v>50</v>
      </c>
      <c r="K4" s="47" t="s">
        <v>50</v>
      </c>
      <c r="L4" s="55" t="s">
        <v>69</v>
      </c>
      <c r="M4" s="55" t="s">
        <v>69</v>
      </c>
      <c r="N4" s="43" t="s">
        <v>39</v>
      </c>
      <c r="O4" s="43" t="s">
        <v>39</v>
      </c>
      <c r="P4" s="55" t="s">
        <v>76</v>
      </c>
      <c r="Q4" s="55" t="s">
        <v>76</v>
      </c>
      <c r="R4" s="60" t="s">
        <v>87</v>
      </c>
      <c r="S4" s="60" t="str">
        <f>R4</f>
        <v>RILA_41_age81_32yr2</v>
      </c>
    </row>
    <row r="5" spans="1:19" s="37" customFormat="1" ht="13" x14ac:dyDescent="0.25">
      <c r="A5" s="35"/>
      <c r="B5" s="36" t="s">
        <v>10</v>
      </c>
      <c r="C5" s="40"/>
      <c r="D5" s="34">
        <v>0</v>
      </c>
      <c r="E5" s="34">
        <v>0</v>
      </c>
      <c r="F5" s="34">
        <v>0</v>
      </c>
      <c r="G5" s="34">
        <v>81</v>
      </c>
      <c r="H5" s="34">
        <v>0</v>
      </c>
      <c r="I5" s="34">
        <v>81</v>
      </c>
      <c r="J5" s="34">
        <v>0</v>
      </c>
      <c r="K5" s="34">
        <v>81</v>
      </c>
      <c r="L5" s="34">
        <v>0</v>
      </c>
      <c r="M5" s="34">
        <v>81</v>
      </c>
      <c r="N5" s="34">
        <v>0</v>
      </c>
      <c r="O5" s="34">
        <v>81</v>
      </c>
      <c r="P5" s="34">
        <v>0</v>
      </c>
      <c r="Q5" s="34">
        <v>81</v>
      </c>
      <c r="R5" s="60">
        <v>0</v>
      </c>
      <c r="S5" s="60">
        <v>81</v>
      </c>
    </row>
    <row r="6" spans="1:19" ht="13" x14ac:dyDescent="0.3">
      <c r="A6" s="21" t="s">
        <v>5</v>
      </c>
      <c r="B6" s="31" t="s">
        <v>8</v>
      </c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61"/>
      <c r="S6" s="61"/>
    </row>
    <row r="7" spans="1:19" x14ac:dyDescent="0.25">
      <c r="A7" s="14"/>
      <c r="B7" s="29">
        <v>1</v>
      </c>
      <c r="C7" s="29"/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62">
        <v>0</v>
      </c>
      <c r="S7" s="62">
        <v>0</v>
      </c>
    </row>
    <row r="8" spans="1:19" x14ac:dyDescent="0.25">
      <c r="A8" s="14"/>
      <c r="B8" s="29">
        <v>2</v>
      </c>
      <c r="C8" s="29"/>
      <c r="D8" s="33">
        <v>0</v>
      </c>
      <c r="E8" s="33">
        <v>5.0000000000000001E-4</v>
      </c>
      <c r="F8" s="33">
        <v>1.1999999999999999E-3</v>
      </c>
      <c r="G8" s="33">
        <v>1.9E-3</v>
      </c>
      <c r="H8" s="33">
        <v>1E-3</v>
      </c>
      <c r="I8" s="33">
        <v>2.0999999999999999E-3</v>
      </c>
      <c r="J8" s="33">
        <v>8.9999999999999998E-4</v>
      </c>
      <c r="K8" s="33">
        <v>2.0999999999999999E-3</v>
      </c>
      <c r="L8" s="33">
        <v>1.4E-3</v>
      </c>
      <c r="M8" s="33">
        <v>1.6000000000000001E-3</v>
      </c>
      <c r="N8" s="33">
        <v>0</v>
      </c>
      <c r="O8" s="33">
        <v>1.5E-3</v>
      </c>
      <c r="P8" s="33">
        <v>2.0000000000000001E-4</v>
      </c>
      <c r="Q8" s="33">
        <v>1.5E-3</v>
      </c>
      <c r="R8" s="62">
        <v>4.1000000000000003E-3</v>
      </c>
      <c r="S8" s="62">
        <v>3.2000000000000002E-3</v>
      </c>
    </row>
    <row r="10" spans="1:19" x14ac:dyDescent="0.25">
      <c r="S10" s="27"/>
    </row>
    <row r="11" spans="1:19" x14ac:dyDescent="0.25">
      <c r="S11" s="27"/>
    </row>
  </sheetData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23"/>
  <sheetViews>
    <sheetView zoomScaleNormal="100" workbookViewId="0">
      <pane xSplit="2" ySplit="5" topLeftCell="I6" activePane="bottomRight" state="frozen"/>
      <selection pane="topRight" activeCell="C1" sqref="C1"/>
      <selection pane="bottomLeft" activeCell="A7" sqref="A7"/>
      <selection pane="bottomRight" sqref="A1:XFD1048576"/>
    </sheetView>
  </sheetViews>
  <sheetFormatPr defaultRowHeight="12.5" x14ac:dyDescent="0.25"/>
  <cols>
    <col min="1" max="1" width="9.81640625" bestFit="1" customWidth="1"/>
    <col min="2" max="10" width="9.1796875" style="30"/>
    <col min="12" max="12" width="9.1796875" style="30"/>
    <col min="13" max="13" width="9.1796875" style="27"/>
    <col min="14" max="14" width="10.54296875" style="27" customWidth="1"/>
    <col min="15" max="17" width="9.1796875" style="30"/>
    <col min="18" max="18" width="12.81640625" style="30" customWidth="1"/>
    <col min="19" max="19" width="8.81640625" style="30"/>
    <col min="20" max="20" width="9.1796875" style="27" customWidth="1"/>
    <col min="21" max="21" width="10.54296875" style="27" customWidth="1"/>
    <col min="22" max="26" width="8.81640625" style="30"/>
    <col min="27" max="28" width="9.1796875" style="30"/>
    <col min="29" max="29" width="15.1796875" style="27" customWidth="1"/>
    <col min="30" max="30" width="10.54296875" style="27" customWidth="1"/>
    <col min="31" max="31" width="17.1796875" style="27" customWidth="1"/>
    <col min="32" max="32" width="14.453125" style="27" customWidth="1"/>
  </cols>
  <sheetData>
    <row r="1" spans="1:32" ht="15.5" x14ac:dyDescent="0.25">
      <c r="A1" s="13" t="s">
        <v>6</v>
      </c>
      <c r="B1" s="12" t="s">
        <v>31</v>
      </c>
      <c r="C1" s="12"/>
      <c r="D1" s="12"/>
      <c r="E1" s="12"/>
      <c r="F1" s="12"/>
      <c r="G1" s="12"/>
      <c r="H1" s="12"/>
      <c r="I1" s="12"/>
      <c r="J1" s="12"/>
      <c r="L1" s="12"/>
      <c r="M1" s="22"/>
      <c r="N1" s="22"/>
      <c r="O1" s="12"/>
      <c r="P1" s="12"/>
      <c r="Q1" s="12"/>
      <c r="R1" s="12"/>
      <c r="S1" s="12"/>
      <c r="T1" s="22"/>
      <c r="U1" s="22"/>
      <c r="V1" s="12"/>
      <c r="W1" s="12"/>
      <c r="X1" s="12"/>
      <c r="Y1" s="12"/>
      <c r="Z1" s="12"/>
      <c r="AA1" s="12"/>
      <c r="AB1" s="12"/>
      <c r="AC1" s="22"/>
      <c r="AD1" s="22"/>
      <c r="AE1" s="22"/>
      <c r="AF1" s="22"/>
    </row>
    <row r="2" spans="1:32" ht="15.5" x14ac:dyDescent="0.25">
      <c r="A2" s="13"/>
      <c r="B2" s="12"/>
      <c r="C2" s="12"/>
      <c r="D2" s="12"/>
      <c r="E2" s="12"/>
      <c r="F2" s="12"/>
      <c r="G2" s="12"/>
      <c r="H2" s="12"/>
      <c r="I2" s="12"/>
      <c r="J2" s="12"/>
      <c r="L2" s="12"/>
      <c r="M2" s="22"/>
      <c r="N2" s="22"/>
      <c r="O2" s="12"/>
      <c r="P2" s="12"/>
      <c r="Q2" s="12"/>
      <c r="R2" s="12"/>
      <c r="S2" s="12"/>
      <c r="T2" s="22"/>
      <c r="U2" s="22"/>
      <c r="V2" s="12"/>
      <c r="W2" s="12"/>
      <c r="X2" s="12"/>
      <c r="Y2" s="12"/>
      <c r="Z2" s="12"/>
      <c r="AA2" s="12"/>
      <c r="AB2" s="12"/>
      <c r="AC2" s="22"/>
      <c r="AD2" s="22"/>
      <c r="AE2" s="22"/>
      <c r="AF2" s="22"/>
    </row>
    <row r="3" spans="1:32" ht="13" x14ac:dyDescent="0.25">
      <c r="A3" s="14"/>
      <c r="B3" s="15" t="str">
        <f ca="1">GetNameRange(B5)</f>
        <v>LicensingFee</v>
      </c>
      <c r="C3" s="15"/>
      <c r="D3" s="15"/>
      <c r="E3" s="15"/>
      <c r="F3" s="15"/>
      <c r="G3" s="15"/>
      <c r="H3" s="15"/>
      <c r="I3" s="15"/>
      <c r="J3" s="15"/>
      <c r="L3" s="15"/>
      <c r="M3" s="24"/>
      <c r="N3" s="23"/>
      <c r="O3" s="15"/>
      <c r="P3" s="15"/>
      <c r="Q3" s="15"/>
      <c r="R3" s="15"/>
      <c r="S3" s="15"/>
      <c r="T3" s="24"/>
      <c r="U3" s="23"/>
      <c r="V3" s="15"/>
      <c r="W3" s="15"/>
      <c r="X3" s="15"/>
      <c r="Y3" s="15"/>
      <c r="Z3" s="15"/>
      <c r="AA3" s="15"/>
      <c r="AB3" s="15"/>
      <c r="AC3" s="24"/>
      <c r="AD3" s="23"/>
      <c r="AE3" s="23"/>
      <c r="AF3" s="23"/>
    </row>
    <row r="4" spans="1:32" ht="22.5" customHeight="1" x14ac:dyDescent="0.25">
      <c r="A4" s="14" t="s">
        <v>7</v>
      </c>
      <c r="B4" s="28" t="s">
        <v>9</v>
      </c>
      <c r="C4" s="38"/>
      <c r="D4" s="34" t="s">
        <v>28</v>
      </c>
      <c r="E4" s="34" t="s">
        <v>77</v>
      </c>
      <c r="F4" s="34" t="s">
        <v>78</v>
      </c>
      <c r="G4" s="34" t="s">
        <v>70</v>
      </c>
      <c r="H4" s="34" t="s">
        <v>71</v>
      </c>
      <c r="I4" s="34" t="s">
        <v>72</v>
      </c>
      <c r="J4" s="34" t="s">
        <v>73</v>
      </c>
      <c r="K4" s="34" t="s">
        <v>22</v>
      </c>
      <c r="L4" s="34" t="s">
        <v>62</v>
      </c>
      <c r="M4" s="34" t="s">
        <v>63</v>
      </c>
      <c r="N4" s="34" t="s">
        <v>64</v>
      </c>
      <c r="O4" s="34" t="s">
        <v>65</v>
      </c>
      <c r="P4" s="34" t="s">
        <v>66</v>
      </c>
      <c r="Q4" s="34" t="s">
        <v>67</v>
      </c>
      <c r="R4" s="34" t="s">
        <v>61</v>
      </c>
      <c r="S4" s="34" t="s">
        <v>54</v>
      </c>
      <c r="T4" s="34" t="s">
        <v>55</v>
      </c>
      <c r="U4" s="34" t="s">
        <v>56</v>
      </c>
      <c r="V4" s="34" t="s">
        <v>57</v>
      </c>
      <c r="W4" s="34" t="s">
        <v>58</v>
      </c>
      <c r="X4" s="34" t="s">
        <v>53</v>
      </c>
      <c r="Y4" s="34" t="s">
        <v>59</v>
      </c>
      <c r="Z4" s="34" t="s">
        <v>43</v>
      </c>
      <c r="AA4" s="34" t="s">
        <v>37</v>
      </c>
      <c r="AB4" s="34" t="s">
        <v>20</v>
      </c>
      <c r="AC4" s="34" t="s">
        <v>21</v>
      </c>
      <c r="AD4" s="34" t="s">
        <v>42</v>
      </c>
      <c r="AE4" s="34" t="s">
        <v>23</v>
      </c>
      <c r="AF4" s="34" t="s">
        <v>19</v>
      </c>
    </row>
    <row r="5" spans="1:32" ht="13" x14ac:dyDescent="0.3">
      <c r="A5" s="21" t="s">
        <v>5</v>
      </c>
      <c r="B5" s="31" t="s">
        <v>8</v>
      </c>
      <c r="C5" s="31"/>
      <c r="D5" s="31"/>
      <c r="E5" s="32"/>
      <c r="F5" s="32"/>
      <c r="G5" s="32"/>
      <c r="H5" s="32"/>
      <c r="I5" s="32"/>
      <c r="J5" s="32"/>
      <c r="K5" s="32"/>
      <c r="L5" s="31"/>
      <c r="M5" s="26"/>
      <c r="N5" s="26"/>
      <c r="O5" s="49"/>
      <c r="P5" s="51"/>
      <c r="Q5" s="51"/>
      <c r="R5" s="51"/>
      <c r="S5" s="31"/>
      <c r="T5" s="26"/>
      <c r="U5" s="26"/>
      <c r="V5" s="49"/>
      <c r="W5" s="51"/>
      <c r="X5" s="51"/>
      <c r="Y5" s="49"/>
      <c r="Z5" s="31"/>
      <c r="AA5" s="31"/>
      <c r="AB5" s="31"/>
      <c r="AC5" s="32"/>
      <c r="AD5" s="32"/>
      <c r="AE5" s="32"/>
      <c r="AF5" s="32"/>
    </row>
    <row r="6" spans="1:32" x14ac:dyDescent="0.25">
      <c r="A6" s="14"/>
      <c r="B6" s="29">
        <v>1</v>
      </c>
      <c r="C6" s="29"/>
      <c r="D6" s="42">
        <v>0</v>
      </c>
      <c r="E6" s="56">
        <f t="shared" ref="E6:E18" si="0">G6+0.05%</f>
        <v>2.3E-3</v>
      </c>
      <c r="F6" s="56">
        <f t="shared" ref="F6:F18" si="1">H6+0.05%</f>
        <v>4.0999999999999995E-3</v>
      </c>
      <c r="G6" s="56">
        <f t="shared" ref="G6:G18" si="2">$K6+0.02%+0.05%+0.04%</f>
        <v>1.8E-3</v>
      </c>
      <c r="H6" s="56">
        <f t="shared" ref="H6:H18" si="3">G6+0.18%</f>
        <v>3.5999999999999999E-3</v>
      </c>
      <c r="I6" s="56">
        <f t="shared" ref="I6:I18" si="4">$K6+0.05%+0.05%+0.04%</f>
        <v>2.1000000000000003E-3</v>
      </c>
      <c r="J6" s="56">
        <f t="shared" ref="J6:J18" si="5">I6+0.2%</f>
        <v>4.1000000000000003E-3</v>
      </c>
      <c r="K6" s="42">
        <v>6.9999999999999999E-4</v>
      </c>
      <c r="L6" s="42">
        <f t="shared" ref="L6:R8" si="6">L$9+IF($B6&lt;=3,0.07%,0)</f>
        <v>1.4000000000000002E-3</v>
      </c>
      <c r="M6" s="42">
        <f t="shared" si="6"/>
        <v>1.9E-3</v>
      </c>
      <c r="N6" s="42">
        <f t="shared" si="6"/>
        <v>2E-3</v>
      </c>
      <c r="O6" s="42">
        <f t="shared" si="6"/>
        <v>2.1000000000000003E-3</v>
      </c>
      <c r="P6" s="42">
        <f t="shared" si="6"/>
        <v>1.8000000000000002E-3</v>
      </c>
      <c r="Q6" s="42">
        <f t="shared" si="6"/>
        <v>2.2000000000000001E-3</v>
      </c>
      <c r="R6" s="42">
        <f t="shared" si="6"/>
        <v>1.7000000000000001E-3</v>
      </c>
      <c r="S6" s="42">
        <v>1.1999999999999999E-3</v>
      </c>
      <c r="T6" s="42">
        <v>1.6000000000000001E-3</v>
      </c>
      <c r="U6" s="42">
        <v>2.2000000000000001E-3</v>
      </c>
      <c r="V6" s="42">
        <v>2.2000000000000001E-3</v>
      </c>
      <c r="W6" s="42">
        <v>1.9E-3</v>
      </c>
      <c r="X6" s="42">
        <v>2.2000000000000001E-3</v>
      </c>
      <c r="Y6" s="42">
        <v>3.2000000000000002E-3</v>
      </c>
      <c r="Z6" s="42">
        <v>1.1999999999999999E-3</v>
      </c>
      <c r="AA6" s="42">
        <v>1.9E-3</v>
      </c>
      <c r="AB6" s="42">
        <v>1.5E-3</v>
      </c>
      <c r="AC6" s="42">
        <v>2.2000000000000001E-3</v>
      </c>
      <c r="AD6" s="42">
        <v>2.2000000000000001E-3</v>
      </c>
      <c r="AE6" s="42">
        <v>2.2000000000000001E-3</v>
      </c>
      <c r="AF6" s="42">
        <v>3.2000000000000002E-3</v>
      </c>
    </row>
    <row r="7" spans="1:32" x14ac:dyDescent="0.25">
      <c r="A7" s="14"/>
      <c r="B7" s="29">
        <f t="shared" ref="B7:B18" si="7">B6+1</f>
        <v>2</v>
      </c>
      <c r="C7" s="29"/>
      <c r="D7" s="42">
        <v>0</v>
      </c>
      <c r="E7" s="56">
        <f t="shared" si="0"/>
        <v>2.3E-3</v>
      </c>
      <c r="F7" s="56">
        <f t="shared" si="1"/>
        <v>4.0999999999999995E-3</v>
      </c>
      <c r="G7" s="56">
        <f t="shared" si="2"/>
        <v>1.8E-3</v>
      </c>
      <c r="H7" s="56">
        <f t="shared" si="3"/>
        <v>3.5999999999999999E-3</v>
      </c>
      <c r="I7" s="56">
        <f t="shared" si="4"/>
        <v>2.1000000000000003E-3</v>
      </c>
      <c r="J7" s="56">
        <f t="shared" si="5"/>
        <v>4.1000000000000003E-3</v>
      </c>
      <c r="K7" s="42">
        <v>6.9999999999999999E-4</v>
      </c>
      <c r="L7" s="42">
        <f t="shared" si="6"/>
        <v>1.4000000000000002E-3</v>
      </c>
      <c r="M7" s="42">
        <f t="shared" si="6"/>
        <v>1.9E-3</v>
      </c>
      <c r="N7" s="42">
        <f t="shared" si="6"/>
        <v>2E-3</v>
      </c>
      <c r="O7" s="42">
        <f t="shared" si="6"/>
        <v>2.1000000000000003E-3</v>
      </c>
      <c r="P7" s="42">
        <f t="shared" si="6"/>
        <v>1.8000000000000002E-3</v>
      </c>
      <c r="Q7" s="42">
        <f t="shared" si="6"/>
        <v>2.2000000000000001E-3</v>
      </c>
      <c r="R7" s="42">
        <f t="shared" si="6"/>
        <v>1.7000000000000001E-3</v>
      </c>
      <c r="S7" s="42">
        <v>1.1999999999999999E-3</v>
      </c>
      <c r="T7" s="42">
        <v>1.6000000000000001E-3</v>
      </c>
      <c r="U7" s="42">
        <v>1.8999999999999998E-3</v>
      </c>
      <c r="V7" s="42">
        <v>2.2000000000000001E-3</v>
      </c>
      <c r="W7" s="42">
        <v>1.6999999999999999E-3</v>
      </c>
      <c r="X7" s="42">
        <v>2.2000000000000001E-3</v>
      </c>
      <c r="Y7" s="42">
        <v>3.2000000000000002E-3</v>
      </c>
      <c r="Z7" s="42">
        <v>1.1999999999999999E-3</v>
      </c>
      <c r="AA7" s="42">
        <v>1.9E-3</v>
      </c>
      <c r="AB7" s="42">
        <v>1.5E-3</v>
      </c>
      <c r="AC7" s="42">
        <v>1.6999999999999999E-3</v>
      </c>
      <c r="AD7" s="42">
        <v>1.8999999999999998E-3</v>
      </c>
      <c r="AE7" s="42">
        <v>1.6999999999999999E-3</v>
      </c>
      <c r="AF7" s="42">
        <v>2.7000000000000001E-3</v>
      </c>
    </row>
    <row r="8" spans="1:32" x14ac:dyDescent="0.25">
      <c r="A8" s="14"/>
      <c r="B8" s="29">
        <f t="shared" si="7"/>
        <v>3</v>
      </c>
      <c r="C8" s="29"/>
      <c r="D8" s="42">
        <v>0</v>
      </c>
      <c r="E8" s="56">
        <f t="shared" si="0"/>
        <v>2.3E-3</v>
      </c>
      <c r="F8" s="56">
        <f t="shared" si="1"/>
        <v>4.0999999999999995E-3</v>
      </c>
      <c r="G8" s="56">
        <f t="shared" si="2"/>
        <v>1.8E-3</v>
      </c>
      <c r="H8" s="56">
        <f t="shared" si="3"/>
        <v>3.5999999999999999E-3</v>
      </c>
      <c r="I8" s="56">
        <f t="shared" si="4"/>
        <v>2.1000000000000003E-3</v>
      </c>
      <c r="J8" s="56">
        <f t="shared" si="5"/>
        <v>4.1000000000000003E-3</v>
      </c>
      <c r="K8" s="42">
        <v>6.9999999999999999E-4</v>
      </c>
      <c r="L8" s="42">
        <f t="shared" si="6"/>
        <v>1.4000000000000002E-3</v>
      </c>
      <c r="M8" s="42">
        <f t="shared" si="6"/>
        <v>1.9E-3</v>
      </c>
      <c r="N8" s="42">
        <f t="shared" si="6"/>
        <v>2E-3</v>
      </c>
      <c r="O8" s="42">
        <f t="shared" si="6"/>
        <v>2.1000000000000003E-3</v>
      </c>
      <c r="P8" s="42">
        <f t="shared" si="6"/>
        <v>1.8000000000000002E-3</v>
      </c>
      <c r="Q8" s="42">
        <f t="shared" si="6"/>
        <v>2.2000000000000001E-3</v>
      </c>
      <c r="R8" s="42">
        <f t="shared" si="6"/>
        <v>1.7000000000000001E-3</v>
      </c>
      <c r="S8" s="42">
        <v>1.1999999999999999E-3</v>
      </c>
      <c r="T8" s="42">
        <v>1.6000000000000001E-3</v>
      </c>
      <c r="U8" s="42">
        <v>1.8999999999999998E-3</v>
      </c>
      <c r="V8" s="42">
        <v>2.2000000000000001E-3</v>
      </c>
      <c r="W8" s="42">
        <v>1.6999999999999999E-3</v>
      </c>
      <c r="X8" s="42">
        <v>2.2000000000000001E-3</v>
      </c>
      <c r="Y8" s="42">
        <v>3.2000000000000002E-3</v>
      </c>
      <c r="Z8" s="42">
        <v>1.1999999999999999E-3</v>
      </c>
      <c r="AA8" s="42">
        <v>1.9E-3</v>
      </c>
      <c r="AB8" s="42">
        <v>1.5E-3</v>
      </c>
      <c r="AC8" s="42">
        <v>1.6999999999999999E-3</v>
      </c>
      <c r="AD8" s="42">
        <v>1.7000000000000001E-3</v>
      </c>
      <c r="AE8" s="42">
        <v>1.5E-3</v>
      </c>
      <c r="AF8" s="42">
        <v>2.2000000000000001E-3</v>
      </c>
    </row>
    <row r="9" spans="1:32" x14ac:dyDescent="0.25">
      <c r="A9" s="14"/>
      <c r="B9" s="29">
        <f t="shared" si="7"/>
        <v>4</v>
      </c>
      <c r="C9" s="29"/>
      <c r="D9" s="42">
        <v>0</v>
      </c>
      <c r="E9" s="56">
        <f t="shared" si="0"/>
        <v>1.6000000000000001E-3</v>
      </c>
      <c r="F9" s="56">
        <f t="shared" si="1"/>
        <v>3.3999999999999998E-3</v>
      </c>
      <c r="G9" s="56">
        <f t="shared" si="2"/>
        <v>1.1000000000000001E-3</v>
      </c>
      <c r="H9" s="56">
        <f t="shared" si="3"/>
        <v>2.8999999999999998E-3</v>
      </c>
      <c r="I9" s="56">
        <f t="shared" si="4"/>
        <v>1.4E-3</v>
      </c>
      <c r="J9" s="56">
        <f t="shared" si="5"/>
        <v>3.4000000000000002E-3</v>
      </c>
      <c r="K9" s="42">
        <v>0</v>
      </c>
      <c r="L9" s="53">
        <v>6.9999999999999999E-4</v>
      </c>
      <c r="M9" s="53">
        <v>1.1999999999999999E-3</v>
      </c>
      <c r="N9" s="53">
        <v>1.2999999999999999E-3</v>
      </c>
      <c r="O9" s="53">
        <v>1.4E-3</v>
      </c>
      <c r="P9" s="53">
        <v>1.1000000000000001E-3</v>
      </c>
      <c r="Q9" s="53">
        <v>1.5E-3</v>
      </c>
      <c r="R9" s="53">
        <v>1E-3</v>
      </c>
      <c r="S9" s="42">
        <v>5.0000000000000001E-4</v>
      </c>
      <c r="T9" s="42">
        <v>8.9999999999999998E-4</v>
      </c>
      <c r="U9" s="42">
        <v>1E-3</v>
      </c>
      <c r="V9" s="42">
        <v>1.1999999999999999E-3</v>
      </c>
      <c r="W9" s="42">
        <v>1E-3</v>
      </c>
      <c r="X9" s="42">
        <v>1.5E-3</v>
      </c>
      <c r="Y9" s="42">
        <v>2.5000000000000001E-3</v>
      </c>
      <c r="Z9" s="42">
        <v>5.0000000000000001E-4</v>
      </c>
      <c r="AA9" s="42">
        <v>1.1999999999999999E-3</v>
      </c>
      <c r="AB9" s="42">
        <v>8.0000000000000004E-4</v>
      </c>
      <c r="AC9" s="42">
        <v>1E-3</v>
      </c>
      <c r="AD9" s="42">
        <v>1E-3</v>
      </c>
      <c r="AE9" s="42">
        <v>8.0000000000000004E-4</v>
      </c>
      <c r="AF9" s="42">
        <v>1E-3</v>
      </c>
    </row>
    <row r="10" spans="1:32" x14ac:dyDescent="0.25">
      <c r="A10" s="14"/>
      <c r="B10" s="29">
        <f t="shared" si="7"/>
        <v>5</v>
      </c>
      <c r="C10" s="29"/>
      <c r="D10" s="42">
        <v>0</v>
      </c>
      <c r="E10" s="56">
        <f t="shared" si="0"/>
        <v>1.6000000000000001E-3</v>
      </c>
      <c r="F10" s="56">
        <f t="shared" si="1"/>
        <v>3.3999999999999998E-3</v>
      </c>
      <c r="G10" s="56">
        <f t="shared" si="2"/>
        <v>1.1000000000000001E-3</v>
      </c>
      <c r="H10" s="56">
        <f t="shared" si="3"/>
        <v>2.8999999999999998E-3</v>
      </c>
      <c r="I10" s="56">
        <f t="shared" si="4"/>
        <v>1.4E-3</v>
      </c>
      <c r="J10" s="56">
        <f t="shared" si="5"/>
        <v>3.4000000000000002E-3</v>
      </c>
      <c r="K10" s="42">
        <v>0</v>
      </c>
      <c r="L10" s="42">
        <f t="shared" ref="L10:R18" si="8">L$9+IF($B10&lt;=3,0.07%,0)</f>
        <v>6.9999999999999999E-4</v>
      </c>
      <c r="M10" s="42">
        <f t="shared" si="8"/>
        <v>1.1999999999999999E-3</v>
      </c>
      <c r="N10" s="42">
        <f t="shared" si="8"/>
        <v>1.2999999999999999E-3</v>
      </c>
      <c r="O10" s="42">
        <f t="shared" si="8"/>
        <v>1.4E-3</v>
      </c>
      <c r="P10" s="42">
        <f t="shared" si="8"/>
        <v>1.1000000000000001E-3</v>
      </c>
      <c r="Q10" s="42">
        <f t="shared" si="8"/>
        <v>1.5E-3</v>
      </c>
      <c r="R10" s="42">
        <f t="shared" si="8"/>
        <v>1E-3</v>
      </c>
      <c r="S10" s="42">
        <v>5.0000000000000001E-4</v>
      </c>
      <c r="T10" s="42">
        <v>8.9999999999999998E-4</v>
      </c>
      <c r="U10" s="42">
        <v>1E-3</v>
      </c>
      <c r="V10" s="42">
        <v>1.1999999999999999E-3</v>
      </c>
      <c r="W10" s="42">
        <v>1E-3</v>
      </c>
      <c r="X10" s="42">
        <v>1.5E-3</v>
      </c>
      <c r="Y10" s="42">
        <v>2E-3</v>
      </c>
      <c r="Z10" s="42">
        <v>5.0000000000000001E-4</v>
      </c>
      <c r="AA10" s="42">
        <v>1.1999999999999999E-3</v>
      </c>
      <c r="AB10" s="42">
        <v>8.0000000000000004E-4</v>
      </c>
      <c r="AC10" s="42">
        <v>1E-3</v>
      </c>
      <c r="AD10" s="42">
        <v>1E-3</v>
      </c>
      <c r="AE10" s="42">
        <v>8.0000000000000004E-4</v>
      </c>
      <c r="AF10" s="42">
        <v>1E-3</v>
      </c>
    </row>
    <row r="11" spans="1:32" x14ac:dyDescent="0.25">
      <c r="A11" s="14"/>
      <c r="B11" s="29">
        <f t="shared" si="7"/>
        <v>6</v>
      </c>
      <c r="C11" s="29"/>
      <c r="D11" s="42">
        <v>0</v>
      </c>
      <c r="E11" s="56">
        <f t="shared" si="0"/>
        <v>1.6000000000000001E-3</v>
      </c>
      <c r="F11" s="56">
        <f t="shared" si="1"/>
        <v>3.3999999999999998E-3</v>
      </c>
      <c r="G11" s="56">
        <f t="shared" si="2"/>
        <v>1.1000000000000001E-3</v>
      </c>
      <c r="H11" s="56">
        <f t="shared" si="3"/>
        <v>2.8999999999999998E-3</v>
      </c>
      <c r="I11" s="56">
        <f t="shared" si="4"/>
        <v>1.4E-3</v>
      </c>
      <c r="J11" s="56">
        <f t="shared" si="5"/>
        <v>3.4000000000000002E-3</v>
      </c>
      <c r="K11" s="42">
        <v>0</v>
      </c>
      <c r="L11" s="42">
        <f t="shared" si="8"/>
        <v>6.9999999999999999E-4</v>
      </c>
      <c r="M11" s="42">
        <f t="shared" si="8"/>
        <v>1.1999999999999999E-3</v>
      </c>
      <c r="N11" s="42">
        <f t="shared" si="8"/>
        <v>1.2999999999999999E-3</v>
      </c>
      <c r="O11" s="42">
        <f t="shared" si="8"/>
        <v>1.4E-3</v>
      </c>
      <c r="P11" s="42">
        <f t="shared" si="8"/>
        <v>1.1000000000000001E-3</v>
      </c>
      <c r="Q11" s="42">
        <f t="shared" si="8"/>
        <v>1.5E-3</v>
      </c>
      <c r="R11" s="42">
        <f t="shared" si="8"/>
        <v>1E-3</v>
      </c>
      <c r="S11" s="42">
        <v>5.0000000000000001E-4</v>
      </c>
      <c r="T11" s="42">
        <v>8.9999999999999998E-4</v>
      </c>
      <c r="U11" s="42">
        <v>1E-3</v>
      </c>
      <c r="V11" s="42">
        <v>1.1999999999999999E-3</v>
      </c>
      <c r="W11" s="50">
        <v>7.5000000000000002E-4</v>
      </c>
      <c r="X11" s="42">
        <v>1.5E-3</v>
      </c>
      <c r="Y11" s="42">
        <v>2E-3</v>
      </c>
      <c r="Z11" s="42">
        <v>5.0000000000000001E-4</v>
      </c>
      <c r="AA11" s="42">
        <v>1.1999999999999999E-3</v>
      </c>
      <c r="AB11" s="42">
        <v>8.0000000000000004E-4</v>
      </c>
      <c r="AC11" s="42">
        <v>1E-3</v>
      </c>
      <c r="AD11" s="42">
        <v>1E-3</v>
      </c>
      <c r="AE11" s="42">
        <v>8.0000000000000004E-4</v>
      </c>
      <c r="AF11" s="42">
        <v>1E-3</v>
      </c>
    </row>
    <row r="12" spans="1:32" x14ac:dyDescent="0.25">
      <c r="A12" s="14"/>
      <c r="B12" s="29">
        <f t="shared" si="7"/>
        <v>7</v>
      </c>
      <c r="C12" s="29"/>
      <c r="D12" s="42">
        <v>0</v>
      </c>
      <c r="E12" s="56">
        <f t="shared" si="0"/>
        <v>1.6000000000000001E-3</v>
      </c>
      <c r="F12" s="56">
        <f t="shared" si="1"/>
        <v>3.3999999999999998E-3</v>
      </c>
      <c r="G12" s="56">
        <f t="shared" si="2"/>
        <v>1.1000000000000001E-3</v>
      </c>
      <c r="H12" s="56">
        <f t="shared" si="3"/>
        <v>2.8999999999999998E-3</v>
      </c>
      <c r="I12" s="56">
        <f t="shared" si="4"/>
        <v>1.4E-3</v>
      </c>
      <c r="J12" s="56">
        <f t="shared" si="5"/>
        <v>3.4000000000000002E-3</v>
      </c>
      <c r="K12" s="42">
        <v>0</v>
      </c>
      <c r="L12" s="42">
        <f t="shared" si="8"/>
        <v>6.9999999999999999E-4</v>
      </c>
      <c r="M12" s="42">
        <f t="shared" si="8"/>
        <v>1.1999999999999999E-3</v>
      </c>
      <c r="N12" s="42">
        <f t="shared" si="8"/>
        <v>1.2999999999999999E-3</v>
      </c>
      <c r="O12" s="42">
        <f t="shared" si="8"/>
        <v>1.4E-3</v>
      </c>
      <c r="P12" s="42">
        <f t="shared" si="8"/>
        <v>1.1000000000000001E-3</v>
      </c>
      <c r="Q12" s="42">
        <f t="shared" si="8"/>
        <v>1.5E-3</v>
      </c>
      <c r="R12" s="42">
        <f t="shared" si="8"/>
        <v>1E-3</v>
      </c>
      <c r="S12" s="42">
        <v>5.0000000000000001E-4</v>
      </c>
      <c r="T12" s="42">
        <v>8.9999999999999998E-4</v>
      </c>
      <c r="U12" s="42">
        <v>1E-3</v>
      </c>
      <c r="V12" s="42">
        <v>1.1999999999999999E-3</v>
      </c>
      <c r="W12" s="50">
        <v>7.5000000000000002E-4</v>
      </c>
      <c r="X12" s="42">
        <v>1.5E-3</v>
      </c>
      <c r="Y12" s="42">
        <v>2E-3</v>
      </c>
      <c r="Z12" s="42">
        <v>5.0000000000000001E-4</v>
      </c>
      <c r="AA12" s="42">
        <v>1.1999999999999999E-3</v>
      </c>
      <c r="AB12" s="42">
        <v>8.0000000000000004E-4</v>
      </c>
      <c r="AC12" s="42">
        <v>1E-3</v>
      </c>
      <c r="AD12" s="42">
        <v>1E-3</v>
      </c>
      <c r="AE12" s="42">
        <v>8.0000000000000004E-4</v>
      </c>
      <c r="AF12" s="42">
        <v>1E-3</v>
      </c>
    </row>
    <row r="13" spans="1:32" x14ac:dyDescent="0.25">
      <c r="A13" s="14"/>
      <c r="B13" s="29">
        <f t="shared" si="7"/>
        <v>8</v>
      </c>
      <c r="C13" s="29"/>
      <c r="D13" s="42">
        <v>0</v>
      </c>
      <c r="E13" s="56">
        <f t="shared" si="0"/>
        <v>1.6000000000000001E-3</v>
      </c>
      <c r="F13" s="56">
        <f t="shared" si="1"/>
        <v>3.3999999999999998E-3</v>
      </c>
      <c r="G13" s="56">
        <f t="shared" si="2"/>
        <v>1.1000000000000001E-3</v>
      </c>
      <c r="H13" s="56">
        <f t="shared" si="3"/>
        <v>2.8999999999999998E-3</v>
      </c>
      <c r="I13" s="56">
        <f t="shared" si="4"/>
        <v>1.4E-3</v>
      </c>
      <c r="J13" s="56">
        <f t="shared" si="5"/>
        <v>3.4000000000000002E-3</v>
      </c>
      <c r="K13" s="42">
        <v>0</v>
      </c>
      <c r="L13" s="42">
        <f t="shared" si="8"/>
        <v>6.9999999999999999E-4</v>
      </c>
      <c r="M13" s="42">
        <f t="shared" si="8"/>
        <v>1.1999999999999999E-3</v>
      </c>
      <c r="N13" s="42">
        <f t="shared" si="8"/>
        <v>1.2999999999999999E-3</v>
      </c>
      <c r="O13" s="42">
        <f t="shared" si="8"/>
        <v>1.4E-3</v>
      </c>
      <c r="P13" s="42">
        <f t="shared" si="8"/>
        <v>1.1000000000000001E-3</v>
      </c>
      <c r="Q13" s="42">
        <f t="shared" si="8"/>
        <v>1.5E-3</v>
      </c>
      <c r="R13" s="42">
        <f t="shared" si="8"/>
        <v>1E-3</v>
      </c>
      <c r="S13" s="42">
        <v>5.0000000000000001E-4</v>
      </c>
      <c r="T13" s="42">
        <v>8.9999999999999998E-4</v>
      </c>
      <c r="U13" s="42">
        <v>1E-3</v>
      </c>
      <c r="V13" s="42">
        <v>1E-3</v>
      </c>
      <c r="W13" s="50">
        <v>7.5000000000000002E-4</v>
      </c>
      <c r="X13" s="42">
        <v>1.5E-3</v>
      </c>
      <c r="Y13" s="42">
        <v>2E-3</v>
      </c>
      <c r="Z13" s="42">
        <v>5.0000000000000001E-4</v>
      </c>
      <c r="AA13" s="42">
        <v>1.1999999999999999E-3</v>
      </c>
      <c r="AB13" s="42">
        <v>8.0000000000000004E-4</v>
      </c>
      <c r="AC13" s="42">
        <v>1E-3</v>
      </c>
      <c r="AD13" s="42">
        <v>1E-3</v>
      </c>
      <c r="AE13" s="42">
        <v>8.0000000000000004E-4</v>
      </c>
      <c r="AF13" s="42">
        <v>1E-3</v>
      </c>
    </row>
    <row r="14" spans="1:32" x14ac:dyDescent="0.25">
      <c r="A14" s="14"/>
      <c r="B14" s="29">
        <f t="shared" si="7"/>
        <v>9</v>
      </c>
      <c r="C14" s="29"/>
      <c r="D14" s="42">
        <v>0</v>
      </c>
      <c r="E14" s="56">
        <f t="shared" si="0"/>
        <v>1.6000000000000001E-3</v>
      </c>
      <c r="F14" s="56">
        <f t="shared" si="1"/>
        <v>3.3999999999999998E-3</v>
      </c>
      <c r="G14" s="56">
        <f t="shared" si="2"/>
        <v>1.1000000000000001E-3</v>
      </c>
      <c r="H14" s="56">
        <f t="shared" si="3"/>
        <v>2.8999999999999998E-3</v>
      </c>
      <c r="I14" s="56">
        <f t="shared" si="4"/>
        <v>1.4E-3</v>
      </c>
      <c r="J14" s="56">
        <f t="shared" si="5"/>
        <v>3.4000000000000002E-3</v>
      </c>
      <c r="K14" s="42">
        <v>0</v>
      </c>
      <c r="L14" s="42">
        <f t="shared" si="8"/>
        <v>6.9999999999999999E-4</v>
      </c>
      <c r="M14" s="42">
        <f t="shared" si="8"/>
        <v>1.1999999999999999E-3</v>
      </c>
      <c r="N14" s="42">
        <f t="shared" si="8"/>
        <v>1.2999999999999999E-3</v>
      </c>
      <c r="O14" s="42">
        <f t="shared" si="8"/>
        <v>1.4E-3</v>
      </c>
      <c r="P14" s="42">
        <f t="shared" si="8"/>
        <v>1.1000000000000001E-3</v>
      </c>
      <c r="Q14" s="42">
        <f t="shared" si="8"/>
        <v>1.5E-3</v>
      </c>
      <c r="R14" s="42">
        <f t="shared" si="8"/>
        <v>1E-3</v>
      </c>
      <c r="S14" s="42">
        <v>5.0000000000000001E-4</v>
      </c>
      <c r="T14" s="42">
        <v>8.9999999999999998E-4</v>
      </c>
      <c r="U14" s="42">
        <v>1E-3</v>
      </c>
      <c r="V14" s="42">
        <v>1E-3</v>
      </c>
      <c r="W14" s="50">
        <v>7.5000000000000002E-4</v>
      </c>
      <c r="X14" s="42">
        <v>1.5E-3</v>
      </c>
      <c r="Y14" s="42">
        <v>2E-3</v>
      </c>
      <c r="Z14" s="42">
        <v>5.0000000000000001E-4</v>
      </c>
      <c r="AA14" s="42">
        <v>1.1999999999999999E-3</v>
      </c>
      <c r="AB14" s="42">
        <v>8.0000000000000004E-4</v>
      </c>
      <c r="AC14" s="42">
        <v>1E-3</v>
      </c>
      <c r="AD14" s="42">
        <v>1E-3</v>
      </c>
      <c r="AE14" s="42">
        <v>8.0000000000000004E-4</v>
      </c>
      <c r="AF14" s="42">
        <v>1E-3</v>
      </c>
    </row>
    <row r="15" spans="1:32" x14ac:dyDescent="0.25">
      <c r="A15" s="14"/>
      <c r="B15" s="29">
        <f t="shared" si="7"/>
        <v>10</v>
      </c>
      <c r="C15" s="29"/>
      <c r="D15" s="42">
        <v>0</v>
      </c>
      <c r="E15" s="56">
        <f t="shared" si="0"/>
        <v>1.6000000000000001E-3</v>
      </c>
      <c r="F15" s="56">
        <f t="shared" si="1"/>
        <v>3.3999999999999998E-3</v>
      </c>
      <c r="G15" s="56">
        <f t="shared" si="2"/>
        <v>1.1000000000000001E-3</v>
      </c>
      <c r="H15" s="56">
        <f t="shared" si="3"/>
        <v>2.8999999999999998E-3</v>
      </c>
      <c r="I15" s="56">
        <f t="shared" si="4"/>
        <v>1.4E-3</v>
      </c>
      <c r="J15" s="56">
        <f t="shared" si="5"/>
        <v>3.4000000000000002E-3</v>
      </c>
      <c r="K15" s="42">
        <v>0</v>
      </c>
      <c r="L15" s="42">
        <f t="shared" si="8"/>
        <v>6.9999999999999999E-4</v>
      </c>
      <c r="M15" s="42">
        <f t="shared" si="8"/>
        <v>1.1999999999999999E-3</v>
      </c>
      <c r="N15" s="42">
        <f t="shared" si="8"/>
        <v>1.2999999999999999E-3</v>
      </c>
      <c r="O15" s="42">
        <f t="shared" si="8"/>
        <v>1.4E-3</v>
      </c>
      <c r="P15" s="42">
        <f t="shared" si="8"/>
        <v>1.1000000000000001E-3</v>
      </c>
      <c r="Q15" s="42">
        <f t="shared" si="8"/>
        <v>1.5E-3</v>
      </c>
      <c r="R15" s="42">
        <f t="shared" si="8"/>
        <v>1E-3</v>
      </c>
      <c r="S15" s="42">
        <v>5.0000000000000001E-4</v>
      </c>
      <c r="T15" s="42">
        <v>8.9999999999999998E-4</v>
      </c>
      <c r="U15" s="42">
        <v>1E-3</v>
      </c>
      <c r="V15" s="42">
        <v>1E-3</v>
      </c>
      <c r="W15" s="50">
        <v>7.5000000000000002E-4</v>
      </c>
      <c r="X15" s="42">
        <v>1.5E-3</v>
      </c>
      <c r="Y15" s="42">
        <v>2E-3</v>
      </c>
      <c r="Z15" s="42">
        <v>5.0000000000000001E-4</v>
      </c>
      <c r="AA15" s="42">
        <v>1.1999999999999999E-3</v>
      </c>
      <c r="AB15" s="42">
        <v>8.0000000000000004E-4</v>
      </c>
      <c r="AC15" s="42">
        <v>1E-3</v>
      </c>
      <c r="AD15" s="42">
        <v>1E-3</v>
      </c>
      <c r="AE15" s="42">
        <v>8.0000000000000004E-4</v>
      </c>
      <c r="AF15" s="42">
        <v>1E-3</v>
      </c>
    </row>
    <row r="16" spans="1:32" x14ac:dyDescent="0.25">
      <c r="A16" s="14"/>
      <c r="B16" s="29">
        <f t="shared" si="7"/>
        <v>11</v>
      </c>
      <c r="C16" s="29"/>
      <c r="D16" s="42">
        <v>0</v>
      </c>
      <c r="E16" s="56">
        <f t="shared" si="0"/>
        <v>1.6000000000000001E-3</v>
      </c>
      <c r="F16" s="56">
        <f t="shared" si="1"/>
        <v>3.3999999999999998E-3</v>
      </c>
      <c r="G16" s="56">
        <f t="shared" si="2"/>
        <v>1.1000000000000001E-3</v>
      </c>
      <c r="H16" s="56">
        <f t="shared" si="3"/>
        <v>2.8999999999999998E-3</v>
      </c>
      <c r="I16" s="56">
        <f t="shared" si="4"/>
        <v>1.4E-3</v>
      </c>
      <c r="J16" s="56">
        <f t="shared" si="5"/>
        <v>3.4000000000000002E-3</v>
      </c>
      <c r="K16" s="42">
        <v>0</v>
      </c>
      <c r="L16" s="42">
        <f t="shared" si="8"/>
        <v>6.9999999999999999E-4</v>
      </c>
      <c r="M16" s="42">
        <f t="shared" si="8"/>
        <v>1.1999999999999999E-3</v>
      </c>
      <c r="N16" s="42">
        <f t="shared" si="8"/>
        <v>1.2999999999999999E-3</v>
      </c>
      <c r="O16" s="42">
        <f t="shared" si="8"/>
        <v>1.4E-3</v>
      </c>
      <c r="P16" s="42">
        <f t="shared" si="8"/>
        <v>1.1000000000000001E-3</v>
      </c>
      <c r="Q16" s="42">
        <f t="shared" si="8"/>
        <v>1.5E-3</v>
      </c>
      <c r="R16" s="42">
        <f t="shared" si="8"/>
        <v>1E-3</v>
      </c>
      <c r="S16" s="42">
        <v>5.0000000000000001E-4</v>
      </c>
      <c r="T16" s="42">
        <v>8.9999999999999998E-4</v>
      </c>
      <c r="U16" s="42">
        <v>8.0000000000000004E-4</v>
      </c>
      <c r="V16" s="42">
        <v>1E-3</v>
      </c>
      <c r="W16" s="50">
        <v>7.5000000000000002E-4</v>
      </c>
      <c r="X16" s="42">
        <v>1.5E-3</v>
      </c>
      <c r="Y16" s="42">
        <v>2E-3</v>
      </c>
      <c r="Z16" s="42">
        <v>5.0000000000000001E-4</v>
      </c>
      <c r="AA16" s="42">
        <v>1.1999999999999999E-3</v>
      </c>
      <c r="AB16" s="42">
        <v>8.0000000000000004E-4</v>
      </c>
      <c r="AC16" s="42">
        <v>1E-3</v>
      </c>
      <c r="AD16" s="42">
        <v>8.0000000000000004E-4</v>
      </c>
      <c r="AE16" s="42">
        <v>8.0000000000000004E-4</v>
      </c>
      <c r="AF16" s="42">
        <v>8.0000000000000004E-4</v>
      </c>
    </row>
    <row r="17" spans="1:32" x14ac:dyDescent="0.25">
      <c r="A17" s="14"/>
      <c r="B17" s="29">
        <f t="shared" si="7"/>
        <v>12</v>
      </c>
      <c r="C17" s="29"/>
      <c r="D17" s="42">
        <v>0</v>
      </c>
      <c r="E17" s="56">
        <f t="shared" si="0"/>
        <v>1.6000000000000001E-3</v>
      </c>
      <c r="F17" s="56">
        <f t="shared" si="1"/>
        <v>3.3999999999999998E-3</v>
      </c>
      <c r="G17" s="56">
        <f t="shared" si="2"/>
        <v>1.1000000000000001E-3</v>
      </c>
      <c r="H17" s="56">
        <f t="shared" si="3"/>
        <v>2.8999999999999998E-3</v>
      </c>
      <c r="I17" s="56">
        <f t="shared" si="4"/>
        <v>1.4E-3</v>
      </c>
      <c r="J17" s="56">
        <f t="shared" si="5"/>
        <v>3.4000000000000002E-3</v>
      </c>
      <c r="K17" s="42">
        <v>0</v>
      </c>
      <c r="L17" s="42">
        <f t="shared" si="8"/>
        <v>6.9999999999999999E-4</v>
      </c>
      <c r="M17" s="42">
        <f t="shared" si="8"/>
        <v>1.1999999999999999E-3</v>
      </c>
      <c r="N17" s="42">
        <f t="shared" si="8"/>
        <v>1.2999999999999999E-3</v>
      </c>
      <c r="O17" s="42">
        <f t="shared" si="8"/>
        <v>1.4E-3</v>
      </c>
      <c r="P17" s="42">
        <f t="shared" si="8"/>
        <v>1.1000000000000001E-3</v>
      </c>
      <c r="Q17" s="42">
        <f t="shared" si="8"/>
        <v>1.5E-3</v>
      </c>
      <c r="R17" s="42">
        <f t="shared" si="8"/>
        <v>1E-3</v>
      </c>
      <c r="S17" s="42">
        <v>5.0000000000000001E-4</v>
      </c>
      <c r="T17" s="42">
        <v>8.9999999999999998E-4</v>
      </c>
      <c r="U17" s="42">
        <v>8.0000000000000004E-4</v>
      </c>
      <c r="V17" s="42">
        <v>1E-3</v>
      </c>
      <c r="W17" s="50">
        <v>7.5000000000000002E-4</v>
      </c>
      <c r="X17" s="42">
        <v>1.5E-3</v>
      </c>
      <c r="Y17" s="42">
        <v>2E-3</v>
      </c>
      <c r="Z17" s="42">
        <v>5.0000000000000001E-4</v>
      </c>
      <c r="AA17" s="42">
        <v>1.1999999999999999E-3</v>
      </c>
      <c r="AB17" s="42">
        <v>8.0000000000000004E-4</v>
      </c>
      <c r="AC17" s="42">
        <v>1E-3</v>
      </c>
      <c r="AD17" s="42">
        <v>8.0000000000000004E-4</v>
      </c>
      <c r="AE17" s="42">
        <v>8.0000000000000004E-4</v>
      </c>
      <c r="AF17" s="42">
        <v>8.0000000000000004E-4</v>
      </c>
    </row>
    <row r="18" spans="1:32" x14ac:dyDescent="0.25">
      <c r="A18" s="14"/>
      <c r="B18" s="29">
        <f t="shared" si="7"/>
        <v>13</v>
      </c>
      <c r="C18" s="29"/>
      <c r="D18" s="42">
        <v>0</v>
      </c>
      <c r="E18" s="56">
        <f t="shared" si="0"/>
        <v>1.6000000000000001E-3</v>
      </c>
      <c r="F18" s="56">
        <f t="shared" si="1"/>
        <v>3.3999999999999998E-3</v>
      </c>
      <c r="G18" s="56">
        <f t="shared" si="2"/>
        <v>1.1000000000000001E-3</v>
      </c>
      <c r="H18" s="56">
        <f t="shared" si="3"/>
        <v>2.8999999999999998E-3</v>
      </c>
      <c r="I18" s="56">
        <f t="shared" si="4"/>
        <v>1.4E-3</v>
      </c>
      <c r="J18" s="56">
        <f t="shared" si="5"/>
        <v>3.4000000000000002E-3</v>
      </c>
      <c r="K18" s="42">
        <v>0</v>
      </c>
      <c r="L18" s="42">
        <f t="shared" si="8"/>
        <v>6.9999999999999999E-4</v>
      </c>
      <c r="M18" s="42">
        <f t="shared" si="8"/>
        <v>1.1999999999999999E-3</v>
      </c>
      <c r="N18" s="42">
        <f t="shared" si="8"/>
        <v>1.2999999999999999E-3</v>
      </c>
      <c r="O18" s="42">
        <f t="shared" si="8"/>
        <v>1.4E-3</v>
      </c>
      <c r="P18" s="42">
        <f t="shared" si="8"/>
        <v>1.1000000000000001E-3</v>
      </c>
      <c r="Q18" s="42">
        <f t="shared" si="8"/>
        <v>1.5E-3</v>
      </c>
      <c r="R18" s="42">
        <f t="shared" si="8"/>
        <v>1E-3</v>
      </c>
      <c r="S18" s="42">
        <v>5.0000000000000001E-4</v>
      </c>
      <c r="T18" s="42">
        <v>8.9999999999999998E-4</v>
      </c>
      <c r="U18" s="42">
        <v>8.0000000000000004E-4</v>
      </c>
      <c r="V18" s="42">
        <v>1E-3</v>
      </c>
      <c r="W18" s="50">
        <v>7.5000000000000002E-4</v>
      </c>
      <c r="X18" s="42">
        <v>1.5E-3</v>
      </c>
      <c r="Y18" s="42">
        <v>1.5E-3</v>
      </c>
      <c r="Z18" s="42">
        <v>5.0000000000000001E-4</v>
      </c>
      <c r="AA18" s="42">
        <v>1.1999999999999999E-3</v>
      </c>
      <c r="AB18" s="42">
        <v>8.0000000000000004E-4</v>
      </c>
      <c r="AC18" s="42">
        <v>1E-3</v>
      </c>
      <c r="AD18" s="42">
        <v>8.0000000000000004E-4</v>
      </c>
      <c r="AE18" s="42">
        <v>8.0000000000000004E-4</v>
      </c>
      <c r="AF18" s="42">
        <v>8.0000000000000004E-4</v>
      </c>
    </row>
    <row r="19" spans="1:32" x14ac:dyDescent="0.25">
      <c r="P19" s="52"/>
      <c r="W19" s="52"/>
    </row>
    <row r="21" spans="1:32" x14ac:dyDescent="0.25">
      <c r="B21" s="59" t="s">
        <v>83</v>
      </c>
    </row>
    <row r="22" spans="1:32" x14ac:dyDescent="0.25">
      <c r="B22" s="59" t="s">
        <v>84</v>
      </c>
    </row>
    <row r="23" spans="1:32" x14ac:dyDescent="0.25">
      <c r="B23" s="59" t="s">
        <v>85</v>
      </c>
    </row>
  </sheetData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1"/>
  <sheetViews>
    <sheetView zoomScaleNormal="100" workbookViewId="0">
      <pane xSplit="2" ySplit="5" topLeftCell="C6" activePane="bottomRight" state="frozen"/>
      <selection pane="topRight" activeCell="C1" sqref="C1"/>
      <selection pane="bottomLeft" activeCell="A7" sqref="A7"/>
      <selection pane="bottomRight" sqref="A1:XFD1048576"/>
    </sheetView>
  </sheetViews>
  <sheetFormatPr defaultRowHeight="12.5" x14ac:dyDescent="0.25"/>
  <cols>
    <col min="1" max="1" width="9.81640625" bestFit="1" customWidth="1"/>
    <col min="2" max="2" width="9.1796875" style="30"/>
    <col min="3" max="3" width="3.453125" style="30" customWidth="1"/>
    <col min="4" max="13" width="12.1796875" style="30" customWidth="1"/>
    <col min="14" max="17" width="15.1796875" style="27" customWidth="1"/>
  </cols>
  <sheetData>
    <row r="1" spans="1:17" ht="15.5" x14ac:dyDescent="0.25">
      <c r="A1" s="13" t="s">
        <v>6</v>
      </c>
      <c r="B1" s="12" t="s">
        <v>32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22"/>
      <c r="O1" s="22"/>
      <c r="P1" s="22"/>
      <c r="Q1" s="22"/>
    </row>
    <row r="2" spans="1:17" ht="15.5" x14ac:dyDescent="0.25">
      <c r="A2" s="13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22"/>
      <c r="O2" s="22"/>
      <c r="P2" s="22"/>
      <c r="Q2" s="22"/>
    </row>
    <row r="3" spans="1:17" ht="13" x14ac:dyDescent="0.25">
      <c r="A3" s="14"/>
      <c r="B3" s="15" t="str">
        <f ca="1">GetNameRange(B5)</f>
        <v>InflationRate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24"/>
      <c r="O3" s="25"/>
      <c r="P3" s="25"/>
      <c r="Q3" s="25"/>
    </row>
    <row r="4" spans="1:17" ht="22.5" customHeight="1" x14ac:dyDescent="0.25">
      <c r="A4" s="14" t="s">
        <v>7</v>
      </c>
      <c r="B4" s="28" t="s">
        <v>9</v>
      </c>
      <c r="C4" s="34"/>
      <c r="D4" s="34" t="s">
        <v>82</v>
      </c>
      <c r="E4" s="34" t="s">
        <v>81</v>
      </c>
      <c r="F4" s="34" t="s">
        <v>60</v>
      </c>
      <c r="G4" s="34" t="s">
        <v>68</v>
      </c>
      <c r="H4" s="34" t="s">
        <v>51</v>
      </c>
      <c r="I4" s="34" t="s">
        <v>52</v>
      </c>
      <c r="J4" s="34" t="s">
        <v>44</v>
      </c>
      <c r="K4" s="34" t="s">
        <v>45</v>
      </c>
      <c r="L4" s="34" t="s">
        <v>26</v>
      </c>
      <c r="M4" s="34" t="s">
        <v>29</v>
      </c>
      <c r="N4" s="34" t="s">
        <v>25</v>
      </c>
      <c r="O4" s="34" t="s">
        <v>27</v>
      </c>
      <c r="P4" s="47" t="s">
        <v>79</v>
      </c>
      <c r="Q4" s="34" t="s">
        <v>24</v>
      </c>
    </row>
    <row r="5" spans="1:17" ht="13" x14ac:dyDescent="0.3">
      <c r="A5" s="21" t="s">
        <v>5</v>
      </c>
      <c r="B5" s="31" t="s">
        <v>8</v>
      </c>
      <c r="C5" s="31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41"/>
      <c r="P5" s="41"/>
      <c r="Q5" s="31"/>
    </row>
    <row r="6" spans="1:17" x14ac:dyDescent="0.25">
      <c r="A6" s="14"/>
      <c r="B6" s="29">
        <v>1</v>
      </c>
      <c r="C6" s="39"/>
      <c r="D6" s="42">
        <f t="shared" ref="D6:D11" si="0">E6+1%</f>
        <v>-6.3E-2</v>
      </c>
      <c r="E6" s="42">
        <v>-7.2999999999999995E-2</v>
      </c>
      <c r="F6" s="42">
        <v>-5.1999999999999998E-2</v>
      </c>
      <c r="G6" s="42">
        <f t="shared" ref="G6:G11" si="1">F6+1%</f>
        <v>-4.1999999999999996E-2</v>
      </c>
      <c r="H6" s="42">
        <v>-5.3999999999999999E-2</v>
      </c>
      <c r="I6" s="42">
        <v>-4.0000000000000001E-3</v>
      </c>
      <c r="J6" s="42">
        <v>-3.9E-2</v>
      </c>
      <c r="K6" s="42">
        <v>-5.0000000000000001E-3</v>
      </c>
      <c r="L6" s="42">
        <v>-5.7000000000000002E-2</v>
      </c>
      <c r="M6" s="42">
        <v>-3.7999999999999999E-2</v>
      </c>
      <c r="N6" s="42">
        <v>-0.11</v>
      </c>
      <c r="O6" s="42">
        <v>-0.19</v>
      </c>
      <c r="P6" s="42">
        <f t="shared" ref="P6:P11" si="2">Q6+1%</f>
        <v>0.03</v>
      </c>
      <c r="Q6" s="42">
        <v>0.02</v>
      </c>
    </row>
    <row r="7" spans="1:17" x14ac:dyDescent="0.25">
      <c r="A7" s="14"/>
      <c r="B7" s="29">
        <f>B6+1</f>
        <v>2</v>
      </c>
      <c r="C7" s="39"/>
      <c r="D7" s="42">
        <f t="shared" si="0"/>
        <v>-6.9000000000000006E-2</v>
      </c>
      <c r="E7" s="42">
        <v>-7.9000000000000001E-2</v>
      </c>
      <c r="F7" s="42">
        <v>-5.5E-2</v>
      </c>
      <c r="G7" s="42">
        <f t="shared" si="1"/>
        <v>-4.4999999999999998E-2</v>
      </c>
      <c r="H7" s="42">
        <v>-5.8000000000000003E-2</v>
      </c>
      <c r="I7" s="42">
        <v>-4.0000000000000001E-3</v>
      </c>
      <c r="J7" s="42">
        <v>-4.1000000000000002E-2</v>
      </c>
      <c r="K7" s="42">
        <v>-6.0000000000000001E-3</v>
      </c>
      <c r="L7" s="42">
        <v>-0.06</v>
      </c>
      <c r="M7" s="42">
        <v>-0.04</v>
      </c>
      <c r="N7" s="42">
        <v>-0.1</v>
      </c>
      <c r="O7" s="42">
        <v>-0.12</v>
      </c>
      <c r="P7" s="42">
        <f t="shared" si="2"/>
        <v>0.03</v>
      </c>
      <c r="Q7" s="42">
        <v>0.02</v>
      </c>
    </row>
    <row r="8" spans="1:17" x14ac:dyDescent="0.25">
      <c r="A8" s="14"/>
      <c r="B8" s="29">
        <f>B7+1</f>
        <v>3</v>
      </c>
      <c r="C8" s="39"/>
      <c r="D8" s="42">
        <f t="shared" si="0"/>
        <v>-7.5000000000000011E-2</v>
      </c>
      <c r="E8" s="42">
        <v>-8.5000000000000006E-2</v>
      </c>
      <c r="F8" s="42">
        <v>-5.8000000000000003E-2</v>
      </c>
      <c r="G8" s="42">
        <f t="shared" si="1"/>
        <v>-4.8000000000000001E-2</v>
      </c>
      <c r="H8" s="42">
        <v>-6.0999999999999999E-2</v>
      </c>
      <c r="I8" s="42">
        <v>-4.0000000000000001E-3</v>
      </c>
      <c r="J8" s="42">
        <v>-4.2999999999999997E-2</v>
      </c>
      <c r="K8" s="42">
        <v>-6.0000000000000001E-3</v>
      </c>
      <c r="L8" s="42">
        <v>-6.4000000000000001E-2</v>
      </c>
      <c r="M8" s="42">
        <v>-4.1000000000000002E-2</v>
      </c>
      <c r="N8" s="42">
        <v>-7.0000000000000007E-2</v>
      </c>
      <c r="O8" s="42">
        <v>-7.0000000000000007E-2</v>
      </c>
      <c r="P8" s="42">
        <f t="shared" si="2"/>
        <v>0.03</v>
      </c>
      <c r="Q8" s="42">
        <v>0.02</v>
      </c>
    </row>
    <row r="9" spans="1:17" x14ac:dyDescent="0.25">
      <c r="A9" s="14"/>
      <c r="B9" s="29">
        <f>B8+1</f>
        <v>4</v>
      </c>
      <c r="C9" s="39"/>
      <c r="D9" s="42">
        <f t="shared" si="0"/>
        <v>0.03</v>
      </c>
      <c r="E9" s="42">
        <v>0.02</v>
      </c>
      <c r="F9" s="42">
        <v>0.02</v>
      </c>
      <c r="G9" s="42">
        <f t="shared" si="1"/>
        <v>0.03</v>
      </c>
      <c r="H9" s="42">
        <v>0.02</v>
      </c>
      <c r="I9" s="42">
        <v>0.02</v>
      </c>
      <c r="J9" s="42">
        <v>0.02</v>
      </c>
      <c r="K9" s="42">
        <v>0.02</v>
      </c>
      <c r="L9" s="42">
        <v>-6.9000000000000006E-2</v>
      </c>
      <c r="M9" s="42">
        <v>-4.2999999999999997E-2</v>
      </c>
      <c r="N9" s="42">
        <v>-0.04</v>
      </c>
      <c r="O9" s="42">
        <v>-0.03</v>
      </c>
      <c r="P9" s="42">
        <f t="shared" si="2"/>
        <v>0.03</v>
      </c>
      <c r="Q9" s="42">
        <v>0.02</v>
      </c>
    </row>
    <row r="10" spans="1:17" x14ac:dyDescent="0.25">
      <c r="A10" s="14"/>
      <c r="B10" s="29">
        <f>B9+1</f>
        <v>5</v>
      </c>
      <c r="C10" s="39"/>
      <c r="D10" s="42">
        <f t="shared" si="0"/>
        <v>0.03</v>
      </c>
      <c r="E10" s="42">
        <v>0.02</v>
      </c>
      <c r="F10" s="42">
        <v>0.02</v>
      </c>
      <c r="G10" s="42">
        <f t="shared" si="1"/>
        <v>0.03</v>
      </c>
      <c r="H10" s="42">
        <v>0.02</v>
      </c>
      <c r="I10" s="42">
        <v>0.02</v>
      </c>
      <c r="J10" s="42">
        <v>0.02</v>
      </c>
      <c r="K10" s="42">
        <v>0.02</v>
      </c>
      <c r="L10" s="42">
        <v>0.02</v>
      </c>
      <c r="M10" s="42">
        <v>0.02</v>
      </c>
      <c r="N10" s="42">
        <v>0</v>
      </c>
      <c r="O10" s="42">
        <v>0</v>
      </c>
      <c r="P10" s="42">
        <f t="shared" si="2"/>
        <v>0.03</v>
      </c>
      <c r="Q10" s="42">
        <v>0.02</v>
      </c>
    </row>
    <row r="11" spans="1:17" x14ac:dyDescent="0.25">
      <c r="A11" s="14"/>
      <c r="B11" s="29">
        <v>6</v>
      </c>
      <c r="C11" s="39"/>
      <c r="D11" s="42">
        <f t="shared" si="0"/>
        <v>0.03</v>
      </c>
      <c r="E11" s="42">
        <v>0.02</v>
      </c>
      <c r="F11" s="42">
        <v>0.02</v>
      </c>
      <c r="G11" s="42">
        <f t="shared" si="1"/>
        <v>0.03</v>
      </c>
      <c r="H11" s="42">
        <v>0.02</v>
      </c>
      <c r="I11" s="42">
        <v>0.02</v>
      </c>
      <c r="J11" s="42">
        <v>0.02</v>
      </c>
      <c r="K11" s="42">
        <v>0.02</v>
      </c>
      <c r="L11" s="42">
        <v>0.02</v>
      </c>
      <c r="M11" s="42">
        <v>0.02</v>
      </c>
      <c r="N11" s="42">
        <v>0.02</v>
      </c>
      <c r="O11" s="42">
        <v>0.02</v>
      </c>
      <c r="P11" s="42">
        <f t="shared" si="2"/>
        <v>0.03</v>
      </c>
      <c r="Q11" s="42">
        <v>0.02</v>
      </c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Change Log</vt:lpstr>
      <vt:lpstr>Table of Contents</vt:lpstr>
      <vt:lpstr>Upfront</vt:lpstr>
      <vt:lpstr>Trail</vt:lpstr>
      <vt:lpstr>LicensingFee</vt:lpstr>
      <vt:lpstr>InflationRate</vt:lpstr>
      <vt:lpstr>InflationRate</vt:lpstr>
      <vt:lpstr>LicensingFee</vt:lpstr>
      <vt:lpstr>trail_comm_rate</vt:lpstr>
      <vt:lpstr>Upfront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Edgel, Kiara (US)</cp:lastModifiedBy>
  <cp:lastPrinted>2013-07-12T20:12:54Z</cp:lastPrinted>
  <dcterms:created xsi:type="dcterms:W3CDTF">2013-06-26T20:08:07Z</dcterms:created>
  <dcterms:modified xsi:type="dcterms:W3CDTF">2024-06-19T18:01:06Z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2023-02-22T15:50:24Z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66ed3b12-bc79-4087-90ee-bec65530e0ae</vt:lpwstr>
  </property>
  <property fmtid="{D5CDD505-2E9C-101B-9397-08002B2CF9AE}" pid="9" name="MSIP_Label_d347b247-e90e-43a3-9d7b-004f14ae6873_ContentBits">
    <vt:lpwstr>0</vt:lpwstr>
  </property>
</Properties>
</file>