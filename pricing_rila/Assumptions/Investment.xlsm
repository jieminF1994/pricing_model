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FM\rila_research_rsd_7.0_alpha_v1.0\Projects\Fixed Indexed Annuity\ProjectData\2013YearEnd\Assumptions\"/>
    </mc:Choice>
  </mc:AlternateContent>
  <xr:revisionPtr revIDLastSave="0" documentId="13_ncr:1_{03A64A56-316B-4461-88A8-BCE92FC7A619}" xr6:coauthVersionLast="47" xr6:coauthVersionMax="47" xr10:uidLastSave="{00000000-0000-0000-0000-000000000000}"/>
  <bookViews>
    <workbookView xWindow="-120" yWindow="-120" windowWidth="29040" windowHeight="15840" tabRatio="916" firstSheet="8" activeTab="19" xr2:uid="{00000000-000D-0000-FFFF-FFFF00000000}"/>
  </bookViews>
  <sheets>
    <sheet name="Change Log" sheetId="12" r:id="rId1"/>
    <sheet name="Table of Contents" sheetId="13" r:id="rId2"/>
    <sheet name="Asset Run Control" sheetId="14" r:id="rId3"/>
    <sheet name="Cash" sheetId="28" r:id="rId4"/>
    <sheet name="Decrements" sheetId="17" r:id="rId5"/>
    <sheet name="RefinanceForeclosureRestructure" sheetId="19" r:id="rId6"/>
    <sheet name="Sec Cash Flows" sheetId="27" r:id="rId7"/>
    <sheet name="Balance Sheet" sheetId="18" r:id="rId8"/>
    <sheet name="Asset Sub Portfolios" sheetId="15" r:id="rId9"/>
    <sheet name="DurationMatchStrategy" sheetId="32" r:id="rId10"/>
    <sheet name="DurationMatchStrategy_old" sheetId="31" r:id="rId11"/>
    <sheet name="Strategy" sheetId="20" r:id="rId12"/>
    <sheet name="Purch Bond Defn" sheetId="16" r:id="rId13"/>
    <sheet name="Purch Mtg Defn" sheetId="21" r:id="rId14"/>
    <sheet name="Purch AIG Bond Defn" sheetId="30" r:id="rId15"/>
    <sheet name="Purch Sec Defn" sheetId="22" r:id="rId16"/>
    <sheet name="Purch Ird Defn" sheetId="23" r:id="rId17"/>
    <sheet name="Purch Re Defn" sheetId="24" r:id="rId18"/>
    <sheet name="Purch Eqt Defn" sheetId="25" r:id="rId19"/>
    <sheet name="Purch Eio Defn" sheetId="26" r:id="rId20"/>
  </sheets>
  <functionGroups builtInGroupCount="19"/>
  <definedNames>
    <definedName name="AIGBondCashFlowPctInputVector">'Purch AIG Bond Defn'!$B$48:$L$90</definedName>
    <definedName name="AIGBondTargetAssetDuration">'Purch AIG Bond Defn'!$B$14:$K$45</definedName>
    <definedName name="AssetRunControl">'Asset Run Control'!$B$4:$C$40</definedName>
    <definedName name="AssetSubPortDefn">'Asset Sub Portfolios'!$B$15:$M$31</definedName>
    <definedName name="AssetSubPorts">'Asset Sub Portfolios'!$B$4:$C$12</definedName>
    <definedName name="BalanceSheet">'Balance Sheet'!$B$4:$C$22</definedName>
    <definedName name="BalloonPrinPmtPct">Decrements!$B$123:$D$126</definedName>
    <definedName name="CallPutExercisePct">Decrements!$B$142:$H$147</definedName>
    <definedName name="CallPutPricePct">Decrements!$B$129:$G$133</definedName>
    <definedName name="Cash">Cash!$B$4:$C$18</definedName>
    <definedName name="Decrements">Decrements!$B$4:$S$60</definedName>
    <definedName name="ForeclosureRateMultMthsBefMaturity">Decrements!$B$93:$D$96</definedName>
    <definedName name="ForeclosureRateMultMthsSinceIssue">Decrements!$B$87:$D$90</definedName>
    <definedName name="ForeclosureRatePct">Decrements!$B$81:$D$84</definedName>
    <definedName name="InvStratAssetSubPortInvTgtPct">Strategy!$B$49:$AK$62</definedName>
    <definedName name="InvStratAssetSubPortInvTgtPctInforceMixPtp">Strategy!$B$130:$C$132</definedName>
    <definedName name="InvStratAssetSubPortInvTgtPctPbaGaap">Strategy!$B$182:$C$184</definedName>
    <definedName name="InvStratCashPctDistribnDefn">Strategy!$B$43:$AJ$46</definedName>
    <definedName name="InvStratCashPctDistribnDefnInforceMixPtp">Strategy!$B$124:$C$127</definedName>
    <definedName name="InvStratCashPctDistribnDefnPbaGaap">Strategy!$B$165:$C$168</definedName>
    <definedName name="InvStratEconomic">Strategy!$B$105:$C$121</definedName>
    <definedName name="InvStratEconomicInforceMixPtp">Strategy!$B$146:$C$162</definedName>
    <definedName name="InvStratEconomicPbaGaap">Strategy!$B$187:$C$203</definedName>
    <definedName name="InvStratPlanned">DurationMatchStrategy!$C$3:$L$59</definedName>
    <definedName name="InvStratPlannedInforceMixPtp">Strategy!$B$141:$I$143</definedName>
    <definedName name="InvStratPlannedPbaGaap">Strategy!$B$171:$I$173</definedName>
    <definedName name="InvStratPurchAssetSubPortIdAndWght">Strategy!$B$65:$BT$102</definedName>
    <definedName name="InvStratPurchAssetSubPortIdAndWghtInforceMixPtp">Strategy!$B$135:$D$138</definedName>
    <definedName name="InvStratPurchAssetSubPortIdAndWghtPbaGaap">Strategy!$B$176:$D$179</definedName>
    <definedName name="NegCashFlowStratEconomic">Strategy!$B$211:$C$230</definedName>
    <definedName name="NegCashFlowStratPlanned">Strategy!$B$206:$L$208</definedName>
    <definedName name="PrepmtExercisePct">Decrements!$B$150:$D$154</definedName>
    <definedName name="PrepmtNonfinancialAdj">Decrements!$B$179:$D$183</definedName>
    <definedName name="PrepmtNonfinancialSeasonalityAddn">Decrements!$B$163:$D$176</definedName>
    <definedName name="PrepmtPenaltyPct">Decrements!$B$136:$D$139</definedName>
    <definedName name="PrepmtSeasoningSinceIssueMult">Decrements!$B$157:$D$160</definedName>
    <definedName name="PurchAssetsDefnAIGBond">'Purch AIG Bond Defn'!$B$4:$C$11</definedName>
    <definedName name="PurchAssetsDefnBond">'Purch Bond Defn'!$B$4:$AD$45</definedName>
    <definedName name="PurchAssetsDefnBondCallPutPricePct">'Purch Bond Defn'!$B$48:$AA$55</definedName>
    <definedName name="PurchAssetsDefnBondSinkFundPrinPmtPct">'Purch Bond Defn'!$B$58:$Y$64</definedName>
    <definedName name="PurchAssetsDefnEio">'Purch Eio Defn'!$B$4:$I$25</definedName>
    <definedName name="PurchAssetsDefnEqt">'Purch Eqt Defn'!$B$4:$C$18</definedName>
    <definedName name="PurchAssetsDefnIrd">'Purch Ird Defn'!$B$4:$C$28</definedName>
    <definedName name="PurchAssetsDefnMtg">'Purch Mtg Defn'!$B$4:$I$39</definedName>
    <definedName name="PurchAssetsDefnMtgBalloonPrinPmtPct">'Purch Mtg Defn'!$B$51:$I$57</definedName>
    <definedName name="PurchAssetsDefnMtgPrepmtPenaltyPct">'Purch Mtg Defn'!$B$42:$C$48</definedName>
    <definedName name="PurchAssetsDefnRe">'Purch Re Defn'!$B$4:$C$20</definedName>
    <definedName name="PurchAssetsDefnSec">'Purch Sec Defn'!$B$4:$C$64</definedName>
    <definedName name="PurchAssetsDefnSecCpPrepmtPenaltyPct">'Purch Sec Defn'!$B$78:$C$85</definedName>
    <definedName name="PurchAssetsDefnSecSchedules">'Purch Sec Defn'!$B$67:$G$75</definedName>
    <definedName name="RefinanceForeclosureRestructureInvestments">RefinanceForeclosureRestructure!$B$4:$C$14</definedName>
    <definedName name="RefinanceRateMultBefMaturity">Decrements!$B$75:$D$78</definedName>
    <definedName name="RefinanceRateMultSinceIssue">Decrements!$B$69:$D$72</definedName>
    <definedName name="RefinanceRatePct">Decrements!$B$63:$D$66</definedName>
    <definedName name="RestructureRateMultMthsBefMaturity">Decrements!$B$111:$D$114</definedName>
    <definedName name="RestructureRateMultMthsSinceIssue">Decrements!$B$105:$D$108</definedName>
    <definedName name="RestructureRatePct">Decrements!$B$99:$D$102</definedName>
    <definedName name="SecuritizedAssetCashFlows">'Sec Cash Flows'!$B$4:$G$8</definedName>
    <definedName name="SinkingFundPrinPmtPct">Decrements!$B$117:$D$120</definedName>
    <definedName name="Strategy">Strategy!$B$4:$D$40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102" i="20" l="1"/>
  <c r="BR102" i="20"/>
  <c r="BP102" i="20"/>
  <c r="AK62" i="20"/>
  <c r="AJ62" i="20"/>
  <c r="AI62" i="20"/>
  <c r="AN102" i="20"/>
  <c r="U62" i="20"/>
  <c r="U49" i="20"/>
  <c r="U43" i="20"/>
  <c r="B3" i="26"/>
  <c r="B3" i="25"/>
  <c r="B3" i="24"/>
  <c r="B3" i="23"/>
  <c r="B77" i="22"/>
  <c r="B3" i="22"/>
  <c r="B66" i="22"/>
  <c r="B41" i="21"/>
  <c r="B3" i="21"/>
  <c r="B50" i="21"/>
  <c r="B57" i="16"/>
  <c r="B47" i="16"/>
  <c r="B3" i="16"/>
  <c r="B210" i="20"/>
  <c r="B104" i="20"/>
  <c r="B145" i="20"/>
  <c r="B134" i="20"/>
  <c r="B205" i="20"/>
  <c r="B64" i="20"/>
  <c r="B3" i="20"/>
  <c r="B129" i="20"/>
  <c r="B186" i="20"/>
  <c r="B48" i="20"/>
  <c r="B42" i="20"/>
  <c r="B140" i="20"/>
  <c r="B123" i="20"/>
  <c r="B181" i="20"/>
  <c r="B175" i="20"/>
  <c r="B170" i="20"/>
  <c r="B164" i="20"/>
  <c r="B3" i="15"/>
  <c r="B14" i="15"/>
  <c r="B3" i="18"/>
  <c r="B3" i="27"/>
  <c r="B3" i="19"/>
  <c r="B178" i="17"/>
  <c r="B92" i="17"/>
  <c r="B98" i="17"/>
  <c r="B162" i="17"/>
  <c r="B86" i="17"/>
  <c r="B80" i="17"/>
  <c r="B156" i="17"/>
  <c r="B149" i="17"/>
  <c r="B74" i="17"/>
  <c r="B62" i="17"/>
  <c r="B141" i="17"/>
  <c r="B68" i="17"/>
  <c r="B135" i="17"/>
  <c r="B128" i="17"/>
  <c r="B3" i="17"/>
  <c r="B110" i="17"/>
  <c r="B122" i="17"/>
  <c r="B116" i="17"/>
  <c r="B104" i="17"/>
  <c r="B3" i="14"/>
  <c r="B3" i="30"/>
  <c r="B47" i="30"/>
  <c r="B13" i="30"/>
  <c r="B3" i="28"/>
  <c r="D39" i="21" l="1"/>
  <c r="E39" i="21"/>
  <c r="G39" i="21"/>
  <c r="H39" i="21"/>
  <c r="I39" i="21"/>
  <c r="D12" i="20"/>
  <c r="E45" i="16"/>
  <c r="H45" i="16"/>
  <c r="I45" i="16"/>
  <c r="K45" i="16"/>
  <c r="N45" i="16"/>
  <c r="O45" i="16"/>
  <c r="P45" i="16"/>
  <c r="Q45" i="16"/>
  <c r="R45" i="16"/>
  <c r="S45" i="16"/>
  <c r="U45" i="16"/>
  <c r="V45" i="16"/>
  <c r="W45" i="16"/>
  <c r="X45" i="16"/>
  <c r="Z45" i="16"/>
  <c r="AA45" i="16"/>
  <c r="AB45" i="16"/>
  <c r="AC45" i="16"/>
  <c r="AD45" i="16"/>
  <c r="BL102" i="20" l="1"/>
  <c r="AG62" i="20"/>
  <c r="E68" i="20" l="1"/>
  <c r="F68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E69" i="20"/>
  <c r="F69" i="20"/>
  <c r="G69" i="20"/>
  <c r="H69" i="20"/>
  <c r="I69" i="20"/>
  <c r="J69" i="20"/>
  <c r="K69" i="20"/>
  <c r="L69" i="20"/>
  <c r="M69" i="20"/>
  <c r="N69" i="20"/>
  <c r="O69" i="20"/>
  <c r="P69" i="20"/>
  <c r="Q69" i="20"/>
  <c r="R69" i="20"/>
  <c r="S69" i="20"/>
  <c r="T69" i="20"/>
  <c r="E70" i="20"/>
  <c r="F70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E71" i="20"/>
  <c r="F71" i="20"/>
  <c r="G71" i="20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E72" i="20"/>
  <c r="F72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E73" i="20"/>
  <c r="F73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E74" i="20"/>
  <c r="F74" i="20"/>
  <c r="G74" i="20"/>
  <c r="H74" i="20"/>
  <c r="I74" i="20"/>
  <c r="J74" i="20"/>
  <c r="K74" i="20"/>
  <c r="L74" i="20"/>
  <c r="M74" i="20"/>
  <c r="N74" i="20"/>
  <c r="O74" i="20"/>
  <c r="P74" i="20"/>
  <c r="Q74" i="20"/>
  <c r="R74" i="20"/>
  <c r="S74" i="20"/>
  <c r="T74" i="20"/>
  <c r="E75" i="20"/>
  <c r="F75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E76" i="20"/>
  <c r="F76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E77" i="20"/>
  <c r="F77" i="20"/>
  <c r="G77" i="20"/>
  <c r="H77" i="20"/>
  <c r="I77" i="20"/>
  <c r="J77" i="20"/>
  <c r="K77" i="20"/>
  <c r="L77" i="20"/>
  <c r="M77" i="20"/>
  <c r="N77" i="20"/>
  <c r="O77" i="20"/>
  <c r="P77" i="20"/>
  <c r="Q77" i="20"/>
  <c r="R77" i="20"/>
  <c r="S77" i="20"/>
  <c r="T77" i="20"/>
  <c r="E78" i="20"/>
  <c r="F78" i="20"/>
  <c r="G78" i="20"/>
  <c r="H78" i="20"/>
  <c r="I78" i="20"/>
  <c r="J78" i="20"/>
  <c r="K78" i="20"/>
  <c r="L78" i="20"/>
  <c r="M78" i="20"/>
  <c r="N78" i="20"/>
  <c r="O78" i="20"/>
  <c r="P78" i="20"/>
  <c r="Q78" i="20"/>
  <c r="R78" i="20"/>
  <c r="S78" i="20"/>
  <c r="T78" i="20"/>
  <c r="E79" i="20"/>
  <c r="F79" i="20"/>
  <c r="G79" i="20"/>
  <c r="H79" i="20"/>
  <c r="I79" i="20"/>
  <c r="J79" i="20"/>
  <c r="K79" i="20"/>
  <c r="L79" i="20"/>
  <c r="M79" i="20"/>
  <c r="N79" i="20"/>
  <c r="O79" i="20"/>
  <c r="P79" i="20"/>
  <c r="Q79" i="20"/>
  <c r="R79" i="20"/>
  <c r="S79" i="20"/>
  <c r="T79" i="20"/>
  <c r="E80" i="20"/>
  <c r="F80" i="20"/>
  <c r="G80" i="20"/>
  <c r="H80" i="20"/>
  <c r="I80" i="20"/>
  <c r="J80" i="20"/>
  <c r="K80" i="20"/>
  <c r="L80" i="20"/>
  <c r="M80" i="20"/>
  <c r="N80" i="20"/>
  <c r="O80" i="20"/>
  <c r="P80" i="20"/>
  <c r="Q80" i="20"/>
  <c r="R80" i="20"/>
  <c r="S80" i="20"/>
  <c r="T80" i="20"/>
  <c r="E81" i="20"/>
  <c r="F81" i="20"/>
  <c r="G81" i="20"/>
  <c r="H81" i="20"/>
  <c r="I81" i="20"/>
  <c r="J81" i="20"/>
  <c r="K81" i="20"/>
  <c r="L81" i="20"/>
  <c r="M81" i="20"/>
  <c r="N81" i="20"/>
  <c r="O81" i="20"/>
  <c r="P81" i="20"/>
  <c r="Q81" i="20"/>
  <c r="R81" i="20"/>
  <c r="S81" i="20"/>
  <c r="T81" i="20"/>
  <c r="E82" i="20"/>
  <c r="F82" i="20"/>
  <c r="G82" i="20"/>
  <c r="H82" i="20"/>
  <c r="I82" i="20"/>
  <c r="J82" i="20"/>
  <c r="K82" i="20"/>
  <c r="L82" i="20"/>
  <c r="M82" i="20"/>
  <c r="N82" i="20"/>
  <c r="O82" i="20"/>
  <c r="P82" i="20"/>
  <c r="Q82" i="20"/>
  <c r="R82" i="20"/>
  <c r="S82" i="20"/>
  <c r="T82" i="20"/>
  <c r="E83" i="20"/>
  <c r="F83" i="20"/>
  <c r="G83" i="20"/>
  <c r="H83" i="20"/>
  <c r="I83" i="20"/>
  <c r="J83" i="20"/>
  <c r="K83" i="20"/>
  <c r="L83" i="20"/>
  <c r="M83" i="20"/>
  <c r="N83" i="20"/>
  <c r="O83" i="20"/>
  <c r="P83" i="20"/>
  <c r="Q83" i="20"/>
  <c r="R83" i="20"/>
  <c r="S83" i="20"/>
  <c r="T83" i="20"/>
  <c r="E84" i="20"/>
  <c r="F84" i="20"/>
  <c r="G84" i="20"/>
  <c r="H84" i="20"/>
  <c r="I84" i="20"/>
  <c r="J84" i="20"/>
  <c r="K84" i="20"/>
  <c r="L84" i="20"/>
  <c r="M84" i="20"/>
  <c r="N84" i="20"/>
  <c r="O84" i="20"/>
  <c r="P84" i="20"/>
  <c r="Q84" i="20"/>
  <c r="R84" i="20"/>
  <c r="S84" i="20"/>
  <c r="T84" i="20"/>
  <c r="E85" i="20"/>
  <c r="F85" i="20"/>
  <c r="G85" i="20"/>
  <c r="H85" i="20"/>
  <c r="I85" i="20"/>
  <c r="J85" i="20"/>
  <c r="K85" i="20"/>
  <c r="L85" i="20"/>
  <c r="M85" i="20"/>
  <c r="N85" i="20"/>
  <c r="O85" i="20"/>
  <c r="P85" i="20"/>
  <c r="Q85" i="20"/>
  <c r="R85" i="20"/>
  <c r="S85" i="20"/>
  <c r="T85" i="20"/>
  <c r="E86" i="20"/>
  <c r="F86" i="20"/>
  <c r="G86" i="20"/>
  <c r="H86" i="20"/>
  <c r="I86" i="20"/>
  <c r="J86" i="20"/>
  <c r="K86" i="20"/>
  <c r="L86" i="20"/>
  <c r="M86" i="20"/>
  <c r="N86" i="20"/>
  <c r="O86" i="20"/>
  <c r="P86" i="20"/>
  <c r="Q86" i="20"/>
  <c r="R86" i="20"/>
  <c r="S86" i="20"/>
  <c r="T86" i="20"/>
  <c r="E87" i="20"/>
  <c r="F87" i="20"/>
  <c r="G87" i="20"/>
  <c r="H87" i="20"/>
  <c r="I87" i="20"/>
  <c r="J87" i="20"/>
  <c r="K87" i="20"/>
  <c r="L87" i="20"/>
  <c r="M87" i="20"/>
  <c r="N87" i="20"/>
  <c r="O87" i="20"/>
  <c r="P87" i="20"/>
  <c r="Q87" i="20"/>
  <c r="R87" i="20"/>
  <c r="S87" i="20"/>
  <c r="T87" i="20"/>
  <c r="E88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R88" i="20"/>
  <c r="S88" i="20"/>
  <c r="T88" i="20"/>
  <c r="E89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R89" i="20"/>
  <c r="S89" i="20"/>
  <c r="T89" i="20"/>
  <c r="E90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R90" i="20"/>
  <c r="S90" i="20"/>
  <c r="T90" i="20"/>
  <c r="E91" i="20"/>
  <c r="F91" i="20"/>
  <c r="G91" i="20"/>
  <c r="H91" i="20"/>
  <c r="I91" i="20"/>
  <c r="J91" i="20"/>
  <c r="K91" i="20"/>
  <c r="L91" i="20"/>
  <c r="M91" i="20"/>
  <c r="N91" i="20"/>
  <c r="O91" i="20"/>
  <c r="P91" i="20"/>
  <c r="Q91" i="20"/>
  <c r="R91" i="20"/>
  <c r="S91" i="20"/>
  <c r="T91" i="20"/>
  <c r="E92" i="20"/>
  <c r="F92" i="20"/>
  <c r="G92" i="20"/>
  <c r="H92" i="20"/>
  <c r="I92" i="20"/>
  <c r="J92" i="20"/>
  <c r="K92" i="20"/>
  <c r="L92" i="20"/>
  <c r="M92" i="20"/>
  <c r="N92" i="20"/>
  <c r="O92" i="20"/>
  <c r="P92" i="20"/>
  <c r="Q92" i="20"/>
  <c r="R92" i="20"/>
  <c r="S92" i="20"/>
  <c r="T92" i="20"/>
  <c r="E93" i="20"/>
  <c r="F93" i="20"/>
  <c r="G93" i="20"/>
  <c r="H93" i="20"/>
  <c r="I93" i="20"/>
  <c r="J93" i="20"/>
  <c r="K93" i="20"/>
  <c r="L93" i="20"/>
  <c r="M93" i="20"/>
  <c r="N93" i="20"/>
  <c r="O93" i="20"/>
  <c r="P93" i="20"/>
  <c r="Q93" i="20"/>
  <c r="R93" i="20"/>
  <c r="S93" i="20"/>
  <c r="T93" i="20"/>
  <c r="E94" i="20"/>
  <c r="F94" i="20"/>
  <c r="G94" i="20"/>
  <c r="H94" i="20"/>
  <c r="I94" i="20"/>
  <c r="J94" i="20"/>
  <c r="K94" i="20"/>
  <c r="L94" i="20"/>
  <c r="M94" i="20"/>
  <c r="N94" i="20"/>
  <c r="O94" i="20"/>
  <c r="P94" i="20"/>
  <c r="Q94" i="20"/>
  <c r="R94" i="20"/>
  <c r="S94" i="20"/>
  <c r="T94" i="20"/>
  <c r="E95" i="20"/>
  <c r="F95" i="20"/>
  <c r="G95" i="20"/>
  <c r="H95" i="20"/>
  <c r="I95" i="20"/>
  <c r="J95" i="20"/>
  <c r="K95" i="20"/>
  <c r="L95" i="20"/>
  <c r="M95" i="20"/>
  <c r="N95" i="20"/>
  <c r="O95" i="20"/>
  <c r="P95" i="20"/>
  <c r="Q95" i="20"/>
  <c r="R95" i="20"/>
  <c r="S95" i="20"/>
  <c r="T95" i="20"/>
  <c r="E96" i="20"/>
  <c r="F96" i="20"/>
  <c r="G96" i="20"/>
  <c r="H96" i="20"/>
  <c r="I96" i="20"/>
  <c r="J96" i="20"/>
  <c r="K96" i="20"/>
  <c r="L96" i="20"/>
  <c r="M96" i="20"/>
  <c r="N96" i="20"/>
  <c r="O96" i="20"/>
  <c r="P96" i="20"/>
  <c r="Q96" i="20"/>
  <c r="R96" i="20"/>
  <c r="S96" i="20"/>
  <c r="T96" i="20"/>
  <c r="E97" i="20"/>
  <c r="F97" i="20"/>
  <c r="G97" i="20"/>
  <c r="H97" i="20"/>
  <c r="I97" i="20"/>
  <c r="J97" i="20"/>
  <c r="K97" i="20"/>
  <c r="L97" i="20"/>
  <c r="M97" i="20"/>
  <c r="N97" i="20"/>
  <c r="O97" i="20"/>
  <c r="P97" i="20"/>
  <c r="Q97" i="20"/>
  <c r="R97" i="20"/>
  <c r="S97" i="20"/>
  <c r="T97" i="20"/>
  <c r="E98" i="20"/>
  <c r="F98" i="20"/>
  <c r="G98" i="20"/>
  <c r="H98" i="20"/>
  <c r="I98" i="20"/>
  <c r="J98" i="20"/>
  <c r="K98" i="20"/>
  <c r="L98" i="20"/>
  <c r="M98" i="20"/>
  <c r="N98" i="20"/>
  <c r="O98" i="20"/>
  <c r="P98" i="20"/>
  <c r="Q98" i="20"/>
  <c r="R98" i="20"/>
  <c r="S98" i="20"/>
  <c r="T98" i="20"/>
  <c r="E99" i="20"/>
  <c r="F99" i="20"/>
  <c r="G99" i="20"/>
  <c r="H99" i="20"/>
  <c r="I99" i="20"/>
  <c r="J99" i="20"/>
  <c r="K99" i="20"/>
  <c r="L99" i="20"/>
  <c r="M99" i="20"/>
  <c r="N99" i="20"/>
  <c r="O99" i="20"/>
  <c r="P99" i="20"/>
  <c r="Q99" i="20"/>
  <c r="R99" i="20"/>
  <c r="S99" i="20"/>
  <c r="T99" i="20"/>
  <c r="E100" i="20"/>
  <c r="F100" i="20"/>
  <c r="G100" i="20"/>
  <c r="H100" i="20"/>
  <c r="I100" i="20"/>
  <c r="J100" i="20"/>
  <c r="K100" i="20"/>
  <c r="L100" i="20"/>
  <c r="M100" i="20"/>
  <c r="N100" i="20"/>
  <c r="O100" i="20"/>
  <c r="P100" i="20"/>
  <c r="Q100" i="20"/>
  <c r="R100" i="20"/>
  <c r="S100" i="20"/>
  <c r="T100" i="20"/>
  <c r="E101" i="20"/>
  <c r="F101" i="20"/>
  <c r="G101" i="20"/>
  <c r="H101" i="20"/>
  <c r="I101" i="20"/>
  <c r="J101" i="20"/>
  <c r="K101" i="20"/>
  <c r="L101" i="20"/>
  <c r="M101" i="20"/>
  <c r="N101" i="20"/>
  <c r="O101" i="20"/>
  <c r="P101" i="20"/>
  <c r="Q101" i="20"/>
  <c r="R101" i="20"/>
  <c r="S101" i="20"/>
  <c r="T101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68" i="20"/>
  <c r="D51" i="20"/>
  <c r="E51" i="20"/>
  <c r="F51" i="20"/>
  <c r="G51" i="20"/>
  <c r="H51" i="20"/>
  <c r="I51" i="20"/>
  <c r="J51" i="20"/>
  <c r="K51" i="20"/>
  <c r="D52" i="20"/>
  <c r="E52" i="20"/>
  <c r="F52" i="20"/>
  <c r="G52" i="20"/>
  <c r="H52" i="20"/>
  <c r="I52" i="20"/>
  <c r="J52" i="20"/>
  <c r="K52" i="20"/>
  <c r="D53" i="20"/>
  <c r="E53" i="20"/>
  <c r="F53" i="20"/>
  <c r="G53" i="20"/>
  <c r="H53" i="20"/>
  <c r="I53" i="20"/>
  <c r="J53" i="20"/>
  <c r="K53" i="20"/>
  <c r="D54" i="20"/>
  <c r="E54" i="20"/>
  <c r="F54" i="20"/>
  <c r="G54" i="20"/>
  <c r="H54" i="20"/>
  <c r="I54" i="20"/>
  <c r="J54" i="20"/>
  <c r="K54" i="20"/>
  <c r="D55" i="20"/>
  <c r="E55" i="20"/>
  <c r="F55" i="20"/>
  <c r="G55" i="20"/>
  <c r="H55" i="20"/>
  <c r="I55" i="20"/>
  <c r="J55" i="20"/>
  <c r="K55" i="20"/>
  <c r="D56" i="20"/>
  <c r="E56" i="20"/>
  <c r="F56" i="20"/>
  <c r="G56" i="20"/>
  <c r="H56" i="20"/>
  <c r="I56" i="20"/>
  <c r="J56" i="20"/>
  <c r="K56" i="20"/>
  <c r="D57" i="20"/>
  <c r="E57" i="20"/>
  <c r="F57" i="20"/>
  <c r="G57" i="20"/>
  <c r="H57" i="20"/>
  <c r="I57" i="20"/>
  <c r="J57" i="20"/>
  <c r="K57" i="20"/>
  <c r="D58" i="20"/>
  <c r="E58" i="20"/>
  <c r="F58" i="20"/>
  <c r="G58" i="20"/>
  <c r="H58" i="20"/>
  <c r="I58" i="20"/>
  <c r="J58" i="20"/>
  <c r="K58" i="20"/>
  <c r="D59" i="20"/>
  <c r="E59" i="20"/>
  <c r="F59" i="20"/>
  <c r="G59" i="20"/>
  <c r="H59" i="20"/>
  <c r="I59" i="20"/>
  <c r="J59" i="20"/>
  <c r="K59" i="20"/>
  <c r="D60" i="20"/>
  <c r="E60" i="20"/>
  <c r="F60" i="20"/>
  <c r="G60" i="20"/>
  <c r="H60" i="20"/>
  <c r="I60" i="20"/>
  <c r="J60" i="20"/>
  <c r="K60" i="20"/>
  <c r="D61" i="20"/>
  <c r="E61" i="20"/>
  <c r="F61" i="20"/>
  <c r="G61" i="20"/>
  <c r="H61" i="20"/>
  <c r="I61" i="20"/>
  <c r="J61" i="20"/>
  <c r="K61" i="20"/>
  <c r="C52" i="20"/>
  <c r="C53" i="20"/>
  <c r="C54" i="20"/>
  <c r="C55" i="20"/>
  <c r="C56" i="20"/>
  <c r="C57" i="20"/>
  <c r="C58" i="20"/>
  <c r="C59" i="20"/>
  <c r="C60" i="20"/>
  <c r="C61" i="20"/>
  <c r="C51" i="20"/>
  <c r="C16" i="28" l="1"/>
  <c r="C12" i="20" l="1"/>
  <c r="T16" i="16"/>
  <c r="AF62" i="20"/>
  <c r="BN102" i="20"/>
  <c r="BJ102" i="20"/>
  <c r="P13" i="32"/>
  <c r="O13" i="32"/>
  <c r="N13" i="32"/>
  <c r="F13" i="32"/>
  <c r="G13" i="32" s="1"/>
  <c r="H13" i="32" s="1"/>
  <c r="I13" i="32" s="1"/>
  <c r="J13" i="32" s="1"/>
  <c r="E13" i="32"/>
  <c r="P14" i="32"/>
  <c r="O14" i="32"/>
  <c r="N14" i="32"/>
  <c r="E14" i="32"/>
  <c r="C13" i="20"/>
  <c r="F6" i="32"/>
  <c r="F7" i="32"/>
  <c r="F8" i="32"/>
  <c r="F9" i="32"/>
  <c r="F10" i="32"/>
  <c r="F11" i="32"/>
  <c r="F12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" i="32"/>
  <c r="N6" i="32"/>
  <c r="N7" i="32"/>
  <c r="N8" i="32"/>
  <c r="N9" i="32"/>
  <c r="N10" i="32"/>
  <c r="N11" i="32"/>
  <c r="N12" i="32"/>
  <c r="N15" i="32"/>
  <c r="N16" i="32"/>
  <c r="N17" i="32"/>
  <c r="N18" i="32"/>
  <c r="N19" i="32"/>
  <c r="N20" i="32"/>
  <c r="N21" i="32"/>
  <c r="N22" i="32"/>
  <c r="N23" i="32"/>
  <c r="N24" i="32"/>
  <c r="N25" i="32"/>
  <c r="N26" i="32"/>
  <c r="N27" i="32"/>
  <c r="N28" i="32"/>
  <c r="N29" i="32"/>
  <c r="N30" i="32"/>
  <c r="N31" i="32"/>
  <c r="N32" i="32"/>
  <c r="N33" i="32"/>
  <c r="N34" i="32"/>
  <c r="N35" i="32"/>
  <c r="N36" i="32"/>
  <c r="N37" i="32"/>
  <c r="N38" i="32"/>
  <c r="N39" i="32"/>
  <c r="N40" i="32"/>
  <c r="N41" i="32"/>
  <c r="N42" i="32"/>
  <c r="N43" i="32"/>
  <c r="N44" i="32"/>
  <c r="N45" i="32"/>
  <c r="N46" i="32"/>
  <c r="N47" i="32"/>
  <c r="N48" i="32"/>
  <c r="N49" i="32"/>
  <c r="N50" i="32"/>
  <c r="N5" i="32"/>
  <c r="A55" i="32" l="1"/>
  <c r="P55" i="32"/>
  <c r="O55" i="32"/>
  <c r="E55" i="32"/>
  <c r="N55" i="32" l="1"/>
  <c r="F55" i="32"/>
  <c r="G55" i="32" s="1"/>
  <c r="H55" i="32" s="1"/>
  <c r="I55" i="32" s="1"/>
  <c r="J55" i="32" s="1"/>
  <c r="O59" i="32"/>
  <c r="O58" i="32"/>
  <c r="O57" i="32"/>
  <c r="O56" i="32"/>
  <c r="O54" i="32"/>
  <c r="O53" i="32"/>
  <c r="O52" i="32"/>
  <c r="O51" i="32"/>
  <c r="O50" i="32"/>
  <c r="O49" i="32"/>
  <c r="O48" i="32"/>
  <c r="O47" i="32"/>
  <c r="O46" i="32"/>
  <c r="O45" i="32"/>
  <c r="O44" i="32"/>
  <c r="O43" i="32"/>
  <c r="O42" i="32"/>
  <c r="O41" i="32"/>
  <c r="O40" i="32"/>
  <c r="O39" i="32"/>
  <c r="O38" i="32"/>
  <c r="O37" i="32"/>
  <c r="O36" i="32"/>
  <c r="O35" i="32"/>
  <c r="O34" i="32"/>
  <c r="O33" i="32"/>
  <c r="O32" i="32"/>
  <c r="O31" i="32"/>
  <c r="O30" i="32"/>
  <c r="O29" i="32"/>
  <c r="O28" i="32"/>
  <c r="O27" i="32"/>
  <c r="O26" i="32"/>
  <c r="O25" i="32"/>
  <c r="O24" i="32"/>
  <c r="O23" i="32"/>
  <c r="O22" i="32"/>
  <c r="O21" i="32"/>
  <c r="O20" i="32"/>
  <c r="O19" i="32"/>
  <c r="O18" i="32"/>
  <c r="O17" i="32"/>
  <c r="O16" i="32"/>
  <c r="O15" i="32"/>
  <c r="O12" i="32"/>
  <c r="O11" i="32"/>
  <c r="O10" i="32"/>
  <c r="O9" i="32"/>
  <c r="O8" i="32"/>
  <c r="O7" i="32"/>
  <c r="O6" i="32"/>
  <c r="O5" i="32"/>
  <c r="P6" i="32" l="1"/>
  <c r="P7" i="32"/>
  <c r="P8" i="32"/>
  <c r="P9" i="32"/>
  <c r="P10" i="32"/>
  <c r="P11" i="32"/>
  <c r="P12" i="32"/>
  <c r="P15" i="32"/>
  <c r="P16" i="32"/>
  <c r="P17" i="32"/>
  <c r="P18" i="32"/>
  <c r="P19" i="32"/>
  <c r="P20" i="32"/>
  <c r="P21" i="32"/>
  <c r="P22" i="32"/>
  <c r="P23" i="32"/>
  <c r="P24" i="32"/>
  <c r="P25" i="32"/>
  <c r="P26" i="32"/>
  <c r="P27" i="32"/>
  <c r="P28" i="32"/>
  <c r="P29" i="32"/>
  <c r="P30" i="32"/>
  <c r="P31" i="32"/>
  <c r="P32" i="32"/>
  <c r="P33" i="32"/>
  <c r="P34" i="32"/>
  <c r="P35" i="32"/>
  <c r="P36" i="32"/>
  <c r="P37" i="32"/>
  <c r="P38" i="32"/>
  <c r="P39" i="32"/>
  <c r="P40" i="32"/>
  <c r="P41" i="32"/>
  <c r="P42" i="32"/>
  <c r="P43" i="32"/>
  <c r="P44" i="32"/>
  <c r="P45" i="32"/>
  <c r="P46" i="32"/>
  <c r="P47" i="32"/>
  <c r="P48" i="32"/>
  <c r="P49" i="32"/>
  <c r="P50" i="32"/>
  <c r="P51" i="32"/>
  <c r="P52" i="32"/>
  <c r="P53" i="32"/>
  <c r="P54" i="32"/>
  <c r="P56" i="32"/>
  <c r="P57" i="32"/>
  <c r="P58" i="32"/>
  <c r="P59" i="32"/>
  <c r="P5" i="32"/>
  <c r="W42" i="20"/>
  <c r="X42" i="20" s="1"/>
  <c r="V43" i="20"/>
  <c r="W48" i="20"/>
  <c r="W49" i="20" s="1"/>
  <c r="V49" i="20"/>
  <c r="V62" i="20"/>
  <c r="W62" i="20"/>
  <c r="X62" i="20"/>
  <c r="Y62" i="20"/>
  <c r="Z62" i="20"/>
  <c r="AA62" i="20"/>
  <c r="AB62" i="20"/>
  <c r="AC62" i="20"/>
  <c r="AD62" i="20"/>
  <c r="AE62" i="20"/>
  <c r="AH62" i="20"/>
  <c r="AP102" i="20"/>
  <c r="AR102" i="20"/>
  <c r="AT102" i="20"/>
  <c r="AV102" i="20"/>
  <c r="AX102" i="20"/>
  <c r="AZ102" i="20"/>
  <c r="BB102" i="20"/>
  <c r="BD102" i="20"/>
  <c r="BF102" i="20"/>
  <c r="BH102" i="20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6" i="32"/>
  <c r="E57" i="32"/>
  <c r="E58" i="32"/>
  <c r="E59" i="32"/>
  <c r="E6" i="32"/>
  <c r="E7" i="32"/>
  <c r="E8" i="32"/>
  <c r="E9" i="32"/>
  <c r="E10" i="32"/>
  <c r="E11" i="32"/>
  <c r="E12" i="32"/>
  <c r="E15" i="32"/>
  <c r="E16" i="32"/>
  <c r="E17" i="32"/>
  <c r="E18" i="32"/>
  <c r="E19" i="32"/>
  <c r="E20" i="32"/>
  <c r="E21" i="32"/>
  <c r="E5" i="32"/>
  <c r="W43" i="20" l="1"/>
  <c r="X48" i="20"/>
  <c r="X49" i="20" s="1"/>
  <c r="X43" i="20"/>
  <c r="Y42" i="20"/>
  <c r="G10" i="32"/>
  <c r="H10" i="32" s="1"/>
  <c r="I10" i="32" s="1"/>
  <c r="G11" i="32"/>
  <c r="H11" i="32" s="1"/>
  <c r="I11" i="32" s="1"/>
  <c r="G12" i="32"/>
  <c r="H12" i="32" s="1"/>
  <c r="I12" i="32" s="1"/>
  <c r="G15" i="32"/>
  <c r="H15" i="32" s="1"/>
  <c r="I15" i="32" s="1"/>
  <c r="G16" i="32"/>
  <c r="H16" i="32" s="1"/>
  <c r="I16" i="32" s="1"/>
  <c r="G17" i="32"/>
  <c r="H17" i="32" s="1"/>
  <c r="I17" i="32" s="1"/>
  <c r="G18" i="32"/>
  <c r="H18" i="32" s="1"/>
  <c r="I18" i="32" s="1"/>
  <c r="G24" i="32"/>
  <c r="H24" i="32" s="1"/>
  <c r="I24" i="32" s="1"/>
  <c r="G25" i="32"/>
  <c r="H25" i="32" s="1"/>
  <c r="I25" i="32" s="1"/>
  <c r="G26" i="32"/>
  <c r="H26" i="32" s="1"/>
  <c r="I26" i="32" s="1"/>
  <c r="G27" i="32"/>
  <c r="H27" i="32" s="1"/>
  <c r="I27" i="32" s="1"/>
  <c r="G28" i="32"/>
  <c r="H28" i="32" s="1"/>
  <c r="I28" i="32" s="1"/>
  <c r="G31" i="32"/>
  <c r="H31" i="32" s="1"/>
  <c r="I31" i="32" s="1"/>
  <c r="G32" i="32"/>
  <c r="H32" i="32" s="1"/>
  <c r="I32" i="32" s="1"/>
  <c r="G34" i="32"/>
  <c r="H34" i="32" s="1"/>
  <c r="I34" i="32" s="1"/>
  <c r="G40" i="32"/>
  <c r="H40" i="32" s="1"/>
  <c r="I40" i="32" s="1"/>
  <c r="G41" i="32"/>
  <c r="H41" i="32" s="1"/>
  <c r="I41" i="32" s="1"/>
  <c r="G42" i="32"/>
  <c r="H42" i="32" s="1"/>
  <c r="I42" i="32" s="1"/>
  <c r="J42" i="32" s="1"/>
  <c r="G43" i="32"/>
  <c r="H43" i="32" s="1"/>
  <c r="I43" i="32" s="1"/>
  <c r="G46" i="32"/>
  <c r="H46" i="32" s="1"/>
  <c r="I46" i="32" s="1"/>
  <c r="G47" i="32"/>
  <c r="H47" i="32" s="1"/>
  <c r="I47" i="32" s="1"/>
  <c r="G48" i="32"/>
  <c r="H48" i="32" s="1"/>
  <c r="I48" i="32" s="1"/>
  <c r="J48" i="32" s="1"/>
  <c r="G49" i="32"/>
  <c r="H49" i="32" s="1"/>
  <c r="I49" i="32" s="1"/>
  <c r="G5" i="32"/>
  <c r="H5" i="32" s="1"/>
  <c r="I5" i="32" s="1"/>
  <c r="G6" i="32"/>
  <c r="H6" i="32" s="1"/>
  <c r="I6" i="32" s="1"/>
  <c r="G7" i="32"/>
  <c r="H7" i="32" s="1"/>
  <c r="I7" i="32" s="1"/>
  <c r="G8" i="32"/>
  <c r="H8" i="32" s="1"/>
  <c r="I8" i="32" s="1"/>
  <c r="G9" i="32"/>
  <c r="H9" i="32" s="1"/>
  <c r="I9" i="32" s="1"/>
  <c r="G19" i="32"/>
  <c r="H19" i="32" s="1"/>
  <c r="I19" i="32" s="1"/>
  <c r="G20" i="32"/>
  <c r="H20" i="32" s="1"/>
  <c r="I20" i="32" s="1"/>
  <c r="G21" i="32"/>
  <c r="H21" i="32" s="1"/>
  <c r="I21" i="32" s="1"/>
  <c r="G22" i="32"/>
  <c r="H22" i="32" s="1"/>
  <c r="I22" i="32" s="1"/>
  <c r="G23" i="32"/>
  <c r="H23" i="32" s="1"/>
  <c r="I23" i="32" s="1"/>
  <c r="G29" i="32"/>
  <c r="H29" i="32" s="1"/>
  <c r="I29" i="32" s="1"/>
  <c r="G30" i="32"/>
  <c r="H30" i="32" s="1"/>
  <c r="I30" i="32" s="1"/>
  <c r="G33" i="32"/>
  <c r="H33" i="32" s="1"/>
  <c r="I33" i="32" s="1"/>
  <c r="G35" i="32"/>
  <c r="H35" i="32" s="1"/>
  <c r="I35" i="32" s="1"/>
  <c r="G36" i="32"/>
  <c r="H36" i="32" s="1"/>
  <c r="I36" i="32" s="1"/>
  <c r="G37" i="32"/>
  <c r="H37" i="32" s="1"/>
  <c r="I37" i="32" s="1"/>
  <c r="G38" i="32"/>
  <c r="H38" i="32" s="1"/>
  <c r="I38" i="32" s="1"/>
  <c r="G39" i="32"/>
  <c r="H39" i="32" s="1"/>
  <c r="I39" i="32" s="1"/>
  <c r="G44" i="32"/>
  <c r="H44" i="32" s="1"/>
  <c r="I44" i="32" s="1"/>
  <c r="G45" i="32"/>
  <c r="H45" i="32" s="1"/>
  <c r="I45" i="32" s="1"/>
  <c r="G50" i="32"/>
  <c r="H50" i="32" s="1"/>
  <c r="I50" i="32" s="1"/>
  <c r="Y48" i="20" l="1"/>
  <c r="Z48" i="20" s="1"/>
  <c r="Z42" i="20"/>
  <c r="Y43" i="20"/>
  <c r="J28" i="32"/>
  <c r="J47" i="32"/>
  <c r="J26" i="32"/>
  <c r="J22" i="32"/>
  <c r="J43" i="32"/>
  <c r="J9" i="32"/>
  <c r="J17" i="32"/>
  <c r="J46" i="32"/>
  <c r="J25" i="32"/>
  <c r="J24" i="32"/>
  <c r="J7" i="32"/>
  <c r="J6" i="32"/>
  <c r="J15" i="32"/>
  <c r="J39" i="32"/>
  <c r="J49" i="32"/>
  <c r="J34" i="32"/>
  <c r="J27" i="32"/>
  <c r="J45" i="32"/>
  <c r="J16" i="32"/>
  <c r="J12" i="32"/>
  <c r="J23" i="32"/>
  <c r="J21" i="32"/>
  <c r="J19" i="32"/>
  <c r="J18" i="32"/>
  <c r="J31" i="32"/>
  <c r="J20" i="32"/>
  <c r="J50" i="32"/>
  <c r="J8" i="32"/>
  <c r="J44" i="32"/>
  <c r="J41" i="32"/>
  <c r="J38" i="32"/>
  <c r="J37" i="32"/>
  <c r="J36" i="32"/>
  <c r="J40" i="32"/>
  <c r="J11" i="32"/>
  <c r="J35" i="32"/>
  <c r="J33" i="32"/>
  <c r="J32" i="32"/>
  <c r="J10" i="32"/>
  <c r="J30" i="32"/>
  <c r="J29" i="32"/>
  <c r="J5" i="32"/>
  <c r="Y49" i="20" l="1"/>
  <c r="Z43" i="20"/>
  <c r="AA42" i="20"/>
  <c r="Z49" i="20"/>
  <c r="AA48" i="20"/>
  <c r="AB42" i="20" l="1"/>
  <c r="AA43" i="20"/>
  <c r="AA49" i="20"/>
  <c r="AB48" i="20"/>
  <c r="AB43" i="20" l="1"/>
  <c r="AC42" i="20"/>
  <c r="AB49" i="20"/>
  <c r="AC48" i="20"/>
  <c r="AC43" i="20" l="1"/>
  <c r="AD42" i="20"/>
  <c r="AF42" i="20" s="1"/>
  <c r="AF43" i="20" s="1"/>
  <c r="AC49" i="20"/>
  <c r="AD48" i="20"/>
  <c r="AD43" i="20" l="1"/>
  <c r="AE42" i="20"/>
  <c r="AD49" i="20"/>
  <c r="AE48" i="20"/>
  <c r="AF48" i="20" s="1"/>
  <c r="AG48" i="20" s="1"/>
  <c r="AE43" i="20" l="1"/>
  <c r="AE49" i="20"/>
  <c r="A59" i="32" l="1"/>
  <c r="A58" i="32"/>
  <c r="A57" i="32"/>
  <c r="A56" i="32"/>
  <c r="A54" i="32"/>
  <c r="A53" i="32"/>
  <c r="A52" i="32"/>
  <c r="A51" i="32"/>
  <c r="F57" i="32" l="1"/>
  <c r="N57" i="32"/>
  <c r="F51" i="32"/>
  <c r="G51" i="32" s="1"/>
  <c r="H51" i="32" s="1"/>
  <c r="I51" i="32" s="1"/>
  <c r="J51" i="32" s="1"/>
  <c r="N51" i="32"/>
  <c r="N52" i="32"/>
  <c r="F52" i="32"/>
  <c r="G52" i="32" s="1"/>
  <c r="H52" i="32" s="1"/>
  <c r="I52" i="32" s="1"/>
  <c r="J52" i="32" s="1"/>
  <c r="N53" i="32"/>
  <c r="F53" i="32"/>
  <c r="G53" i="32" s="1"/>
  <c r="H53" i="32" s="1"/>
  <c r="I53" i="32" s="1"/>
  <c r="J53" i="32" s="1"/>
  <c r="N54" i="32"/>
  <c r="F54" i="32"/>
  <c r="G54" i="32" s="1"/>
  <c r="H54" i="32" s="1"/>
  <c r="I54" i="32" s="1"/>
  <c r="J54" i="32" s="1"/>
  <c r="N56" i="32"/>
  <c r="F56" i="32"/>
  <c r="G56" i="32" s="1"/>
  <c r="H56" i="32" s="1"/>
  <c r="I56" i="32" s="1"/>
  <c r="J56" i="32" s="1"/>
  <c r="F58" i="32"/>
  <c r="G58" i="32" s="1"/>
  <c r="H58" i="32" s="1"/>
  <c r="I58" i="32" s="1"/>
  <c r="J58" i="32" s="1"/>
  <c r="N58" i="32"/>
  <c r="F59" i="32"/>
  <c r="G59" i="32" s="1"/>
  <c r="H59" i="32" s="1"/>
  <c r="I59" i="32" s="1"/>
  <c r="J59" i="32" s="1"/>
  <c r="N59" i="32"/>
  <c r="G57" i="32"/>
  <c r="H57" i="32" s="1"/>
  <c r="I57" i="32" s="1"/>
  <c r="J57" i="32" s="1"/>
  <c r="D49" i="20"/>
  <c r="E49" i="20"/>
  <c r="F49" i="20"/>
  <c r="G49" i="20"/>
  <c r="H49" i="20"/>
  <c r="I49" i="20"/>
  <c r="J49" i="20"/>
  <c r="K49" i="20"/>
  <c r="C49" i="20"/>
  <c r="D62" i="20" l="1"/>
  <c r="K62" i="20"/>
  <c r="I62" i="20"/>
  <c r="F62" i="20"/>
  <c r="G62" i="20"/>
  <c r="J62" i="20"/>
  <c r="E62" i="20"/>
  <c r="H62" i="20"/>
  <c r="AT7" i="31" l="1"/>
  <c r="AU7" i="31" s="1"/>
  <c r="AV7" i="31" s="1"/>
  <c r="AW7" i="31" s="1"/>
  <c r="AM7" i="31"/>
  <c r="AN7" i="31" s="1"/>
  <c r="AO7" i="31" s="1"/>
  <c r="AP7" i="31" s="1"/>
  <c r="AF7" i="31"/>
  <c r="AG7" i="31" s="1"/>
  <c r="AH7" i="31" s="1"/>
  <c r="AI7" i="31" s="1"/>
  <c r="Y7" i="31"/>
  <c r="Z7" i="31" s="1"/>
  <c r="AA7" i="31" s="1"/>
  <c r="AB7" i="31" s="1"/>
  <c r="R7" i="31"/>
  <c r="S7" i="31" s="1"/>
  <c r="T7" i="31" s="1"/>
  <c r="U7" i="31" s="1"/>
  <c r="K7" i="31"/>
  <c r="L7" i="31" s="1"/>
  <c r="M7" i="31" s="1"/>
  <c r="N7" i="31" s="1"/>
  <c r="D7" i="31"/>
  <c r="E7" i="31" s="1"/>
  <c r="F7" i="31" s="1"/>
  <c r="G7" i="31" s="1"/>
  <c r="C46" i="16" l="1"/>
  <c r="C8" i="15" l="1"/>
  <c r="C47" i="16"/>
  <c r="D47" i="16" s="1"/>
  <c r="AC16" i="16"/>
  <c r="AB16" i="16"/>
  <c r="AE8" i="31"/>
  <c r="AL8" i="31"/>
  <c r="AS8" i="31"/>
  <c r="X8" i="31"/>
  <c r="Q8" i="31"/>
  <c r="J8" i="31"/>
  <c r="C8" i="31"/>
  <c r="C9" i="31" l="1"/>
  <c r="D8" i="31"/>
  <c r="E8" i="31" s="1"/>
  <c r="F8" i="31" s="1"/>
  <c r="G8" i="31" s="1"/>
  <c r="AL9" i="31"/>
  <c r="AM8" i="31"/>
  <c r="AN8" i="31" s="1"/>
  <c r="AO8" i="31" s="1"/>
  <c r="AP8" i="31" s="1"/>
  <c r="AE9" i="31"/>
  <c r="AF8" i="31"/>
  <c r="AG8" i="31" s="1"/>
  <c r="AH8" i="31" s="1"/>
  <c r="AI8" i="31" s="1"/>
  <c r="J9" i="31"/>
  <c r="K8" i="31"/>
  <c r="L8" i="31" s="1"/>
  <c r="M8" i="31" s="1"/>
  <c r="N8" i="31" s="1"/>
  <c r="Q9" i="31"/>
  <c r="R8" i="31"/>
  <c r="S8" i="31" s="1"/>
  <c r="T8" i="31" s="1"/>
  <c r="U8" i="31" s="1"/>
  <c r="X9" i="31"/>
  <c r="Y8" i="31"/>
  <c r="Z8" i="31" s="1"/>
  <c r="AA8" i="31" s="1"/>
  <c r="AB8" i="31" s="1"/>
  <c r="AS9" i="31"/>
  <c r="AT8" i="31"/>
  <c r="AU8" i="31" s="1"/>
  <c r="AV8" i="31" s="1"/>
  <c r="AW8" i="31" s="1"/>
  <c r="AX28" i="31"/>
  <c r="AX29" i="31" s="1"/>
  <c r="AX30" i="31" s="1"/>
  <c r="AX31" i="31" s="1"/>
  <c r="AX32" i="31" s="1"/>
  <c r="AX33" i="31" s="1"/>
  <c r="AX34" i="31" s="1"/>
  <c r="AX35" i="31" s="1"/>
  <c r="AX36" i="31" s="1"/>
  <c r="AX37" i="31" s="1"/>
  <c r="AX38" i="31" s="1"/>
  <c r="AX39" i="31" s="1"/>
  <c r="AX40" i="31" s="1"/>
  <c r="AX41" i="31" s="1"/>
  <c r="AQ28" i="31"/>
  <c r="AQ29" i="31" s="1"/>
  <c r="AQ30" i="31" s="1"/>
  <c r="AQ31" i="31" s="1"/>
  <c r="AQ32" i="31" s="1"/>
  <c r="AQ33" i="31" s="1"/>
  <c r="AQ34" i="31" s="1"/>
  <c r="AQ35" i="31" s="1"/>
  <c r="AQ36" i="31" s="1"/>
  <c r="AQ37" i="31" s="1"/>
  <c r="AQ38" i="31" s="1"/>
  <c r="AQ39" i="31" s="1"/>
  <c r="AQ40" i="31" s="1"/>
  <c r="AQ41" i="31" s="1"/>
  <c r="AJ28" i="31"/>
  <c r="AJ29" i="31" s="1"/>
  <c r="AJ30" i="31" s="1"/>
  <c r="AJ31" i="31" s="1"/>
  <c r="AJ32" i="31" s="1"/>
  <c r="AJ33" i="31" s="1"/>
  <c r="AJ34" i="31" s="1"/>
  <c r="AJ35" i="31" s="1"/>
  <c r="AJ36" i="31" s="1"/>
  <c r="AJ37" i="31" s="1"/>
  <c r="AJ38" i="31" s="1"/>
  <c r="AJ39" i="31" s="1"/>
  <c r="AJ40" i="31" s="1"/>
  <c r="AJ41" i="31" s="1"/>
  <c r="AC28" i="31"/>
  <c r="AC29" i="31" s="1"/>
  <c r="AC30" i="31" s="1"/>
  <c r="AC31" i="31" s="1"/>
  <c r="AC32" i="31" s="1"/>
  <c r="AC33" i="31" s="1"/>
  <c r="AC34" i="31" s="1"/>
  <c r="AC35" i="31" s="1"/>
  <c r="AC36" i="31" s="1"/>
  <c r="AC37" i="31" s="1"/>
  <c r="AC38" i="31" s="1"/>
  <c r="AC39" i="31" s="1"/>
  <c r="AC40" i="31" s="1"/>
  <c r="AC41" i="31" s="1"/>
  <c r="V28" i="31"/>
  <c r="V29" i="31" s="1"/>
  <c r="V30" i="31" s="1"/>
  <c r="V31" i="31" s="1"/>
  <c r="V32" i="31" s="1"/>
  <c r="V33" i="31" s="1"/>
  <c r="V34" i="31" s="1"/>
  <c r="V35" i="31" s="1"/>
  <c r="V36" i="31" s="1"/>
  <c r="V37" i="31" s="1"/>
  <c r="V38" i="31" s="1"/>
  <c r="V39" i="31" s="1"/>
  <c r="V40" i="31" s="1"/>
  <c r="V41" i="31" s="1"/>
  <c r="O28" i="31"/>
  <c r="O29" i="31" s="1"/>
  <c r="O30" i="31" s="1"/>
  <c r="O31" i="31" s="1"/>
  <c r="O32" i="31" s="1"/>
  <c r="O33" i="31" s="1"/>
  <c r="O34" i="31" s="1"/>
  <c r="O35" i="31" s="1"/>
  <c r="O36" i="31" s="1"/>
  <c r="O37" i="31" s="1"/>
  <c r="O38" i="31" s="1"/>
  <c r="O39" i="31" s="1"/>
  <c r="O40" i="31" s="1"/>
  <c r="O41" i="31" s="1"/>
  <c r="H28" i="31"/>
  <c r="H29" i="31" s="1"/>
  <c r="H30" i="31" s="1"/>
  <c r="H31" i="31" s="1"/>
  <c r="H32" i="31" s="1"/>
  <c r="H33" i="31" s="1"/>
  <c r="H34" i="31" s="1"/>
  <c r="H35" i="31" s="1"/>
  <c r="H36" i="31" s="1"/>
  <c r="H37" i="31" s="1"/>
  <c r="H38" i="31" s="1"/>
  <c r="H39" i="31" s="1"/>
  <c r="H40" i="31" s="1"/>
  <c r="H41" i="31" s="1"/>
  <c r="J10" i="31" l="1"/>
  <c r="K9" i="31"/>
  <c r="L9" i="31" s="1"/>
  <c r="M9" i="31" s="1"/>
  <c r="N9" i="31" s="1"/>
  <c r="X10" i="31"/>
  <c r="Y9" i="31"/>
  <c r="Z9" i="31" s="1"/>
  <c r="AA9" i="31" s="1"/>
  <c r="AB9" i="31" s="1"/>
  <c r="AL10" i="31"/>
  <c r="AM9" i="31"/>
  <c r="AN9" i="31" s="1"/>
  <c r="AO9" i="31" s="1"/>
  <c r="AP9" i="31" s="1"/>
  <c r="AS10" i="31"/>
  <c r="AT9" i="31"/>
  <c r="AU9" i="31" s="1"/>
  <c r="AV9" i="31" s="1"/>
  <c r="AW9" i="31" s="1"/>
  <c r="AE10" i="31"/>
  <c r="AF9" i="31"/>
  <c r="AG9" i="31" s="1"/>
  <c r="AH9" i="31" s="1"/>
  <c r="AI9" i="31" s="1"/>
  <c r="Q10" i="31"/>
  <c r="R9" i="31"/>
  <c r="S9" i="31" s="1"/>
  <c r="T9" i="31" s="1"/>
  <c r="U9" i="31" s="1"/>
  <c r="C10" i="31"/>
  <c r="D9" i="31"/>
  <c r="E9" i="31" s="1"/>
  <c r="F9" i="31" s="1"/>
  <c r="G9" i="31" s="1"/>
  <c r="K45" i="30"/>
  <c r="K44" i="30"/>
  <c r="K43" i="30"/>
  <c r="K42" i="30"/>
  <c r="K41" i="30"/>
  <c r="K40" i="30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16" i="30"/>
  <c r="K15" i="30"/>
  <c r="AS11" i="31" l="1"/>
  <c r="AT10" i="31"/>
  <c r="AU10" i="31" s="1"/>
  <c r="AV10" i="31" s="1"/>
  <c r="AW10" i="31" s="1"/>
  <c r="AL11" i="31"/>
  <c r="AM10" i="31"/>
  <c r="AN10" i="31" s="1"/>
  <c r="AO10" i="31" s="1"/>
  <c r="AP10" i="31" s="1"/>
  <c r="C11" i="31"/>
  <c r="D10" i="31"/>
  <c r="E10" i="31" s="1"/>
  <c r="F10" i="31" s="1"/>
  <c r="G10" i="31" s="1"/>
  <c r="Q11" i="31"/>
  <c r="R10" i="31"/>
  <c r="S10" i="31" s="1"/>
  <c r="T10" i="31" s="1"/>
  <c r="U10" i="31" s="1"/>
  <c r="X11" i="31"/>
  <c r="Y10" i="31"/>
  <c r="Z10" i="31" s="1"/>
  <c r="AA10" i="31" s="1"/>
  <c r="AB10" i="31" s="1"/>
  <c r="AE11" i="31"/>
  <c r="AF10" i="31"/>
  <c r="AG10" i="31" s="1"/>
  <c r="AH10" i="31" s="1"/>
  <c r="AI10" i="31" s="1"/>
  <c r="J11" i="31"/>
  <c r="K10" i="31"/>
  <c r="L10" i="31" s="1"/>
  <c r="M10" i="31" s="1"/>
  <c r="N10" i="31" s="1"/>
  <c r="Q12" i="31" l="1"/>
  <c r="R11" i="31"/>
  <c r="S11" i="31" s="1"/>
  <c r="T11" i="31" s="1"/>
  <c r="U11" i="31" s="1"/>
  <c r="X12" i="31"/>
  <c r="Y11" i="31"/>
  <c r="Z11" i="31" s="1"/>
  <c r="AA11" i="31" s="1"/>
  <c r="AB11" i="31" s="1"/>
  <c r="J12" i="31"/>
  <c r="K11" i="31"/>
  <c r="L11" i="31" s="1"/>
  <c r="M11" i="31" s="1"/>
  <c r="N11" i="31" s="1"/>
  <c r="AE12" i="31"/>
  <c r="AF11" i="31"/>
  <c r="AG11" i="31" s="1"/>
  <c r="AH11" i="31" s="1"/>
  <c r="AI11" i="31" s="1"/>
  <c r="C12" i="31"/>
  <c r="D11" i="31"/>
  <c r="E11" i="31" s="1"/>
  <c r="F11" i="31" s="1"/>
  <c r="G11" i="31" s="1"/>
  <c r="AL12" i="31"/>
  <c r="AM11" i="31"/>
  <c r="AN11" i="31" s="1"/>
  <c r="AO11" i="31" s="1"/>
  <c r="AP11" i="31" s="1"/>
  <c r="AS12" i="31"/>
  <c r="AT11" i="31"/>
  <c r="AU11" i="31" s="1"/>
  <c r="AV11" i="31" s="1"/>
  <c r="AW11" i="31" s="1"/>
  <c r="AD16" i="16"/>
  <c r="AA16" i="16"/>
  <c r="Z16" i="16"/>
  <c r="Y16" i="16"/>
  <c r="X16" i="16"/>
  <c r="W16" i="16"/>
  <c r="V16" i="16"/>
  <c r="U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F16" i="16"/>
  <c r="E16" i="16"/>
  <c r="D16" i="16"/>
  <c r="C16" i="16"/>
  <c r="I17" i="21"/>
  <c r="H17" i="21"/>
  <c r="G17" i="21"/>
  <c r="E17" i="21"/>
  <c r="D17" i="21"/>
  <c r="C17" i="21"/>
  <c r="AE13" i="31" l="1"/>
  <c r="AF12" i="31"/>
  <c r="AG12" i="31" s="1"/>
  <c r="AH12" i="31" s="1"/>
  <c r="AI12" i="31" s="1"/>
  <c r="AS13" i="31"/>
  <c r="AT12" i="31"/>
  <c r="AU12" i="31" s="1"/>
  <c r="AV12" i="31" s="1"/>
  <c r="AW12" i="31" s="1"/>
  <c r="AL13" i="31"/>
  <c r="AM12" i="31"/>
  <c r="AN12" i="31" s="1"/>
  <c r="AO12" i="31" s="1"/>
  <c r="AP12" i="31" s="1"/>
  <c r="X13" i="31"/>
  <c r="Y12" i="31"/>
  <c r="Z12" i="31" s="1"/>
  <c r="AA12" i="31" s="1"/>
  <c r="AB12" i="31" s="1"/>
  <c r="J13" i="31"/>
  <c r="K12" i="31"/>
  <c r="L12" i="31" s="1"/>
  <c r="M12" i="31" s="1"/>
  <c r="N12" i="31" s="1"/>
  <c r="C13" i="31"/>
  <c r="D12" i="31"/>
  <c r="E12" i="31" s="1"/>
  <c r="F12" i="31" s="1"/>
  <c r="G12" i="31" s="1"/>
  <c r="Q13" i="31"/>
  <c r="R12" i="31"/>
  <c r="S12" i="31" s="1"/>
  <c r="T12" i="31" s="1"/>
  <c r="U12" i="31" s="1"/>
  <c r="X14" i="31" l="1"/>
  <c r="Y13" i="31"/>
  <c r="Z13" i="31" s="1"/>
  <c r="AA13" i="31" s="1"/>
  <c r="AB13" i="31" s="1"/>
  <c r="Q14" i="31"/>
  <c r="R13" i="31"/>
  <c r="S13" i="31" s="1"/>
  <c r="T13" i="31" s="1"/>
  <c r="U13" i="31" s="1"/>
  <c r="AL14" i="31"/>
  <c r="AM13" i="31"/>
  <c r="AN13" i="31" s="1"/>
  <c r="AO13" i="31" s="1"/>
  <c r="AP13" i="31" s="1"/>
  <c r="C14" i="31"/>
  <c r="D13" i="31"/>
  <c r="E13" i="31" s="1"/>
  <c r="F13" i="31" s="1"/>
  <c r="G13" i="31" s="1"/>
  <c r="AS14" i="31"/>
  <c r="AT13" i="31"/>
  <c r="AU13" i="31" s="1"/>
  <c r="AV13" i="31" s="1"/>
  <c r="AW13" i="31" s="1"/>
  <c r="J14" i="31"/>
  <c r="K13" i="31"/>
  <c r="L13" i="31" s="1"/>
  <c r="M13" i="31" s="1"/>
  <c r="N13" i="31" s="1"/>
  <c r="AE14" i="31"/>
  <c r="AF13" i="31"/>
  <c r="AG13" i="31" s="1"/>
  <c r="AH13" i="31" s="1"/>
  <c r="AI13" i="31" s="1"/>
  <c r="C15" i="31" l="1"/>
  <c r="D14" i="31"/>
  <c r="E14" i="31" s="1"/>
  <c r="F14" i="31" s="1"/>
  <c r="G14" i="31" s="1"/>
  <c r="AS15" i="31"/>
  <c r="AT14" i="31"/>
  <c r="AU14" i="31" s="1"/>
  <c r="AV14" i="31" s="1"/>
  <c r="AW14" i="31" s="1"/>
  <c r="AL15" i="31"/>
  <c r="AM14" i="31"/>
  <c r="AN14" i="31" s="1"/>
  <c r="AO14" i="31" s="1"/>
  <c r="AP14" i="31" s="1"/>
  <c r="X15" i="31"/>
  <c r="Y14" i="31"/>
  <c r="Z14" i="31" s="1"/>
  <c r="AA14" i="31" s="1"/>
  <c r="AB14" i="31" s="1"/>
  <c r="AE15" i="31"/>
  <c r="AF14" i="31"/>
  <c r="AG14" i="31" s="1"/>
  <c r="AH14" i="31" s="1"/>
  <c r="AI14" i="31" s="1"/>
  <c r="J15" i="31"/>
  <c r="K14" i="31"/>
  <c r="L14" i="31" s="1"/>
  <c r="M14" i="31" s="1"/>
  <c r="N14" i="31" s="1"/>
  <c r="Q15" i="31"/>
  <c r="R14" i="31"/>
  <c r="S14" i="31" s="1"/>
  <c r="T14" i="31" s="1"/>
  <c r="U14" i="31" s="1"/>
  <c r="AL102" i="20"/>
  <c r="AJ102" i="20"/>
  <c r="AH102" i="20"/>
  <c r="AF102" i="20"/>
  <c r="AD102" i="20"/>
  <c r="AB102" i="20"/>
  <c r="Z102" i="20"/>
  <c r="X102" i="20"/>
  <c r="V102" i="20"/>
  <c r="T102" i="20"/>
  <c r="R102" i="20"/>
  <c r="P102" i="20"/>
  <c r="N102" i="20"/>
  <c r="L102" i="20"/>
  <c r="J102" i="20"/>
  <c r="H102" i="20"/>
  <c r="F102" i="20"/>
  <c r="D102" i="20"/>
  <c r="X16" i="31" l="1"/>
  <c r="Y15" i="31"/>
  <c r="Z15" i="31" s="1"/>
  <c r="AA15" i="31" s="1"/>
  <c r="AB15" i="31" s="1"/>
  <c r="Q16" i="31"/>
  <c r="R15" i="31"/>
  <c r="S15" i="31" s="1"/>
  <c r="T15" i="31" s="1"/>
  <c r="U15" i="31" s="1"/>
  <c r="AE16" i="31"/>
  <c r="AF15" i="31"/>
  <c r="AG15" i="31" s="1"/>
  <c r="AH15" i="31" s="1"/>
  <c r="AI15" i="31" s="1"/>
  <c r="C16" i="31"/>
  <c r="D15" i="31"/>
  <c r="E15" i="31" s="1"/>
  <c r="F15" i="31" s="1"/>
  <c r="G15" i="31" s="1"/>
  <c r="AL16" i="31"/>
  <c r="AM15" i="31"/>
  <c r="AN15" i="31" s="1"/>
  <c r="AO15" i="31" s="1"/>
  <c r="AP15" i="31" s="1"/>
  <c r="J16" i="31"/>
  <c r="K15" i="31"/>
  <c r="L15" i="31" s="1"/>
  <c r="M15" i="31" s="1"/>
  <c r="N15" i="31" s="1"/>
  <c r="AS16" i="31"/>
  <c r="AT15" i="31"/>
  <c r="AU15" i="31" s="1"/>
  <c r="AV15" i="31" s="1"/>
  <c r="AW15" i="31" s="1"/>
  <c r="B8" i="3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AS17" i="31" l="1"/>
  <c r="AT16" i="31"/>
  <c r="AU16" i="31" s="1"/>
  <c r="AV16" i="31" s="1"/>
  <c r="AW16" i="31" s="1"/>
  <c r="C17" i="31"/>
  <c r="D16" i="31"/>
  <c r="E16" i="31" s="1"/>
  <c r="F16" i="31" s="1"/>
  <c r="G16" i="31" s="1"/>
  <c r="AE17" i="31"/>
  <c r="AF16" i="31"/>
  <c r="AG16" i="31" s="1"/>
  <c r="AH16" i="31" s="1"/>
  <c r="AI16" i="31" s="1"/>
  <c r="AL17" i="31"/>
  <c r="AM16" i="31"/>
  <c r="AN16" i="31" s="1"/>
  <c r="AO16" i="31" s="1"/>
  <c r="AP16" i="31" s="1"/>
  <c r="X17" i="31"/>
  <c r="Y16" i="31"/>
  <c r="Z16" i="31" s="1"/>
  <c r="AA16" i="31" s="1"/>
  <c r="AB16" i="31" s="1"/>
  <c r="J17" i="31"/>
  <c r="K16" i="31"/>
  <c r="L16" i="31" s="1"/>
  <c r="M16" i="31" s="1"/>
  <c r="N16" i="31" s="1"/>
  <c r="Q17" i="31"/>
  <c r="R16" i="31"/>
  <c r="S16" i="31" s="1"/>
  <c r="T16" i="31" s="1"/>
  <c r="U16" i="31" s="1"/>
  <c r="D13" i="20"/>
  <c r="AL18" i="31" l="1"/>
  <c r="AM17" i="31"/>
  <c r="AN17" i="31" s="1"/>
  <c r="AO17" i="31" s="1"/>
  <c r="AP17" i="31" s="1"/>
  <c r="X18" i="31"/>
  <c r="Y17" i="31"/>
  <c r="Z17" i="31" s="1"/>
  <c r="AA17" i="31" s="1"/>
  <c r="AB17" i="31" s="1"/>
  <c r="AS18" i="31"/>
  <c r="AT17" i="31"/>
  <c r="AU17" i="31" s="1"/>
  <c r="AV17" i="31" s="1"/>
  <c r="AW17" i="31" s="1"/>
  <c r="Q18" i="31"/>
  <c r="R17" i="31"/>
  <c r="S17" i="31" s="1"/>
  <c r="T17" i="31" s="1"/>
  <c r="U17" i="31" s="1"/>
  <c r="AE18" i="31"/>
  <c r="AF17" i="31"/>
  <c r="AG17" i="31" s="1"/>
  <c r="AH17" i="31" s="1"/>
  <c r="AI17" i="31" s="1"/>
  <c r="J18" i="31"/>
  <c r="K17" i="31"/>
  <c r="L17" i="31" s="1"/>
  <c r="M17" i="31" s="1"/>
  <c r="N17" i="31" s="1"/>
  <c r="C18" i="31"/>
  <c r="D17" i="31"/>
  <c r="E17" i="31" s="1"/>
  <c r="F17" i="31" s="1"/>
  <c r="G17" i="31" s="1"/>
  <c r="AX4" i="31"/>
  <c r="AX3" i="31"/>
  <c r="AQ4" i="31"/>
  <c r="AQ3" i="31"/>
  <c r="AJ4" i="31"/>
  <c r="AJ3" i="31"/>
  <c r="AC4" i="31"/>
  <c r="AC3" i="31"/>
  <c r="V4" i="31"/>
  <c r="V3" i="31"/>
  <c r="O4" i="31"/>
  <c r="O3" i="31"/>
  <c r="H4" i="31"/>
  <c r="H3" i="31"/>
  <c r="B2" i="31"/>
  <c r="Q19" i="31" l="1"/>
  <c r="R18" i="31"/>
  <c r="S18" i="31" s="1"/>
  <c r="T18" i="31" s="1"/>
  <c r="U18" i="31" s="1"/>
  <c r="C19" i="31"/>
  <c r="D18" i="31"/>
  <c r="E18" i="31" s="1"/>
  <c r="F18" i="31" s="1"/>
  <c r="G18" i="31" s="1"/>
  <c r="AS19" i="31"/>
  <c r="AT18" i="31"/>
  <c r="AU18" i="31" s="1"/>
  <c r="AV18" i="31" s="1"/>
  <c r="AW18" i="31" s="1"/>
  <c r="AE19" i="31"/>
  <c r="AF18" i="31"/>
  <c r="AG18" i="31" s="1"/>
  <c r="AH18" i="31" s="1"/>
  <c r="AI18" i="31" s="1"/>
  <c r="AL19" i="31"/>
  <c r="AM18" i="31"/>
  <c r="AN18" i="31" s="1"/>
  <c r="AO18" i="31" s="1"/>
  <c r="AP18" i="31" s="1"/>
  <c r="J19" i="31"/>
  <c r="K18" i="31"/>
  <c r="L18" i="31" s="1"/>
  <c r="M18" i="31" s="1"/>
  <c r="N18" i="31" s="1"/>
  <c r="X19" i="31"/>
  <c r="Y18" i="31"/>
  <c r="Z18" i="31" s="1"/>
  <c r="AA18" i="31" s="1"/>
  <c r="AB18" i="31" s="1"/>
  <c r="S49" i="20"/>
  <c r="AE20" i="31" l="1"/>
  <c r="AF19" i="31"/>
  <c r="AG19" i="31" s="1"/>
  <c r="AH19" i="31" s="1"/>
  <c r="AI19" i="31" s="1"/>
  <c r="Q20" i="31"/>
  <c r="R19" i="31"/>
  <c r="S19" i="31" s="1"/>
  <c r="T19" i="31" s="1"/>
  <c r="U19" i="31" s="1"/>
  <c r="AL20" i="31"/>
  <c r="AM19" i="31"/>
  <c r="AN19" i="31" s="1"/>
  <c r="AO19" i="31" s="1"/>
  <c r="AP19" i="31" s="1"/>
  <c r="X20" i="31"/>
  <c r="Y19" i="31"/>
  <c r="Z19" i="31" s="1"/>
  <c r="AA19" i="31" s="1"/>
  <c r="AB19" i="31" s="1"/>
  <c r="AS20" i="31"/>
  <c r="AT19" i="31"/>
  <c r="AU19" i="31" s="1"/>
  <c r="AV19" i="31" s="1"/>
  <c r="AW19" i="31" s="1"/>
  <c r="J20" i="31"/>
  <c r="K19" i="31"/>
  <c r="L19" i="31" s="1"/>
  <c r="M19" i="31" s="1"/>
  <c r="N19" i="31" s="1"/>
  <c r="C20" i="31"/>
  <c r="D19" i="31"/>
  <c r="E19" i="31" s="1"/>
  <c r="F19" i="31" s="1"/>
  <c r="G19" i="31" s="1"/>
  <c r="T49" i="20"/>
  <c r="R49" i="20"/>
  <c r="Q49" i="20"/>
  <c r="P49" i="20"/>
  <c r="O49" i="20"/>
  <c r="N49" i="20"/>
  <c r="M49" i="20"/>
  <c r="L49" i="20"/>
  <c r="X21" i="31" l="1"/>
  <c r="Y21" i="31" s="1"/>
  <c r="Z21" i="31" s="1"/>
  <c r="AA21" i="31" s="1"/>
  <c r="AB21" i="31" s="1"/>
  <c r="Y20" i="31"/>
  <c r="Z20" i="31" s="1"/>
  <c r="AA20" i="31" s="1"/>
  <c r="AB20" i="31" s="1"/>
  <c r="AS21" i="31"/>
  <c r="AT21" i="31" s="1"/>
  <c r="AU21" i="31" s="1"/>
  <c r="AV21" i="31" s="1"/>
  <c r="AW21" i="31" s="1"/>
  <c r="AT20" i="31"/>
  <c r="AU20" i="31" s="1"/>
  <c r="AV20" i="31" s="1"/>
  <c r="AW20" i="31" s="1"/>
  <c r="C21" i="31"/>
  <c r="D21" i="31" s="1"/>
  <c r="E21" i="31" s="1"/>
  <c r="F21" i="31" s="1"/>
  <c r="G21" i="31" s="1"/>
  <c r="D20" i="31"/>
  <c r="E20" i="31" s="1"/>
  <c r="F20" i="31" s="1"/>
  <c r="G20" i="31" s="1"/>
  <c r="J21" i="31"/>
  <c r="K21" i="31" s="1"/>
  <c r="L21" i="31" s="1"/>
  <c r="M21" i="31" s="1"/>
  <c r="N21" i="31" s="1"/>
  <c r="K20" i="31"/>
  <c r="L20" i="31" s="1"/>
  <c r="M20" i="31" s="1"/>
  <c r="N20" i="31" s="1"/>
  <c r="Q21" i="31"/>
  <c r="R21" i="31" s="1"/>
  <c r="S21" i="31" s="1"/>
  <c r="T21" i="31" s="1"/>
  <c r="U21" i="31" s="1"/>
  <c r="R20" i="31"/>
  <c r="S20" i="31" s="1"/>
  <c r="T20" i="31" s="1"/>
  <c r="U20" i="31" s="1"/>
  <c r="AE21" i="31"/>
  <c r="AF21" i="31" s="1"/>
  <c r="AG21" i="31" s="1"/>
  <c r="AH21" i="31" s="1"/>
  <c r="AI21" i="31" s="1"/>
  <c r="AF20" i="31"/>
  <c r="AG20" i="31" s="1"/>
  <c r="AH20" i="31" s="1"/>
  <c r="AI20" i="31" s="1"/>
  <c r="AL21" i="31"/>
  <c r="AM21" i="31" s="1"/>
  <c r="AN21" i="31" s="1"/>
  <c r="AO21" i="31" s="1"/>
  <c r="AP21" i="31" s="1"/>
  <c r="AM20" i="31"/>
  <c r="AN20" i="31" s="1"/>
  <c r="AO20" i="31" s="1"/>
  <c r="AP20" i="31" s="1"/>
  <c r="J17" i="30"/>
  <c r="J18" i="30" l="1"/>
  <c r="K17" i="30"/>
  <c r="F17" i="30"/>
  <c r="F18" i="30" s="1"/>
  <c r="F19" i="30" s="1"/>
  <c r="F20" i="30" s="1"/>
  <c r="F21" i="30" s="1"/>
  <c r="F22" i="30" s="1"/>
  <c r="F23" i="30" s="1"/>
  <c r="J19" i="30" l="1"/>
  <c r="K18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16" i="30"/>
  <c r="J20" i="30" l="1"/>
  <c r="K19" i="30"/>
  <c r="D17" i="30"/>
  <c r="D18" i="30" s="1"/>
  <c r="D19" i="30" s="1"/>
  <c r="D20" i="30" s="1"/>
  <c r="D21" i="30" s="1"/>
  <c r="D22" i="30" s="1"/>
  <c r="D23" i="30" s="1"/>
  <c r="E17" i="30"/>
  <c r="E18" i="30" s="1"/>
  <c r="E19" i="30" s="1"/>
  <c r="E20" i="30" s="1"/>
  <c r="E21" i="30" s="1"/>
  <c r="E22" i="30" s="1"/>
  <c r="E23" i="30" s="1"/>
  <c r="G17" i="30"/>
  <c r="G18" i="30" s="1"/>
  <c r="G19" i="30" s="1"/>
  <c r="G20" i="30" s="1"/>
  <c r="G21" i="30" s="1"/>
  <c r="G22" i="30" s="1"/>
  <c r="G23" i="30" s="1"/>
  <c r="G24" i="30" s="1"/>
  <c r="G25" i="30" s="1"/>
  <c r="I17" i="30"/>
  <c r="J21" i="30" l="1"/>
  <c r="K20" i="30"/>
  <c r="I18" i="30"/>
  <c r="J22" i="30" l="1"/>
  <c r="K21" i="30"/>
  <c r="H17" i="30"/>
  <c r="I19" i="30"/>
  <c r="H18" i="30"/>
  <c r="J23" i="30" l="1"/>
  <c r="K22" i="30"/>
  <c r="I20" i="30"/>
  <c r="H19" i="30"/>
  <c r="J24" i="30" l="1"/>
  <c r="K23" i="30"/>
  <c r="I21" i="30"/>
  <c r="H20" i="30"/>
  <c r="J25" i="30" l="1"/>
  <c r="K24" i="30"/>
  <c r="I22" i="30"/>
  <c r="H21" i="30"/>
  <c r="J26" i="30" l="1"/>
  <c r="K26" i="30" s="1"/>
  <c r="H26" i="30" s="1"/>
  <c r="K25" i="30"/>
  <c r="I23" i="30"/>
  <c r="H22" i="30"/>
  <c r="I24" i="30" l="1"/>
  <c r="H23" i="30"/>
  <c r="I25" i="30" l="1"/>
  <c r="H25" i="30" s="1"/>
  <c r="H24" i="30"/>
  <c r="C62" i="20" l="1"/>
  <c r="L62" i="20" l="1"/>
  <c r="Q62" i="20"/>
  <c r="N62" i="20"/>
  <c r="R62" i="20"/>
  <c r="S62" i="20"/>
  <c r="O62" i="20"/>
  <c r="P62" i="20"/>
  <c r="M62" i="20"/>
  <c r="T62" i="20"/>
</calcChain>
</file>

<file path=xl/sharedStrings.xml><?xml version="1.0" encoding="utf-8"?>
<sst xmlns="http://schemas.openxmlformats.org/spreadsheetml/2006/main" count="4114" uniqueCount="762">
  <si>
    <t>VarID</t>
  </si>
  <si>
    <t>#</t>
  </si>
  <si>
    <t>Date</t>
  </si>
  <si>
    <t>Name</t>
  </si>
  <si>
    <t>Comments</t>
  </si>
  <si>
    <t>No</t>
  </si>
  <si>
    <t>NONE</t>
  </si>
  <si>
    <t>Table of Contents</t>
  </si>
  <si>
    <t>Default</t>
  </si>
  <si>
    <t>Go to TOC</t>
  </si>
  <si>
    <t>assump_set_id</t>
  </si>
  <si>
    <t>mkt_val_calc_freq</t>
  </si>
  <si>
    <t>mkt_val_calc_freq_yrs</t>
  </si>
  <si>
    <t>mkt_val_calc_freq_sale</t>
  </si>
  <si>
    <t>mkt_val_calc_freq_sec_net_yld</t>
  </si>
  <si>
    <t>asset_mkt_sprd_use_defn</t>
  </si>
  <si>
    <t>proxy_bond_defn</t>
  </si>
  <si>
    <t>asset_detail_rpt_pv_defn</t>
  </si>
  <si>
    <t>asset_detail_rpt_inv_strat_defn</t>
  </si>
  <si>
    <t>asset_detail_rpt_sum_asset_defn</t>
  </si>
  <si>
    <t>asset_detail_rpt_cusip_id</t>
  </si>
  <si>
    <t>asset_detail_rpt_start_period</t>
  </si>
  <si>
    <t>asset_detail_rpt_final_period</t>
  </si>
  <si>
    <t>adco_history_directory</t>
  </si>
  <si>
    <t>adco_historical_loan_size_effect_defn</t>
  </si>
  <si>
    <t>adco_asset_detail_rpt_defn</t>
  </si>
  <si>
    <t>adco_asset_detail_rpt_cusip_id</t>
  </si>
  <si>
    <t>adco_asset_detail_rpt_start_period</t>
  </si>
  <si>
    <t>adco_asset_detail_rpt_final_period</t>
  </si>
  <si>
    <t>intex_defn</t>
  </si>
  <si>
    <t>intex_cmo_dll</t>
  </si>
  <si>
    <t>intex_cusip_deal_translation_path</t>
  </si>
  <si>
    <t>intex_asset_detail_rpt_defn</t>
  </si>
  <si>
    <t>intex_asset_detail_rpt_asset_id</t>
  </si>
  <si>
    <t>intex_asset_detail_rpt_start_period</t>
  </si>
  <si>
    <t>intex_asset_detail_rpt_final_period</t>
  </si>
  <si>
    <t>Effective Duration</t>
  </si>
  <si>
    <t>At Asset Frequency</t>
  </si>
  <si>
    <t>Hold Level</t>
  </si>
  <si>
    <t>Not Applicable</t>
  </si>
  <si>
    <t>&lt;*global*&gt;adco\ppmodel\</t>
  </si>
  <si>
    <t>Yes</t>
  </si>
  <si>
    <t>&lt;*global*&gt;cmosub32.dll</t>
  </si>
  <si>
    <t>&lt;*global*&gt;intex\cmo_cdu\</t>
  </si>
  <si>
    <t>Investment input page – Asset Run Control</t>
  </si>
  <si>
    <t>Beginning and End of Projection</t>
  </si>
  <si>
    <t>Bond</t>
  </si>
  <si>
    <t>Equity</t>
  </si>
  <si>
    <t>Investment</t>
  </si>
  <si>
    <t>ALL</t>
  </si>
  <si>
    <t>Both</t>
  </si>
  <si>
    <t>Available for Sale</t>
  </si>
  <si>
    <t>Govt</t>
  </si>
  <si>
    <t>purch_bond_category_id</t>
  </si>
  <si>
    <t>purch_bond_port_defn</t>
  </si>
  <si>
    <t>purch_bond_sale_class</t>
  </si>
  <si>
    <t>purch_bond_yrs_to_maturity</t>
  </si>
  <si>
    <t>purch_bond_rate_defn</t>
  </si>
  <si>
    <t>purch_bond_pmt_mode</t>
  </si>
  <si>
    <t>purch_bond_rate_diff</t>
  </si>
  <si>
    <t>purch_bond_adj_scen_yr</t>
  </si>
  <si>
    <t>purch_bond_adj_scen_mult</t>
  </si>
  <si>
    <t>purch_bond_adj_reset_mths</t>
  </si>
  <si>
    <t>purch_bond_adj_max_above_init</t>
  </si>
  <si>
    <t>purch_bond_adj_max_below_init</t>
  </si>
  <si>
    <t>purch_bond_adj_max_reset_incr</t>
  </si>
  <si>
    <t>purch_bond_adj_max_reset_decr</t>
  </si>
  <si>
    <t>purch_bond_call_price_defn</t>
  </si>
  <si>
    <t>purch_bond_call_protect_yrs</t>
  </si>
  <si>
    <t>purch_bond_call_defn</t>
  </si>
  <si>
    <t>purch_bond_yld_maint_addn</t>
  </si>
  <si>
    <t>purch_bond_call_prem_mult</t>
  </si>
  <si>
    <t>purch_bond_call_prem_addn</t>
  </si>
  <si>
    <t>purch_bond_first_par_call_yr</t>
  </si>
  <si>
    <t>purch_bond_put_price_defn</t>
  </si>
  <si>
    <t>purch_bond_put_protect_yrs</t>
  </si>
  <si>
    <t>purch_bond_put_defn</t>
  </si>
  <si>
    <t>purch_bond_put_prem_mult</t>
  </si>
  <si>
    <t>purch_bond_put_prem_addn</t>
  </si>
  <si>
    <t>purch_bond_first_par_put_yr</t>
  </si>
  <si>
    <t>purch_bond_sinking_fund_defn</t>
  </si>
  <si>
    <t>purch_bond_avr_contribn_pct</t>
  </si>
  <si>
    <t>purch_bond_avr_max_pct</t>
  </si>
  <si>
    <t>purch_bond_avr_obj_pct</t>
  </si>
  <si>
    <t>purch_bond_rbc_c1_pct</t>
  </si>
  <si>
    <t>Refinancing Rate</t>
  </si>
  <si>
    <t>Semi-Annual</t>
  </si>
  <si>
    <t>Price Schedule</t>
  </si>
  <si>
    <t>purch_asset_id</t>
  </si>
  <si>
    <t>CallPct</t>
  </si>
  <si>
    <t>mths_since_issue</t>
  </si>
  <si>
    <t>purch_mtg_category_id</t>
  </si>
  <si>
    <t>purch_mtg_port_defn</t>
  </si>
  <si>
    <t>purch_mtg_sale_class</t>
  </si>
  <si>
    <t>purch_mtg_yrs_to_maturity</t>
  </si>
  <si>
    <t>purch_mtg_amortzn_yrs</t>
  </si>
  <si>
    <t>purch_mtg_rate_defn</t>
  </si>
  <si>
    <t>purch_mtg_pmt_mode</t>
  </si>
  <si>
    <t>purch_mtg_servicing_fee</t>
  </si>
  <si>
    <t>purch_mtg_rate_diff</t>
  </si>
  <si>
    <t>purch_mtg_adj_scen_yr</t>
  </si>
  <si>
    <t>purch_mtg_adj_scen_mult</t>
  </si>
  <si>
    <t>purch_mtg_adj_addn_init</t>
  </si>
  <si>
    <t>purch_mtg_adj_addn_renewal</t>
  </si>
  <si>
    <t>purch_mtg_adj_reset_mths</t>
  </si>
  <si>
    <t>purch_mtg_adj_max_above_init</t>
  </si>
  <si>
    <t>purch_mtg_adj_max_below_init</t>
  </si>
  <si>
    <t>purch_mtg_adj_max_reset_incr</t>
  </si>
  <si>
    <t>purch_mtg_adj_max_reset_decr</t>
  </si>
  <si>
    <t>purch_mtg_prepmt_penalty_defn</t>
  </si>
  <si>
    <t>purch_mtg_prepmt_protect_yrs</t>
  </si>
  <si>
    <t>purch_mtg_yld_maint_addn</t>
  </si>
  <si>
    <t>purch_mtg_prepmt_penalty_mult</t>
  </si>
  <si>
    <t>purch_mtg_prepmt_penalty_addn</t>
  </si>
  <si>
    <t>purch_mtg_first_par_prepmt_yr</t>
  </si>
  <si>
    <t>purch_mtg_yrs_to_balloon</t>
  </si>
  <si>
    <t>purch_mtg_avr_contribn_pct</t>
  </si>
  <si>
    <t>purch_mtg_avr_max_pct</t>
  </si>
  <si>
    <t>purch_mtg_avr_obj_pct</t>
  </si>
  <si>
    <t>purch_mtg_rbc_c1_pct</t>
  </si>
  <si>
    <t>Monthly</t>
  </si>
  <si>
    <t>Quarterly</t>
  </si>
  <si>
    <t>purch_sec_category_id</t>
  </si>
  <si>
    <t>purch_sec_sale_class</t>
  </si>
  <si>
    <t>purch_sec_tranche_owned</t>
  </si>
  <si>
    <t>purch_sec_io_po_defn</t>
  </si>
  <si>
    <t>purch_sec_tranche_rate_defn</t>
  </si>
  <si>
    <t>purch_sec_tranche_rate_scen_yr</t>
  </si>
  <si>
    <t>purch_sec_tranche_rate_scen_mult</t>
  </si>
  <si>
    <t>purch_sec_tranche_rate_addn</t>
  </si>
  <si>
    <t>purch_sec_tranche_rate_max_decr_from_init</t>
  </si>
  <si>
    <t>purch_sec_tranche_rate_max_incr_from_init</t>
  </si>
  <si>
    <t>purch_sec_tranche_a_pct</t>
  </si>
  <si>
    <t>purch_sec_tranche_b_pct</t>
  </si>
  <si>
    <t>purch_sec_tranche_c_pct</t>
  </si>
  <si>
    <t>purch_sec_tranche_z_pct</t>
  </si>
  <si>
    <t>purch_sec_tranche_z_defn</t>
  </si>
  <si>
    <t>purch_sec_tranche_z_jump_speed</t>
  </si>
  <si>
    <t>purch_sec_tranche_z_prepmt_priority_bef_jump</t>
  </si>
  <si>
    <t>purch_sec_tranche_z_addn</t>
  </si>
  <si>
    <t>purch_sec_pac1z_accrual_addn</t>
  </si>
  <si>
    <t>purch_sec_pac2_accrual_defn</t>
  </si>
  <si>
    <t>purch_sec_pac2_z_accrual_addn</t>
  </si>
  <si>
    <t>purch_sec_pac3_z_accrual_addn</t>
  </si>
  <si>
    <t>purch_sec_avr_contribn_pct</t>
  </si>
  <si>
    <t>purch_sec_avr_max_pct</t>
  </si>
  <si>
    <t>purch_sec_avr_obj_pct</t>
  </si>
  <si>
    <t>purch_sec_rbc_c1_pct</t>
  </si>
  <si>
    <t>DEFAULT</t>
  </si>
  <si>
    <t>Tranche B</t>
  </si>
  <si>
    <t>Fixed Rate</t>
  </si>
  <si>
    <t>Accrual Only</t>
  </si>
  <si>
    <t>Before PAC2</t>
  </si>
  <si>
    <t>Non Accrual</t>
  </si>
  <si>
    <t>purch_ird_category_id</t>
  </si>
  <si>
    <t>purch_ird_port_defn</t>
  </si>
  <si>
    <t>purch_ird_sale_class</t>
  </si>
  <si>
    <t>purch_ird_pmt_defn</t>
  </si>
  <si>
    <t>purch_ird_rate_1_pmt_mode</t>
  </si>
  <si>
    <t>purch_ird_rate_2_pmt_mode</t>
  </si>
  <si>
    <t>purch_ird_mths_to_first_reset</t>
  </si>
  <si>
    <t>purch_ird_yrs_to_maturity</t>
  </si>
  <si>
    <t>purch_ird_rate_1_defn</t>
  </si>
  <si>
    <t>purch_ird_rate_1_scen_yr</t>
  </si>
  <si>
    <t>purch_ird_rate_1_scen_mult</t>
  </si>
  <si>
    <t>purch_ird_rate_1_addn</t>
  </si>
  <si>
    <t>purch_ird_rate_2_defn</t>
  </si>
  <si>
    <t>purch_ird_rate_2_scen_yr</t>
  </si>
  <si>
    <t>purch_ird_rate_2_scen_mult</t>
  </si>
  <si>
    <t>purch_ird_rate_2_addn</t>
  </si>
  <si>
    <t>purch_ird_avr_contribn_pct</t>
  </si>
  <si>
    <t>purch_ird_avr_max_pct</t>
  </si>
  <si>
    <t>purch_ird_avr_obj_pct</t>
  </si>
  <si>
    <t>purch_ird_rbc_c1_pct</t>
  </si>
  <si>
    <t>Always</t>
  </si>
  <si>
    <t>purch_re_asset_index</t>
  </si>
  <si>
    <t>purch_re_category_id</t>
  </si>
  <si>
    <t>purch_re_sale_class</t>
  </si>
  <si>
    <t>purch_re_mkt_growth_scen_mult</t>
  </si>
  <si>
    <t>purch_re_mkt_growth_addn</t>
  </si>
  <si>
    <t>purch_re_depreciation_yrs</t>
  </si>
  <si>
    <t>purch_re_pmt_mode</t>
  </si>
  <si>
    <t>purch_re_rent_rate_scen_mult</t>
  </si>
  <si>
    <t>purch_re_rent_rate_scen_addn</t>
  </si>
  <si>
    <t>purch_re_rental_growth</t>
  </si>
  <si>
    <t>purch_re_avr_contribn_pct</t>
  </si>
  <si>
    <t>purch_re_avr_max_pct</t>
  </si>
  <si>
    <t>purch_re_avr_obj_pct</t>
  </si>
  <si>
    <t>purch_re_rbc_c1_pct</t>
  </si>
  <si>
    <t>RE</t>
  </si>
  <si>
    <t>purch_eqt_asset_index</t>
  </si>
  <si>
    <t>purch_eqt_category_id</t>
  </si>
  <si>
    <t>purch_eqt_sale_class</t>
  </si>
  <si>
    <t>purch_eqt_pmt_mode</t>
  </si>
  <si>
    <t>purch_eqt_div_yld_scen_mult</t>
  </si>
  <si>
    <t>purch_eqt_div_yld_addn</t>
  </si>
  <si>
    <t>purch_eqt_mkt_growth_scen_mult</t>
  </si>
  <si>
    <t>purch_eqt_mkt_growth_addn</t>
  </si>
  <si>
    <t>purch_eqt_avr_contribn_pct</t>
  </si>
  <si>
    <t>purch_eqt_avr_max_pct</t>
  </si>
  <si>
    <t>purch_eqt_avr_obj_pct</t>
  </si>
  <si>
    <t>purch_eqt_rbc_c1_pct</t>
  </si>
  <si>
    <t>purch_eio_asset_index</t>
  </si>
  <si>
    <t>purch_eio_category_id</t>
  </si>
  <si>
    <t>purch_eio_port_defn</t>
  </si>
  <si>
    <t>purch_eio_sale_class</t>
  </si>
  <si>
    <t>purch_eio_opt_defn</t>
  </si>
  <si>
    <t>purch_eio_opt_strike_price</t>
  </si>
  <si>
    <t>purch_eio_payout_index_max</t>
  </si>
  <si>
    <t>purch_eio_yrs_to_maturity</t>
  </si>
  <si>
    <t>purch_eio_index_scen_mult</t>
  </si>
  <si>
    <t>purch_eio_index_scen_addn</t>
  </si>
  <si>
    <t>purch_eio_lookback_defn</t>
  </si>
  <si>
    <t>purch_eio_lookback_sampling_interval</t>
  </si>
  <si>
    <t>purch_eio_lookback_yrs</t>
  </si>
  <si>
    <t>purch_eio_div_yld_scen_mult</t>
  </si>
  <si>
    <t>purch_eio_div_yld_addn</t>
  </si>
  <si>
    <t>purch_eio_avr_contribn_pct</t>
  </si>
  <si>
    <t>purch_eio_avr_max_pct</t>
  </si>
  <si>
    <t>purch_eio_avr_obj_pct</t>
  </si>
  <si>
    <t>purch_eio_rbc_c1_pct</t>
  </si>
  <si>
    <t>US</t>
  </si>
  <si>
    <t>Call</t>
  </si>
  <si>
    <t>None</t>
  </si>
  <si>
    <t>Annual</t>
  </si>
  <si>
    <t>Investment input page – Purchase Assets Definitions</t>
  </si>
  <si>
    <t>Investment input page – Decrements</t>
  </si>
  <si>
    <t>refinancing_cost_pct</t>
  </si>
  <si>
    <t>bond_refinancing_rate_defn</t>
  </si>
  <si>
    <t>mtg_refinancing_rate_defn</t>
  </si>
  <si>
    <t>refinancing_rate_scen_yr</t>
  </si>
  <si>
    <t>refinancing_rate_scen_mult</t>
  </si>
  <si>
    <t>refinancing_rate_scen_addn</t>
  </si>
  <si>
    <t>opt_int_diff_defn</t>
  </si>
  <si>
    <t>Category Yield to WAL + Option Spread</t>
  </si>
  <si>
    <t>Coupon Rate</t>
  </si>
  <si>
    <t>CallExercisePct</t>
  </si>
  <si>
    <t>PutExercisePct</t>
  </si>
  <si>
    <t>date</t>
  </si>
  <si>
    <t>dflt_rate_scen_mult</t>
  </si>
  <si>
    <t>dflt_rate_bef_maturity_defn</t>
  </si>
  <si>
    <t>Maturity Date</t>
  </si>
  <si>
    <t>refinance_rate_scen_mult</t>
  </si>
  <si>
    <t>restructure_rate_scen_mult</t>
  </si>
  <si>
    <t>restructure_write_down_pct</t>
  </si>
  <si>
    <t>foreclosure_rate_scen_mult</t>
  </si>
  <si>
    <t>foreclosure_write_down_pct</t>
  </si>
  <si>
    <t>prepmt_model_defn</t>
  </si>
  <si>
    <t>USLMS</t>
  </si>
  <si>
    <t>prepmt_defn</t>
  </si>
  <si>
    <t>Absolute Percentage</t>
  </si>
  <si>
    <t>prepmt_int_diff_defn</t>
  </si>
  <si>
    <t>Gross Interest Rate</t>
  </si>
  <si>
    <t>prepmt_nonfinancial_pct</t>
  </si>
  <si>
    <t>prepmt_seasoning_since_issue_mult</t>
  </si>
  <si>
    <t>Amortized Cost</t>
  </si>
  <si>
    <t>Straight-Line Amortization</t>
  </si>
  <si>
    <t>Straight-Line Depreciation</t>
  </si>
  <si>
    <t>Market Value</t>
  </si>
  <si>
    <t>To Maturity</t>
  </si>
  <si>
    <t>Cost Basis</t>
  </si>
  <si>
    <t>refinance_inv_id</t>
  </si>
  <si>
    <t>restructure_inv_id</t>
  </si>
  <si>
    <t>foreclosure_inv_id</t>
  </si>
  <si>
    <t>restructure_int_pmt_mult</t>
  </si>
  <si>
    <t>restructure_prin_pmt_mult</t>
  </si>
  <si>
    <t>foreclosure_int_pmt_mult</t>
  </si>
  <si>
    <t>foreclosure_prin_pmt_mult</t>
  </si>
  <si>
    <t>inv_amt_min</t>
  </si>
  <si>
    <t>yrs_to_inv_mthly</t>
  </si>
  <si>
    <t>yrs_to_inv_qtrly</t>
  </si>
  <si>
    <t>inv_strat_economic_tests</t>
  </si>
  <si>
    <t>purch_bond_assets_selected</t>
  </si>
  <si>
    <t>purch_mtg_assets_selected</t>
  </si>
  <si>
    <t>purch_sec_assets_selected</t>
  </si>
  <si>
    <t>purch_ird_assets_selected</t>
  </si>
  <si>
    <t>purch_re_assets_selected</t>
  </si>
  <si>
    <t>purch_eqt_assets_selected</t>
  </si>
  <si>
    <t>purch_eio_assets_selected</t>
  </si>
  <si>
    <t>seg_id</t>
  </si>
  <si>
    <t>Investment input page – Strategy</t>
  </si>
  <si>
    <t>inv_strat_id</t>
  </si>
  <si>
    <t>inv_strat_cash_tgt_pct</t>
  </si>
  <si>
    <t>inv_strat_distribn_defn</t>
  </si>
  <si>
    <t>Cash</t>
  </si>
  <si>
    <t>inv_strat_planned</t>
  </si>
  <si>
    <t>inv_strat_planned_shorter</t>
  </si>
  <si>
    <t>inv_strat_planned_shortest</t>
  </si>
  <si>
    <t>inv_strat_planned_longer</t>
  </si>
  <si>
    <t>inv_strat_planned_longest</t>
  </si>
  <si>
    <t>inv_strat_economic_test_num</t>
  </si>
  <si>
    <t>inv_strat_economic_test_defn</t>
  </si>
  <si>
    <t>inv_strat_economic_mths</t>
  </si>
  <si>
    <t>inv_strat_economic_test_calc_defn</t>
  </si>
  <si>
    <t>inv_strat_economic_rate_1_term</t>
  </si>
  <si>
    <t>inv_strat_economic_rate_2_term</t>
  </si>
  <si>
    <t>inv_strat_economic_lag_mths</t>
  </si>
  <si>
    <t>inv_strat_economic_compare_defn</t>
  </si>
  <si>
    <t>inv_strat_economic_planned</t>
  </si>
  <si>
    <t>inv_strat_economic_shorter</t>
  </si>
  <si>
    <t>inv_strat_economic_shortest</t>
  </si>
  <si>
    <t>inv_strat_economic_longer</t>
  </si>
  <si>
    <t>inv_strat_economic_longest</t>
  </si>
  <si>
    <t>Average Rate</t>
  </si>
  <si>
    <t>Subtraction</t>
  </si>
  <si>
    <t>Greater Than</t>
  </si>
  <si>
    <t>rebal_freq</t>
  </si>
  <si>
    <t>rebal_sale_selection_defn</t>
  </si>
  <si>
    <t>Pro Rata</t>
  </si>
  <si>
    <t>rebal_dur_match_defn</t>
  </si>
  <si>
    <t>Borrow</t>
  </si>
  <si>
    <t>Reduce Cash Balance To Threshold</t>
  </si>
  <si>
    <t>inv_strat_economic_fixed_test_val</t>
  </si>
  <si>
    <t>inv_strat_economic_dur_match_tgt_incr</t>
  </si>
  <si>
    <t>inv_strat_economic_dur_match_tolerance_incr</t>
  </si>
  <si>
    <t>dur_match_tgt</t>
  </si>
  <si>
    <t>category_id</t>
  </si>
  <si>
    <t>Asset Run Control</t>
  </si>
  <si>
    <t>Decrements</t>
  </si>
  <si>
    <t>Refinance Foreclosure Restructure</t>
  </si>
  <si>
    <t>Strategy</t>
  </si>
  <si>
    <t>Purchase Asset Definitions</t>
  </si>
  <si>
    <t>Asset Run Control: ADCo</t>
  </si>
  <si>
    <t>Asset Run Control: Intex</t>
  </si>
  <si>
    <t>cash_rate_mult</t>
  </si>
  <si>
    <t>cash_rate_addn</t>
  </si>
  <si>
    <t>borrowing_rate_qual</t>
  </si>
  <si>
    <t>interim_cash_rate_defn</t>
  </si>
  <si>
    <t>Cash Account Rate</t>
  </si>
  <si>
    <t>Asset Run Control : ADCo</t>
  </si>
  <si>
    <t>Asset Run Control : Intex</t>
  </si>
  <si>
    <t>ADCo</t>
  </si>
  <si>
    <t>Decrements: Default/Refinance/Foreclosure/Restructure</t>
  </si>
  <si>
    <t>refinance_rate_pct</t>
  </si>
  <si>
    <t>refinance_rate_mult_since_issue</t>
  </si>
  <si>
    <t>refinance_rate_mult_bef_maturity</t>
  </si>
  <si>
    <t>foreclosure_rate_pct</t>
  </si>
  <si>
    <t>foreclosure_rate_mult_since_issue</t>
  </si>
  <si>
    <t>foreclosure_rate_mult_bef_maturity</t>
  </si>
  <si>
    <t>restructure_rate_pct</t>
  </si>
  <si>
    <t>restructure_rate_mult_since_issue</t>
  </si>
  <si>
    <t>restructure_rate_mult_bef_maturity</t>
  </si>
  <si>
    <t>Decrements: Sinking Fund Payments</t>
  </si>
  <si>
    <t>sinking_fund_prin_pmt_pct</t>
  </si>
  <si>
    <t>Decrements: Call/Puts/Prepayments</t>
  </si>
  <si>
    <t>call_price_pct</t>
  </si>
  <si>
    <t>put_price_pct</t>
  </si>
  <si>
    <t>prepmt_penalty_pct</t>
  </si>
  <si>
    <t>call_opt_exercise_pct</t>
  </si>
  <si>
    <t>put_opt_exercise_pct</t>
  </si>
  <si>
    <t>prepmt_exercise_pct</t>
  </si>
  <si>
    <t>prepmt_nonfinancial_seasonality_addn</t>
  </si>
  <si>
    <t>prepmt_nonfinancial_adj</t>
  </si>
  <si>
    <t>Decrements : ADCo</t>
  </si>
  <si>
    <t>adco_category_id</t>
  </si>
  <si>
    <t>adco_adj_rate_defn</t>
  </si>
  <si>
    <t>adco_collateral_defn</t>
  </si>
  <si>
    <t>adco_subprime_defn</t>
  </si>
  <si>
    <t>adco_abs_mh_defn</t>
  </si>
  <si>
    <t>adco_abs_mh_vintage_defn</t>
  </si>
  <si>
    <t>adco_abs_mh_width_defn</t>
  </si>
  <si>
    <t>Non Convertible</t>
  </si>
  <si>
    <t>FNMA</t>
  </si>
  <si>
    <t>Prime Collateral</t>
  </si>
  <si>
    <t>Unknown</t>
  </si>
  <si>
    <t>opt_defn</t>
  </si>
  <si>
    <t>int_rate_diff</t>
  </si>
  <si>
    <t>Back to Main</t>
  </si>
  <si>
    <t>[See below]</t>
  </si>
  <si>
    <t>cal_mth</t>
  </si>
  <si>
    <t>mths_bef_maturity</t>
  </si>
  <si>
    <t>Investment input page – Balance Sheet</t>
  </si>
  <si>
    <t>Balance Sheet</t>
  </si>
  <si>
    <t>bond_cost_basis_defn</t>
  </si>
  <si>
    <t>bond_amortzd_cost_period_defn</t>
  </si>
  <si>
    <t>bond_bk_val_defn</t>
  </si>
  <si>
    <t>mtg_cost_basis_defn</t>
  </si>
  <si>
    <t>mtg_amortzd_cost_period_defn</t>
  </si>
  <si>
    <t>mtg_bk_val_defn</t>
  </si>
  <si>
    <t>sec_cost_basis_defn</t>
  </si>
  <si>
    <t>sec_bk_val_defn</t>
  </si>
  <si>
    <t>ird_cost_basis_defn</t>
  </si>
  <si>
    <t>ird_bk_val_defn</t>
  </si>
  <si>
    <t>re_cost_basis_defn</t>
  </si>
  <si>
    <t>re_bk_val_defn</t>
  </si>
  <si>
    <t>eqt_bk_val_defn</t>
  </si>
  <si>
    <t>eio_cost_basis_defn</t>
  </si>
  <si>
    <t>eio_bk_val_defn</t>
  </si>
  <si>
    <t>To Next Rate Reset</t>
  </si>
  <si>
    <t>Default/Refinance/Restructure/Foreclosure</t>
  </si>
  <si>
    <t>Sinking Fund Payments</t>
  </si>
  <si>
    <t>Call/Put/Prepayments</t>
  </si>
  <si>
    <t>asset_id</t>
  </si>
  <si>
    <t>CallPricePct</t>
  </si>
  <si>
    <t>PutPricePct</t>
  </si>
  <si>
    <t>Investment input page – Refinance Foreclosure Restructure Investments</t>
  </si>
  <si>
    <t>Refinance/Foreclosure/Restructure Investments</t>
  </si>
  <si>
    <t>Refinance Restructure Foreclosure Investments</t>
  </si>
  <si>
    <t>Strategy : Control</t>
  </si>
  <si>
    <t>Strategy : Definitions</t>
  </si>
  <si>
    <t>Strategy : Planned</t>
  </si>
  <si>
    <t>Strategy : Economic</t>
  </si>
  <si>
    <t>Seg</t>
  </si>
  <si>
    <t>Back To Main</t>
  </si>
  <si>
    <t>var_defn</t>
  </si>
  <si>
    <t>InvSec</t>
  </si>
  <si>
    <t>InvIrd</t>
  </si>
  <si>
    <t>InvEqt</t>
  </si>
  <si>
    <t>InvRe</t>
  </si>
  <si>
    <t>Total</t>
  </si>
  <si>
    <t>Investment input page – Purchase Index Option Definitions</t>
  </si>
  <si>
    <t>Investment input page – Purchase Equity Definitions</t>
  </si>
  <si>
    <t>Investment input page – Purchase Real Estate Definitions</t>
  </si>
  <si>
    <t>Investment input page – Purchase Interest Rate Derivative Definitions</t>
  </si>
  <si>
    <t>Investment input page – Purchase Securitized Asset Definitions</t>
  </si>
  <si>
    <t>purch_sec_pac1_std_sch</t>
  </si>
  <si>
    <t>purch_sec_pac1z_sch</t>
  </si>
  <si>
    <t>purch_sec_pac2a_sch</t>
  </si>
  <si>
    <t>purch_sec_pac2b_sch</t>
  </si>
  <si>
    <t>purch_sec_pac3_sch</t>
  </si>
  <si>
    <t>Investment input page – Securitized Asset Cash Flows</t>
  </si>
  <si>
    <t>pac_type</t>
  </si>
  <si>
    <t>Pac1s</t>
  </si>
  <si>
    <t>Pac1z</t>
  </si>
  <si>
    <t>Pac2a</t>
  </si>
  <si>
    <t>Pac2b</t>
  </si>
  <si>
    <t>Pac3</t>
  </si>
  <si>
    <t>purch_mtg_prepmt_penalty_pct</t>
  </si>
  <si>
    <t>Investment input page – Purchase Mortgage Definitions</t>
  </si>
  <si>
    <t>purch_bond_call_price_pct</t>
  </si>
  <si>
    <t>purch_bond_sinking_fund_prin_pmt_pct</t>
  </si>
  <si>
    <t>purch_bond_put_price_pct</t>
  </si>
  <si>
    <t>PutPct</t>
  </si>
  <si>
    <t>Purchased Bond Definitions</t>
  </si>
  <si>
    <t>Purchase Mortgage Definitions</t>
  </si>
  <si>
    <t>Purchase Securitized Asset Definitions</t>
  </si>
  <si>
    <t>Purchase Interest Rate Derivative Definitions</t>
  </si>
  <si>
    <t>Purchase Real Estate Definitions</t>
  </si>
  <si>
    <t>Purchase Equity Definitions</t>
  </si>
  <si>
    <t>Purchase Index Option Definitions</t>
  </si>
  <si>
    <t>Sec1</t>
  </si>
  <si>
    <t>Securitized Asset Cash Flows</t>
  </si>
  <si>
    <t>Mtg1</t>
  </si>
  <si>
    <t>Mtg2</t>
  </si>
  <si>
    <t>dur_match_tolerance</t>
  </si>
  <si>
    <t>&lt;*global*&gt;x64\cmosub64.dll</t>
  </si>
  <si>
    <t>intex_cmo_dll_64</t>
  </si>
  <si>
    <t>Investment input page – Cash</t>
  </si>
  <si>
    <t>Baseline</t>
  </si>
  <si>
    <t>Bnd1</t>
  </si>
  <si>
    <t>Bnd2</t>
  </si>
  <si>
    <t>Bnd3</t>
  </si>
  <si>
    <t>Bnd4</t>
  </si>
  <si>
    <t>Bnd5</t>
  </si>
  <si>
    <t>nonfinancial_int_rate_diff</t>
  </si>
  <si>
    <t>Whenever Needed</t>
  </si>
  <si>
    <t>A</t>
  </si>
  <si>
    <t>PTPDC</t>
  </si>
  <si>
    <t>PTPDP</t>
  </si>
  <si>
    <t>EIA_INDEX</t>
  </si>
  <si>
    <t>PTPDCUS</t>
  </si>
  <si>
    <t>PTPDPUS</t>
  </si>
  <si>
    <t>MADCUS</t>
  </si>
  <si>
    <t>MADPUS</t>
  </si>
  <si>
    <t>IndexOptions</t>
  </si>
  <si>
    <t>Hedging</t>
  </si>
  <si>
    <t>Asian</t>
  </si>
  <si>
    <t>AA</t>
  </si>
  <si>
    <t>AAA</t>
  </si>
  <si>
    <t>B</t>
  </si>
  <si>
    <t>BAA</t>
  </si>
  <si>
    <t>ANew</t>
  </si>
  <si>
    <t>AANew</t>
  </si>
  <si>
    <t>PPAY</t>
  </si>
  <si>
    <t>PPAY3</t>
  </si>
  <si>
    <t>PPAY4</t>
  </si>
  <si>
    <t>PPAY5</t>
  </si>
  <si>
    <t>PPAY6</t>
  </si>
  <si>
    <t>GNMA</t>
  </si>
  <si>
    <t>CPMTG</t>
  </si>
  <si>
    <t>Mortgage</t>
  </si>
  <si>
    <t>BNDAA1001</t>
  </si>
  <si>
    <t>BNDAAA2002</t>
  </si>
  <si>
    <t>Bonds</t>
  </si>
  <si>
    <t>Andrew Davidson</t>
  </si>
  <si>
    <t>&lt;*global*&gt;</t>
  </si>
  <si>
    <t>Asset Sub Portfolios</t>
  </si>
  <si>
    <t>Asset Sub Portfolios: Control</t>
  </si>
  <si>
    <t>Asset Sub Portfolios: Definitions</t>
  </si>
  <si>
    <t>Investment input page – Asset Sub Portfolios</t>
  </si>
  <si>
    <t>Asset Sub Portfolios : Control</t>
  </si>
  <si>
    <t>Asset Sub Portfolios : Definitions</t>
  </si>
  <si>
    <t>asset_sub_ports_selected</t>
  </si>
  <si>
    <t>asset_sub_port_assign_dur_defn</t>
  </si>
  <si>
    <t>asset_sub_port_id</t>
  </si>
  <si>
    <t>asset_sub_port_asset_type</t>
  </si>
  <si>
    <t>asset_sub_port_port_defn</t>
  </si>
  <si>
    <t>asset_sub_port_categories</t>
  </si>
  <si>
    <t>asset_sub_port_existing_or_purch_defn</t>
  </si>
  <si>
    <t>asset_sub_port_dur_min</t>
  </si>
  <si>
    <t>asset_sub_port_dur_max</t>
  </si>
  <si>
    <t>asset_sub_port_min_size</t>
  </si>
  <si>
    <t>asset_sub_port_dur_match_defn</t>
  </si>
  <si>
    <t>asset_sub_port_sale_priority</t>
  </si>
  <si>
    <t>asset_sub_port_rebal_tolerance_pct</t>
  </si>
  <si>
    <t>asset_sub_port_rebal_pct_max</t>
  </si>
  <si>
    <t>asset_sub_port_rebal_pct_min</t>
  </si>
  <si>
    <t>asset_sub_port_inv_exp_pct</t>
  </si>
  <si>
    <t>asset_sub_port_proxy_bond_category</t>
  </si>
  <si>
    <t>asset_sub_port_proxy_bond_sale_class</t>
  </si>
  <si>
    <t>purch_bond_adj_category_id</t>
  </si>
  <si>
    <t>purch_mtg_adj_category_id</t>
  </si>
  <si>
    <t>SubPortID</t>
  </si>
  <si>
    <t>WgthWithinSubPort</t>
  </si>
  <si>
    <t>purch_bond_grp_id</t>
  </si>
  <si>
    <t>purch_mtg_grp_id</t>
  </si>
  <si>
    <t>purch_sec_grp_id</t>
  </si>
  <si>
    <t>purch_ird_grp_id</t>
  </si>
  <si>
    <t>purch_re_grp_id</t>
  </si>
  <si>
    <t>purch_eqt_grp_id</t>
  </si>
  <si>
    <t>purch_eio_grp_id</t>
  </si>
  <si>
    <t>purch_ird_rate_1_category_id</t>
  </si>
  <si>
    <t>purch_ird_rate_2_category_id</t>
  </si>
  <si>
    <t>COLLAT</t>
  </si>
  <si>
    <t>purch_sec_cp_asset_id</t>
  </si>
  <si>
    <t>purch_sec_cp_category_id</t>
  </si>
  <si>
    <t>purch_sec_tranche_rate_category_id</t>
  </si>
  <si>
    <t>purch_sec_cp_yrs_to_maturity</t>
  </si>
  <si>
    <t>purch_sec_cp_amortzn_yrs</t>
  </si>
  <si>
    <t>purch_sec_cp_rate_defn</t>
  </si>
  <si>
    <t>purch_sec_cp_rate_diff</t>
  </si>
  <si>
    <t>purch_sec_cp_pmt_mode</t>
  </si>
  <si>
    <t>purch_sec_cp_servicing_fee</t>
  </si>
  <si>
    <t>purch_sec_cp_adj_category_id</t>
  </si>
  <si>
    <t>purch_sec_cp_adj_scen_yr</t>
  </si>
  <si>
    <t>purch_sec_cp_adj_scen_mult</t>
  </si>
  <si>
    <t>purch_sec_cp_adj_addn_init</t>
  </si>
  <si>
    <t>purch_sec_cp_adj_addn_renewal</t>
  </si>
  <si>
    <t>purch_sec_cp_adj_reset_mths</t>
  </si>
  <si>
    <t>purch_sec_cp_adj_max_above_init</t>
  </si>
  <si>
    <t>purch_sec_cp_adj_max_below_init</t>
  </si>
  <si>
    <t>purch_sec_cp_adj_max_reset_incr</t>
  </si>
  <si>
    <t>purch_sec_cp_adj_max_reset_decr</t>
  </si>
  <si>
    <t>purch_sec_cp_prepmt_penalty_defn</t>
  </si>
  <si>
    <t>purch_sec_cp_prepmt_protect_yrs</t>
  </si>
  <si>
    <t>purch_sec_cp_prepmt_penalty_pct</t>
  </si>
  <si>
    <t>purch_sec_cp_yld_maint_addn</t>
  </si>
  <si>
    <t>purch_sec_cp_prepmt_penalty_mult</t>
  </si>
  <si>
    <t>purch_sec_cp_prepmt_penalty_addn</t>
  </si>
  <si>
    <t>purch_sec_cp_first_par_prepmt_yr</t>
  </si>
  <si>
    <t>purch_sec_cp_yrs_to_balloon</t>
  </si>
  <si>
    <t>purch_bond_taxable_pct</t>
  </si>
  <si>
    <t>cash_rate_qual</t>
  </si>
  <si>
    <t>cash_rate_term</t>
  </si>
  <si>
    <t>Borrowing</t>
  </si>
  <si>
    <t>borrowing_rate_term</t>
  </si>
  <si>
    <t>borrowing_rate_mult</t>
  </si>
  <si>
    <t>borrowing_rate_addn</t>
  </si>
  <si>
    <t>Interim Cash</t>
  </si>
  <si>
    <t>purch_mtg_balloon_defn</t>
  </si>
  <si>
    <t>purch_mtg_balloon_prin_pmt_pct</t>
  </si>
  <si>
    <t>InvMtg1</t>
  </si>
  <si>
    <t>neg_cash_flow_strat_planned</t>
  </si>
  <si>
    <t>neg_cash_flow_strat_economic_tests</t>
  </si>
  <si>
    <t>inv_strat_economic</t>
  </si>
  <si>
    <t>neg_cash_flow_strat_economic</t>
  </si>
  <si>
    <t>Strategy : Rebalance Sales</t>
  </si>
  <si>
    <t>rebal_sale_priority_avail_for_sale</t>
  </si>
  <si>
    <t>rebal_sale_priority_trading</t>
  </si>
  <si>
    <t>rebal_sale_priority_held_to_maturity</t>
  </si>
  <si>
    <t>rebal_sale_priority_not_assigned</t>
  </si>
  <si>
    <t>neg_cash_flow_strat_planned_cash_bal_defn</t>
  </si>
  <si>
    <t>neg_cash_flow_strat_planned_cash_thresh_pct</t>
  </si>
  <si>
    <t>neg_cash_flow_strat_planned_cash_thresh_addn</t>
  </si>
  <si>
    <t>neg_cash_flow_strat_planned_neg_assets</t>
  </si>
  <si>
    <t>neg_cash_flow_strat_planned_sale_selection_defn</t>
  </si>
  <si>
    <t>neg_cash_flow_strat_planned_sale_priority_avail_for_sale</t>
  </si>
  <si>
    <t>neg_cash_flow_strat_planned_sale_priority_trading</t>
  </si>
  <si>
    <t>neg_cash_flow_strat_planned_sale_priority_held_to_maturity</t>
  </si>
  <si>
    <t>neg_cash_flow_strat_planned_sale_priority_not_assigned</t>
  </si>
  <si>
    <t>neg_cash_flow_strat_economic_test_num</t>
  </si>
  <si>
    <t>neg_cash_flow_strat_economic_test_defn</t>
  </si>
  <si>
    <t>neg_cash_flow_strat_economic_mths</t>
  </si>
  <si>
    <t>neg_cash_flow_strat_economic_test_calc_defn</t>
  </si>
  <si>
    <t>neg_cash_flow_strat_economic_rate_1_term</t>
  </si>
  <si>
    <t>neg_cash_flow_strat_economic_rate_2_term</t>
  </si>
  <si>
    <t>neg_cash_flow_strat_economic_lag_mths</t>
  </si>
  <si>
    <t>neg_cash_flow_strat_economic_compare_defn</t>
  </si>
  <si>
    <t>neg_cash_flow_strat_economic_fixed_test_val</t>
  </si>
  <si>
    <t>neg_cash_flow_strat_economic_cash_bal_defn</t>
  </si>
  <si>
    <t>neg_cash_flow_strat_economic_cash_thresh_pct</t>
  </si>
  <si>
    <t>neg_cash_flow_strat_economic_cash_thresh_addn</t>
  </si>
  <si>
    <t>neg_cash_flow_strat_economic_neg_assets</t>
  </si>
  <si>
    <t>neg_cash_flow_strat_economic_sale_selection_defn</t>
  </si>
  <si>
    <t>neg_cash_flow_strat_economic_sale_priority_avail_for_sale</t>
  </si>
  <si>
    <t>neg_cash_flow_strat_economic_sale_priority_trading</t>
  </si>
  <si>
    <t>neg_cash_flow_strat_economic_sale_priority_held_to_maturity</t>
  </si>
  <si>
    <t>neg_cash_flow_strat_economic_sale_priority_not_assigned</t>
  </si>
  <si>
    <t>Decrements: Balloon Payments</t>
  </si>
  <si>
    <t>balloon_prin_pmt_pct</t>
  </si>
  <si>
    <t>bond_count_aig</t>
  </si>
  <si>
    <t>coupon_freq_defn_aig</t>
  </si>
  <si>
    <t>pol_yr</t>
  </si>
  <si>
    <t>target_asset_duration_aig</t>
  </si>
  <si>
    <t>NMR</t>
  </si>
  <si>
    <t>new_asset_rate_id_aig</t>
  </si>
  <si>
    <t>new_asset_rate_tenors_aig</t>
  </si>
  <si>
    <t>12, 24, 36, 48, 60, 72, 84, 96, 108, 120, 144, 180, 240, 300, 360</t>
  </si>
  <si>
    <t>cash_flow_pct_input_vector_aig</t>
  </si>
  <si>
    <t>print_debug_output_defn_aig</t>
  </si>
  <si>
    <t>Investment input page – AIG Purchase Assets Definitions</t>
  </si>
  <si>
    <t>new_asset_duration_floor_aig</t>
  </si>
  <si>
    <t>new_asset_rate_tenors_expand_defn_aig</t>
  </si>
  <si>
    <t>gmwb_ind</t>
  </si>
  <si>
    <t>surr_chg_period2_aig</t>
  </si>
  <si>
    <t>BBB</t>
  </si>
  <si>
    <t>PC_A</t>
  </si>
  <si>
    <t>PC_BBB</t>
  </si>
  <si>
    <t>CML</t>
  </si>
  <si>
    <t>PC_AAA</t>
  </si>
  <si>
    <t>PC_AA</t>
  </si>
  <si>
    <t>BB</t>
  </si>
  <si>
    <t>PC_BB</t>
  </si>
  <si>
    <t>PC_B</t>
  </si>
  <si>
    <t>RML</t>
  </si>
  <si>
    <t>2Y_Public Corp_A</t>
  </si>
  <si>
    <t>2Y_Public Corp_BBB</t>
  </si>
  <si>
    <t>3Y_Public Corp_A</t>
  </si>
  <si>
    <t>3Y_Public Corp_AAA</t>
  </si>
  <si>
    <t>3Y_Public Corp_BBB</t>
  </si>
  <si>
    <t>5Y_Public Corp_A</t>
  </si>
  <si>
    <t>5Y_Public Corp_AA</t>
  </si>
  <si>
    <t>5Y_Public Corp_AAA</t>
  </si>
  <si>
    <t>5Y_Public Corp_B</t>
  </si>
  <si>
    <t>5Y_Public Corp_BB</t>
  </si>
  <si>
    <t>5Y_Public Corp_BBB</t>
  </si>
  <si>
    <t>7Y_Public Corp_A</t>
  </si>
  <si>
    <t>7Y_Public Corp_B</t>
  </si>
  <si>
    <t>7Y_Public Corp_BB</t>
  </si>
  <si>
    <t>7Y_Public Corp_BBB</t>
  </si>
  <si>
    <t>10Y_Public Corp_A</t>
  </si>
  <si>
    <t>10Y_Public Corp_B</t>
  </si>
  <si>
    <t>10Y_Public Corp_BB</t>
  </si>
  <si>
    <t>10Y_Public Corp_BBB</t>
  </si>
  <si>
    <t>30Y_Public Corp_A</t>
  </si>
  <si>
    <t>30Y_Public Corp_AA</t>
  </si>
  <si>
    <t>30Y_Public Corp_BBB</t>
  </si>
  <si>
    <t>3Y_CML</t>
  </si>
  <si>
    <t>5Y_CML</t>
  </si>
  <si>
    <t>10Y_CML</t>
  </si>
  <si>
    <t>15Y_CML</t>
  </si>
  <si>
    <t>2Y_I</t>
  </si>
  <si>
    <t>3Y_I</t>
  </si>
  <si>
    <t>5Y_I</t>
  </si>
  <si>
    <t>7Y_I</t>
  </si>
  <si>
    <t>9Y_I</t>
  </si>
  <si>
    <t>10Y_I</t>
  </si>
  <si>
    <t>12Y_I</t>
  </si>
  <si>
    <t>20Y_I</t>
  </si>
  <si>
    <t>30Y_I</t>
  </si>
  <si>
    <t>5Y_R</t>
  </si>
  <si>
    <t>3Y_R</t>
  </si>
  <si>
    <t>2Y_R</t>
  </si>
  <si>
    <t>7Y_R</t>
  </si>
  <si>
    <t>9Y_R</t>
  </si>
  <si>
    <t>10Y_R</t>
  </si>
  <si>
    <t>12Y_R</t>
  </si>
  <si>
    <t>20Y_R</t>
  </si>
  <si>
    <t>30Y_R</t>
  </si>
  <si>
    <t>2Y_CML</t>
  </si>
  <si>
    <t>20Y_CML</t>
  </si>
  <si>
    <t>10Y_Public Corp_AAA</t>
  </si>
  <si>
    <t>10Y_Public Corp_CCC</t>
  </si>
  <si>
    <t>PC_CCC</t>
  </si>
  <si>
    <t>CCC</t>
  </si>
  <si>
    <t>t</t>
  </si>
  <si>
    <t>inv_strat</t>
  </si>
  <si>
    <t>planned</t>
  </si>
  <si>
    <t>shorter</t>
  </si>
  <si>
    <t>shortest</t>
  </si>
  <si>
    <t>longer</t>
  </si>
  <si>
    <t>longest</t>
  </si>
  <si>
    <t>tolerance</t>
  </si>
  <si>
    <t>surr_chg_period</t>
  </si>
  <si>
    <t>Category Yield to Maturity</t>
  </si>
  <si>
    <t>*Changed this to use Category YTM</t>
  </si>
  <si>
    <t>Sell Assets To Cover Negative Cash Balance</t>
  </si>
  <si>
    <t>5Y_RML</t>
  </si>
  <si>
    <t>Yes On Single Period</t>
  </si>
  <si>
    <t>purch_bond_adj_scen_addn_init</t>
  </si>
  <si>
    <t>Borrow To Threshold</t>
  </si>
  <si>
    <t>PVDetails</t>
  </si>
  <si>
    <t>ia_prod_v3_rsd_2_aig</t>
  </si>
  <si>
    <t>ia_prod_v3_rsd_2_defer_cf_aig</t>
  </si>
  <si>
    <t>rbc_c4_method</t>
  </si>
  <si>
    <t>v0</t>
  </si>
  <si>
    <t>v2</t>
  </si>
  <si>
    <t>v1</t>
  </si>
  <si>
    <t>CDSC+2</t>
  </si>
  <si>
    <t>CDSC/CDSC+4</t>
  </si>
  <si>
    <t>PrivCorp_A</t>
  </si>
  <si>
    <t>PrivCorp_BBB</t>
  </si>
  <si>
    <t>20Y_Private Corp_A</t>
  </si>
  <si>
    <t>20Y_Private Corp_BBB</t>
  </si>
  <si>
    <t>4Y_TgtDur</t>
  </si>
  <si>
    <t>5Y_TgtDur</t>
  </si>
  <si>
    <t>6Y_TgtDur</t>
  </si>
  <si>
    <t>7Y_TgtDur</t>
  </si>
  <si>
    <t>8Y_TgtDur</t>
  </si>
  <si>
    <t>9Y_TgtDur</t>
  </si>
  <si>
    <t>10Y_TgtDur</t>
  </si>
  <si>
    <t>11Y_TgtDur</t>
  </si>
  <si>
    <t>12Y_TgtDur</t>
  </si>
  <si>
    <t>13Y_TgtDur</t>
  </si>
  <si>
    <t>14Y_TgtDur</t>
  </si>
  <si>
    <t>WF5</t>
  </si>
  <si>
    <t>PI5P</t>
  </si>
  <si>
    <t>P5P</t>
  </si>
  <si>
    <t>PI</t>
  </si>
  <si>
    <t>PILow</t>
  </si>
  <si>
    <t>PIUSL</t>
  </si>
  <si>
    <t>PIUSLL</t>
  </si>
  <si>
    <t>NYIA</t>
  </si>
  <si>
    <t>NYIAG</t>
  </si>
  <si>
    <t>NYIA5</t>
  </si>
  <si>
    <t>PIPREF</t>
  </si>
  <si>
    <t>WF7</t>
  </si>
  <si>
    <t>PIP</t>
  </si>
  <si>
    <t>P7P</t>
  </si>
  <si>
    <t>VALIC</t>
  </si>
  <si>
    <t>PIPREM</t>
  </si>
  <si>
    <t>ADV7</t>
  </si>
  <si>
    <t>PRIM7</t>
  </si>
  <si>
    <t>PS8</t>
  </si>
  <si>
    <t>PRIM10</t>
  </si>
  <si>
    <t>AG10</t>
  </si>
  <si>
    <t>GSIA</t>
  </si>
  <si>
    <t>P10P</t>
  </si>
  <si>
    <t>PS</t>
  </si>
  <si>
    <t>X5CH</t>
  </si>
  <si>
    <t>BASE</t>
  </si>
  <si>
    <t>LIP</t>
  </si>
  <si>
    <t>LIPM</t>
  </si>
  <si>
    <t>Product Code</t>
  </si>
  <si>
    <t>GLB Status</t>
  </si>
  <si>
    <t>ANNGEN</t>
  </si>
  <si>
    <t>TgtDur</t>
  </si>
  <si>
    <t>CDSC Period</t>
  </si>
  <si>
    <t>ALMBased</t>
  </si>
  <si>
    <t>CDSC/CDSC+5</t>
  </si>
  <si>
    <t>VM21ReinvRate</t>
  </si>
  <si>
    <t>RILA</t>
  </si>
  <si>
    <t>RILA_VM21</t>
  </si>
  <si>
    <t>10Y_Public Corp_AA</t>
  </si>
  <si>
    <t>x</t>
  </si>
  <si>
    <t>3Y_Public Corp_B</t>
  </si>
  <si>
    <t>15Y_TgtDur</t>
  </si>
  <si>
    <t>3Y_TgtDur</t>
  </si>
  <si>
    <t>RILA_VM21_3</t>
  </si>
  <si>
    <t>RILA_VM21_5</t>
  </si>
  <si>
    <t>RILA_VM21_6</t>
  </si>
  <si>
    <t>purch_bond_adj_scen_addn_renewal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</si>
</sst>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00"/>
    <numFmt numFmtId="165" formatCode="0.0000%"/>
    <numFmt numFmtId="166" formatCode="0.00000%"/>
    <numFmt numFmtId="167" formatCode="0.0%"/>
    <numFmt numFmtId="168" formatCode="0.000%"/>
    <numFmt numFmtId="169" formatCode="0.0000000000000%"/>
  </numFmts>
  <fonts count="20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rgb="FF0000FF"/>
      <name val="Arial"/>
      <family val="2"/>
    </font>
    <font>
      <sz val="11"/>
      <color indexed="8"/>
      <name val="Calibri"/>
      <family val="2"/>
    </font>
    <font>
      <i/>
      <sz val="10"/>
      <color rgb="FFFF0000"/>
      <name val="Arial"/>
      <family val="2"/>
    </font>
    <font>
      <sz val="10"/>
      <color rgb="FFFF0000"/>
      <name val="Arial"/>
      <family val="2"/>
    </font>
    <font>
      <strike/>
      <sz val="10"/>
      <color rgb="FFFF0000"/>
      <name val="Arial"/>
      <family val="2"/>
    </font>
    <font>
      <sz val="10"/>
      <color indexed="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2DCDB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rgb="FFA6A6A6"/>
      </top>
      <bottom/>
      <diagonal/>
    </border>
    <border>
      <left/>
      <right style="medium">
        <color indexed="64"/>
      </right>
      <top style="thin">
        <color rgb="FFA6A6A6"/>
      </top>
      <bottom/>
      <diagonal/>
    </border>
    <border>
      <left/>
      <right style="medium">
        <color indexed="64"/>
      </right>
      <top/>
      <bottom style="thin">
        <color rgb="FFA6A6A6"/>
      </bottom>
      <diagonal/>
    </border>
    <border>
      <left style="medium">
        <color indexed="64"/>
      </left>
      <right/>
      <top/>
      <bottom style="thin">
        <color rgb="FFA6A6A6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2" fillId="3" borderId="0">
      <alignment horizontal="left" vertical="top" wrapText="1"/>
    </xf>
    <xf numFmtId="0" fontId="2" fillId="3" borderId="0">
      <alignment horizontal="lef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3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3" fillId="4" borderId="0">
      <alignment horizontal="righ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7" fillId="0" borderId="0" applyNumberFormat="0" applyFill="0" applyBorder="0" applyAlignment="0" applyProtection="0"/>
    <xf numFmtId="0" fontId="4" fillId="5" borderId="0">
      <alignment horizontal="left" vertical="top" wrapText="1"/>
    </xf>
    <xf numFmtId="0" fontId="5" fillId="4" borderId="0">
      <alignment horizontal="left" vertical="top" wrapText="1"/>
    </xf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34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4" fontId="0" fillId="0" borderId="1" xfId="0" quotePrefix="1" applyNumberFormat="1" applyBorder="1" applyAlignment="1">
      <alignment horizontal="center" vertical="top" wrapText="1"/>
    </xf>
    <xf numFmtId="0" fontId="7" fillId="0" borderId="0" xfId="16" applyFill="1" applyAlignment="1">
      <alignment horizontal="left" vertical="top"/>
    </xf>
    <xf numFmtId="0" fontId="0" fillId="0" borderId="0" xfId="0" applyAlignment="1">
      <alignment horizontal="left" vertical="top"/>
    </xf>
    <xf numFmtId="0" fontId="8" fillId="0" borderId="0" xfId="0" applyFont="1" applyAlignment="1">
      <alignment horizontal="left" vertical="top"/>
    </xf>
    <xf numFmtId="164" fontId="8" fillId="0" borderId="0" xfId="0" applyNumberFormat="1" applyFont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left" vertical="top"/>
    </xf>
    <xf numFmtId="0" fontId="0" fillId="0" borderId="0" xfId="0" applyBorder="1" applyAlignment="1">
      <alignment horizontal="right" vertical="top"/>
    </xf>
    <xf numFmtId="0" fontId="12" fillId="6" borderId="3" xfId="0" applyFont="1" applyFill="1" applyBorder="1" applyAlignment="1">
      <alignment horizontal="left" vertical="top" wrapText="1"/>
    </xf>
    <xf numFmtId="0" fontId="1" fillId="0" borderId="0" xfId="0" applyFont="1" applyFill="1" applyBorder="1" applyAlignment="1">
      <alignment horizontal="left" vertical="top"/>
    </xf>
    <xf numFmtId="0" fontId="7" fillId="0" borderId="0" xfId="16" applyFill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Fill="1" applyBorder="1" applyAlignment="1">
      <alignment horizontal="right" vertical="top"/>
    </xf>
    <xf numFmtId="0" fontId="0" fillId="0" borderId="0" xfId="0"/>
    <xf numFmtId="0" fontId="9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6" borderId="4" xfId="0" applyFont="1" applyFill="1" applyBorder="1" applyAlignment="1">
      <alignment horizontal="right" vertical="top"/>
    </xf>
    <xf numFmtId="0" fontId="0" fillId="0" borderId="0" xfId="0" applyFont="1" applyFill="1" applyBorder="1" applyAlignment="1">
      <alignment horizontal="right" vertical="top"/>
    </xf>
    <xf numFmtId="0" fontId="0" fillId="0" borderId="0" xfId="0" applyBorder="1" applyAlignment="1">
      <alignment horizontal="right"/>
    </xf>
    <xf numFmtId="0" fontId="0" fillId="6" borderId="0" xfId="0" applyFont="1" applyFill="1" applyBorder="1" applyAlignment="1">
      <alignment horizontal="right" vertical="top"/>
    </xf>
    <xf numFmtId="0" fontId="0" fillId="0" borderId="4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6" xfId="0" applyBorder="1" applyAlignment="1">
      <alignment horizontal="right"/>
    </xf>
    <xf numFmtId="1" fontId="8" fillId="0" borderId="0" xfId="0" applyNumberFormat="1" applyFont="1" applyAlignment="1">
      <alignment horizontal="left" vertical="top"/>
    </xf>
    <xf numFmtId="0" fontId="0" fillId="0" borderId="0" xfId="0" applyAlignment="1">
      <alignment vertical="center" wrapText="1"/>
    </xf>
    <xf numFmtId="0" fontId="7" fillId="0" borderId="0" xfId="16"/>
    <xf numFmtId="0" fontId="0" fillId="0" borderId="0" xfId="0"/>
    <xf numFmtId="2" fontId="0" fillId="0" borderId="0" xfId="0" applyNumberFormat="1" applyBorder="1" applyAlignment="1">
      <alignment horizontal="right"/>
    </xf>
    <xf numFmtId="0" fontId="7" fillId="0" borderId="0" xfId="16"/>
    <xf numFmtId="0" fontId="1" fillId="6" borderId="0" xfId="0" applyFont="1" applyFill="1" applyBorder="1" applyAlignment="1">
      <alignment horizontal="right" vertical="top"/>
    </xf>
    <xf numFmtId="0" fontId="0" fillId="0" borderId="0" xfId="0" applyBorder="1"/>
    <xf numFmtId="0" fontId="1" fillId="6" borderId="4" xfId="0" applyFont="1" applyFill="1" applyBorder="1" applyAlignment="1">
      <alignment horizontal="right" vertical="top"/>
    </xf>
    <xf numFmtId="0" fontId="1" fillId="6" borderId="3" xfId="0" applyFont="1" applyFill="1" applyBorder="1" applyAlignment="1">
      <alignment horizontal="left" vertical="top"/>
    </xf>
    <xf numFmtId="0" fontId="0" fillId="6" borderId="3" xfId="0" applyFill="1" applyBorder="1"/>
    <xf numFmtId="0" fontId="0" fillId="6" borderId="5" xfId="0" applyFill="1" applyBorder="1"/>
    <xf numFmtId="0" fontId="0" fillId="6" borderId="3" xfId="0" applyFont="1" applyFill="1" applyBorder="1" applyAlignment="1">
      <alignment horizontal="left" vertical="top"/>
    </xf>
    <xf numFmtId="0" fontId="0" fillId="6" borderId="5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right"/>
    </xf>
    <xf numFmtId="0" fontId="0" fillId="6" borderId="8" xfId="0" applyFill="1" applyBorder="1" applyAlignment="1">
      <alignment horizontal="right" vertical="top"/>
    </xf>
    <xf numFmtId="0" fontId="0" fillId="6" borderId="7" xfId="0" applyFill="1" applyBorder="1" applyAlignment="1">
      <alignment horizontal="right" vertical="top"/>
    </xf>
    <xf numFmtId="0" fontId="0" fillId="6" borderId="0" xfId="0" applyFill="1" applyBorder="1" applyAlignment="1">
      <alignment horizontal="right" vertical="top"/>
    </xf>
    <xf numFmtId="0" fontId="0" fillId="6" borderId="4" xfId="0" applyFill="1" applyBorder="1" applyAlignment="1">
      <alignment horizontal="right" vertical="top"/>
    </xf>
    <xf numFmtId="0" fontId="0" fillId="0" borderId="0" xfId="0" applyFill="1" applyBorder="1" applyAlignment="1">
      <alignment horizontal="right" vertical="top" wrapText="1"/>
    </xf>
    <xf numFmtId="0" fontId="0" fillId="0" borderId="0" xfId="0" applyBorder="1" applyAlignment="1"/>
    <xf numFmtId="0" fontId="0" fillId="0" borderId="0" xfId="0" applyFill="1" applyBorder="1"/>
    <xf numFmtId="0" fontId="0" fillId="0" borderId="0" xfId="0" applyFont="1" applyFill="1" applyBorder="1" applyAlignment="1">
      <alignment horizontal="left" vertical="top"/>
    </xf>
    <xf numFmtId="0" fontId="0" fillId="6" borderId="4" xfId="0" applyFill="1" applyBorder="1"/>
    <xf numFmtId="9" fontId="0" fillId="0" borderId="0" xfId="19" applyFont="1" applyBorder="1" applyAlignment="1">
      <alignment horizontal="right" vertical="top"/>
    </xf>
    <xf numFmtId="0" fontId="0" fillId="6" borderId="0" xfId="0" applyFill="1" applyBorder="1" applyAlignment="1">
      <alignment horizontal="right" vertical="top" wrapText="1"/>
    </xf>
    <xf numFmtId="0" fontId="0" fillId="6" borderId="0" xfId="0" applyFill="1" applyBorder="1" applyAlignment="1">
      <alignment horizontal="right"/>
    </xf>
    <xf numFmtId="0" fontId="0" fillId="0" borderId="0" xfId="0" applyAlignment="1">
      <alignment horizontal="right"/>
    </xf>
    <xf numFmtId="2" fontId="0" fillId="0" borderId="0" xfId="0" applyNumberFormat="1" applyFill="1" applyBorder="1"/>
    <xf numFmtId="14" fontId="0" fillId="0" borderId="0" xfId="0" applyNumberFormat="1" applyFill="1" applyBorder="1"/>
    <xf numFmtId="0" fontId="0" fillId="6" borderId="0" xfId="0" applyFill="1" applyBorder="1"/>
    <xf numFmtId="0" fontId="0" fillId="6" borderId="8" xfId="0" applyFill="1" applyBorder="1" applyAlignment="1">
      <alignment horizontal="right"/>
    </xf>
    <xf numFmtId="0" fontId="1" fillId="6" borderId="3" xfId="0" applyFont="1" applyFill="1" applyBorder="1" applyAlignment="1">
      <alignment horizontal="right" vertical="top"/>
    </xf>
    <xf numFmtId="0" fontId="1" fillId="6" borderId="2" xfId="0" applyFont="1" applyFill="1" applyBorder="1" applyAlignment="1">
      <alignment horizontal="right" vertical="top"/>
    </xf>
    <xf numFmtId="0" fontId="0" fillId="0" borderId="0" xfId="0" applyFont="1" applyBorder="1" applyAlignment="1">
      <alignment horizontal="left" vertical="top"/>
    </xf>
    <xf numFmtId="0" fontId="0" fillId="6" borderId="7" xfId="0" applyFont="1" applyFill="1" applyBorder="1" applyAlignment="1">
      <alignment horizontal="right"/>
    </xf>
    <xf numFmtId="0" fontId="0" fillId="0" borderId="0" xfId="0" applyFont="1" applyBorder="1" applyAlignment="1">
      <alignment horizontal="right" vertical="top"/>
    </xf>
    <xf numFmtId="0" fontId="0" fillId="6" borderId="7" xfId="0" applyFont="1" applyFill="1" applyBorder="1" applyAlignment="1">
      <alignment horizontal="right" vertical="top"/>
    </xf>
    <xf numFmtId="0" fontId="0" fillId="6" borderId="8" xfId="0" applyFont="1" applyFill="1" applyBorder="1" applyAlignment="1">
      <alignment horizontal="right" vertical="top"/>
    </xf>
    <xf numFmtId="0" fontId="0" fillId="6" borderId="0" xfId="0" applyFill="1" applyAlignment="1">
      <alignment horizontal="left" vertical="top"/>
    </xf>
    <xf numFmtId="0" fontId="1" fillId="6" borderId="0" xfId="0" applyFont="1" applyFill="1" applyBorder="1" applyAlignment="1">
      <alignment horizontal="left" vertical="top"/>
    </xf>
    <xf numFmtId="0" fontId="12" fillId="6" borderId="2" xfId="0" applyFont="1" applyFill="1" applyBorder="1" applyAlignment="1">
      <alignment horizontal="right" vertical="top" wrapText="1"/>
    </xf>
    <xf numFmtId="0" fontId="0" fillId="0" borderId="3" xfId="0" applyBorder="1" applyAlignment="1">
      <alignment horizontal="right" vertical="top"/>
    </xf>
    <xf numFmtId="0" fontId="12" fillId="7" borderId="3" xfId="0" applyFont="1" applyFill="1" applyBorder="1" applyAlignment="1">
      <alignment horizontal="left" vertical="top" wrapText="1"/>
    </xf>
    <xf numFmtId="0" fontId="0" fillId="7" borderId="4" xfId="0" applyFont="1" applyFill="1" applyBorder="1" applyAlignment="1">
      <alignment horizontal="right" vertical="top"/>
    </xf>
    <xf numFmtId="164" fontId="0" fillId="0" borderId="0" xfId="0" applyNumberFormat="1" applyAlignment="1">
      <alignment horizontal="left" vertical="top"/>
    </xf>
    <xf numFmtId="2" fontId="0" fillId="0" borderId="4" xfId="0" applyNumberFormat="1" applyBorder="1" applyAlignment="1">
      <alignment horizontal="right"/>
    </xf>
    <xf numFmtId="164" fontId="0" fillId="0" borderId="4" xfId="0" applyNumberFormat="1" applyBorder="1" applyAlignment="1">
      <alignment horizontal="right"/>
    </xf>
    <xf numFmtId="165" fontId="0" fillId="0" borderId="0" xfId="19" applyNumberFormat="1" applyFont="1" applyAlignment="1">
      <alignment horizontal="left" vertical="top"/>
    </xf>
    <xf numFmtId="165" fontId="0" fillId="0" borderId="4" xfId="19" applyNumberFormat="1" applyFont="1" applyBorder="1" applyAlignment="1">
      <alignment horizontal="right"/>
    </xf>
    <xf numFmtId="0" fontId="0" fillId="0" borderId="0" xfId="0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10" fontId="0" fillId="0" borderId="0" xfId="19" applyNumberFormat="1" applyFont="1" applyAlignment="1">
      <alignment horizontal="left" vertical="center" wrapText="1"/>
    </xf>
    <xf numFmtId="165" fontId="0" fillId="0" borderId="0" xfId="19" applyNumberFormat="1" applyFont="1" applyAlignment="1">
      <alignment horizontal="left" vertical="center" wrapText="1"/>
    </xf>
    <xf numFmtId="165" fontId="0" fillId="0" borderId="0" xfId="19" applyNumberFormat="1" applyFont="1" applyBorder="1" applyAlignment="1">
      <alignment horizontal="left" vertical="top"/>
    </xf>
    <xf numFmtId="164" fontId="0" fillId="0" borderId="0" xfId="0" applyNumberFormat="1" applyBorder="1" applyAlignment="1">
      <alignment horizontal="left" vertical="top"/>
    </xf>
    <xf numFmtId="165" fontId="0" fillId="0" borderId="0" xfId="19" applyNumberFormat="1" applyFont="1" applyBorder="1" applyAlignment="1">
      <alignment horizontal="left"/>
    </xf>
    <xf numFmtId="165" fontId="0" fillId="0" borderId="0" xfId="19" applyNumberFormat="1" applyFont="1" applyBorder="1" applyAlignment="1">
      <alignment horizontal="right" vertical="top"/>
    </xf>
    <xf numFmtId="165" fontId="0" fillId="0" borderId="9" xfId="19" applyNumberFormat="1" applyFont="1" applyBorder="1" applyAlignment="1">
      <alignment horizontal="right" vertical="top"/>
    </xf>
    <xf numFmtId="164" fontId="0" fillId="0" borderId="0" xfId="0" applyNumberFormat="1" applyBorder="1" applyAlignment="1">
      <alignment horizontal="right"/>
    </xf>
    <xf numFmtId="165" fontId="0" fillId="0" borderId="0" xfId="19" applyNumberFormat="1" applyFont="1" applyBorder="1" applyAlignment="1">
      <alignment horizontal="right"/>
    </xf>
    <xf numFmtId="10" fontId="0" fillId="0" borderId="0" xfId="19" applyNumberFormat="1" applyFont="1" applyBorder="1" applyAlignment="1">
      <alignment horizontal="right"/>
    </xf>
    <xf numFmtId="0" fontId="7" fillId="0" borderId="0" xfId="16" applyAlignment="1">
      <alignment vertical="top"/>
    </xf>
    <xf numFmtId="0" fontId="1" fillId="6" borderId="3" xfId="0" applyFont="1" applyFill="1" applyBorder="1" applyAlignment="1">
      <alignment vertical="top"/>
    </xf>
    <xf numFmtId="10" fontId="0" fillId="6" borderId="3" xfId="19" applyNumberFormat="1" applyFont="1" applyFill="1" applyBorder="1" applyAlignment="1">
      <alignment horizontal="left" vertical="top"/>
    </xf>
    <xf numFmtId="10" fontId="0" fillId="6" borderId="5" xfId="19" applyNumberFormat="1" applyFont="1" applyFill="1" applyBorder="1" applyAlignment="1">
      <alignment horizontal="left" vertical="top"/>
    </xf>
    <xf numFmtId="165" fontId="0" fillId="0" borderId="4" xfId="19" applyNumberFormat="1" applyFont="1" applyBorder="1" applyAlignment="1">
      <alignment horizontal="right" vertical="top"/>
    </xf>
    <xf numFmtId="165" fontId="0" fillId="0" borderId="6" xfId="19" applyNumberFormat="1" applyFont="1" applyBorder="1" applyAlignment="1">
      <alignment horizontal="right" vertical="top"/>
    </xf>
    <xf numFmtId="1" fontId="0" fillId="6" borderId="3" xfId="19" applyNumberFormat="1" applyFont="1" applyFill="1" applyBorder="1" applyAlignment="1">
      <alignment horizontal="left" vertical="top"/>
    </xf>
    <xf numFmtId="1" fontId="0" fillId="6" borderId="5" xfId="19" applyNumberFormat="1" applyFont="1" applyFill="1" applyBorder="1" applyAlignment="1">
      <alignment horizontal="left" vertical="top"/>
    </xf>
    <xf numFmtId="164" fontId="0" fillId="0" borderId="0" xfId="19" applyNumberFormat="1" applyFont="1" applyAlignment="1">
      <alignment horizontal="left" vertical="center" wrapText="1"/>
    </xf>
    <xf numFmtId="164" fontId="0" fillId="0" borderId="0" xfId="19" applyNumberFormat="1" applyFont="1" applyBorder="1" applyAlignment="1">
      <alignment horizontal="right" vertical="top"/>
    </xf>
    <xf numFmtId="164" fontId="0" fillId="0" borderId="4" xfId="19" applyNumberFormat="1" applyFont="1" applyBorder="1" applyAlignment="1">
      <alignment horizontal="right" vertical="top"/>
    </xf>
    <xf numFmtId="164" fontId="0" fillId="0" borderId="9" xfId="19" applyNumberFormat="1" applyFont="1" applyBorder="1" applyAlignment="1">
      <alignment horizontal="right" vertical="top"/>
    </xf>
    <xf numFmtId="164" fontId="0" fillId="0" borderId="6" xfId="19" applyNumberFormat="1" applyFont="1" applyBorder="1" applyAlignment="1">
      <alignment horizontal="right" vertical="top"/>
    </xf>
    <xf numFmtId="0" fontId="0" fillId="0" borderId="4" xfId="0" applyBorder="1" applyAlignment="1">
      <alignment horizontal="right" vertical="top"/>
    </xf>
    <xf numFmtId="0" fontId="0" fillId="6" borderId="3" xfId="0" applyFill="1" applyBorder="1" applyAlignment="1">
      <alignment vertical="center" wrapText="1"/>
    </xf>
    <xf numFmtId="0" fontId="0" fillId="6" borderId="5" xfId="0" applyFill="1" applyBorder="1" applyAlignment="1">
      <alignment vertical="center" wrapText="1"/>
    </xf>
    <xf numFmtId="164" fontId="0" fillId="0" borderId="6" xfId="0" applyNumberFormat="1" applyBorder="1" applyAlignment="1">
      <alignment horizontal="right"/>
    </xf>
    <xf numFmtId="0" fontId="7" fillId="8" borderId="3" xfId="16" applyFill="1" applyBorder="1" applyAlignment="1">
      <alignment vertical="center" wrapText="1"/>
    </xf>
    <xf numFmtId="0" fontId="14" fillId="8" borderId="5" xfId="0" applyFont="1" applyFill="1" applyBorder="1" applyAlignment="1">
      <alignment horizontal="left" vertical="top"/>
    </xf>
    <xf numFmtId="0" fontId="1" fillId="6" borderId="2" xfId="0" applyFont="1" applyFill="1" applyBorder="1" applyAlignment="1">
      <alignment horizontal="right"/>
    </xf>
    <xf numFmtId="0" fontId="7" fillId="0" borderId="0" xfId="16"/>
    <xf numFmtId="14" fontId="0" fillId="6" borderId="3" xfId="0" applyNumberFormat="1" applyFill="1" applyBorder="1" applyAlignment="1">
      <alignment horizontal="left"/>
    </xf>
    <xf numFmtId="0" fontId="7" fillId="0" borderId="0" xfId="16"/>
    <xf numFmtId="14" fontId="0" fillId="6" borderId="5" xfId="0" applyNumberFormat="1" applyFill="1" applyBorder="1" applyAlignment="1">
      <alignment horizontal="left"/>
    </xf>
    <xf numFmtId="0" fontId="0" fillId="6" borderId="0" xfId="0" applyFont="1" applyFill="1" applyBorder="1" applyAlignment="1">
      <alignment horizontal="left" vertical="top"/>
    </xf>
    <xf numFmtId="0" fontId="0" fillId="6" borderId="0" xfId="0" applyFont="1" applyFill="1" applyBorder="1" applyAlignment="1">
      <alignment horizontal="right"/>
    </xf>
    <xf numFmtId="0" fontId="1" fillId="6" borderId="10" xfId="0" applyFont="1" applyFill="1" applyBorder="1" applyAlignment="1">
      <alignment horizontal="right"/>
    </xf>
    <xf numFmtId="0" fontId="0" fillId="6" borderId="11" xfId="0" applyFont="1" applyFill="1" applyBorder="1" applyAlignment="1">
      <alignment horizontal="right"/>
    </xf>
    <xf numFmtId="0" fontId="12" fillId="6" borderId="13" xfId="0" applyFont="1" applyFill="1" applyBorder="1" applyAlignment="1">
      <alignment horizontal="left" vertical="top" wrapText="1"/>
    </xf>
    <xf numFmtId="0" fontId="0" fillId="6" borderId="13" xfId="0" applyFont="1" applyFill="1" applyBorder="1" applyAlignment="1">
      <alignment horizontal="left" vertical="top"/>
    </xf>
    <xf numFmtId="0" fontId="0" fillId="6" borderId="13" xfId="0" applyFill="1" applyBorder="1" applyAlignment="1">
      <alignment vertical="center" wrapText="1"/>
    </xf>
    <xf numFmtId="0" fontId="0" fillId="6" borderId="15" xfId="0" applyFill="1" applyBorder="1" applyAlignment="1">
      <alignment vertical="center" wrapText="1"/>
    </xf>
    <xf numFmtId="1" fontId="0" fillId="0" borderId="0" xfId="0" applyNumberFormat="1" applyAlignment="1">
      <alignment horizontal="left" vertical="center" wrapText="1"/>
    </xf>
    <xf numFmtId="1" fontId="0" fillId="0" borderId="4" xfId="0" applyNumberFormat="1" applyBorder="1" applyAlignment="1">
      <alignment horizontal="right"/>
    </xf>
    <xf numFmtId="0" fontId="12" fillId="6" borderId="3" xfId="0" applyFont="1" applyFill="1" applyBorder="1" applyAlignment="1">
      <alignment horizontal="right" vertical="top" wrapText="1"/>
    </xf>
    <xf numFmtId="0" fontId="0" fillId="7" borderId="0" xfId="0" applyFont="1" applyFill="1" applyBorder="1" applyAlignment="1">
      <alignment horizontal="right" vertical="top"/>
    </xf>
    <xf numFmtId="1" fontId="0" fillId="0" borderId="0" xfId="0" applyNumberFormat="1" applyBorder="1" applyAlignment="1">
      <alignment horizontal="right"/>
    </xf>
    <xf numFmtId="165" fontId="0" fillId="0" borderId="0" xfId="19" applyNumberFormat="1" applyFont="1" applyAlignment="1">
      <alignment horizontal="right" vertical="top"/>
    </xf>
    <xf numFmtId="0" fontId="0" fillId="6" borderId="3" xfId="0" applyFill="1" applyBorder="1" applyAlignment="1">
      <alignment horizontal="left"/>
    </xf>
    <xf numFmtId="165" fontId="0" fillId="0" borderId="0" xfId="19" applyNumberFormat="1" applyFont="1" applyFill="1" applyBorder="1" applyAlignment="1">
      <alignment horizontal="left" vertical="top"/>
    </xf>
    <xf numFmtId="0" fontId="0" fillId="6" borderId="5" xfId="0" applyFill="1" applyBorder="1" applyAlignment="1">
      <alignment horizontal="left"/>
    </xf>
    <xf numFmtId="165" fontId="0" fillId="0" borderId="9" xfId="19" applyNumberFormat="1" applyFont="1" applyBorder="1" applyAlignment="1">
      <alignment horizontal="right"/>
    </xf>
    <xf numFmtId="165" fontId="0" fillId="0" borderId="6" xfId="19" applyNumberFormat="1" applyFont="1" applyBorder="1" applyAlignment="1">
      <alignment horizontal="right"/>
    </xf>
    <xf numFmtId="0" fontId="1" fillId="6" borderId="10" xfId="0" applyFont="1" applyFill="1" applyBorder="1" applyAlignment="1">
      <alignment horizontal="right" vertical="top"/>
    </xf>
    <xf numFmtId="0" fontId="0" fillId="6" borderId="11" xfId="0" applyFill="1" applyBorder="1" applyAlignment="1">
      <alignment horizontal="right"/>
    </xf>
    <xf numFmtId="0" fontId="1" fillId="6" borderId="13" xfId="0" applyFont="1" applyFill="1" applyBorder="1" applyAlignment="1">
      <alignment horizontal="left" vertical="top"/>
    </xf>
    <xf numFmtId="0" fontId="0" fillId="6" borderId="14" xfId="0" applyFill="1" applyBorder="1" applyAlignment="1">
      <alignment horizontal="right" vertical="top" wrapText="1"/>
    </xf>
    <xf numFmtId="0" fontId="0" fillId="6" borderId="13" xfId="0" applyFill="1" applyBorder="1" applyAlignment="1">
      <alignment horizontal="left"/>
    </xf>
    <xf numFmtId="165" fontId="0" fillId="0" borderId="14" xfId="19" applyNumberFormat="1" applyFont="1" applyBorder="1" applyAlignment="1">
      <alignment horizontal="right"/>
    </xf>
    <xf numFmtId="0" fontId="1" fillId="0" borderId="15" xfId="0" applyFont="1" applyFill="1" applyBorder="1"/>
    <xf numFmtId="165" fontId="0" fillId="0" borderId="16" xfId="19" applyNumberFormat="1" applyFont="1" applyBorder="1" applyAlignment="1">
      <alignment horizontal="right"/>
    </xf>
    <xf numFmtId="2" fontId="0" fillId="0" borderId="0" xfId="0" applyNumberFormat="1" applyAlignment="1">
      <alignment horizontal="right" vertical="top"/>
    </xf>
    <xf numFmtId="14" fontId="0" fillId="6" borderId="5" xfId="0" applyNumberFormat="1" applyFont="1" applyFill="1" applyBorder="1" applyAlignment="1">
      <alignment horizontal="left" vertical="top"/>
    </xf>
    <xf numFmtId="2" fontId="0" fillId="0" borderId="9" xfId="0" applyNumberFormat="1" applyBorder="1" applyAlignment="1">
      <alignment horizontal="right"/>
    </xf>
    <xf numFmtId="0" fontId="7" fillId="8" borderId="3" xfId="16" applyFill="1" applyBorder="1" applyAlignment="1">
      <alignment horizontal="left"/>
    </xf>
    <xf numFmtId="0" fontId="0" fillId="6" borderId="0" xfId="0" applyFill="1" applyBorder="1" applyAlignment="1">
      <alignment horizontal="left" vertical="top"/>
    </xf>
    <xf numFmtId="0" fontId="0" fillId="6" borderId="15" xfId="0" applyFont="1" applyFill="1" applyBorder="1" applyAlignment="1">
      <alignment horizontal="left" vertical="top"/>
    </xf>
    <xf numFmtId="0" fontId="7" fillId="8" borderId="13" xfId="16" applyFill="1" applyBorder="1" applyAlignment="1">
      <alignment vertical="center" wrapText="1"/>
    </xf>
    <xf numFmtId="165" fontId="0" fillId="6" borderId="13" xfId="19" applyNumberFormat="1" applyFont="1" applyFill="1" applyBorder="1" applyAlignment="1">
      <alignment horizontal="left" vertical="top"/>
    </xf>
    <xf numFmtId="164" fontId="0" fillId="6" borderId="13" xfId="0" applyNumberFormat="1" applyFont="1" applyFill="1" applyBorder="1" applyAlignment="1">
      <alignment horizontal="left" vertical="top"/>
    </xf>
    <xf numFmtId="165" fontId="7" fillId="8" borderId="13" xfId="16" applyNumberFormat="1" applyFill="1" applyBorder="1" applyAlignment="1">
      <alignment vertical="center" wrapText="1"/>
    </xf>
    <xf numFmtId="165" fontId="0" fillId="6" borderId="15" xfId="19" applyNumberFormat="1" applyFont="1" applyFill="1" applyBorder="1" applyAlignment="1">
      <alignment horizontal="left" vertical="top"/>
    </xf>
    <xf numFmtId="0" fontId="0" fillId="6" borderId="12" xfId="0" applyFont="1" applyFill="1" applyBorder="1" applyAlignment="1">
      <alignment horizontal="right"/>
    </xf>
    <xf numFmtId="0" fontId="1" fillId="6" borderId="14" xfId="0" applyFont="1" applyFill="1" applyBorder="1" applyAlignment="1">
      <alignment horizontal="right" vertical="top"/>
    </xf>
    <xf numFmtId="165" fontId="0" fillId="0" borderId="17" xfId="19" applyNumberFormat="1" applyFont="1" applyBorder="1" applyAlignment="1">
      <alignment horizontal="right"/>
    </xf>
    <xf numFmtId="0" fontId="0" fillId="0" borderId="13" xfId="0" applyBorder="1" applyAlignment="1">
      <alignment horizontal="right" vertical="top"/>
    </xf>
    <xf numFmtId="0" fontId="12" fillId="6" borderId="10" xfId="0" applyFont="1" applyFill="1" applyBorder="1" applyAlignment="1">
      <alignment horizontal="right" vertical="top" wrapText="1"/>
    </xf>
    <xf numFmtId="0" fontId="0" fillId="6" borderId="11" xfId="0" applyFont="1" applyFill="1" applyBorder="1" applyAlignment="1">
      <alignment horizontal="right" vertical="top"/>
    </xf>
    <xf numFmtId="0" fontId="1" fillId="6" borderId="13" xfId="0" applyFont="1" applyFill="1" applyBorder="1" applyAlignment="1">
      <alignment vertical="top"/>
    </xf>
    <xf numFmtId="0" fontId="0" fillId="0" borderId="13" xfId="0" applyBorder="1" applyAlignment="1">
      <alignment vertical="center" wrapText="1"/>
    </xf>
    <xf numFmtId="0" fontId="1" fillId="0" borderId="13" xfId="0" applyFont="1" applyBorder="1" applyAlignment="1">
      <alignment vertical="center" wrapText="1"/>
    </xf>
    <xf numFmtId="164" fontId="0" fillId="0" borderId="16" xfId="0" applyNumberFormat="1" applyBorder="1" applyAlignment="1">
      <alignment horizontal="right"/>
    </xf>
    <xf numFmtId="0" fontId="1" fillId="6" borderId="13" xfId="0" applyFont="1" applyFill="1" applyBorder="1" applyAlignment="1">
      <alignment horizontal="right" vertical="top"/>
    </xf>
    <xf numFmtId="0" fontId="0" fillId="6" borderId="14" xfId="0" applyFill="1" applyBorder="1" applyAlignment="1">
      <alignment horizontal="right" vertical="top"/>
    </xf>
    <xf numFmtId="0" fontId="0" fillId="6" borderId="14" xfId="0" applyFont="1" applyFill="1" applyBorder="1" applyAlignment="1">
      <alignment horizontal="right" vertical="top"/>
    </xf>
    <xf numFmtId="14" fontId="0" fillId="6" borderId="3" xfId="0" applyNumberFormat="1" applyFill="1" applyBorder="1" applyAlignment="1">
      <alignment horizontal="left" vertical="center" wrapText="1"/>
    </xf>
    <xf numFmtId="14" fontId="0" fillId="6" borderId="5" xfId="0" applyNumberFormat="1" applyFill="1" applyBorder="1" applyAlignment="1">
      <alignment horizontal="left" vertical="center" wrapText="1"/>
    </xf>
    <xf numFmtId="0" fontId="0" fillId="6" borderId="12" xfId="0" applyFont="1" applyFill="1" applyBorder="1" applyAlignment="1">
      <alignment horizontal="right" vertical="top"/>
    </xf>
    <xf numFmtId="0" fontId="12" fillId="7" borderId="13" xfId="0" applyFont="1" applyFill="1" applyBorder="1" applyAlignment="1">
      <alignment horizontal="left" vertical="top" wrapText="1"/>
    </xf>
    <xf numFmtId="0" fontId="0" fillId="7" borderId="14" xfId="0" applyFont="1" applyFill="1" applyBorder="1" applyAlignment="1">
      <alignment horizontal="right" vertical="top"/>
    </xf>
    <xf numFmtId="0" fontId="0" fillId="6" borderId="13" xfId="0" applyFill="1" applyBorder="1" applyAlignment="1">
      <alignment horizontal="left" vertical="top"/>
    </xf>
    <xf numFmtId="0" fontId="0" fillId="0" borderId="14" xfId="0" applyBorder="1" applyAlignment="1">
      <alignment horizontal="right"/>
    </xf>
    <xf numFmtId="0" fontId="0" fillId="7" borderId="13" xfId="0" applyFill="1" applyBorder="1" applyAlignment="1">
      <alignment horizontal="left" vertical="top"/>
    </xf>
    <xf numFmtId="0" fontId="1" fillId="7" borderId="13" xfId="0" applyFont="1" applyFill="1" applyBorder="1" applyAlignment="1">
      <alignment horizontal="left" vertical="top"/>
    </xf>
    <xf numFmtId="0" fontId="0" fillId="6" borderId="13" xfId="0" applyFill="1" applyBorder="1" applyAlignment="1">
      <alignment vertical="top"/>
    </xf>
    <xf numFmtId="164" fontId="0" fillId="0" borderId="14" xfId="0" applyNumberFormat="1" applyBorder="1" applyAlignment="1">
      <alignment horizontal="right"/>
    </xf>
    <xf numFmtId="0" fontId="0" fillId="6" borderId="14" xfId="0" applyFill="1" applyBorder="1" applyAlignment="1">
      <alignment horizontal="right"/>
    </xf>
    <xf numFmtId="2" fontId="0" fillId="0" borderId="14" xfId="0" applyNumberFormat="1" applyBorder="1" applyAlignment="1">
      <alignment horizontal="right"/>
    </xf>
    <xf numFmtId="0" fontId="0" fillId="6" borderId="3" xfId="0" applyFill="1" applyBorder="1" applyAlignment="1">
      <alignment horizontal="left" vertical="top"/>
    </xf>
    <xf numFmtId="0" fontId="0" fillId="0" borderId="14" xfId="0" applyBorder="1" applyAlignment="1">
      <alignment horizontal="right" vertical="top"/>
    </xf>
    <xf numFmtId="10" fontId="0" fillId="0" borderId="14" xfId="19" applyNumberFormat="1" applyFont="1" applyBorder="1" applyAlignment="1">
      <alignment horizontal="right"/>
    </xf>
    <xf numFmtId="164" fontId="0" fillId="0" borderId="17" xfId="0" applyNumberFormat="1" applyBorder="1" applyAlignment="1">
      <alignment horizontal="right"/>
    </xf>
    <xf numFmtId="0" fontId="0" fillId="6" borderId="13" xfId="0" applyFill="1" applyBorder="1"/>
    <xf numFmtId="0" fontId="0" fillId="6" borderId="15" xfId="0" applyFill="1" applyBorder="1"/>
    <xf numFmtId="0" fontId="1" fillId="6" borderId="13" xfId="0" applyFont="1" applyFill="1" applyBorder="1" applyAlignment="1">
      <alignment horizontal="right"/>
    </xf>
    <xf numFmtId="0" fontId="1" fillId="6" borderId="13" xfId="0" applyFont="1" applyFill="1" applyBorder="1"/>
    <xf numFmtId="2" fontId="0" fillId="0" borderId="0" xfId="0" applyNumberFormat="1" applyAlignment="1">
      <alignment horizontal="left" vertical="top"/>
    </xf>
    <xf numFmtId="2" fontId="0" fillId="0" borderId="0" xfId="0" applyNumberFormat="1" applyFont="1" applyFill="1" applyBorder="1" applyAlignment="1">
      <alignment horizontal="left" vertical="top"/>
    </xf>
    <xf numFmtId="2" fontId="0" fillId="7" borderId="9" xfId="0" applyNumberFormat="1" applyFont="1" applyFill="1" applyBorder="1" applyAlignment="1">
      <alignment horizontal="right" vertical="top"/>
    </xf>
    <xf numFmtId="2" fontId="0" fillId="7" borderId="6" xfId="0" applyNumberFormat="1" applyFont="1" applyFill="1" applyBorder="1" applyAlignment="1">
      <alignment horizontal="right" vertical="top"/>
    </xf>
    <xf numFmtId="0" fontId="7" fillId="0" borderId="0" xfId="16"/>
    <xf numFmtId="1" fontId="0" fillId="0" borderId="14" xfId="0" applyNumberFormat="1" applyBorder="1" applyAlignment="1">
      <alignment horizontal="right"/>
    </xf>
    <xf numFmtId="0" fontId="14" fillId="0" borderId="16" xfId="0" applyFont="1" applyBorder="1" applyAlignment="1">
      <alignment horizontal="right" vertical="top"/>
    </xf>
    <xf numFmtId="0" fontId="0" fillId="0" borderId="11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1" fillId="6" borderId="3" xfId="0" applyFont="1" applyFill="1" applyBorder="1" applyAlignment="1">
      <alignment horizontal="right"/>
    </xf>
    <xf numFmtId="0" fontId="11" fillId="0" borderId="0" xfId="0" applyFont="1" applyFill="1" applyBorder="1" applyAlignment="1">
      <alignment horizontal="left" vertical="top"/>
    </xf>
    <xf numFmtId="0" fontId="0" fillId="6" borderId="4" xfId="0" applyFill="1" applyBorder="1" applyAlignment="1">
      <alignment horizontal="right"/>
    </xf>
    <xf numFmtId="0" fontId="0" fillId="6" borderId="5" xfId="0" applyFill="1" applyBorder="1" applyAlignment="1">
      <alignment horizontal="left" vertical="top"/>
    </xf>
    <xf numFmtId="0" fontId="1" fillId="6" borderId="3" xfId="0" applyFont="1" applyFill="1" applyBorder="1"/>
    <xf numFmtId="0" fontId="0" fillId="9" borderId="11" xfId="0" applyFont="1" applyFill="1" applyBorder="1" applyAlignment="1">
      <alignment horizontal="right" vertical="top"/>
    </xf>
    <xf numFmtId="0" fontId="0" fillId="9" borderId="12" xfId="0" applyFont="1" applyFill="1" applyBorder="1" applyAlignment="1">
      <alignment horizontal="right" vertical="top"/>
    </xf>
    <xf numFmtId="0" fontId="0" fillId="9" borderId="11" xfId="0" applyFont="1" applyFill="1" applyBorder="1" applyAlignment="1">
      <alignment horizontal="right"/>
    </xf>
    <xf numFmtId="0" fontId="0" fillId="9" borderId="12" xfId="0" applyFont="1" applyFill="1" applyBorder="1" applyAlignment="1">
      <alignment horizontal="right"/>
    </xf>
    <xf numFmtId="0" fontId="0" fillId="10" borderId="11" xfId="0" applyFont="1" applyFill="1" applyBorder="1" applyAlignment="1">
      <alignment horizontal="right" vertical="top"/>
    </xf>
    <xf numFmtId="164" fontId="0" fillId="10" borderId="0" xfId="0" applyNumberFormat="1" applyFill="1" applyBorder="1" applyAlignment="1">
      <alignment horizontal="right"/>
    </xf>
    <xf numFmtId="0" fontId="0" fillId="11" borderId="12" xfId="0" applyFont="1" applyFill="1" applyBorder="1" applyAlignment="1">
      <alignment horizontal="right"/>
    </xf>
    <xf numFmtId="0" fontId="7" fillId="0" borderId="0" xfId="16"/>
    <xf numFmtId="0" fontId="0" fillId="0" borderId="0" xfId="19" applyNumberFormat="1" applyFont="1" applyAlignment="1">
      <alignment horizontal="left" vertical="center" wrapText="1"/>
    </xf>
    <xf numFmtId="0" fontId="0" fillId="0" borderId="4" xfId="19" applyNumberFormat="1" applyFont="1" applyBorder="1" applyAlignment="1">
      <alignment horizontal="right"/>
    </xf>
    <xf numFmtId="164" fontId="0" fillId="0" borderId="4" xfId="19" applyNumberFormat="1" applyFont="1" applyBorder="1" applyAlignment="1">
      <alignment horizontal="right"/>
    </xf>
    <xf numFmtId="0" fontId="7" fillId="8" borderId="3" xfId="16" applyFill="1" applyBorder="1" applyAlignment="1">
      <alignment horizontal="left" vertical="top"/>
    </xf>
    <xf numFmtId="0" fontId="0" fillId="0" borderId="0" xfId="20" applyNumberFormat="1" applyFont="1" applyAlignment="1">
      <alignment horizontal="left" vertical="center" wrapText="1"/>
    </xf>
    <xf numFmtId="0" fontId="0" fillId="0" borderId="6" xfId="19" applyNumberFormat="1" applyFont="1" applyBorder="1" applyAlignment="1">
      <alignment horizontal="right"/>
    </xf>
    <xf numFmtId="1" fontId="0" fillId="0" borderId="0" xfId="0" applyNumberFormat="1" applyAlignment="1">
      <alignment horizontal="left" vertical="top"/>
    </xf>
    <xf numFmtId="0" fontId="7" fillId="0" borderId="0" xfId="16"/>
    <xf numFmtId="0" fontId="0" fillId="6" borderId="15" xfId="0" applyFill="1" applyBorder="1" applyAlignment="1">
      <alignment horizontal="left"/>
    </xf>
    <xf numFmtId="10" fontId="0" fillId="0" borderId="0" xfId="19" applyNumberFormat="1" applyFont="1" applyFill="1" applyBorder="1" applyAlignment="1">
      <alignment horizontal="right"/>
    </xf>
    <xf numFmtId="2" fontId="0" fillId="0" borderId="0" xfId="0" applyNumberFormat="1" applyFill="1" applyBorder="1" applyAlignment="1">
      <alignment horizontal="right"/>
    </xf>
    <xf numFmtId="1" fontId="0" fillId="0" borderId="0" xfId="0" applyNumberFormat="1" applyFill="1" applyBorder="1" applyAlignment="1">
      <alignment horizontal="right"/>
    </xf>
    <xf numFmtId="1" fontId="0" fillId="0" borderId="0" xfId="0" applyNumberFormat="1" applyAlignment="1">
      <alignment horizontal="right" vertical="top"/>
    </xf>
    <xf numFmtId="2" fontId="0" fillId="0" borderId="0" xfId="0" applyNumberFormat="1" applyAlignment="1">
      <alignment horizontal="left" vertical="center"/>
    </xf>
    <xf numFmtId="0" fontId="0" fillId="6" borderId="11" xfId="0" applyFill="1" applyBorder="1" applyAlignment="1">
      <alignment horizontal="right" vertical="top"/>
    </xf>
    <xf numFmtId="0" fontId="0" fillId="6" borderId="12" xfId="0" applyFill="1" applyBorder="1" applyAlignment="1">
      <alignment horizontal="right" vertical="top"/>
    </xf>
    <xf numFmtId="14" fontId="0" fillId="6" borderId="13" xfId="0" applyNumberFormat="1" applyFill="1" applyBorder="1" applyAlignment="1">
      <alignment horizontal="left"/>
    </xf>
    <xf numFmtId="165" fontId="0" fillId="0" borderId="14" xfId="19" applyNumberFormat="1" applyFont="1" applyBorder="1" applyAlignment="1">
      <alignment horizontal="right" vertical="top"/>
    </xf>
    <xf numFmtId="14" fontId="0" fillId="6" borderId="15" xfId="0" applyNumberFormat="1" applyFill="1" applyBorder="1" applyAlignment="1">
      <alignment horizontal="left"/>
    </xf>
    <xf numFmtId="165" fontId="0" fillId="0" borderId="16" xfId="19" applyNumberFormat="1" applyFont="1" applyBorder="1" applyAlignment="1">
      <alignment horizontal="right" vertical="top"/>
    </xf>
    <xf numFmtId="165" fontId="0" fillId="0" borderId="17" xfId="19" applyNumberFormat="1" applyFont="1" applyBorder="1" applyAlignment="1">
      <alignment horizontal="right" vertical="top"/>
    </xf>
    <xf numFmtId="0" fontId="12" fillId="6" borderId="10" xfId="0" applyFont="1" applyFill="1" applyBorder="1" applyAlignment="1">
      <alignment horizontal="left" vertical="top" wrapText="1"/>
    </xf>
    <xf numFmtId="1" fontId="0" fillId="6" borderId="15" xfId="19" applyNumberFormat="1" applyFont="1" applyFill="1" applyBorder="1" applyAlignment="1">
      <alignment horizontal="left" vertical="top"/>
    </xf>
    <xf numFmtId="0" fontId="8" fillId="6" borderId="13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166" fontId="0" fillId="0" borderId="0" xfId="19" applyNumberFormat="1" applyFont="1" applyBorder="1" applyAlignment="1">
      <alignment horizontal="left" vertical="top"/>
    </xf>
    <xf numFmtId="165" fontId="0" fillId="0" borderId="0" xfId="19" applyNumberFormat="1" applyFont="1" applyBorder="1" applyAlignment="1">
      <alignment horizontal="left" vertical="center" wrapText="1"/>
    </xf>
    <xf numFmtId="10" fontId="0" fillId="0" borderId="0" xfId="0" applyNumberFormat="1" applyBorder="1" applyAlignment="1">
      <alignment horizontal="right" vertical="top"/>
    </xf>
    <xf numFmtId="165" fontId="15" fillId="0" borderId="0" xfId="0" applyNumberFormat="1" applyFont="1" applyFill="1" applyBorder="1" applyAlignment="1" applyProtection="1"/>
    <xf numFmtId="10" fontId="15" fillId="0" borderId="0" xfId="0" applyNumberFormat="1" applyFont="1" applyFill="1" applyBorder="1" applyAlignment="1" applyProtection="1"/>
    <xf numFmtId="2" fontId="0" fillId="12" borderId="0" xfId="0" applyNumberFormat="1" applyFill="1" applyBorder="1" applyAlignment="1">
      <alignment horizontal="right"/>
    </xf>
    <xf numFmtId="0" fontId="0" fillId="12" borderId="0" xfId="0" applyFill="1" applyBorder="1" applyAlignment="1">
      <alignment horizontal="right"/>
    </xf>
    <xf numFmtId="0" fontId="0" fillId="12" borderId="16" xfId="0" applyFill="1" applyBorder="1" applyAlignment="1">
      <alignment horizontal="right"/>
    </xf>
    <xf numFmtId="164" fontId="0" fillId="12" borderId="0" xfId="0" applyNumberFormat="1" applyFill="1" applyBorder="1" applyAlignment="1">
      <alignment horizontal="right"/>
    </xf>
    <xf numFmtId="10" fontId="0" fillId="12" borderId="0" xfId="19" applyNumberFormat="1" applyFont="1" applyFill="1" applyBorder="1" applyAlignment="1">
      <alignment horizontal="right"/>
    </xf>
    <xf numFmtId="167" fontId="1" fillId="12" borderId="16" xfId="19" applyNumberFormat="1" applyFont="1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0" fontId="0" fillId="6" borderId="4" xfId="0" applyFill="1" applyBorder="1" applyAlignment="1">
      <alignment horizontal="right" vertical="top" wrapText="1"/>
    </xf>
    <xf numFmtId="0" fontId="0" fillId="0" borderId="9" xfId="0" applyFill="1" applyBorder="1" applyAlignment="1">
      <alignment horizontal="right"/>
    </xf>
    <xf numFmtId="0" fontId="8" fillId="0" borderId="9" xfId="0" applyFont="1" applyBorder="1" applyAlignment="1">
      <alignment horizontal="right"/>
    </xf>
    <xf numFmtId="2" fontId="8" fillId="0" borderId="9" xfId="0" applyNumberFormat="1" applyFont="1" applyBorder="1" applyAlignment="1">
      <alignment horizontal="right"/>
    </xf>
    <xf numFmtId="2" fontId="8" fillId="0" borderId="6" xfId="0" applyNumberFormat="1" applyFont="1" applyBorder="1" applyAlignment="1">
      <alignment horizontal="right"/>
    </xf>
    <xf numFmtId="0" fontId="0" fillId="0" borderId="4" xfId="0" applyBorder="1" applyAlignment="1">
      <alignment horizontal="right" vertical="center" wrapText="1"/>
    </xf>
    <xf numFmtId="2" fontId="0" fillId="0" borderId="4" xfId="0" applyNumberFormat="1" applyBorder="1" applyAlignment="1">
      <alignment horizontal="right" vertical="center" wrapText="1"/>
    </xf>
    <xf numFmtId="0" fontId="0" fillId="0" borderId="6" xfId="0" applyBorder="1" applyAlignment="1">
      <alignment horizontal="right" vertical="center" wrapText="1"/>
    </xf>
    <xf numFmtId="3" fontId="0" fillId="0" borderId="4" xfId="0" applyNumberFormat="1" applyBorder="1" applyAlignment="1">
      <alignment horizontal="right" vertical="top"/>
    </xf>
    <xf numFmtId="0" fontId="0" fillId="0" borderId="0" xfId="0" applyAlignment="1">
      <alignment horizontal="right" vertical="center" wrapText="1"/>
    </xf>
    <xf numFmtId="165" fontId="0" fillId="0" borderId="0" xfId="19" applyNumberFormat="1" applyFont="1" applyAlignment="1">
      <alignment horizontal="right" vertical="center" wrapText="1"/>
    </xf>
    <xf numFmtId="164" fontId="0" fillId="0" borderId="0" xfId="0" applyNumberFormat="1" applyAlignment="1">
      <alignment horizontal="right" vertical="center" wrapText="1"/>
    </xf>
    <xf numFmtId="0" fontId="7" fillId="0" borderId="0" xfId="16"/>
    <xf numFmtId="0" fontId="7" fillId="0" borderId="0" xfId="16"/>
    <xf numFmtId="0" fontId="0" fillId="6" borderId="19" xfId="0" applyFont="1" applyFill="1" applyBorder="1" applyAlignment="1">
      <alignment horizontal="right" vertical="top"/>
    </xf>
    <xf numFmtId="0" fontId="0" fillId="6" borderId="19" xfId="0" applyFill="1" applyBorder="1"/>
    <xf numFmtId="43" fontId="0" fillId="12" borderId="19" xfId="20" applyFont="1" applyFill="1" applyBorder="1" applyAlignment="1">
      <alignment horizontal="right"/>
    </xf>
    <xf numFmtId="0" fontId="0" fillId="6" borderId="18" xfId="0" applyFont="1" applyFill="1" applyBorder="1" applyAlignment="1">
      <alignment horizontal="right" vertical="top"/>
    </xf>
    <xf numFmtId="0" fontId="0" fillId="6" borderId="18" xfId="0" applyFill="1" applyBorder="1"/>
    <xf numFmtId="0" fontId="0" fillId="12" borderId="18" xfId="0" applyFill="1" applyBorder="1" applyAlignment="1">
      <alignment horizontal="right"/>
    </xf>
    <xf numFmtId="168" fontId="0" fillId="0" borderId="0" xfId="19" applyNumberFormat="1" applyFont="1" applyFill="1" applyBorder="1" applyAlignment="1">
      <alignment horizontal="right"/>
    </xf>
    <xf numFmtId="167" fontId="0" fillId="0" borderId="0" xfId="19" applyNumberFormat="1" applyFont="1" applyFill="1" applyBorder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0" fontId="16" fillId="0" borderId="0" xfId="0" applyFont="1" applyBorder="1" applyAlignment="1">
      <alignment horizontal="left" vertical="top"/>
    </xf>
    <xf numFmtId="0" fontId="0" fillId="6" borderId="20" xfId="0" applyFont="1" applyFill="1" applyBorder="1" applyAlignment="1">
      <alignment horizontal="right" vertical="top"/>
    </xf>
    <xf numFmtId="0" fontId="0" fillId="6" borderId="21" xfId="0" applyFont="1" applyFill="1" applyBorder="1" applyAlignment="1">
      <alignment horizontal="right" vertical="top"/>
    </xf>
    <xf numFmtId="0" fontId="1" fillId="6" borderId="13" xfId="0" applyFont="1" applyFill="1" applyBorder="1" applyAlignment="1">
      <alignment horizontal="left"/>
    </xf>
    <xf numFmtId="0" fontId="0" fillId="6" borderId="14" xfId="0" applyFill="1" applyBorder="1"/>
    <xf numFmtId="0" fontId="0" fillId="6" borderId="13" xfId="0" applyNumberFormat="1" applyFont="1" applyFill="1" applyBorder="1" applyAlignment="1">
      <alignment horizontal="left" vertical="top"/>
    </xf>
    <xf numFmtId="43" fontId="0" fillId="12" borderId="22" xfId="20" applyFont="1" applyFill="1" applyBorder="1" applyAlignment="1">
      <alignment horizontal="right"/>
    </xf>
    <xf numFmtId="43" fontId="0" fillId="12" borderId="14" xfId="20" applyFont="1" applyFill="1" applyBorder="1" applyAlignment="1">
      <alignment horizontal="right"/>
    </xf>
    <xf numFmtId="43" fontId="0" fillId="12" borderId="17" xfId="20" applyFont="1" applyFill="1" applyBorder="1" applyAlignment="1">
      <alignment horizontal="right"/>
    </xf>
    <xf numFmtId="164" fontId="0" fillId="9" borderId="0" xfId="0" applyNumberFormat="1" applyFill="1" applyBorder="1" applyAlignment="1">
      <alignment horizontal="right"/>
    </xf>
    <xf numFmtId="0" fontId="17" fillId="0" borderId="0" xfId="0" applyFont="1" applyBorder="1" applyAlignment="1">
      <alignment horizontal="left" vertical="top"/>
    </xf>
    <xf numFmtId="0" fontId="0" fillId="0" borderId="0" xfId="0" applyBorder="1" applyAlignment="1">
      <alignment horizontal="left"/>
    </xf>
    <xf numFmtId="164" fontId="0" fillId="11" borderId="4" xfId="0" applyNumberFormat="1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10" fontId="8" fillId="0" borderId="0" xfId="0" applyNumberFormat="1" applyFont="1" applyFill="1" applyBorder="1" applyAlignment="1" applyProtection="1">
      <alignment horizontal="center"/>
    </xf>
    <xf numFmtId="0" fontId="0" fillId="13" borderId="14" xfId="0" applyFill="1" applyBorder="1" applyAlignment="1">
      <alignment horizontal="right"/>
    </xf>
    <xf numFmtId="2" fontId="0" fillId="13" borderId="14" xfId="0" applyNumberFormat="1" applyFill="1" applyBorder="1" applyAlignment="1">
      <alignment horizontal="right"/>
    </xf>
    <xf numFmtId="0" fontId="0" fillId="0" borderId="14" xfId="0" applyFill="1" applyBorder="1" applyAlignment="1">
      <alignment horizontal="right"/>
    </xf>
    <xf numFmtId="10" fontId="0" fillId="13" borderId="0" xfId="19" applyNumberFormat="1" applyFont="1" applyFill="1" applyBorder="1" applyAlignment="1">
      <alignment horizontal="right"/>
    </xf>
    <xf numFmtId="1" fontId="0" fillId="13" borderId="14" xfId="0" applyNumberFormat="1" applyFill="1" applyBorder="1" applyAlignment="1">
      <alignment horizontal="right"/>
    </xf>
    <xf numFmtId="165" fontId="0" fillId="13" borderId="0" xfId="19" applyNumberFormat="1" applyFont="1" applyFill="1" applyBorder="1" applyAlignment="1">
      <alignment horizontal="right"/>
    </xf>
    <xf numFmtId="10" fontId="0" fillId="13" borderId="9" xfId="19" applyNumberFormat="1" applyFont="1" applyFill="1" applyBorder="1" applyAlignment="1">
      <alignment horizontal="right"/>
    </xf>
    <xf numFmtId="10" fontId="0" fillId="13" borderId="4" xfId="19" applyNumberFormat="1" applyFont="1" applyFill="1" applyBorder="1" applyAlignment="1">
      <alignment horizontal="right"/>
    </xf>
    <xf numFmtId="0" fontId="0" fillId="13" borderId="9" xfId="0" applyFill="1" applyBorder="1" applyAlignment="1">
      <alignment horizontal="right"/>
    </xf>
    <xf numFmtId="0" fontId="0" fillId="13" borderId="4" xfId="0" applyFill="1" applyBorder="1" applyAlignment="1">
      <alignment horizontal="right"/>
    </xf>
    <xf numFmtId="0" fontId="0" fillId="13" borderId="16" xfId="0" applyFill="1" applyBorder="1" applyAlignment="1">
      <alignment horizontal="right"/>
    </xf>
    <xf numFmtId="0" fontId="0" fillId="0" borderId="0" xfId="0" applyAlignment="1">
      <alignment vertical="top"/>
    </xf>
    <xf numFmtId="0" fontId="8" fillId="6" borderId="13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top"/>
    </xf>
    <xf numFmtId="0" fontId="18" fillId="6" borderId="13" xfId="0" applyFont="1" applyFill="1" applyBorder="1" applyAlignment="1">
      <alignment horizontal="left" vertical="center"/>
    </xf>
    <xf numFmtId="0" fontId="18" fillId="0" borderId="14" xfId="0" applyFont="1" applyBorder="1" applyAlignment="1">
      <alignment horizontal="right"/>
    </xf>
    <xf numFmtId="0" fontId="18" fillId="0" borderId="0" xfId="0" applyFont="1" applyAlignment="1">
      <alignment horizontal="right" vertical="top"/>
    </xf>
    <xf numFmtId="0" fontId="18" fillId="0" borderId="0" xfId="0" applyFont="1" applyAlignment="1">
      <alignment vertical="top"/>
    </xf>
    <xf numFmtId="0" fontId="0" fillId="13" borderId="0" xfId="0" applyFill="1" applyAlignment="1">
      <alignment horizontal="right" vertical="center" wrapText="1"/>
    </xf>
    <xf numFmtId="0" fontId="0" fillId="12" borderId="23" xfId="0" applyFill="1" applyBorder="1" applyAlignment="1">
      <alignment horizontal="right"/>
    </xf>
    <xf numFmtId="169" fontId="0" fillId="0" borderId="0" xfId="0" applyNumberFormat="1" applyBorder="1" applyAlignment="1">
      <alignment horizontal="right" vertical="top"/>
    </xf>
    <xf numFmtId="0" fontId="7" fillId="0" borderId="0" xfId="16"/>
    <xf numFmtId="0" fontId="0" fillId="12" borderId="0" xfId="0" applyFill="1" applyAlignment="1">
      <alignment horizontal="right"/>
    </xf>
    <xf numFmtId="0" fontId="0" fillId="6" borderId="0" xfId="0" applyFont="1" applyFill="1" applyBorder="1" applyAlignment="1">
      <alignment horizontal="right" vertical="top"/>
    </xf>
    <xf numFmtId="164" fontId="0" fillId="9" borderId="4" xfId="0" applyNumberFormat="1" applyFill="1" applyBorder="1" applyAlignment="1">
      <alignment horizontal="left"/>
    </xf>
    <xf numFmtId="0" fontId="0" fillId="0" borderId="0" xfId="0" quotePrefix="1" applyFill="1" applyAlignment="1">
      <alignment horizontal="right" vertical="top"/>
    </xf>
    <xf numFmtId="167" fontId="0" fillId="11" borderId="0" xfId="19" applyNumberFormat="1" applyFont="1" applyFill="1" applyBorder="1" applyAlignment="1">
      <alignment horizontal="right"/>
    </xf>
    <xf numFmtId="0" fontId="0" fillId="14" borderId="0" xfId="0" applyFill="1" applyBorder="1" applyAlignment="1">
      <alignment horizontal="right"/>
    </xf>
    <xf numFmtId="167" fontId="0" fillId="14" borderId="0" xfId="19" applyNumberFormat="1" applyFont="1" applyFill="1" applyBorder="1" applyAlignment="1">
      <alignment horizontal="right"/>
    </xf>
    <xf numFmtId="0" fontId="0" fillId="15" borderId="0" xfId="0" applyFill="1"/>
    <xf numFmtId="0" fontId="0" fillId="15" borderId="3" xfId="0" applyFill="1" applyBorder="1" applyAlignment="1">
      <alignment vertical="center" wrapText="1"/>
    </xf>
    <xf numFmtId="0" fontId="0" fillId="15" borderId="4" xfId="0" applyFill="1" applyBorder="1" applyAlignment="1">
      <alignment horizontal="right"/>
    </xf>
    <xf numFmtId="0" fontId="0" fillId="15" borderId="13" xfId="0" applyFill="1" applyBorder="1" applyAlignment="1">
      <alignment horizontal="left"/>
    </xf>
    <xf numFmtId="0" fontId="0" fillId="15" borderId="13" xfId="0" applyFill="1" applyBorder="1"/>
    <xf numFmtId="165" fontId="19" fillId="9" borderId="17" xfId="0" applyNumberFormat="1" applyFont="1" applyFill="1" applyBorder="1" applyAlignment="1" applyProtection="1">
      <alignment horizontal="right"/>
    </xf>
    <xf numFmtId="165" fontId="19" fillId="0" borderId="17" xfId="0" applyNumberFormat="1" applyFont="1" applyFill="1" applyBorder="1" applyAlignment="1" applyProtection="1">
      <alignment horizontal="right"/>
    </xf>
    <xf numFmtId="0" fontId="19" fillId="16" borderId="24" xfId="0" applyNumberFormat="1" applyFont="1" applyFill="1" applyBorder="1" applyAlignment="1" applyProtection="1">
      <alignment horizontal="right"/>
    </xf>
    <xf numFmtId="167" fontId="19" fillId="16" borderId="0" xfId="0" applyNumberFormat="1" applyFont="1" applyFill="1" applyBorder="1" applyAlignment="1" applyProtection="1">
      <alignment horizontal="right"/>
    </xf>
    <xf numFmtId="0" fontId="19" fillId="16" borderId="0" xfId="0" applyNumberFormat="1" applyFont="1" applyFill="1" applyBorder="1" applyAlignment="1" applyProtection="1">
      <alignment horizontal="right"/>
    </xf>
    <xf numFmtId="167" fontId="19" fillId="16" borderId="25" xfId="0" applyNumberFormat="1" applyFont="1" applyFill="1" applyBorder="1" applyAlignment="1" applyProtection="1">
      <alignment horizontal="right"/>
    </xf>
    <xf numFmtId="0" fontId="19" fillId="16" borderId="26" xfId="0" applyNumberFormat="1" applyFont="1" applyFill="1" applyBorder="1" applyAlignment="1" applyProtection="1">
      <alignment horizontal="right"/>
    </xf>
    <xf numFmtId="167" fontId="19" fillId="16" borderId="27" xfId="0" applyNumberFormat="1" applyFont="1" applyFill="1" applyBorder="1" applyAlignment="1" applyProtection="1">
      <alignment horizontal="right"/>
    </xf>
    <xf numFmtId="0" fontId="19" fillId="16" borderId="27" xfId="0" applyNumberFormat="1" applyFont="1" applyFill="1" applyBorder="1" applyAlignment="1" applyProtection="1">
      <alignment horizontal="right"/>
    </xf>
    <xf numFmtId="167" fontId="19" fillId="16" borderId="28" xfId="0" applyNumberFormat="1" applyFont="1" applyFill="1" applyBorder="1" applyAlignment="1" applyProtection="1">
      <alignment horizontal="right"/>
    </xf>
    <xf numFmtId="164" fontId="0" fillId="0" borderId="14" xfId="0" applyNumberFormat="1" applyFill="1" applyBorder="1" applyAlignment="1">
      <alignment horizontal="right"/>
    </xf>
    <xf numFmtId="0" fontId="9" fillId="0" borderId="0" xfId="0" applyFont="1" applyAlignment="1">
      <alignment horizontal="center" vertical="center"/>
    </xf>
    <xf numFmtId="0" fontId="7" fillId="0" borderId="0" xfId="16" applyFont="1"/>
    <xf numFmtId="0" fontId="7" fillId="0" borderId="0" xfId="16"/>
  </cellXfs>
  <cellStyles count="21">
    <cellStyle name="BodyStyle00" xfId="1" xr:uid="{00000000-0005-0000-0000-000000000000}"/>
    <cellStyle name="BodyStyle01" xfId="2" xr:uid="{00000000-0005-0000-0000-000001000000}"/>
    <cellStyle name="BodyStyle010" xfId="13" xr:uid="{00000000-0005-0000-0000-000002000000}"/>
    <cellStyle name="BodyStyle011_aa_1" xfId="3" xr:uid="{00000000-0005-0000-0000-000003000000}"/>
    <cellStyle name="BodyStyle014_aa" xfId="4" xr:uid="{00000000-0005-0000-0000-000004000000}"/>
    <cellStyle name="BodyStyle015_aa" xfId="5" xr:uid="{00000000-0005-0000-0000-000005000000}"/>
    <cellStyle name="BodyStyle02_aa" xfId="6" xr:uid="{00000000-0005-0000-0000-000006000000}"/>
    <cellStyle name="BodyStyle03_aa" xfId="7" xr:uid="{00000000-0005-0000-0000-000007000000}"/>
    <cellStyle name="BodyStyle04" xfId="14" xr:uid="{00000000-0005-0000-0000-000008000000}"/>
    <cellStyle name="BodyStyle05" xfId="17" xr:uid="{00000000-0005-0000-0000-000009000000}"/>
    <cellStyle name="BodyStyle06" xfId="8" xr:uid="{00000000-0005-0000-0000-00000A000000}"/>
    <cellStyle name="BodyStyle06 2" xfId="9" xr:uid="{00000000-0005-0000-0000-00000B000000}"/>
    <cellStyle name="BodyStyle06 3" xfId="10" xr:uid="{00000000-0005-0000-0000-00000C000000}"/>
    <cellStyle name="BodyStyle06 4" xfId="11" xr:uid="{00000000-0005-0000-0000-00000D000000}"/>
    <cellStyle name="BodyStyle06 4 2" xfId="12" xr:uid="{00000000-0005-0000-0000-00000E000000}"/>
    <cellStyle name="BodyStyle07" xfId="15" xr:uid="{00000000-0005-0000-0000-00000F000000}"/>
    <cellStyle name="BodyStyle08" xfId="18" xr:uid="{00000000-0005-0000-0000-000010000000}"/>
    <cellStyle name="Comma" xfId="20" builtinId="3"/>
    <cellStyle name="Hyperlink" xfId="16" builtinId="8"/>
    <cellStyle name="Normal" xfId="0" builtinId="0"/>
    <cellStyle name="Percent" xfId="19" builtinId="5"/>
  </cellStyles>
  <dxfs count="3026"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theme="1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</dxfs>
  <tableStyles count="0" defaultTableStyle="TableStyleMedium2" defaultPivotStyle="PivotStyleLight16"/>
  <colors>
    <mruColors>
      <color rgb="FFFFFF99"/>
      <color rgb="FF0000FF"/>
      <color rgb="FF0033CC"/>
      <color rgb="FFA6A6A6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workbookViewId="0">
      <selection activeCell="G41" sqref="G41"/>
    </sheetView>
  </sheetViews>
  <sheetFormatPr defaultRowHeight="12.75" x14ac:dyDescent="0.2"/>
  <cols>
    <col min="1" max="1" width="3.42578125" customWidth="1"/>
    <col min="2" max="2" width="11.85546875" customWidth="1"/>
    <col min="3" max="3" width="26" customWidth="1"/>
    <col min="4" max="4" width="80" customWidth="1"/>
  </cols>
  <sheetData>
    <row r="1" spans="1:4" ht="20.25" customHeight="1" x14ac:dyDescent="0.2">
      <c r="A1" s="1" t="s">
        <v>1</v>
      </c>
      <c r="B1" s="2" t="s">
        <v>2</v>
      </c>
      <c r="C1" s="2" t="s">
        <v>3</v>
      </c>
      <c r="D1" s="3" t="s">
        <v>4</v>
      </c>
    </row>
    <row r="2" spans="1:4" x14ac:dyDescent="0.2">
      <c r="A2" s="4"/>
      <c r="B2" s="7"/>
      <c r="C2" s="7"/>
      <c r="D2" s="8"/>
    </row>
    <row r="3" spans="1:4" x14ac:dyDescent="0.2">
      <c r="A3" s="6"/>
      <c r="B3" s="13"/>
      <c r="C3" s="7"/>
      <c r="D3" s="5"/>
    </row>
    <row r="4" spans="1:4" x14ac:dyDescent="0.2">
      <c r="A4" s="6"/>
      <c r="B4" s="28"/>
      <c r="C4" s="9"/>
      <c r="D4" s="5"/>
    </row>
    <row r="5" spans="1:4" x14ac:dyDescent="0.2">
      <c r="A5" s="6"/>
      <c r="B5" s="28"/>
      <c r="C5" s="9"/>
      <c r="D5" s="5"/>
    </row>
    <row r="6" spans="1:4" x14ac:dyDescent="0.2">
      <c r="A6" s="6"/>
      <c r="B6" s="9"/>
      <c r="C6" s="9"/>
      <c r="D6" s="5"/>
    </row>
    <row r="7" spans="1:4" x14ac:dyDescent="0.2">
      <c r="A7" s="6"/>
      <c r="B7" s="9"/>
      <c r="C7" s="9"/>
      <c r="D7" s="5"/>
    </row>
    <row r="8" spans="1:4" x14ac:dyDescent="0.2">
      <c r="A8" s="6"/>
      <c r="B8" s="9"/>
      <c r="C8" s="9"/>
      <c r="D8" s="5"/>
    </row>
    <row r="9" spans="1:4" x14ac:dyDescent="0.2">
      <c r="A9" s="6"/>
      <c r="B9" s="9"/>
      <c r="C9" s="9"/>
      <c r="D9" s="5"/>
    </row>
    <row r="10" spans="1:4" x14ac:dyDescent="0.2">
      <c r="A10" s="6"/>
      <c r="B10" s="9"/>
      <c r="C10" s="9"/>
      <c r="D10" s="5"/>
    </row>
    <row r="11" spans="1:4" x14ac:dyDescent="0.2">
      <c r="A11" s="6"/>
      <c r="B11" s="9"/>
      <c r="C11" s="9"/>
      <c r="D11" s="5"/>
    </row>
    <row r="12" spans="1:4" x14ac:dyDescent="0.2">
      <c r="A12" s="6"/>
      <c r="B12" s="9"/>
      <c r="C12" s="9"/>
      <c r="D12" s="5"/>
    </row>
    <row r="13" spans="1:4" x14ac:dyDescent="0.2">
      <c r="A13" s="6"/>
      <c r="B13" s="9"/>
      <c r="C13" s="9"/>
      <c r="D13" s="5"/>
    </row>
    <row r="14" spans="1:4" x14ac:dyDescent="0.2">
      <c r="A14" s="6"/>
      <c r="B14" s="9"/>
      <c r="C14" s="9"/>
      <c r="D14" s="5"/>
    </row>
    <row r="15" spans="1:4" x14ac:dyDescent="0.2">
      <c r="A15" s="6"/>
      <c r="B15" s="9"/>
      <c r="C15" s="9"/>
      <c r="D15" s="5"/>
    </row>
    <row r="16" spans="1:4" x14ac:dyDescent="0.2">
      <c r="A16" s="6"/>
      <c r="B16" s="9"/>
      <c r="C16" s="9"/>
      <c r="D16" s="5"/>
    </row>
    <row r="17" spans="1:4" x14ac:dyDescent="0.2">
      <c r="A17" s="6"/>
      <c r="B17" s="9"/>
      <c r="C17" s="9"/>
      <c r="D17" s="5"/>
    </row>
    <row r="18" spans="1:4" x14ac:dyDescent="0.2">
      <c r="A18" s="6"/>
      <c r="B18" s="9"/>
      <c r="C18" s="9"/>
      <c r="D18" s="5"/>
    </row>
    <row r="19" spans="1:4" x14ac:dyDescent="0.2">
      <c r="A19" s="6"/>
      <c r="B19" s="9"/>
      <c r="C19" s="9"/>
      <c r="D19" s="5"/>
    </row>
    <row r="20" spans="1:4" x14ac:dyDescent="0.2">
      <c r="A20" s="6"/>
      <c r="B20" s="9"/>
      <c r="C20" s="9"/>
      <c r="D20" s="5"/>
    </row>
    <row r="21" spans="1:4" x14ac:dyDescent="0.2">
      <c r="A21" s="6"/>
      <c r="B21" s="9"/>
      <c r="C21" s="9"/>
      <c r="D21" s="5"/>
    </row>
    <row r="22" spans="1:4" x14ac:dyDescent="0.2">
      <c r="A22" s="6"/>
      <c r="B22" s="9"/>
      <c r="C22" s="9"/>
      <c r="D22" s="5"/>
    </row>
    <row r="23" spans="1:4" x14ac:dyDescent="0.2">
      <c r="A23" s="6"/>
      <c r="B23" s="9"/>
      <c r="C23" s="9"/>
      <c r="D23" s="5"/>
    </row>
    <row r="24" spans="1:4" x14ac:dyDescent="0.2">
      <c r="A24" s="6"/>
      <c r="B24" s="9"/>
      <c r="C24" s="9"/>
      <c r="D24" s="5"/>
    </row>
    <row r="25" spans="1:4" x14ac:dyDescent="0.2">
      <c r="A25" s="6"/>
      <c r="B25" s="9"/>
      <c r="C25" s="9"/>
      <c r="D25" s="5"/>
    </row>
    <row r="26" spans="1:4" x14ac:dyDescent="0.2">
      <c r="A26" s="6"/>
      <c r="B26" s="9"/>
      <c r="C26" s="9"/>
      <c r="D26" s="5"/>
    </row>
    <row r="27" spans="1:4" x14ac:dyDescent="0.2">
      <c r="A27" s="6"/>
      <c r="B27" s="9"/>
      <c r="C27" s="9"/>
      <c r="D27" s="5"/>
    </row>
    <row r="28" spans="1:4" x14ac:dyDescent="0.2">
      <c r="A28" s="6"/>
      <c r="B28" s="9"/>
      <c r="C28" s="9"/>
      <c r="D28" s="5"/>
    </row>
    <row r="29" spans="1:4" x14ac:dyDescent="0.2">
      <c r="A29" s="6"/>
      <c r="B29" s="9"/>
      <c r="C29" s="9"/>
      <c r="D29" s="5"/>
    </row>
    <row r="30" spans="1:4" x14ac:dyDescent="0.2">
      <c r="A30" s="6"/>
      <c r="B30" s="9"/>
      <c r="C30" s="9"/>
      <c r="D30" s="5"/>
    </row>
    <row r="31" spans="1:4" x14ac:dyDescent="0.2">
      <c r="A31" s="6"/>
      <c r="B31" s="9"/>
      <c r="C31" s="9"/>
      <c r="D31" s="5"/>
    </row>
    <row r="32" spans="1:4" x14ac:dyDescent="0.2">
      <c r="A32" s="6"/>
      <c r="B32" s="9"/>
      <c r="C32" s="9"/>
      <c r="D32" s="5"/>
    </row>
    <row r="33" spans="1:4" x14ac:dyDescent="0.2">
      <c r="A33" s="6"/>
      <c r="B33" s="9"/>
      <c r="C33" s="9"/>
      <c r="D33" s="5"/>
    </row>
    <row r="34" spans="1:4" x14ac:dyDescent="0.2">
      <c r="A34" s="6"/>
      <c r="B34" s="9"/>
      <c r="C34" s="9"/>
      <c r="D34" s="5"/>
    </row>
    <row r="35" spans="1:4" x14ac:dyDescent="0.2">
      <c r="A35" s="6"/>
      <c r="B35" s="9"/>
      <c r="C35" s="9"/>
      <c r="D35" s="5"/>
    </row>
    <row r="36" spans="1:4" x14ac:dyDescent="0.2">
      <c r="A36" s="6"/>
      <c r="B36" s="9"/>
      <c r="C36" s="9"/>
      <c r="D36" s="5"/>
    </row>
    <row r="37" spans="1:4" x14ac:dyDescent="0.2">
      <c r="A37" s="6"/>
      <c r="B37" s="9"/>
      <c r="C37" s="9"/>
      <c r="D37" s="5"/>
    </row>
    <row r="38" spans="1:4" x14ac:dyDescent="0.2">
      <c r="A38" s="6"/>
      <c r="B38" s="9"/>
      <c r="C38" s="9"/>
      <c r="D38" s="5"/>
    </row>
    <row r="39" spans="1:4" x14ac:dyDescent="0.2">
      <c r="A39" s="6"/>
      <c r="B39" s="9"/>
      <c r="C39" s="9"/>
      <c r="D39" s="5"/>
    </row>
    <row r="40" spans="1:4" x14ac:dyDescent="0.2">
      <c r="A40" s="6"/>
      <c r="B40" s="9"/>
      <c r="C40" s="9"/>
      <c r="D40" s="5"/>
    </row>
    <row r="41" spans="1:4" x14ac:dyDescent="0.2">
      <c r="A41" s="6"/>
      <c r="B41" s="9"/>
      <c r="C41" s="9"/>
      <c r="D41" s="5"/>
    </row>
    <row r="42" spans="1:4" x14ac:dyDescent="0.2">
      <c r="A42" s="6"/>
      <c r="B42" s="9"/>
      <c r="C42" s="9"/>
      <c r="D42" s="5"/>
    </row>
    <row r="43" spans="1:4" x14ac:dyDescent="0.2">
      <c r="A43" s="6"/>
      <c r="B43" s="9"/>
      <c r="C43" s="9"/>
      <c r="D43" s="5"/>
    </row>
    <row r="44" spans="1:4" x14ac:dyDescent="0.2">
      <c r="A44" s="6"/>
      <c r="B44" s="9"/>
      <c r="C44" s="9"/>
      <c r="D44" s="5"/>
    </row>
    <row r="45" spans="1:4" x14ac:dyDescent="0.2">
      <c r="A45" s="6"/>
      <c r="B45" s="9"/>
      <c r="C45" s="9"/>
      <c r="D45" s="5"/>
    </row>
    <row r="46" spans="1:4" x14ac:dyDescent="0.2">
      <c r="A46" s="6"/>
      <c r="B46" s="9"/>
      <c r="C46" s="9"/>
      <c r="D46" s="5"/>
    </row>
    <row r="47" spans="1:4" x14ac:dyDescent="0.2">
      <c r="A47" s="6"/>
      <c r="B47" s="9"/>
      <c r="C47" s="9"/>
      <c r="D47" s="5"/>
    </row>
    <row r="48" spans="1:4" x14ac:dyDescent="0.2">
      <c r="A48" s="6"/>
      <c r="B48" s="9"/>
      <c r="C48" s="9"/>
      <c r="D48" s="5"/>
    </row>
    <row r="49" spans="1:4" x14ac:dyDescent="0.2">
      <c r="A49" s="6"/>
      <c r="B49" s="9"/>
      <c r="C49" s="9"/>
      <c r="D49" s="5"/>
    </row>
    <row r="50" spans="1:4" x14ac:dyDescent="0.2">
      <c r="A50" s="6"/>
      <c r="B50" s="9"/>
      <c r="C50" s="9"/>
      <c r="D50" s="5"/>
    </row>
    <row r="51" spans="1:4" x14ac:dyDescent="0.2">
      <c r="A51" s="6"/>
      <c r="B51" s="9"/>
      <c r="C51" s="9"/>
      <c r="D51" s="5"/>
    </row>
    <row r="52" spans="1:4" x14ac:dyDescent="0.2">
      <c r="A52" s="6"/>
      <c r="B52" s="9"/>
      <c r="C52" s="9"/>
      <c r="D52" s="5"/>
    </row>
    <row r="53" spans="1:4" x14ac:dyDescent="0.2">
      <c r="A53" s="6"/>
      <c r="B53" s="9"/>
      <c r="C53" s="9"/>
      <c r="D53" s="5"/>
    </row>
    <row r="54" spans="1:4" x14ac:dyDescent="0.2">
      <c r="A54" s="6"/>
      <c r="B54" s="9"/>
      <c r="C54" s="9"/>
      <c r="D54" s="5"/>
    </row>
    <row r="55" spans="1:4" x14ac:dyDescent="0.2">
      <c r="A55" s="6"/>
      <c r="B55" s="9"/>
      <c r="C55" s="9"/>
      <c r="D55" s="5"/>
    </row>
    <row r="56" spans="1:4" x14ac:dyDescent="0.2">
      <c r="A56" s="6"/>
      <c r="B56" s="9"/>
      <c r="C56" s="9"/>
      <c r="D56" s="5"/>
    </row>
    <row r="57" spans="1:4" x14ac:dyDescent="0.2">
      <c r="A57" s="6"/>
      <c r="B57" s="9"/>
      <c r="C57" s="9"/>
      <c r="D57" s="5"/>
    </row>
    <row r="58" spans="1:4" x14ac:dyDescent="0.2">
      <c r="A58" s="6"/>
      <c r="B58" s="9"/>
      <c r="C58" s="9"/>
      <c r="D58" s="5"/>
    </row>
    <row r="59" spans="1:4" x14ac:dyDescent="0.2">
      <c r="A59" s="6"/>
      <c r="B59" s="9"/>
      <c r="C59" s="9"/>
      <c r="D59" s="5"/>
    </row>
    <row r="60" spans="1:4" x14ac:dyDescent="0.2">
      <c r="A60" s="6"/>
      <c r="B60" s="9"/>
      <c r="C60" s="9"/>
      <c r="D60" s="5"/>
    </row>
    <row r="61" spans="1:4" x14ac:dyDescent="0.2">
      <c r="A61" s="6"/>
      <c r="B61" s="9"/>
      <c r="C61" s="9"/>
      <c r="D61" s="5"/>
    </row>
    <row r="62" spans="1:4" x14ac:dyDescent="0.2">
      <c r="A62" s="6"/>
      <c r="B62" s="9"/>
      <c r="C62" s="9"/>
      <c r="D62" s="5"/>
    </row>
    <row r="63" spans="1:4" x14ac:dyDescent="0.2">
      <c r="A63" s="6"/>
      <c r="B63" s="9"/>
      <c r="C63" s="9"/>
      <c r="D63" s="5"/>
    </row>
    <row r="64" spans="1:4" x14ac:dyDescent="0.2">
      <c r="A64" s="6"/>
      <c r="B64" s="9"/>
      <c r="C64" s="9"/>
      <c r="D64" s="5"/>
    </row>
    <row r="65" spans="1:4" x14ac:dyDescent="0.2">
      <c r="A65" s="6"/>
      <c r="B65" s="9"/>
      <c r="C65" s="9"/>
      <c r="D65" s="5"/>
    </row>
    <row r="66" spans="1:4" x14ac:dyDescent="0.2">
      <c r="A66" s="6"/>
      <c r="B66" s="9"/>
      <c r="C66" s="9"/>
      <c r="D66" s="5"/>
    </row>
    <row r="67" spans="1:4" x14ac:dyDescent="0.2">
      <c r="A67" s="6"/>
      <c r="B67" s="9"/>
      <c r="C67" s="9"/>
      <c r="D67" s="5"/>
    </row>
    <row r="68" spans="1:4" x14ac:dyDescent="0.2">
      <c r="A68" s="6"/>
      <c r="B68" s="9"/>
      <c r="C68" s="9"/>
      <c r="D68" s="5"/>
    </row>
    <row r="69" spans="1:4" x14ac:dyDescent="0.2">
      <c r="A69" s="6"/>
      <c r="B69" s="9"/>
      <c r="C69" s="9"/>
      <c r="D69" s="5"/>
    </row>
    <row r="70" spans="1:4" x14ac:dyDescent="0.2">
      <c r="A70" s="6"/>
      <c r="B70" s="9"/>
      <c r="C70" s="9"/>
      <c r="D70" s="5"/>
    </row>
    <row r="71" spans="1:4" x14ac:dyDescent="0.2">
      <c r="A71" s="6"/>
      <c r="B71" s="9"/>
      <c r="C71" s="9"/>
      <c r="D71" s="5"/>
    </row>
    <row r="72" spans="1:4" x14ac:dyDescent="0.2">
      <c r="A72" s="6"/>
      <c r="B72" s="9"/>
      <c r="C72" s="9"/>
      <c r="D72" s="5"/>
    </row>
    <row r="73" spans="1:4" x14ac:dyDescent="0.2">
      <c r="A73" s="6"/>
      <c r="B73" s="9"/>
      <c r="C73" s="9"/>
      <c r="D73" s="5"/>
    </row>
    <row r="74" spans="1:4" x14ac:dyDescent="0.2">
      <c r="A74" s="6"/>
      <c r="B74" s="9"/>
      <c r="C74" s="9"/>
      <c r="D74" s="5"/>
    </row>
    <row r="75" spans="1:4" x14ac:dyDescent="0.2">
      <c r="A75" s="6"/>
      <c r="B75" s="9"/>
      <c r="C75" s="9"/>
      <c r="D75" s="5"/>
    </row>
    <row r="76" spans="1:4" x14ac:dyDescent="0.2">
      <c r="A76" s="6"/>
      <c r="B76" s="9"/>
      <c r="C76" s="9"/>
      <c r="D76" s="5"/>
    </row>
    <row r="77" spans="1:4" x14ac:dyDescent="0.2">
      <c r="A77" s="6"/>
      <c r="B77" s="9"/>
      <c r="C77" s="9"/>
      <c r="D77" s="5"/>
    </row>
    <row r="78" spans="1:4" x14ac:dyDescent="0.2">
      <c r="A78" s="6"/>
      <c r="B78" s="9"/>
      <c r="C78" s="9"/>
      <c r="D78" s="5"/>
    </row>
    <row r="79" spans="1:4" x14ac:dyDescent="0.2">
      <c r="A79" s="6"/>
      <c r="B79" s="9"/>
      <c r="C79" s="9"/>
      <c r="D79" s="5"/>
    </row>
    <row r="80" spans="1:4" x14ac:dyDescent="0.2">
      <c r="A80" s="6"/>
      <c r="B80" s="9"/>
      <c r="C80" s="9"/>
      <c r="D80" s="5"/>
    </row>
    <row r="81" spans="1:4" x14ac:dyDescent="0.2">
      <c r="A81" s="6"/>
      <c r="B81" s="9"/>
      <c r="C81" s="9"/>
      <c r="D81" s="5"/>
    </row>
    <row r="82" spans="1:4" x14ac:dyDescent="0.2">
      <c r="A82" s="6"/>
      <c r="B82" s="9"/>
      <c r="C82" s="9"/>
      <c r="D82" s="5"/>
    </row>
    <row r="83" spans="1:4" x14ac:dyDescent="0.2">
      <c r="A83" s="6"/>
      <c r="B83" s="9"/>
      <c r="C83" s="9"/>
      <c r="D83" s="5"/>
    </row>
    <row r="84" spans="1:4" x14ac:dyDescent="0.2">
      <c r="A84" s="6"/>
      <c r="B84" s="9"/>
      <c r="C84" s="9"/>
      <c r="D84" s="5"/>
    </row>
    <row r="85" spans="1:4" x14ac:dyDescent="0.2">
      <c r="A85" s="6"/>
      <c r="B85" s="9"/>
      <c r="C85" s="9"/>
      <c r="D85" s="5"/>
    </row>
    <row r="86" spans="1:4" x14ac:dyDescent="0.2">
      <c r="A86" s="6"/>
      <c r="B86" s="9"/>
      <c r="C86" s="9"/>
      <c r="D86" s="5"/>
    </row>
    <row r="87" spans="1:4" x14ac:dyDescent="0.2">
      <c r="A87" s="6"/>
      <c r="B87" s="9"/>
      <c r="C87" s="9"/>
      <c r="D87" s="5"/>
    </row>
    <row r="88" spans="1:4" x14ac:dyDescent="0.2">
      <c r="A88" s="6"/>
      <c r="B88" s="9"/>
      <c r="C88" s="9"/>
      <c r="D88" s="5"/>
    </row>
    <row r="89" spans="1:4" x14ac:dyDescent="0.2">
      <c r="A89" s="6"/>
      <c r="B89" s="9"/>
      <c r="C89" s="9"/>
      <c r="D89" s="5"/>
    </row>
    <row r="90" spans="1:4" x14ac:dyDescent="0.2">
      <c r="A90" s="6"/>
      <c r="B90" s="9"/>
      <c r="C90" s="9"/>
      <c r="D90" s="5"/>
    </row>
    <row r="91" spans="1:4" x14ac:dyDescent="0.2">
      <c r="A91" s="6"/>
      <c r="B91" s="9"/>
      <c r="C91" s="9"/>
      <c r="D91" s="5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5"/>
  <sheetViews>
    <sheetView showGridLines="0" workbookViewId="0">
      <selection sqref="A1:C2"/>
    </sheetView>
  </sheetViews>
  <sheetFormatPr defaultRowHeight="12.75" x14ac:dyDescent="0.2"/>
  <cols>
    <col min="1" max="1" width="7.5703125" customWidth="1"/>
    <col min="2" max="2" width="27.5703125" bestFit="1" customWidth="1"/>
    <col min="3" max="3" width="16.42578125" customWidth="1"/>
    <col min="4" max="4" width="15.42578125" customWidth="1"/>
    <col min="5" max="5" width="11.5703125" customWidth="1"/>
    <col min="6" max="6" width="11.42578125" customWidth="1"/>
  </cols>
  <sheetData>
    <row r="1" spans="1:6" x14ac:dyDescent="0.2">
      <c r="A1" s="338" t="s">
        <v>7</v>
      </c>
      <c r="B1" s="338"/>
      <c r="C1" s="338"/>
      <c r="D1" s="10"/>
      <c r="E1" s="10"/>
      <c r="F1" s="10"/>
    </row>
    <row r="2" spans="1:6" x14ac:dyDescent="0.2">
      <c r="A2" s="338"/>
      <c r="B2" s="338"/>
      <c r="C2" s="338"/>
      <c r="D2" s="10"/>
      <c r="E2" s="10"/>
      <c r="F2" s="10"/>
    </row>
    <row r="3" spans="1:6" s="26" customFormat="1" ht="12.75" customHeight="1" x14ac:dyDescent="0.2">
      <c r="A3" s="27"/>
      <c r="B3" s="27"/>
      <c r="C3" s="27"/>
      <c r="D3" s="10"/>
      <c r="E3" s="10"/>
      <c r="F3" s="10"/>
    </row>
    <row r="4" spans="1:6" x14ac:dyDescent="0.2">
      <c r="A4" s="339" t="s">
        <v>317</v>
      </c>
      <c r="B4" s="339"/>
    </row>
    <row r="5" spans="1:6" x14ac:dyDescent="0.2">
      <c r="B5" s="340" t="s">
        <v>317</v>
      </c>
      <c r="C5" s="340"/>
    </row>
    <row r="6" spans="1:6" s="39" customFormat="1" x14ac:dyDescent="0.2">
      <c r="B6" s="340" t="s">
        <v>329</v>
      </c>
      <c r="C6" s="340"/>
    </row>
    <row r="7" spans="1:6" s="39" customFormat="1" x14ac:dyDescent="0.2">
      <c r="B7" s="340" t="s">
        <v>330</v>
      </c>
      <c r="C7" s="340"/>
    </row>
    <row r="9" spans="1:6" s="39" customFormat="1" x14ac:dyDescent="0.2">
      <c r="A9" s="340" t="s">
        <v>284</v>
      </c>
      <c r="B9" s="340"/>
    </row>
    <row r="10" spans="1:6" s="39" customFormat="1" x14ac:dyDescent="0.2">
      <c r="B10" s="340" t="s">
        <v>284</v>
      </c>
      <c r="C10" s="340"/>
    </row>
    <row r="11" spans="1:6" s="39" customFormat="1" x14ac:dyDescent="0.2"/>
    <row r="12" spans="1:6" s="39" customFormat="1" x14ac:dyDescent="0.2">
      <c r="A12" s="339" t="s">
        <v>318</v>
      </c>
      <c r="B12" s="339"/>
    </row>
    <row r="13" spans="1:6" s="39" customFormat="1" x14ac:dyDescent="0.2">
      <c r="B13" s="340" t="s">
        <v>389</v>
      </c>
      <c r="C13" s="340"/>
    </row>
    <row r="14" spans="1:6" s="39" customFormat="1" x14ac:dyDescent="0.2">
      <c r="B14" s="340" t="s">
        <v>390</v>
      </c>
      <c r="C14" s="340"/>
    </row>
    <row r="15" spans="1:6" s="39" customFormat="1" x14ac:dyDescent="0.2">
      <c r="B15" s="340" t="s">
        <v>391</v>
      </c>
      <c r="C15" s="340"/>
    </row>
    <row r="16" spans="1:6" s="39" customFormat="1" x14ac:dyDescent="0.2">
      <c r="B16" s="340" t="s">
        <v>331</v>
      </c>
      <c r="C16" s="340"/>
    </row>
    <row r="17" spans="1:3" s="39" customFormat="1" x14ac:dyDescent="0.2">
      <c r="B17" s="41"/>
      <c r="C17" s="41"/>
    </row>
    <row r="18" spans="1:3" s="39" customFormat="1" x14ac:dyDescent="0.2">
      <c r="A18" s="340" t="s">
        <v>441</v>
      </c>
      <c r="B18" s="340"/>
      <c r="C18" s="121"/>
    </row>
    <row r="19" spans="1:3" s="39" customFormat="1" x14ac:dyDescent="0.2">
      <c r="B19" s="121" t="s">
        <v>441</v>
      </c>
      <c r="C19" s="121"/>
    </row>
    <row r="20" spans="1:3" s="39" customFormat="1" x14ac:dyDescent="0.2">
      <c r="B20" s="121"/>
      <c r="C20" s="121"/>
    </row>
    <row r="21" spans="1:3" s="39" customFormat="1" x14ac:dyDescent="0.2">
      <c r="A21" s="340" t="s">
        <v>372</v>
      </c>
      <c r="B21" s="340"/>
    </row>
    <row r="22" spans="1:3" s="39" customFormat="1" x14ac:dyDescent="0.2">
      <c r="B22" s="340" t="s">
        <v>372</v>
      </c>
      <c r="C22" s="340"/>
    </row>
    <row r="23" spans="1:3" s="39" customFormat="1" x14ac:dyDescent="0.2">
      <c r="B23" s="41"/>
      <c r="C23" s="41"/>
    </row>
    <row r="24" spans="1:3" x14ac:dyDescent="0.2">
      <c r="A24" s="339" t="s">
        <v>486</v>
      </c>
      <c r="B24" s="339"/>
    </row>
    <row r="25" spans="1:3" x14ac:dyDescent="0.2">
      <c r="B25" s="340" t="s">
        <v>487</v>
      </c>
      <c r="C25" s="340"/>
    </row>
    <row r="26" spans="1:3" s="39" customFormat="1" x14ac:dyDescent="0.2">
      <c r="B26" s="340" t="s">
        <v>488</v>
      </c>
      <c r="C26" s="340"/>
    </row>
    <row r="27" spans="1:3" s="39" customFormat="1" x14ac:dyDescent="0.2">
      <c r="B27" s="38"/>
      <c r="C27" s="38"/>
    </row>
    <row r="28" spans="1:3" s="39" customFormat="1" x14ac:dyDescent="0.2">
      <c r="A28" s="339" t="s">
        <v>319</v>
      </c>
      <c r="B28" s="339"/>
    </row>
    <row r="29" spans="1:3" s="39" customFormat="1" x14ac:dyDescent="0.2">
      <c r="B29" s="340" t="s">
        <v>397</v>
      </c>
      <c r="C29" s="340"/>
    </row>
    <row r="30" spans="1:3" s="39" customFormat="1" x14ac:dyDescent="0.2">
      <c r="B30" s="41"/>
      <c r="C30" s="41"/>
    </row>
    <row r="31" spans="1:3" s="39" customFormat="1" x14ac:dyDescent="0.2">
      <c r="A31" s="339" t="s">
        <v>320</v>
      </c>
      <c r="B31" s="339"/>
    </row>
    <row r="32" spans="1:3" s="39" customFormat="1" x14ac:dyDescent="0.2">
      <c r="B32" s="340" t="s">
        <v>398</v>
      </c>
      <c r="C32" s="340"/>
    </row>
    <row r="33" spans="1:3" s="39" customFormat="1" x14ac:dyDescent="0.2">
      <c r="B33" s="340" t="s">
        <v>399</v>
      </c>
      <c r="C33" s="340"/>
    </row>
    <row r="34" spans="1:3" s="39" customFormat="1" x14ac:dyDescent="0.2">
      <c r="B34" s="340" t="s">
        <v>400</v>
      </c>
      <c r="C34" s="340"/>
    </row>
    <row r="35" spans="1:3" s="39" customFormat="1" x14ac:dyDescent="0.2">
      <c r="B35" s="340" t="s">
        <v>401</v>
      </c>
      <c r="C35" s="340"/>
    </row>
    <row r="36" spans="1:3" s="39" customFormat="1" x14ac:dyDescent="0.2">
      <c r="B36" s="340" t="s">
        <v>566</v>
      </c>
      <c r="C36" s="340"/>
    </row>
    <row r="37" spans="1:3" s="39" customFormat="1" x14ac:dyDescent="0.2">
      <c r="B37" s="41"/>
      <c r="C37" s="41"/>
    </row>
    <row r="38" spans="1:3" x14ac:dyDescent="0.2">
      <c r="A38" s="339" t="s">
        <v>321</v>
      </c>
      <c r="B38" s="339"/>
      <c r="C38" s="39"/>
    </row>
    <row r="39" spans="1:3" x14ac:dyDescent="0.2">
      <c r="A39" s="39"/>
      <c r="B39" s="340" t="s">
        <v>433</v>
      </c>
      <c r="C39" s="340"/>
    </row>
    <row r="40" spans="1:3" x14ac:dyDescent="0.2">
      <c r="B40" s="340" t="s">
        <v>434</v>
      </c>
      <c r="C40" s="340"/>
    </row>
    <row r="41" spans="1:3" x14ac:dyDescent="0.2">
      <c r="B41" s="340" t="s">
        <v>435</v>
      </c>
      <c r="C41" s="340"/>
    </row>
    <row r="42" spans="1:3" x14ac:dyDescent="0.2">
      <c r="B42" s="340" t="s">
        <v>436</v>
      </c>
      <c r="C42" s="340"/>
    </row>
    <row r="43" spans="1:3" x14ac:dyDescent="0.2">
      <c r="B43" s="340" t="s">
        <v>437</v>
      </c>
      <c r="C43" s="340"/>
    </row>
    <row r="44" spans="1:3" x14ac:dyDescent="0.2">
      <c r="B44" s="340" t="s">
        <v>438</v>
      </c>
      <c r="C44" s="340"/>
    </row>
    <row r="45" spans="1:3" x14ac:dyDescent="0.2">
      <c r="B45" s="340" t="s">
        <v>439</v>
      </c>
      <c r="C45" s="340"/>
    </row>
  </sheetData>
  <mergeCells count="34">
    <mergeCell ref="B10:C10"/>
    <mergeCell ref="A28:B28"/>
    <mergeCell ref="B26:C26"/>
    <mergeCell ref="B29:C29"/>
    <mergeCell ref="B33:C33"/>
    <mergeCell ref="B34:C34"/>
    <mergeCell ref="A31:B31"/>
    <mergeCell ref="B32:C32"/>
    <mergeCell ref="B45:C45"/>
    <mergeCell ref="B40:C40"/>
    <mergeCell ref="B42:C42"/>
    <mergeCell ref="B44:C44"/>
    <mergeCell ref="B35:C35"/>
    <mergeCell ref="B36:C36"/>
    <mergeCell ref="A38:B38"/>
    <mergeCell ref="B39:C39"/>
    <mergeCell ref="B41:C41"/>
    <mergeCell ref="B43:C43"/>
    <mergeCell ref="A1:C2"/>
    <mergeCell ref="A4:B4"/>
    <mergeCell ref="B5:C5"/>
    <mergeCell ref="A24:B24"/>
    <mergeCell ref="B25:C25"/>
    <mergeCell ref="A12:B12"/>
    <mergeCell ref="B13:C13"/>
    <mergeCell ref="A18:B18"/>
    <mergeCell ref="B6:C6"/>
    <mergeCell ref="B7:C7"/>
    <mergeCell ref="B14:C14"/>
    <mergeCell ref="B15:C15"/>
    <mergeCell ref="B16:C16"/>
    <mergeCell ref="A21:B21"/>
    <mergeCell ref="B22:C22"/>
    <mergeCell ref="A9:B9"/>
  </mergeCells>
  <hyperlinks>
    <hyperlink ref="A4" location="Scenarios!A1" display="2. Scenarios" xr:uid="{00000000-0004-0000-0100-000000000000}"/>
    <hyperlink ref="A24" location="Generation!A1" display="3. Generation" xr:uid="{00000000-0004-0000-0100-000001000000}"/>
    <hyperlink ref="B5:C5" location="'Asset Run Control'!B7" display="Asset Run Control: General" xr:uid="{00000000-0004-0000-0100-000002000000}"/>
    <hyperlink ref="B25:C25" location="'Asset Groups'!B7" display="Asset Groups: Control" xr:uid="{00000000-0004-0000-0100-000003000000}"/>
    <hyperlink ref="A4:B4" location="'Asset Run Control'!A1" display="1. Asset Run Control" xr:uid="{00000000-0004-0000-0100-000004000000}"/>
    <hyperlink ref="A24:B24" location="'Asset Groups'!A1" display="2. Asset Groups" xr:uid="{00000000-0004-0000-0100-000005000000}"/>
    <hyperlink ref="A38" location="Generation!A1" display="3. Generation" xr:uid="{00000000-0004-0000-0100-000006000000}"/>
    <hyperlink ref="B39:C39" location="'Purch Bond Defn'!A1" display="Purchased Assets Bond" xr:uid="{00000000-0004-0000-0100-000007000000}"/>
    <hyperlink ref="A38:B38" location="'Purch Bond Defn'!A1" display="Purchase Asset Definitions" xr:uid="{00000000-0004-0000-0100-000008000000}"/>
    <hyperlink ref="B40:C40" location="'Purch Mtg Defn'!A1" display="Purchase Mortgage Definitions" xr:uid="{00000000-0004-0000-0100-000009000000}"/>
    <hyperlink ref="B41:C41" location="'Purch Sec Defn'!A1" display="Purchase Securitized Asset Definitions" xr:uid="{00000000-0004-0000-0100-00000A000000}"/>
    <hyperlink ref="B42:C42" location="'Purch Ird Defn'!A1" display="Purchase Interest Rate Derivative Definitions" xr:uid="{00000000-0004-0000-0100-00000B000000}"/>
    <hyperlink ref="B43:C43" location="'Purch Re Defn'!A1" display="Purchase Real Estate Definitions" xr:uid="{00000000-0004-0000-0100-00000C000000}"/>
    <hyperlink ref="B44:C44" location="'Purch Eqt Defn'!A1" display="Purchase Equity Definitions" xr:uid="{00000000-0004-0000-0100-00000D000000}"/>
    <hyperlink ref="B45:C45" location="'Purch Eio Defn'!A1" display="Purchase Index Option Definitions" xr:uid="{00000000-0004-0000-0100-00000E000000}"/>
    <hyperlink ref="A12" location="Scenarios!A1" display="2. Scenarios" xr:uid="{00000000-0004-0000-0100-00000F000000}"/>
    <hyperlink ref="B13:C13" location="Decrements!B7" display="Default/Refinance/Restructure/Foreclosure" xr:uid="{00000000-0004-0000-0100-000010000000}"/>
    <hyperlink ref="A12:B12" location="Decrements!A1" display="2. Decrements" xr:uid="{00000000-0004-0000-0100-000011000000}"/>
    <hyperlink ref="B14:C15" location="'Asset Run Control'!B3" display="1.1. Asset Run Control" xr:uid="{00000000-0004-0000-0100-000012000000}"/>
    <hyperlink ref="B14:C14" location="Decrements!B25" display="Sinking Fund Payments" xr:uid="{00000000-0004-0000-0100-000013000000}"/>
    <hyperlink ref="B15:C15" location="Decrements!B28" display="Call/Put/Prepayments" xr:uid="{00000000-0004-0000-0100-000014000000}"/>
    <hyperlink ref="A21" location="Generation!A1" display="3. Generation" xr:uid="{00000000-0004-0000-0100-000015000000}"/>
    <hyperlink ref="B22:C22" location="'Balance Sheet'!B7" display="Asset Balance Sheet" xr:uid="{00000000-0004-0000-0100-000016000000}"/>
    <hyperlink ref="A21:B21" location="'Balance Sheet'!A1" display="Balance Sheet" xr:uid="{00000000-0004-0000-0100-000017000000}"/>
    <hyperlink ref="A28" location="Generation!A1" display="3. Generation" xr:uid="{00000000-0004-0000-0100-000018000000}"/>
    <hyperlink ref="B29:C29" location="RefinanceForeclosureRestructure!B7" display="Refinance Restructure Foreclosure Investments" xr:uid="{00000000-0004-0000-0100-000019000000}"/>
    <hyperlink ref="A28:B28" location="RefinanceForeclosureRestructure!A1" display="5. Refinance Forclosure Restructure" xr:uid="{00000000-0004-0000-0100-00001A000000}"/>
    <hyperlink ref="A31" location="Generation!A1" display="3. Generation" xr:uid="{00000000-0004-0000-0100-00001B000000}"/>
    <hyperlink ref="B32:C32" location="Strategy!B8" display="Strategy : Control" xr:uid="{00000000-0004-0000-0100-00001C000000}"/>
    <hyperlink ref="A31:B31" location="Strategy!A1" display="6. Strategy" xr:uid="{00000000-0004-0000-0100-00001D000000}"/>
    <hyperlink ref="B33:C33" location="Strategy!B20" display="Strategy : Definitions" xr:uid="{00000000-0004-0000-0100-00001E000000}"/>
    <hyperlink ref="B34:C36" location="RefinanceForeclosureRestructure!B11" display="5.2. Refinance Restructure Adjustments" xr:uid="{00000000-0004-0000-0100-00001F000000}"/>
    <hyperlink ref="B34:C34" location="Strategy!B23" display="Strategy : Planned" xr:uid="{00000000-0004-0000-0100-000020000000}"/>
    <hyperlink ref="B35:C35" location="Strategy!B27" display="Strategy : Economic" xr:uid="{00000000-0004-0000-0100-000021000000}"/>
    <hyperlink ref="B36:C36" location="Strategy!B29" display="Strateg : Sales" xr:uid="{00000000-0004-0000-0100-000022000000}"/>
    <hyperlink ref="B16:C16" location="Decrements!B50" display="ADCo" xr:uid="{00000000-0004-0000-0100-000023000000}"/>
    <hyperlink ref="B6:C6" location="'Asset Run Control'!B23" display="Asset Run Control : ADCo" xr:uid="{00000000-0004-0000-0100-000024000000}"/>
    <hyperlink ref="B7:C7" location="'Asset Run Control'!B31" display="Asset Run Control : Intex" xr:uid="{00000000-0004-0000-0100-000025000000}"/>
    <hyperlink ref="A18:B18" location="'Sec Cash Flows'!A1" display="Securitized Asset Cash Flows" xr:uid="{00000000-0004-0000-0100-000026000000}"/>
    <hyperlink ref="B19" location="SecuritizedAssetCashFlows" display="Securitized Asset Cash Flows" xr:uid="{00000000-0004-0000-0100-000027000000}"/>
    <hyperlink ref="A9" location="Scenarios!A1" display="2. Scenarios" xr:uid="{00000000-0004-0000-0100-000028000000}"/>
    <hyperlink ref="B10:C10" location="Cash" display="Cash" xr:uid="{00000000-0004-0000-0100-000029000000}"/>
    <hyperlink ref="A9:B9" location="Cash!A1" display="Cash" xr:uid="{00000000-0004-0000-0100-00002A000000}"/>
    <hyperlink ref="B26:C26" location="'Asset Groups'!B11" display="Asset Groups: Definitions" xr:uid="{00000000-0004-0000-0100-00002B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0"/>
  <sheetViews>
    <sheetView showGridLines="0" workbookViewId="0">
      <selection activeCell="B1" sqref="B1:B1048576"/>
    </sheetView>
  </sheetViews>
  <sheetFormatPr defaultColWidth="45.5703125" defaultRowHeight="12.75" x14ac:dyDescent="0.2"/>
  <cols>
    <col min="1" max="1" width="27.85546875" style="15" customWidth="1"/>
    <col min="2" max="2" width="32.5703125" style="12" customWidth="1"/>
    <col min="3" max="3" width="28" style="12" bestFit="1" customWidth="1"/>
    <col min="4" max="4" width="8.85546875" style="12" customWidth="1"/>
    <col min="5" max="5" width="10.28515625" style="12" customWidth="1"/>
    <col min="6" max="6" width="17.28515625" style="12" customWidth="1"/>
    <col min="7" max="16384" width="45.5703125" style="12"/>
  </cols>
  <sheetData>
    <row r="1" spans="1:6" ht="15.75" x14ac:dyDescent="0.2">
      <c r="A1" s="14" t="s">
        <v>9</v>
      </c>
      <c r="B1" s="19" t="s">
        <v>44</v>
      </c>
    </row>
    <row r="2" spans="1:6" x14ac:dyDescent="0.2">
      <c r="B2" s="58"/>
    </row>
    <row r="3" spans="1:6" x14ac:dyDescent="0.2">
      <c r="B3" s="18" t="str">
        <f ca="1">GetNameRange(B4)</f>
        <v>AssetRunControl</v>
      </c>
    </row>
    <row r="4" spans="1:6" x14ac:dyDescent="0.2">
      <c r="A4" s="75"/>
      <c r="B4" s="165" t="s">
        <v>10</v>
      </c>
      <c r="C4" s="176" t="s">
        <v>448</v>
      </c>
    </row>
    <row r="5" spans="1:6" x14ac:dyDescent="0.2">
      <c r="A5" s="76" t="s">
        <v>8</v>
      </c>
      <c r="B5" s="127" t="s">
        <v>0</v>
      </c>
      <c r="C5" s="173"/>
    </row>
    <row r="6" spans="1:6" x14ac:dyDescent="0.2">
      <c r="A6" s="22"/>
      <c r="B6" s="177"/>
      <c r="C6" s="178"/>
    </row>
    <row r="7" spans="1:6" x14ac:dyDescent="0.2">
      <c r="A7" s="22"/>
      <c r="B7" s="177" t="s">
        <v>317</v>
      </c>
      <c r="C7" s="178"/>
    </row>
    <row r="8" spans="1:6" x14ac:dyDescent="0.2">
      <c r="A8" s="15" t="s">
        <v>45</v>
      </c>
      <c r="B8" s="179" t="s">
        <v>11</v>
      </c>
      <c r="C8" s="180" t="s">
        <v>120</v>
      </c>
    </row>
    <row r="9" spans="1:6" x14ac:dyDescent="0.2">
      <c r="A9" s="15">
        <v>9999</v>
      </c>
      <c r="B9" s="179" t="s">
        <v>12</v>
      </c>
      <c r="C9" s="180">
        <v>9999</v>
      </c>
    </row>
    <row r="10" spans="1:6" x14ac:dyDescent="0.2">
      <c r="A10" s="15" t="s">
        <v>37</v>
      </c>
      <c r="B10" s="179" t="s">
        <v>13</v>
      </c>
      <c r="C10" s="180" t="s">
        <v>455</v>
      </c>
    </row>
    <row r="11" spans="1:6" x14ac:dyDescent="0.2">
      <c r="A11" s="15" t="s">
        <v>37</v>
      </c>
      <c r="B11" s="179" t="s">
        <v>14</v>
      </c>
      <c r="C11" s="180" t="s">
        <v>37</v>
      </c>
    </row>
    <row r="12" spans="1:6" x14ac:dyDescent="0.2">
      <c r="A12" s="15" t="s">
        <v>38</v>
      </c>
      <c r="B12" s="179" t="s">
        <v>15</v>
      </c>
      <c r="C12" s="180" t="s">
        <v>38</v>
      </c>
    </row>
    <row r="13" spans="1:6" x14ac:dyDescent="0.2">
      <c r="A13" s="15" t="s">
        <v>39</v>
      </c>
      <c r="B13" s="179" t="s">
        <v>16</v>
      </c>
      <c r="C13" s="180" t="s">
        <v>39</v>
      </c>
      <c r="D13" s="12" t="s">
        <v>676</v>
      </c>
      <c r="E13" s="304" t="s">
        <v>691</v>
      </c>
    </row>
    <row r="14" spans="1:6" x14ac:dyDescent="0.2">
      <c r="A14" s="16" t="s">
        <v>5</v>
      </c>
      <c r="B14" s="305" t="s">
        <v>692</v>
      </c>
      <c r="C14" s="180" t="s">
        <v>41</v>
      </c>
      <c r="E14" s="304"/>
    </row>
    <row r="15" spans="1:6" s="309" customFormat="1" x14ac:dyDescent="0.2">
      <c r="A15" s="306" t="s">
        <v>5</v>
      </c>
      <c r="B15" s="307" t="s">
        <v>693</v>
      </c>
      <c r="C15" s="308" t="s">
        <v>41</v>
      </c>
      <c r="E15" s="310"/>
    </row>
    <row r="16" spans="1:6" s="309" customFormat="1" x14ac:dyDescent="0.2">
      <c r="A16" s="16" t="s">
        <v>223</v>
      </c>
      <c r="B16" s="179" t="s">
        <v>694</v>
      </c>
      <c r="C16" s="180" t="s">
        <v>223</v>
      </c>
      <c r="D16" s="12" t="s">
        <v>697</v>
      </c>
      <c r="E16" s="12" t="s">
        <v>696</v>
      </c>
      <c r="F16" s="12" t="s">
        <v>695</v>
      </c>
    </row>
    <row r="17" spans="1:6" x14ac:dyDescent="0.2">
      <c r="A17" s="16" t="s">
        <v>5</v>
      </c>
      <c r="B17" s="179" t="s">
        <v>17</v>
      </c>
      <c r="C17" s="180" t="s">
        <v>5</v>
      </c>
      <c r="D17" s="180" t="s">
        <v>41</v>
      </c>
      <c r="E17" s="180" t="s">
        <v>41</v>
      </c>
      <c r="F17" s="180" t="s">
        <v>5</v>
      </c>
    </row>
    <row r="18" spans="1:6" x14ac:dyDescent="0.2">
      <c r="A18" s="16" t="s">
        <v>5</v>
      </c>
      <c r="B18" s="179" t="s">
        <v>18</v>
      </c>
      <c r="C18" s="180" t="s">
        <v>5</v>
      </c>
      <c r="D18" s="180" t="s">
        <v>41</v>
      </c>
      <c r="E18" s="180" t="s">
        <v>41</v>
      </c>
      <c r="F18" s="180" t="s">
        <v>5</v>
      </c>
    </row>
    <row r="19" spans="1:6" x14ac:dyDescent="0.2">
      <c r="A19" s="15" t="s">
        <v>6</v>
      </c>
      <c r="B19" s="179" t="s">
        <v>19</v>
      </c>
      <c r="C19" s="180" t="s">
        <v>6</v>
      </c>
      <c r="D19" s="180" t="s">
        <v>6</v>
      </c>
      <c r="E19" s="180" t="s">
        <v>6</v>
      </c>
      <c r="F19" s="180" t="s">
        <v>6</v>
      </c>
    </row>
    <row r="20" spans="1:6" x14ac:dyDescent="0.2">
      <c r="A20" s="15" t="s">
        <v>6</v>
      </c>
      <c r="B20" s="179" t="s">
        <v>20</v>
      </c>
      <c r="C20" s="180" t="s">
        <v>6</v>
      </c>
      <c r="D20" s="180" t="s">
        <v>6</v>
      </c>
      <c r="E20" s="180" t="s">
        <v>49</v>
      </c>
      <c r="F20" s="180" t="s">
        <v>6</v>
      </c>
    </row>
    <row r="21" spans="1:6" x14ac:dyDescent="0.2">
      <c r="A21" s="36">
        <v>9999</v>
      </c>
      <c r="B21" s="179" t="s">
        <v>21</v>
      </c>
      <c r="C21" s="180">
        <v>1</v>
      </c>
      <c r="D21" s="180">
        <v>1</v>
      </c>
      <c r="E21" s="180">
        <v>1</v>
      </c>
      <c r="F21" s="180">
        <v>1</v>
      </c>
    </row>
    <row r="22" spans="1:6" x14ac:dyDescent="0.2">
      <c r="A22" s="36">
        <v>9999</v>
      </c>
      <c r="B22" s="179" t="s">
        <v>22</v>
      </c>
      <c r="C22" s="180">
        <v>1</v>
      </c>
      <c r="D22" s="180">
        <v>360</v>
      </c>
      <c r="E22" s="180">
        <v>36</v>
      </c>
      <c r="F22" s="180">
        <v>360</v>
      </c>
    </row>
    <row r="23" spans="1:6" x14ac:dyDescent="0.2">
      <c r="A23" s="36"/>
      <c r="B23" s="181"/>
      <c r="C23" s="180"/>
    </row>
    <row r="24" spans="1:6" x14ac:dyDescent="0.2">
      <c r="A24" s="36"/>
      <c r="B24" s="182" t="s">
        <v>322</v>
      </c>
      <c r="C24" s="180"/>
    </row>
    <row r="25" spans="1:6" x14ac:dyDescent="0.2">
      <c r="A25" s="37" t="s">
        <v>40</v>
      </c>
      <c r="B25" s="179" t="s">
        <v>23</v>
      </c>
      <c r="C25" s="180" t="s">
        <v>40</v>
      </c>
    </row>
    <row r="26" spans="1:6" x14ac:dyDescent="0.2">
      <c r="A26" s="17" t="s">
        <v>41</v>
      </c>
      <c r="B26" s="179" t="s">
        <v>24</v>
      </c>
      <c r="C26" s="180" t="s">
        <v>41</v>
      </c>
    </row>
    <row r="27" spans="1:6" x14ac:dyDescent="0.2">
      <c r="A27" s="17" t="s">
        <v>5</v>
      </c>
      <c r="B27" s="179" t="s">
        <v>25</v>
      </c>
      <c r="C27" s="180" t="s">
        <v>5</v>
      </c>
    </row>
    <row r="28" spans="1:6" x14ac:dyDescent="0.2">
      <c r="A28" s="17" t="s">
        <v>6</v>
      </c>
      <c r="B28" s="179" t="s">
        <v>26</v>
      </c>
      <c r="C28" s="180" t="s">
        <v>6</v>
      </c>
      <c r="D28" s="20"/>
    </row>
    <row r="29" spans="1:6" x14ac:dyDescent="0.2">
      <c r="A29" s="36">
        <v>999</v>
      </c>
      <c r="B29" s="179" t="s">
        <v>27</v>
      </c>
      <c r="C29" s="180">
        <v>999</v>
      </c>
    </row>
    <row r="30" spans="1:6" x14ac:dyDescent="0.2">
      <c r="A30" s="36">
        <v>999</v>
      </c>
      <c r="B30" s="179" t="s">
        <v>28</v>
      </c>
      <c r="C30" s="180">
        <v>999</v>
      </c>
    </row>
    <row r="31" spans="1:6" x14ac:dyDescent="0.2">
      <c r="A31" s="36"/>
      <c r="B31" s="181"/>
      <c r="C31" s="180"/>
    </row>
    <row r="32" spans="1:6" x14ac:dyDescent="0.2">
      <c r="A32" s="36"/>
      <c r="B32" s="182" t="s">
        <v>323</v>
      </c>
      <c r="C32" s="180"/>
    </row>
    <row r="33" spans="1:5" x14ac:dyDescent="0.2">
      <c r="A33" s="17" t="s">
        <v>41</v>
      </c>
      <c r="B33" s="183" t="s">
        <v>29</v>
      </c>
      <c r="C33" s="180" t="s">
        <v>5</v>
      </c>
    </row>
    <row r="34" spans="1:5" x14ac:dyDescent="0.2">
      <c r="A34" s="15" t="s">
        <v>42</v>
      </c>
      <c r="B34" s="179" t="s">
        <v>30</v>
      </c>
      <c r="C34" s="180" t="s">
        <v>42</v>
      </c>
    </row>
    <row r="35" spans="1:5" x14ac:dyDescent="0.2">
      <c r="A35" s="15" t="s">
        <v>445</v>
      </c>
      <c r="B35" s="179" t="s">
        <v>446</v>
      </c>
      <c r="C35" s="180" t="s">
        <v>445</v>
      </c>
    </row>
    <row r="36" spans="1:5" x14ac:dyDescent="0.2">
      <c r="A36" s="15" t="s">
        <v>43</v>
      </c>
      <c r="B36" s="179" t="s">
        <v>31</v>
      </c>
      <c r="C36" s="180" t="s">
        <v>485</v>
      </c>
      <c r="D36" s="11"/>
      <c r="E36" s="11"/>
    </row>
    <row r="37" spans="1:5" x14ac:dyDescent="0.2">
      <c r="A37" s="15" t="s">
        <v>5</v>
      </c>
      <c r="B37" s="179" t="s">
        <v>32</v>
      </c>
      <c r="C37" s="180" t="s">
        <v>5</v>
      </c>
      <c r="D37" s="11"/>
      <c r="E37" s="11"/>
    </row>
    <row r="38" spans="1:5" x14ac:dyDescent="0.2">
      <c r="A38" s="15" t="s">
        <v>6</v>
      </c>
      <c r="B38" s="179" t="s">
        <v>33</v>
      </c>
      <c r="C38" s="180" t="s">
        <v>6</v>
      </c>
      <c r="D38" s="11"/>
      <c r="E38" s="11"/>
    </row>
    <row r="39" spans="1:5" x14ac:dyDescent="0.2">
      <c r="A39" s="15">
        <v>999</v>
      </c>
      <c r="B39" s="179" t="s">
        <v>34</v>
      </c>
      <c r="C39" s="180">
        <v>999</v>
      </c>
      <c r="D39" s="11"/>
      <c r="E39" s="11"/>
    </row>
    <row r="40" spans="1:5" x14ac:dyDescent="0.2">
      <c r="A40" s="15">
        <v>999</v>
      </c>
      <c r="B40" s="179" t="s">
        <v>35</v>
      </c>
      <c r="C40" s="180">
        <v>999</v>
      </c>
      <c r="D40" s="11"/>
      <c r="E40" s="11"/>
    </row>
  </sheetData>
  <conditionalFormatting sqref="C8:C13 C23:C40">
    <cfRule type="cellIs" dxfId="3025" priority="104" operator="notEqual">
      <formula>$A8</formula>
    </cfRule>
  </conditionalFormatting>
  <conditionalFormatting sqref="D17:D19 D21">
    <cfRule type="cellIs" dxfId="3024" priority="33" operator="notEqual">
      <formula>$A17</formula>
    </cfRule>
  </conditionalFormatting>
  <conditionalFormatting sqref="D20">
    <cfRule type="cellIs" dxfId="3023" priority="27" operator="notEqual">
      <formula>$A20</formula>
    </cfRule>
  </conditionalFormatting>
  <conditionalFormatting sqref="D22">
    <cfRule type="cellIs" dxfId="3022" priority="26" operator="notEqual">
      <formula>$A22</formula>
    </cfRule>
  </conditionalFormatting>
  <conditionalFormatting sqref="E17:E22">
    <cfRule type="cellIs" dxfId="3021" priority="25" operator="notEqual">
      <formula>$A17</formula>
    </cfRule>
  </conditionalFormatting>
  <conditionalFormatting sqref="C14">
    <cfRule type="cellIs" dxfId="3020" priority="23" operator="notEqual">
      <formula>$A14</formula>
    </cfRule>
  </conditionalFormatting>
  <conditionalFormatting sqref="C15">
    <cfRule type="cellIs" dxfId="3019" priority="22" operator="notEqual">
      <formula>$A15</formula>
    </cfRule>
  </conditionalFormatting>
  <conditionalFormatting sqref="C16">
    <cfRule type="cellIs" dxfId="3018" priority="21" operator="notEqual">
      <formula>$A16</formula>
    </cfRule>
  </conditionalFormatting>
  <conditionalFormatting sqref="F17:F19 F21:F22">
    <cfRule type="cellIs" dxfId="3017" priority="20" operator="notEqual">
      <formula>$A17</formula>
    </cfRule>
  </conditionalFormatting>
  <conditionalFormatting sqref="F20">
    <cfRule type="cellIs" dxfId="3016" priority="19" operator="notEqual">
      <formula>$A20</formula>
    </cfRule>
  </conditionalFormatting>
  <conditionalFormatting sqref="C19 C21">
    <cfRule type="cellIs" dxfId="3015" priority="5" operator="notEqual">
      <formula>$A19</formula>
    </cfRule>
  </conditionalFormatting>
  <conditionalFormatting sqref="C22">
    <cfRule type="cellIs" dxfId="3014" priority="3" operator="notEqual">
      <formula>$A22</formula>
    </cfRule>
  </conditionalFormatting>
  <conditionalFormatting sqref="C17:C18">
    <cfRule type="cellIs" dxfId="3013" priority="2" operator="notEqual">
      <formula>$A17</formula>
    </cfRule>
  </conditionalFormatting>
  <conditionalFormatting sqref="C20">
    <cfRule type="cellIs" dxfId="3012" priority="1" operator="notEqual">
      <formula>$A20</formula>
    </cfRule>
  </conditionalFormatting>
  <dataValidations count="8">
    <dataValidation type="list" allowBlank="1" showInputMessage="1" showErrorMessage="1" sqref="C12" xr:uid="{00000000-0002-0000-0200-000000000000}">
      <formula1>"Hold Level,Grade to Zero,Set to Zero"</formula1>
    </dataValidation>
    <dataValidation type="list" allowBlank="1" showInputMessage="1" showErrorMessage="1" sqref="C13" xr:uid="{00000000-0002-0000-0200-000001000000}">
      <formula1>"Not Applicable,Single Non Callable,Callable Separate"</formula1>
    </dataValidation>
    <dataValidation type="list" allowBlank="1" showInputMessage="1" showErrorMessage="1" sqref="C8" xr:uid="{00000000-0002-0000-0200-000002000000}">
      <formula1>"Beginning and End of Projection,Monthly,Quarterly (Mar - Jun - Sep &amp; Dec),Semiannually (Jun &amp; Dec),Annually (Dec),Every Nth Year (Dec)"</formula1>
    </dataValidation>
    <dataValidation type="list" allowBlank="1" showInputMessage="1" showErrorMessage="1" sqref="C10" xr:uid="{00000000-0002-0000-0200-000003000000}">
      <formula1>"At Asset Frequency,Whenever Needed"</formula1>
    </dataValidation>
    <dataValidation type="list" allowBlank="1" showInputMessage="1" showErrorMessage="1" sqref="C11" xr:uid="{00000000-0002-0000-0200-000004000000}">
      <formula1>"At Asset Frequency,Monthly,Quarterly (Mar - Jun - Sep &amp; Dec),Semiannually (Jun &amp; Dec),Annually (Dec)"</formula1>
    </dataValidation>
    <dataValidation type="list" allowBlank="1" showInputMessage="1" showErrorMessage="1" sqref="C37 C27 C17:F18" xr:uid="{00000000-0002-0000-0200-000005000000}">
      <formula1>"No,Yes"</formula1>
    </dataValidation>
    <dataValidation type="list" allowBlank="1" showInputMessage="1" showErrorMessage="1" sqref="C26 C33 C14:C15" xr:uid="{00000000-0002-0000-0200-000006000000}">
      <formula1>"Yes,No"</formula1>
    </dataValidation>
    <dataValidation type="list" allowBlank="1" showInputMessage="1" showErrorMessage="1" sqref="C16" xr:uid="{00000000-0002-0000-0200-000007000000}">
      <formula1>"None, Use RBC C4, Use RBC C4 Change"</formula1>
    </dataValidation>
  </dataValidations>
  <hyperlinks>
    <hyperlink ref="A1" location="'Table of Contents'!A1" display="Go to TOC" xr:uid="{00000000-0004-0000-0200-00000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/>
  <dimension ref="A1:E18"/>
  <sheetViews>
    <sheetView showGridLines="0" workbookViewId="0">
      <selection activeCell="B4" sqref="B4:C18"/>
    </sheetView>
  </sheetViews>
  <sheetFormatPr defaultColWidth="21.140625" defaultRowHeight="12.75" x14ac:dyDescent="0.2"/>
  <cols>
    <col min="1" max="1" width="21.140625" style="15"/>
    <col min="2" max="16384" width="21.140625" style="12"/>
  </cols>
  <sheetData>
    <row r="1" spans="1:5" ht="15.75" x14ac:dyDescent="0.2">
      <c r="A1" s="14" t="s">
        <v>9</v>
      </c>
      <c r="B1" s="19" t="s">
        <v>447</v>
      </c>
    </row>
    <row r="2" spans="1:5" x14ac:dyDescent="0.2">
      <c r="B2" s="58"/>
    </row>
    <row r="3" spans="1:5" x14ac:dyDescent="0.2">
      <c r="B3" s="18" t="str">
        <f ca="1">GetNameRange(B4)</f>
        <v>Cash</v>
      </c>
    </row>
    <row r="4" spans="1:5" x14ac:dyDescent="0.2">
      <c r="A4" s="75"/>
      <c r="B4" s="165" t="s">
        <v>10</v>
      </c>
      <c r="C4" s="176" t="s">
        <v>448</v>
      </c>
    </row>
    <row r="5" spans="1:5" x14ac:dyDescent="0.2">
      <c r="A5" s="76" t="s">
        <v>8</v>
      </c>
      <c r="B5" s="127" t="s">
        <v>0</v>
      </c>
      <c r="C5" s="173"/>
    </row>
    <row r="6" spans="1:5" x14ac:dyDescent="0.2">
      <c r="B6" s="181"/>
      <c r="C6" s="180"/>
      <c r="D6" s="11"/>
      <c r="E6" s="11"/>
    </row>
    <row r="7" spans="1:5" x14ac:dyDescent="0.2">
      <c r="B7" s="182" t="s">
        <v>284</v>
      </c>
      <c r="C7" s="180"/>
      <c r="D7" s="11"/>
      <c r="E7" s="11"/>
    </row>
    <row r="8" spans="1:5" x14ac:dyDescent="0.2">
      <c r="A8" s="15" t="s">
        <v>52</v>
      </c>
      <c r="B8" s="179" t="s">
        <v>552</v>
      </c>
      <c r="C8" s="180" t="s">
        <v>52</v>
      </c>
      <c r="D8" s="11"/>
      <c r="E8" s="11"/>
    </row>
    <row r="9" spans="1:5" x14ac:dyDescent="0.2">
      <c r="A9" s="223">
        <v>1</v>
      </c>
      <c r="B9" s="179" t="s">
        <v>553</v>
      </c>
      <c r="C9" s="297">
        <v>6</v>
      </c>
      <c r="D9" s="11"/>
      <c r="E9" s="11"/>
    </row>
    <row r="10" spans="1:5" x14ac:dyDescent="0.2">
      <c r="A10" s="81">
        <v>1</v>
      </c>
      <c r="B10" s="179" t="s">
        <v>324</v>
      </c>
      <c r="C10" s="184">
        <v>1</v>
      </c>
      <c r="D10" s="11"/>
      <c r="E10" s="11"/>
    </row>
    <row r="11" spans="1:5" x14ac:dyDescent="0.2">
      <c r="A11" s="84">
        <v>0</v>
      </c>
      <c r="B11" s="179" t="s">
        <v>325</v>
      </c>
      <c r="C11" s="298">
        <v>0</v>
      </c>
      <c r="D11" s="11"/>
      <c r="E11" s="11"/>
    </row>
    <row r="12" spans="1:5" x14ac:dyDescent="0.2">
      <c r="A12" s="84"/>
      <c r="B12" s="182" t="s">
        <v>554</v>
      </c>
      <c r="C12" s="147"/>
      <c r="D12" s="11"/>
      <c r="E12" s="11"/>
    </row>
    <row r="13" spans="1:5" x14ac:dyDescent="0.2">
      <c r="A13" s="15" t="s">
        <v>52</v>
      </c>
      <c r="B13" s="179" t="s">
        <v>326</v>
      </c>
      <c r="C13" s="293" t="s">
        <v>52</v>
      </c>
      <c r="D13" s="11"/>
      <c r="E13" s="11"/>
    </row>
    <row r="14" spans="1:5" x14ac:dyDescent="0.2">
      <c r="A14" s="223">
        <v>1</v>
      </c>
      <c r="B14" s="179" t="s">
        <v>555</v>
      </c>
      <c r="C14" s="297">
        <v>6</v>
      </c>
      <c r="D14" s="11"/>
      <c r="E14" s="11"/>
    </row>
    <row r="15" spans="1:5" x14ac:dyDescent="0.2">
      <c r="A15" s="81">
        <v>1</v>
      </c>
      <c r="B15" s="179" t="s">
        <v>556</v>
      </c>
      <c r="C15" s="184">
        <v>1</v>
      </c>
      <c r="D15" s="11"/>
      <c r="E15" s="11"/>
    </row>
    <row r="16" spans="1:5" x14ac:dyDescent="0.2">
      <c r="A16" s="84">
        <v>0</v>
      </c>
      <c r="B16" s="179" t="s">
        <v>557</v>
      </c>
      <c r="C16" s="298">
        <f>0.15%</f>
        <v>1.5E-3</v>
      </c>
      <c r="D16" s="11"/>
      <c r="E16" s="318"/>
    </row>
    <row r="17" spans="1:5" x14ac:dyDescent="0.2">
      <c r="B17" s="182" t="s">
        <v>558</v>
      </c>
      <c r="C17" s="180"/>
      <c r="D17" s="11"/>
      <c r="E17" s="11"/>
    </row>
    <row r="18" spans="1:5" x14ac:dyDescent="0.2">
      <c r="A18" s="15" t="s">
        <v>328</v>
      </c>
      <c r="B18" s="179" t="s">
        <v>327</v>
      </c>
      <c r="C18" s="180" t="s">
        <v>328</v>
      </c>
      <c r="D18" s="11"/>
      <c r="E18" s="11"/>
    </row>
  </sheetData>
  <conditionalFormatting sqref="C10 C13 C18">
    <cfRule type="cellIs" dxfId="3011" priority="38" operator="notEqual">
      <formula>$A10</formula>
    </cfRule>
  </conditionalFormatting>
  <conditionalFormatting sqref="C11">
    <cfRule type="cellIs" dxfId="3010" priority="12" operator="notEqual">
      <formula>$A11</formula>
    </cfRule>
    <cfRule type="cellIs" dxfId="3009" priority="13" operator="equal">
      <formula>"""&lt;&gt;$A6"""</formula>
    </cfRule>
    <cfRule type="cellIs" dxfId="3008" priority="14" operator="equal">
      <formula>"&lt;&gt;$A6"</formula>
    </cfRule>
    <cfRule type="cellIs" dxfId="3007" priority="15" operator="equal">
      <formula>$A11</formula>
    </cfRule>
    <cfRule type="cellIs" dxfId="3006" priority="16" operator="equal">
      <formula>$A11</formula>
    </cfRule>
  </conditionalFormatting>
  <conditionalFormatting sqref="C8">
    <cfRule type="cellIs" dxfId="3005" priority="11" operator="notEqual">
      <formula>$A8</formula>
    </cfRule>
  </conditionalFormatting>
  <conditionalFormatting sqref="C9">
    <cfRule type="cellIs" dxfId="3004" priority="10" operator="notEqual">
      <formula>$A9</formula>
    </cfRule>
  </conditionalFormatting>
  <conditionalFormatting sqref="C12">
    <cfRule type="cellIs" dxfId="3003" priority="9" operator="notEqual">
      <formula>$A12</formula>
    </cfRule>
  </conditionalFormatting>
  <conditionalFormatting sqref="C17">
    <cfRule type="cellIs" dxfId="3002" priority="8" operator="notEqual">
      <formula>$A17</formula>
    </cfRule>
  </conditionalFormatting>
  <conditionalFormatting sqref="C15">
    <cfRule type="cellIs" dxfId="3001" priority="7" operator="notEqual">
      <formula>$A15</formula>
    </cfRule>
  </conditionalFormatting>
  <conditionalFormatting sqref="C14">
    <cfRule type="cellIs" dxfId="3000" priority="6" operator="notEqual">
      <formula>$A14</formula>
    </cfRule>
  </conditionalFormatting>
  <conditionalFormatting sqref="C16">
    <cfRule type="cellIs" dxfId="2999" priority="1" operator="notEqual">
      <formula>$A16</formula>
    </cfRule>
    <cfRule type="cellIs" dxfId="2998" priority="2" operator="equal">
      <formula>"""&lt;&gt;$A6"""</formula>
    </cfRule>
    <cfRule type="cellIs" dxfId="2997" priority="3" operator="equal">
      <formula>"&lt;&gt;$A6"</formula>
    </cfRule>
    <cfRule type="cellIs" dxfId="2996" priority="4" operator="equal">
      <formula>$A16</formula>
    </cfRule>
    <cfRule type="cellIs" dxfId="2995" priority="5" operator="equal">
      <formula>$A16</formula>
    </cfRule>
  </conditionalFormatting>
  <dataValidations disablePrompts="1" count="1">
    <dataValidation type="list" allowBlank="1" showInputMessage="1" showErrorMessage="1" sqref="C18" xr:uid="{00000000-0002-0000-0300-000000000000}">
      <formula1>"Cash Account Rate,Asset Net Yield"</formula1>
    </dataValidation>
  </dataValidations>
  <hyperlinks>
    <hyperlink ref="A1" location="'Table of Contents'!A1" display="Go to TOC" xr:uid="{00000000-0004-0000-0300-000000000000}"/>
  </hyperlink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T183"/>
  <sheetViews>
    <sheetView showGridLines="0" zoomScale="85" zoomScaleNormal="85" workbookViewId="0">
      <selection activeCell="B1" sqref="B1:B1048576"/>
    </sheetView>
  </sheetViews>
  <sheetFormatPr defaultColWidth="9.140625" defaultRowHeight="12.75" x14ac:dyDescent="0.2"/>
  <cols>
    <col min="1" max="1" width="21.42578125" style="43" customWidth="1"/>
    <col min="2" max="2" width="54.42578125" style="43" customWidth="1"/>
    <col min="3" max="3" width="15.5703125" style="43" customWidth="1"/>
    <col min="4" max="4" width="19.140625" style="43" customWidth="1"/>
    <col min="5" max="7" width="15.5703125" style="43" customWidth="1"/>
    <col min="8" max="8" width="14.140625" style="43" bestFit="1" customWidth="1"/>
    <col min="9" max="9" width="14.42578125" style="43" bestFit="1" customWidth="1"/>
    <col min="10" max="10" width="14.140625" style="43" bestFit="1" customWidth="1"/>
    <col min="11" max="16384" width="9.140625" style="43"/>
  </cols>
  <sheetData>
    <row r="1" spans="1:19" s="20" customFormat="1" ht="15.75" x14ac:dyDescent="0.2">
      <c r="A1" s="23" t="s">
        <v>9</v>
      </c>
      <c r="B1" s="19" t="s">
        <v>226</v>
      </c>
    </row>
    <row r="2" spans="1:19" s="20" customFormat="1" ht="13.35" customHeight="1" x14ac:dyDescent="0.2">
      <c r="A2" s="23"/>
      <c r="B2" s="19"/>
      <c r="C2" s="278"/>
    </row>
    <row r="3" spans="1:19" s="20" customFormat="1" x14ac:dyDescent="0.2">
      <c r="A3" s="24"/>
      <c r="B3" s="18" t="str">
        <f ca="1">GetNameRange(B4)</f>
        <v>Decrements</v>
      </c>
      <c r="C3" s="278"/>
    </row>
    <row r="4" spans="1:19" s="20" customFormat="1" x14ac:dyDescent="0.2">
      <c r="A4" s="53"/>
      <c r="B4" s="165" t="s">
        <v>316</v>
      </c>
      <c r="C4" s="209" t="s">
        <v>456</v>
      </c>
      <c r="D4" s="209" t="s">
        <v>467</v>
      </c>
      <c r="E4" s="209" t="s">
        <v>468</v>
      </c>
      <c r="F4" s="209" t="s">
        <v>469</v>
      </c>
      <c r="G4" s="209" t="s">
        <v>470</v>
      </c>
      <c r="H4" s="209" t="s">
        <v>471</v>
      </c>
      <c r="I4" s="209" t="s">
        <v>472</v>
      </c>
      <c r="J4" s="209" t="s">
        <v>362</v>
      </c>
      <c r="K4" s="209" t="s">
        <v>310</v>
      </c>
      <c r="L4" s="209" t="s">
        <v>52</v>
      </c>
      <c r="M4" s="209" t="s">
        <v>473</v>
      </c>
      <c r="N4" s="209" t="s">
        <v>474</v>
      </c>
      <c r="O4" s="209" t="s">
        <v>475</v>
      </c>
      <c r="P4" s="209" t="s">
        <v>476</v>
      </c>
      <c r="Q4" s="209" t="s">
        <v>477</v>
      </c>
      <c r="R4" s="209" t="s">
        <v>478</v>
      </c>
      <c r="S4" s="210" t="s">
        <v>479</v>
      </c>
    </row>
    <row r="5" spans="1:19" s="20" customFormat="1" x14ac:dyDescent="0.2">
      <c r="A5" s="76" t="s">
        <v>8</v>
      </c>
      <c r="B5" s="167" t="s">
        <v>0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185"/>
    </row>
    <row r="6" spans="1:19" s="20" customFormat="1" x14ac:dyDescent="0.2">
      <c r="A6" s="24"/>
      <c r="B6" s="168"/>
      <c r="S6" s="188"/>
    </row>
    <row r="7" spans="1:19" s="20" customFormat="1" x14ac:dyDescent="0.2">
      <c r="A7" s="24"/>
      <c r="B7" s="169" t="s">
        <v>332</v>
      </c>
      <c r="S7" s="188"/>
    </row>
    <row r="8" spans="1:19" s="20" customFormat="1" x14ac:dyDescent="0.2">
      <c r="A8" s="88">
        <v>0</v>
      </c>
      <c r="B8" s="129" t="s">
        <v>239</v>
      </c>
      <c r="C8" s="96">
        <v>0</v>
      </c>
      <c r="D8" s="96">
        <v>0</v>
      </c>
      <c r="E8" s="96">
        <v>0</v>
      </c>
      <c r="F8" s="96">
        <v>0</v>
      </c>
      <c r="G8" s="96">
        <v>0</v>
      </c>
      <c r="H8" s="96">
        <v>0</v>
      </c>
      <c r="I8" s="96">
        <v>0</v>
      </c>
      <c r="J8" s="96">
        <v>0</v>
      </c>
      <c r="K8" s="96">
        <v>0</v>
      </c>
      <c r="L8" s="96">
        <v>0</v>
      </c>
      <c r="M8" s="96">
        <v>0</v>
      </c>
      <c r="N8" s="96">
        <v>0</v>
      </c>
      <c r="O8" s="96">
        <v>0</v>
      </c>
      <c r="P8" s="96">
        <v>0</v>
      </c>
      <c r="Q8" s="96">
        <v>0</v>
      </c>
      <c r="R8" s="96">
        <v>0</v>
      </c>
      <c r="S8" s="184">
        <v>0</v>
      </c>
    </row>
    <row r="9" spans="1:19" s="20" customFormat="1" x14ac:dyDescent="0.2">
      <c r="A9" s="88" t="s">
        <v>241</v>
      </c>
      <c r="B9" s="129" t="s">
        <v>240</v>
      </c>
      <c r="C9" s="96" t="s">
        <v>241</v>
      </c>
      <c r="D9" s="96" t="s">
        <v>241</v>
      </c>
      <c r="E9" s="96" t="s">
        <v>241</v>
      </c>
      <c r="F9" s="96" t="s">
        <v>241</v>
      </c>
      <c r="G9" s="96" t="s">
        <v>241</v>
      </c>
      <c r="H9" s="96" t="s">
        <v>241</v>
      </c>
      <c r="I9" s="96" t="s">
        <v>241</v>
      </c>
      <c r="J9" s="96" t="s">
        <v>241</v>
      </c>
      <c r="K9" s="96" t="s">
        <v>241</v>
      </c>
      <c r="L9" s="96" t="s">
        <v>241</v>
      </c>
      <c r="M9" s="96" t="s">
        <v>241</v>
      </c>
      <c r="N9" s="96" t="s">
        <v>241</v>
      </c>
      <c r="O9" s="96" t="s">
        <v>241</v>
      </c>
      <c r="P9" s="96" t="s">
        <v>241</v>
      </c>
      <c r="Q9" s="96" t="s">
        <v>241</v>
      </c>
      <c r="R9" s="96" t="s">
        <v>241</v>
      </c>
      <c r="S9" s="184" t="s">
        <v>241</v>
      </c>
    </row>
    <row r="10" spans="1:19" s="20" customFormat="1" x14ac:dyDescent="0.2">
      <c r="A10" s="90">
        <v>0</v>
      </c>
      <c r="B10" s="156" t="s">
        <v>333</v>
      </c>
      <c r="C10" s="97">
        <v>0</v>
      </c>
      <c r="D10" s="97">
        <v>0</v>
      </c>
      <c r="E10" s="97">
        <v>0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97">
        <v>0</v>
      </c>
      <c r="L10" s="97">
        <v>0</v>
      </c>
      <c r="M10" s="97">
        <v>0</v>
      </c>
      <c r="N10" s="97">
        <v>0</v>
      </c>
      <c r="O10" s="97">
        <v>0</v>
      </c>
      <c r="P10" s="97">
        <v>0</v>
      </c>
      <c r="Q10" s="97">
        <v>0</v>
      </c>
      <c r="R10" s="97">
        <v>0</v>
      </c>
      <c r="S10" s="147">
        <v>0</v>
      </c>
    </row>
    <row r="11" spans="1:19" s="20" customFormat="1" x14ac:dyDescent="0.2">
      <c r="A11" s="88">
        <v>0</v>
      </c>
      <c r="B11" s="129" t="s">
        <v>242</v>
      </c>
      <c r="C11" s="96">
        <v>0</v>
      </c>
      <c r="D11" s="96">
        <v>0</v>
      </c>
      <c r="E11" s="96">
        <v>0</v>
      </c>
      <c r="F11" s="96">
        <v>0</v>
      </c>
      <c r="G11" s="96">
        <v>0</v>
      </c>
      <c r="H11" s="96">
        <v>0</v>
      </c>
      <c r="I11" s="96">
        <v>0</v>
      </c>
      <c r="J11" s="96">
        <v>0</v>
      </c>
      <c r="K11" s="96">
        <v>0</v>
      </c>
      <c r="L11" s="96">
        <v>0</v>
      </c>
      <c r="M11" s="96">
        <v>0</v>
      </c>
      <c r="N11" s="96">
        <v>0</v>
      </c>
      <c r="O11" s="96">
        <v>0</v>
      </c>
      <c r="P11" s="96">
        <v>0</v>
      </c>
      <c r="Q11" s="96">
        <v>0</v>
      </c>
      <c r="R11" s="96">
        <v>0</v>
      </c>
      <c r="S11" s="184">
        <v>0</v>
      </c>
    </row>
    <row r="12" spans="1:19" s="20" customFormat="1" x14ac:dyDescent="0.2">
      <c r="A12" s="88">
        <v>1</v>
      </c>
      <c r="B12" s="156" t="s">
        <v>334</v>
      </c>
      <c r="C12" s="96">
        <v>1</v>
      </c>
      <c r="D12" s="96">
        <v>1</v>
      </c>
      <c r="E12" s="96">
        <v>1</v>
      </c>
      <c r="F12" s="96">
        <v>1</v>
      </c>
      <c r="G12" s="96">
        <v>1</v>
      </c>
      <c r="H12" s="96">
        <v>1</v>
      </c>
      <c r="I12" s="96">
        <v>1</v>
      </c>
      <c r="J12" s="96">
        <v>1</v>
      </c>
      <c r="K12" s="96">
        <v>1</v>
      </c>
      <c r="L12" s="96">
        <v>1</v>
      </c>
      <c r="M12" s="96">
        <v>1</v>
      </c>
      <c r="N12" s="96">
        <v>1</v>
      </c>
      <c r="O12" s="96">
        <v>1</v>
      </c>
      <c r="P12" s="96">
        <v>1</v>
      </c>
      <c r="Q12" s="96">
        <v>1</v>
      </c>
      <c r="R12" s="96">
        <v>1</v>
      </c>
      <c r="S12" s="184">
        <v>1</v>
      </c>
    </row>
    <row r="13" spans="1:19" s="20" customFormat="1" x14ac:dyDescent="0.2">
      <c r="A13" s="88">
        <v>1</v>
      </c>
      <c r="B13" s="156" t="s">
        <v>335</v>
      </c>
      <c r="C13" s="96">
        <v>1</v>
      </c>
      <c r="D13" s="96">
        <v>1</v>
      </c>
      <c r="E13" s="96">
        <v>1</v>
      </c>
      <c r="F13" s="96">
        <v>1</v>
      </c>
      <c r="G13" s="96">
        <v>1</v>
      </c>
      <c r="H13" s="96">
        <v>1</v>
      </c>
      <c r="I13" s="96">
        <v>1</v>
      </c>
      <c r="J13" s="96">
        <v>1</v>
      </c>
      <c r="K13" s="96">
        <v>1</v>
      </c>
      <c r="L13" s="96">
        <v>1</v>
      </c>
      <c r="M13" s="96">
        <v>1</v>
      </c>
      <c r="N13" s="96">
        <v>1</v>
      </c>
      <c r="O13" s="96">
        <v>1</v>
      </c>
      <c r="P13" s="96">
        <v>1</v>
      </c>
      <c r="Q13" s="96">
        <v>1</v>
      </c>
      <c r="R13" s="96">
        <v>1</v>
      </c>
      <c r="S13" s="184">
        <v>1</v>
      </c>
    </row>
    <row r="14" spans="1:19" s="20" customFormat="1" x14ac:dyDescent="0.2">
      <c r="A14" s="90">
        <v>0</v>
      </c>
      <c r="B14" s="156" t="s">
        <v>336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0</v>
      </c>
      <c r="J14" s="97">
        <v>0</v>
      </c>
      <c r="K14" s="97">
        <v>0</v>
      </c>
      <c r="L14" s="97">
        <v>0</v>
      </c>
      <c r="M14" s="97">
        <v>0</v>
      </c>
      <c r="N14" s="97">
        <v>0</v>
      </c>
      <c r="O14" s="97">
        <v>0</v>
      </c>
      <c r="P14" s="97">
        <v>0</v>
      </c>
      <c r="Q14" s="97">
        <v>0</v>
      </c>
      <c r="R14" s="97">
        <v>0</v>
      </c>
      <c r="S14" s="147">
        <v>0</v>
      </c>
    </row>
    <row r="15" spans="1:19" s="20" customFormat="1" x14ac:dyDescent="0.2">
      <c r="A15" s="88">
        <v>0</v>
      </c>
      <c r="B15" s="129" t="s">
        <v>245</v>
      </c>
      <c r="C15" s="96">
        <v>0</v>
      </c>
      <c r="D15" s="96">
        <v>0</v>
      </c>
      <c r="E15" s="96">
        <v>0</v>
      </c>
      <c r="F15" s="96">
        <v>0</v>
      </c>
      <c r="G15" s="96">
        <v>0</v>
      </c>
      <c r="H15" s="96">
        <v>0</v>
      </c>
      <c r="I15" s="96">
        <v>0</v>
      </c>
      <c r="J15" s="96">
        <v>0</v>
      </c>
      <c r="K15" s="96">
        <v>0</v>
      </c>
      <c r="L15" s="96">
        <v>0</v>
      </c>
      <c r="M15" s="96">
        <v>0</v>
      </c>
      <c r="N15" s="96">
        <v>0</v>
      </c>
      <c r="O15" s="96">
        <v>0</v>
      </c>
      <c r="P15" s="96">
        <v>0</v>
      </c>
      <c r="Q15" s="96">
        <v>0</v>
      </c>
      <c r="R15" s="96">
        <v>0</v>
      </c>
      <c r="S15" s="184">
        <v>0</v>
      </c>
    </row>
    <row r="16" spans="1:19" s="20" customFormat="1" x14ac:dyDescent="0.2">
      <c r="A16" s="88">
        <v>1</v>
      </c>
      <c r="B16" s="156" t="s">
        <v>337</v>
      </c>
      <c r="C16" s="96">
        <v>1</v>
      </c>
      <c r="D16" s="96">
        <v>1</v>
      </c>
      <c r="E16" s="96">
        <v>1</v>
      </c>
      <c r="F16" s="96">
        <v>1</v>
      </c>
      <c r="G16" s="96">
        <v>1</v>
      </c>
      <c r="H16" s="96">
        <v>1</v>
      </c>
      <c r="I16" s="96">
        <v>1</v>
      </c>
      <c r="J16" s="96">
        <v>1</v>
      </c>
      <c r="K16" s="96">
        <v>1</v>
      </c>
      <c r="L16" s="96">
        <v>1</v>
      </c>
      <c r="M16" s="96">
        <v>1</v>
      </c>
      <c r="N16" s="96">
        <v>1</v>
      </c>
      <c r="O16" s="96">
        <v>1</v>
      </c>
      <c r="P16" s="96">
        <v>1</v>
      </c>
      <c r="Q16" s="96">
        <v>1</v>
      </c>
      <c r="R16" s="96">
        <v>1</v>
      </c>
      <c r="S16" s="184">
        <v>1</v>
      </c>
    </row>
    <row r="17" spans="1:19" s="20" customFormat="1" x14ac:dyDescent="0.2">
      <c r="A17" s="88">
        <v>1</v>
      </c>
      <c r="B17" s="156" t="s">
        <v>338</v>
      </c>
      <c r="C17" s="96">
        <v>1</v>
      </c>
      <c r="D17" s="96">
        <v>1</v>
      </c>
      <c r="E17" s="96">
        <v>1</v>
      </c>
      <c r="F17" s="96">
        <v>1</v>
      </c>
      <c r="G17" s="96">
        <v>1</v>
      </c>
      <c r="H17" s="96">
        <v>1</v>
      </c>
      <c r="I17" s="96">
        <v>1</v>
      </c>
      <c r="J17" s="96">
        <v>1</v>
      </c>
      <c r="K17" s="96">
        <v>1</v>
      </c>
      <c r="L17" s="96">
        <v>1</v>
      </c>
      <c r="M17" s="96">
        <v>1</v>
      </c>
      <c r="N17" s="96">
        <v>1</v>
      </c>
      <c r="O17" s="96">
        <v>1</v>
      </c>
      <c r="P17" s="96">
        <v>1</v>
      </c>
      <c r="Q17" s="96">
        <v>1</v>
      </c>
      <c r="R17" s="96">
        <v>1</v>
      </c>
      <c r="S17" s="184">
        <v>1</v>
      </c>
    </row>
    <row r="18" spans="1:19" s="20" customFormat="1" x14ac:dyDescent="0.2">
      <c r="A18" s="90">
        <v>0</v>
      </c>
      <c r="B18" s="129" t="s">
        <v>246</v>
      </c>
      <c r="C18" s="97">
        <v>0</v>
      </c>
      <c r="D18" s="97">
        <v>0</v>
      </c>
      <c r="E18" s="97">
        <v>0</v>
      </c>
      <c r="F18" s="97">
        <v>0</v>
      </c>
      <c r="G18" s="97">
        <v>0</v>
      </c>
      <c r="H18" s="97">
        <v>0</v>
      </c>
      <c r="I18" s="97">
        <v>0</v>
      </c>
      <c r="J18" s="97">
        <v>0</v>
      </c>
      <c r="K18" s="97">
        <v>0</v>
      </c>
      <c r="L18" s="97">
        <v>0</v>
      </c>
      <c r="M18" s="97">
        <v>0</v>
      </c>
      <c r="N18" s="97">
        <v>0</v>
      </c>
      <c r="O18" s="97">
        <v>0</v>
      </c>
      <c r="P18" s="97">
        <v>0</v>
      </c>
      <c r="Q18" s="97">
        <v>0</v>
      </c>
      <c r="R18" s="97">
        <v>0</v>
      </c>
      <c r="S18" s="147">
        <v>0</v>
      </c>
    </row>
    <row r="19" spans="1:19" s="20" customFormat="1" x14ac:dyDescent="0.2">
      <c r="A19" s="90">
        <v>0</v>
      </c>
      <c r="B19" s="156" t="s">
        <v>339</v>
      </c>
      <c r="C19" s="97">
        <v>0</v>
      </c>
      <c r="D19" s="97">
        <v>0</v>
      </c>
      <c r="E19" s="97">
        <v>0</v>
      </c>
      <c r="F19" s="97">
        <v>0</v>
      </c>
      <c r="G19" s="97">
        <v>0</v>
      </c>
      <c r="H19" s="97">
        <v>0</v>
      </c>
      <c r="I19" s="97">
        <v>0</v>
      </c>
      <c r="J19" s="97">
        <v>0</v>
      </c>
      <c r="K19" s="97">
        <v>0</v>
      </c>
      <c r="L19" s="97">
        <v>0</v>
      </c>
      <c r="M19" s="97">
        <v>0</v>
      </c>
      <c r="N19" s="97">
        <v>0</v>
      </c>
      <c r="O19" s="97">
        <v>0</v>
      </c>
      <c r="P19" s="97">
        <v>0</v>
      </c>
      <c r="Q19" s="97">
        <v>0</v>
      </c>
      <c r="R19" s="97">
        <v>0</v>
      </c>
      <c r="S19" s="147">
        <v>0</v>
      </c>
    </row>
    <row r="20" spans="1:19" s="20" customFormat="1" x14ac:dyDescent="0.2">
      <c r="A20" s="88">
        <v>0</v>
      </c>
      <c r="B20" s="129" t="s">
        <v>243</v>
      </c>
      <c r="C20" s="96">
        <v>0</v>
      </c>
      <c r="D20" s="96">
        <v>0</v>
      </c>
      <c r="E20" s="96">
        <v>0</v>
      </c>
      <c r="F20" s="96">
        <v>0</v>
      </c>
      <c r="G20" s="96">
        <v>0</v>
      </c>
      <c r="H20" s="96">
        <v>0</v>
      </c>
      <c r="I20" s="96">
        <v>0</v>
      </c>
      <c r="J20" s="96">
        <v>0</v>
      </c>
      <c r="K20" s="96">
        <v>0</v>
      </c>
      <c r="L20" s="96">
        <v>0</v>
      </c>
      <c r="M20" s="96">
        <v>0</v>
      </c>
      <c r="N20" s="96">
        <v>0</v>
      </c>
      <c r="O20" s="96">
        <v>0</v>
      </c>
      <c r="P20" s="96">
        <v>0</v>
      </c>
      <c r="Q20" s="96">
        <v>0</v>
      </c>
      <c r="R20" s="96">
        <v>0</v>
      </c>
      <c r="S20" s="184">
        <v>0</v>
      </c>
    </row>
    <row r="21" spans="1:19" s="20" customFormat="1" x14ac:dyDescent="0.2">
      <c r="A21" s="88">
        <v>1</v>
      </c>
      <c r="B21" s="156" t="s">
        <v>340</v>
      </c>
      <c r="C21" s="96">
        <v>1</v>
      </c>
      <c r="D21" s="96">
        <v>1</v>
      </c>
      <c r="E21" s="96">
        <v>1</v>
      </c>
      <c r="F21" s="96">
        <v>1</v>
      </c>
      <c r="G21" s="96">
        <v>1</v>
      </c>
      <c r="H21" s="96">
        <v>1</v>
      </c>
      <c r="I21" s="96">
        <v>1</v>
      </c>
      <c r="J21" s="96">
        <v>1</v>
      </c>
      <c r="K21" s="96">
        <v>1</v>
      </c>
      <c r="L21" s="96">
        <v>1</v>
      </c>
      <c r="M21" s="96">
        <v>1</v>
      </c>
      <c r="N21" s="96">
        <v>1</v>
      </c>
      <c r="O21" s="96">
        <v>1</v>
      </c>
      <c r="P21" s="96">
        <v>1</v>
      </c>
      <c r="Q21" s="96">
        <v>1</v>
      </c>
      <c r="R21" s="96">
        <v>1</v>
      </c>
      <c r="S21" s="184">
        <v>1</v>
      </c>
    </row>
    <row r="22" spans="1:19" s="20" customFormat="1" x14ac:dyDescent="0.2">
      <c r="A22" s="88">
        <v>1</v>
      </c>
      <c r="B22" s="156" t="s">
        <v>341</v>
      </c>
      <c r="C22" s="96">
        <v>1</v>
      </c>
      <c r="D22" s="96">
        <v>1</v>
      </c>
      <c r="E22" s="96">
        <v>1</v>
      </c>
      <c r="F22" s="96">
        <v>1</v>
      </c>
      <c r="G22" s="96">
        <v>1</v>
      </c>
      <c r="H22" s="96">
        <v>1</v>
      </c>
      <c r="I22" s="96">
        <v>1</v>
      </c>
      <c r="J22" s="96">
        <v>1</v>
      </c>
      <c r="K22" s="96">
        <v>1</v>
      </c>
      <c r="L22" s="96">
        <v>1</v>
      </c>
      <c r="M22" s="96">
        <v>1</v>
      </c>
      <c r="N22" s="96">
        <v>1</v>
      </c>
      <c r="O22" s="96">
        <v>1</v>
      </c>
      <c r="P22" s="96">
        <v>1</v>
      </c>
      <c r="Q22" s="96">
        <v>1</v>
      </c>
      <c r="R22" s="96">
        <v>1</v>
      </c>
      <c r="S22" s="184">
        <v>1</v>
      </c>
    </row>
    <row r="23" spans="1:19" s="20" customFormat="1" x14ac:dyDescent="0.2">
      <c r="A23" s="90">
        <v>0</v>
      </c>
      <c r="B23" s="129" t="s">
        <v>244</v>
      </c>
      <c r="C23" s="97">
        <v>0</v>
      </c>
      <c r="D23" s="97">
        <v>0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97">
        <v>0</v>
      </c>
      <c r="L23" s="97">
        <v>0</v>
      </c>
      <c r="M23" s="97">
        <v>0</v>
      </c>
      <c r="N23" s="97">
        <v>0</v>
      </c>
      <c r="O23" s="97">
        <v>0</v>
      </c>
      <c r="P23" s="97">
        <v>0</v>
      </c>
      <c r="Q23" s="97">
        <v>0</v>
      </c>
      <c r="R23" s="97">
        <v>0</v>
      </c>
      <c r="S23" s="147">
        <v>0</v>
      </c>
    </row>
    <row r="24" spans="1:19" s="20" customFormat="1" x14ac:dyDescent="0.2">
      <c r="A24" s="24"/>
      <c r="B24" s="164"/>
      <c r="S24" s="188"/>
    </row>
    <row r="25" spans="1:19" s="20" customFormat="1" x14ac:dyDescent="0.2">
      <c r="A25" s="24"/>
      <c r="B25" s="169" t="s">
        <v>342</v>
      </c>
      <c r="S25" s="188"/>
    </row>
    <row r="26" spans="1:19" s="20" customFormat="1" x14ac:dyDescent="0.2">
      <c r="A26" s="91">
        <v>0</v>
      </c>
      <c r="B26" s="156" t="s">
        <v>343</v>
      </c>
      <c r="C26" s="97">
        <v>0</v>
      </c>
      <c r="D26" s="97">
        <v>0</v>
      </c>
      <c r="E26" s="97"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97">
        <v>0</v>
      </c>
      <c r="N26" s="97">
        <v>0</v>
      </c>
      <c r="O26" s="97">
        <v>0</v>
      </c>
      <c r="P26" s="97">
        <v>0</v>
      </c>
      <c r="Q26" s="97">
        <v>0</v>
      </c>
      <c r="R26" s="97">
        <v>0</v>
      </c>
      <c r="S26" s="147">
        <v>0</v>
      </c>
    </row>
    <row r="27" spans="1:19" s="20" customFormat="1" x14ac:dyDescent="0.2">
      <c r="A27" s="24"/>
      <c r="B27" s="164"/>
      <c r="S27" s="188"/>
    </row>
    <row r="28" spans="1:19" s="20" customFormat="1" x14ac:dyDescent="0.2">
      <c r="A28" s="24"/>
      <c r="B28" s="169" t="s">
        <v>598</v>
      </c>
      <c r="D28" s="188"/>
      <c r="S28" s="188"/>
    </row>
    <row r="29" spans="1:19" s="20" customFormat="1" x14ac:dyDescent="0.2">
      <c r="A29" s="91">
        <v>0</v>
      </c>
      <c r="B29" s="156" t="s">
        <v>599</v>
      </c>
      <c r="C29" s="97" t="s">
        <v>368</v>
      </c>
      <c r="D29" s="97" t="s">
        <v>368</v>
      </c>
      <c r="E29" s="97" t="s">
        <v>368</v>
      </c>
      <c r="F29" s="97" t="s">
        <v>368</v>
      </c>
      <c r="G29" s="97" t="s">
        <v>368</v>
      </c>
      <c r="H29" s="97" t="s">
        <v>368</v>
      </c>
      <c r="I29" s="97" t="s">
        <v>368</v>
      </c>
      <c r="J29" s="97" t="s">
        <v>368</v>
      </c>
      <c r="K29" s="97" t="s">
        <v>368</v>
      </c>
      <c r="L29" s="97" t="s">
        <v>368</v>
      </c>
      <c r="M29" s="97" t="s">
        <v>368</v>
      </c>
      <c r="N29" s="97" t="s">
        <v>368</v>
      </c>
      <c r="O29" s="97" t="s">
        <v>368</v>
      </c>
      <c r="P29" s="97" t="s">
        <v>368</v>
      </c>
      <c r="Q29" s="97" t="s">
        <v>368</v>
      </c>
      <c r="R29" s="97" t="s">
        <v>368</v>
      </c>
      <c r="S29" s="97" t="s">
        <v>368</v>
      </c>
    </row>
    <row r="30" spans="1:19" s="20" customFormat="1" x14ac:dyDescent="0.2">
      <c r="A30" s="24"/>
      <c r="B30" s="164"/>
      <c r="S30" s="188"/>
    </row>
    <row r="31" spans="1:19" s="20" customFormat="1" x14ac:dyDescent="0.2">
      <c r="A31" s="24"/>
      <c r="B31" s="169" t="s">
        <v>344</v>
      </c>
      <c r="S31" s="188"/>
    </row>
    <row r="32" spans="1:19" s="20" customFormat="1" x14ac:dyDescent="0.2">
      <c r="A32" s="89">
        <v>1</v>
      </c>
      <c r="B32" s="156" t="s">
        <v>345</v>
      </c>
      <c r="C32" s="98">
        <v>1</v>
      </c>
      <c r="D32" s="98">
        <v>1</v>
      </c>
      <c r="E32" s="98">
        <v>1</v>
      </c>
      <c r="F32" s="98">
        <v>1</v>
      </c>
      <c r="G32" s="98">
        <v>1</v>
      </c>
      <c r="H32" s="98">
        <v>1</v>
      </c>
      <c r="I32" s="98">
        <v>1</v>
      </c>
      <c r="J32" s="98">
        <v>1</v>
      </c>
      <c r="K32" s="98">
        <v>1</v>
      </c>
      <c r="L32" s="98">
        <v>1</v>
      </c>
      <c r="M32" s="98">
        <v>1</v>
      </c>
      <c r="N32" s="98">
        <v>1</v>
      </c>
      <c r="O32" s="98">
        <v>1</v>
      </c>
      <c r="P32" s="98">
        <v>1</v>
      </c>
      <c r="Q32" s="98">
        <v>1</v>
      </c>
      <c r="R32" s="98">
        <v>1</v>
      </c>
      <c r="S32" s="189">
        <v>1</v>
      </c>
    </row>
    <row r="33" spans="1:20" s="20" customFormat="1" x14ac:dyDescent="0.2">
      <c r="A33" s="89">
        <v>1</v>
      </c>
      <c r="B33" s="156" t="s">
        <v>346</v>
      </c>
      <c r="C33" s="98">
        <v>1</v>
      </c>
      <c r="D33" s="98">
        <v>1</v>
      </c>
      <c r="E33" s="98">
        <v>1</v>
      </c>
      <c r="F33" s="98">
        <v>1</v>
      </c>
      <c r="G33" s="98">
        <v>1</v>
      </c>
      <c r="H33" s="98">
        <v>1</v>
      </c>
      <c r="I33" s="98">
        <v>1</v>
      </c>
      <c r="J33" s="98">
        <v>1</v>
      </c>
      <c r="K33" s="98">
        <v>1</v>
      </c>
      <c r="L33" s="98">
        <v>1</v>
      </c>
      <c r="M33" s="98">
        <v>1</v>
      </c>
      <c r="N33" s="98">
        <v>1</v>
      </c>
      <c r="O33" s="98">
        <v>1</v>
      </c>
      <c r="P33" s="98">
        <v>1</v>
      </c>
      <c r="Q33" s="98">
        <v>1</v>
      </c>
      <c r="R33" s="98">
        <v>1</v>
      </c>
      <c r="S33" s="189">
        <v>1</v>
      </c>
    </row>
    <row r="34" spans="1:20" s="20" customFormat="1" x14ac:dyDescent="0.2">
      <c r="A34" s="89">
        <v>1</v>
      </c>
      <c r="B34" s="156" t="s">
        <v>347</v>
      </c>
      <c r="C34" s="98">
        <v>1</v>
      </c>
      <c r="D34" s="98">
        <v>1</v>
      </c>
      <c r="E34" s="98">
        <v>1</v>
      </c>
      <c r="F34" s="98">
        <v>1</v>
      </c>
      <c r="G34" s="98">
        <v>1</v>
      </c>
      <c r="H34" s="98">
        <v>1</v>
      </c>
      <c r="I34" s="98">
        <v>1</v>
      </c>
      <c r="J34" s="98">
        <v>1</v>
      </c>
      <c r="K34" s="98">
        <v>1</v>
      </c>
      <c r="L34" s="98">
        <v>1</v>
      </c>
      <c r="M34" s="98">
        <v>1</v>
      </c>
      <c r="N34" s="98">
        <v>1</v>
      </c>
      <c r="O34" s="98">
        <v>1</v>
      </c>
      <c r="P34" s="98">
        <v>1</v>
      </c>
      <c r="Q34" s="98">
        <v>1</v>
      </c>
      <c r="R34" s="98">
        <v>1</v>
      </c>
      <c r="S34" s="189">
        <v>1</v>
      </c>
    </row>
    <row r="35" spans="1:20" s="20" customFormat="1" x14ac:dyDescent="0.2">
      <c r="A35" s="91">
        <v>0</v>
      </c>
      <c r="B35" s="129" t="s">
        <v>227</v>
      </c>
      <c r="C35" s="97">
        <v>0</v>
      </c>
      <c r="D35" s="97">
        <v>0</v>
      </c>
      <c r="E35" s="97">
        <v>0</v>
      </c>
      <c r="F35" s="97">
        <v>1.4500000000000001E-2</v>
      </c>
      <c r="G35" s="97">
        <v>0</v>
      </c>
      <c r="H35" s="97">
        <v>0</v>
      </c>
      <c r="I35" s="97">
        <v>0</v>
      </c>
      <c r="J35" s="97">
        <v>0</v>
      </c>
      <c r="K35" s="97">
        <v>0</v>
      </c>
      <c r="L35" s="97">
        <v>0</v>
      </c>
      <c r="M35" s="97">
        <v>0</v>
      </c>
      <c r="N35" s="97">
        <v>0</v>
      </c>
      <c r="O35" s="97">
        <v>0</v>
      </c>
      <c r="P35" s="97">
        <v>0</v>
      </c>
      <c r="Q35" s="97">
        <v>0</v>
      </c>
      <c r="R35" s="97">
        <v>0</v>
      </c>
      <c r="S35" s="147">
        <v>0</v>
      </c>
    </row>
    <row r="36" spans="1:20" s="20" customFormat="1" x14ac:dyDescent="0.2">
      <c r="A36" s="24" t="s">
        <v>234</v>
      </c>
      <c r="B36" s="129" t="s">
        <v>228</v>
      </c>
      <c r="C36" s="96" t="s">
        <v>234</v>
      </c>
      <c r="D36" s="96" t="s">
        <v>234</v>
      </c>
      <c r="E36" s="96" t="s">
        <v>234</v>
      </c>
      <c r="F36" s="96" t="s">
        <v>234</v>
      </c>
      <c r="G36" s="96" t="s">
        <v>234</v>
      </c>
      <c r="H36" s="96" t="s">
        <v>234</v>
      </c>
      <c r="I36" s="96" t="s">
        <v>234</v>
      </c>
      <c r="J36" s="96" t="s">
        <v>234</v>
      </c>
      <c r="K36" s="96" t="s">
        <v>234</v>
      </c>
      <c r="L36" s="96" t="s">
        <v>234</v>
      </c>
      <c r="M36" s="96" t="s">
        <v>234</v>
      </c>
      <c r="N36" s="96" t="s">
        <v>234</v>
      </c>
      <c r="O36" s="96" t="s">
        <v>234</v>
      </c>
      <c r="P36" s="96" t="s">
        <v>234</v>
      </c>
      <c r="Q36" s="96" t="s">
        <v>234</v>
      </c>
      <c r="R36" s="96" t="s">
        <v>234</v>
      </c>
      <c r="S36" s="184" t="s">
        <v>234</v>
      </c>
    </row>
    <row r="37" spans="1:20" s="20" customFormat="1" x14ac:dyDescent="0.2">
      <c r="A37" s="37" t="s">
        <v>85</v>
      </c>
      <c r="B37" s="129" t="s">
        <v>229</v>
      </c>
      <c r="C37" s="287" t="s">
        <v>684</v>
      </c>
      <c r="D37" s="287" t="s">
        <v>684</v>
      </c>
      <c r="E37" s="287" t="s">
        <v>684</v>
      </c>
      <c r="F37" s="287" t="s">
        <v>684</v>
      </c>
      <c r="G37" s="287" t="s">
        <v>684</v>
      </c>
      <c r="H37" s="287" t="s">
        <v>684</v>
      </c>
      <c r="I37" s="287" t="s">
        <v>684</v>
      </c>
      <c r="J37" s="287" t="s">
        <v>684</v>
      </c>
      <c r="K37" s="287" t="s">
        <v>684</v>
      </c>
      <c r="L37" s="287" t="s">
        <v>684</v>
      </c>
      <c r="M37" s="287" t="s">
        <v>684</v>
      </c>
      <c r="N37" s="287" t="s">
        <v>684</v>
      </c>
      <c r="O37" s="287" t="s">
        <v>684</v>
      </c>
      <c r="P37" s="287" t="s">
        <v>684</v>
      </c>
      <c r="Q37" s="287" t="s">
        <v>684</v>
      </c>
      <c r="R37" s="287" t="s">
        <v>684</v>
      </c>
      <c r="S37" s="287" t="s">
        <v>684</v>
      </c>
      <c r="T37" s="288" t="s">
        <v>685</v>
      </c>
    </row>
    <row r="38" spans="1:20" s="20" customFormat="1" x14ac:dyDescent="0.2">
      <c r="A38" s="24">
        <v>0.25</v>
      </c>
      <c r="B38" s="129" t="s">
        <v>230</v>
      </c>
      <c r="C38" s="40">
        <v>10</v>
      </c>
      <c r="D38" s="40">
        <v>10</v>
      </c>
      <c r="E38" s="40">
        <v>10</v>
      </c>
      <c r="F38" s="40">
        <v>10</v>
      </c>
      <c r="G38" s="40">
        <v>10</v>
      </c>
      <c r="H38" s="40">
        <v>10</v>
      </c>
      <c r="I38" s="40">
        <v>10</v>
      </c>
      <c r="J38" s="40">
        <v>10</v>
      </c>
      <c r="K38" s="40">
        <v>10</v>
      </c>
      <c r="L38" s="40">
        <v>10</v>
      </c>
      <c r="M38" s="40">
        <v>10</v>
      </c>
      <c r="N38" s="40">
        <v>10</v>
      </c>
      <c r="O38" s="40">
        <v>10</v>
      </c>
      <c r="P38" s="40">
        <v>10</v>
      </c>
      <c r="Q38" s="40">
        <v>10</v>
      </c>
      <c r="R38" s="40">
        <v>10</v>
      </c>
      <c r="S38" s="186">
        <v>10</v>
      </c>
    </row>
    <row r="39" spans="1:20" s="20" customFormat="1" x14ac:dyDescent="0.2">
      <c r="A39" s="92">
        <v>1</v>
      </c>
      <c r="B39" s="129" t="s">
        <v>231</v>
      </c>
      <c r="C39" s="96">
        <v>1</v>
      </c>
      <c r="D39" s="96">
        <v>1</v>
      </c>
      <c r="E39" s="96">
        <v>1</v>
      </c>
      <c r="F39" s="96">
        <v>1</v>
      </c>
      <c r="G39" s="96">
        <v>1</v>
      </c>
      <c r="H39" s="96">
        <v>1</v>
      </c>
      <c r="I39" s="96">
        <v>1</v>
      </c>
      <c r="J39" s="96">
        <v>1</v>
      </c>
      <c r="K39" s="96">
        <v>1</v>
      </c>
      <c r="L39" s="96">
        <v>1</v>
      </c>
      <c r="M39" s="96">
        <v>1</v>
      </c>
      <c r="N39" s="96">
        <v>1</v>
      </c>
      <c r="O39" s="96">
        <v>1</v>
      </c>
      <c r="P39" s="96">
        <v>1</v>
      </c>
      <c r="Q39" s="96">
        <v>1</v>
      </c>
      <c r="R39" s="96">
        <v>1</v>
      </c>
      <c r="S39" s="184">
        <v>1</v>
      </c>
    </row>
    <row r="40" spans="1:20" s="20" customFormat="1" x14ac:dyDescent="0.2">
      <c r="A40" s="91">
        <v>0</v>
      </c>
      <c r="B40" s="129" t="s">
        <v>232</v>
      </c>
      <c r="C40" s="97">
        <v>0</v>
      </c>
      <c r="D40" s="97">
        <v>0</v>
      </c>
      <c r="E40" s="97">
        <v>0</v>
      </c>
      <c r="F40" s="97">
        <v>0</v>
      </c>
      <c r="G40" s="97">
        <v>0</v>
      </c>
      <c r="H40" s="97">
        <v>0</v>
      </c>
      <c r="I40" s="97">
        <v>0</v>
      </c>
      <c r="J40" s="97">
        <v>0</v>
      </c>
      <c r="K40" s="97">
        <v>0</v>
      </c>
      <c r="L40" s="97">
        <v>0</v>
      </c>
      <c r="M40" s="97">
        <v>0</v>
      </c>
      <c r="N40" s="97">
        <v>0</v>
      </c>
      <c r="O40" s="97">
        <v>0</v>
      </c>
      <c r="P40" s="97">
        <v>0</v>
      </c>
      <c r="Q40" s="97">
        <v>0</v>
      </c>
      <c r="R40" s="97">
        <v>0</v>
      </c>
      <c r="S40" s="147">
        <v>0</v>
      </c>
    </row>
    <row r="41" spans="1:20" s="20" customFormat="1" x14ac:dyDescent="0.2">
      <c r="A41" s="86" t="s">
        <v>235</v>
      </c>
      <c r="B41" s="129" t="s">
        <v>233</v>
      </c>
      <c r="C41" s="96" t="s">
        <v>235</v>
      </c>
      <c r="D41" s="96" t="s">
        <v>235</v>
      </c>
      <c r="E41" s="96" t="s">
        <v>235</v>
      </c>
      <c r="F41" s="96" t="s">
        <v>235</v>
      </c>
      <c r="G41" s="96" t="s">
        <v>235</v>
      </c>
      <c r="H41" s="96" t="s">
        <v>235</v>
      </c>
      <c r="I41" s="96" t="s">
        <v>235</v>
      </c>
      <c r="J41" s="96" t="s">
        <v>235</v>
      </c>
      <c r="K41" s="96" t="s">
        <v>235</v>
      </c>
      <c r="L41" s="96" t="s">
        <v>235</v>
      </c>
      <c r="M41" s="96" t="s">
        <v>235</v>
      </c>
      <c r="N41" s="96" t="s">
        <v>235</v>
      </c>
      <c r="O41" s="96" t="s">
        <v>235</v>
      </c>
      <c r="P41" s="96" t="s">
        <v>235</v>
      </c>
      <c r="Q41" s="96" t="s">
        <v>235</v>
      </c>
      <c r="R41" s="96" t="s">
        <v>235</v>
      </c>
      <c r="S41" s="184" t="s">
        <v>235</v>
      </c>
    </row>
    <row r="42" spans="1:20" s="20" customFormat="1" x14ac:dyDescent="0.2">
      <c r="A42" s="90">
        <v>0</v>
      </c>
      <c r="B42" s="156" t="s">
        <v>348</v>
      </c>
      <c r="C42" s="97">
        <v>0</v>
      </c>
      <c r="D42" s="97">
        <v>0</v>
      </c>
      <c r="E42" s="97">
        <v>0</v>
      </c>
      <c r="F42" s="97">
        <v>0</v>
      </c>
      <c r="G42" s="97">
        <v>0</v>
      </c>
      <c r="H42" s="97">
        <v>0</v>
      </c>
      <c r="I42" s="97">
        <v>0</v>
      </c>
      <c r="J42" s="97">
        <v>0</v>
      </c>
      <c r="K42" s="97">
        <v>0</v>
      </c>
      <c r="L42" s="97">
        <v>0</v>
      </c>
      <c r="M42" s="97">
        <v>0</v>
      </c>
      <c r="N42" s="97">
        <v>0</v>
      </c>
      <c r="O42" s="97">
        <v>0</v>
      </c>
      <c r="P42" s="97">
        <v>0</v>
      </c>
      <c r="Q42" s="97">
        <v>0</v>
      </c>
      <c r="R42" s="97">
        <v>0</v>
      </c>
      <c r="S42" s="147">
        <v>0</v>
      </c>
    </row>
    <row r="43" spans="1:20" s="20" customFormat="1" x14ac:dyDescent="0.2">
      <c r="A43" s="90">
        <v>0</v>
      </c>
      <c r="B43" s="156" t="s">
        <v>349</v>
      </c>
      <c r="C43" s="97">
        <v>0</v>
      </c>
      <c r="D43" s="97">
        <v>0</v>
      </c>
      <c r="E43" s="97">
        <v>0</v>
      </c>
      <c r="F43" s="97">
        <v>0</v>
      </c>
      <c r="G43" s="97">
        <v>0</v>
      </c>
      <c r="H43" s="97">
        <v>0</v>
      </c>
      <c r="I43" s="97">
        <v>0</v>
      </c>
      <c r="J43" s="97">
        <v>0</v>
      </c>
      <c r="K43" s="97">
        <v>0</v>
      </c>
      <c r="L43" s="97">
        <v>0</v>
      </c>
      <c r="M43" s="97">
        <v>0</v>
      </c>
      <c r="N43" s="97">
        <v>0</v>
      </c>
      <c r="O43" s="97">
        <v>0</v>
      </c>
      <c r="P43" s="97">
        <v>0</v>
      </c>
      <c r="Q43" s="97">
        <v>0</v>
      </c>
      <c r="R43" s="97">
        <v>0</v>
      </c>
      <c r="S43" s="147">
        <v>0</v>
      </c>
    </row>
    <row r="44" spans="1:20" s="20" customFormat="1" x14ac:dyDescent="0.2">
      <c r="A44" s="86" t="s">
        <v>248</v>
      </c>
      <c r="B44" s="129" t="s">
        <v>247</v>
      </c>
      <c r="C44" s="214" t="s">
        <v>484</v>
      </c>
      <c r="D44" s="214" t="s">
        <v>484</v>
      </c>
      <c r="E44" s="214" t="s">
        <v>484</v>
      </c>
      <c r="F44" s="214" t="s">
        <v>484</v>
      </c>
      <c r="G44" s="214" t="s">
        <v>484</v>
      </c>
      <c r="H44" s="214" t="s">
        <v>484</v>
      </c>
      <c r="I44" s="214" t="s">
        <v>484</v>
      </c>
      <c r="J44" s="214" t="s">
        <v>484</v>
      </c>
      <c r="K44" s="214" t="s">
        <v>484</v>
      </c>
      <c r="L44" s="214" t="s">
        <v>484</v>
      </c>
      <c r="M44" s="214" t="s">
        <v>484</v>
      </c>
      <c r="N44" s="214" t="s">
        <v>484</v>
      </c>
      <c r="O44" s="214" t="s">
        <v>484</v>
      </c>
      <c r="P44" s="214" t="s">
        <v>484</v>
      </c>
      <c r="Q44" s="214" t="s">
        <v>484</v>
      </c>
      <c r="R44" s="214" t="s">
        <v>484</v>
      </c>
      <c r="S44" s="214" t="s">
        <v>484</v>
      </c>
    </row>
    <row r="45" spans="1:20" s="20" customFormat="1" x14ac:dyDescent="0.2">
      <c r="A45" s="86" t="s">
        <v>250</v>
      </c>
      <c r="B45" s="129" t="s">
        <v>249</v>
      </c>
      <c r="C45" s="96" t="s">
        <v>250</v>
      </c>
      <c r="D45" s="96" t="s">
        <v>250</v>
      </c>
      <c r="E45" s="96" t="s">
        <v>250</v>
      </c>
      <c r="F45" s="96" t="s">
        <v>250</v>
      </c>
      <c r="G45" s="96" t="s">
        <v>250</v>
      </c>
      <c r="H45" s="96" t="s">
        <v>250</v>
      </c>
      <c r="I45" s="96" t="s">
        <v>250</v>
      </c>
      <c r="J45" s="96" t="s">
        <v>250</v>
      </c>
      <c r="K45" s="96" t="s">
        <v>250</v>
      </c>
      <c r="L45" s="96" t="s">
        <v>250</v>
      </c>
      <c r="M45" s="96" t="s">
        <v>250</v>
      </c>
      <c r="N45" s="96" t="s">
        <v>250</v>
      </c>
      <c r="O45" s="96" t="s">
        <v>250</v>
      </c>
      <c r="P45" s="96" t="s">
        <v>250</v>
      </c>
      <c r="Q45" s="96" t="s">
        <v>250</v>
      </c>
      <c r="R45" s="96" t="s">
        <v>250</v>
      </c>
      <c r="S45" s="96" t="s">
        <v>250</v>
      </c>
    </row>
    <row r="46" spans="1:20" s="20" customFormat="1" x14ac:dyDescent="0.2">
      <c r="A46" s="86" t="s">
        <v>252</v>
      </c>
      <c r="B46" s="129" t="s">
        <v>251</v>
      </c>
      <c r="C46" s="96" t="s">
        <v>252</v>
      </c>
      <c r="D46" s="96" t="s">
        <v>252</v>
      </c>
      <c r="E46" s="96" t="s">
        <v>252</v>
      </c>
      <c r="F46" s="96" t="s">
        <v>252</v>
      </c>
      <c r="G46" s="96" t="s">
        <v>252</v>
      </c>
      <c r="H46" s="96" t="s">
        <v>252</v>
      </c>
      <c r="I46" s="96" t="s">
        <v>252</v>
      </c>
      <c r="J46" s="96" t="s">
        <v>252</v>
      </c>
      <c r="K46" s="96" t="s">
        <v>252</v>
      </c>
      <c r="L46" s="96" t="s">
        <v>252</v>
      </c>
      <c r="M46" s="96" t="s">
        <v>252</v>
      </c>
      <c r="N46" s="96" t="s">
        <v>252</v>
      </c>
      <c r="O46" s="96" t="s">
        <v>252</v>
      </c>
      <c r="P46" s="96" t="s">
        <v>252</v>
      </c>
      <c r="Q46" s="96" t="s">
        <v>252</v>
      </c>
      <c r="R46" s="96" t="s">
        <v>252</v>
      </c>
      <c r="S46" s="184" t="s">
        <v>252</v>
      </c>
    </row>
    <row r="47" spans="1:20" s="20" customFormat="1" x14ac:dyDescent="0.2">
      <c r="A47" s="90">
        <v>0</v>
      </c>
      <c r="B47" s="156" t="s">
        <v>350</v>
      </c>
      <c r="C47" s="97">
        <v>0</v>
      </c>
      <c r="D47" s="97">
        <v>0</v>
      </c>
      <c r="E47" s="97">
        <v>0</v>
      </c>
      <c r="F47" s="97">
        <v>0</v>
      </c>
      <c r="G47" s="97">
        <v>0</v>
      </c>
      <c r="H47" s="97">
        <v>0</v>
      </c>
      <c r="I47" s="97">
        <v>0</v>
      </c>
      <c r="J47" s="97">
        <v>0</v>
      </c>
      <c r="K47" s="97">
        <v>0</v>
      </c>
      <c r="L47" s="97">
        <v>0</v>
      </c>
      <c r="M47" s="97">
        <v>0</v>
      </c>
      <c r="N47" s="97">
        <v>0</v>
      </c>
      <c r="O47" s="97">
        <v>0</v>
      </c>
      <c r="P47" s="97">
        <v>0</v>
      </c>
      <c r="Q47" s="97">
        <v>0</v>
      </c>
      <c r="R47" s="97">
        <v>0</v>
      </c>
      <c r="S47" s="147">
        <v>0</v>
      </c>
    </row>
    <row r="48" spans="1:20" s="20" customFormat="1" x14ac:dyDescent="0.2">
      <c r="A48" s="90">
        <v>0</v>
      </c>
      <c r="B48" s="129" t="s">
        <v>253</v>
      </c>
      <c r="C48" s="97">
        <v>0</v>
      </c>
      <c r="D48" s="97">
        <v>0</v>
      </c>
      <c r="E48" s="97">
        <v>0</v>
      </c>
      <c r="F48" s="97">
        <v>0</v>
      </c>
      <c r="G48" s="97">
        <v>0</v>
      </c>
      <c r="H48" s="97">
        <v>0</v>
      </c>
      <c r="I48" s="97">
        <v>0</v>
      </c>
      <c r="J48" s="97">
        <v>0</v>
      </c>
      <c r="K48" s="97">
        <v>0</v>
      </c>
      <c r="L48" s="97">
        <v>0</v>
      </c>
      <c r="M48" s="97">
        <v>0</v>
      </c>
      <c r="N48" s="97">
        <v>0</v>
      </c>
      <c r="O48" s="97">
        <v>0</v>
      </c>
      <c r="P48" s="97">
        <v>0</v>
      </c>
      <c r="Q48" s="97">
        <v>0</v>
      </c>
      <c r="R48" s="97">
        <v>0</v>
      </c>
      <c r="S48" s="147">
        <v>0</v>
      </c>
    </row>
    <row r="49" spans="1:19" s="20" customFormat="1" x14ac:dyDescent="0.2">
      <c r="A49" s="88">
        <v>1</v>
      </c>
      <c r="B49" s="156" t="s">
        <v>254</v>
      </c>
      <c r="C49" s="96">
        <v>1</v>
      </c>
      <c r="D49" s="96">
        <v>1</v>
      </c>
      <c r="E49" s="96">
        <v>1</v>
      </c>
      <c r="F49" s="96">
        <v>1</v>
      </c>
      <c r="G49" s="96">
        <v>1</v>
      </c>
      <c r="H49" s="96">
        <v>1</v>
      </c>
      <c r="I49" s="96">
        <v>1</v>
      </c>
      <c r="J49" s="96">
        <v>1</v>
      </c>
      <c r="K49" s="96">
        <v>1</v>
      </c>
      <c r="L49" s="96">
        <v>1</v>
      </c>
      <c r="M49" s="96">
        <v>1</v>
      </c>
      <c r="N49" s="96">
        <v>1</v>
      </c>
      <c r="O49" s="96">
        <v>1</v>
      </c>
      <c r="P49" s="96">
        <v>1</v>
      </c>
      <c r="Q49" s="96">
        <v>1</v>
      </c>
      <c r="R49" s="96">
        <v>1</v>
      </c>
      <c r="S49" s="184">
        <v>1</v>
      </c>
    </row>
    <row r="50" spans="1:19" s="20" customFormat="1" x14ac:dyDescent="0.2">
      <c r="A50" s="90">
        <v>0</v>
      </c>
      <c r="B50" s="156" t="s">
        <v>351</v>
      </c>
      <c r="C50" s="97">
        <v>0</v>
      </c>
      <c r="D50" s="97">
        <v>0</v>
      </c>
      <c r="E50" s="97">
        <v>0</v>
      </c>
      <c r="F50" s="97">
        <v>0</v>
      </c>
      <c r="G50" s="97">
        <v>0</v>
      </c>
      <c r="H50" s="97">
        <v>0</v>
      </c>
      <c r="I50" s="97">
        <v>0</v>
      </c>
      <c r="J50" s="97">
        <v>0</v>
      </c>
      <c r="K50" s="97">
        <v>0</v>
      </c>
      <c r="L50" s="97">
        <v>0</v>
      </c>
      <c r="M50" s="97">
        <v>0</v>
      </c>
      <c r="N50" s="97">
        <v>0</v>
      </c>
      <c r="O50" s="97">
        <v>0</v>
      </c>
      <c r="P50" s="97">
        <v>0</v>
      </c>
      <c r="Q50" s="97">
        <v>0</v>
      </c>
      <c r="R50" s="97">
        <v>0</v>
      </c>
      <c r="S50" s="147">
        <v>0</v>
      </c>
    </row>
    <row r="51" spans="1:19" s="20" customFormat="1" x14ac:dyDescent="0.2">
      <c r="A51" s="90">
        <v>0</v>
      </c>
      <c r="B51" s="156" t="s">
        <v>352</v>
      </c>
      <c r="C51" s="97">
        <v>0</v>
      </c>
      <c r="D51" s="97">
        <v>0</v>
      </c>
      <c r="E51" s="97">
        <v>0</v>
      </c>
      <c r="F51" s="97">
        <v>0</v>
      </c>
      <c r="G51" s="97">
        <v>0</v>
      </c>
      <c r="H51" s="97">
        <v>0</v>
      </c>
      <c r="I51" s="97">
        <v>0</v>
      </c>
      <c r="J51" s="97">
        <v>0</v>
      </c>
      <c r="K51" s="97">
        <v>0</v>
      </c>
      <c r="L51" s="97">
        <v>0</v>
      </c>
      <c r="M51" s="97">
        <v>0</v>
      </c>
      <c r="N51" s="97">
        <v>0</v>
      </c>
      <c r="O51" s="97">
        <v>0</v>
      </c>
      <c r="P51" s="97">
        <v>0</v>
      </c>
      <c r="Q51" s="97">
        <v>0</v>
      </c>
      <c r="R51" s="97">
        <v>0</v>
      </c>
      <c r="S51" s="147">
        <v>0</v>
      </c>
    </row>
    <row r="52" spans="1:19" s="20" customFormat="1" x14ac:dyDescent="0.2">
      <c r="A52" s="24"/>
      <c r="B52" s="164"/>
      <c r="S52" s="188"/>
    </row>
    <row r="53" spans="1:19" s="20" customFormat="1" x14ac:dyDescent="0.2">
      <c r="A53" s="24"/>
      <c r="B53" s="169" t="s">
        <v>353</v>
      </c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184"/>
    </row>
    <row r="54" spans="1:19" s="20" customFormat="1" x14ac:dyDescent="0.2">
      <c r="A54" s="37" t="s">
        <v>148</v>
      </c>
      <c r="B54" s="129" t="s">
        <v>354</v>
      </c>
      <c r="C54" s="96" t="s">
        <v>148</v>
      </c>
      <c r="D54" s="96" t="s">
        <v>148</v>
      </c>
      <c r="E54" s="96" t="s">
        <v>148</v>
      </c>
      <c r="F54" s="96" t="s">
        <v>148</v>
      </c>
      <c r="G54" s="96" t="s">
        <v>148</v>
      </c>
      <c r="H54" s="96" t="s">
        <v>148</v>
      </c>
      <c r="I54" s="96" t="s">
        <v>148</v>
      </c>
      <c r="J54" s="96" t="s">
        <v>148</v>
      </c>
      <c r="K54" s="96" t="s">
        <v>148</v>
      </c>
      <c r="L54" s="96" t="s">
        <v>148</v>
      </c>
      <c r="M54" s="96" t="s">
        <v>148</v>
      </c>
      <c r="N54" s="96" t="s">
        <v>148</v>
      </c>
      <c r="O54" s="96" t="s">
        <v>148</v>
      </c>
      <c r="P54" s="96" t="s">
        <v>148</v>
      </c>
      <c r="Q54" s="96" t="s">
        <v>148</v>
      </c>
      <c r="R54" s="96" t="s">
        <v>148</v>
      </c>
      <c r="S54" s="184" t="s">
        <v>148</v>
      </c>
    </row>
    <row r="55" spans="1:19" s="20" customFormat="1" x14ac:dyDescent="0.2">
      <c r="A55" s="37" t="s">
        <v>361</v>
      </c>
      <c r="B55" s="129" t="s">
        <v>355</v>
      </c>
      <c r="C55" s="96" t="s">
        <v>361</v>
      </c>
      <c r="D55" s="96" t="s">
        <v>361</v>
      </c>
      <c r="E55" s="96" t="s">
        <v>361</v>
      </c>
      <c r="F55" s="96" t="s">
        <v>361</v>
      </c>
      <c r="G55" s="96" t="s">
        <v>361</v>
      </c>
      <c r="H55" s="96" t="s">
        <v>361</v>
      </c>
      <c r="I55" s="96" t="s">
        <v>361</v>
      </c>
      <c r="J55" s="96" t="s">
        <v>361</v>
      </c>
      <c r="K55" s="96" t="s">
        <v>361</v>
      </c>
      <c r="L55" s="96" t="s">
        <v>361</v>
      </c>
      <c r="M55" s="96" t="s">
        <v>361</v>
      </c>
      <c r="N55" s="96" t="s">
        <v>361</v>
      </c>
      <c r="O55" s="96" t="s">
        <v>361</v>
      </c>
      <c r="P55" s="96" t="s">
        <v>361</v>
      </c>
      <c r="Q55" s="96" t="s">
        <v>361</v>
      </c>
      <c r="R55" s="96" t="s">
        <v>361</v>
      </c>
      <c r="S55" s="184" t="s">
        <v>361</v>
      </c>
    </row>
    <row r="56" spans="1:19" s="20" customFormat="1" x14ac:dyDescent="0.2">
      <c r="A56" s="37" t="s">
        <v>362</v>
      </c>
      <c r="B56" s="129" t="s">
        <v>356</v>
      </c>
      <c r="C56" s="96" t="s">
        <v>362</v>
      </c>
      <c r="D56" s="96" t="s">
        <v>362</v>
      </c>
      <c r="E56" s="96" t="s">
        <v>362</v>
      </c>
      <c r="F56" s="96" t="s">
        <v>362</v>
      </c>
      <c r="G56" s="96" t="s">
        <v>362</v>
      </c>
      <c r="H56" s="96" t="s">
        <v>362</v>
      </c>
      <c r="I56" s="96" t="s">
        <v>362</v>
      </c>
      <c r="J56" s="96" t="s">
        <v>362</v>
      </c>
      <c r="K56" s="96" t="s">
        <v>362</v>
      </c>
      <c r="L56" s="96" t="s">
        <v>362</v>
      </c>
      <c r="M56" s="96" t="s">
        <v>362</v>
      </c>
      <c r="N56" s="96" t="s">
        <v>362</v>
      </c>
      <c r="O56" s="96" t="s">
        <v>362</v>
      </c>
      <c r="P56" s="96" t="s">
        <v>362</v>
      </c>
      <c r="Q56" s="96" t="s">
        <v>362</v>
      </c>
      <c r="R56" s="96" t="s">
        <v>362</v>
      </c>
      <c r="S56" s="184" t="s">
        <v>362</v>
      </c>
    </row>
    <row r="57" spans="1:19" s="20" customFormat="1" x14ac:dyDescent="0.2">
      <c r="A57" s="37" t="s">
        <v>363</v>
      </c>
      <c r="B57" s="129" t="s">
        <v>357</v>
      </c>
      <c r="C57" s="96" t="s">
        <v>363</v>
      </c>
      <c r="D57" s="96" t="s">
        <v>363</v>
      </c>
      <c r="E57" s="96" t="s">
        <v>363</v>
      </c>
      <c r="F57" s="96" t="s">
        <v>363</v>
      </c>
      <c r="G57" s="96" t="s">
        <v>363</v>
      </c>
      <c r="H57" s="96" t="s">
        <v>363</v>
      </c>
      <c r="I57" s="96" t="s">
        <v>363</v>
      </c>
      <c r="J57" s="96" t="s">
        <v>363</v>
      </c>
      <c r="K57" s="96" t="s">
        <v>363</v>
      </c>
      <c r="L57" s="96" t="s">
        <v>363</v>
      </c>
      <c r="M57" s="96" t="s">
        <v>363</v>
      </c>
      <c r="N57" s="96" t="s">
        <v>363</v>
      </c>
      <c r="O57" s="96" t="s">
        <v>363</v>
      </c>
      <c r="P57" s="96" t="s">
        <v>363</v>
      </c>
      <c r="Q57" s="96" t="s">
        <v>363</v>
      </c>
      <c r="R57" s="96" t="s">
        <v>363</v>
      </c>
      <c r="S57" s="184" t="s">
        <v>363</v>
      </c>
    </row>
    <row r="58" spans="1:19" s="20" customFormat="1" x14ac:dyDescent="0.2">
      <c r="A58" s="24" t="s">
        <v>364</v>
      </c>
      <c r="B58" s="129" t="s">
        <v>358</v>
      </c>
      <c r="C58" s="96" t="s">
        <v>364</v>
      </c>
      <c r="D58" s="96" t="s">
        <v>364</v>
      </c>
      <c r="E58" s="96" t="s">
        <v>364</v>
      </c>
      <c r="F58" s="96" t="s">
        <v>364</v>
      </c>
      <c r="G58" s="96" t="s">
        <v>364</v>
      </c>
      <c r="H58" s="96" t="s">
        <v>364</v>
      </c>
      <c r="I58" s="96" t="s">
        <v>364</v>
      </c>
      <c r="J58" s="96" t="s">
        <v>364</v>
      </c>
      <c r="K58" s="96" t="s">
        <v>364</v>
      </c>
      <c r="L58" s="96" t="s">
        <v>364</v>
      </c>
      <c r="M58" s="96" t="s">
        <v>364</v>
      </c>
      <c r="N58" s="96" t="s">
        <v>364</v>
      </c>
      <c r="O58" s="96" t="s">
        <v>364</v>
      </c>
      <c r="P58" s="96" t="s">
        <v>364</v>
      </c>
      <c r="Q58" s="96" t="s">
        <v>364</v>
      </c>
      <c r="R58" s="96" t="s">
        <v>364</v>
      </c>
      <c r="S58" s="184" t="s">
        <v>364</v>
      </c>
    </row>
    <row r="59" spans="1:19" s="20" customFormat="1" x14ac:dyDescent="0.2">
      <c r="A59" s="24" t="s">
        <v>364</v>
      </c>
      <c r="B59" s="129" t="s">
        <v>359</v>
      </c>
      <c r="C59" s="96" t="s">
        <v>364</v>
      </c>
      <c r="D59" s="96" t="s">
        <v>364</v>
      </c>
      <c r="E59" s="96" t="s">
        <v>364</v>
      </c>
      <c r="F59" s="96" t="s">
        <v>364</v>
      </c>
      <c r="G59" s="96" t="s">
        <v>364</v>
      </c>
      <c r="H59" s="96" t="s">
        <v>364</v>
      </c>
      <c r="I59" s="96" t="s">
        <v>364</v>
      </c>
      <c r="J59" s="96" t="s">
        <v>364</v>
      </c>
      <c r="K59" s="96" t="s">
        <v>364</v>
      </c>
      <c r="L59" s="96" t="s">
        <v>364</v>
      </c>
      <c r="M59" s="96" t="s">
        <v>364</v>
      </c>
      <c r="N59" s="96" t="s">
        <v>364</v>
      </c>
      <c r="O59" s="96" t="s">
        <v>364</v>
      </c>
      <c r="P59" s="96" t="s">
        <v>364</v>
      </c>
      <c r="Q59" s="96" t="s">
        <v>364</v>
      </c>
      <c r="R59" s="96" t="s">
        <v>364</v>
      </c>
      <c r="S59" s="184" t="s">
        <v>364</v>
      </c>
    </row>
    <row r="60" spans="1:19" s="20" customFormat="1" x14ac:dyDescent="0.2">
      <c r="A60" s="24" t="s">
        <v>364</v>
      </c>
      <c r="B60" s="130" t="s">
        <v>360</v>
      </c>
      <c r="C60" s="170" t="s">
        <v>364</v>
      </c>
      <c r="D60" s="170" t="s">
        <v>364</v>
      </c>
      <c r="E60" s="170" t="s">
        <v>364</v>
      </c>
      <c r="F60" s="170" t="s">
        <v>364</v>
      </c>
      <c r="G60" s="170" t="s">
        <v>364</v>
      </c>
      <c r="H60" s="170" t="s">
        <v>364</v>
      </c>
      <c r="I60" s="170" t="s">
        <v>364</v>
      </c>
      <c r="J60" s="170" t="s">
        <v>364</v>
      </c>
      <c r="K60" s="170" t="s">
        <v>364</v>
      </c>
      <c r="L60" s="170" t="s">
        <v>364</v>
      </c>
      <c r="M60" s="170" t="s">
        <v>364</v>
      </c>
      <c r="N60" s="170" t="s">
        <v>364</v>
      </c>
      <c r="O60" s="170" t="s">
        <v>364</v>
      </c>
      <c r="P60" s="170" t="s">
        <v>364</v>
      </c>
      <c r="Q60" s="170" t="s">
        <v>364</v>
      </c>
      <c r="R60" s="170" t="s">
        <v>364</v>
      </c>
      <c r="S60" s="190" t="s">
        <v>364</v>
      </c>
    </row>
    <row r="61" spans="1:19" s="20" customFormat="1" x14ac:dyDescent="0.2">
      <c r="A61" s="24"/>
    </row>
    <row r="62" spans="1:19" s="20" customFormat="1" x14ac:dyDescent="0.2">
      <c r="A62" s="99" t="s">
        <v>9</v>
      </c>
      <c r="B62" s="18" t="str">
        <f ca="1">GetNameRange(B63)</f>
        <v>RefinanceRatePct</v>
      </c>
    </row>
    <row r="63" spans="1:19" s="20" customFormat="1" x14ac:dyDescent="0.2">
      <c r="A63" s="99" t="s">
        <v>367</v>
      </c>
      <c r="B63" s="69" t="s">
        <v>316</v>
      </c>
      <c r="C63" s="213" t="s">
        <v>456</v>
      </c>
      <c r="D63" s="213" t="s">
        <v>467</v>
      </c>
    </row>
    <row r="64" spans="1:19" s="20" customFormat="1" x14ac:dyDescent="0.2">
      <c r="A64" s="24"/>
      <c r="B64" s="100" t="s">
        <v>90</v>
      </c>
      <c r="C64" s="42"/>
      <c r="D64" s="44"/>
    </row>
    <row r="65" spans="1:4" s="20" customFormat="1" x14ac:dyDescent="0.2">
      <c r="A65" s="90">
        <v>0</v>
      </c>
      <c r="B65" s="105">
        <v>1</v>
      </c>
      <c r="C65" s="94">
        <v>0</v>
      </c>
      <c r="D65" s="103">
        <v>0</v>
      </c>
    </row>
    <row r="66" spans="1:4" s="20" customFormat="1" x14ac:dyDescent="0.2">
      <c r="A66" s="90">
        <v>0</v>
      </c>
      <c r="B66" s="106">
        <v>999</v>
      </c>
      <c r="C66" s="95">
        <v>0</v>
      </c>
      <c r="D66" s="104">
        <v>0</v>
      </c>
    </row>
    <row r="67" spans="1:4" s="20" customFormat="1" x14ac:dyDescent="0.2">
      <c r="A67" s="24"/>
    </row>
    <row r="68" spans="1:4" s="20" customFormat="1" x14ac:dyDescent="0.2">
      <c r="A68" s="99" t="s">
        <v>9</v>
      </c>
      <c r="B68" s="18" t="str">
        <f ca="1">GetNameRange(B69)</f>
        <v>RefinanceRateMultSinceIssue</v>
      </c>
    </row>
    <row r="69" spans="1:4" s="20" customFormat="1" x14ac:dyDescent="0.2">
      <c r="A69" s="99" t="s">
        <v>367</v>
      </c>
      <c r="B69" s="69" t="s">
        <v>316</v>
      </c>
      <c r="C69" s="213" t="s">
        <v>456</v>
      </c>
      <c r="D69" s="213" t="s">
        <v>467</v>
      </c>
    </row>
    <row r="70" spans="1:4" s="20" customFormat="1" x14ac:dyDescent="0.2">
      <c r="A70" s="24"/>
      <c r="B70" s="100" t="s">
        <v>90</v>
      </c>
      <c r="C70" s="42"/>
      <c r="D70" s="44"/>
    </row>
    <row r="71" spans="1:4" s="20" customFormat="1" x14ac:dyDescent="0.2">
      <c r="A71" s="107">
        <v>1</v>
      </c>
      <c r="B71" s="105">
        <v>1</v>
      </c>
      <c r="C71" s="108">
        <v>1</v>
      </c>
      <c r="D71" s="109">
        <v>1</v>
      </c>
    </row>
    <row r="72" spans="1:4" s="20" customFormat="1" x14ac:dyDescent="0.2">
      <c r="A72" s="107">
        <v>1</v>
      </c>
      <c r="B72" s="106">
        <v>999</v>
      </c>
      <c r="C72" s="110">
        <v>1</v>
      </c>
      <c r="D72" s="111">
        <v>1</v>
      </c>
    </row>
    <row r="73" spans="1:4" s="20" customFormat="1" x14ac:dyDescent="0.2">
      <c r="A73" s="24"/>
    </row>
    <row r="74" spans="1:4" s="20" customFormat="1" x14ac:dyDescent="0.2">
      <c r="A74" s="99" t="s">
        <v>9</v>
      </c>
      <c r="B74" s="18" t="str">
        <f ca="1">GetNameRange(B75)</f>
        <v>RefinanceRateMultBefMaturity</v>
      </c>
    </row>
    <row r="75" spans="1:4" s="20" customFormat="1" x14ac:dyDescent="0.2">
      <c r="A75" s="99" t="s">
        <v>367</v>
      </c>
      <c r="B75" s="69" t="s">
        <v>316</v>
      </c>
      <c r="C75" s="213" t="s">
        <v>456</v>
      </c>
      <c r="D75" s="213" t="s">
        <v>467</v>
      </c>
    </row>
    <row r="76" spans="1:4" s="20" customFormat="1" x14ac:dyDescent="0.2">
      <c r="A76" s="24"/>
      <c r="B76" s="100" t="s">
        <v>370</v>
      </c>
      <c r="C76" s="42"/>
      <c r="D76" s="44"/>
    </row>
    <row r="77" spans="1:4" s="20" customFormat="1" x14ac:dyDescent="0.2">
      <c r="A77" s="107">
        <v>1</v>
      </c>
      <c r="B77" s="105">
        <v>1</v>
      </c>
      <c r="C77" s="108">
        <v>1</v>
      </c>
      <c r="D77" s="109">
        <v>1</v>
      </c>
    </row>
    <row r="78" spans="1:4" s="20" customFormat="1" x14ac:dyDescent="0.2">
      <c r="A78" s="107">
        <v>1</v>
      </c>
      <c r="B78" s="106">
        <v>999</v>
      </c>
      <c r="C78" s="110">
        <v>1</v>
      </c>
      <c r="D78" s="111">
        <v>1</v>
      </c>
    </row>
    <row r="79" spans="1:4" s="20" customFormat="1" x14ac:dyDescent="0.2">
      <c r="A79" s="24"/>
    </row>
    <row r="80" spans="1:4" s="20" customFormat="1" x14ac:dyDescent="0.2">
      <c r="A80" s="99" t="s">
        <v>9</v>
      </c>
      <c r="B80" s="18" t="str">
        <f ca="1">GetNameRange(B81)</f>
        <v>ForeclosureRatePct</v>
      </c>
    </row>
    <row r="81" spans="1:4" s="20" customFormat="1" x14ac:dyDescent="0.2">
      <c r="A81" s="99" t="s">
        <v>367</v>
      </c>
      <c r="B81" s="69" t="s">
        <v>316</v>
      </c>
      <c r="C81" s="213" t="s">
        <v>456</v>
      </c>
      <c r="D81" s="213" t="s">
        <v>467</v>
      </c>
    </row>
    <row r="82" spans="1:4" s="20" customFormat="1" x14ac:dyDescent="0.2">
      <c r="A82" s="24"/>
      <c r="B82" s="100" t="s">
        <v>90</v>
      </c>
      <c r="C82" s="42"/>
      <c r="D82" s="44"/>
    </row>
    <row r="83" spans="1:4" s="20" customFormat="1" x14ac:dyDescent="0.2">
      <c r="A83" s="90">
        <v>0</v>
      </c>
      <c r="B83" s="105">
        <v>1</v>
      </c>
      <c r="C83" s="94">
        <v>0</v>
      </c>
      <c r="D83" s="103">
        <v>0</v>
      </c>
    </row>
    <row r="84" spans="1:4" s="20" customFormat="1" x14ac:dyDescent="0.2">
      <c r="A84" s="90">
        <v>0</v>
      </c>
      <c r="B84" s="106">
        <v>999</v>
      </c>
      <c r="C84" s="95">
        <v>0</v>
      </c>
      <c r="D84" s="104">
        <v>0</v>
      </c>
    </row>
    <row r="85" spans="1:4" s="20" customFormat="1" x14ac:dyDescent="0.2">
      <c r="A85" s="24"/>
    </row>
    <row r="86" spans="1:4" s="20" customFormat="1" x14ac:dyDescent="0.2">
      <c r="A86" s="99" t="s">
        <v>9</v>
      </c>
      <c r="B86" s="18" t="str">
        <f ca="1">GetNameRange(B87)</f>
        <v>ForeclosureRateMultMthsSinceIssue</v>
      </c>
    </row>
    <row r="87" spans="1:4" s="20" customFormat="1" x14ac:dyDescent="0.2">
      <c r="A87" s="99" t="s">
        <v>367</v>
      </c>
      <c r="B87" s="69" t="s">
        <v>316</v>
      </c>
      <c r="C87" s="213" t="s">
        <v>456</v>
      </c>
      <c r="D87" s="213" t="s">
        <v>467</v>
      </c>
    </row>
    <row r="88" spans="1:4" s="20" customFormat="1" x14ac:dyDescent="0.2">
      <c r="A88" s="24"/>
      <c r="B88" s="100" t="s">
        <v>90</v>
      </c>
      <c r="C88" s="42"/>
      <c r="D88" s="44"/>
    </row>
    <row r="89" spans="1:4" s="20" customFormat="1" x14ac:dyDescent="0.2">
      <c r="A89" s="107">
        <v>1</v>
      </c>
      <c r="B89" s="105">
        <v>1</v>
      </c>
      <c r="C89" s="108">
        <v>1</v>
      </c>
      <c r="D89" s="109">
        <v>1</v>
      </c>
    </row>
    <row r="90" spans="1:4" s="20" customFormat="1" x14ac:dyDescent="0.2">
      <c r="A90" s="107">
        <v>1</v>
      </c>
      <c r="B90" s="106">
        <v>999</v>
      </c>
      <c r="C90" s="110">
        <v>1</v>
      </c>
      <c r="D90" s="111">
        <v>1</v>
      </c>
    </row>
    <row r="91" spans="1:4" s="20" customFormat="1" x14ac:dyDescent="0.2">
      <c r="A91" s="24"/>
    </row>
    <row r="92" spans="1:4" s="20" customFormat="1" x14ac:dyDescent="0.2">
      <c r="A92" s="99" t="s">
        <v>9</v>
      </c>
      <c r="B92" s="18" t="str">
        <f ca="1">GetNameRange(B93)</f>
        <v>ForeclosureRateMultMthsBefMaturity</v>
      </c>
    </row>
    <row r="93" spans="1:4" s="20" customFormat="1" x14ac:dyDescent="0.2">
      <c r="A93" s="99" t="s">
        <v>367</v>
      </c>
      <c r="B93" s="69" t="s">
        <v>316</v>
      </c>
      <c r="C93" s="213" t="s">
        <v>456</v>
      </c>
      <c r="D93" s="213" t="s">
        <v>467</v>
      </c>
    </row>
    <row r="94" spans="1:4" s="20" customFormat="1" x14ac:dyDescent="0.2">
      <c r="A94" s="24"/>
      <c r="B94" s="100" t="s">
        <v>370</v>
      </c>
      <c r="C94" s="42"/>
      <c r="D94" s="44"/>
    </row>
    <row r="95" spans="1:4" s="20" customFormat="1" x14ac:dyDescent="0.2">
      <c r="A95" s="107">
        <v>1</v>
      </c>
      <c r="B95" s="105">
        <v>1</v>
      </c>
      <c r="C95" s="108">
        <v>1</v>
      </c>
      <c r="D95" s="109">
        <v>1</v>
      </c>
    </row>
    <row r="96" spans="1:4" s="20" customFormat="1" x14ac:dyDescent="0.2">
      <c r="A96" s="107">
        <v>1</v>
      </c>
      <c r="B96" s="106">
        <v>999</v>
      </c>
      <c r="C96" s="110">
        <v>1</v>
      </c>
      <c r="D96" s="111">
        <v>1</v>
      </c>
    </row>
    <row r="97" spans="1:4" s="20" customFormat="1" x14ac:dyDescent="0.2">
      <c r="A97" s="24"/>
    </row>
    <row r="98" spans="1:4" s="20" customFormat="1" x14ac:dyDescent="0.2">
      <c r="A98" s="99" t="s">
        <v>9</v>
      </c>
      <c r="B98" s="18" t="str">
        <f ca="1">GetNameRange(B99)</f>
        <v>RestructureRatePct</v>
      </c>
    </row>
    <row r="99" spans="1:4" s="20" customFormat="1" x14ac:dyDescent="0.2">
      <c r="A99" s="99" t="s">
        <v>367</v>
      </c>
      <c r="B99" s="69" t="s">
        <v>316</v>
      </c>
      <c r="C99" s="213" t="s">
        <v>456</v>
      </c>
      <c r="D99" s="213" t="s">
        <v>467</v>
      </c>
    </row>
    <row r="100" spans="1:4" s="20" customFormat="1" x14ac:dyDescent="0.2">
      <c r="A100" s="24"/>
      <c r="B100" s="100" t="s">
        <v>90</v>
      </c>
      <c r="C100" s="42"/>
      <c r="D100" s="44"/>
    </row>
    <row r="101" spans="1:4" s="20" customFormat="1" x14ac:dyDescent="0.2">
      <c r="A101" s="90">
        <v>0</v>
      </c>
      <c r="B101" s="105">
        <v>1</v>
      </c>
      <c r="C101" s="94">
        <v>0</v>
      </c>
      <c r="D101" s="103">
        <v>0</v>
      </c>
    </row>
    <row r="102" spans="1:4" s="20" customFormat="1" x14ac:dyDescent="0.2">
      <c r="A102" s="90">
        <v>0</v>
      </c>
      <c r="B102" s="106">
        <v>999</v>
      </c>
      <c r="C102" s="95">
        <v>0</v>
      </c>
      <c r="D102" s="104">
        <v>0</v>
      </c>
    </row>
    <row r="103" spans="1:4" s="20" customFormat="1" x14ac:dyDescent="0.2">
      <c r="A103" s="24"/>
    </row>
    <row r="104" spans="1:4" s="20" customFormat="1" x14ac:dyDescent="0.2">
      <c r="A104" s="99" t="s">
        <v>9</v>
      </c>
      <c r="B104" s="18" t="str">
        <f ca="1">GetNameRange(B105)</f>
        <v>RestructureRateMultMthsSinceIssue</v>
      </c>
    </row>
    <row r="105" spans="1:4" s="20" customFormat="1" x14ac:dyDescent="0.2">
      <c r="A105" s="99" t="s">
        <v>367</v>
      </c>
      <c r="B105" s="69" t="s">
        <v>316</v>
      </c>
      <c r="C105" s="213" t="s">
        <v>456</v>
      </c>
      <c r="D105" s="213" t="s">
        <v>467</v>
      </c>
    </row>
    <row r="106" spans="1:4" s="20" customFormat="1" x14ac:dyDescent="0.2">
      <c r="A106" s="24"/>
      <c r="B106" s="100" t="s">
        <v>90</v>
      </c>
      <c r="C106" s="42"/>
      <c r="D106" s="44"/>
    </row>
    <row r="107" spans="1:4" s="20" customFormat="1" x14ac:dyDescent="0.2">
      <c r="A107" s="107">
        <v>1</v>
      </c>
      <c r="B107" s="105">
        <v>1</v>
      </c>
      <c r="C107" s="108">
        <v>1</v>
      </c>
      <c r="D107" s="109">
        <v>1</v>
      </c>
    </row>
    <row r="108" spans="1:4" s="20" customFormat="1" x14ac:dyDescent="0.2">
      <c r="A108" s="107">
        <v>1</v>
      </c>
      <c r="B108" s="106">
        <v>999</v>
      </c>
      <c r="C108" s="110">
        <v>1</v>
      </c>
      <c r="D108" s="111">
        <v>1</v>
      </c>
    </row>
    <row r="109" spans="1:4" s="20" customFormat="1" x14ac:dyDescent="0.2">
      <c r="A109" s="24"/>
    </row>
    <row r="110" spans="1:4" s="20" customFormat="1" x14ac:dyDescent="0.2">
      <c r="A110" s="99" t="s">
        <v>9</v>
      </c>
      <c r="B110" s="18" t="str">
        <f ca="1">GetNameRange(B111)</f>
        <v>RestructureRateMultMthsBefMaturity</v>
      </c>
    </row>
    <row r="111" spans="1:4" s="20" customFormat="1" x14ac:dyDescent="0.2">
      <c r="A111" s="99" t="s">
        <v>367</v>
      </c>
      <c r="B111" s="69" t="s">
        <v>316</v>
      </c>
      <c r="C111" s="213" t="s">
        <v>456</v>
      </c>
      <c r="D111" s="213" t="s">
        <v>467</v>
      </c>
    </row>
    <row r="112" spans="1:4" s="20" customFormat="1" x14ac:dyDescent="0.2">
      <c r="A112" s="24"/>
      <c r="B112" s="100" t="s">
        <v>370</v>
      </c>
      <c r="C112" s="42"/>
      <c r="D112" s="44"/>
    </row>
    <row r="113" spans="1:4" s="20" customFormat="1" x14ac:dyDescent="0.2">
      <c r="A113" s="107">
        <v>1</v>
      </c>
      <c r="B113" s="105">
        <v>1</v>
      </c>
      <c r="C113" s="108">
        <v>1</v>
      </c>
      <c r="D113" s="109">
        <v>1</v>
      </c>
    </row>
    <row r="114" spans="1:4" s="20" customFormat="1" x14ac:dyDescent="0.2">
      <c r="A114" s="107">
        <v>1</v>
      </c>
      <c r="B114" s="106">
        <v>999</v>
      </c>
      <c r="C114" s="110">
        <v>1</v>
      </c>
      <c r="D114" s="111">
        <v>1</v>
      </c>
    </row>
    <row r="115" spans="1:4" s="20" customFormat="1" x14ac:dyDescent="0.2">
      <c r="A115" s="24"/>
    </row>
    <row r="116" spans="1:4" s="20" customFormat="1" x14ac:dyDescent="0.2">
      <c r="A116" s="99" t="s">
        <v>9</v>
      </c>
      <c r="B116" s="18" t="str">
        <f ca="1">GetNameRange(B117)</f>
        <v>SinkingFundPrinPmtPct</v>
      </c>
    </row>
    <row r="117" spans="1:4" s="20" customFormat="1" x14ac:dyDescent="0.2">
      <c r="A117" s="99" t="s">
        <v>367</v>
      </c>
      <c r="B117" s="69" t="s">
        <v>392</v>
      </c>
      <c r="C117" s="51" t="s">
        <v>449</v>
      </c>
      <c r="D117" s="52" t="s">
        <v>450</v>
      </c>
    </row>
    <row r="118" spans="1:4" s="20" customFormat="1" x14ac:dyDescent="0.2">
      <c r="A118" s="24"/>
      <c r="B118" s="100" t="s">
        <v>238</v>
      </c>
      <c r="C118" s="53"/>
      <c r="D118" s="54"/>
    </row>
    <row r="119" spans="1:4" s="20" customFormat="1" x14ac:dyDescent="0.2">
      <c r="A119" s="91">
        <v>0</v>
      </c>
      <c r="B119" s="120">
        <v>1</v>
      </c>
      <c r="C119" s="94">
        <v>0</v>
      </c>
      <c r="D119" s="103">
        <v>0</v>
      </c>
    </row>
    <row r="120" spans="1:4" s="20" customFormat="1" x14ac:dyDescent="0.2">
      <c r="A120" s="91">
        <v>0</v>
      </c>
      <c r="B120" s="122">
        <v>2958101</v>
      </c>
      <c r="C120" s="95">
        <v>0</v>
      </c>
      <c r="D120" s="104">
        <v>0</v>
      </c>
    </row>
    <row r="121" spans="1:4" s="20" customFormat="1" x14ac:dyDescent="0.2">
      <c r="A121" s="24"/>
    </row>
    <row r="122" spans="1:4" s="20" customFormat="1" x14ac:dyDescent="0.2">
      <c r="A122" s="99" t="s">
        <v>9</v>
      </c>
      <c r="B122" s="18" t="str">
        <f ca="1">GetNameRange(B123)</f>
        <v>BalloonPrinPmtPct</v>
      </c>
    </row>
    <row r="123" spans="1:4" s="20" customFormat="1" x14ac:dyDescent="0.2">
      <c r="A123" s="99" t="s">
        <v>367</v>
      </c>
      <c r="B123" s="142" t="s">
        <v>392</v>
      </c>
      <c r="C123" s="231" t="s">
        <v>442</v>
      </c>
      <c r="D123" s="232" t="s">
        <v>443</v>
      </c>
    </row>
    <row r="124" spans="1:4" s="20" customFormat="1" x14ac:dyDescent="0.2">
      <c r="A124" s="24"/>
      <c r="B124" s="167" t="s">
        <v>238</v>
      </c>
      <c r="C124" s="53"/>
      <c r="D124" s="172"/>
    </row>
    <row r="125" spans="1:4" s="20" customFormat="1" x14ac:dyDescent="0.2">
      <c r="A125" s="91">
        <v>0</v>
      </c>
      <c r="B125" s="233">
        <v>1</v>
      </c>
      <c r="C125" s="94">
        <v>0</v>
      </c>
      <c r="D125" s="234">
        <v>0</v>
      </c>
    </row>
    <row r="126" spans="1:4" s="20" customFormat="1" x14ac:dyDescent="0.2">
      <c r="A126" s="91">
        <v>0</v>
      </c>
      <c r="B126" s="235">
        <v>2958101</v>
      </c>
      <c r="C126" s="236">
        <v>0</v>
      </c>
      <c r="D126" s="237">
        <v>0</v>
      </c>
    </row>
    <row r="127" spans="1:4" s="20" customFormat="1" x14ac:dyDescent="0.2">
      <c r="A127" s="24"/>
    </row>
    <row r="128" spans="1:4" s="20" customFormat="1" x14ac:dyDescent="0.2">
      <c r="A128" s="99" t="s">
        <v>9</v>
      </c>
      <c r="B128" s="18" t="str">
        <f ca="1">GetNameRange(B129)</f>
        <v>CallPutPricePct</v>
      </c>
    </row>
    <row r="129" spans="1:11" s="20" customFormat="1" x14ac:dyDescent="0.2">
      <c r="A129" s="99" t="s">
        <v>367</v>
      </c>
      <c r="B129" s="69" t="s">
        <v>392</v>
      </c>
      <c r="C129" s="51" t="s">
        <v>449</v>
      </c>
      <c r="D129" s="51" t="s">
        <v>450</v>
      </c>
      <c r="E129" s="51" t="s">
        <v>451</v>
      </c>
      <c r="F129" s="51" t="s">
        <v>452</v>
      </c>
      <c r="G129" s="52" t="s">
        <v>453</v>
      </c>
    </row>
    <row r="130" spans="1:11" s="20" customFormat="1" x14ac:dyDescent="0.2">
      <c r="A130" s="24"/>
      <c r="B130" s="68" t="s">
        <v>365</v>
      </c>
      <c r="C130" s="53" t="s">
        <v>393</v>
      </c>
      <c r="D130" s="53" t="s">
        <v>393</v>
      </c>
      <c r="E130" s="53" t="s">
        <v>393</v>
      </c>
      <c r="F130" s="53" t="s">
        <v>394</v>
      </c>
      <c r="G130" s="54" t="s">
        <v>394</v>
      </c>
    </row>
    <row r="131" spans="1:11" s="20" customFormat="1" x14ac:dyDescent="0.2">
      <c r="A131" s="24"/>
      <c r="B131" s="100" t="s">
        <v>238</v>
      </c>
      <c r="C131" s="53"/>
      <c r="D131" s="53"/>
      <c r="E131" s="53"/>
      <c r="F131" s="53"/>
      <c r="G131" s="54"/>
    </row>
    <row r="132" spans="1:11" s="20" customFormat="1" x14ac:dyDescent="0.2">
      <c r="A132" s="91">
        <v>1</v>
      </c>
      <c r="B132" s="120">
        <v>1</v>
      </c>
      <c r="C132" s="94">
        <v>1</v>
      </c>
      <c r="D132" s="94">
        <v>1</v>
      </c>
      <c r="E132" s="94">
        <v>1</v>
      </c>
      <c r="F132" s="94">
        <v>1</v>
      </c>
      <c r="G132" s="103">
        <v>1</v>
      </c>
    </row>
    <row r="133" spans="1:11" s="20" customFormat="1" x14ac:dyDescent="0.2">
      <c r="A133" s="91">
        <v>1</v>
      </c>
      <c r="B133" s="122">
        <v>2958101</v>
      </c>
      <c r="C133" s="95">
        <v>1</v>
      </c>
      <c r="D133" s="95">
        <v>1</v>
      </c>
      <c r="E133" s="95">
        <v>1</v>
      </c>
      <c r="F133" s="95">
        <v>1</v>
      </c>
      <c r="G133" s="104">
        <v>1</v>
      </c>
    </row>
    <row r="134" spans="1:11" s="20" customFormat="1" x14ac:dyDescent="0.2">
      <c r="A134" s="24"/>
    </row>
    <row r="135" spans="1:11" s="20" customFormat="1" x14ac:dyDescent="0.2">
      <c r="A135" s="99" t="s">
        <v>9</v>
      </c>
      <c r="B135" s="18" t="str">
        <f ca="1">GetNameRange(B136)</f>
        <v>PrepmtPenaltyPct</v>
      </c>
    </row>
    <row r="136" spans="1:11" s="20" customFormat="1" x14ac:dyDescent="0.2">
      <c r="A136" s="99" t="s">
        <v>367</v>
      </c>
      <c r="B136" s="69" t="s">
        <v>392</v>
      </c>
      <c r="C136" s="51" t="s">
        <v>442</v>
      </c>
      <c r="D136" s="52" t="s">
        <v>443</v>
      </c>
    </row>
    <row r="137" spans="1:11" s="20" customFormat="1" x14ac:dyDescent="0.2">
      <c r="A137" s="24"/>
      <c r="B137" s="100" t="s">
        <v>238</v>
      </c>
      <c r="C137" s="53"/>
      <c r="D137" s="54"/>
    </row>
    <row r="138" spans="1:11" s="20" customFormat="1" x14ac:dyDescent="0.2">
      <c r="A138" s="91">
        <v>0</v>
      </c>
      <c r="B138" s="120">
        <v>1</v>
      </c>
      <c r="C138" s="94">
        <v>0</v>
      </c>
      <c r="D138" s="103">
        <v>0</v>
      </c>
    </row>
    <row r="139" spans="1:11" s="20" customFormat="1" x14ac:dyDescent="0.2">
      <c r="A139" s="91">
        <v>0</v>
      </c>
      <c r="B139" s="122">
        <v>2958101</v>
      </c>
      <c r="C139" s="95">
        <v>0</v>
      </c>
      <c r="D139" s="104">
        <v>0</v>
      </c>
    </row>
    <row r="140" spans="1:11" s="20" customFormat="1" x14ac:dyDescent="0.2">
      <c r="A140" s="24"/>
    </row>
    <row r="141" spans="1:11" x14ac:dyDescent="0.2">
      <c r="A141" s="99" t="s">
        <v>9</v>
      </c>
      <c r="B141" s="18" t="str">
        <f ca="1">GetNameRange(B142)</f>
        <v>CallPutExercisePct</v>
      </c>
      <c r="I141" s="20"/>
      <c r="J141" s="20"/>
      <c r="K141" s="20"/>
    </row>
    <row r="142" spans="1:11" x14ac:dyDescent="0.2">
      <c r="A142" s="99" t="s">
        <v>367</v>
      </c>
      <c r="B142" s="69" t="s">
        <v>316</v>
      </c>
      <c r="C142" s="213" t="s">
        <v>456</v>
      </c>
      <c r="D142" s="213" t="s">
        <v>467</v>
      </c>
      <c r="E142" s="213" t="s">
        <v>456</v>
      </c>
      <c r="F142" s="213" t="s">
        <v>467</v>
      </c>
      <c r="G142" s="213" t="s">
        <v>456</v>
      </c>
      <c r="H142" s="213" t="s">
        <v>467</v>
      </c>
      <c r="I142" s="20"/>
      <c r="J142" s="20"/>
      <c r="K142" s="20"/>
    </row>
    <row r="143" spans="1:11" x14ac:dyDescent="0.2">
      <c r="B143" s="68" t="s">
        <v>365</v>
      </c>
      <c r="C143" s="32" t="s">
        <v>236</v>
      </c>
      <c r="D143" s="32" t="s">
        <v>237</v>
      </c>
      <c r="E143" s="32" t="s">
        <v>236</v>
      </c>
      <c r="F143" s="32" t="s">
        <v>237</v>
      </c>
      <c r="G143" s="32" t="s">
        <v>236</v>
      </c>
      <c r="H143" s="29" t="s">
        <v>237</v>
      </c>
      <c r="I143" s="20"/>
      <c r="J143" s="20"/>
      <c r="K143" s="20"/>
    </row>
    <row r="144" spans="1:11" x14ac:dyDescent="0.2">
      <c r="B144" s="100" t="s">
        <v>366</v>
      </c>
      <c r="C144" s="32"/>
      <c r="D144" s="32"/>
      <c r="E144" s="32"/>
      <c r="F144" s="32"/>
      <c r="G144" s="32"/>
      <c r="H144" s="29"/>
      <c r="I144" s="20"/>
      <c r="J144" s="20"/>
      <c r="K144" s="20"/>
    </row>
    <row r="145" spans="1:11" x14ac:dyDescent="0.2">
      <c r="A145" s="93">
        <v>0</v>
      </c>
      <c r="B145" s="101">
        <v>0</v>
      </c>
      <c r="C145" s="94">
        <v>0</v>
      </c>
      <c r="D145" s="94">
        <v>0</v>
      </c>
      <c r="E145" s="94">
        <v>0</v>
      </c>
      <c r="F145" s="94">
        <v>0</v>
      </c>
      <c r="G145" s="94">
        <v>0</v>
      </c>
      <c r="H145" s="103">
        <v>0</v>
      </c>
      <c r="I145" s="20"/>
      <c r="J145" s="20"/>
      <c r="K145" s="20"/>
    </row>
    <row r="146" spans="1:11" x14ac:dyDescent="0.2">
      <c r="A146" s="93">
        <v>0</v>
      </c>
      <c r="B146" s="101">
        <v>1.9900000000000001E-2</v>
      </c>
      <c r="C146" s="94">
        <v>0</v>
      </c>
      <c r="D146" s="94">
        <v>0</v>
      </c>
      <c r="E146" s="94">
        <v>0</v>
      </c>
      <c r="F146" s="94">
        <v>0</v>
      </c>
      <c r="G146" s="94">
        <v>0</v>
      </c>
      <c r="H146" s="103">
        <v>0</v>
      </c>
      <c r="I146" s="20"/>
      <c r="J146" s="20"/>
      <c r="K146" s="20"/>
    </row>
    <row r="147" spans="1:11" x14ac:dyDescent="0.2">
      <c r="A147" s="93">
        <v>0</v>
      </c>
      <c r="B147" s="102">
        <v>0.02</v>
      </c>
      <c r="C147" s="95">
        <v>0</v>
      </c>
      <c r="D147" s="95">
        <v>0</v>
      </c>
      <c r="E147" s="95">
        <v>0</v>
      </c>
      <c r="F147" s="95">
        <v>0</v>
      </c>
      <c r="G147" s="95">
        <v>0</v>
      </c>
      <c r="H147" s="104">
        <v>0</v>
      </c>
      <c r="I147" s="20"/>
      <c r="J147" s="20"/>
      <c r="K147" s="20"/>
    </row>
    <row r="148" spans="1:11" x14ac:dyDescent="0.2">
      <c r="I148" s="20"/>
      <c r="J148" s="20"/>
      <c r="K148" s="20"/>
    </row>
    <row r="149" spans="1:11" x14ac:dyDescent="0.2">
      <c r="A149" s="99" t="s">
        <v>9</v>
      </c>
      <c r="B149" s="18" t="str">
        <f ca="1">GetNameRange(B150)</f>
        <v>PrepmtExercisePct</v>
      </c>
      <c r="C149" s="56"/>
      <c r="D149" s="56"/>
    </row>
    <row r="150" spans="1:11" x14ac:dyDescent="0.2">
      <c r="A150" s="99" t="s">
        <v>367</v>
      </c>
      <c r="B150" s="69" t="s">
        <v>316</v>
      </c>
      <c r="C150" s="213" t="s">
        <v>456</v>
      </c>
      <c r="D150" s="213" t="s">
        <v>467</v>
      </c>
    </row>
    <row r="151" spans="1:11" x14ac:dyDescent="0.2">
      <c r="B151" s="100" t="s">
        <v>366</v>
      </c>
      <c r="C151" s="42"/>
      <c r="D151" s="44"/>
    </row>
    <row r="152" spans="1:11" x14ac:dyDescent="0.2">
      <c r="A152" s="93">
        <v>0</v>
      </c>
      <c r="B152" s="101">
        <v>0</v>
      </c>
      <c r="C152" s="94">
        <v>0</v>
      </c>
      <c r="D152" s="103">
        <v>0</v>
      </c>
    </row>
    <row r="153" spans="1:11" x14ac:dyDescent="0.2">
      <c r="A153" s="93">
        <v>0</v>
      </c>
      <c r="B153" s="101">
        <v>0.02</v>
      </c>
      <c r="C153" s="97">
        <v>0.5</v>
      </c>
      <c r="D153" s="97">
        <v>0.5</v>
      </c>
    </row>
    <row r="154" spans="1:11" x14ac:dyDescent="0.2">
      <c r="A154" s="93">
        <v>0</v>
      </c>
      <c r="B154" s="102">
        <v>0.04</v>
      </c>
      <c r="C154" s="95">
        <v>1</v>
      </c>
      <c r="D154" s="95">
        <v>1</v>
      </c>
    </row>
    <row r="155" spans="1:11" x14ac:dyDescent="0.2">
      <c r="B155" s="56"/>
      <c r="C155" s="56"/>
      <c r="D155" s="56"/>
    </row>
    <row r="156" spans="1:11" x14ac:dyDescent="0.2">
      <c r="A156" s="99" t="s">
        <v>9</v>
      </c>
      <c r="B156" s="18" t="str">
        <f ca="1">GetNameRange(B157)</f>
        <v>PrepmtSeasoningSinceIssueMult</v>
      </c>
      <c r="C156" s="20"/>
      <c r="D156" s="20"/>
    </row>
    <row r="157" spans="1:11" x14ac:dyDescent="0.2">
      <c r="A157" s="99" t="s">
        <v>367</v>
      </c>
      <c r="B157" s="69" t="s">
        <v>316</v>
      </c>
      <c r="C157" s="213" t="s">
        <v>456</v>
      </c>
      <c r="D157" s="213" t="s">
        <v>467</v>
      </c>
    </row>
    <row r="158" spans="1:11" x14ac:dyDescent="0.2">
      <c r="A158" s="24"/>
      <c r="B158" s="100" t="s">
        <v>90</v>
      </c>
      <c r="C158" s="42"/>
      <c r="D158" s="44"/>
    </row>
    <row r="159" spans="1:11" x14ac:dyDescent="0.2">
      <c r="A159" s="107">
        <v>1</v>
      </c>
      <c r="B159" s="105">
        <v>1</v>
      </c>
      <c r="C159" s="108">
        <v>1</v>
      </c>
      <c r="D159" s="109">
        <v>1</v>
      </c>
    </row>
    <row r="160" spans="1:11" x14ac:dyDescent="0.2">
      <c r="A160" s="107">
        <v>1</v>
      </c>
      <c r="B160" s="106">
        <v>999</v>
      </c>
      <c r="C160" s="110">
        <v>1</v>
      </c>
      <c r="D160" s="111">
        <v>1</v>
      </c>
    </row>
    <row r="162" spans="1:4" x14ac:dyDescent="0.2">
      <c r="A162" s="99" t="s">
        <v>9</v>
      </c>
      <c r="B162" s="18" t="str">
        <f ca="1">GetNameRange(B163)</f>
        <v>PrepmtNonfinancialSeasonalityAddn</v>
      </c>
      <c r="C162" s="56"/>
      <c r="D162" s="56"/>
    </row>
    <row r="163" spans="1:4" x14ac:dyDescent="0.2">
      <c r="A163" s="99" t="s">
        <v>367</v>
      </c>
      <c r="B163" s="69" t="s">
        <v>316</v>
      </c>
      <c r="C163" s="213" t="s">
        <v>456</v>
      </c>
      <c r="D163" s="213" t="s">
        <v>467</v>
      </c>
    </row>
    <row r="164" spans="1:4" x14ac:dyDescent="0.2">
      <c r="A164" s="24"/>
      <c r="B164" s="100" t="s">
        <v>369</v>
      </c>
      <c r="C164" s="42"/>
      <c r="D164" s="44"/>
    </row>
    <row r="165" spans="1:4" x14ac:dyDescent="0.2">
      <c r="A165" s="93">
        <v>0</v>
      </c>
      <c r="B165" s="105">
        <v>1</v>
      </c>
      <c r="C165" s="94">
        <v>0</v>
      </c>
      <c r="D165" s="103">
        <v>0</v>
      </c>
    </row>
    <row r="166" spans="1:4" x14ac:dyDescent="0.2">
      <c r="A166" s="93">
        <v>0</v>
      </c>
      <c r="B166" s="105">
        <v>2</v>
      </c>
      <c r="C166" s="94">
        <v>0</v>
      </c>
      <c r="D166" s="103">
        <v>0</v>
      </c>
    </row>
    <row r="167" spans="1:4" x14ac:dyDescent="0.2">
      <c r="A167" s="93">
        <v>0</v>
      </c>
      <c r="B167" s="105">
        <v>3</v>
      </c>
      <c r="C167" s="94">
        <v>0</v>
      </c>
      <c r="D167" s="103">
        <v>0</v>
      </c>
    </row>
    <row r="168" spans="1:4" x14ac:dyDescent="0.2">
      <c r="A168" s="93">
        <v>0</v>
      </c>
      <c r="B168" s="105">
        <v>4</v>
      </c>
      <c r="C168" s="94">
        <v>0</v>
      </c>
      <c r="D168" s="103">
        <v>0</v>
      </c>
    </row>
    <row r="169" spans="1:4" x14ac:dyDescent="0.2">
      <c r="A169" s="93">
        <v>0</v>
      </c>
      <c r="B169" s="105">
        <v>5</v>
      </c>
      <c r="C169" s="94">
        <v>0</v>
      </c>
      <c r="D169" s="103">
        <v>0</v>
      </c>
    </row>
    <row r="170" spans="1:4" x14ac:dyDescent="0.2">
      <c r="A170" s="93">
        <v>0</v>
      </c>
      <c r="B170" s="105">
        <v>6</v>
      </c>
      <c r="C170" s="94">
        <v>0</v>
      </c>
      <c r="D170" s="103">
        <v>0</v>
      </c>
    </row>
    <row r="171" spans="1:4" x14ac:dyDescent="0.2">
      <c r="A171" s="93">
        <v>0</v>
      </c>
      <c r="B171" s="105">
        <v>7</v>
      </c>
      <c r="C171" s="94">
        <v>0</v>
      </c>
      <c r="D171" s="103">
        <v>0</v>
      </c>
    </row>
    <row r="172" spans="1:4" x14ac:dyDescent="0.2">
      <c r="A172" s="93">
        <v>0</v>
      </c>
      <c r="B172" s="105">
        <v>8</v>
      </c>
      <c r="C172" s="94">
        <v>0</v>
      </c>
      <c r="D172" s="103">
        <v>0</v>
      </c>
    </row>
    <row r="173" spans="1:4" x14ac:dyDescent="0.2">
      <c r="A173" s="93">
        <v>0</v>
      </c>
      <c r="B173" s="105">
        <v>9</v>
      </c>
      <c r="C173" s="94">
        <v>0</v>
      </c>
      <c r="D173" s="103">
        <v>0</v>
      </c>
    </row>
    <row r="174" spans="1:4" x14ac:dyDescent="0.2">
      <c r="A174" s="93">
        <v>0</v>
      </c>
      <c r="B174" s="105">
        <v>10</v>
      </c>
      <c r="C174" s="94">
        <v>0</v>
      </c>
      <c r="D174" s="103">
        <v>0</v>
      </c>
    </row>
    <row r="175" spans="1:4" x14ac:dyDescent="0.2">
      <c r="A175" s="93">
        <v>0</v>
      </c>
      <c r="B175" s="105">
        <v>11</v>
      </c>
      <c r="C175" s="94">
        <v>0</v>
      </c>
      <c r="D175" s="103">
        <v>0</v>
      </c>
    </row>
    <row r="176" spans="1:4" x14ac:dyDescent="0.2">
      <c r="A176" s="93">
        <v>0</v>
      </c>
      <c r="B176" s="106">
        <v>12</v>
      </c>
      <c r="C176" s="95">
        <v>0</v>
      </c>
      <c r="D176" s="104">
        <v>0</v>
      </c>
    </row>
    <row r="178" spans="1:4" x14ac:dyDescent="0.2">
      <c r="A178" s="99" t="s">
        <v>9</v>
      </c>
      <c r="B178" s="18" t="str">
        <f ca="1">GetNameRange(B179)</f>
        <v>PrepmtNonfinancialAdj</v>
      </c>
      <c r="C178" s="56"/>
      <c r="D178" s="56"/>
    </row>
    <row r="179" spans="1:4" x14ac:dyDescent="0.2">
      <c r="A179" s="99" t="s">
        <v>367</v>
      </c>
      <c r="B179" s="69" t="s">
        <v>316</v>
      </c>
      <c r="C179" s="213" t="s">
        <v>456</v>
      </c>
      <c r="D179" s="213" t="s">
        <v>467</v>
      </c>
    </row>
    <row r="180" spans="1:4" x14ac:dyDescent="0.2">
      <c r="B180" s="100" t="s">
        <v>454</v>
      </c>
      <c r="C180" s="42"/>
      <c r="D180" s="44"/>
    </row>
    <row r="181" spans="1:4" x14ac:dyDescent="0.2">
      <c r="A181" s="93">
        <v>0</v>
      </c>
      <c r="B181" s="101">
        <v>0</v>
      </c>
      <c r="C181" s="94">
        <v>0</v>
      </c>
      <c r="D181" s="103">
        <v>0</v>
      </c>
    </row>
    <row r="182" spans="1:4" x14ac:dyDescent="0.2">
      <c r="A182" s="93">
        <v>0</v>
      </c>
      <c r="B182" s="101">
        <v>0.02</v>
      </c>
      <c r="C182" s="94">
        <v>0</v>
      </c>
      <c r="D182" s="103">
        <v>0</v>
      </c>
    </row>
    <row r="183" spans="1:4" x14ac:dyDescent="0.2">
      <c r="A183" s="93">
        <v>0</v>
      </c>
      <c r="B183" s="102">
        <v>0.04</v>
      </c>
      <c r="C183" s="95">
        <v>0</v>
      </c>
      <c r="D183" s="104">
        <v>0</v>
      </c>
    </row>
  </sheetData>
  <conditionalFormatting sqref="C65:D66">
    <cfRule type="cellIs" dxfId="2994" priority="1386" operator="notEqual">
      <formula>$A65</formula>
    </cfRule>
  </conditionalFormatting>
  <conditionalFormatting sqref="C71:D72">
    <cfRule type="cellIs" dxfId="2993" priority="1385" operator="notEqual">
      <formula>$A71</formula>
    </cfRule>
  </conditionalFormatting>
  <conditionalFormatting sqref="C83:D84">
    <cfRule type="cellIs" dxfId="2992" priority="1379" operator="notEqual">
      <formula>$A83</formula>
    </cfRule>
  </conditionalFormatting>
  <conditionalFormatting sqref="C101:D102">
    <cfRule type="cellIs" dxfId="2991" priority="1378" operator="notEqual">
      <formula>$A101</formula>
    </cfRule>
  </conditionalFormatting>
  <conditionalFormatting sqref="C119:D120">
    <cfRule type="cellIs" dxfId="2990" priority="1377" operator="notEqual">
      <formula>$A119</formula>
    </cfRule>
  </conditionalFormatting>
  <conditionalFormatting sqref="C132:G133">
    <cfRule type="cellIs" dxfId="2989" priority="1376" operator="notEqual">
      <formula>$A132</formula>
    </cfRule>
  </conditionalFormatting>
  <conditionalFormatting sqref="C138:D139">
    <cfRule type="cellIs" dxfId="2988" priority="1375" operator="notEqual">
      <formula>$A138</formula>
    </cfRule>
  </conditionalFormatting>
  <conditionalFormatting sqref="C145:H147">
    <cfRule type="cellIs" dxfId="2987" priority="1374" operator="notEqual">
      <formula>$A145</formula>
    </cfRule>
  </conditionalFormatting>
  <conditionalFormatting sqref="C152:D152">
    <cfRule type="cellIs" dxfId="2986" priority="1373" operator="notEqual">
      <formula>$A152</formula>
    </cfRule>
  </conditionalFormatting>
  <conditionalFormatting sqref="C159:D160">
    <cfRule type="cellIs" dxfId="2985" priority="1372" operator="notEqual">
      <formula>$A159</formula>
    </cfRule>
  </conditionalFormatting>
  <conditionalFormatting sqref="C165:D176">
    <cfRule type="cellIs" dxfId="2984" priority="1371" operator="notEqual">
      <formula>$A165</formula>
    </cfRule>
  </conditionalFormatting>
  <conditionalFormatting sqref="C181:D183">
    <cfRule type="cellIs" dxfId="2983" priority="1370" operator="notEqual">
      <formula>$A181</formula>
    </cfRule>
  </conditionalFormatting>
  <conditionalFormatting sqref="C77:D78">
    <cfRule type="cellIs" dxfId="2982" priority="1369" operator="notEqual">
      <formula>$A77</formula>
    </cfRule>
  </conditionalFormatting>
  <conditionalFormatting sqref="C89:D90">
    <cfRule type="cellIs" dxfId="2981" priority="1368" operator="notEqual">
      <formula>$A89</formula>
    </cfRule>
  </conditionalFormatting>
  <conditionalFormatting sqref="C95:D96">
    <cfRule type="cellIs" dxfId="2980" priority="1367" operator="notEqual">
      <formula>$A95</formula>
    </cfRule>
  </conditionalFormatting>
  <conditionalFormatting sqref="C107:D108">
    <cfRule type="cellIs" dxfId="2979" priority="1366" operator="notEqual">
      <formula>$A107</formula>
    </cfRule>
  </conditionalFormatting>
  <conditionalFormatting sqref="C113:D114">
    <cfRule type="cellIs" dxfId="2978" priority="1365" operator="notEqual">
      <formula>$A113</formula>
    </cfRule>
  </conditionalFormatting>
  <conditionalFormatting sqref="C153">
    <cfRule type="cellIs" dxfId="2977" priority="1360" operator="notEqual">
      <formula>$A153</formula>
    </cfRule>
    <cfRule type="cellIs" dxfId="2976" priority="1361" operator="equal">
      <formula>"""&lt;&gt;$A6"""</formula>
    </cfRule>
    <cfRule type="cellIs" dxfId="2975" priority="1362" operator="equal">
      <formula>"&lt;&gt;$A6"</formula>
    </cfRule>
    <cfRule type="cellIs" dxfId="2974" priority="1363" operator="equal">
      <formula>$A153</formula>
    </cfRule>
    <cfRule type="cellIs" dxfId="2973" priority="1364" operator="equal">
      <formula>$A153</formula>
    </cfRule>
  </conditionalFormatting>
  <conditionalFormatting sqref="S42:S43">
    <cfRule type="cellIs" dxfId="2972" priority="24" operator="notEqual">
      <formula>$A42</formula>
    </cfRule>
    <cfRule type="cellIs" dxfId="2971" priority="25" operator="equal">
      <formula>"""&lt;&gt;$A6"""</formula>
    </cfRule>
    <cfRule type="cellIs" dxfId="2970" priority="26" operator="equal">
      <formula>"&lt;&gt;$A6"</formula>
    </cfRule>
    <cfRule type="cellIs" dxfId="2969" priority="27" operator="equal">
      <formula>$A42</formula>
    </cfRule>
    <cfRule type="cellIs" dxfId="2968" priority="28" operator="equal">
      <formula>$A42</formula>
    </cfRule>
  </conditionalFormatting>
  <conditionalFormatting sqref="D153">
    <cfRule type="cellIs" dxfId="2967" priority="1350" operator="notEqual">
      <formula>$A153</formula>
    </cfRule>
    <cfRule type="cellIs" dxfId="2966" priority="1351" operator="equal">
      <formula>"""&lt;&gt;$A6"""</formula>
    </cfRule>
    <cfRule type="cellIs" dxfId="2965" priority="1352" operator="equal">
      <formula>"&lt;&gt;$A6"</formula>
    </cfRule>
    <cfRule type="cellIs" dxfId="2964" priority="1353" operator="equal">
      <formula>$A153</formula>
    </cfRule>
    <cfRule type="cellIs" dxfId="2963" priority="1354" operator="equal">
      <formula>$A153</formula>
    </cfRule>
  </conditionalFormatting>
  <conditionalFormatting sqref="S48">
    <cfRule type="cellIs" dxfId="2962" priority="14" operator="notEqual">
      <formula>$A48</formula>
    </cfRule>
    <cfRule type="cellIs" dxfId="2961" priority="15" operator="equal">
      <formula>"""&lt;&gt;$A6"""</formula>
    </cfRule>
    <cfRule type="cellIs" dxfId="2960" priority="16" operator="equal">
      <formula>"&lt;&gt;$A6"</formula>
    </cfRule>
    <cfRule type="cellIs" dxfId="2959" priority="17" operator="equal">
      <formula>$A48</formula>
    </cfRule>
    <cfRule type="cellIs" dxfId="2958" priority="18" operator="equal">
      <formula>$A48</formula>
    </cfRule>
  </conditionalFormatting>
  <conditionalFormatting sqref="C154:D154">
    <cfRule type="cellIs" dxfId="2957" priority="1344" operator="notEqual">
      <formula>$A154</formula>
    </cfRule>
  </conditionalFormatting>
  <conditionalFormatting sqref="G9:J9">
    <cfRule type="cellIs" dxfId="2956" priority="999" operator="notEqual">
      <formula>$A9</formula>
    </cfRule>
    <cfRule type="cellIs" dxfId="2955" priority="1000" operator="equal">
      <formula>"""&lt;&gt;$A6"""</formula>
    </cfRule>
    <cfRule type="cellIs" dxfId="2954" priority="1001" operator="equal">
      <formula>"&lt;&gt;$A6"</formula>
    </cfRule>
    <cfRule type="cellIs" dxfId="2953" priority="1002" operator="equal">
      <formula>$A9</formula>
    </cfRule>
    <cfRule type="cellIs" dxfId="2952" priority="1003" operator="equal">
      <formula>$A9</formula>
    </cfRule>
  </conditionalFormatting>
  <conditionalFormatting sqref="C38:C40">
    <cfRule type="cellIs" dxfId="2951" priority="1299" operator="notEqual">
      <formula>$A38</formula>
    </cfRule>
    <cfRule type="cellIs" dxfId="2950" priority="1300" operator="equal">
      <formula>"""&lt;&gt;$A6"""</formula>
    </cfRule>
    <cfRule type="cellIs" dxfId="2949" priority="1301" operator="equal">
      <formula>"&lt;&gt;$A6"</formula>
    </cfRule>
    <cfRule type="cellIs" dxfId="2948" priority="1302" operator="equal">
      <formula>$A38</formula>
    </cfRule>
    <cfRule type="cellIs" dxfId="2947" priority="1303" operator="equal">
      <formula>$A38</formula>
    </cfRule>
  </conditionalFormatting>
  <conditionalFormatting sqref="C5">
    <cfRule type="cellIs" dxfId="2946" priority="1339" operator="notEqual">
      <formula>$A5</formula>
    </cfRule>
    <cfRule type="cellIs" dxfId="2945" priority="1340" operator="equal">
      <formula>"""&lt;&gt;$A6"""</formula>
    </cfRule>
    <cfRule type="cellIs" dxfId="2944" priority="1341" operator="equal">
      <formula>"&lt;&gt;$A6"</formula>
    </cfRule>
    <cfRule type="cellIs" dxfId="2943" priority="1342" operator="equal">
      <formula>$A5</formula>
    </cfRule>
    <cfRule type="cellIs" dxfId="2942" priority="1343" operator="equal">
      <formula>$A5</formula>
    </cfRule>
  </conditionalFormatting>
  <conditionalFormatting sqref="C8">
    <cfRule type="cellIs" dxfId="2941" priority="1334" operator="notEqual">
      <formula>$A8</formula>
    </cfRule>
    <cfRule type="cellIs" dxfId="2940" priority="1335" operator="equal">
      <formula>"""&lt;&gt;$A6"""</formula>
    </cfRule>
    <cfRule type="cellIs" dxfId="2939" priority="1336" operator="equal">
      <formula>"&lt;&gt;$A6"</formula>
    </cfRule>
    <cfRule type="cellIs" dxfId="2938" priority="1337" operator="equal">
      <formula>$A8</formula>
    </cfRule>
    <cfRule type="cellIs" dxfId="2937" priority="1338" operator="equal">
      <formula>$A8</formula>
    </cfRule>
  </conditionalFormatting>
  <conditionalFormatting sqref="C9">
    <cfRule type="cellIs" dxfId="2936" priority="1329" operator="notEqual">
      <formula>$A9</formula>
    </cfRule>
    <cfRule type="cellIs" dxfId="2935" priority="1330" operator="equal">
      <formula>"""&lt;&gt;$A6"""</formula>
    </cfRule>
    <cfRule type="cellIs" dxfId="2934" priority="1331" operator="equal">
      <formula>"&lt;&gt;$A6"</formula>
    </cfRule>
    <cfRule type="cellIs" dxfId="2933" priority="1332" operator="equal">
      <formula>$A9</formula>
    </cfRule>
    <cfRule type="cellIs" dxfId="2932" priority="1333" operator="equal">
      <formula>$A9</formula>
    </cfRule>
  </conditionalFormatting>
  <conditionalFormatting sqref="C10:C23">
    <cfRule type="cellIs" dxfId="2931" priority="1324" operator="notEqual">
      <formula>$A10</formula>
    </cfRule>
    <cfRule type="cellIs" dxfId="2930" priority="1325" operator="equal">
      <formula>"""&lt;&gt;$A6"""</formula>
    </cfRule>
    <cfRule type="cellIs" dxfId="2929" priority="1326" operator="equal">
      <formula>"&lt;&gt;$A6"</formula>
    </cfRule>
    <cfRule type="cellIs" dxfId="2928" priority="1327" operator="equal">
      <formula>$A10</formula>
    </cfRule>
    <cfRule type="cellIs" dxfId="2927" priority="1328" operator="equal">
      <formula>$A10</formula>
    </cfRule>
  </conditionalFormatting>
  <conditionalFormatting sqref="C26">
    <cfRule type="cellIs" dxfId="2926" priority="1319" operator="notEqual">
      <formula>$A26</formula>
    </cfRule>
    <cfRule type="cellIs" dxfId="2925" priority="1320" operator="equal">
      <formula>"""&lt;&gt;$A6"""</formula>
    </cfRule>
    <cfRule type="cellIs" dxfId="2924" priority="1321" operator="equal">
      <formula>"&lt;&gt;$A6"</formula>
    </cfRule>
    <cfRule type="cellIs" dxfId="2923" priority="1322" operator="equal">
      <formula>$A26</formula>
    </cfRule>
    <cfRule type="cellIs" dxfId="2922" priority="1323" operator="equal">
      <formula>$A26</formula>
    </cfRule>
  </conditionalFormatting>
  <conditionalFormatting sqref="C36">
    <cfRule type="cellIs" dxfId="2921" priority="1314" operator="notEqual">
      <formula>$A36</formula>
    </cfRule>
    <cfRule type="cellIs" dxfId="2920" priority="1315" operator="equal">
      <formula>"""&lt;&gt;$A6"""</formula>
    </cfRule>
    <cfRule type="cellIs" dxfId="2919" priority="1316" operator="equal">
      <formula>"&lt;&gt;$A6"</formula>
    </cfRule>
    <cfRule type="cellIs" dxfId="2918" priority="1317" operator="equal">
      <formula>$A36</formula>
    </cfRule>
    <cfRule type="cellIs" dxfId="2917" priority="1318" operator="equal">
      <formula>$A36</formula>
    </cfRule>
  </conditionalFormatting>
  <conditionalFormatting sqref="C32:C35">
    <cfRule type="cellIs" dxfId="2916" priority="1309" operator="notEqual">
      <formula>$A32</formula>
    </cfRule>
    <cfRule type="cellIs" dxfId="2915" priority="1310" operator="equal">
      <formula>"""&lt;&gt;$A6"""</formula>
    </cfRule>
    <cfRule type="cellIs" dxfId="2914" priority="1311" operator="equal">
      <formula>"&lt;&gt;$A6"</formula>
    </cfRule>
    <cfRule type="cellIs" dxfId="2913" priority="1312" operator="equal">
      <formula>$A32</formula>
    </cfRule>
    <cfRule type="cellIs" dxfId="2912" priority="1313" operator="equal">
      <formula>$A32</formula>
    </cfRule>
  </conditionalFormatting>
  <conditionalFormatting sqref="C37:S37">
    <cfRule type="cellIs" dxfId="2911" priority="1304" operator="notEqual">
      <formula>$A37</formula>
    </cfRule>
    <cfRule type="cellIs" dxfId="2910" priority="1305" operator="equal">
      <formula>"""&lt;&gt;$A6"""</formula>
    </cfRule>
    <cfRule type="cellIs" dxfId="2909" priority="1306" operator="equal">
      <formula>"&lt;&gt;$A6"</formula>
    </cfRule>
    <cfRule type="cellIs" dxfId="2908" priority="1307" operator="equal">
      <formula>$A37</formula>
    </cfRule>
    <cfRule type="cellIs" dxfId="2907" priority="1308" operator="equal">
      <formula>$A37</formula>
    </cfRule>
  </conditionalFormatting>
  <conditionalFormatting sqref="C41">
    <cfRule type="cellIs" dxfId="2906" priority="1294" operator="notEqual">
      <formula>$A41</formula>
    </cfRule>
    <cfRule type="cellIs" dxfId="2905" priority="1295" operator="equal">
      <formula>"""&lt;&gt;$A6"""</formula>
    </cfRule>
    <cfRule type="cellIs" dxfId="2904" priority="1296" operator="equal">
      <formula>"&lt;&gt;$A6"</formula>
    </cfRule>
    <cfRule type="cellIs" dxfId="2903" priority="1297" operator="equal">
      <formula>$A41</formula>
    </cfRule>
    <cfRule type="cellIs" dxfId="2902" priority="1298" operator="equal">
      <formula>$A41</formula>
    </cfRule>
  </conditionalFormatting>
  <conditionalFormatting sqref="C42:C43">
    <cfRule type="cellIs" dxfId="2901" priority="1289" operator="notEqual">
      <formula>$A42</formula>
    </cfRule>
    <cfRule type="cellIs" dxfId="2900" priority="1290" operator="equal">
      <formula>"""&lt;&gt;$A6"""</formula>
    </cfRule>
    <cfRule type="cellIs" dxfId="2899" priority="1291" operator="equal">
      <formula>"&lt;&gt;$A6"</formula>
    </cfRule>
    <cfRule type="cellIs" dxfId="2898" priority="1292" operator="equal">
      <formula>$A42</formula>
    </cfRule>
    <cfRule type="cellIs" dxfId="2897" priority="1293" operator="equal">
      <formula>$A42</formula>
    </cfRule>
  </conditionalFormatting>
  <conditionalFormatting sqref="C44">
    <cfRule type="cellIs" dxfId="2896" priority="1284" operator="notEqual">
      <formula>$A44</formula>
    </cfRule>
    <cfRule type="cellIs" dxfId="2895" priority="1285" operator="equal">
      <formula>"""&lt;&gt;$A6"""</formula>
    </cfRule>
    <cfRule type="cellIs" dxfId="2894" priority="1286" operator="equal">
      <formula>"&lt;&gt;$A6"</formula>
    </cfRule>
    <cfRule type="cellIs" dxfId="2893" priority="1287" operator="equal">
      <formula>$A44</formula>
    </cfRule>
    <cfRule type="cellIs" dxfId="2892" priority="1288" operator="equal">
      <formula>$A44</formula>
    </cfRule>
  </conditionalFormatting>
  <conditionalFormatting sqref="C45">
    <cfRule type="cellIs" dxfId="2891" priority="1279" operator="notEqual">
      <formula>$A45</formula>
    </cfRule>
    <cfRule type="cellIs" dxfId="2890" priority="1280" operator="equal">
      <formula>"""&lt;&gt;$A6"""</formula>
    </cfRule>
    <cfRule type="cellIs" dxfId="2889" priority="1281" operator="equal">
      <formula>"&lt;&gt;$A6"</formula>
    </cfRule>
    <cfRule type="cellIs" dxfId="2888" priority="1282" operator="equal">
      <formula>$A45</formula>
    </cfRule>
    <cfRule type="cellIs" dxfId="2887" priority="1283" operator="equal">
      <formula>$A45</formula>
    </cfRule>
  </conditionalFormatting>
  <conditionalFormatting sqref="C46">
    <cfRule type="cellIs" dxfId="2886" priority="1274" operator="notEqual">
      <formula>$A46</formula>
    </cfRule>
    <cfRule type="cellIs" dxfId="2885" priority="1275" operator="equal">
      <formula>"""&lt;&gt;$A6"""</formula>
    </cfRule>
    <cfRule type="cellIs" dxfId="2884" priority="1276" operator="equal">
      <formula>"&lt;&gt;$A6"</formula>
    </cfRule>
    <cfRule type="cellIs" dxfId="2883" priority="1277" operator="equal">
      <formula>$A46</formula>
    </cfRule>
    <cfRule type="cellIs" dxfId="2882" priority="1278" operator="equal">
      <formula>$A46</formula>
    </cfRule>
  </conditionalFormatting>
  <conditionalFormatting sqref="C50:C51">
    <cfRule type="cellIs" dxfId="2881" priority="1269" operator="notEqual">
      <formula>$A50</formula>
    </cfRule>
    <cfRule type="cellIs" dxfId="2880" priority="1270" operator="equal">
      <formula>"""&lt;&gt;$A6"""</formula>
    </cfRule>
    <cfRule type="cellIs" dxfId="2879" priority="1271" operator="equal">
      <formula>"&lt;&gt;$A6"</formula>
    </cfRule>
    <cfRule type="cellIs" dxfId="2878" priority="1272" operator="equal">
      <formula>$A50</formula>
    </cfRule>
    <cfRule type="cellIs" dxfId="2877" priority="1273" operator="equal">
      <formula>$A50</formula>
    </cfRule>
  </conditionalFormatting>
  <conditionalFormatting sqref="C47">
    <cfRule type="cellIs" dxfId="2876" priority="1264" operator="notEqual">
      <formula>$A47</formula>
    </cfRule>
    <cfRule type="cellIs" dxfId="2875" priority="1265" operator="equal">
      <formula>"""&lt;&gt;$A6"""</formula>
    </cfRule>
    <cfRule type="cellIs" dxfId="2874" priority="1266" operator="equal">
      <formula>"&lt;&gt;$A6"</formula>
    </cfRule>
    <cfRule type="cellIs" dxfId="2873" priority="1267" operator="equal">
      <formula>$A47</formula>
    </cfRule>
    <cfRule type="cellIs" dxfId="2872" priority="1268" operator="equal">
      <formula>$A47</formula>
    </cfRule>
  </conditionalFormatting>
  <conditionalFormatting sqref="D32:D35">
    <cfRule type="cellIs" dxfId="2871" priority="1219" operator="notEqual">
      <formula>$A32</formula>
    </cfRule>
    <cfRule type="cellIs" dxfId="2870" priority="1220" operator="equal">
      <formula>"""&lt;&gt;$A6"""</formula>
    </cfRule>
    <cfRule type="cellIs" dxfId="2869" priority="1221" operator="equal">
      <formula>"&lt;&gt;$A6"</formula>
    </cfRule>
    <cfRule type="cellIs" dxfId="2868" priority="1222" operator="equal">
      <formula>$A32</formula>
    </cfRule>
    <cfRule type="cellIs" dxfId="2867" priority="1223" operator="equal">
      <formula>$A32</formula>
    </cfRule>
  </conditionalFormatting>
  <conditionalFormatting sqref="C49">
    <cfRule type="cellIs" dxfId="2866" priority="1259" operator="notEqual">
      <formula>$A49</formula>
    </cfRule>
    <cfRule type="cellIs" dxfId="2865" priority="1260" operator="equal">
      <formula>"""&lt;&gt;$A6"""</formula>
    </cfRule>
    <cfRule type="cellIs" dxfId="2864" priority="1261" operator="equal">
      <formula>"&lt;&gt;$A6"</formula>
    </cfRule>
    <cfRule type="cellIs" dxfId="2863" priority="1262" operator="equal">
      <formula>$A49</formula>
    </cfRule>
    <cfRule type="cellIs" dxfId="2862" priority="1263" operator="equal">
      <formula>$A49</formula>
    </cfRule>
  </conditionalFormatting>
  <conditionalFormatting sqref="C53:C60">
    <cfRule type="cellIs" dxfId="2861" priority="1254" operator="notEqual">
      <formula>$A53</formula>
    </cfRule>
    <cfRule type="cellIs" dxfId="2860" priority="1255" operator="equal">
      <formula>"""&lt;&gt;$A6"""</formula>
    </cfRule>
    <cfRule type="cellIs" dxfId="2859" priority="1256" operator="equal">
      <formula>"&lt;&gt;$A6"</formula>
    </cfRule>
    <cfRule type="cellIs" dxfId="2858" priority="1257" operator="equal">
      <formula>$A53</formula>
    </cfRule>
    <cfRule type="cellIs" dxfId="2857" priority="1258" operator="equal">
      <formula>$A53</formula>
    </cfRule>
  </conditionalFormatting>
  <conditionalFormatting sqref="D5">
    <cfRule type="cellIs" dxfId="2856" priority="1249" operator="notEqual">
      <formula>$A5</formula>
    </cfRule>
    <cfRule type="cellIs" dxfId="2855" priority="1250" operator="equal">
      <formula>"""&lt;&gt;$A6"""</formula>
    </cfRule>
    <cfRule type="cellIs" dxfId="2854" priority="1251" operator="equal">
      <formula>"&lt;&gt;$A6"</formula>
    </cfRule>
    <cfRule type="cellIs" dxfId="2853" priority="1252" operator="equal">
      <formula>$A5</formula>
    </cfRule>
    <cfRule type="cellIs" dxfId="2852" priority="1253" operator="equal">
      <formula>$A5</formula>
    </cfRule>
  </conditionalFormatting>
  <conditionalFormatting sqref="D8">
    <cfRule type="cellIs" dxfId="2851" priority="1244" operator="notEqual">
      <formula>$A8</formula>
    </cfRule>
    <cfRule type="cellIs" dxfId="2850" priority="1245" operator="equal">
      <formula>"""&lt;&gt;$A6"""</formula>
    </cfRule>
    <cfRule type="cellIs" dxfId="2849" priority="1246" operator="equal">
      <formula>"&lt;&gt;$A6"</formula>
    </cfRule>
    <cfRule type="cellIs" dxfId="2848" priority="1247" operator="equal">
      <formula>$A8</formula>
    </cfRule>
    <cfRule type="cellIs" dxfId="2847" priority="1248" operator="equal">
      <formula>$A8</formula>
    </cfRule>
  </conditionalFormatting>
  <conditionalFormatting sqref="D9">
    <cfRule type="cellIs" dxfId="2846" priority="1239" operator="notEqual">
      <formula>$A9</formula>
    </cfRule>
    <cfRule type="cellIs" dxfId="2845" priority="1240" operator="equal">
      <formula>"""&lt;&gt;$A6"""</formula>
    </cfRule>
    <cfRule type="cellIs" dxfId="2844" priority="1241" operator="equal">
      <formula>"&lt;&gt;$A6"</formula>
    </cfRule>
    <cfRule type="cellIs" dxfId="2843" priority="1242" operator="equal">
      <formula>$A9</formula>
    </cfRule>
    <cfRule type="cellIs" dxfId="2842" priority="1243" operator="equal">
      <formula>$A9</formula>
    </cfRule>
  </conditionalFormatting>
  <conditionalFormatting sqref="D10:D23">
    <cfRule type="cellIs" dxfId="2841" priority="1234" operator="notEqual">
      <formula>$A10</formula>
    </cfRule>
    <cfRule type="cellIs" dxfId="2840" priority="1235" operator="equal">
      <formula>"""&lt;&gt;$A6"""</formula>
    </cfRule>
    <cfRule type="cellIs" dxfId="2839" priority="1236" operator="equal">
      <formula>"&lt;&gt;$A6"</formula>
    </cfRule>
    <cfRule type="cellIs" dxfId="2838" priority="1237" operator="equal">
      <formula>$A10</formula>
    </cfRule>
    <cfRule type="cellIs" dxfId="2837" priority="1238" operator="equal">
      <formula>$A10</formula>
    </cfRule>
  </conditionalFormatting>
  <conditionalFormatting sqref="D26">
    <cfRule type="cellIs" dxfId="2836" priority="1229" operator="notEqual">
      <formula>$A26</formula>
    </cfRule>
    <cfRule type="cellIs" dxfId="2835" priority="1230" operator="equal">
      <formula>"""&lt;&gt;$A6"""</formula>
    </cfRule>
    <cfRule type="cellIs" dxfId="2834" priority="1231" operator="equal">
      <formula>"&lt;&gt;$A6"</formula>
    </cfRule>
    <cfRule type="cellIs" dxfId="2833" priority="1232" operator="equal">
      <formula>$A26</formula>
    </cfRule>
    <cfRule type="cellIs" dxfId="2832" priority="1233" operator="equal">
      <formula>$A26</formula>
    </cfRule>
  </conditionalFormatting>
  <conditionalFormatting sqref="D36">
    <cfRule type="cellIs" dxfId="2831" priority="1224" operator="notEqual">
      <formula>$A36</formula>
    </cfRule>
    <cfRule type="cellIs" dxfId="2830" priority="1225" operator="equal">
      <formula>"""&lt;&gt;$A6"""</formula>
    </cfRule>
    <cfRule type="cellIs" dxfId="2829" priority="1226" operator="equal">
      <formula>"&lt;&gt;$A6"</formula>
    </cfRule>
    <cfRule type="cellIs" dxfId="2828" priority="1227" operator="equal">
      <formula>$A36</formula>
    </cfRule>
    <cfRule type="cellIs" dxfId="2827" priority="1228" operator="equal">
      <formula>$A36</formula>
    </cfRule>
  </conditionalFormatting>
  <conditionalFormatting sqref="D37">
    <cfRule type="cellIs" dxfId="2826" priority="1214" operator="notEqual">
      <formula>$A37</formula>
    </cfRule>
    <cfRule type="cellIs" dxfId="2825" priority="1215" operator="equal">
      <formula>"""&lt;&gt;$A6"""</formula>
    </cfRule>
    <cfRule type="cellIs" dxfId="2824" priority="1216" operator="equal">
      <formula>"&lt;&gt;$A6"</formula>
    </cfRule>
    <cfRule type="cellIs" dxfId="2823" priority="1217" operator="equal">
      <formula>$A37</formula>
    </cfRule>
    <cfRule type="cellIs" dxfId="2822" priority="1218" operator="equal">
      <formula>$A37</formula>
    </cfRule>
  </conditionalFormatting>
  <conditionalFormatting sqref="D38:D40">
    <cfRule type="cellIs" dxfId="2821" priority="1209" operator="notEqual">
      <formula>$A38</formula>
    </cfRule>
    <cfRule type="cellIs" dxfId="2820" priority="1210" operator="equal">
      <formula>"""&lt;&gt;$A6"""</formula>
    </cfRule>
    <cfRule type="cellIs" dxfId="2819" priority="1211" operator="equal">
      <formula>"&lt;&gt;$A6"</formula>
    </cfRule>
    <cfRule type="cellIs" dxfId="2818" priority="1212" operator="equal">
      <formula>$A38</formula>
    </cfRule>
    <cfRule type="cellIs" dxfId="2817" priority="1213" operator="equal">
      <formula>$A38</formula>
    </cfRule>
  </conditionalFormatting>
  <conditionalFormatting sqref="D41">
    <cfRule type="cellIs" dxfId="2816" priority="1204" operator="notEqual">
      <formula>$A41</formula>
    </cfRule>
    <cfRule type="cellIs" dxfId="2815" priority="1205" operator="equal">
      <formula>"""&lt;&gt;$A6"""</formula>
    </cfRule>
    <cfRule type="cellIs" dxfId="2814" priority="1206" operator="equal">
      <formula>"&lt;&gt;$A6"</formula>
    </cfRule>
    <cfRule type="cellIs" dxfId="2813" priority="1207" operator="equal">
      <formula>$A41</formula>
    </cfRule>
    <cfRule type="cellIs" dxfId="2812" priority="1208" operator="equal">
      <formula>$A41</formula>
    </cfRule>
  </conditionalFormatting>
  <conditionalFormatting sqref="D50:D51">
    <cfRule type="cellIs" dxfId="2811" priority="1184" operator="notEqual">
      <formula>$A50</formula>
    </cfRule>
    <cfRule type="cellIs" dxfId="2810" priority="1185" operator="equal">
      <formula>"""&lt;&gt;$A6"""</formula>
    </cfRule>
    <cfRule type="cellIs" dxfId="2809" priority="1186" operator="equal">
      <formula>"&lt;&gt;$A6"</formula>
    </cfRule>
    <cfRule type="cellIs" dxfId="2808" priority="1187" operator="equal">
      <formula>$A50</formula>
    </cfRule>
    <cfRule type="cellIs" dxfId="2807" priority="1188" operator="equal">
      <formula>$A50</formula>
    </cfRule>
  </conditionalFormatting>
  <conditionalFormatting sqref="D46">
    <cfRule type="cellIs" dxfId="2806" priority="1189" operator="notEqual">
      <formula>$A46</formula>
    </cfRule>
    <cfRule type="cellIs" dxfId="2805" priority="1190" operator="equal">
      <formula>"""&lt;&gt;$A6"""</formula>
    </cfRule>
    <cfRule type="cellIs" dxfId="2804" priority="1191" operator="equal">
      <formula>"&lt;&gt;$A6"</formula>
    </cfRule>
    <cfRule type="cellIs" dxfId="2803" priority="1192" operator="equal">
      <formula>$A46</formula>
    </cfRule>
    <cfRule type="cellIs" dxfId="2802" priority="1193" operator="equal">
      <formula>$A46</formula>
    </cfRule>
  </conditionalFormatting>
  <conditionalFormatting sqref="E26">
    <cfRule type="cellIs" dxfId="2801" priority="1149" operator="notEqual">
      <formula>$A26</formula>
    </cfRule>
    <cfRule type="cellIs" dxfId="2800" priority="1150" operator="equal">
      <formula>"""&lt;&gt;$A6"""</formula>
    </cfRule>
    <cfRule type="cellIs" dxfId="2799" priority="1151" operator="equal">
      <formula>"&lt;&gt;$A6"</formula>
    </cfRule>
    <cfRule type="cellIs" dxfId="2798" priority="1152" operator="equal">
      <formula>$A26</formula>
    </cfRule>
    <cfRule type="cellIs" dxfId="2797" priority="1153" operator="equal">
      <formula>$A26</formula>
    </cfRule>
  </conditionalFormatting>
  <conditionalFormatting sqref="E36">
    <cfRule type="cellIs" dxfId="2796" priority="1144" operator="notEqual">
      <formula>$A36</formula>
    </cfRule>
    <cfRule type="cellIs" dxfId="2795" priority="1145" operator="equal">
      <formula>"""&lt;&gt;$A6"""</formula>
    </cfRule>
    <cfRule type="cellIs" dxfId="2794" priority="1146" operator="equal">
      <formula>"&lt;&gt;$A6"</formula>
    </cfRule>
    <cfRule type="cellIs" dxfId="2793" priority="1147" operator="equal">
      <formula>$A36</formula>
    </cfRule>
    <cfRule type="cellIs" dxfId="2792" priority="1148" operator="equal">
      <formula>$A36</formula>
    </cfRule>
  </conditionalFormatting>
  <conditionalFormatting sqref="D49">
    <cfRule type="cellIs" dxfId="2791" priority="1179" operator="notEqual">
      <formula>$A49</formula>
    </cfRule>
    <cfRule type="cellIs" dxfId="2790" priority="1180" operator="equal">
      <formula>"""&lt;&gt;$A6"""</formula>
    </cfRule>
    <cfRule type="cellIs" dxfId="2789" priority="1181" operator="equal">
      <formula>"&lt;&gt;$A6"</formula>
    </cfRule>
    <cfRule type="cellIs" dxfId="2788" priority="1182" operator="equal">
      <formula>$A49</formula>
    </cfRule>
    <cfRule type="cellIs" dxfId="2787" priority="1183" operator="equal">
      <formula>$A49</formula>
    </cfRule>
  </conditionalFormatting>
  <conditionalFormatting sqref="D53:D60">
    <cfRule type="cellIs" dxfId="2786" priority="1174" operator="notEqual">
      <formula>$A53</formula>
    </cfRule>
    <cfRule type="cellIs" dxfId="2785" priority="1175" operator="equal">
      <formula>"""&lt;&gt;$A6"""</formula>
    </cfRule>
    <cfRule type="cellIs" dxfId="2784" priority="1176" operator="equal">
      <formula>"&lt;&gt;$A6"</formula>
    </cfRule>
    <cfRule type="cellIs" dxfId="2783" priority="1177" operator="equal">
      <formula>$A53</formula>
    </cfRule>
    <cfRule type="cellIs" dxfId="2782" priority="1178" operator="equal">
      <formula>$A53</formula>
    </cfRule>
  </conditionalFormatting>
  <conditionalFormatting sqref="E5">
    <cfRule type="cellIs" dxfId="2781" priority="1169" operator="notEqual">
      <formula>$A5</formula>
    </cfRule>
    <cfRule type="cellIs" dxfId="2780" priority="1170" operator="equal">
      <formula>"""&lt;&gt;$A6"""</formula>
    </cfRule>
    <cfRule type="cellIs" dxfId="2779" priority="1171" operator="equal">
      <formula>"&lt;&gt;$A6"</formula>
    </cfRule>
    <cfRule type="cellIs" dxfId="2778" priority="1172" operator="equal">
      <formula>$A5</formula>
    </cfRule>
    <cfRule type="cellIs" dxfId="2777" priority="1173" operator="equal">
      <formula>$A5</formula>
    </cfRule>
  </conditionalFormatting>
  <conditionalFormatting sqref="E8">
    <cfRule type="cellIs" dxfId="2776" priority="1164" operator="notEqual">
      <formula>$A8</formula>
    </cfRule>
    <cfRule type="cellIs" dxfId="2775" priority="1165" operator="equal">
      <formula>"""&lt;&gt;$A6"""</formula>
    </cfRule>
    <cfRule type="cellIs" dxfId="2774" priority="1166" operator="equal">
      <formula>"&lt;&gt;$A6"</formula>
    </cfRule>
    <cfRule type="cellIs" dxfId="2773" priority="1167" operator="equal">
      <formula>$A8</formula>
    </cfRule>
    <cfRule type="cellIs" dxfId="2772" priority="1168" operator="equal">
      <formula>$A8</formula>
    </cfRule>
  </conditionalFormatting>
  <conditionalFormatting sqref="E9">
    <cfRule type="cellIs" dxfId="2771" priority="1159" operator="notEqual">
      <formula>$A9</formula>
    </cfRule>
    <cfRule type="cellIs" dxfId="2770" priority="1160" operator="equal">
      <formula>"""&lt;&gt;$A6"""</formula>
    </cfRule>
    <cfRule type="cellIs" dxfId="2769" priority="1161" operator="equal">
      <formula>"&lt;&gt;$A6"</formula>
    </cfRule>
    <cfRule type="cellIs" dxfId="2768" priority="1162" operator="equal">
      <formula>$A9</formula>
    </cfRule>
    <cfRule type="cellIs" dxfId="2767" priority="1163" operator="equal">
      <formula>$A9</formula>
    </cfRule>
  </conditionalFormatting>
  <conditionalFormatting sqref="E10:E23">
    <cfRule type="cellIs" dxfId="2766" priority="1154" operator="notEqual">
      <formula>$A10</formula>
    </cfRule>
    <cfRule type="cellIs" dxfId="2765" priority="1155" operator="equal">
      <formula>"""&lt;&gt;$A6"""</formula>
    </cfRule>
    <cfRule type="cellIs" dxfId="2764" priority="1156" operator="equal">
      <formula>"&lt;&gt;$A6"</formula>
    </cfRule>
    <cfRule type="cellIs" dxfId="2763" priority="1157" operator="equal">
      <formula>$A10</formula>
    </cfRule>
    <cfRule type="cellIs" dxfId="2762" priority="1158" operator="equal">
      <formula>$A10</formula>
    </cfRule>
  </conditionalFormatting>
  <conditionalFormatting sqref="E32:E35">
    <cfRule type="cellIs" dxfId="2761" priority="1139" operator="notEqual">
      <formula>$A32</formula>
    </cfRule>
    <cfRule type="cellIs" dxfId="2760" priority="1140" operator="equal">
      <formula>"""&lt;&gt;$A6"""</formula>
    </cfRule>
    <cfRule type="cellIs" dxfId="2759" priority="1141" operator="equal">
      <formula>"&lt;&gt;$A6"</formula>
    </cfRule>
    <cfRule type="cellIs" dxfId="2758" priority="1142" operator="equal">
      <formula>$A32</formula>
    </cfRule>
    <cfRule type="cellIs" dxfId="2757" priority="1143" operator="equal">
      <formula>$A32</formula>
    </cfRule>
  </conditionalFormatting>
  <conditionalFormatting sqref="E37">
    <cfRule type="cellIs" dxfId="2756" priority="1134" operator="notEqual">
      <formula>$A37</formula>
    </cfRule>
    <cfRule type="cellIs" dxfId="2755" priority="1135" operator="equal">
      <formula>"""&lt;&gt;$A6"""</formula>
    </cfRule>
    <cfRule type="cellIs" dxfId="2754" priority="1136" operator="equal">
      <formula>"&lt;&gt;$A6"</formula>
    </cfRule>
    <cfRule type="cellIs" dxfId="2753" priority="1137" operator="equal">
      <formula>$A37</formula>
    </cfRule>
    <cfRule type="cellIs" dxfId="2752" priority="1138" operator="equal">
      <formula>$A37</formula>
    </cfRule>
  </conditionalFormatting>
  <conditionalFormatting sqref="E38:E40">
    <cfRule type="cellIs" dxfId="2751" priority="1129" operator="notEqual">
      <formula>$A38</formula>
    </cfRule>
    <cfRule type="cellIs" dxfId="2750" priority="1130" operator="equal">
      <formula>"""&lt;&gt;$A6"""</formula>
    </cfRule>
    <cfRule type="cellIs" dxfId="2749" priority="1131" operator="equal">
      <formula>"&lt;&gt;$A6"</formula>
    </cfRule>
    <cfRule type="cellIs" dxfId="2748" priority="1132" operator="equal">
      <formula>$A38</formula>
    </cfRule>
    <cfRule type="cellIs" dxfId="2747" priority="1133" operator="equal">
      <formula>$A38</formula>
    </cfRule>
  </conditionalFormatting>
  <conditionalFormatting sqref="E41">
    <cfRule type="cellIs" dxfId="2746" priority="1124" operator="notEqual">
      <formula>$A41</formula>
    </cfRule>
    <cfRule type="cellIs" dxfId="2745" priority="1125" operator="equal">
      <formula>"""&lt;&gt;$A6"""</formula>
    </cfRule>
    <cfRule type="cellIs" dxfId="2744" priority="1126" operator="equal">
      <formula>"&lt;&gt;$A6"</formula>
    </cfRule>
    <cfRule type="cellIs" dxfId="2743" priority="1127" operator="equal">
      <formula>$A41</formula>
    </cfRule>
    <cfRule type="cellIs" dxfId="2742" priority="1128" operator="equal">
      <formula>$A41</formula>
    </cfRule>
  </conditionalFormatting>
  <conditionalFormatting sqref="E46">
    <cfRule type="cellIs" dxfId="2741" priority="1109" operator="notEqual">
      <formula>$A46</formula>
    </cfRule>
    <cfRule type="cellIs" dxfId="2740" priority="1110" operator="equal">
      <formula>"""&lt;&gt;$A6"""</formula>
    </cfRule>
    <cfRule type="cellIs" dxfId="2739" priority="1111" operator="equal">
      <formula>"&lt;&gt;$A6"</formula>
    </cfRule>
    <cfRule type="cellIs" dxfId="2738" priority="1112" operator="equal">
      <formula>$A46</formula>
    </cfRule>
    <cfRule type="cellIs" dxfId="2737" priority="1113" operator="equal">
      <formula>$A46</formula>
    </cfRule>
  </conditionalFormatting>
  <conditionalFormatting sqref="F10:F23">
    <cfRule type="cellIs" dxfId="2736" priority="1074" operator="notEqual">
      <formula>$A10</formula>
    </cfRule>
    <cfRule type="cellIs" dxfId="2735" priority="1075" operator="equal">
      <formula>"""&lt;&gt;$A6"""</formula>
    </cfRule>
    <cfRule type="cellIs" dxfId="2734" priority="1076" operator="equal">
      <formula>"&lt;&gt;$A6"</formula>
    </cfRule>
    <cfRule type="cellIs" dxfId="2733" priority="1077" operator="equal">
      <formula>$A10</formula>
    </cfRule>
    <cfRule type="cellIs" dxfId="2732" priority="1078" operator="equal">
      <formula>$A10</formula>
    </cfRule>
  </conditionalFormatting>
  <conditionalFormatting sqref="E50:E51">
    <cfRule type="cellIs" dxfId="2731" priority="1104" operator="notEqual">
      <formula>$A50</formula>
    </cfRule>
    <cfRule type="cellIs" dxfId="2730" priority="1105" operator="equal">
      <formula>"""&lt;&gt;$A6"""</formula>
    </cfRule>
    <cfRule type="cellIs" dxfId="2729" priority="1106" operator="equal">
      <formula>"&lt;&gt;$A6"</formula>
    </cfRule>
    <cfRule type="cellIs" dxfId="2728" priority="1107" operator="equal">
      <formula>$A50</formula>
    </cfRule>
    <cfRule type="cellIs" dxfId="2727" priority="1108" operator="equal">
      <formula>$A50</formula>
    </cfRule>
  </conditionalFormatting>
  <conditionalFormatting sqref="F9">
    <cfRule type="cellIs" dxfId="2726" priority="1079" operator="notEqual">
      <formula>$A9</formula>
    </cfRule>
    <cfRule type="cellIs" dxfId="2725" priority="1080" operator="equal">
      <formula>"""&lt;&gt;$A6"""</formula>
    </cfRule>
    <cfRule type="cellIs" dxfId="2724" priority="1081" operator="equal">
      <formula>"&lt;&gt;$A6"</formula>
    </cfRule>
    <cfRule type="cellIs" dxfId="2723" priority="1082" operator="equal">
      <formula>$A9</formula>
    </cfRule>
    <cfRule type="cellIs" dxfId="2722" priority="1083" operator="equal">
      <formula>$A9</formula>
    </cfRule>
  </conditionalFormatting>
  <conditionalFormatting sqref="E49">
    <cfRule type="cellIs" dxfId="2721" priority="1099" operator="notEqual">
      <formula>$A49</formula>
    </cfRule>
    <cfRule type="cellIs" dxfId="2720" priority="1100" operator="equal">
      <formula>"""&lt;&gt;$A6"""</formula>
    </cfRule>
    <cfRule type="cellIs" dxfId="2719" priority="1101" operator="equal">
      <formula>"&lt;&gt;$A6"</formula>
    </cfRule>
    <cfRule type="cellIs" dxfId="2718" priority="1102" operator="equal">
      <formula>$A49</formula>
    </cfRule>
    <cfRule type="cellIs" dxfId="2717" priority="1103" operator="equal">
      <formula>$A49</formula>
    </cfRule>
  </conditionalFormatting>
  <conditionalFormatting sqref="E53:E60">
    <cfRule type="cellIs" dxfId="2716" priority="1094" operator="notEqual">
      <formula>$A53</formula>
    </cfRule>
    <cfRule type="cellIs" dxfId="2715" priority="1095" operator="equal">
      <formula>"""&lt;&gt;$A6"""</formula>
    </cfRule>
    <cfRule type="cellIs" dxfId="2714" priority="1096" operator="equal">
      <formula>"&lt;&gt;$A6"</formula>
    </cfRule>
    <cfRule type="cellIs" dxfId="2713" priority="1097" operator="equal">
      <formula>$A53</formula>
    </cfRule>
    <cfRule type="cellIs" dxfId="2712" priority="1098" operator="equal">
      <formula>$A53</formula>
    </cfRule>
  </conditionalFormatting>
  <conditionalFormatting sqref="F5">
    <cfRule type="cellIs" dxfId="2711" priority="1089" operator="notEqual">
      <formula>$A5</formula>
    </cfRule>
    <cfRule type="cellIs" dxfId="2710" priority="1090" operator="equal">
      <formula>"""&lt;&gt;$A6"""</formula>
    </cfRule>
    <cfRule type="cellIs" dxfId="2709" priority="1091" operator="equal">
      <formula>"&lt;&gt;$A6"</formula>
    </cfRule>
    <cfRule type="cellIs" dxfId="2708" priority="1092" operator="equal">
      <formula>$A5</formula>
    </cfRule>
    <cfRule type="cellIs" dxfId="2707" priority="1093" operator="equal">
      <formula>$A5</formula>
    </cfRule>
  </conditionalFormatting>
  <conditionalFormatting sqref="F8">
    <cfRule type="cellIs" dxfId="2706" priority="1084" operator="notEqual">
      <formula>$A8</formula>
    </cfRule>
    <cfRule type="cellIs" dxfId="2705" priority="1085" operator="equal">
      <formula>"""&lt;&gt;$A6"""</formula>
    </cfRule>
    <cfRule type="cellIs" dxfId="2704" priority="1086" operator="equal">
      <formula>"&lt;&gt;$A6"</formula>
    </cfRule>
    <cfRule type="cellIs" dxfId="2703" priority="1087" operator="equal">
      <formula>$A8</formula>
    </cfRule>
    <cfRule type="cellIs" dxfId="2702" priority="1088" operator="equal">
      <formula>$A8</formula>
    </cfRule>
  </conditionalFormatting>
  <conditionalFormatting sqref="F26">
    <cfRule type="cellIs" dxfId="2701" priority="1069" operator="notEqual">
      <formula>$A26</formula>
    </cfRule>
    <cfRule type="cellIs" dxfId="2700" priority="1070" operator="equal">
      <formula>"""&lt;&gt;$A6"""</formula>
    </cfRule>
    <cfRule type="cellIs" dxfId="2699" priority="1071" operator="equal">
      <formula>"&lt;&gt;$A6"</formula>
    </cfRule>
    <cfRule type="cellIs" dxfId="2698" priority="1072" operator="equal">
      <formula>$A26</formula>
    </cfRule>
    <cfRule type="cellIs" dxfId="2697" priority="1073" operator="equal">
      <formula>$A26</formula>
    </cfRule>
  </conditionalFormatting>
  <conditionalFormatting sqref="F36">
    <cfRule type="cellIs" dxfId="2696" priority="1064" operator="notEqual">
      <formula>$A36</formula>
    </cfRule>
    <cfRule type="cellIs" dxfId="2695" priority="1065" operator="equal">
      <formula>"""&lt;&gt;$A6"""</formula>
    </cfRule>
    <cfRule type="cellIs" dxfId="2694" priority="1066" operator="equal">
      <formula>"&lt;&gt;$A6"</formula>
    </cfRule>
    <cfRule type="cellIs" dxfId="2693" priority="1067" operator="equal">
      <formula>$A36</formula>
    </cfRule>
    <cfRule type="cellIs" dxfId="2692" priority="1068" operator="equal">
      <formula>$A36</formula>
    </cfRule>
  </conditionalFormatting>
  <conditionalFormatting sqref="F32:F35">
    <cfRule type="cellIs" dxfId="2691" priority="1059" operator="notEqual">
      <formula>$A32</formula>
    </cfRule>
    <cfRule type="cellIs" dxfId="2690" priority="1060" operator="equal">
      <formula>"""&lt;&gt;$A6"""</formula>
    </cfRule>
    <cfRule type="cellIs" dxfId="2689" priority="1061" operator="equal">
      <formula>"&lt;&gt;$A6"</formula>
    </cfRule>
    <cfRule type="cellIs" dxfId="2688" priority="1062" operator="equal">
      <formula>$A32</formula>
    </cfRule>
    <cfRule type="cellIs" dxfId="2687" priority="1063" operator="equal">
      <formula>$A32</formula>
    </cfRule>
  </conditionalFormatting>
  <conditionalFormatting sqref="F37">
    <cfRule type="cellIs" dxfId="2686" priority="1054" operator="notEqual">
      <formula>$A37</formula>
    </cfRule>
    <cfRule type="cellIs" dxfId="2685" priority="1055" operator="equal">
      <formula>"""&lt;&gt;$A6"""</formula>
    </cfRule>
    <cfRule type="cellIs" dxfId="2684" priority="1056" operator="equal">
      <formula>"&lt;&gt;$A6"</formula>
    </cfRule>
    <cfRule type="cellIs" dxfId="2683" priority="1057" operator="equal">
      <formula>$A37</formula>
    </cfRule>
    <cfRule type="cellIs" dxfId="2682" priority="1058" operator="equal">
      <formula>$A37</formula>
    </cfRule>
  </conditionalFormatting>
  <conditionalFormatting sqref="F38:F40">
    <cfRule type="cellIs" dxfId="2681" priority="1049" operator="notEqual">
      <formula>$A38</formula>
    </cfRule>
    <cfRule type="cellIs" dxfId="2680" priority="1050" operator="equal">
      <formula>"""&lt;&gt;$A6"""</formula>
    </cfRule>
    <cfRule type="cellIs" dxfId="2679" priority="1051" operator="equal">
      <formula>"&lt;&gt;$A6"</formula>
    </cfRule>
    <cfRule type="cellIs" dxfId="2678" priority="1052" operator="equal">
      <formula>$A38</formula>
    </cfRule>
    <cfRule type="cellIs" dxfId="2677" priority="1053" operator="equal">
      <formula>$A38</formula>
    </cfRule>
  </conditionalFormatting>
  <conditionalFormatting sqref="F41">
    <cfRule type="cellIs" dxfId="2676" priority="1044" operator="notEqual">
      <formula>$A41</formula>
    </cfRule>
    <cfRule type="cellIs" dxfId="2675" priority="1045" operator="equal">
      <formula>"""&lt;&gt;$A6"""</formula>
    </cfRule>
    <cfRule type="cellIs" dxfId="2674" priority="1046" operator="equal">
      <formula>"&lt;&gt;$A6"</formula>
    </cfRule>
    <cfRule type="cellIs" dxfId="2673" priority="1047" operator="equal">
      <formula>$A41</formula>
    </cfRule>
    <cfRule type="cellIs" dxfId="2672" priority="1048" operator="equal">
      <formula>$A41</formula>
    </cfRule>
  </conditionalFormatting>
  <conditionalFormatting sqref="F46">
    <cfRule type="cellIs" dxfId="2671" priority="1029" operator="notEqual">
      <formula>$A46</formula>
    </cfRule>
    <cfRule type="cellIs" dxfId="2670" priority="1030" operator="equal">
      <formula>"""&lt;&gt;$A6"""</formula>
    </cfRule>
    <cfRule type="cellIs" dxfId="2669" priority="1031" operator="equal">
      <formula>"&lt;&gt;$A6"</formula>
    </cfRule>
    <cfRule type="cellIs" dxfId="2668" priority="1032" operator="equal">
      <formula>$A46</formula>
    </cfRule>
    <cfRule type="cellIs" dxfId="2667" priority="1033" operator="equal">
      <formula>$A46</formula>
    </cfRule>
  </conditionalFormatting>
  <conditionalFormatting sqref="F50:F51">
    <cfRule type="cellIs" dxfId="2666" priority="1024" operator="notEqual">
      <formula>$A50</formula>
    </cfRule>
    <cfRule type="cellIs" dxfId="2665" priority="1025" operator="equal">
      <formula>"""&lt;&gt;$A6"""</formula>
    </cfRule>
    <cfRule type="cellIs" dxfId="2664" priority="1026" operator="equal">
      <formula>"&lt;&gt;$A6"</formula>
    </cfRule>
    <cfRule type="cellIs" dxfId="2663" priority="1027" operator="equal">
      <formula>$A50</formula>
    </cfRule>
    <cfRule type="cellIs" dxfId="2662" priority="1028" operator="equal">
      <formula>$A50</formula>
    </cfRule>
  </conditionalFormatting>
  <conditionalFormatting sqref="G5:J5">
    <cfRule type="cellIs" dxfId="2661" priority="1009" operator="notEqual">
      <formula>$A5</formula>
    </cfRule>
    <cfRule type="cellIs" dxfId="2660" priority="1010" operator="equal">
      <formula>"""&lt;&gt;$A6"""</formula>
    </cfRule>
    <cfRule type="cellIs" dxfId="2659" priority="1011" operator="equal">
      <formula>"&lt;&gt;$A6"</formula>
    </cfRule>
    <cfRule type="cellIs" dxfId="2658" priority="1012" operator="equal">
      <formula>$A5</formula>
    </cfRule>
    <cfRule type="cellIs" dxfId="2657" priority="1013" operator="equal">
      <formula>$A5</formula>
    </cfRule>
  </conditionalFormatting>
  <conditionalFormatting sqref="G8:J8">
    <cfRule type="cellIs" dxfId="2656" priority="1004" operator="notEqual">
      <formula>$A8</formula>
    </cfRule>
    <cfRule type="cellIs" dxfId="2655" priority="1005" operator="equal">
      <formula>"""&lt;&gt;$A6"""</formula>
    </cfRule>
    <cfRule type="cellIs" dxfId="2654" priority="1006" operator="equal">
      <formula>"&lt;&gt;$A6"</formula>
    </cfRule>
    <cfRule type="cellIs" dxfId="2653" priority="1007" operator="equal">
      <formula>$A8</formula>
    </cfRule>
    <cfRule type="cellIs" dxfId="2652" priority="1008" operator="equal">
      <formula>$A8</formula>
    </cfRule>
  </conditionalFormatting>
  <conditionalFormatting sqref="F49">
    <cfRule type="cellIs" dxfId="2651" priority="1019" operator="notEqual">
      <formula>$A49</formula>
    </cfRule>
    <cfRule type="cellIs" dxfId="2650" priority="1020" operator="equal">
      <formula>"""&lt;&gt;$A6"""</formula>
    </cfRule>
    <cfRule type="cellIs" dxfId="2649" priority="1021" operator="equal">
      <formula>"&lt;&gt;$A6"</formula>
    </cfRule>
    <cfRule type="cellIs" dxfId="2648" priority="1022" operator="equal">
      <formula>$A49</formula>
    </cfRule>
    <cfRule type="cellIs" dxfId="2647" priority="1023" operator="equal">
      <formula>$A49</formula>
    </cfRule>
  </conditionalFormatting>
  <conditionalFormatting sqref="F53:F60">
    <cfRule type="cellIs" dxfId="2646" priority="1014" operator="notEqual">
      <formula>$A53</formula>
    </cfRule>
    <cfRule type="cellIs" dxfId="2645" priority="1015" operator="equal">
      <formula>"""&lt;&gt;$A6"""</formula>
    </cfRule>
    <cfRule type="cellIs" dxfId="2644" priority="1016" operator="equal">
      <formula>"&lt;&gt;$A6"</formula>
    </cfRule>
    <cfRule type="cellIs" dxfId="2643" priority="1017" operator="equal">
      <formula>$A53</formula>
    </cfRule>
    <cfRule type="cellIs" dxfId="2642" priority="1018" operator="equal">
      <formula>$A53</formula>
    </cfRule>
  </conditionalFormatting>
  <conditionalFormatting sqref="G10:J23">
    <cfRule type="cellIs" dxfId="2641" priority="994" operator="notEqual">
      <formula>$A10</formula>
    </cfRule>
    <cfRule type="cellIs" dxfId="2640" priority="995" operator="equal">
      <formula>"""&lt;&gt;$A6"""</formula>
    </cfRule>
    <cfRule type="cellIs" dxfId="2639" priority="996" operator="equal">
      <formula>"&lt;&gt;$A6"</formula>
    </cfRule>
    <cfRule type="cellIs" dxfId="2638" priority="997" operator="equal">
      <formula>$A10</formula>
    </cfRule>
    <cfRule type="cellIs" dxfId="2637" priority="998" operator="equal">
      <formula>$A10</formula>
    </cfRule>
  </conditionalFormatting>
  <conditionalFormatting sqref="G26:J26">
    <cfRule type="cellIs" dxfId="2636" priority="989" operator="notEqual">
      <formula>$A26</formula>
    </cfRule>
    <cfRule type="cellIs" dxfId="2635" priority="990" operator="equal">
      <formula>"""&lt;&gt;$A6"""</formula>
    </cfRule>
    <cfRule type="cellIs" dxfId="2634" priority="991" operator="equal">
      <formula>"&lt;&gt;$A6"</formula>
    </cfRule>
    <cfRule type="cellIs" dxfId="2633" priority="992" operator="equal">
      <formula>$A26</formula>
    </cfRule>
    <cfRule type="cellIs" dxfId="2632" priority="993" operator="equal">
      <formula>$A26</formula>
    </cfRule>
  </conditionalFormatting>
  <conditionalFormatting sqref="G36:J36">
    <cfRule type="cellIs" dxfId="2631" priority="984" operator="notEqual">
      <formula>$A36</formula>
    </cfRule>
    <cfRule type="cellIs" dxfId="2630" priority="985" operator="equal">
      <formula>"""&lt;&gt;$A6"""</formula>
    </cfRule>
    <cfRule type="cellIs" dxfId="2629" priority="986" operator="equal">
      <formula>"&lt;&gt;$A6"</formula>
    </cfRule>
    <cfRule type="cellIs" dxfId="2628" priority="987" operator="equal">
      <formula>$A36</formula>
    </cfRule>
    <cfRule type="cellIs" dxfId="2627" priority="988" operator="equal">
      <formula>$A36</formula>
    </cfRule>
  </conditionalFormatting>
  <conditionalFormatting sqref="G32:J35">
    <cfRule type="cellIs" dxfId="2626" priority="979" operator="notEqual">
      <formula>$A32</formula>
    </cfRule>
    <cfRule type="cellIs" dxfId="2625" priority="980" operator="equal">
      <formula>"""&lt;&gt;$A6"""</formula>
    </cfRule>
    <cfRule type="cellIs" dxfId="2624" priority="981" operator="equal">
      <formula>"&lt;&gt;$A6"</formula>
    </cfRule>
    <cfRule type="cellIs" dxfId="2623" priority="982" operator="equal">
      <formula>$A32</formula>
    </cfRule>
    <cfRule type="cellIs" dxfId="2622" priority="983" operator="equal">
      <formula>$A32</formula>
    </cfRule>
  </conditionalFormatting>
  <conditionalFormatting sqref="G37:J37">
    <cfRule type="cellIs" dxfId="2621" priority="974" operator="notEqual">
      <formula>$A37</formula>
    </cfRule>
    <cfRule type="cellIs" dxfId="2620" priority="975" operator="equal">
      <formula>"""&lt;&gt;$A6"""</formula>
    </cfRule>
    <cfRule type="cellIs" dxfId="2619" priority="976" operator="equal">
      <formula>"&lt;&gt;$A6"</formula>
    </cfRule>
    <cfRule type="cellIs" dxfId="2618" priority="977" operator="equal">
      <formula>$A37</formula>
    </cfRule>
    <cfRule type="cellIs" dxfId="2617" priority="978" operator="equal">
      <formula>$A37</formula>
    </cfRule>
  </conditionalFormatting>
  <conditionalFormatting sqref="G38:J40">
    <cfRule type="cellIs" dxfId="2616" priority="969" operator="notEqual">
      <formula>$A38</formula>
    </cfRule>
    <cfRule type="cellIs" dxfId="2615" priority="970" operator="equal">
      <formula>"""&lt;&gt;$A6"""</formula>
    </cfRule>
    <cfRule type="cellIs" dxfId="2614" priority="971" operator="equal">
      <formula>"&lt;&gt;$A6"</formula>
    </cfRule>
    <cfRule type="cellIs" dxfId="2613" priority="972" operator="equal">
      <formula>$A38</formula>
    </cfRule>
    <cfRule type="cellIs" dxfId="2612" priority="973" operator="equal">
      <formula>$A38</formula>
    </cfRule>
  </conditionalFormatting>
  <conditionalFormatting sqref="G41:J41">
    <cfRule type="cellIs" dxfId="2611" priority="964" operator="notEqual">
      <formula>$A41</formula>
    </cfRule>
    <cfRule type="cellIs" dxfId="2610" priority="965" operator="equal">
      <formula>"""&lt;&gt;$A6"""</formula>
    </cfRule>
    <cfRule type="cellIs" dxfId="2609" priority="966" operator="equal">
      <formula>"&lt;&gt;$A6"</formula>
    </cfRule>
    <cfRule type="cellIs" dxfId="2608" priority="967" operator="equal">
      <formula>$A41</formula>
    </cfRule>
    <cfRule type="cellIs" dxfId="2607" priority="968" operator="equal">
      <formula>$A41</formula>
    </cfRule>
  </conditionalFormatting>
  <conditionalFormatting sqref="E42:E43">
    <cfRule type="cellIs" dxfId="2606" priority="924" operator="notEqual">
      <formula>$A42</formula>
    </cfRule>
    <cfRule type="cellIs" dxfId="2605" priority="925" operator="equal">
      <formula>"""&lt;&gt;$A6"""</formula>
    </cfRule>
    <cfRule type="cellIs" dxfId="2604" priority="926" operator="equal">
      <formula>"&lt;&gt;$A6"</formula>
    </cfRule>
    <cfRule type="cellIs" dxfId="2603" priority="927" operator="equal">
      <formula>$A42</formula>
    </cfRule>
    <cfRule type="cellIs" dxfId="2602" priority="928" operator="equal">
      <formula>$A42</formula>
    </cfRule>
  </conditionalFormatting>
  <conditionalFormatting sqref="G46:J46">
    <cfRule type="cellIs" dxfId="2601" priority="949" operator="notEqual">
      <formula>$A46</formula>
    </cfRule>
    <cfRule type="cellIs" dxfId="2600" priority="950" operator="equal">
      <formula>"""&lt;&gt;$A6"""</formula>
    </cfRule>
    <cfRule type="cellIs" dxfId="2599" priority="951" operator="equal">
      <formula>"&lt;&gt;$A6"</formula>
    </cfRule>
    <cfRule type="cellIs" dxfId="2598" priority="952" operator="equal">
      <formula>$A46</formula>
    </cfRule>
    <cfRule type="cellIs" dxfId="2597" priority="953" operator="equal">
      <formula>$A46</formula>
    </cfRule>
  </conditionalFormatting>
  <conditionalFormatting sqref="G50:J51">
    <cfRule type="cellIs" dxfId="2596" priority="944" operator="notEqual">
      <formula>$A50</formula>
    </cfRule>
    <cfRule type="cellIs" dxfId="2595" priority="945" operator="equal">
      <formula>"""&lt;&gt;$A6"""</formula>
    </cfRule>
    <cfRule type="cellIs" dxfId="2594" priority="946" operator="equal">
      <formula>"&lt;&gt;$A6"</formula>
    </cfRule>
    <cfRule type="cellIs" dxfId="2593" priority="947" operator="equal">
      <formula>$A50</formula>
    </cfRule>
    <cfRule type="cellIs" dxfId="2592" priority="948" operator="equal">
      <formula>$A50</formula>
    </cfRule>
  </conditionalFormatting>
  <conditionalFormatting sqref="G49:J49">
    <cfRule type="cellIs" dxfId="2591" priority="939" operator="notEqual">
      <formula>$A49</formula>
    </cfRule>
    <cfRule type="cellIs" dxfId="2590" priority="940" operator="equal">
      <formula>"""&lt;&gt;$A6"""</formula>
    </cfRule>
    <cfRule type="cellIs" dxfId="2589" priority="941" operator="equal">
      <formula>"&lt;&gt;$A6"</formula>
    </cfRule>
    <cfRule type="cellIs" dxfId="2588" priority="942" operator="equal">
      <formula>$A49</formula>
    </cfRule>
    <cfRule type="cellIs" dxfId="2587" priority="943" operator="equal">
      <formula>$A49</formula>
    </cfRule>
  </conditionalFormatting>
  <conditionalFormatting sqref="G53:J60">
    <cfRule type="cellIs" dxfId="2586" priority="934" operator="notEqual">
      <formula>$A53</formula>
    </cfRule>
    <cfRule type="cellIs" dxfId="2585" priority="935" operator="equal">
      <formula>"""&lt;&gt;$A6"""</formula>
    </cfRule>
    <cfRule type="cellIs" dxfId="2584" priority="936" operator="equal">
      <formula>"&lt;&gt;$A6"</formula>
    </cfRule>
    <cfRule type="cellIs" dxfId="2583" priority="937" operator="equal">
      <formula>$A53</formula>
    </cfRule>
    <cfRule type="cellIs" dxfId="2582" priority="938" operator="equal">
      <formula>$A53</formula>
    </cfRule>
  </conditionalFormatting>
  <conditionalFormatting sqref="D42:D43">
    <cfRule type="cellIs" dxfId="2581" priority="929" operator="notEqual">
      <formula>$A42</formula>
    </cfRule>
    <cfRule type="cellIs" dxfId="2580" priority="930" operator="equal">
      <formula>"""&lt;&gt;$A6"""</formula>
    </cfRule>
    <cfRule type="cellIs" dxfId="2579" priority="931" operator="equal">
      <formula>"&lt;&gt;$A6"</formula>
    </cfRule>
    <cfRule type="cellIs" dxfId="2578" priority="932" operator="equal">
      <formula>$A42</formula>
    </cfRule>
    <cfRule type="cellIs" dxfId="2577" priority="933" operator="equal">
      <formula>$A42</formula>
    </cfRule>
  </conditionalFormatting>
  <conditionalFormatting sqref="F42:F43">
    <cfRule type="cellIs" dxfId="2576" priority="919" operator="notEqual">
      <formula>$A42</formula>
    </cfRule>
    <cfRule type="cellIs" dxfId="2575" priority="920" operator="equal">
      <formula>"""&lt;&gt;$A6"""</formula>
    </cfRule>
    <cfRule type="cellIs" dxfId="2574" priority="921" operator="equal">
      <formula>"&lt;&gt;$A6"</formula>
    </cfRule>
    <cfRule type="cellIs" dxfId="2573" priority="922" operator="equal">
      <formula>$A42</formula>
    </cfRule>
    <cfRule type="cellIs" dxfId="2572" priority="923" operator="equal">
      <formula>$A42</formula>
    </cfRule>
  </conditionalFormatting>
  <conditionalFormatting sqref="G42:J43">
    <cfRule type="cellIs" dxfId="2571" priority="914" operator="notEqual">
      <formula>$A42</formula>
    </cfRule>
    <cfRule type="cellIs" dxfId="2570" priority="915" operator="equal">
      <formula>"""&lt;&gt;$A6"""</formula>
    </cfRule>
    <cfRule type="cellIs" dxfId="2569" priority="916" operator="equal">
      <formula>"&lt;&gt;$A6"</formula>
    </cfRule>
    <cfRule type="cellIs" dxfId="2568" priority="917" operator="equal">
      <formula>$A42</formula>
    </cfRule>
    <cfRule type="cellIs" dxfId="2567" priority="918" operator="equal">
      <formula>$A42</formula>
    </cfRule>
  </conditionalFormatting>
  <conditionalFormatting sqref="F47">
    <cfRule type="cellIs" dxfId="2566" priority="899" operator="notEqual">
      <formula>$A47</formula>
    </cfRule>
    <cfRule type="cellIs" dxfId="2565" priority="900" operator="equal">
      <formula>"""&lt;&gt;$A6"""</formula>
    </cfRule>
    <cfRule type="cellIs" dxfId="2564" priority="901" operator="equal">
      <formula>"&lt;&gt;$A6"</formula>
    </cfRule>
    <cfRule type="cellIs" dxfId="2563" priority="902" operator="equal">
      <formula>$A47</formula>
    </cfRule>
    <cfRule type="cellIs" dxfId="2562" priority="903" operator="equal">
      <formula>$A47</formula>
    </cfRule>
  </conditionalFormatting>
  <conditionalFormatting sqref="D47">
    <cfRule type="cellIs" dxfId="2561" priority="909" operator="notEqual">
      <formula>$A47</formula>
    </cfRule>
    <cfRule type="cellIs" dxfId="2560" priority="910" operator="equal">
      <formula>"""&lt;&gt;$A6"""</formula>
    </cfRule>
    <cfRule type="cellIs" dxfId="2559" priority="911" operator="equal">
      <formula>"&lt;&gt;$A6"</formula>
    </cfRule>
    <cfRule type="cellIs" dxfId="2558" priority="912" operator="equal">
      <formula>$A47</formula>
    </cfRule>
    <cfRule type="cellIs" dxfId="2557" priority="913" operator="equal">
      <formula>$A47</formula>
    </cfRule>
  </conditionalFormatting>
  <conditionalFormatting sqref="G47:J47">
    <cfRule type="cellIs" dxfId="2556" priority="894" operator="notEqual">
      <formula>$A47</formula>
    </cfRule>
    <cfRule type="cellIs" dxfId="2555" priority="895" operator="equal">
      <formula>"""&lt;&gt;$A6"""</formula>
    </cfRule>
    <cfRule type="cellIs" dxfId="2554" priority="896" operator="equal">
      <formula>"&lt;&gt;$A6"</formula>
    </cfRule>
    <cfRule type="cellIs" dxfId="2553" priority="897" operator="equal">
      <formula>$A47</formula>
    </cfRule>
    <cfRule type="cellIs" dxfId="2552" priority="898" operator="equal">
      <formula>$A47</formula>
    </cfRule>
  </conditionalFormatting>
  <conditionalFormatting sqref="E47">
    <cfRule type="cellIs" dxfId="2551" priority="904" operator="notEqual">
      <formula>$A47</formula>
    </cfRule>
    <cfRule type="cellIs" dxfId="2550" priority="905" operator="equal">
      <formula>"""&lt;&gt;$A6"""</formula>
    </cfRule>
    <cfRule type="cellIs" dxfId="2549" priority="906" operator="equal">
      <formula>"&lt;&gt;$A6"</formula>
    </cfRule>
    <cfRule type="cellIs" dxfId="2548" priority="907" operator="equal">
      <formula>$A47</formula>
    </cfRule>
    <cfRule type="cellIs" dxfId="2547" priority="908" operator="equal">
      <formula>$A47</formula>
    </cfRule>
  </conditionalFormatting>
  <conditionalFormatting sqref="C48">
    <cfRule type="cellIs" dxfId="2546" priority="889" operator="notEqual">
      <formula>$A48</formula>
    </cfRule>
    <cfRule type="cellIs" dxfId="2545" priority="890" operator="equal">
      <formula>"""&lt;&gt;$A6"""</formula>
    </cfRule>
    <cfRule type="cellIs" dxfId="2544" priority="891" operator="equal">
      <formula>"&lt;&gt;$A6"</formula>
    </cfRule>
    <cfRule type="cellIs" dxfId="2543" priority="892" operator="equal">
      <formula>$A48</formula>
    </cfRule>
    <cfRule type="cellIs" dxfId="2542" priority="893" operator="equal">
      <formula>$A48</formula>
    </cfRule>
  </conditionalFormatting>
  <conditionalFormatting sqref="E48">
    <cfRule type="cellIs" dxfId="2541" priority="879" operator="notEqual">
      <formula>$A48</formula>
    </cfRule>
    <cfRule type="cellIs" dxfId="2540" priority="880" operator="equal">
      <formula>"""&lt;&gt;$A6"""</formula>
    </cfRule>
    <cfRule type="cellIs" dxfId="2539" priority="881" operator="equal">
      <formula>"&lt;&gt;$A6"</formula>
    </cfRule>
    <cfRule type="cellIs" dxfId="2538" priority="882" operator="equal">
      <formula>$A48</formula>
    </cfRule>
    <cfRule type="cellIs" dxfId="2537" priority="883" operator="equal">
      <formula>$A48</formula>
    </cfRule>
  </conditionalFormatting>
  <conditionalFormatting sqref="G48:J48">
    <cfRule type="cellIs" dxfId="2536" priority="869" operator="notEqual">
      <formula>$A48</formula>
    </cfRule>
    <cfRule type="cellIs" dxfId="2535" priority="870" operator="equal">
      <formula>"""&lt;&gt;$A6"""</formula>
    </cfRule>
    <cfRule type="cellIs" dxfId="2534" priority="871" operator="equal">
      <formula>"&lt;&gt;$A6"</formula>
    </cfRule>
    <cfRule type="cellIs" dxfId="2533" priority="872" operator="equal">
      <formula>$A48</formula>
    </cfRule>
    <cfRule type="cellIs" dxfId="2532" priority="873" operator="equal">
      <formula>$A48</formula>
    </cfRule>
  </conditionalFormatting>
  <conditionalFormatting sqref="D48">
    <cfRule type="cellIs" dxfId="2531" priority="884" operator="notEqual">
      <formula>$A48</formula>
    </cfRule>
    <cfRule type="cellIs" dxfId="2530" priority="885" operator="equal">
      <formula>"""&lt;&gt;$A6"""</formula>
    </cfRule>
    <cfRule type="cellIs" dxfId="2529" priority="886" operator="equal">
      <formula>"&lt;&gt;$A6"</formula>
    </cfRule>
    <cfRule type="cellIs" dxfId="2528" priority="887" operator="equal">
      <formula>$A48</formula>
    </cfRule>
    <cfRule type="cellIs" dxfId="2527" priority="888" operator="equal">
      <formula>$A48</formula>
    </cfRule>
  </conditionalFormatting>
  <conditionalFormatting sqref="F48">
    <cfRule type="cellIs" dxfId="2526" priority="874" operator="notEqual">
      <formula>$A48</formula>
    </cfRule>
    <cfRule type="cellIs" dxfId="2525" priority="875" operator="equal">
      <formula>"""&lt;&gt;$A6"""</formula>
    </cfRule>
    <cfRule type="cellIs" dxfId="2524" priority="876" operator="equal">
      <formula>"&lt;&gt;$A6"</formula>
    </cfRule>
    <cfRule type="cellIs" dxfId="2523" priority="877" operator="equal">
      <formula>$A48</formula>
    </cfRule>
    <cfRule type="cellIs" dxfId="2522" priority="878" operator="equal">
      <formula>$A48</formula>
    </cfRule>
  </conditionalFormatting>
  <conditionalFormatting sqref="K9">
    <cfRule type="cellIs" dxfId="2521" priority="854" operator="notEqual">
      <formula>$A9</formula>
    </cfRule>
    <cfRule type="cellIs" dxfId="2520" priority="855" operator="equal">
      <formula>"""&lt;&gt;$A6"""</formula>
    </cfRule>
    <cfRule type="cellIs" dxfId="2519" priority="856" operator="equal">
      <formula>"&lt;&gt;$A6"</formula>
    </cfRule>
    <cfRule type="cellIs" dxfId="2518" priority="857" operator="equal">
      <formula>$A9</formula>
    </cfRule>
    <cfRule type="cellIs" dxfId="2517" priority="858" operator="equal">
      <formula>$A9</formula>
    </cfRule>
  </conditionalFormatting>
  <conditionalFormatting sqref="K5">
    <cfRule type="cellIs" dxfId="2516" priority="864" operator="notEqual">
      <formula>$A5</formula>
    </cfRule>
    <cfRule type="cellIs" dxfId="2515" priority="865" operator="equal">
      <formula>"""&lt;&gt;$A6"""</formula>
    </cfRule>
    <cfRule type="cellIs" dxfId="2514" priority="866" operator="equal">
      <formula>"&lt;&gt;$A6"</formula>
    </cfRule>
    <cfRule type="cellIs" dxfId="2513" priority="867" operator="equal">
      <formula>$A5</formula>
    </cfRule>
    <cfRule type="cellIs" dxfId="2512" priority="868" operator="equal">
      <formula>$A5</formula>
    </cfRule>
  </conditionalFormatting>
  <conditionalFormatting sqref="K8">
    <cfRule type="cellIs" dxfId="2511" priority="859" operator="notEqual">
      <formula>$A8</formula>
    </cfRule>
    <cfRule type="cellIs" dxfId="2510" priority="860" operator="equal">
      <formula>"""&lt;&gt;$A6"""</formula>
    </cfRule>
    <cfRule type="cellIs" dxfId="2509" priority="861" operator="equal">
      <formula>"&lt;&gt;$A6"</formula>
    </cfRule>
    <cfRule type="cellIs" dxfId="2508" priority="862" operator="equal">
      <formula>$A8</formula>
    </cfRule>
    <cfRule type="cellIs" dxfId="2507" priority="863" operator="equal">
      <formula>$A8</formula>
    </cfRule>
  </conditionalFormatting>
  <conditionalFormatting sqref="K10:K23">
    <cfRule type="cellIs" dxfId="2506" priority="849" operator="notEqual">
      <formula>$A10</formula>
    </cfRule>
    <cfRule type="cellIs" dxfId="2505" priority="850" operator="equal">
      <formula>"""&lt;&gt;$A6"""</formula>
    </cfRule>
    <cfRule type="cellIs" dxfId="2504" priority="851" operator="equal">
      <formula>"&lt;&gt;$A6"</formula>
    </cfRule>
    <cfRule type="cellIs" dxfId="2503" priority="852" operator="equal">
      <formula>$A10</formula>
    </cfRule>
    <cfRule type="cellIs" dxfId="2502" priority="853" operator="equal">
      <formula>$A10</formula>
    </cfRule>
  </conditionalFormatting>
  <conditionalFormatting sqref="K26">
    <cfRule type="cellIs" dxfId="2501" priority="844" operator="notEqual">
      <formula>$A26</formula>
    </cfRule>
    <cfRule type="cellIs" dxfId="2500" priority="845" operator="equal">
      <formula>"""&lt;&gt;$A6"""</formula>
    </cfRule>
    <cfRule type="cellIs" dxfId="2499" priority="846" operator="equal">
      <formula>"&lt;&gt;$A6"</formula>
    </cfRule>
    <cfRule type="cellIs" dxfId="2498" priority="847" operator="equal">
      <formula>$A26</formula>
    </cfRule>
    <cfRule type="cellIs" dxfId="2497" priority="848" operator="equal">
      <formula>$A26</formula>
    </cfRule>
  </conditionalFormatting>
  <conditionalFormatting sqref="K36">
    <cfRule type="cellIs" dxfId="2496" priority="839" operator="notEqual">
      <formula>$A36</formula>
    </cfRule>
    <cfRule type="cellIs" dxfId="2495" priority="840" operator="equal">
      <formula>"""&lt;&gt;$A6"""</formula>
    </cfRule>
    <cfRule type="cellIs" dxfId="2494" priority="841" operator="equal">
      <formula>"&lt;&gt;$A6"</formula>
    </cfRule>
    <cfRule type="cellIs" dxfId="2493" priority="842" operator="equal">
      <formula>$A36</formula>
    </cfRule>
    <cfRule type="cellIs" dxfId="2492" priority="843" operator="equal">
      <formula>$A36</formula>
    </cfRule>
  </conditionalFormatting>
  <conditionalFormatting sqref="K32:K35">
    <cfRule type="cellIs" dxfId="2491" priority="834" operator="notEqual">
      <formula>$A32</formula>
    </cfRule>
    <cfRule type="cellIs" dxfId="2490" priority="835" operator="equal">
      <formula>"""&lt;&gt;$A6"""</formula>
    </cfRule>
    <cfRule type="cellIs" dxfId="2489" priority="836" operator="equal">
      <formula>"&lt;&gt;$A6"</formula>
    </cfRule>
    <cfRule type="cellIs" dxfId="2488" priority="837" operator="equal">
      <formula>$A32</formula>
    </cfRule>
    <cfRule type="cellIs" dxfId="2487" priority="838" operator="equal">
      <formula>$A32</formula>
    </cfRule>
  </conditionalFormatting>
  <conditionalFormatting sqref="K37">
    <cfRule type="cellIs" dxfId="2486" priority="829" operator="notEqual">
      <formula>$A37</formula>
    </cfRule>
    <cfRule type="cellIs" dxfId="2485" priority="830" operator="equal">
      <formula>"""&lt;&gt;$A6"""</formula>
    </cfRule>
    <cfRule type="cellIs" dxfId="2484" priority="831" operator="equal">
      <formula>"&lt;&gt;$A6"</formula>
    </cfRule>
    <cfRule type="cellIs" dxfId="2483" priority="832" operator="equal">
      <formula>$A37</formula>
    </cfRule>
    <cfRule type="cellIs" dxfId="2482" priority="833" operator="equal">
      <formula>$A37</formula>
    </cfRule>
  </conditionalFormatting>
  <conditionalFormatting sqref="K38:K40">
    <cfRule type="cellIs" dxfId="2481" priority="824" operator="notEqual">
      <formula>$A38</formula>
    </cfRule>
    <cfRule type="cellIs" dxfId="2480" priority="825" operator="equal">
      <formula>"""&lt;&gt;$A6"""</formula>
    </cfRule>
    <cfRule type="cellIs" dxfId="2479" priority="826" operator="equal">
      <formula>"&lt;&gt;$A6"</formula>
    </cfRule>
    <cfRule type="cellIs" dxfId="2478" priority="827" operator="equal">
      <formula>$A38</formula>
    </cfRule>
    <cfRule type="cellIs" dxfId="2477" priority="828" operator="equal">
      <formula>$A38</formula>
    </cfRule>
  </conditionalFormatting>
  <conditionalFormatting sqref="K41">
    <cfRule type="cellIs" dxfId="2476" priority="819" operator="notEqual">
      <formula>$A41</formula>
    </cfRule>
    <cfRule type="cellIs" dxfId="2475" priority="820" operator="equal">
      <formula>"""&lt;&gt;$A6"""</formula>
    </cfRule>
    <cfRule type="cellIs" dxfId="2474" priority="821" operator="equal">
      <formula>"&lt;&gt;$A6"</formula>
    </cfRule>
    <cfRule type="cellIs" dxfId="2473" priority="822" operator="equal">
      <formula>$A41</formula>
    </cfRule>
    <cfRule type="cellIs" dxfId="2472" priority="823" operator="equal">
      <formula>$A41</formula>
    </cfRule>
  </conditionalFormatting>
  <conditionalFormatting sqref="K46">
    <cfRule type="cellIs" dxfId="2471" priority="804" operator="notEqual">
      <formula>$A46</formula>
    </cfRule>
    <cfRule type="cellIs" dxfId="2470" priority="805" operator="equal">
      <formula>"""&lt;&gt;$A6"""</formula>
    </cfRule>
    <cfRule type="cellIs" dxfId="2469" priority="806" operator="equal">
      <formula>"&lt;&gt;$A6"</formula>
    </cfRule>
    <cfRule type="cellIs" dxfId="2468" priority="807" operator="equal">
      <formula>$A46</formula>
    </cfRule>
    <cfRule type="cellIs" dxfId="2467" priority="808" operator="equal">
      <formula>$A46</formula>
    </cfRule>
  </conditionalFormatting>
  <conditionalFormatting sqref="K50:K51">
    <cfRule type="cellIs" dxfId="2466" priority="799" operator="notEqual">
      <formula>$A50</formula>
    </cfRule>
    <cfRule type="cellIs" dxfId="2465" priority="800" operator="equal">
      <formula>"""&lt;&gt;$A6"""</formula>
    </cfRule>
    <cfRule type="cellIs" dxfId="2464" priority="801" operator="equal">
      <formula>"&lt;&gt;$A6"</formula>
    </cfRule>
    <cfRule type="cellIs" dxfId="2463" priority="802" operator="equal">
      <formula>$A50</formula>
    </cfRule>
    <cfRule type="cellIs" dxfId="2462" priority="803" operator="equal">
      <formula>$A50</formula>
    </cfRule>
  </conditionalFormatting>
  <conditionalFormatting sqref="K49">
    <cfRule type="cellIs" dxfId="2461" priority="794" operator="notEqual">
      <formula>$A49</formula>
    </cfRule>
    <cfRule type="cellIs" dxfId="2460" priority="795" operator="equal">
      <formula>"""&lt;&gt;$A6"""</formula>
    </cfRule>
    <cfRule type="cellIs" dxfId="2459" priority="796" operator="equal">
      <formula>"&lt;&gt;$A6"</formula>
    </cfRule>
    <cfRule type="cellIs" dxfId="2458" priority="797" operator="equal">
      <formula>$A49</formula>
    </cfRule>
    <cfRule type="cellIs" dxfId="2457" priority="798" operator="equal">
      <formula>$A49</formula>
    </cfRule>
  </conditionalFormatting>
  <conditionalFormatting sqref="K53:K60">
    <cfRule type="cellIs" dxfId="2456" priority="789" operator="notEqual">
      <formula>$A53</formula>
    </cfRule>
    <cfRule type="cellIs" dxfId="2455" priority="790" operator="equal">
      <formula>"""&lt;&gt;$A6"""</formula>
    </cfRule>
    <cfRule type="cellIs" dxfId="2454" priority="791" operator="equal">
      <formula>"&lt;&gt;$A6"</formula>
    </cfRule>
    <cfRule type="cellIs" dxfId="2453" priority="792" operator="equal">
      <formula>$A53</formula>
    </cfRule>
    <cfRule type="cellIs" dxfId="2452" priority="793" operator="equal">
      <formula>$A53</formula>
    </cfRule>
  </conditionalFormatting>
  <conditionalFormatting sqref="K42:K43">
    <cfRule type="cellIs" dxfId="2451" priority="784" operator="notEqual">
      <formula>$A42</formula>
    </cfRule>
    <cfRule type="cellIs" dxfId="2450" priority="785" operator="equal">
      <formula>"""&lt;&gt;$A6"""</formula>
    </cfRule>
    <cfRule type="cellIs" dxfId="2449" priority="786" operator="equal">
      <formula>"&lt;&gt;$A6"</formula>
    </cfRule>
    <cfRule type="cellIs" dxfId="2448" priority="787" operator="equal">
      <formula>$A42</formula>
    </cfRule>
    <cfRule type="cellIs" dxfId="2447" priority="788" operator="equal">
      <formula>$A42</formula>
    </cfRule>
  </conditionalFormatting>
  <conditionalFormatting sqref="K47">
    <cfRule type="cellIs" dxfId="2446" priority="779" operator="notEqual">
      <formula>$A47</formula>
    </cfRule>
    <cfRule type="cellIs" dxfId="2445" priority="780" operator="equal">
      <formula>"""&lt;&gt;$A6"""</formula>
    </cfRule>
    <cfRule type="cellIs" dxfId="2444" priority="781" operator="equal">
      <formula>"&lt;&gt;$A6"</formula>
    </cfRule>
    <cfRule type="cellIs" dxfId="2443" priority="782" operator="equal">
      <formula>$A47</formula>
    </cfRule>
    <cfRule type="cellIs" dxfId="2442" priority="783" operator="equal">
      <formula>$A47</formula>
    </cfRule>
  </conditionalFormatting>
  <conditionalFormatting sqref="K48">
    <cfRule type="cellIs" dxfId="2441" priority="774" operator="notEqual">
      <formula>$A48</formula>
    </cfRule>
    <cfRule type="cellIs" dxfId="2440" priority="775" operator="equal">
      <formula>"""&lt;&gt;$A6"""</formula>
    </cfRule>
    <cfRule type="cellIs" dxfId="2439" priority="776" operator="equal">
      <formula>"&lt;&gt;$A6"</formula>
    </cfRule>
    <cfRule type="cellIs" dxfId="2438" priority="777" operator="equal">
      <formula>$A48</formula>
    </cfRule>
    <cfRule type="cellIs" dxfId="2437" priority="778" operator="equal">
      <formula>$A48</formula>
    </cfRule>
  </conditionalFormatting>
  <conditionalFormatting sqref="L9">
    <cfRule type="cellIs" dxfId="2436" priority="759" operator="notEqual">
      <formula>$A9</formula>
    </cfRule>
    <cfRule type="cellIs" dxfId="2435" priority="760" operator="equal">
      <formula>"""&lt;&gt;$A6"""</formula>
    </cfRule>
    <cfRule type="cellIs" dxfId="2434" priority="761" operator="equal">
      <formula>"&lt;&gt;$A6"</formula>
    </cfRule>
    <cfRule type="cellIs" dxfId="2433" priority="762" operator="equal">
      <formula>$A9</formula>
    </cfRule>
    <cfRule type="cellIs" dxfId="2432" priority="763" operator="equal">
      <formula>$A9</formula>
    </cfRule>
  </conditionalFormatting>
  <conditionalFormatting sqref="L5">
    <cfRule type="cellIs" dxfId="2431" priority="769" operator="notEqual">
      <formula>$A5</formula>
    </cfRule>
    <cfRule type="cellIs" dxfId="2430" priority="770" operator="equal">
      <formula>"""&lt;&gt;$A6"""</formula>
    </cfRule>
    <cfRule type="cellIs" dxfId="2429" priority="771" operator="equal">
      <formula>"&lt;&gt;$A6"</formula>
    </cfRule>
    <cfRule type="cellIs" dxfId="2428" priority="772" operator="equal">
      <formula>$A5</formula>
    </cfRule>
    <cfRule type="cellIs" dxfId="2427" priority="773" operator="equal">
      <formula>$A5</formula>
    </cfRule>
  </conditionalFormatting>
  <conditionalFormatting sqref="L8">
    <cfRule type="cellIs" dxfId="2426" priority="764" operator="notEqual">
      <formula>$A8</formula>
    </cfRule>
    <cfRule type="cellIs" dxfId="2425" priority="765" operator="equal">
      <formula>"""&lt;&gt;$A6"""</formula>
    </cfRule>
    <cfRule type="cellIs" dxfId="2424" priority="766" operator="equal">
      <formula>"&lt;&gt;$A6"</formula>
    </cfRule>
    <cfRule type="cellIs" dxfId="2423" priority="767" operator="equal">
      <formula>$A8</formula>
    </cfRule>
    <cfRule type="cellIs" dxfId="2422" priority="768" operator="equal">
      <formula>$A8</formula>
    </cfRule>
  </conditionalFormatting>
  <conditionalFormatting sqref="L10:L23">
    <cfRule type="cellIs" dxfId="2421" priority="754" operator="notEqual">
      <formula>$A10</formula>
    </cfRule>
    <cfRule type="cellIs" dxfId="2420" priority="755" operator="equal">
      <formula>"""&lt;&gt;$A6"""</formula>
    </cfRule>
    <cfRule type="cellIs" dxfId="2419" priority="756" operator="equal">
      <formula>"&lt;&gt;$A6"</formula>
    </cfRule>
    <cfRule type="cellIs" dxfId="2418" priority="757" operator="equal">
      <formula>$A10</formula>
    </cfRule>
    <cfRule type="cellIs" dxfId="2417" priority="758" operator="equal">
      <formula>$A10</formula>
    </cfRule>
  </conditionalFormatting>
  <conditionalFormatting sqref="L26">
    <cfRule type="cellIs" dxfId="2416" priority="749" operator="notEqual">
      <formula>$A26</formula>
    </cfRule>
    <cfRule type="cellIs" dxfId="2415" priority="750" operator="equal">
      <formula>"""&lt;&gt;$A6"""</formula>
    </cfRule>
    <cfRule type="cellIs" dxfId="2414" priority="751" operator="equal">
      <formula>"&lt;&gt;$A6"</formula>
    </cfRule>
    <cfRule type="cellIs" dxfId="2413" priority="752" operator="equal">
      <formula>$A26</formula>
    </cfRule>
    <cfRule type="cellIs" dxfId="2412" priority="753" operator="equal">
      <formula>$A26</formula>
    </cfRule>
  </conditionalFormatting>
  <conditionalFormatting sqref="L36">
    <cfRule type="cellIs" dxfId="2411" priority="744" operator="notEqual">
      <formula>$A36</formula>
    </cfRule>
    <cfRule type="cellIs" dxfId="2410" priority="745" operator="equal">
      <formula>"""&lt;&gt;$A6"""</formula>
    </cfRule>
    <cfRule type="cellIs" dxfId="2409" priority="746" operator="equal">
      <formula>"&lt;&gt;$A6"</formula>
    </cfRule>
    <cfRule type="cellIs" dxfId="2408" priority="747" operator="equal">
      <formula>$A36</formula>
    </cfRule>
    <cfRule type="cellIs" dxfId="2407" priority="748" operator="equal">
      <formula>$A36</formula>
    </cfRule>
  </conditionalFormatting>
  <conditionalFormatting sqref="L32:L35">
    <cfRule type="cellIs" dxfId="2406" priority="739" operator="notEqual">
      <formula>$A32</formula>
    </cfRule>
    <cfRule type="cellIs" dxfId="2405" priority="740" operator="equal">
      <formula>"""&lt;&gt;$A6"""</formula>
    </cfRule>
    <cfRule type="cellIs" dxfId="2404" priority="741" operator="equal">
      <formula>"&lt;&gt;$A6"</formula>
    </cfRule>
    <cfRule type="cellIs" dxfId="2403" priority="742" operator="equal">
      <formula>$A32</formula>
    </cfRule>
    <cfRule type="cellIs" dxfId="2402" priority="743" operator="equal">
      <formula>$A32</formula>
    </cfRule>
  </conditionalFormatting>
  <conditionalFormatting sqref="L37">
    <cfRule type="cellIs" dxfId="2401" priority="734" operator="notEqual">
      <formula>$A37</formula>
    </cfRule>
    <cfRule type="cellIs" dxfId="2400" priority="735" operator="equal">
      <formula>"""&lt;&gt;$A6"""</formula>
    </cfRule>
    <cfRule type="cellIs" dxfId="2399" priority="736" operator="equal">
      <formula>"&lt;&gt;$A6"</formula>
    </cfRule>
    <cfRule type="cellIs" dxfId="2398" priority="737" operator="equal">
      <formula>$A37</formula>
    </cfRule>
    <cfRule type="cellIs" dxfId="2397" priority="738" operator="equal">
      <formula>$A37</formula>
    </cfRule>
  </conditionalFormatting>
  <conditionalFormatting sqref="L38:L40">
    <cfRule type="cellIs" dxfId="2396" priority="729" operator="notEqual">
      <formula>$A38</formula>
    </cfRule>
    <cfRule type="cellIs" dxfId="2395" priority="730" operator="equal">
      <formula>"""&lt;&gt;$A6"""</formula>
    </cfRule>
    <cfRule type="cellIs" dxfId="2394" priority="731" operator="equal">
      <formula>"&lt;&gt;$A6"</formula>
    </cfRule>
    <cfRule type="cellIs" dxfId="2393" priority="732" operator="equal">
      <formula>$A38</formula>
    </cfRule>
    <cfRule type="cellIs" dxfId="2392" priority="733" operator="equal">
      <formula>$A38</formula>
    </cfRule>
  </conditionalFormatting>
  <conditionalFormatting sqref="L41">
    <cfRule type="cellIs" dxfId="2391" priority="724" operator="notEqual">
      <formula>$A41</formula>
    </cfRule>
    <cfRule type="cellIs" dxfId="2390" priority="725" operator="equal">
      <formula>"""&lt;&gt;$A6"""</formula>
    </cfRule>
    <cfRule type="cellIs" dxfId="2389" priority="726" operator="equal">
      <formula>"&lt;&gt;$A6"</formula>
    </cfRule>
    <cfRule type="cellIs" dxfId="2388" priority="727" operator="equal">
      <formula>$A41</formula>
    </cfRule>
    <cfRule type="cellIs" dxfId="2387" priority="728" operator="equal">
      <formula>$A41</formula>
    </cfRule>
  </conditionalFormatting>
  <conditionalFormatting sqref="L46">
    <cfRule type="cellIs" dxfId="2386" priority="709" operator="notEqual">
      <formula>$A46</formula>
    </cfRule>
    <cfRule type="cellIs" dxfId="2385" priority="710" operator="equal">
      <formula>"""&lt;&gt;$A6"""</formula>
    </cfRule>
    <cfRule type="cellIs" dxfId="2384" priority="711" operator="equal">
      <formula>"&lt;&gt;$A6"</formula>
    </cfRule>
    <cfRule type="cellIs" dxfId="2383" priority="712" operator="equal">
      <formula>$A46</formula>
    </cfRule>
    <cfRule type="cellIs" dxfId="2382" priority="713" operator="equal">
      <formula>$A46</formula>
    </cfRule>
  </conditionalFormatting>
  <conditionalFormatting sqref="L50:L51">
    <cfRule type="cellIs" dxfId="2381" priority="704" operator="notEqual">
      <formula>$A50</formula>
    </cfRule>
    <cfRule type="cellIs" dxfId="2380" priority="705" operator="equal">
      <formula>"""&lt;&gt;$A6"""</formula>
    </cfRule>
    <cfRule type="cellIs" dxfId="2379" priority="706" operator="equal">
      <formula>"&lt;&gt;$A6"</formula>
    </cfRule>
    <cfRule type="cellIs" dxfId="2378" priority="707" operator="equal">
      <formula>$A50</formula>
    </cfRule>
    <cfRule type="cellIs" dxfId="2377" priority="708" operator="equal">
      <formula>$A50</formula>
    </cfRule>
  </conditionalFormatting>
  <conditionalFormatting sqref="L49">
    <cfRule type="cellIs" dxfId="2376" priority="699" operator="notEqual">
      <formula>$A49</formula>
    </cfRule>
    <cfRule type="cellIs" dxfId="2375" priority="700" operator="equal">
      <formula>"""&lt;&gt;$A6"""</formula>
    </cfRule>
    <cfRule type="cellIs" dxfId="2374" priority="701" operator="equal">
      <formula>"&lt;&gt;$A6"</formula>
    </cfRule>
    <cfRule type="cellIs" dxfId="2373" priority="702" operator="equal">
      <formula>$A49</formula>
    </cfRule>
    <cfRule type="cellIs" dxfId="2372" priority="703" operator="equal">
      <formula>$A49</formula>
    </cfRule>
  </conditionalFormatting>
  <conditionalFormatting sqref="L53:L60">
    <cfRule type="cellIs" dxfId="2371" priority="694" operator="notEqual">
      <formula>$A53</formula>
    </cfRule>
    <cfRule type="cellIs" dxfId="2370" priority="695" operator="equal">
      <formula>"""&lt;&gt;$A6"""</formula>
    </cfRule>
    <cfRule type="cellIs" dxfId="2369" priority="696" operator="equal">
      <formula>"&lt;&gt;$A6"</formula>
    </cfRule>
    <cfRule type="cellIs" dxfId="2368" priority="697" operator="equal">
      <formula>$A53</formula>
    </cfRule>
    <cfRule type="cellIs" dxfId="2367" priority="698" operator="equal">
      <formula>$A53</formula>
    </cfRule>
  </conditionalFormatting>
  <conditionalFormatting sqref="L42:L43">
    <cfRule type="cellIs" dxfId="2366" priority="689" operator="notEqual">
      <formula>$A42</formula>
    </cfRule>
    <cfRule type="cellIs" dxfId="2365" priority="690" operator="equal">
      <formula>"""&lt;&gt;$A6"""</formula>
    </cfRule>
    <cfRule type="cellIs" dxfId="2364" priority="691" operator="equal">
      <formula>"&lt;&gt;$A6"</formula>
    </cfRule>
    <cfRule type="cellIs" dxfId="2363" priority="692" operator="equal">
      <formula>$A42</formula>
    </cfRule>
    <cfRule type="cellIs" dxfId="2362" priority="693" operator="equal">
      <formula>$A42</formula>
    </cfRule>
  </conditionalFormatting>
  <conditionalFormatting sqref="L47">
    <cfRule type="cellIs" dxfId="2361" priority="684" operator="notEqual">
      <formula>$A47</formula>
    </cfRule>
    <cfRule type="cellIs" dxfId="2360" priority="685" operator="equal">
      <formula>"""&lt;&gt;$A6"""</formula>
    </cfRule>
    <cfRule type="cellIs" dxfId="2359" priority="686" operator="equal">
      <formula>"&lt;&gt;$A6"</formula>
    </cfRule>
    <cfRule type="cellIs" dxfId="2358" priority="687" operator="equal">
      <formula>$A47</formula>
    </cfRule>
    <cfRule type="cellIs" dxfId="2357" priority="688" operator="equal">
      <formula>$A47</formula>
    </cfRule>
  </conditionalFormatting>
  <conditionalFormatting sqref="L48">
    <cfRule type="cellIs" dxfId="2356" priority="679" operator="notEqual">
      <formula>$A48</formula>
    </cfRule>
    <cfRule type="cellIs" dxfId="2355" priority="680" operator="equal">
      <formula>"""&lt;&gt;$A6"""</formula>
    </cfRule>
    <cfRule type="cellIs" dxfId="2354" priority="681" operator="equal">
      <formula>"&lt;&gt;$A6"</formula>
    </cfRule>
    <cfRule type="cellIs" dxfId="2353" priority="682" operator="equal">
      <formula>$A48</formula>
    </cfRule>
    <cfRule type="cellIs" dxfId="2352" priority="683" operator="equal">
      <formula>$A48</formula>
    </cfRule>
  </conditionalFormatting>
  <conditionalFormatting sqref="M9">
    <cfRule type="cellIs" dxfId="2351" priority="664" operator="notEqual">
      <formula>$A9</formula>
    </cfRule>
    <cfRule type="cellIs" dxfId="2350" priority="665" operator="equal">
      <formula>"""&lt;&gt;$A6"""</formula>
    </cfRule>
    <cfRule type="cellIs" dxfId="2349" priority="666" operator="equal">
      <formula>"&lt;&gt;$A6"</formula>
    </cfRule>
    <cfRule type="cellIs" dxfId="2348" priority="667" operator="equal">
      <formula>$A9</formula>
    </cfRule>
    <cfRule type="cellIs" dxfId="2347" priority="668" operator="equal">
      <formula>$A9</formula>
    </cfRule>
  </conditionalFormatting>
  <conditionalFormatting sqref="M5">
    <cfRule type="cellIs" dxfId="2346" priority="674" operator="notEqual">
      <formula>$A5</formula>
    </cfRule>
    <cfRule type="cellIs" dxfId="2345" priority="675" operator="equal">
      <formula>"""&lt;&gt;$A6"""</formula>
    </cfRule>
    <cfRule type="cellIs" dxfId="2344" priority="676" operator="equal">
      <formula>"&lt;&gt;$A6"</formula>
    </cfRule>
    <cfRule type="cellIs" dxfId="2343" priority="677" operator="equal">
      <formula>$A5</formula>
    </cfRule>
    <cfRule type="cellIs" dxfId="2342" priority="678" operator="equal">
      <formula>$A5</formula>
    </cfRule>
  </conditionalFormatting>
  <conditionalFormatting sqref="M8">
    <cfRule type="cellIs" dxfId="2341" priority="669" operator="notEqual">
      <formula>$A8</formula>
    </cfRule>
    <cfRule type="cellIs" dxfId="2340" priority="670" operator="equal">
      <formula>"""&lt;&gt;$A6"""</formula>
    </cfRule>
    <cfRule type="cellIs" dxfId="2339" priority="671" operator="equal">
      <formula>"&lt;&gt;$A6"</formula>
    </cfRule>
    <cfRule type="cellIs" dxfId="2338" priority="672" operator="equal">
      <formula>$A8</formula>
    </cfRule>
    <cfRule type="cellIs" dxfId="2337" priority="673" operator="equal">
      <formula>$A8</formula>
    </cfRule>
  </conditionalFormatting>
  <conditionalFormatting sqref="M10:M23">
    <cfRule type="cellIs" dxfId="2336" priority="659" operator="notEqual">
      <formula>$A10</formula>
    </cfRule>
    <cfRule type="cellIs" dxfId="2335" priority="660" operator="equal">
      <formula>"""&lt;&gt;$A6"""</formula>
    </cfRule>
    <cfRule type="cellIs" dxfId="2334" priority="661" operator="equal">
      <formula>"&lt;&gt;$A6"</formula>
    </cfRule>
    <cfRule type="cellIs" dxfId="2333" priority="662" operator="equal">
      <formula>$A10</formula>
    </cfRule>
    <cfRule type="cellIs" dxfId="2332" priority="663" operator="equal">
      <formula>$A10</formula>
    </cfRule>
  </conditionalFormatting>
  <conditionalFormatting sqref="M26">
    <cfRule type="cellIs" dxfId="2331" priority="654" operator="notEqual">
      <formula>$A26</formula>
    </cfRule>
    <cfRule type="cellIs" dxfId="2330" priority="655" operator="equal">
      <formula>"""&lt;&gt;$A6"""</formula>
    </cfRule>
    <cfRule type="cellIs" dxfId="2329" priority="656" operator="equal">
      <formula>"&lt;&gt;$A6"</formula>
    </cfRule>
    <cfRule type="cellIs" dxfId="2328" priority="657" operator="equal">
      <formula>$A26</formula>
    </cfRule>
    <cfRule type="cellIs" dxfId="2327" priority="658" operator="equal">
      <formula>$A26</formula>
    </cfRule>
  </conditionalFormatting>
  <conditionalFormatting sqref="M36">
    <cfRule type="cellIs" dxfId="2326" priority="649" operator="notEqual">
      <formula>$A36</formula>
    </cfRule>
    <cfRule type="cellIs" dxfId="2325" priority="650" operator="equal">
      <formula>"""&lt;&gt;$A6"""</formula>
    </cfRule>
    <cfRule type="cellIs" dxfId="2324" priority="651" operator="equal">
      <formula>"&lt;&gt;$A6"</formula>
    </cfRule>
    <cfRule type="cellIs" dxfId="2323" priority="652" operator="equal">
      <formula>$A36</formula>
    </cfRule>
    <cfRule type="cellIs" dxfId="2322" priority="653" operator="equal">
      <formula>$A36</formula>
    </cfRule>
  </conditionalFormatting>
  <conditionalFormatting sqref="M32:M35">
    <cfRule type="cellIs" dxfId="2321" priority="644" operator="notEqual">
      <formula>$A32</formula>
    </cfRule>
    <cfRule type="cellIs" dxfId="2320" priority="645" operator="equal">
      <formula>"""&lt;&gt;$A6"""</formula>
    </cfRule>
    <cfRule type="cellIs" dxfId="2319" priority="646" operator="equal">
      <formula>"&lt;&gt;$A6"</formula>
    </cfRule>
    <cfRule type="cellIs" dxfId="2318" priority="647" operator="equal">
      <formula>$A32</formula>
    </cfRule>
    <cfRule type="cellIs" dxfId="2317" priority="648" operator="equal">
      <formula>$A32</formula>
    </cfRule>
  </conditionalFormatting>
  <conditionalFormatting sqref="M37">
    <cfRule type="cellIs" dxfId="2316" priority="639" operator="notEqual">
      <formula>$A37</formula>
    </cfRule>
    <cfRule type="cellIs" dxfId="2315" priority="640" operator="equal">
      <formula>"""&lt;&gt;$A6"""</formula>
    </cfRule>
    <cfRule type="cellIs" dxfId="2314" priority="641" operator="equal">
      <formula>"&lt;&gt;$A6"</formula>
    </cfRule>
    <cfRule type="cellIs" dxfId="2313" priority="642" operator="equal">
      <formula>$A37</formula>
    </cfRule>
    <cfRule type="cellIs" dxfId="2312" priority="643" operator="equal">
      <formula>$A37</formula>
    </cfRule>
  </conditionalFormatting>
  <conditionalFormatting sqref="M38:M40">
    <cfRule type="cellIs" dxfId="2311" priority="634" operator="notEqual">
      <formula>$A38</formula>
    </cfRule>
    <cfRule type="cellIs" dxfId="2310" priority="635" operator="equal">
      <formula>"""&lt;&gt;$A6"""</formula>
    </cfRule>
    <cfRule type="cellIs" dxfId="2309" priority="636" operator="equal">
      <formula>"&lt;&gt;$A6"</formula>
    </cfRule>
    <cfRule type="cellIs" dxfId="2308" priority="637" operator="equal">
      <formula>$A38</formula>
    </cfRule>
    <cfRule type="cellIs" dxfId="2307" priority="638" operator="equal">
      <formula>$A38</formula>
    </cfRule>
  </conditionalFormatting>
  <conditionalFormatting sqref="M41">
    <cfRule type="cellIs" dxfId="2306" priority="629" operator="notEqual">
      <formula>$A41</formula>
    </cfRule>
    <cfRule type="cellIs" dxfId="2305" priority="630" operator="equal">
      <formula>"""&lt;&gt;$A6"""</formula>
    </cfRule>
    <cfRule type="cellIs" dxfId="2304" priority="631" operator="equal">
      <formula>"&lt;&gt;$A6"</formula>
    </cfRule>
    <cfRule type="cellIs" dxfId="2303" priority="632" operator="equal">
      <formula>$A41</formula>
    </cfRule>
    <cfRule type="cellIs" dxfId="2302" priority="633" operator="equal">
      <formula>$A41</formula>
    </cfRule>
  </conditionalFormatting>
  <conditionalFormatting sqref="M46">
    <cfRule type="cellIs" dxfId="2301" priority="614" operator="notEqual">
      <formula>$A46</formula>
    </cfRule>
    <cfRule type="cellIs" dxfId="2300" priority="615" operator="equal">
      <formula>"""&lt;&gt;$A6"""</formula>
    </cfRule>
    <cfRule type="cellIs" dxfId="2299" priority="616" operator="equal">
      <formula>"&lt;&gt;$A6"</formula>
    </cfRule>
    <cfRule type="cellIs" dxfId="2298" priority="617" operator="equal">
      <formula>$A46</formula>
    </cfRule>
    <cfRule type="cellIs" dxfId="2297" priority="618" operator="equal">
      <formula>$A46</formula>
    </cfRule>
  </conditionalFormatting>
  <conditionalFormatting sqref="M50:M51">
    <cfRule type="cellIs" dxfId="2296" priority="609" operator="notEqual">
      <formula>$A50</formula>
    </cfRule>
    <cfRule type="cellIs" dxfId="2295" priority="610" operator="equal">
      <formula>"""&lt;&gt;$A6"""</formula>
    </cfRule>
    <cfRule type="cellIs" dxfId="2294" priority="611" operator="equal">
      <formula>"&lt;&gt;$A6"</formula>
    </cfRule>
    <cfRule type="cellIs" dxfId="2293" priority="612" operator="equal">
      <formula>$A50</formula>
    </cfRule>
    <cfRule type="cellIs" dxfId="2292" priority="613" operator="equal">
      <formula>$A50</formula>
    </cfRule>
  </conditionalFormatting>
  <conditionalFormatting sqref="M49">
    <cfRule type="cellIs" dxfId="2291" priority="604" operator="notEqual">
      <formula>$A49</formula>
    </cfRule>
    <cfRule type="cellIs" dxfId="2290" priority="605" operator="equal">
      <formula>"""&lt;&gt;$A6"""</formula>
    </cfRule>
    <cfRule type="cellIs" dxfId="2289" priority="606" operator="equal">
      <formula>"&lt;&gt;$A6"</formula>
    </cfRule>
    <cfRule type="cellIs" dxfId="2288" priority="607" operator="equal">
      <formula>$A49</formula>
    </cfRule>
    <cfRule type="cellIs" dxfId="2287" priority="608" operator="equal">
      <formula>$A49</formula>
    </cfRule>
  </conditionalFormatting>
  <conditionalFormatting sqref="M53:M60">
    <cfRule type="cellIs" dxfId="2286" priority="599" operator="notEqual">
      <formula>$A53</formula>
    </cfRule>
    <cfRule type="cellIs" dxfId="2285" priority="600" operator="equal">
      <formula>"""&lt;&gt;$A6"""</formula>
    </cfRule>
    <cfRule type="cellIs" dxfId="2284" priority="601" operator="equal">
      <formula>"&lt;&gt;$A6"</formula>
    </cfRule>
    <cfRule type="cellIs" dxfId="2283" priority="602" operator="equal">
      <formula>$A53</formula>
    </cfRule>
    <cfRule type="cellIs" dxfId="2282" priority="603" operator="equal">
      <formula>$A53</formula>
    </cfRule>
  </conditionalFormatting>
  <conditionalFormatting sqref="M42:M43">
    <cfRule type="cellIs" dxfId="2281" priority="594" operator="notEqual">
      <formula>$A42</formula>
    </cfRule>
    <cfRule type="cellIs" dxfId="2280" priority="595" operator="equal">
      <formula>"""&lt;&gt;$A6"""</formula>
    </cfRule>
    <cfRule type="cellIs" dxfId="2279" priority="596" operator="equal">
      <formula>"&lt;&gt;$A6"</formula>
    </cfRule>
    <cfRule type="cellIs" dxfId="2278" priority="597" operator="equal">
      <formula>$A42</formula>
    </cfRule>
    <cfRule type="cellIs" dxfId="2277" priority="598" operator="equal">
      <formula>$A42</formula>
    </cfRule>
  </conditionalFormatting>
  <conditionalFormatting sqref="M47">
    <cfRule type="cellIs" dxfId="2276" priority="589" operator="notEqual">
      <formula>$A47</formula>
    </cfRule>
    <cfRule type="cellIs" dxfId="2275" priority="590" operator="equal">
      <formula>"""&lt;&gt;$A6"""</formula>
    </cfRule>
    <cfRule type="cellIs" dxfId="2274" priority="591" operator="equal">
      <formula>"&lt;&gt;$A6"</formula>
    </cfRule>
    <cfRule type="cellIs" dxfId="2273" priority="592" operator="equal">
      <formula>$A47</formula>
    </cfRule>
    <cfRule type="cellIs" dxfId="2272" priority="593" operator="equal">
      <formula>$A47</formula>
    </cfRule>
  </conditionalFormatting>
  <conditionalFormatting sqref="M48">
    <cfRule type="cellIs" dxfId="2271" priority="584" operator="notEqual">
      <formula>$A48</formula>
    </cfRule>
    <cfRule type="cellIs" dxfId="2270" priority="585" operator="equal">
      <formula>"""&lt;&gt;$A6"""</formula>
    </cfRule>
    <cfRule type="cellIs" dxfId="2269" priority="586" operator="equal">
      <formula>"&lt;&gt;$A6"</formula>
    </cfRule>
    <cfRule type="cellIs" dxfId="2268" priority="587" operator="equal">
      <formula>$A48</formula>
    </cfRule>
    <cfRule type="cellIs" dxfId="2267" priority="588" operator="equal">
      <formula>$A48</formula>
    </cfRule>
  </conditionalFormatting>
  <conditionalFormatting sqref="N9">
    <cfRule type="cellIs" dxfId="2266" priority="569" operator="notEqual">
      <formula>$A9</formula>
    </cfRule>
    <cfRule type="cellIs" dxfId="2265" priority="570" operator="equal">
      <formula>"""&lt;&gt;$A6"""</formula>
    </cfRule>
    <cfRule type="cellIs" dxfId="2264" priority="571" operator="equal">
      <formula>"&lt;&gt;$A6"</formula>
    </cfRule>
    <cfRule type="cellIs" dxfId="2263" priority="572" operator="equal">
      <formula>$A9</formula>
    </cfRule>
    <cfRule type="cellIs" dxfId="2262" priority="573" operator="equal">
      <formula>$A9</formula>
    </cfRule>
  </conditionalFormatting>
  <conditionalFormatting sqref="N5">
    <cfRule type="cellIs" dxfId="2261" priority="579" operator="notEqual">
      <formula>$A5</formula>
    </cfRule>
    <cfRule type="cellIs" dxfId="2260" priority="580" operator="equal">
      <formula>"""&lt;&gt;$A6"""</formula>
    </cfRule>
    <cfRule type="cellIs" dxfId="2259" priority="581" operator="equal">
      <formula>"&lt;&gt;$A6"</formula>
    </cfRule>
    <cfRule type="cellIs" dxfId="2258" priority="582" operator="equal">
      <formula>$A5</formula>
    </cfRule>
    <cfRule type="cellIs" dxfId="2257" priority="583" operator="equal">
      <formula>$A5</formula>
    </cfRule>
  </conditionalFormatting>
  <conditionalFormatting sqref="N8">
    <cfRule type="cellIs" dxfId="2256" priority="574" operator="notEqual">
      <formula>$A8</formula>
    </cfRule>
    <cfRule type="cellIs" dxfId="2255" priority="575" operator="equal">
      <formula>"""&lt;&gt;$A6"""</formula>
    </cfRule>
    <cfRule type="cellIs" dxfId="2254" priority="576" operator="equal">
      <formula>"&lt;&gt;$A6"</formula>
    </cfRule>
    <cfRule type="cellIs" dxfId="2253" priority="577" operator="equal">
      <formula>$A8</formula>
    </cfRule>
    <cfRule type="cellIs" dxfId="2252" priority="578" operator="equal">
      <formula>$A8</formula>
    </cfRule>
  </conditionalFormatting>
  <conditionalFormatting sqref="N10:N23">
    <cfRule type="cellIs" dxfId="2251" priority="564" operator="notEqual">
      <formula>$A10</formula>
    </cfRule>
    <cfRule type="cellIs" dxfId="2250" priority="565" operator="equal">
      <formula>"""&lt;&gt;$A6"""</formula>
    </cfRule>
    <cfRule type="cellIs" dxfId="2249" priority="566" operator="equal">
      <formula>"&lt;&gt;$A6"</formula>
    </cfRule>
    <cfRule type="cellIs" dxfId="2248" priority="567" operator="equal">
      <formula>$A10</formula>
    </cfRule>
    <cfRule type="cellIs" dxfId="2247" priority="568" operator="equal">
      <formula>$A10</formula>
    </cfRule>
  </conditionalFormatting>
  <conditionalFormatting sqref="N26">
    <cfRule type="cellIs" dxfId="2246" priority="559" operator="notEqual">
      <formula>$A26</formula>
    </cfRule>
    <cfRule type="cellIs" dxfId="2245" priority="560" operator="equal">
      <formula>"""&lt;&gt;$A6"""</formula>
    </cfRule>
    <cfRule type="cellIs" dxfId="2244" priority="561" operator="equal">
      <formula>"&lt;&gt;$A6"</formula>
    </cfRule>
    <cfRule type="cellIs" dxfId="2243" priority="562" operator="equal">
      <formula>$A26</formula>
    </cfRule>
    <cfRule type="cellIs" dxfId="2242" priority="563" operator="equal">
      <formula>$A26</formula>
    </cfRule>
  </conditionalFormatting>
  <conditionalFormatting sqref="N36">
    <cfRule type="cellIs" dxfId="2241" priority="554" operator="notEqual">
      <formula>$A36</formula>
    </cfRule>
    <cfRule type="cellIs" dxfId="2240" priority="555" operator="equal">
      <formula>"""&lt;&gt;$A6"""</formula>
    </cfRule>
    <cfRule type="cellIs" dxfId="2239" priority="556" operator="equal">
      <formula>"&lt;&gt;$A6"</formula>
    </cfRule>
    <cfRule type="cellIs" dxfId="2238" priority="557" operator="equal">
      <formula>$A36</formula>
    </cfRule>
    <cfRule type="cellIs" dxfId="2237" priority="558" operator="equal">
      <formula>$A36</formula>
    </cfRule>
  </conditionalFormatting>
  <conditionalFormatting sqref="N32:N35">
    <cfRule type="cellIs" dxfId="2236" priority="549" operator="notEqual">
      <formula>$A32</formula>
    </cfRule>
    <cfRule type="cellIs" dxfId="2235" priority="550" operator="equal">
      <formula>"""&lt;&gt;$A6"""</formula>
    </cfRule>
    <cfRule type="cellIs" dxfId="2234" priority="551" operator="equal">
      <formula>"&lt;&gt;$A6"</formula>
    </cfRule>
    <cfRule type="cellIs" dxfId="2233" priority="552" operator="equal">
      <formula>$A32</formula>
    </cfRule>
    <cfRule type="cellIs" dxfId="2232" priority="553" operator="equal">
      <formula>$A32</formula>
    </cfRule>
  </conditionalFormatting>
  <conditionalFormatting sqref="N37">
    <cfRule type="cellIs" dxfId="2231" priority="544" operator="notEqual">
      <formula>$A37</formula>
    </cfRule>
    <cfRule type="cellIs" dxfId="2230" priority="545" operator="equal">
      <formula>"""&lt;&gt;$A6"""</formula>
    </cfRule>
    <cfRule type="cellIs" dxfId="2229" priority="546" operator="equal">
      <formula>"&lt;&gt;$A6"</formula>
    </cfRule>
    <cfRule type="cellIs" dxfId="2228" priority="547" operator="equal">
      <formula>$A37</formula>
    </cfRule>
    <cfRule type="cellIs" dxfId="2227" priority="548" operator="equal">
      <formula>$A37</formula>
    </cfRule>
  </conditionalFormatting>
  <conditionalFormatting sqref="N38:N40">
    <cfRule type="cellIs" dxfId="2226" priority="539" operator="notEqual">
      <formula>$A38</formula>
    </cfRule>
    <cfRule type="cellIs" dxfId="2225" priority="540" operator="equal">
      <formula>"""&lt;&gt;$A6"""</formula>
    </cfRule>
    <cfRule type="cellIs" dxfId="2224" priority="541" operator="equal">
      <formula>"&lt;&gt;$A6"</formula>
    </cfRule>
    <cfRule type="cellIs" dxfId="2223" priority="542" operator="equal">
      <formula>$A38</formula>
    </cfRule>
    <cfRule type="cellIs" dxfId="2222" priority="543" operator="equal">
      <formula>$A38</formula>
    </cfRule>
  </conditionalFormatting>
  <conditionalFormatting sqref="N41">
    <cfRule type="cellIs" dxfId="2221" priority="534" operator="notEqual">
      <formula>$A41</formula>
    </cfRule>
    <cfRule type="cellIs" dxfId="2220" priority="535" operator="equal">
      <formula>"""&lt;&gt;$A6"""</formula>
    </cfRule>
    <cfRule type="cellIs" dxfId="2219" priority="536" operator="equal">
      <formula>"&lt;&gt;$A6"</formula>
    </cfRule>
    <cfRule type="cellIs" dxfId="2218" priority="537" operator="equal">
      <formula>$A41</formula>
    </cfRule>
    <cfRule type="cellIs" dxfId="2217" priority="538" operator="equal">
      <formula>$A41</formula>
    </cfRule>
  </conditionalFormatting>
  <conditionalFormatting sqref="N46">
    <cfRule type="cellIs" dxfId="2216" priority="519" operator="notEqual">
      <formula>$A46</formula>
    </cfRule>
    <cfRule type="cellIs" dxfId="2215" priority="520" operator="equal">
      <formula>"""&lt;&gt;$A6"""</formula>
    </cfRule>
    <cfRule type="cellIs" dxfId="2214" priority="521" operator="equal">
      <formula>"&lt;&gt;$A6"</formula>
    </cfRule>
    <cfRule type="cellIs" dxfId="2213" priority="522" operator="equal">
      <formula>$A46</formula>
    </cfRule>
    <cfRule type="cellIs" dxfId="2212" priority="523" operator="equal">
      <formula>$A46</formula>
    </cfRule>
  </conditionalFormatting>
  <conditionalFormatting sqref="N50:N51">
    <cfRule type="cellIs" dxfId="2211" priority="514" operator="notEqual">
      <formula>$A50</formula>
    </cfRule>
    <cfRule type="cellIs" dxfId="2210" priority="515" operator="equal">
      <formula>"""&lt;&gt;$A6"""</formula>
    </cfRule>
    <cfRule type="cellIs" dxfId="2209" priority="516" operator="equal">
      <formula>"&lt;&gt;$A6"</formula>
    </cfRule>
    <cfRule type="cellIs" dxfId="2208" priority="517" operator="equal">
      <formula>$A50</formula>
    </cfRule>
    <cfRule type="cellIs" dxfId="2207" priority="518" operator="equal">
      <formula>$A50</formula>
    </cfRule>
  </conditionalFormatting>
  <conditionalFormatting sqref="N49">
    <cfRule type="cellIs" dxfId="2206" priority="509" operator="notEqual">
      <formula>$A49</formula>
    </cfRule>
    <cfRule type="cellIs" dxfId="2205" priority="510" operator="equal">
      <formula>"""&lt;&gt;$A6"""</formula>
    </cfRule>
    <cfRule type="cellIs" dxfId="2204" priority="511" operator="equal">
      <formula>"&lt;&gt;$A6"</formula>
    </cfRule>
    <cfRule type="cellIs" dxfId="2203" priority="512" operator="equal">
      <formula>$A49</formula>
    </cfRule>
    <cfRule type="cellIs" dxfId="2202" priority="513" operator="equal">
      <formula>$A49</formula>
    </cfRule>
  </conditionalFormatting>
  <conditionalFormatting sqref="N53:N60">
    <cfRule type="cellIs" dxfId="2201" priority="504" operator="notEqual">
      <formula>$A53</formula>
    </cfRule>
    <cfRule type="cellIs" dxfId="2200" priority="505" operator="equal">
      <formula>"""&lt;&gt;$A6"""</formula>
    </cfRule>
    <cfRule type="cellIs" dxfId="2199" priority="506" operator="equal">
      <formula>"&lt;&gt;$A6"</formula>
    </cfRule>
    <cfRule type="cellIs" dxfId="2198" priority="507" operator="equal">
      <formula>$A53</formula>
    </cfRule>
    <cfRule type="cellIs" dxfId="2197" priority="508" operator="equal">
      <formula>$A53</formula>
    </cfRule>
  </conditionalFormatting>
  <conditionalFormatting sqref="N42:N43">
    <cfRule type="cellIs" dxfId="2196" priority="499" operator="notEqual">
      <formula>$A42</formula>
    </cfRule>
    <cfRule type="cellIs" dxfId="2195" priority="500" operator="equal">
      <formula>"""&lt;&gt;$A6"""</formula>
    </cfRule>
    <cfRule type="cellIs" dxfId="2194" priority="501" operator="equal">
      <formula>"&lt;&gt;$A6"</formula>
    </cfRule>
    <cfRule type="cellIs" dxfId="2193" priority="502" operator="equal">
      <formula>$A42</formula>
    </cfRule>
    <cfRule type="cellIs" dxfId="2192" priority="503" operator="equal">
      <formula>$A42</formula>
    </cfRule>
  </conditionalFormatting>
  <conditionalFormatting sqref="N47">
    <cfRule type="cellIs" dxfId="2191" priority="494" operator="notEqual">
      <formula>$A47</formula>
    </cfRule>
    <cfRule type="cellIs" dxfId="2190" priority="495" operator="equal">
      <formula>"""&lt;&gt;$A6"""</formula>
    </cfRule>
    <cfRule type="cellIs" dxfId="2189" priority="496" operator="equal">
      <formula>"&lt;&gt;$A6"</formula>
    </cfRule>
    <cfRule type="cellIs" dxfId="2188" priority="497" operator="equal">
      <formula>$A47</formula>
    </cfRule>
    <cfRule type="cellIs" dxfId="2187" priority="498" operator="equal">
      <formula>$A47</formula>
    </cfRule>
  </conditionalFormatting>
  <conditionalFormatting sqref="N48">
    <cfRule type="cellIs" dxfId="2186" priority="489" operator="notEqual">
      <formula>$A48</formula>
    </cfRule>
    <cfRule type="cellIs" dxfId="2185" priority="490" operator="equal">
      <formula>"""&lt;&gt;$A6"""</formula>
    </cfRule>
    <cfRule type="cellIs" dxfId="2184" priority="491" operator="equal">
      <formula>"&lt;&gt;$A6"</formula>
    </cfRule>
    <cfRule type="cellIs" dxfId="2183" priority="492" operator="equal">
      <formula>$A48</formula>
    </cfRule>
    <cfRule type="cellIs" dxfId="2182" priority="493" operator="equal">
      <formula>$A48</formula>
    </cfRule>
  </conditionalFormatting>
  <conditionalFormatting sqref="O9">
    <cfRule type="cellIs" dxfId="2181" priority="474" operator="notEqual">
      <formula>$A9</formula>
    </cfRule>
    <cfRule type="cellIs" dxfId="2180" priority="475" operator="equal">
      <formula>"""&lt;&gt;$A6"""</formula>
    </cfRule>
    <cfRule type="cellIs" dxfId="2179" priority="476" operator="equal">
      <formula>"&lt;&gt;$A6"</formula>
    </cfRule>
    <cfRule type="cellIs" dxfId="2178" priority="477" operator="equal">
      <formula>$A9</formula>
    </cfRule>
    <cfRule type="cellIs" dxfId="2177" priority="478" operator="equal">
      <formula>$A9</formula>
    </cfRule>
  </conditionalFormatting>
  <conditionalFormatting sqref="O5">
    <cfRule type="cellIs" dxfId="2176" priority="484" operator="notEqual">
      <formula>$A5</formula>
    </cfRule>
    <cfRule type="cellIs" dxfId="2175" priority="485" operator="equal">
      <formula>"""&lt;&gt;$A6"""</formula>
    </cfRule>
    <cfRule type="cellIs" dxfId="2174" priority="486" operator="equal">
      <formula>"&lt;&gt;$A6"</formula>
    </cfRule>
    <cfRule type="cellIs" dxfId="2173" priority="487" operator="equal">
      <formula>$A5</formula>
    </cfRule>
    <cfRule type="cellIs" dxfId="2172" priority="488" operator="equal">
      <formula>$A5</formula>
    </cfRule>
  </conditionalFormatting>
  <conditionalFormatting sqref="O8">
    <cfRule type="cellIs" dxfId="2171" priority="479" operator="notEqual">
      <formula>$A8</formula>
    </cfRule>
    <cfRule type="cellIs" dxfId="2170" priority="480" operator="equal">
      <formula>"""&lt;&gt;$A6"""</formula>
    </cfRule>
    <cfRule type="cellIs" dxfId="2169" priority="481" operator="equal">
      <formula>"&lt;&gt;$A6"</formula>
    </cfRule>
    <cfRule type="cellIs" dxfId="2168" priority="482" operator="equal">
      <formula>$A8</formula>
    </cfRule>
    <cfRule type="cellIs" dxfId="2167" priority="483" operator="equal">
      <formula>$A8</formula>
    </cfRule>
  </conditionalFormatting>
  <conditionalFormatting sqref="O10:O23">
    <cfRule type="cellIs" dxfId="2166" priority="469" operator="notEqual">
      <formula>$A10</formula>
    </cfRule>
    <cfRule type="cellIs" dxfId="2165" priority="470" operator="equal">
      <formula>"""&lt;&gt;$A6"""</formula>
    </cfRule>
    <cfRule type="cellIs" dxfId="2164" priority="471" operator="equal">
      <formula>"&lt;&gt;$A6"</formula>
    </cfRule>
    <cfRule type="cellIs" dxfId="2163" priority="472" operator="equal">
      <formula>$A10</formula>
    </cfRule>
    <cfRule type="cellIs" dxfId="2162" priority="473" operator="equal">
      <formula>$A10</formula>
    </cfRule>
  </conditionalFormatting>
  <conditionalFormatting sqref="O26">
    <cfRule type="cellIs" dxfId="2161" priority="464" operator="notEqual">
      <formula>$A26</formula>
    </cfRule>
    <cfRule type="cellIs" dxfId="2160" priority="465" operator="equal">
      <formula>"""&lt;&gt;$A6"""</formula>
    </cfRule>
    <cfRule type="cellIs" dxfId="2159" priority="466" operator="equal">
      <formula>"&lt;&gt;$A6"</formula>
    </cfRule>
    <cfRule type="cellIs" dxfId="2158" priority="467" operator="equal">
      <formula>$A26</formula>
    </cfRule>
    <cfRule type="cellIs" dxfId="2157" priority="468" operator="equal">
      <formula>$A26</formula>
    </cfRule>
  </conditionalFormatting>
  <conditionalFormatting sqref="O36">
    <cfRule type="cellIs" dxfId="2156" priority="459" operator="notEqual">
      <formula>$A36</formula>
    </cfRule>
    <cfRule type="cellIs" dxfId="2155" priority="460" operator="equal">
      <formula>"""&lt;&gt;$A6"""</formula>
    </cfRule>
    <cfRule type="cellIs" dxfId="2154" priority="461" operator="equal">
      <formula>"&lt;&gt;$A6"</formula>
    </cfRule>
    <cfRule type="cellIs" dxfId="2153" priority="462" operator="equal">
      <formula>$A36</formula>
    </cfRule>
    <cfRule type="cellIs" dxfId="2152" priority="463" operator="equal">
      <formula>$A36</formula>
    </cfRule>
  </conditionalFormatting>
  <conditionalFormatting sqref="O32:O35">
    <cfRule type="cellIs" dxfId="2151" priority="454" operator="notEqual">
      <formula>$A32</formula>
    </cfRule>
    <cfRule type="cellIs" dxfId="2150" priority="455" operator="equal">
      <formula>"""&lt;&gt;$A6"""</formula>
    </cfRule>
    <cfRule type="cellIs" dxfId="2149" priority="456" operator="equal">
      <formula>"&lt;&gt;$A6"</formula>
    </cfRule>
    <cfRule type="cellIs" dxfId="2148" priority="457" operator="equal">
      <formula>$A32</formula>
    </cfRule>
    <cfRule type="cellIs" dxfId="2147" priority="458" operator="equal">
      <formula>$A32</formula>
    </cfRule>
  </conditionalFormatting>
  <conditionalFormatting sqref="O37">
    <cfRule type="cellIs" dxfId="2146" priority="449" operator="notEqual">
      <formula>$A37</formula>
    </cfRule>
    <cfRule type="cellIs" dxfId="2145" priority="450" operator="equal">
      <formula>"""&lt;&gt;$A6"""</formula>
    </cfRule>
    <cfRule type="cellIs" dxfId="2144" priority="451" operator="equal">
      <formula>"&lt;&gt;$A6"</formula>
    </cfRule>
    <cfRule type="cellIs" dxfId="2143" priority="452" operator="equal">
      <formula>$A37</formula>
    </cfRule>
    <cfRule type="cellIs" dxfId="2142" priority="453" operator="equal">
      <formula>$A37</formula>
    </cfRule>
  </conditionalFormatting>
  <conditionalFormatting sqref="O38:O40">
    <cfRule type="cellIs" dxfId="2141" priority="444" operator="notEqual">
      <formula>$A38</formula>
    </cfRule>
    <cfRule type="cellIs" dxfId="2140" priority="445" operator="equal">
      <formula>"""&lt;&gt;$A6"""</formula>
    </cfRule>
    <cfRule type="cellIs" dxfId="2139" priority="446" operator="equal">
      <formula>"&lt;&gt;$A6"</formula>
    </cfRule>
    <cfRule type="cellIs" dxfId="2138" priority="447" operator="equal">
      <formula>$A38</formula>
    </cfRule>
    <cfRule type="cellIs" dxfId="2137" priority="448" operator="equal">
      <formula>$A38</formula>
    </cfRule>
  </conditionalFormatting>
  <conditionalFormatting sqref="O41">
    <cfRule type="cellIs" dxfId="2136" priority="439" operator="notEqual">
      <formula>$A41</formula>
    </cfRule>
    <cfRule type="cellIs" dxfId="2135" priority="440" operator="equal">
      <formula>"""&lt;&gt;$A6"""</formula>
    </cfRule>
    <cfRule type="cellIs" dxfId="2134" priority="441" operator="equal">
      <formula>"&lt;&gt;$A6"</formula>
    </cfRule>
    <cfRule type="cellIs" dxfId="2133" priority="442" operator="equal">
      <formula>$A41</formula>
    </cfRule>
    <cfRule type="cellIs" dxfId="2132" priority="443" operator="equal">
      <formula>$A41</formula>
    </cfRule>
  </conditionalFormatting>
  <conditionalFormatting sqref="O46">
    <cfRule type="cellIs" dxfId="2131" priority="424" operator="notEqual">
      <formula>$A46</formula>
    </cfRule>
    <cfRule type="cellIs" dxfId="2130" priority="425" operator="equal">
      <formula>"""&lt;&gt;$A6"""</formula>
    </cfRule>
    <cfRule type="cellIs" dxfId="2129" priority="426" operator="equal">
      <formula>"&lt;&gt;$A6"</formula>
    </cfRule>
    <cfRule type="cellIs" dxfId="2128" priority="427" operator="equal">
      <formula>$A46</formula>
    </cfRule>
    <cfRule type="cellIs" dxfId="2127" priority="428" operator="equal">
      <formula>$A46</formula>
    </cfRule>
  </conditionalFormatting>
  <conditionalFormatting sqref="O50:O51">
    <cfRule type="cellIs" dxfId="2126" priority="419" operator="notEqual">
      <formula>$A50</formula>
    </cfRule>
    <cfRule type="cellIs" dxfId="2125" priority="420" operator="equal">
      <formula>"""&lt;&gt;$A6"""</formula>
    </cfRule>
    <cfRule type="cellIs" dxfId="2124" priority="421" operator="equal">
      <formula>"&lt;&gt;$A6"</formula>
    </cfRule>
    <cfRule type="cellIs" dxfId="2123" priority="422" operator="equal">
      <formula>$A50</formula>
    </cfRule>
    <cfRule type="cellIs" dxfId="2122" priority="423" operator="equal">
      <formula>$A50</formula>
    </cfRule>
  </conditionalFormatting>
  <conditionalFormatting sqref="O49">
    <cfRule type="cellIs" dxfId="2121" priority="414" operator="notEqual">
      <formula>$A49</formula>
    </cfRule>
    <cfRule type="cellIs" dxfId="2120" priority="415" operator="equal">
      <formula>"""&lt;&gt;$A6"""</formula>
    </cfRule>
    <cfRule type="cellIs" dxfId="2119" priority="416" operator="equal">
      <formula>"&lt;&gt;$A6"</formula>
    </cfRule>
    <cfRule type="cellIs" dxfId="2118" priority="417" operator="equal">
      <formula>$A49</formula>
    </cfRule>
    <cfRule type="cellIs" dxfId="2117" priority="418" operator="equal">
      <formula>$A49</formula>
    </cfRule>
  </conditionalFormatting>
  <conditionalFormatting sqref="O53:O60">
    <cfRule type="cellIs" dxfId="2116" priority="409" operator="notEqual">
      <formula>$A53</formula>
    </cfRule>
    <cfRule type="cellIs" dxfId="2115" priority="410" operator="equal">
      <formula>"""&lt;&gt;$A6"""</formula>
    </cfRule>
    <cfRule type="cellIs" dxfId="2114" priority="411" operator="equal">
      <formula>"&lt;&gt;$A6"</formula>
    </cfRule>
    <cfRule type="cellIs" dxfId="2113" priority="412" operator="equal">
      <formula>$A53</formula>
    </cfRule>
    <cfRule type="cellIs" dxfId="2112" priority="413" operator="equal">
      <formula>$A53</formula>
    </cfRule>
  </conditionalFormatting>
  <conditionalFormatting sqref="O42:O43">
    <cfRule type="cellIs" dxfId="2111" priority="404" operator="notEqual">
      <formula>$A42</formula>
    </cfRule>
    <cfRule type="cellIs" dxfId="2110" priority="405" operator="equal">
      <formula>"""&lt;&gt;$A6"""</formula>
    </cfRule>
    <cfRule type="cellIs" dxfId="2109" priority="406" operator="equal">
      <formula>"&lt;&gt;$A6"</formula>
    </cfRule>
    <cfRule type="cellIs" dxfId="2108" priority="407" operator="equal">
      <formula>$A42</formula>
    </cfRule>
    <cfRule type="cellIs" dxfId="2107" priority="408" operator="equal">
      <formula>$A42</formula>
    </cfRule>
  </conditionalFormatting>
  <conditionalFormatting sqref="O47">
    <cfRule type="cellIs" dxfId="2106" priority="399" operator="notEqual">
      <formula>$A47</formula>
    </cfRule>
    <cfRule type="cellIs" dxfId="2105" priority="400" operator="equal">
      <formula>"""&lt;&gt;$A6"""</formula>
    </cfRule>
    <cfRule type="cellIs" dxfId="2104" priority="401" operator="equal">
      <formula>"&lt;&gt;$A6"</formula>
    </cfRule>
    <cfRule type="cellIs" dxfId="2103" priority="402" operator="equal">
      <formula>$A47</formula>
    </cfRule>
    <cfRule type="cellIs" dxfId="2102" priority="403" operator="equal">
      <formula>$A47</formula>
    </cfRule>
  </conditionalFormatting>
  <conditionalFormatting sqref="O48">
    <cfRule type="cellIs" dxfId="2101" priority="394" operator="notEqual">
      <formula>$A48</formula>
    </cfRule>
    <cfRule type="cellIs" dxfId="2100" priority="395" operator="equal">
      <formula>"""&lt;&gt;$A6"""</formula>
    </cfRule>
    <cfRule type="cellIs" dxfId="2099" priority="396" operator="equal">
      <formula>"&lt;&gt;$A6"</formula>
    </cfRule>
    <cfRule type="cellIs" dxfId="2098" priority="397" operator="equal">
      <formula>$A48</formula>
    </cfRule>
    <cfRule type="cellIs" dxfId="2097" priority="398" operator="equal">
      <formula>$A48</formula>
    </cfRule>
  </conditionalFormatting>
  <conditionalFormatting sqref="P9">
    <cfRule type="cellIs" dxfId="2096" priority="379" operator="notEqual">
      <formula>$A9</formula>
    </cfRule>
    <cfRule type="cellIs" dxfId="2095" priority="380" operator="equal">
      <formula>"""&lt;&gt;$A6"""</formula>
    </cfRule>
    <cfRule type="cellIs" dxfId="2094" priority="381" operator="equal">
      <formula>"&lt;&gt;$A6"</formula>
    </cfRule>
    <cfRule type="cellIs" dxfId="2093" priority="382" operator="equal">
      <formula>$A9</formula>
    </cfRule>
    <cfRule type="cellIs" dxfId="2092" priority="383" operator="equal">
      <formula>$A9</formula>
    </cfRule>
  </conditionalFormatting>
  <conditionalFormatting sqref="P5">
    <cfRule type="cellIs" dxfId="2091" priority="389" operator="notEqual">
      <formula>$A5</formula>
    </cfRule>
    <cfRule type="cellIs" dxfId="2090" priority="390" operator="equal">
      <formula>"""&lt;&gt;$A6"""</formula>
    </cfRule>
    <cfRule type="cellIs" dxfId="2089" priority="391" operator="equal">
      <formula>"&lt;&gt;$A6"</formula>
    </cfRule>
    <cfRule type="cellIs" dxfId="2088" priority="392" operator="equal">
      <formula>$A5</formula>
    </cfRule>
    <cfRule type="cellIs" dxfId="2087" priority="393" operator="equal">
      <formula>$A5</formula>
    </cfRule>
  </conditionalFormatting>
  <conditionalFormatting sqref="P8">
    <cfRule type="cellIs" dxfId="2086" priority="384" operator="notEqual">
      <formula>$A8</formula>
    </cfRule>
    <cfRule type="cellIs" dxfId="2085" priority="385" operator="equal">
      <formula>"""&lt;&gt;$A6"""</formula>
    </cfRule>
    <cfRule type="cellIs" dxfId="2084" priority="386" operator="equal">
      <formula>"&lt;&gt;$A6"</formula>
    </cfRule>
    <cfRule type="cellIs" dxfId="2083" priority="387" operator="equal">
      <formula>$A8</formula>
    </cfRule>
    <cfRule type="cellIs" dxfId="2082" priority="388" operator="equal">
      <formula>$A8</formula>
    </cfRule>
  </conditionalFormatting>
  <conditionalFormatting sqref="P10:P23">
    <cfRule type="cellIs" dxfId="2081" priority="374" operator="notEqual">
      <formula>$A10</formula>
    </cfRule>
    <cfRule type="cellIs" dxfId="2080" priority="375" operator="equal">
      <formula>"""&lt;&gt;$A6"""</formula>
    </cfRule>
    <cfRule type="cellIs" dxfId="2079" priority="376" operator="equal">
      <formula>"&lt;&gt;$A6"</formula>
    </cfRule>
    <cfRule type="cellIs" dxfId="2078" priority="377" operator="equal">
      <formula>$A10</formula>
    </cfRule>
    <cfRule type="cellIs" dxfId="2077" priority="378" operator="equal">
      <formula>$A10</formula>
    </cfRule>
  </conditionalFormatting>
  <conditionalFormatting sqref="P26">
    <cfRule type="cellIs" dxfId="2076" priority="369" operator="notEqual">
      <formula>$A26</formula>
    </cfRule>
    <cfRule type="cellIs" dxfId="2075" priority="370" operator="equal">
      <formula>"""&lt;&gt;$A6"""</formula>
    </cfRule>
    <cfRule type="cellIs" dxfId="2074" priority="371" operator="equal">
      <formula>"&lt;&gt;$A6"</formula>
    </cfRule>
    <cfRule type="cellIs" dxfId="2073" priority="372" operator="equal">
      <formula>$A26</formula>
    </cfRule>
    <cfRule type="cellIs" dxfId="2072" priority="373" operator="equal">
      <formula>$A26</formula>
    </cfRule>
  </conditionalFormatting>
  <conditionalFormatting sqref="P36">
    <cfRule type="cellIs" dxfId="2071" priority="364" operator="notEqual">
      <formula>$A36</formula>
    </cfRule>
    <cfRule type="cellIs" dxfId="2070" priority="365" operator="equal">
      <formula>"""&lt;&gt;$A6"""</formula>
    </cfRule>
    <cfRule type="cellIs" dxfId="2069" priority="366" operator="equal">
      <formula>"&lt;&gt;$A6"</formula>
    </cfRule>
    <cfRule type="cellIs" dxfId="2068" priority="367" operator="equal">
      <formula>$A36</formula>
    </cfRule>
    <cfRule type="cellIs" dxfId="2067" priority="368" operator="equal">
      <formula>$A36</formula>
    </cfRule>
  </conditionalFormatting>
  <conditionalFormatting sqref="P32:P35">
    <cfRule type="cellIs" dxfId="2066" priority="359" operator="notEqual">
      <formula>$A32</formula>
    </cfRule>
    <cfRule type="cellIs" dxfId="2065" priority="360" operator="equal">
      <formula>"""&lt;&gt;$A6"""</formula>
    </cfRule>
    <cfRule type="cellIs" dxfId="2064" priority="361" operator="equal">
      <formula>"&lt;&gt;$A6"</formula>
    </cfRule>
    <cfRule type="cellIs" dxfId="2063" priority="362" operator="equal">
      <formula>$A32</formula>
    </cfRule>
    <cfRule type="cellIs" dxfId="2062" priority="363" operator="equal">
      <formula>$A32</formula>
    </cfRule>
  </conditionalFormatting>
  <conditionalFormatting sqref="P37">
    <cfRule type="cellIs" dxfId="2061" priority="354" operator="notEqual">
      <formula>$A37</formula>
    </cfRule>
    <cfRule type="cellIs" dxfId="2060" priority="355" operator="equal">
      <formula>"""&lt;&gt;$A6"""</formula>
    </cfRule>
    <cfRule type="cellIs" dxfId="2059" priority="356" operator="equal">
      <formula>"&lt;&gt;$A6"</formula>
    </cfRule>
    <cfRule type="cellIs" dxfId="2058" priority="357" operator="equal">
      <formula>$A37</formula>
    </cfRule>
    <cfRule type="cellIs" dxfId="2057" priority="358" operator="equal">
      <formula>$A37</formula>
    </cfRule>
  </conditionalFormatting>
  <conditionalFormatting sqref="P38:P40">
    <cfRule type="cellIs" dxfId="2056" priority="349" operator="notEqual">
      <formula>$A38</formula>
    </cfRule>
    <cfRule type="cellIs" dxfId="2055" priority="350" operator="equal">
      <formula>"""&lt;&gt;$A6"""</formula>
    </cfRule>
    <cfRule type="cellIs" dxfId="2054" priority="351" operator="equal">
      <formula>"&lt;&gt;$A6"</formula>
    </cfRule>
    <cfRule type="cellIs" dxfId="2053" priority="352" operator="equal">
      <formula>$A38</formula>
    </cfRule>
    <cfRule type="cellIs" dxfId="2052" priority="353" operator="equal">
      <formula>$A38</formula>
    </cfRule>
  </conditionalFormatting>
  <conditionalFormatting sqref="P41">
    <cfRule type="cellIs" dxfId="2051" priority="344" operator="notEqual">
      <formula>$A41</formula>
    </cfRule>
    <cfRule type="cellIs" dxfId="2050" priority="345" operator="equal">
      <formula>"""&lt;&gt;$A6"""</formula>
    </cfRule>
    <cfRule type="cellIs" dxfId="2049" priority="346" operator="equal">
      <formula>"&lt;&gt;$A6"</formula>
    </cfRule>
    <cfRule type="cellIs" dxfId="2048" priority="347" operator="equal">
      <formula>$A41</formula>
    </cfRule>
    <cfRule type="cellIs" dxfId="2047" priority="348" operator="equal">
      <formula>$A41</formula>
    </cfRule>
  </conditionalFormatting>
  <conditionalFormatting sqref="P46">
    <cfRule type="cellIs" dxfId="2046" priority="329" operator="notEqual">
      <formula>$A46</formula>
    </cfRule>
    <cfRule type="cellIs" dxfId="2045" priority="330" operator="equal">
      <formula>"""&lt;&gt;$A6"""</formula>
    </cfRule>
    <cfRule type="cellIs" dxfId="2044" priority="331" operator="equal">
      <formula>"&lt;&gt;$A6"</formula>
    </cfRule>
    <cfRule type="cellIs" dxfId="2043" priority="332" operator="equal">
      <formula>$A46</formula>
    </cfRule>
    <cfRule type="cellIs" dxfId="2042" priority="333" operator="equal">
      <formula>$A46</formula>
    </cfRule>
  </conditionalFormatting>
  <conditionalFormatting sqref="P50:P51">
    <cfRule type="cellIs" dxfId="2041" priority="324" operator="notEqual">
      <formula>$A50</formula>
    </cfRule>
    <cfRule type="cellIs" dxfId="2040" priority="325" operator="equal">
      <formula>"""&lt;&gt;$A6"""</formula>
    </cfRule>
    <cfRule type="cellIs" dxfId="2039" priority="326" operator="equal">
      <formula>"&lt;&gt;$A6"</formula>
    </cfRule>
    <cfRule type="cellIs" dxfId="2038" priority="327" operator="equal">
      <formula>$A50</formula>
    </cfRule>
    <cfRule type="cellIs" dxfId="2037" priority="328" operator="equal">
      <formula>$A50</formula>
    </cfRule>
  </conditionalFormatting>
  <conditionalFormatting sqref="P49">
    <cfRule type="cellIs" dxfId="2036" priority="319" operator="notEqual">
      <formula>$A49</formula>
    </cfRule>
    <cfRule type="cellIs" dxfId="2035" priority="320" operator="equal">
      <formula>"""&lt;&gt;$A6"""</formula>
    </cfRule>
    <cfRule type="cellIs" dxfId="2034" priority="321" operator="equal">
      <formula>"&lt;&gt;$A6"</formula>
    </cfRule>
    <cfRule type="cellIs" dxfId="2033" priority="322" operator="equal">
      <formula>$A49</formula>
    </cfRule>
    <cfRule type="cellIs" dxfId="2032" priority="323" operator="equal">
      <formula>$A49</formula>
    </cfRule>
  </conditionalFormatting>
  <conditionalFormatting sqref="P53:P60">
    <cfRule type="cellIs" dxfId="2031" priority="314" operator="notEqual">
      <formula>$A53</formula>
    </cfRule>
    <cfRule type="cellIs" dxfId="2030" priority="315" operator="equal">
      <formula>"""&lt;&gt;$A6"""</formula>
    </cfRule>
    <cfRule type="cellIs" dxfId="2029" priority="316" operator="equal">
      <formula>"&lt;&gt;$A6"</formula>
    </cfRule>
    <cfRule type="cellIs" dxfId="2028" priority="317" operator="equal">
      <formula>$A53</formula>
    </cfRule>
    <cfRule type="cellIs" dxfId="2027" priority="318" operator="equal">
      <formula>$A53</formula>
    </cfRule>
  </conditionalFormatting>
  <conditionalFormatting sqref="P42:P43">
    <cfRule type="cellIs" dxfId="2026" priority="309" operator="notEqual">
      <formula>$A42</formula>
    </cfRule>
    <cfRule type="cellIs" dxfId="2025" priority="310" operator="equal">
      <formula>"""&lt;&gt;$A6"""</formula>
    </cfRule>
    <cfRule type="cellIs" dxfId="2024" priority="311" operator="equal">
      <formula>"&lt;&gt;$A6"</formula>
    </cfRule>
    <cfRule type="cellIs" dxfId="2023" priority="312" operator="equal">
      <formula>$A42</formula>
    </cfRule>
    <cfRule type="cellIs" dxfId="2022" priority="313" operator="equal">
      <formula>$A42</formula>
    </cfRule>
  </conditionalFormatting>
  <conditionalFormatting sqref="P47">
    <cfRule type="cellIs" dxfId="2021" priority="304" operator="notEqual">
      <formula>$A47</formula>
    </cfRule>
    <cfRule type="cellIs" dxfId="2020" priority="305" operator="equal">
      <formula>"""&lt;&gt;$A6"""</formula>
    </cfRule>
    <cfRule type="cellIs" dxfId="2019" priority="306" operator="equal">
      <formula>"&lt;&gt;$A6"</formula>
    </cfRule>
    <cfRule type="cellIs" dxfId="2018" priority="307" operator="equal">
      <formula>$A47</formula>
    </cfRule>
    <cfRule type="cellIs" dxfId="2017" priority="308" operator="equal">
      <formula>$A47</formula>
    </cfRule>
  </conditionalFormatting>
  <conditionalFormatting sqref="P48">
    <cfRule type="cellIs" dxfId="2016" priority="299" operator="notEqual">
      <formula>$A48</formula>
    </cfRule>
    <cfRule type="cellIs" dxfId="2015" priority="300" operator="equal">
      <formula>"""&lt;&gt;$A6"""</formula>
    </cfRule>
    <cfRule type="cellIs" dxfId="2014" priority="301" operator="equal">
      <formula>"&lt;&gt;$A6"</formula>
    </cfRule>
    <cfRule type="cellIs" dxfId="2013" priority="302" operator="equal">
      <formula>$A48</formula>
    </cfRule>
    <cfRule type="cellIs" dxfId="2012" priority="303" operator="equal">
      <formula>$A48</formula>
    </cfRule>
  </conditionalFormatting>
  <conditionalFormatting sqref="Q9">
    <cfRule type="cellIs" dxfId="2011" priority="284" operator="notEqual">
      <formula>$A9</formula>
    </cfRule>
    <cfRule type="cellIs" dxfId="2010" priority="285" operator="equal">
      <formula>"""&lt;&gt;$A6"""</formula>
    </cfRule>
    <cfRule type="cellIs" dxfId="2009" priority="286" operator="equal">
      <formula>"&lt;&gt;$A6"</formula>
    </cfRule>
    <cfRule type="cellIs" dxfId="2008" priority="287" operator="equal">
      <formula>$A9</formula>
    </cfRule>
    <cfRule type="cellIs" dxfId="2007" priority="288" operator="equal">
      <formula>$A9</formula>
    </cfRule>
  </conditionalFormatting>
  <conditionalFormatting sqref="Q5">
    <cfRule type="cellIs" dxfId="2006" priority="294" operator="notEqual">
      <formula>$A5</formula>
    </cfRule>
    <cfRule type="cellIs" dxfId="2005" priority="295" operator="equal">
      <formula>"""&lt;&gt;$A6"""</formula>
    </cfRule>
    <cfRule type="cellIs" dxfId="2004" priority="296" operator="equal">
      <formula>"&lt;&gt;$A6"</formula>
    </cfRule>
    <cfRule type="cellIs" dxfId="2003" priority="297" operator="equal">
      <formula>$A5</formula>
    </cfRule>
    <cfRule type="cellIs" dxfId="2002" priority="298" operator="equal">
      <formula>$A5</formula>
    </cfRule>
  </conditionalFormatting>
  <conditionalFormatting sqref="Q8">
    <cfRule type="cellIs" dxfId="2001" priority="289" operator="notEqual">
      <formula>$A8</formula>
    </cfRule>
    <cfRule type="cellIs" dxfId="2000" priority="290" operator="equal">
      <formula>"""&lt;&gt;$A6"""</formula>
    </cfRule>
    <cfRule type="cellIs" dxfId="1999" priority="291" operator="equal">
      <formula>"&lt;&gt;$A6"</formula>
    </cfRule>
    <cfRule type="cellIs" dxfId="1998" priority="292" operator="equal">
      <formula>$A8</formula>
    </cfRule>
    <cfRule type="cellIs" dxfId="1997" priority="293" operator="equal">
      <formula>$A8</formula>
    </cfRule>
  </conditionalFormatting>
  <conditionalFormatting sqref="Q10:Q23">
    <cfRule type="cellIs" dxfId="1996" priority="279" operator="notEqual">
      <formula>$A10</formula>
    </cfRule>
    <cfRule type="cellIs" dxfId="1995" priority="280" operator="equal">
      <formula>"""&lt;&gt;$A6"""</formula>
    </cfRule>
    <cfRule type="cellIs" dxfId="1994" priority="281" operator="equal">
      <formula>"&lt;&gt;$A6"</formula>
    </cfRule>
    <cfRule type="cellIs" dxfId="1993" priority="282" operator="equal">
      <formula>$A10</formula>
    </cfRule>
    <cfRule type="cellIs" dxfId="1992" priority="283" operator="equal">
      <formula>$A10</formula>
    </cfRule>
  </conditionalFormatting>
  <conditionalFormatting sqref="Q26">
    <cfRule type="cellIs" dxfId="1991" priority="274" operator="notEqual">
      <formula>$A26</formula>
    </cfRule>
    <cfRule type="cellIs" dxfId="1990" priority="275" operator="equal">
      <formula>"""&lt;&gt;$A6"""</formula>
    </cfRule>
    <cfRule type="cellIs" dxfId="1989" priority="276" operator="equal">
      <formula>"&lt;&gt;$A6"</formula>
    </cfRule>
    <cfRule type="cellIs" dxfId="1988" priority="277" operator="equal">
      <formula>$A26</formula>
    </cfRule>
    <cfRule type="cellIs" dxfId="1987" priority="278" operator="equal">
      <formula>$A26</formula>
    </cfRule>
  </conditionalFormatting>
  <conditionalFormatting sqref="Q36">
    <cfRule type="cellIs" dxfId="1986" priority="269" operator="notEqual">
      <formula>$A36</formula>
    </cfRule>
    <cfRule type="cellIs" dxfId="1985" priority="270" operator="equal">
      <formula>"""&lt;&gt;$A6"""</formula>
    </cfRule>
    <cfRule type="cellIs" dxfId="1984" priority="271" operator="equal">
      <formula>"&lt;&gt;$A6"</formula>
    </cfRule>
    <cfRule type="cellIs" dxfId="1983" priority="272" operator="equal">
      <formula>$A36</formula>
    </cfRule>
    <cfRule type="cellIs" dxfId="1982" priority="273" operator="equal">
      <formula>$A36</formula>
    </cfRule>
  </conditionalFormatting>
  <conditionalFormatting sqref="Q32:Q35">
    <cfRule type="cellIs" dxfId="1981" priority="264" operator="notEqual">
      <formula>$A32</formula>
    </cfRule>
    <cfRule type="cellIs" dxfId="1980" priority="265" operator="equal">
      <formula>"""&lt;&gt;$A6"""</formula>
    </cfRule>
    <cfRule type="cellIs" dxfId="1979" priority="266" operator="equal">
      <formula>"&lt;&gt;$A6"</formula>
    </cfRule>
    <cfRule type="cellIs" dxfId="1978" priority="267" operator="equal">
      <formula>$A32</formula>
    </cfRule>
    <cfRule type="cellIs" dxfId="1977" priority="268" operator="equal">
      <formula>$A32</formula>
    </cfRule>
  </conditionalFormatting>
  <conditionalFormatting sqref="Q37">
    <cfRule type="cellIs" dxfId="1976" priority="259" operator="notEqual">
      <formula>$A37</formula>
    </cfRule>
    <cfRule type="cellIs" dxfId="1975" priority="260" operator="equal">
      <formula>"""&lt;&gt;$A6"""</formula>
    </cfRule>
    <cfRule type="cellIs" dxfId="1974" priority="261" operator="equal">
      <formula>"&lt;&gt;$A6"</formula>
    </cfRule>
    <cfRule type="cellIs" dxfId="1973" priority="262" operator="equal">
      <formula>$A37</formula>
    </cfRule>
    <cfRule type="cellIs" dxfId="1972" priority="263" operator="equal">
      <formula>$A37</formula>
    </cfRule>
  </conditionalFormatting>
  <conditionalFormatting sqref="Q38:Q40">
    <cfRule type="cellIs" dxfId="1971" priority="254" operator="notEqual">
      <formula>$A38</formula>
    </cfRule>
    <cfRule type="cellIs" dxfId="1970" priority="255" operator="equal">
      <formula>"""&lt;&gt;$A6"""</formula>
    </cfRule>
    <cfRule type="cellIs" dxfId="1969" priority="256" operator="equal">
      <formula>"&lt;&gt;$A6"</formula>
    </cfRule>
    <cfRule type="cellIs" dxfId="1968" priority="257" operator="equal">
      <formula>$A38</formula>
    </cfRule>
    <cfRule type="cellIs" dxfId="1967" priority="258" operator="equal">
      <formula>$A38</formula>
    </cfRule>
  </conditionalFormatting>
  <conditionalFormatting sqref="Q41">
    <cfRule type="cellIs" dxfId="1966" priority="249" operator="notEqual">
      <formula>$A41</formula>
    </cfRule>
    <cfRule type="cellIs" dxfId="1965" priority="250" operator="equal">
      <formula>"""&lt;&gt;$A6"""</formula>
    </cfRule>
    <cfRule type="cellIs" dxfId="1964" priority="251" operator="equal">
      <formula>"&lt;&gt;$A6"</formula>
    </cfRule>
    <cfRule type="cellIs" dxfId="1963" priority="252" operator="equal">
      <formula>$A41</formula>
    </cfRule>
    <cfRule type="cellIs" dxfId="1962" priority="253" operator="equal">
      <formula>$A41</formula>
    </cfRule>
  </conditionalFormatting>
  <conditionalFormatting sqref="Q46">
    <cfRule type="cellIs" dxfId="1961" priority="234" operator="notEqual">
      <formula>$A46</formula>
    </cfRule>
    <cfRule type="cellIs" dxfId="1960" priority="235" operator="equal">
      <formula>"""&lt;&gt;$A6"""</formula>
    </cfRule>
    <cfRule type="cellIs" dxfId="1959" priority="236" operator="equal">
      <formula>"&lt;&gt;$A6"</formula>
    </cfRule>
    <cfRule type="cellIs" dxfId="1958" priority="237" operator="equal">
      <formula>$A46</formula>
    </cfRule>
    <cfRule type="cellIs" dxfId="1957" priority="238" operator="equal">
      <formula>$A46</formula>
    </cfRule>
  </conditionalFormatting>
  <conditionalFormatting sqref="Q50:Q51">
    <cfRule type="cellIs" dxfId="1956" priority="229" operator="notEqual">
      <formula>$A50</formula>
    </cfRule>
    <cfRule type="cellIs" dxfId="1955" priority="230" operator="equal">
      <formula>"""&lt;&gt;$A6"""</formula>
    </cfRule>
    <cfRule type="cellIs" dxfId="1954" priority="231" operator="equal">
      <formula>"&lt;&gt;$A6"</formula>
    </cfRule>
    <cfRule type="cellIs" dxfId="1953" priority="232" operator="equal">
      <formula>$A50</formula>
    </cfRule>
    <cfRule type="cellIs" dxfId="1952" priority="233" operator="equal">
      <formula>$A50</formula>
    </cfRule>
  </conditionalFormatting>
  <conditionalFormatting sqref="Q49">
    <cfRule type="cellIs" dxfId="1951" priority="224" operator="notEqual">
      <formula>$A49</formula>
    </cfRule>
    <cfRule type="cellIs" dxfId="1950" priority="225" operator="equal">
      <formula>"""&lt;&gt;$A6"""</formula>
    </cfRule>
    <cfRule type="cellIs" dxfId="1949" priority="226" operator="equal">
      <formula>"&lt;&gt;$A6"</formula>
    </cfRule>
    <cfRule type="cellIs" dxfId="1948" priority="227" operator="equal">
      <formula>$A49</formula>
    </cfRule>
    <cfRule type="cellIs" dxfId="1947" priority="228" operator="equal">
      <formula>$A49</formula>
    </cfRule>
  </conditionalFormatting>
  <conditionalFormatting sqref="Q53:Q60">
    <cfRule type="cellIs" dxfId="1946" priority="219" operator="notEqual">
      <formula>$A53</formula>
    </cfRule>
    <cfRule type="cellIs" dxfId="1945" priority="220" operator="equal">
      <formula>"""&lt;&gt;$A6"""</formula>
    </cfRule>
    <cfRule type="cellIs" dxfId="1944" priority="221" operator="equal">
      <formula>"&lt;&gt;$A6"</formula>
    </cfRule>
    <cfRule type="cellIs" dxfId="1943" priority="222" operator="equal">
      <formula>$A53</formula>
    </cfRule>
    <cfRule type="cellIs" dxfId="1942" priority="223" operator="equal">
      <formula>$A53</formula>
    </cfRule>
  </conditionalFormatting>
  <conditionalFormatting sqref="Q42:Q43">
    <cfRule type="cellIs" dxfId="1941" priority="214" operator="notEqual">
      <formula>$A42</formula>
    </cfRule>
    <cfRule type="cellIs" dxfId="1940" priority="215" operator="equal">
      <formula>"""&lt;&gt;$A6"""</formula>
    </cfRule>
    <cfRule type="cellIs" dxfId="1939" priority="216" operator="equal">
      <formula>"&lt;&gt;$A6"</formula>
    </cfRule>
    <cfRule type="cellIs" dxfId="1938" priority="217" operator="equal">
      <formula>$A42</formula>
    </cfRule>
    <cfRule type="cellIs" dxfId="1937" priority="218" operator="equal">
      <formula>$A42</formula>
    </cfRule>
  </conditionalFormatting>
  <conditionalFormatting sqref="Q47">
    <cfRule type="cellIs" dxfId="1936" priority="209" operator="notEqual">
      <formula>$A47</formula>
    </cfRule>
    <cfRule type="cellIs" dxfId="1935" priority="210" operator="equal">
      <formula>"""&lt;&gt;$A6"""</formula>
    </cfRule>
    <cfRule type="cellIs" dxfId="1934" priority="211" operator="equal">
      <formula>"&lt;&gt;$A6"</formula>
    </cfRule>
    <cfRule type="cellIs" dxfId="1933" priority="212" operator="equal">
      <formula>$A47</formula>
    </cfRule>
    <cfRule type="cellIs" dxfId="1932" priority="213" operator="equal">
      <formula>$A47</formula>
    </cfRule>
  </conditionalFormatting>
  <conditionalFormatting sqref="Q48">
    <cfRule type="cellIs" dxfId="1931" priority="204" operator="notEqual">
      <formula>$A48</formula>
    </cfRule>
    <cfRule type="cellIs" dxfId="1930" priority="205" operator="equal">
      <formula>"""&lt;&gt;$A6"""</formula>
    </cfRule>
    <cfRule type="cellIs" dxfId="1929" priority="206" operator="equal">
      <formula>"&lt;&gt;$A6"</formula>
    </cfRule>
    <cfRule type="cellIs" dxfId="1928" priority="207" operator="equal">
      <formula>$A48</formula>
    </cfRule>
    <cfRule type="cellIs" dxfId="1927" priority="208" operator="equal">
      <formula>$A48</formula>
    </cfRule>
  </conditionalFormatting>
  <conditionalFormatting sqref="R9">
    <cfRule type="cellIs" dxfId="1926" priority="189" operator="notEqual">
      <formula>$A9</formula>
    </cfRule>
    <cfRule type="cellIs" dxfId="1925" priority="190" operator="equal">
      <formula>"""&lt;&gt;$A6"""</formula>
    </cfRule>
    <cfRule type="cellIs" dxfId="1924" priority="191" operator="equal">
      <formula>"&lt;&gt;$A6"</formula>
    </cfRule>
    <cfRule type="cellIs" dxfId="1923" priority="192" operator="equal">
      <formula>$A9</formula>
    </cfRule>
    <cfRule type="cellIs" dxfId="1922" priority="193" operator="equal">
      <formula>$A9</formula>
    </cfRule>
  </conditionalFormatting>
  <conditionalFormatting sqref="R5">
    <cfRule type="cellIs" dxfId="1921" priority="199" operator="notEqual">
      <formula>$A5</formula>
    </cfRule>
    <cfRule type="cellIs" dxfId="1920" priority="200" operator="equal">
      <formula>"""&lt;&gt;$A6"""</formula>
    </cfRule>
    <cfRule type="cellIs" dxfId="1919" priority="201" operator="equal">
      <formula>"&lt;&gt;$A6"</formula>
    </cfRule>
    <cfRule type="cellIs" dxfId="1918" priority="202" operator="equal">
      <formula>$A5</formula>
    </cfRule>
    <cfRule type="cellIs" dxfId="1917" priority="203" operator="equal">
      <formula>$A5</formula>
    </cfRule>
  </conditionalFormatting>
  <conditionalFormatting sqref="R8">
    <cfRule type="cellIs" dxfId="1916" priority="194" operator="notEqual">
      <formula>$A8</formula>
    </cfRule>
    <cfRule type="cellIs" dxfId="1915" priority="195" operator="equal">
      <formula>"""&lt;&gt;$A6"""</formula>
    </cfRule>
    <cfRule type="cellIs" dxfId="1914" priority="196" operator="equal">
      <formula>"&lt;&gt;$A6"</formula>
    </cfRule>
    <cfRule type="cellIs" dxfId="1913" priority="197" operator="equal">
      <formula>$A8</formula>
    </cfRule>
    <cfRule type="cellIs" dxfId="1912" priority="198" operator="equal">
      <formula>$A8</formula>
    </cfRule>
  </conditionalFormatting>
  <conditionalFormatting sqref="R10:R23">
    <cfRule type="cellIs" dxfId="1911" priority="184" operator="notEqual">
      <formula>$A10</formula>
    </cfRule>
    <cfRule type="cellIs" dxfId="1910" priority="185" operator="equal">
      <formula>"""&lt;&gt;$A6"""</formula>
    </cfRule>
    <cfRule type="cellIs" dxfId="1909" priority="186" operator="equal">
      <formula>"&lt;&gt;$A6"</formula>
    </cfRule>
    <cfRule type="cellIs" dxfId="1908" priority="187" operator="equal">
      <formula>$A10</formula>
    </cfRule>
    <cfRule type="cellIs" dxfId="1907" priority="188" operator="equal">
      <formula>$A10</formula>
    </cfRule>
  </conditionalFormatting>
  <conditionalFormatting sqref="R26">
    <cfRule type="cellIs" dxfId="1906" priority="179" operator="notEqual">
      <formula>$A26</formula>
    </cfRule>
    <cfRule type="cellIs" dxfId="1905" priority="180" operator="equal">
      <formula>"""&lt;&gt;$A6"""</formula>
    </cfRule>
    <cfRule type="cellIs" dxfId="1904" priority="181" operator="equal">
      <formula>"&lt;&gt;$A6"</formula>
    </cfRule>
    <cfRule type="cellIs" dxfId="1903" priority="182" operator="equal">
      <formula>$A26</formula>
    </cfRule>
    <cfRule type="cellIs" dxfId="1902" priority="183" operator="equal">
      <formula>$A26</formula>
    </cfRule>
  </conditionalFormatting>
  <conditionalFormatting sqref="R36">
    <cfRule type="cellIs" dxfId="1901" priority="174" operator="notEqual">
      <formula>$A36</formula>
    </cfRule>
    <cfRule type="cellIs" dxfId="1900" priority="175" operator="equal">
      <formula>"""&lt;&gt;$A6"""</formula>
    </cfRule>
    <cfRule type="cellIs" dxfId="1899" priority="176" operator="equal">
      <formula>"&lt;&gt;$A6"</formula>
    </cfRule>
    <cfRule type="cellIs" dxfId="1898" priority="177" operator="equal">
      <formula>$A36</formula>
    </cfRule>
    <cfRule type="cellIs" dxfId="1897" priority="178" operator="equal">
      <formula>$A36</formula>
    </cfRule>
  </conditionalFormatting>
  <conditionalFormatting sqref="R32:R35">
    <cfRule type="cellIs" dxfId="1896" priority="169" operator="notEqual">
      <formula>$A32</formula>
    </cfRule>
    <cfRule type="cellIs" dxfId="1895" priority="170" operator="equal">
      <formula>"""&lt;&gt;$A6"""</formula>
    </cfRule>
    <cfRule type="cellIs" dxfId="1894" priority="171" operator="equal">
      <formula>"&lt;&gt;$A6"</formula>
    </cfRule>
    <cfRule type="cellIs" dxfId="1893" priority="172" operator="equal">
      <formula>$A32</formula>
    </cfRule>
    <cfRule type="cellIs" dxfId="1892" priority="173" operator="equal">
      <formula>$A32</formula>
    </cfRule>
  </conditionalFormatting>
  <conditionalFormatting sqref="R37">
    <cfRule type="cellIs" dxfId="1891" priority="164" operator="notEqual">
      <formula>$A37</formula>
    </cfRule>
    <cfRule type="cellIs" dxfId="1890" priority="165" operator="equal">
      <formula>"""&lt;&gt;$A6"""</formula>
    </cfRule>
    <cfRule type="cellIs" dxfId="1889" priority="166" operator="equal">
      <formula>"&lt;&gt;$A6"</formula>
    </cfRule>
    <cfRule type="cellIs" dxfId="1888" priority="167" operator="equal">
      <formula>$A37</formula>
    </cfRule>
    <cfRule type="cellIs" dxfId="1887" priority="168" operator="equal">
      <formula>$A37</formula>
    </cfRule>
  </conditionalFormatting>
  <conditionalFormatting sqref="R38:R40">
    <cfRule type="cellIs" dxfId="1886" priority="159" operator="notEqual">
      <formula>$A38</formula>
    </cfRule>
    <cfRule type="cellIs" dxfId="1885" priority="160" operator="equal">
      <formula>"""&lt;&gt;$A6"""</formula>
    </cfRule>
    <cfRule type="cellIs" dxfId="1884" priority="161" operator="equal">
      <formula>"&lt;&gt;$A6"</formula>
    </cfRule>
    <cfRule type="cellIs" dxfId="1883" priority="162" operator="equal">
      <formula>$A38</formula>
    </cfRule>
    <cfRule type="cellIs" dxfId="1882" priority="163" operator="equal">
      <formula>$A38</formula>
    </cfRule>
  </conditionalFormatting>
  <conditionalFormatting sqref="R41">
    <cfRule type="cellIs" dxfId="1881" priority="154" operator="notEqual">
      <formula>$A41</formula>
    </cfRule>
    <cfRule type="cellIs" dxfId="1880" priority="155" operator="equal">
      <formula>"""&lt;&gt;$A6"""</formula>
    </cfRule>
    <cfRule type="cellIs" dxfId="1879" priority="156" operator="equal">
      <formula>"&lt;&gt;$A6"</formula>
    </cfRule>
    <cfRule type="cellIs" dxfId="1878" priority="157" operator="equal">
      <formula>$A41</formula>
    </cfRule>
    <cfRule type="cellIs" dxfId="1877" priority="158" operator="equal">
      <formula>$A41</formula>
    </cfRule>
  </conditionalFormatting>
  <conditionalFormatting sqref="R46">
    <cfRule type="cellIs" dxfId="1876" priority="139" operator="notEqual">
      <formula>$A46</formula>
    </cfRule>
    <cfRule type="cellIs" dxfId="1875" priority="140" operator="equal">
      <formula>"""&lt;&gt;$A6"""</formula>
    </cfRule>
    <cfRule type="cellIs" dxfId="1874" priority="141" operator="equal">
      <formula>"&lt;&gt;$A6"</formula>
    </cfRule>
    <cfRule type="cellIs" dxfId="1873" priority="142" operator="equal">
      <formula>$A46</formula>
    </cfRule>
    <cfRule type="cellIs" dxfId="1872" priority="143" operator="equal">
      <formula>$A46</formula>
    </cfRule>
  </conditionalFormatting>
  <conditionalFormatting sqref="R50:R51">
    <cfRule type="cellIs" dxfId="1871" priority="134" operator="notEqual">
      <formula>$A50</formula>
    </cfRule>
    <cfRule type="cellIs" dxfId="1870" priority="135" operator="equal">
      <formula>"""&lt;&gt;$A6"""</formula>
    </cfRule>
    <cfRule type="cellIs" dxfId="1869" priority="136" operator="equal">
      <formula>"&lt;&gt;$A6"</formula>
    </cfRule>
    <cfRule type="cellIs" dxfId="1868" priority="137" operator="equal">
      <formula>$A50</formula>
    </cfRule>
    <cfRule type="cellIs" dxfId="1867" priority="138" operator="equal">
      <formula>$A50</formula>
    </cfRule>
  </conditionalFormatting>
  <conditionalFormatting sqref="R49">
    <cfRule type="cellIs" dxfId="1866" priority="129" operator="notEqual">
      <formula>$A49</formula>
    </cfRule>
    <cfRule type="cellIs" dxfId="1865" priority="130" operator="equal">
      <formula>"""&lt;&gt;$A6"""</formula>
    </cfRule>
    <cfRule type="cellIs" dxfId="1864" priority="131" operator="equal">
      <formula>"&lt;&gt;$A6"</formula>
    </cfRule>
    <cfRule type="cellIs" dxfId="1863" priority="132" operator="equal">
      <formula>$A49</formula>
    </cfRule>
    <cfRule type="cellIs" dxfId="1862" priority="133" operator="equal">
      <formula>$A49</formula>
    </cfRule>
  </conditionalFormatting>
  <conditionalFormatting sqref="R53:R60">
    <cfRule type="cellIs" dxfId="1861" priority="124" operator="notEqual">
      <formula>$A53</formula>
    </cfRule>
    <cfRule type="cellIs" dxfId="1860" priority="125" operator="equal">
      <formula>"""&lt;&gt;$A6"""</formula>
    </cfRule>
    <cfRule type="cellIs" dxfId="1859" priority="126" operator="equal">
      <formula>"&lt;&gt;$A6"</formula>
    </cfRule>
    <cfRule type="cellIs" dxfId="1858" priority="127" operator="equal">
      <formula>$A53</formula>
    </cfRule>
    <cfRule type="cellIs" dxfId="1857" priority="128" operator="equal">
      <formula>$A53</formula>
    </cfRule>
  </conditionalFormatting>
  <conditionalFormatting sqref="R42:R43">
    <cfRule type="cellIs" dxfId="1856" priority="119" operator="notEqual">
      <formula>$A42</formula>
    </cfRule>
    <cfRule type="cellIs" dxfId="1855" priority="120" operator="equal">
      <formula>"""&lt;&gt;$A6"""</formula>
    </cfRule>
    <cfRule type="cellIs" dxfId="1854" priority="121" operator="equal">
      <formula>"&lt;&gt;$A6"</formula>
    </cfRule>
    <cfRule type="cellIs" dxfId="1853" priority="122" operator="equal">
      <formula>$A42</formula>
    </cfRule>
    <cfRule type="cellIs" dxfId="1852" priority="123" operator="equal">
      <formula>$A42</formula>
    </cfRule>
  </conditionalFormatting>
  <conditionalFormatting sqref="R47">
    <cfRule type="cellIs" dxfId="1851" priority="114" operator="notEqual">
      <formula>$A47</formula>
    </cfRule>
    <cfRule type="cellIs" dxfId="1850" priority="115" operator="equal">
      <formula>"""&lt;&gt;$A6"""</formula>
    </cfRule>
    <cfRule type="cellIs" dxfId="1849" priority="116" operator="equal">
      <formula>"&lt;&gt;$A6"</formula>
    </cfRule>
    <cfRule type="cellIs" dxfId="1848" priority="117" operator="equal">
      <formula>$A47</formula>
    </cfRule>
    <cfRule type="cellIs" dxfId="1847" priority="118" operator="equal">
      <formula>$A47</formula>
    </cfRule>
  </conditionalFormatting>
  <conditionalFormatting sqref="R48">
    <cfRule type="cellIs" dxfId="1846" priority="109" operator="notEqual">
      <formula>$A48</formula>
    </cfRule>
    <cfRule type="cellIs" dxfId="1845" priority="110" operator="equal">
      <formula>"""&lt;&gt;$A6"""</formula>
    </cfRule>
    <cfRule type="cellIs" dxfId="1844" priority="111" operator="equal">
      <formula>"&lt;&gt;$A6"</formula>
    </cfRule>
    <cfRule type="cellIs" dxfId="1843" priority="112" operator="equal">
      <formula>$A48</formula>
    </cfRule>
    <cfRule type="cellIs" dxfId="1842" priority="113" operator="equal">
      <formula>$A48</formula>
    </cfRule>
  </conditionalFormatting>
  <conditionalFormatting sqref="S9">
    <cfRule type="cellIs" dxfId="1841" priority="94" operator="notEqual">
      <formula>$A9</formula>
    </cfRule>
    <cfRule type="cellIs" dxfId="1840" priority="95" operator="equal">
      <formula>"""&lt;&gt;$A6"""</formula>
    </cfRule>
    <cfRule type="cellIs" dxfId="1839" priority="96" operator="equal">
      <formula>"&lt;&gt;$A6"</formula>
    </cfRule>
    <cfRule type="cellIs" dxfId="1838" priority="97" operator="equal">
      <formula>$A9</formula>
    </cfRule>
    <cfRule type="cellIs" dxfId="1837" priority="98" operator="equal">
      <formula>$A9</formula>
    </cfRule>
  </conditionalFormatting>
  <conditionalFormatting sqref="S5">
    <cfRule type="cellIs" dxfId="1836" priority="104" operator="notEqual">
      <formula>$A5</formula>
    </cfRule>
    <cfRule type="cellIs" dxfId="1835" priority="105" operator="equal">
      <formula>"""&lt;&gt;$A6"""</formula>
    </cfRule>
    <cfRule type="cellIs" dxfId="1834" priority="106" operator="equal">
      <formula>"&lt;&gt;$A6"</formula>
    </cfRule>
    <cfRule type="cellIs" dxfId="1833" priority="107" operator="equal">
      <formula>$A5</formula>
    </cfRule>
    <cfRule type="cellIs" dxfId="1832" priority="108" operator="equal">
      <formula>$A5</formula>
    </cfRule>
  </conditionalFormatting>
  <conditionalFormatting sqref="S8">
    <cfRule type="cellIs" dxfId="1831" priority="99" operator="notEqual">
      <formula>$A8</formula>
    </cfRule>
    <cfRule type="cellIs" dxfId="1830" priority="100" operator="equal">
      <formula>"""&lt;&gt;$A6"""</formula>
    </cfRule>
    <cfRule type="cellIs" dxfId="1829" priority="101" operator="equal">
      <formula>"&lt;&gt;$A6"</formula>
    </cfRule>
    <cfRule type="cellIs" dxfId="1828" priority="102" operator="equal">
      <formula>$A8</formula>
    </cfRule>
    <cfRule type="cellIs" dxfId="1827" priority="103" operator="equal">
      <formula>$A8</formula>
    </cfRule>
  </conditionalFormatting>
  <conditionalFormatting sqref="S10:S23">
    <cfRule type="cellIs" dxfId="1826" priority="89" operator="notEqual">
      <formula>$A10</formula>
    </cfRule>
    <cfRule type="cellIs" dxfId="1825" priority="90" operator="equal">
      <formula>"""&lt;&gt;$A6"""</formula>
    </cfRule>
    <cfRule type="cellIs" dxfId="1824" priority="91" operator="equal">
      <formula>"&lt;&gt;$A6"</formula>
    </cfRule>
    <cfRule type="cellIs" dxfId="1823" priority="92" operator="equal">
      <formula>$A10</formula>
    </cfRule>
    <cfRule type="cellIs" dxfId="1822" priority="93" operator="equal">
      <formula>$A10</formula>
    </cfRule>
  </conditionalFormatting>
  <conditionalFormatting sqref="S26">
    <cfRule type="cellIs" dxfId="1821" priority="84" operator="notEqual">
      <formula>$A26</formula>
    </cfRule>
    <cfRule type="cellIs" dxfId="1820" priority="85" operator="equal">
      <formula>"""&lt;&gt;$A6"""</formula>
    </cfRule>
    <cfRule type="cellIs" dxfId="1819" priority="86" operator="equal">
      <formula>"&lt;&gt;$A6"</formula>
    </cfRule>
    <cfRule type="cellIs" dxfId="1818" priority="87" operator="equal">
      <formula>$A26</formula>
    </cfRule>
    <cfRule type="cellIs" dxfId="1817" priority="88" operator="equal">
      <formula>$A26</formula>
    </cfRule>
  </conditionalFormatting>
  <conditionalFormatting sqref="S36">
    <cfRule type="cellIs" dxfId="1816" priority="79" operator="notEqual">
      <formula>$A36</formula>
    </cfRule>
    <cfRule type="cellIs" dxfId="1815" priority="80" operator="equal">
      <formula>"""&lt;&gt;$A6"""</formula>
    </cfRule>
    <cfRule type="cellIs" dxfId="1814" priority="81" operator="equal">
      <formula>"&lt;&gt;$A6"</formula>
    </cfRule>
    <cfRule type="cellIs" dxfId="1813" priority="82" operator="equal">
      <formula>$A36</formula>
    </cfRule>
    <cfRule type="cellIs" dxfId="1812" priority="83" operator="equal">
      <formula>$A36</formula>
    </cfRule>
  </conditionalFormatting>
  <conditionalFormatting sqref="S32:S35">
    <cfRule type="cellIs" dxfId="1811" priority="74" operator="notEqual">
      <formula>$A32</formula>
    </cfRule>
    <cfRule type="cellIs" dxfId="1810" priority="75" operator="equal">
      <formula>"""&lt;&gt;$A6"""</formula>
    </cfRule>
    <cfRule type="cellIs" dxfId="1809" priority="76" operator="equal">
      <formula>"&lt;&gt;$A6"</formula>
    </cfRule>
    <cfRule type="cellIs" dxfId="1808" priority="77" operator="equal">
      <formula>$A32</formula>
    </cfRule>
    <cfRule type="cellIs" dxfId="1807" priority="78" operator="equal">
      <formula>$A32</formula>
    </cfRule>
  </conditionalFormatting>
  <conditionalFormatting sqref="S37">
    <cfRule type="cellIs" dxfId="1806" priority="69" operator="notEqual">
      <formula>$A37</formula>
    </cfRule>
    <cfRule type="cellIs" dxfId="1805" priority="70" operator="equal">
      <formula>"""&lt;&gt;$A6"""</formula>
    </cfRule>
    <cfRule type="cellIs" dxfId="1804" priority="71" operator="equal">
      <formula>"&lt;&gt;$A6"</formula>
    </cfRule>
    <cfRule type="cellIs" dxfId="1803" priority="72" operator="equal">
      <formula>$A37</formula>
    </cfRule>
    <cfRule type="cellIs" dxfId="1802" priority="73" operator="equal">
      <formula>$A37</formula>
    </cfRule>
  </conditionalFormatting>
  <conditionalFormatting sqref="S38:S40">
    <cfRule type="cellIs" dxfId="1801" priority="64" operator="notEqual">
      <formula>$A38</formula>
    </cfRule>
    <cfRule type="cellIs" dxfId="1800" priority="65" operator="equal">
      <formula>"""&lt;&gt;$A6"""</formula>
    </cfRule>
    <cfRule type="cellIs" dxfId="1799" priority="66" operator="equal">
      <formula>"&lt;&gt;$A6"</formula>
    </cfRule>
    <cfRule type="cellIs" dxfId="1798" priority="67" operator="equal">
      <formula>$A38</formula>
    </cfRule>
    <cfRule type="cellIs" dxfId="1797" priority="68" operator="equal">
      <formula>$A38</formula>
    </cfRule>
  </conditionalFormatting>
  <conditionalFormatting sqref="S41">
    <cfRule type="cellIs" dxfId="1796" priority="59" operator="notEqual">
      <formula>$A41</formula>
    </cfRule>
    <cfRule type="cellIs" dxfId="1795" priority="60" operator="equal">
      <formula>"""&lt;&gt;$A6"""</formula>
    </cfRule>
    <cfRule type="cellIs" dxfId="1794" priority="61" operator="equal">
      <formula>"&lt;&gt;$A6"</formula>
    </cfRule>
    <cfRule type="cellIs" dxfId="1793" priority="62" operator="equal">
      <formula>$A41</formula>
    </cfRule>
    <cfRule type="cellIs" dxfId="1792" priority="63" operator="equal">
      <formula>$A41</formula>
    </cfRule>
  </conditionalFormatting>
  <conditionalFormatting sqref="S46">
    <cfRule type="cellIs" dxfId="1791" priority="44" operator="notEqual">
      <formula>$A46</formula>
    </cfRule>
    <cfRule type="cellIs" dxfId="1790" priority="45" operator="equal">
      <formula>"""&lt;&gt;$A6"""</formula>
    </cfRule>
    <cfRule type="cellIs" dxfId="1789" priority="46" operator="equal">
      <formula>"&lt;&gt;$A6"</formula>
    </cfRule>
    <cfRule type="cellIs" dxfId="1788" priority="47" operator="equal">
      <formula>$A46</formula>
    </cfRule>
    <cfRule type="cellIs" dxfId="1787" priority="48" operator="equal">
      <formula>$A46</formula>
    </cfRule>
  </conditionalFormatting>
  <conditionalFormatting sqref="S50:S51">
    <cfRule type="cellIs" dxfId="1786" priority="39" operator="notEqual">
      <formula>$A50</formula>
    </cfRule>
    <cfRule type="cellIs" dxfId="1785" priority="40" operator="equal">
      <formula>"""&lt;&gt;$A6"""</formula>
    </cfRule>
    <cfRule type="cellIs" dxfId="1784" priority="41" operator="equal">
      <formula>"&lt;&gt;$A6"</formula>
    </cfRule>
    <cfRule type="cellIs" dxfId="1783" priority="42" operator="equal">
      <formula>$A50</formula>
    </cfRule>
    <cfRule type="cellIs" dxfId="1782" priority="43" operator="equal">
      <formula>$A50</formula>
    </cfRule>
  </conditionalFormatting>
  <conditionalFormatting sqref="S49">
    <cfRule type="cellIs" dxfId="1781" priority="34" operator="notEqual">
      <formula>$A49</formula>
    </cfRule>
    <cfRule type="cellIs" dxfId="1780" priority="35" operator="equal">
      <formula>"""&lt;&gt;$A6"""</formula>
    </cfRule>
    <cfRule type="cellIs" dxfId="1779" priority="36" operator="equal">
      <formula>"&lt;&gt;$A6"</formula>
    </cfRule>
    <cfRule type="cellIs" dxfId="1778" priority="37" operator="equal">
      <formula>$A49</formula>
    </cfRule>
    <cfRule type="cellIs" dxfId="1777" priority="38" operator="equal">
      <formula>$A49</formula>
    </cfRule>
  </conditionalFormatting>
  <conditionalFormatting sqref="S53:S60">
    <cfRule type="cellIs" dxfId="1776" priority="29" operator="notEqual">
      <formula>$A53</formula>
    </cfRule>
    <cfRule type="cellIs" dxfId="1775" priority="30" operator="equal">
      <formula>"""&lt;&gt;$A6"""</formula>
    </cfRule>
    <cfRule type="cellIs" dxfId="1774" priority="31" operator="equal">
      <formula>"&lt;&gt;$A6"</formula>
    </cfRule>
    <cfRule type="cellIs" dxfId="1773" priority="32" operator="equal">
      <formula>$A53</formula>
    </cfRule>
    <cfRule type="cellIs" dxfId="1772" priority="33" operator="equal">
      <formula>$A53</formula>
    </cfRule>
  </conditionalFormatting>
  <conditionalFormatting sqref="S47">
    <cfRule type="cellIs" dxfId="1771" priority="19" operator="notEqual">
      <formula>$A47</formula>
    </cfRule>
    <cfRule type="cellIs" dxfId="1770" priority="20" operator="equal">
      <formula>"""&lt;&gt;$A6"""</formula>
    </cfRule>
    <cfRule type="cellIs" dxfId="1769" priority="21" operator="equal">
      <formula>"&lt;&gt;$A6"</formula>
    </cfRule>
    <cfRule type="cellIs" dxfId="1768" priority="22" operator="equal">
      <formula>$A47</formula>
    </cfRule>
    <cfRule type="cellIs" dxfId="1767" priority="23" operator="equal">
      <formula>$A47</formula>
    </cfRule>
  </conditionalFormatting>
  <conditionalFormatting sqref="D44:S44">
    <cfRule type="cellIs" dxfId="1766" priority="9" operator="notEqual">
      <formula>$A44</formula>
    </cfRule>
    <cfRule type="cellIs" dxfId="1765" priority="10" operator="equal">
      <formula>"""&lt;&gt;$A6"""</formula>
    </cfRule>
    <cfRule type="cellIs" dxfId="1764" priority="11" operator="equal">
      <formula>"&lt;&gt;$A6"</formula>
    </cfRule>
    <cfRule type="cellIs" dxfId="1763" priority="12" operator="equal">
      <formula>$A44</formula>
    </cfRule>
    <cfRule type="cellIs" dxfId="1762" priority="13" operator="equal">
      <formula>$A44</formula>
    </cfRule>
  </conditionalFormatting>
  <conditionalFormatting sqref="D45:S45">
    <cfRule type="cellIs" dxfId="1761" priority="4" operator="notEqual">
      <formula>$A45</formula>
    </cfRule>
    <cfRule type="cellIs" dxfId="1760" priority="5" operator="equal">
      <formula>"""&lt;&gt;$A6"""</formula>
    </cfRule>
    <cfRule type="cellIs" dxfId="1759" priority="6" operator="equal">
      <formula>"&lt;&gt;$A6"</formula>
    </cfRule>
    <cfRule type="cellIs" dxfId="1758" priority="7" operator="equal">
      <formula>$A45</formula>
    </cfRule>
    <cfRule type="cellIs" dxfId="1757" priority="8" operator="equal">
      <formula>$A45</formula>
    </cfRule>
  </conditionalFormatting>
  <conditionalFormatting sqref="C28:D28 C29">
    <cfRule type="cellIs" dxfId="1756" priority="3" operator="notEqual">
      <formula>$A28</formula>
    </cfRule>
  </conditionalFormatting>
  <conditionalFormatting sqref="D29:S29">
    <cfRule type="cellIs" dxfId="1755" priority="2" operator="notEqual">
      <formula>$A29</formula>
    </cfRule>
  </conditionalFormatting>
  <conditionalFormatting sqref="C125:D126">
    <cfRule type="cellIs" dxfId="1754" priority="1" operator="notEqual">
      <formula>$A125</formula>
    </cfRule>
  </conditionalFormatting>
  <dataValidations count="13">
    <dataValidation type="list" allowBlank="1" showInputMessage="1" showErrorMessage="1" sqref="C9:S9" xr:uid="{00000000-0002-0000-0400-000000000000}">
      <formula1>"Maturity Date,First Balloon Payment Date"</formula1>
    </dataValidation>
    <dataValidation type="list" allowBlank="1" showInputMessage="1" showErrorMessage="1" sqref="C36:S36" xr:uid="{00000000-0002-0000-0400-000001000000}">
      <formula1>"Category Yield to WAL + Option Spread,Refinancing Rate"</formula1>
    </dataValidation>
    <dataValidation type="list" allowBlank="1" showInputMessage="1" showErrorMessage="1" sqref="C37:S37" xr:uid="{00000000-0002-0000-0400-000002000000}">
      <formula1>"Refinancing Rate,Category Yield to Maturity"</formula1>
    </dataValidation>
    <dataValidation type="list" allowBlank="1" showInputMessage="1" showErrorMessage="1" sqref="C41:S41" xr:uid="{00000000-0002-0000-0400-000003000000}">
      <formula1>"Coupon Rate,Net Yield,Net Yield At Issue"</formula1>
    </dataValidation>
    <dataValidation type="list" allowBlank="1" showInputMessage="1" showErrorMessage="1" sqref="C44:S44" xr:uid="{00000000-0002-0000-0400-000004000000}">
      <formula1>"USLMS,Andrew Davidson"</formula1>
    </dataValidation>
    <dataValidation type="list" allowBlank="1" showInputMessage="1" showErrorMessage="1" sqref="C46:S46" xr:uid="{00000000-0002-0000-0400-000005000000}">
      <formula1>"Gross Interest Rate,Interest Rate,Net Yield"</formula1>
    </dataValidation>
    <dataValidation type="list" allowBlank="1" showInputMessage="1" showErrorMessage="1" sqref="C55:S55" xr:uid="{00000000-0002-0000-0400-000006000000}">
      <formula1>"Non Convertible,Convertible"</formula1>
    </dataValidation>
    <dataValidation type="list" allowBlank="1" showInputMessage="1" showErrorMessage="1" sqref="C56:S56" xr:uid="{00000000-0002-0000-0400-000007000000}">
      <formula1>"FNMA,GNMA,GNMA2,FHLMC,Whole Loan,RELO,ALT A"</formula1>
    </dataValidation>
    <dataValidation type="list" allowBlank="1" showInputMessage="1" showErrorMessage="1" sqref="C57:S57" xr:uid="{00000000-0002-0000-0400-000008000000}">
      <formula1>"Prime Collateral,Subprime Collateral"</formula1>
    </dataValidation>
    <dataValidation type="list" allowBlank="1" showInputMessage="1" showErrorMessage="1" sqref="C58:S58" xr:uid="{00000000-0002-0000-0400-000009000000}">
      <formula1>"Unknown,Rental,Trailer,Owner"</formula1>
    </dataValidation>
    <dataValidation type="list" allowBlank="1" showInputMessage="1" showErrorMessage="1" sqref="C59:S59" xr:uid="{00000000-0002-0000-0400-00000A000000}">
      <formula1>"Unknown,New,Old"</formula1>
    </dataValidation>
    <dataValidation type="list" allowBlank="1" showInputMessage="1" showErrorMessage="1" sqref="C60:S60" xr:uid="{00000000-0002-0000-0400-00000B000000}">
      <formula1>"Unknown,Single Size,Double Size"</formula1>
    </dataValidation>
    <dataValidation type="list" allowBlank="1" showInputMessage="1" showErrorMessage="1" sqref="C45:S45" xr:uid="{00000000-0002-0000-0400-00000C000000}">
      <formula1>"Absolute Percentage,Percent of PSA"</formula1>
    </dataValidation>
  </dataValidations>
  <hyperlinks>
    <hyperlink ref="A1" location="'Table of Contents'!A1" display="Go to TOC" xr:uid="{00000000-0004-0000-0400-000000000000}"/>
    <hyperlink ref="A141" location="'Table of Contents'!A1" display="Go to TOC" xr:uid="{00000000-0004-0000-0400-000001000000}"/>
    <hyperlink ref="A142" location="Decrements!B42" display="Back to Main" xr:uid="{00000000-0004-0000-0400-000002000000}"/>
    <hyperlink ref="A62" location="'Table of Contents'!A1" display="Go to TOC" xr:uid="{00000000-0004-0000-0400-000003000000}"/>
    <hyperlink ref="A63" location="Decrements!B10" display="Back to Main" xr:uid="{00000000-0004-0000-0400-000004000000}"/>
    <hyperlink ref="A68" location="'Table of Contents'!A1" display="Go to TOC" xr:uid="{00000000-0004-0000-0400-000005000000}"/>
    <hyperlink ref="A69" location="Decrements!B12" display="Back to Main" xr:uid="{00000000-0004-0000-0400-000006000000}"/>
    <hyperlink ref="A74" location="'Table of Contents'!A1" display="Go to TOC" xr:uid="{00000000-0004-0000-0400-000007000000}"/>
    <hyperlink ref="A75" location="Decrements!B13" display="Back to Main" xr:uid="{00000000-0004-0000-0400-000008000000}"/>
    <hyperlink ref="A80" location="'Table of Contents'!A1" display="Go to TOC" xr:uid="{00000000-0004-0000-0400-000009000000}"/>
    <hyperlink ref="A81" location="Decrements!B14" display="Back to Main" xr:uid="{00000000-0004-0000-0400-00000A000000}"/>
    <hyperlink ref="A86" location="'Table of Contents'!A1" display="Go to TOC" xr:uid="{00000000-0004-0000-0400-00000B000000}"/>
    <hyperlink ref="A87" location="Decrements!B16" display="Back to Main" xr:uid="{00000000-0004-0000-0400-00000C000000}"/>
    <hyperlink ref="A92" location="'Table of Contents'!A1" display="Go to TOC" xr:uid="{00000000-0004-0000-0400-00000D000000}"/>
    <hyperlink ref="A93" location="Decrements!B17" display="Back to Main" xr:uid="{00000000-0004-0000-0400-00000E000000}"/>
    <hyperlink ref="A98" location="'Table of Contents'!A1" display="Go to TOC" xr:uid="{00000000-0004-0000-0400-00000F000000}"/>
    <hyperlink ref="A99" location="Decrements!B19" display="Back to Main" xr:uid="{00000000-0004-0000-0400-000010000000}"/>
    <hyperlink ref="A104" location="'Table of Contents'!A1" display="Go to TOC" xr:uid="{00000000-0004-0000-0400-000011000000}"/>
    <hyperlink ref="A105" location="Decrements!B21" display="Back to Main" xr:uid="{00000000-0004-0000-0400-000012000000}"/>
    <hyperlink ref="A110" location="'Table of Contents'!A1" display="Go to TOC" xr:uid="{00000000-0004-0000-0400-000013000000}"/>
    <hyperlink ref="A111" location="Decrements!B22" display="Back to Main" xr:uid="{00000000-0004-0000-0400-000014000000}"/>
    <hyperlink ref="A149" location="'Table of Contents'!A1" display="Go to TOC" xr:uid="{00000000-0004-0000-0400-000015000000}"/>
    <hyperlink ref="A150" location="Decrements!B47" display="Back to Main" xr:uid="{00000000-0004-0000-0400-000016000000}"/>
    <hyperlink ref="A156" location="'Table of Contents'!A1" display="Go to TOC" xr:uid="{00000000-0004-0000-0400-000017000000}"/>
    <hyperlink ref="A157" location="Decrements!B49" display="Back to Main" xr:uid="{00000000-0004-0000-0400-000018000000}"/>
    <hyperlink ref="A162" location="'Table of Contents'!A1" display="Go to TOC" xr:uid="{00000000-0004-0000-0400-000019000000}"/>
    <hyperlink ref="A163" location="Decrements!B50" display="Back to Main" xr:uid="{00000000-0004-0000-0400-00001A000000}"/>
    <hyperlink ref="A178" location="'Table of Contents'!A1" display="Go to TOC" xr:uid="{00000000-0004-0000-0400-00001B000000}"/>
    <hyperlink ref="A179" location="Decrements!B51" display="Back to Main" xr:uid="{00000000-0004-0000-0400-00001C000000}"/>
    <hyperlink ref="B10" location="RefinanceRatePct" display="refinance_rate_pct" xr:uid="{00000000-0004-0000-0400-00001D000000}"/>
    <hyperlink ref="B12" location="RefinanceRateMultSinceIssue" display="refinance_rate_mult_since_issue" xr:uid="{00000000-0004-0000-0400-00001E000000}"/>
    <hyperlink ref="B13" location="RefinanceRateMultBefMaturity" display="refinance_rate_mult_bef_maturity" xr:uid="{00000000-0004-0000-0400-00001F000000}"/>
    <hyperlink ref="B14" location="ForeclosureRatePct" display="foreclosure_rate_pct" xr:uid="{00000000-0004-0000-0400-000020000000}"/>
    <hyperlink ref="B16" location="ForeclosureRateMultMthsSinceIssue" display="foreclosure_rate_mult_since_issue" xr:uid="{00000000-0004-0000-0400-000021000000}"/>
    <hyperlink ref="B17" location="ForeclosureRateMultMthsBefMaturity" display="foreclosure_rate_mult_bef_maturity" xr:uid="{00000000-0004-0000-0400-000022000000}"/>
    <hyperlink ref="B19" location="RestructureRatePct" display="restructure_rate_pct" xr:uid="{00000000-0004-0000-0400-000023000000}"/>
    <hyperlink ref="B21" location="RestructureRateMultMthsSinceIssue" display="restructure_rate_mult_since_issue" xr:uid="{00000000-0004-0000-0400-000024000000}"/>
    <hyperlink ref="B22" location="RestructureRateMultMthsBefMaturity" display="restructure_rate_mult_bef_maturity" xr:uid="{00000000-0004-0000-0400-000025000000}"/>
    <hyperlink ref="B42" location="CallPutExercisePct" display="call_opt_exercise_pct" xr:uid="{00000000-0004-0000-0400-000026000000}"/>
    <hyperlink ref="B43" location="CallPutExercisePct" display="put_opt_exercise_pct" xr:uid="{00000000-0004-0000-0400-000027000000}"/>
    <hyperlink ref="B47" location="PrepmtExercisePct" display="prepmt_exercise_pct" xr:uid="{00000000-0004-0000-0400-000028000000}"/>
    <hyperlink ref="B49" location="PrepmtSeasoningSinceIssueMult" display="prepmt_seasoning_since_issue_mult" xr:uid="{00000000-0004-0000-0400-000029000000}"/>
    <hyperlink ref="B50" location="PrepmtNonfinancialSeasonalityAddn" display="prepmt_nonfinancial_seasonality_addn" xr:uid="{00000000-0004-0000-0400-00002A000000}"/>
    <hyperlink ref="B51" location="PrepmtNonfinancialAdj" display="prepmt_nonfinancial_adj" xr:uid="{00000000-0004-0000-0400-00002B000000}"/>
    <hyperlink ref="A128" location="'Table of Contents'!A1" display="Go to TOC" xr:uid="{00000000-0004-0000-0400-00002C000000}"/>
    <hyperlink ref="A129" location="Decrements!B32" display="Back to Main" xr:uid="{00000000-0004-0000-0400-00002D000000}"/>
    <hyperlink ref="A116" location="'Table of Contents'!A1" display="Go to TOC" xr:uid="{00000000-0004-0000-0400-00002E000000}"/>
    <hyperlink ref="A117" location="Decrements!B26" display="Back to Main" xr:uid="{00000000-0004-0000-0400-00002F000000}"/>
    <hyperlink ref="B26" location="SinkingFundPrinPmtPct" display="sinking_fund_prin_pmt_pct" xr:uid="{00000000-0004-0000-0400-000030000000}"/>
    <hyperlink ref="B32" location="CallPutPricePct" display="call_price_pct" xr:uid="{00000000-0004-0000-0400-000031000000}"/>
    <hyperlink ref="B33" location="CallPutPricePct" display="put_price_pct" xr:uid="{00000000-0004-0000-0400-000032000000}"/>
    <hyperlink ref="A135" location="'Table of Contents'!A1" display="Go to TOC" xr:uid="{00000000-0004-0000-0400-000033000000}"/>
    <hyperlink ref="A136" location="Decrements!B34" display="Back to Main" xr:uid="{00000000-0004-0000-0400-000034000000}"/>
    <hyperlink ref="B34" location="PrepmtPenaltyPct" display="prepmt_penalty_pct" xr:uid="{00000000-0004-0000-0400-000035000000}"/>
    <hyperlink ref="B29" location="BalloonPrinPmtPct" display="balloon_prin_pmt_pct" xr:uid="{00000000-0004-0000-0400-000036000000}"/>
    <hyperlink ref="A122" location="'Table of Contents'!A1" display="Go to TOC" xr:uid="{00000000-0004-0000-0400-000037000000}"/>
    <hyperlink ref="A123" location="Decrements!B29" display="Back to Main" xr:uid="{00000000-0004-0000-0400-000038000000}"/>
  </hyperlinks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18"/>
  <sheetViews>
    <sheetView showGridLines="0" zoomScale="80" zoomScaleNormal="80" workbookViewId="0">
      <selection activeCell="B1" sqref="B1:B1048576"/>
    </sheetView>
  </sheetViews>
  <sheetFormatPr defaultColWidth="15.5703125" defaultRowHeight="12.75" x14ac:dyDescent="0.2"/>
  <cols>
    <col min="1" max="1" width="14.42578125" customWidth="1"/>
    <col min="2" max="2" width="46.42578125" customWidth="1"/>
  </cols>
  <sheetData>
    <row r="1" spans="1:4" s="12" customFormat="1" ht="15.75" x14ac:dyDescent="0.2">
      <c r="A1" s="14" t="s">
        <v>9</v>
      </c>
      <c r="B1" s="19" t="s">
        <v>395</v>
      </c>
    </row>
    <row r="2" spans="1:4" s="12" customFormat="1" x14ac:dyDescent="0.2">
      <c r="A2" s="15"/>
    </row>
    <row r="3" spans="1:4" s="12" customFormat="1" x14ac:dyDescent="0.2">
      <c r="A3" s="15"/>
      <c r="B3" s="18" t="str">
        <f ca="1">GetNameRange(B4)</f>
        <v>RefinanceForeclosureRestructureInvestments</v>
      </c>
      <c r="D3" s="20"/>
    </row>
    <row r="4" spans="1:4" s="12" customFormat="1" x14ac:dyDescent="0.2">
      <c r="A4" s="75"/>
      <c r="B4" s="77" t="s">
        <v>10</v>
      </c>
      <c r="C4" s="73" t="s">
        <v>448</v>
      </c>
      <c r="D4" s="20"/>
    </row>
    <row r="5" spans="1:4" s="12" customFormat="1" x14ac:dyDescent="0.2">
      <c r="A5" s="76" t="s">
        <v>8</v>
      </c>
      <c r="B5" s="21" t="s">
        <v>0</v>
      </c>
      <c r="C5" s="29"/>
      <c r="D5" s="20"/>
    </row>
    <row r="6" spans="1:4" s="12" customFormat="1" x14ac:dyDescent="0.2">
      <c r="A6" s="22"/>
      <c r="B6" s="79"/>
      <c r="C6" s="80"/>
      <c r="D6" s="20"/>
    </row>
    <row r="7" spans="1:4" s="12" customFormat="1" x14ac:dyDescent="0.2">
      <c r="A7" s="22"/>
      <c r="B7" s="79" t="s">
        <v>396</v>
      </c>
      <c r="C7" s="33"/>
      <c r="D7" s="20"/>
    </row>
    <row r="8" spans="1:4" s="12" customFormat="1" x14ac:dyDescent="0.2">
      <c r="A8" s="86" t="s">
        <v>6</v>
      </c>
      <c r="B8" s="113" t="s">
        <v>261</v>
      </c>
      <c r="C8" s="33" t="s">
        <v>6</v>
      </c>
      <c r="D8" s="20"/>
    </row>
    <row r="9" spans="1:4" s="12" customFormat="1" x14ac:dyDescent="0.2">
      <c r="A9" s="86" t="s">
        <v>6</v>
      </c>
      <c r="B9" s="113" t="s">
        <v>263</v>
      </c>
      <c r="C9" s="33" t="s">
        <v>6</v>
      </c>
      <c r="D9" s="20"/>
    </row>
    <row r="10" spans="1:4" s="12" customFormat="1" x14ac:dyDescent="0.2">
      <c r="A10" s="88">
        <v>1</v>
      </c>
      <c r="B10" s="113" t="s">
        <v>266</v>
      </c>
      <c r="C10" s="83">
        <v>1</v>
      </c>
      <c r="D10" s="20"/>
    </row>
    <row r="11" spans="1:4" s="12" customFormat="1" x14ac:dyDescent="0.2">
      <c r="A11" s="88">
        <v>1</v>
      </c>
      <c r="B11" s="113" t="s">
        <v>267</v>
      </c>
      <c r="C11" s="83">
        <v>1</v>
      </c>
      <c r="D11" s="20"/>
    </row>
    <row r="12" spans="1:4" s="12" customFormat="1" x14ac:dyDescent="0.2">
      <c r="A12" s="86" t="s">
        <v>6</v>
      </c>
      <c r="B12" s="113" t="s">
        <v>262</v>
      </c>
      <c r="C12" s="33" t="s">
        <v>6</v>
      </c>
      <c r="D12" s="20"/>
    </row>
    <row r="13" spans="1:4" s="12" customFormat="1" x14ac:dyDescent="0.2">
      <c r="A13" s="88">
        <v>1</v>
      </c>
      <c r="B13" s="113" t="s">
        <v>264</v>
      </c>
      <c r="C13" s="83">
        <v>1</v>
      </c>
      <c r="D13" s="20"/>
    </row>
    <row r="14" spans="1:4" s="12" customFormat="1" x14ac:dyDescent="0.2">
      <c r="A14" s="88">
        <v>1</v>
      </c>
      <c r="B14" s="114" t="s">
        <v>265</v>
      </c>
      <c r="C14" s="115">
        <v>1</v>
      </c>
      <c r="D14" s="20"/>
    </row>
    <row r="15" spans="1:4" s="12" customFormat="1" x14ac:dyDescent="0.2">
      <c r="A15" s="24"/>
      <c r="B15" s="20"/>
      <c r="C15" s="20"/>
      <c r="D15" s="20"/>
    </row>
    <row r="16" spans="1:4" s="12" customFormat="1" x14ac:dyDescent="0.2">
      <c r="A16" s="15"/>
    </row>
    <row r="17" spans="2:8" x14ac:dyDescent="0.2">
      <c r="B17" s="58"/>
      <c r="C17" s="30"/>
      <c r="D17" s="60"/>
      <c r="E17" s="60"/>
      <c r="F17" s="60"/>
      <c r="G17" s="60"/>
      <c r="H17" s="60"/>
    </row>
    <row r="18" spans="2:8" x14ac:dyDescent="0.2">
      <c r="B18" s="58"/>
      <c r="C18" s="30"/>
    </row>
  </sheetData>
  <conditionalFormatting sqref="C8:C14">
    <cfRule type="cellIs" dxfId="1753" priority="6" operator="notEqual">
      <formula>$A8</formula>
    </cfRule>
  </conditionalFormatting>
  <hyperlinks>
    <hyperlink ref="A1" location="'Table of Contents'!A1" display="Go to TOC" xr:uid="{00000000-0004-0000-05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G10"/>
  <sheetViews>
    <sheetView showGridLines="0" workbookViewId="0">
      <selection activeCell="B1" sqref="B1:B1048576"/>
    </sheetView>
  </sheetViews>
  <sheetFormatPr defaultColWidth="9.140625" defaultRowHeight="12.75" x14ac:dyDescent="0.2"/>
  <cols>
    <col min="1" max="1" width="16.42578125" style="39" customWidth="1"/>
    <col min="2" max="2" width="29.85546875" style="39" customWidth="1"/>
    <col min="3" max="3" width="19" style="39" customWidth="1"/>
    <col min="4" max="5" width="19.140625" style="39" customWidth="1"/>
    <col min="6" max="6" width="22.85546875" style="39" bestFit="1" customWidth="1"/>
    <col min="7" max="7" width="22.5703125" style="39" bestFit="1" customWidth="1"/>
    <col min="8" max="8" width="14" style="39" bestFit="1" customWidth="1"/>
    <col min="9" max="9" width="12" style="39" bestFit="1" customWidth="1"/>
    <col min="10" max="16384" width="9.140625" style="39"/>
  </cols>
  <sheetData>
    <row r="1" spans="1:7" s="12" customFormat="1" ht="15.75" x14ac:dyDescent="0.2">
      <c r="A1" s="14" t="s">
        <v>9</v>
      </c>
      <c r="B1" s="19" t="s">
        <v>420</v>
      </c>
    </row>
    <row r="2" spans="1:7" s="12" customFormat="1" x14ac:dyDescent="0.2">
      <c r="A2" s="15"/>
    </row>
    <row r="3" spans="1:7" x14ac:dyDescent="0.2">
      <c r="A3" s="15"/>
      <c r="B3" s="18" t="str">
        <f ca="1">GetNameRange(B4)</f>
        <v>SecuritizedAssetCashFlows</v>
      </c>
      <c r="C3" s="12"/>
    </row>
    <row r="4" spans="1:7" x14ac:dyDescent="0.2">
      <c r="A4" s="15"/>
      <c r="B4" s="77" t="s">
        <v>392</v>
      </c>
      <c r="C4" s="74" t="s">
        <v>440</v>
      </c>
      <c r="D4" s="74" t="s">
        <v>440</v>
      </c>
      <c r="E4" s="74" t="s">
        <v>440</v>
      </c>
      <c r="F4" s="74" t="s">
        <v>440</v>
      </c>
      <c r="G4" s="73" t="s">
        <v>440</v>
      </c>
    </row>
    <row r="5" spans="1:7" x14ac:dyDescent="0.2">
      <c r="A5" s="15"/>
      <c r="B5" s="133" t="s">
        <v>421</v>
      </c>
      <c r="C5" s="124" t="s">
        <v>422</v>
      </c>
      <c r="D5" s="124" t="s">
        <v>423</v>
      </c>
      <c r="E5" s="53" t="s">
        <v>424</v>
      </c>
      <c r="F5" s="53" t="s">
        <v>425</v>
      </c>
      <c r="G5" s="54" t="s">
        <v>426</v>
      </c>
    </row>
    <row r="6" spans="1:7" x14ac:dyDescent="0.2">
      <c r="A6" s="15"/>
      <c r="B6" s="21" t="s">
        <v>238</v>
      </c>
      <c r="C6" s="32"/>
      <c r="D6" s="32"/>
      <c r="E6" s="32"/>
      <c r="F6" s="32"/>
      <c r="G6" s="29"/>
    </row>
    <row r="7" spans="1:7" x14ac:dyDescent="0.2">
      <c r="A7" s="195">
        <v>0</v>
      </c>
      <c r="B7" s="174">
        <v>1</v>
      </c>
      <c r="C7" s="40">
        <v>0</v>
      </c>
      <c r="D7" s="40">
        <v>0</v>
      </c>
      <c r="E7" s="40">
        <v>0</v>
      </c>
      <c r="F7" s="40">
        <v>0</v>
      </c>
      <c r="G7" s="82">
        <v>0</v>
      </c>
    </row>
    <row r="8" spans="1:7" x14ac:dyDescent="0.2">
      <c r="A8" s="196">
        <v>0</v>
      </c>
      <c r="B8" s="175">
        <v>2958101</v>
      </c>
      <c r="C8" s="197">
        <v>0</v>
      </c>
      <c r="D8" s="197">
        <v>0</v>
      </c>
      <c r="E8" s="197">
        <v>0</v>
      </c>
      <c r="F8" s="197">
        <v>0</v>
      </c>
      <c r="G8" s="198">
        <v>0</v>
      </c>
    </row>
    <row r="9" spans="1:7" x14ac:dyDescent="0.2">
      <c r="C9" s="43"/>
    </row>
    <row r="10" spans="1:7" x14ac:dyDescent="0.2">
      <c r="F10" s="43"/>
    </row>
  </sheetData>
  <conditionalFormatting sqref="C7:G8">
    <cfRule type="cellIs" dxfId="1752" priority="1" operator="notEqual">
      <formula>$A7</formula>
    </cfRule>
  </conditionalFormatting>
  <hyperlinks>
    <hyperlink ref="A1" location="'Table of Contents'!A1" display="Go to TOC" xr:uid="{00000000-0004-0000-0600-000000000000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C22"/>
  <sheetViews>
    <sheetView showGridLines="0" workbookViewId="0">
      <selection activeCell="B1" sqref="B1:B1048576"/>
    </sheetView>
  </sheetViews>
  <sheetFormatPr defaultRowHeight="12.75" x14ac:dyDescent="0.2"/>
  <cols>
    <col min="1" max="1" width="27.140625" customWidth="1"/>
    <col min="2" max="2" width="29.85546875" customWidth="1"/>
    <col min="3" max="3" width="29.42578125" customWidth="1"/>
    <col min="4" max="5" width="14" bestFit="1" customWidth="1"/>
    <col min="6" max="6" width="22.85546875" bestFit="1" customWidth="1"/>
    <col min="7" max="7" width="22.5703125" bestFit="1" customWidth="1"/>
    <col min="8" max="8" width="14" bestFit="1" customWidth="1"/>
    <col min="9" max="9" width="12" bestFit="1" customWidth="1"/>
  </cols>
  <sheetData>
    <row r="1" spans="1:3" s="12" customFormat="1" ht="15.75" x14ac:dyDescent="0.2">
      <c r="A1" s="14" t="s">
        <v>9</v>
      </c>
      <c r="B1" s="19" t="s">
        <v>371</v>
      </c>
    </row>
    <row r="2" spans="1:3" s="12" customFormat="1" x14ac:dyDescent="0.2">
      <c r="A2" s="15"/>
    </row>
    <row r="3" spans="1:3" x14ac:dyDescent="0.2">
      <c r="A3" s="15"/>
      <c r="B3" s="18" t="str">
        <f ca="1">GetNameRange(B4)</f>
        <v>BalanceSheet</v>
      </c>
      <c r="C3" s="12"/>
    </row>
    <row r="4" spans="1:3" x14ac:dyDescent="0.2">
      <c r="A4" s="75"/>
      <c r="B4" s="77" t="s">
        <v>10</v>
      </c>
      <c r="C4" s="73" t="s">
        <v>448</v>
      </c>
    </row>
    <row r="5" spans="1:3" x14ac:dyDescent="0.2">
      <c r="A5" s="76" t="s">
        <v>8</v>
      </c>
      <c r="B5" s="21" t="s">
        <v>0</v>
      </c>
      <c r="C5" s="29"/>
    </row>
    <row r="6" spans="1:3" x14ac:dyDescent="0.2">
      <c r="A6" s="22"/>
      <c r="B6" s="79"/>
      <c r="C6" s="80"/>
    </row>
    <row r="7" spans="1:3" x14ac:dyDescent="0.2">
      <c r="A7" s="22"/>
      <c r="B7" s="79" t="s">
        <v>372</v>
      </c>
      <c r="C7" s="80"/>
    </row>
    <row r="8" spans="1:3" x14ac:dyDescent="0.2">
      <c r="A8" s="37" t="s">
        <v>255</v>
      </c>
      <c r="B8" s="113" t="s">
        <v>373</v>
      </c>
      <c r="C8" s="33" t="s">
        <v>255</v>
      </c>
    </row>
    <row r="9" spans="1:3" x14ac:dyDescent="0.2">
      <c r="A9" s="37" t="s">
        <v>259</v>
      </c>
      <c r="B9" s="113" t="s">
        <v>374</v>
      </c>
      <c r="C9" s="33" t="s">
        <v>259</v>
      </c>
    </row>
    <row r="10" spans="1:3" x14ac:dyDescent="0.2">
      <c r="A10" s="37" t="s">
        <v>260</v>
      </c>
      <c r="B10" s="113" t="s">
        <v>375</v>
      </c>
      <c r="C10" s="33" t="s">
        <v>260</v>
      </c>
    </row>
    <row r="11" spans="1:3" x14ac:dyDescent="0.2">
      <c r="A11" s="37" t="s">
        <v>255</v>
      </c>
      <c r="B11" s="113" t="s">
        <v>376</v>
      </c>
      <c r="C11" s="33" t="s">
        <v>255</v>
      </c>
    </row>
    <row r="12" spans="1:3" x14ac:dyDescent="0.2">
      <c r="A12" s="37" t="s">
        <v>388</v>
      </c>
      <c r="B12" s="113" t="s">
        <v>377</v>
      </c>
      <c r="C12" s="33" t="s">
        <v>388</v>
      </c>
    </row>
    <row r="13" spans="1:3" x14ac:dyDescent="0.2">
      <c r="A13" s="37" t="s">
        <v>260</v>
      </c>
      <c r="B13" s="113" t="s">
        <v>378</v>
      </c>
      <c r="C13" s="33" t="s">
        <v>260</v>
      </c>
    </row>
    <row r="14" spans="1:3" x14ac:dyDescent="0.2">
      <c r="A14" s="37" t="s">
        <v>255</v>
      </c>
      <c r="B14" s="113" t="s">
        <v>379</v>
      </c>
      <c r="C14" s="33" t="s">
        <v>255</v>
      </c>
    </row>
    <row r="15" spans="1:3" x14ac:dyDescent="0.2">
      <c r="A15" s="37" t="s">
        <v>260</v>
      </c>
      <c r="B15" s="113" t="s">
        <v>380</v>
      </c>
      <c r="C15" s="33" t="s">
        <v>260</v>
      </c>
    </row>
    <row r="16" spans="1:3" x14ac:dyDescent="0.2">
      <c r="A16" s="37" t="s">
        <v>256</v>
      </c>
      <c r="B16" s="113" t="s">
        <v>381</v>
      </c>
      <c r="C16" s="33" t="s">
        <v>256</v>
      </c>
    </row>
    <row r="17" spans="1:3" x14ac:dyDescent="0.2">
      <c r="A17" s="37" t="s">
        <v>260</v>
      </c>
      <c r="B17" s="113" t="s">
        <v>382</v>
      </c>
      <c r="C17" s="33" t="s">
        <v>260</v>
      </c>
    </row>
    <row r="18" spans="1:3" x14ac:dyDescent="0.2">
      <c r="A18" s="37" t="s">
        <v>257</v>
      </c>
      <c r="B18" s="113" t="s">
        <v>383</v>
      </c>
      <c r="C18" s="33" t="s">
        <v>257</v>
      </c>
    </row>
    <row r="19" spans="1:3" x14ac:dyDescent="0.2">
      <c r="A19" s="37" t="s">
        <v>260</v>
      </c>
      <c r="B19" s="113" t="s">
        <v>384</v>
      </c>
      <c r="C19" s="33" t="s">
        <v>260</v>
      </c>
    </row>
    <row r="20" spans="1:3" x14ac:dyDescent="0.2">
      <c r="A20" s="37" t="s">
        <v>258</v>
      </c>
      <c r="B20" s="113" t="s">
        <v>385</v>
      </c>
      <c r="C20" s="33" t="s">
        <v>258</v>
      </c>
    </row>
    <row r="21" spans="1:3" x14ac:dyDescent="0.2">
      <c r="A21" s="37" t="s">
        <v>258</v>
      </c>
      <c r="B21" s="113" t="s">
        <v>386</v>
      </c>
      <c r="C21" s="33" t="s">
        <v>258</v>
      </c>
    </row>
    <row r="22" spans="1:3" x14ac:dyDescent="0.2">
      <c r="A22" s="37" t="s">
        <v>260</v>
      </c>
      <c r="B22" s="114" t="s">
        <v>387</v>
      </c>
      <c r="C22" s="35" t="s">
        <v>260</v>
      </c>
    </row>
  </sheetData>
  <conditionalFormatting sqref="C8:C22">
    <cfRule type="cellIs" dxfId="1751" priority="1" operator="notEqual">
      <formula>$A8</formula>
    </cfRule>
  </conditionalFormatting>
  <dataValidations count="7">
    <dataValidation type="list" allowBlank="1" showInputMessage="1" showErrorMessage="1" sqref="C8 C11 C14" xr:uid="{00000000-0002-0000-0700-000000000000}">
      <formula1>"Amortized Cost"</formula1>
    </dataValidation>
    <dataValidation type="list" allowBlank="1" showInputMessage="1" showErrorMessage="1" sqref="C9" xr:uid="{00000000-0002-0000-0700-000001000000}">
      <formula1>"To Maturity,To First Call,To First Par Call,To First Put,To First Par Put,To Yield to Worst"</formula1>
    </dataValidation>
    <dataValidation type="list" allowBlank="1" showInputMessage="1" showErrorMessage="1" sqref="C10 C13 C15" xr:uid="{00000000-0002-0000-0700-000002000000}">
      <formula1>"Cost Basis"</formula1>
    </dataValidation>
    <dataValidation type="list" allowBlank="1" showInputMessage="1" showErrorMessage="1" sqref="C12" xr:uid="{00000000-0002-0000-0700-000003000000}">
      <formula1>"To Next Rate Reset,To Maturity"</formula1>
    </dataValidation>
    <dataValidation type="list" allowBlank="1" showInputMessage="1" showErrorMessage="1" sqref="C16 C21" xr:uid="{00000000-0002-0000-0700-000004000000}">
      <formula1>"Straight-Line Amortization,Actual Cost,Market Value"</formula1>
    </dataValidation>
    <dataValidation type="list" allowBlank="1" showInputMessage="1" showErrorMessage="1" sqref="C17 C19:C20 C22" xr:uid="{00000000-0002-0000-0700-000005000000}">
      <formula1>"Cost Basis,Market Value,Lower of Cost and Market,Historic Lowest Cost,Historic Lowest Cost and Market"</formula1>
    </dataValidation>
    <dataValidation type="list" allowBlank="1" showInputMessage="1" showErrorMessage="1" sqref="C18" xr:uid="{00000000-0002-0000-0700-000006000000}">
      <formula1>"Straight-Line Depreciation,Actual Cost,Market Value"</formula1>
    </dataValidation>
  </dataValidations>
  <hyperlinks>
    <hyperlink ref="A1" location="'Table of Contents'!A1" display="Go to TOC" xr:uid="{00000000-0004-0000-0700-000000000000}"/>
  </hyperlinks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M32"/>
  <sheetViews>
    <sheetView showGridLines="0" zoomScale="80" zoomScaleNormal="80" workbookViewId="0">
      <selection activeCell="B1" sqref="B1:B1048576"/>
    </sheetView>
  </sheetViews>
  <sheetFormatPr defaultColWidth="15.5703125" defaultRowHeight="12.75" x14ac:dyDescent="0.2"/>
  <cols>
    <col min="1" max="1" width="17.42578125" style="24" customWidth="1"/>
    <col min="2" max="2" width="36.42578125" style="20" customWidth="1"/>
    <col min="3" max="3" width="16.42578125" style="20" customWidth="1"/>
    <col min="4" max="10" width="16.42578125" style="20" bestFit="1" customWidth="1"/>
    <col min="11" max="12" width="16.42578125" style="20" customWidth="1"/>
    <col min="13" max="13" width="16.42578125" style="20" bestFit="1" customWidth="1"/>
    <col min="14" max="16384" width="15.5703125" style="20"/>
  </cols>
  <sheetData>
    <row r="1" spans="1:13" ht="15.75" x14ac:dyDescent="0.2">
      <c r="A1" s="23" t="s">
        <v>9</v>
      </c>
      <c r="B1" s="19" t="s">
        <v>489</v>
      </c>
    </row>
    <row r="3" spans="1:13" x14ac:dyDescent="0.2">
      <c r="A3" s="15"/>
      <c r="B3" s="18" t="str">
        <f ca="1">GetNameRange(B4)</f>
        <v>AssetSubPorts</v>
      </c>
      <c r="C3" s="12"/>
    </row>
    <row r="4" spans="1:13" x14ac:dyDescent="0.2">
      <c r="A4" s="75"/>
      <c r="B4" s="77" t="s">
        <v>10</v>
      </c>
      <c r="C4" s="166" t="s">
        <v>448</v>
      </c>
    </row>
    <row r="5" spans="1:13" x14ac:dyDescent="0.2">
      <c r="A5" s="76" t="s">
        <v>8</v>
      </c>
      <c r="B5" s="21" t="s">
        <v>0</v>
      </c>
      <c r="C5" s="32"/>
    </row>
    <row r="6" spans="1:13" x14ac:dyDescent="0.2">
      <c r="A6" s="22"/>
      <c r="B6" s="79"/>
      <c r="C6" s="134"/>
    </row>
    <row r="7" spans="1:13" x14ac:dyDescent="0.2">
      <c r="A7" s="22"/>
      <c r="B7" s="79" t="s">
        <v>490</v>
      </c>
      <c r="C7" s="134"/>
    </row>
    <row r="8" spans="1:13" x14ac:dyDescent="0.2">
      <c r="A8" s="86" t="s">
        <v>6</v>
      </c>
      <c r="B8" s="113" t="s">
        <v>492</v>
      </c>
      <c r="C8" s="289" t="str">
        <f>C15&amp;","&amp;D15&amp;","&amp;E15&amp;","&amp;F15&amp;","&amp;G15&amp;","&amp;H15&amp;","&amp;I15&amp;","&amp;J15&amp;","&amp;K15&amp;","&amp;L15&amp;","&amp;M15</f>
        <v>PC_A,PC_AA,PC_AAA,PC_B,PC_BB,PC_BBB,PC_CCC,CML,RML,PrivCorp_A,PrivCorp_BBB</v>
      </c>
    </row>
    <row r="9" spans="1:13" x14ac:dyDescent="0.2">
      <c r="A9" s="86" t="s">
        <v>36</v>
      </c>
      <c r="B9" s="113" t="s">
        <v>493</v>
      </c>
      <c r="C9" s="31" t="s">
        <v>36</v>
      </c>
    </row>
    <row r="10" spans="1:13" x14ac:dyDescent="0.2">
      <c r="B10" s="78"/>
    </row>
    <row r="11" spans="1:13" x14ac:dyDescent="0.2">
      <c r="B11" s="79" t="s">
        <v>491</v>
      </c>
    </row>
    <row r="12" spans="1:13" x14ac:dyDescent="0.2">
      <c r="B12" s="117" t="s">
        <v>368</v>
      </c>
      <c r="C12" s="201" t="s">
        <v>368</v>
      </c>
    </row>
    <row r="14" spans="1:13" x14ac:dyDescent="0.2">
      <c r="A14" s="99" t="s">
        <v>9</v>
      </c>
      <c r="B14" s="18" t="str">
        <f ca="1">GetNameRange(B15)</f>
        <v>AssetSubPortDefn</v>
      </c>
    </row>
    <row r="15" spans="1:13" x14ac:dyDescent="0.2">
      <c r="A15" s="99" t="s">
        <v>367</v>
      </c>
      <c r="B15" s="125" t="s">
        <v>494</v>
      </c>
      <c r="C15" s="126" t="s">
        <v>616</v>
      </c>
      <c r="D15" s="126" t="s">
        <v>620</v>
      </c>
      <c r="E15" s="126" t="s">
        <v>619</v>
      </c>
      <c r="F15" s="126" t="s">
        <v>623</v>
      </c>
      <c r="G15" s="126" t="s">
        <v>622</v>
      </c>
      <c r="H15" s="126" t="s">
        <v>617</v>
      </c>
      <c r="I15" s="126" t="s">
        <v>673</v>
      </c>
      <c r="J15" s="126" t="s">
        <v>618</v>
      </c>
      <c r="K15" s="126" t="s">
        <v>624</v>
      </c>
      <c r="L15" s="126" t="s">
        <v>700</v>
      </c>
      <c r="M15" s="126" t="s">
        <v>701</v>
      </c>
    </row>
    <row r="16" spans="1:13" x14ac:dyDescent="0.2">
      <c r="A16" s="22"/>
      <c r="B16" s="127" t="s">
        <v>0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</row>
    <row r="17" spans="1:13" x14ac:dyDescent="0.2">
      <c r="A17" s="86" t="s">
        <v>46</v>
      </c>
      <c r="B17" s="128" t="s">
        <v>495</v>
      </c>
      <c r="C17" s="248" t="s">
        <v>46</v>
      </c>
      <c r="D17" s="248" t="s">
        <v>46</v>
      </c>
      <c r="E17" s="248" t="s">
        <v>46</v>
      </c>
      <c r="F17" s="248" t="s">
        <v>46</v>
      </c>
      <c r="G17" s="248" t="s">
        <v>46</v>
      </c>
      <c r="H17" s="248" t="s">
        <v>46</v>
      </c>
      <c r="I17" s="248" t="s">
        <v>46</v>
      </c>
      <c r="J17" s="248" t="s">
        <v>480</v>
      </c>
      <c r="K17" s="248" t="s">
        <v>480</v>
      </c>
      <c r="L17" s="248" t="s">
        <v>46</v>
      </c>
      <c r="M17" s="248" t="s">
        <v>46</v>
      </c>
    </row>
    <row r="18" spans="1:13" x14ac:dyDescent="0.2">
      <c r="A18" s="86" t="s">
        <v>48</v>
      </c>
      <c r="B18" s="128" t="s">
        <v>496</v>
      </c>
      <c r="C18" s="248" t="s">
        <v>48</v>
      </c>
      <c r="D18" s="248" t="s">
        <v>48</v>
      </c>
      <c r="E18" s="248" t="s">
        <v>48</v>
      </c>
      <c r="F18" s="248" t="s">
        <v>48</v>
      </c>
      <c r="G18" s="248" t="s">
        <v>48</v>
      </c>
      <c r="H18" s="248" t="s">
        <v>48</v>
      </c>
      <c r="I18" s="248" t="s">
        <v>48</v>
      </c>
      <c r="J18" s="248" t="s">
        <v>48</v>
      </c>
      <c r="K18" s="248" t="s">
        <v>48</v>
      </c>
      <c r="L18" s="248" t="s">
        <v>48</v>
      </c>
      <c r="M18" s="248" t="s">
        <v>48</v>
      </c>
    </row>
    <row r="19" spans="1:13" x14ac:dyDescent="0.2">
      <c r="A19" s="86" t="s">
        <v>49</v>
      </c>
      <c r="B19" s="128" t="s">
        <v>497</v>
      </c>
      <c r="C19" s="248" t="s">
        <v>456</v>
      </c>
      <c r="D19" s="248" t="s">
        <v>467</v>
      </c>
      <c r="E19" s="248" t="s">
        <v>468</v>
      </c>
      <c r="F19" s="248" t="s">
        <v>469</v>
      </c>
      <c r="G19" s="248" t="s">
        <v>621</v>
      </c>
      <c r="H19" s="248" t="s">
        <v>615</v>
      </c>
      <c r="I19" s="248" t="s">
        <v>674</v>
      </c>
      <c r="J19" s="248" t="s">
        <v>618</v>
      </c>
      <c r="K19" s="248" t="s">
        <v>624</v>
      </c>
      <c r="L19" s="248" t="s">
        <v>456</v>
      </c>
      <c r="M19" s="248" t="s">
        <v>615</v>
      </c>
    </row>
    <row r="20" spans="1:13" x14ac:dyDescent="0.2">
      <c r="A20" s="86" t="s">
        <v>50</v>
      </c>
      <c r="B20" s="128" t="s">
        <v>498</v>
      </c>
      <c r="C20" s="248" t="s">
        <v>50</v>
      </c>
      <c r="D20" s="248" t="s">
        <v>50</v>
      </c>
      <c r="E20" s="248" t="s">
        <v>50</v>
      </c>
      <c r="F20" s="248" t="s">
        <v>50</v>
      </c>
      <c r="G20" s="248" t="s">
        <v>50</v>
      </c>
      <c r="H20" s="248" t="s">
        <v>50</v>
      </c>
      <c r="I20" s="248" t="s">
        <v>50</v>
      </c>
      <c r="J20" s="248" t="s">
        <v>50</v>
      </c>
      <c r="K20" s="248" t="s">
        <v>50</v>
      </c>
      <c r="L20" s="248" t="s">
        <v>50</v>
      </c>
      <c r="M20" s="248" t="s">
        <v>50</v>
      </c>
    </row>
    <row r="21" spans="1:13" x14ac:dyDescent="0.2">
      <c r="A21" s="87">
        <v>0</v>
      </c>
      <c r="B21" s="128" t="s">
        <v>499</v>
      </c>
      <c r="C21" s="247">
        <v>0</v>
      </c>
      <c r="D21" s="247">
        <v>0</v>
      </c>
      <c r="E21" s="247">
        <v>0</v>
      </c>
      <c r="F21" s="247">
        <v>0</v>
      </c>
      <c r="G21" s="247">
        <v>0</v>
      </c>
      <c r="H21" s="247">
        <v>0</v>
      </c>
      <c r="I21" s="247">
        <v>0</v>
      </c>
      <c r="J21" s="247">
        <v>0</v>
      </c>
      <c r="K21" s="247">
        <v>0</v>
      </c>
      <c r="L21" s="247">
        <v>0</v>
      </c>
      <c r="M21" s="247">
        <v>0</v>
      </c>
    </row>
    <row r="22" spans="1:13" x14ac:dyDescent="0.2">
      <c r="A22" s="87">
        <v>999</v>
      </c>
      <c r="B22" s="128" t="s">
        <v>500</v>
      </c>
      <c r="C22" s="247">
        <v>999</v>
      </c>
      <c r="D22" s="247">
        <v>999</v>
      </c>
      <c r="E22" s="247">
        <v>999</v>
      </c>
      <c r="F22" s="247">
        <v>999</v>
      </c>
      <c r="G22" s="247">
        <v>999</v>
      </c>
      <c r="H22" s="247">
        <v>999</v>
      </c>
      <c r="I22" s="247">
        <v>999</v>
      </c>
      <c r="J22" s="247">
        <v>999</v>
      </c>
      <c r="K22" s="247">
        <v>999</v>
      </c>
      <c r="L22" s="247">
        <v>999</v>
      </c>
      <c r="M22" s="247">
        <v>999</v>
      </c>
    </row>
    <row r="23" spans="1:13" x14ac:dyDescent="0.2">
      <c r="A23" s="88">
        <v>0</v>
      </c>
      <c r="B23" s="128" t="s">
        <v>501</v>
      </c>
      <c r="C23" s="250">
        <v>0</v>
      </c>
      <c r="D23" s="250">
        <v>0</v>
      </c>
      <c r="E23" s="250">
        <v>0</v>
      </c>
      <c r="F23" s="250">
        <v>0</v>
      </c>
      <c r="G23" s="250">
        <v>0</v>
      </c>
      <c r="H23" s="250">
        <v>0</v>
      </c>
      <c r="I23" s="250">
        <v>0</v>
      </c>
      <c r="J23" s="250">
        <v>0</v>
      </c>
      <c r="K23" s="250">
        <v>0</v>
      </c>
      <c r="L23" s="250">
        <v>0</v>
      </c>
      <c r="M23" s="250">
        <v>0</v>
      </c>
    </row>
    <row r="24" spans="1:13" x14ac:dyDescent="0.2">
      <c r="A24" s="86" t="s">
        <v>41</v>
      </c>
      <c r="B24" s="128" t="s">
        <v>502</v>
      </c>
      <c r="C24" s="248" t="s">
        <v>5</v>
      </c>
      <c r="D24" s="248" t="s">
        <v>5</v>
      </c>
      <c r="E24" s="248" t="s">
        <v>5</v>
      </c>
      <c r="F24" s="248" t="s">
        <v>5</v>
      </c>
      <c r="G24" s="248" t="s">
        <v>5</v>
      </c>
      <c r="H24" s="248" t="s">
        <v>5</v>
      </c>
      <c r="I24" s="248" t="s">
        <v>5</v>
      </c>
      <c r="J24" s="248" t="s">
        <v>5</v>
      </c>
      <c r="K24" s="248" t="s">
        <v>5</v>
      </c>
      <c r="L24" s="248" t="s">
        <v>5</v>
      </c>
      <c r="M24" s="248" t="s">
        <v>5</v>
      </c>
    </row>
    <row r="25" spans="1:13" x14ac:dyDescent="0.2">
      <c r="A25" s="86">
        <v>0</v>
      </c>
      <c r="B25" s="128" t="s">
        <v>503</v>
      </c>
      <c r="C25" s="248">
        <v>1</v>
      </c>
      <c r="D25" s="248">
        <v>1</v>
      </c>
      <c r="E25" s="248">
        <v>1</v>
      </c>
      <c r="F25" s="248">
        <v>1</v>
      </c>
      <c r="G25" s="248">
        <v>1</v>
      </c>
      <c r="H25" s="248">
        <v>1</v>
      </c>
      <c r="I25" s="248">
        <v>1</v>
      </c>
      <c r="J25" s="248">
        <v>1</v>
      </c>
      <c r="K25" s="248">
        <v>1</v>
      </c>
      <c r="L25" s="248">
        <v>1</v>
      </c>
      <c r="M25" s="248">
        <v>1</v>
      </c>
    </row>
    <row r="26" spans="1:13" x14ac:dyDescent="0.2">
      <c r="A26" s="89">
        <v>1</v>
      </c>
      <c r="B26" s="128" t="s">
        <v>504</v>
      </c>
      <c r="C26" s="251">
        <v>1</v>
      </c>
      <c r="D26" s="251">
        <v>1</v>
      </c>
      <c r="E26" s="251">
        <v>1</v>
      </c>
      <c r="F26" s="251">
        <v>1</v>
      </c>
      <c r="G26" s="251">
        <v>1</v>
      </c>
      <c r="H26" s="251">
        <v>1</v>
      </c>
      <c r="I26" s="251">
        <v>1</v>
      </c>
      <c r="J26" s="251">
        <v>1</v>
      </c>
      <c r="K26" s="251">
        <v>1</v>
      </c>
      <c r="L26" s="251">
        <v>1</v>
      </c>
      <c r="M26" s="251">
        <v>1</v>
      </c>
    </row>
    <row r="27" spans="1:13" x14ac:dyDescent="0.2">
      <c r="A27" s="89">
        <v>1</v>
      </c>
      <c r="B27" s="128" t="s">
        <v>505</v>
      </c>
      <c r="C27" s="251">
        <v>1</v>
      </c>
      <c r="D27" s="251">
        <v>1</v>
      </c>
      <c r="E27" s="251">
        <v>1</v>
      </c>
      <c r="F27" s="251">
        <v>1</v>
      </c>
      <c r="G27" s="251">
        <v>1</v>
      </c>
      <c r="H27" s="251">
        <v>1</v>
      </c>
      <c r="I27" s="251">
        <v>1</v>
      </c>
      <c r="J27" s="251">
        <v>1</v>
      </c>
      <c r="K27" s="251">
        <v>1</v>
      </c>
      <c r="L27" s="251">
        <v>1</v>
      </c>
      <c r="M27" s="251">
        <v>1</v>
      </c>
    </row>
    <row r="28" spans="1:13" x14ac:dyDescent="0.2">
      <c r="A28" s="89">
        <v>0</v>
      </c>
      <c r="B28" s="128" t="s">
        <v>506</v>
      </c>
      <c r="C28" s="251">
        <v>0</v>
      </c>
      <c r="D28" s="251">
        <v>0</v>
      </c>
      <c r="E28" s="251">
        <v>0</v>
      </c>
      <c r="F28" s="251">
        <v>0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0</v>
      </c>
      <c r="M28" s="251">
        <v>0</v>
      </c>
    </row>
    <row r="29" spans="1:13" x14ac:dyDescent="0.2">
      <c r="A29" s="89">
        <v>0</v>
      </c>
      <c r="B29" s="128" t="s">
        <v>507</v>
      </c>
      <c r="C29" s="296">
        <v>3.7000000000000002E-3</v>
      </c>
      <c r="D29" s="296">
        <v>3.7000000000000002E-3</v>
      </c>
      <c r="E29" s="296">
        <v>3.7000000000000002E-3</v>
      </c>
      <c r="F29" s="296">
        <v>3.7000000000000002E-3</v>
      </c>
      <c r="G29" s="296">
        <v>3.7000000000000002E-3</v>
      </c>
      <c r="H29" s="296">
        <v>3.7000000000000002E-3</v>
      </c>
      <c r="I29" s="296">
        <v>3.7000000000000002E-3</v>
      </c>
      <c r="J29" s="296">
        <v>3.7000000000000002E-3</v>
      </c>
      <c r="K29" s="296">
        <v>3.7000000000000002E-3</v>
      </c>
      <c r="L29" s="296">
        <v>3.7000000000000002E-3</v>
      </c>
      <c r="M29" s="296">
        <v>3.7000000000000002E-3</v>
      </c>
    </row>
    <row r="30" spans="1:13" x14ac:dyDescent="0.2">
      <c r="A30" s="86" t="s">
        <v>52</v>
      </c>
      <c r="B30" s="129" t="s">
        <v>508</v>
      </c>
      <c r="C30" s="248" t="s">
        <v>52</v>
      </c>
      <c r="D30" s="248" t="s">
        <v>52</v>
      </c>
      <c r="E30" s="248" t="s">
        <v>52</v>
      </c>
      <c r="F30" s="248" t="s">
        <v>52</v>
      </c>
      <c r="G30" s="248" t="s">
        <v>52</v>
      </c>
      <c r="H30" s="248" t="s">
        <v>52</v>
      </c>
      <c r="I30" s="248" t="s">
        <v>52</v>
      </c>
      <c r="J30" s="248" t="s">
        <v>52</v>
      </c>
      <c r="K30" s="248" t="s">
        <v>52</v>
      </c>
      <c r="L30" s="248" t="s">
        <v>52</v>
      </c>
      <c r="M30" s="248" t="s">
        <v>52</v>
      </c>
    </row>
    <row r="31" spans="1:13" x14ac:dyDescent="0.2">
      <c r="A31" s="86" t="s">
        <v>51</v>
      </c>
      <c r="B31" s="130" t="s">
        <v>509</v>
      </c>
      <c r="C31" s="249" t="s">
        <v>51</v>
      </c>
      <c r="D31" s="249" t="s">
        <v>51</v>
      </c>
      <c r="E31" s="249" t="s">
        <v>51</v>
      </c>
      <c r="F31" s="249" t="s">
        <v>51</v>
      </c>
      <c r="G31" s="249" t="s">
        <v>51</v>
      </c>
      <c r="H31" s="249" t="s">
        <v>51</v>
      </c>
      <c r="I31" s="249" t="s">
        <v>51</v>
      </c>
      <c r="J31" s="249" t="s">
        <v>51</v>
      </c>
      <c r="K31" s="249" t="s">
        <v>51</v>
      </c>
      <c r="L31" s="249" t="s">
        <v>51</v>
      </c>
      <c r="M31" s="249" t="s">
        <v>51</v>
      </c>
    </row>
    <row r="32" spans="1:13" x14ac:dyDescent="0.2">
      <c r="B32" s="25"/>
    </row>
  </sheetData>
  <conditionalFormatting sqref="C21:C29 C17:C18 C24:J24 C29:M29">
    <cfRule type="cellIs" dxfId="1750" priority="501" operator="notEqual">
      <formula>$A17</formula>
    </cfRule>
    <cfRule type="cellIs" dxfId="1749" priority="502" operator="equal">
      <formula>"""&lt;&gt;$A6"""</formula>
    </cfRule>
    <cfRule type="cellIs" dxfId="1748" priority="503" operator="equal">
      <formula>"&lt;&gt;$A6"</formula>
    </cfRule>
    <cfRule type="cellIs" dxfId="1747" priority="504" operator="equal">
      <formula>$A17</formula>
    </cfRule>
    <cfRule type="cellIs" dxfId="1746" priority="505" operator="equal">
      <formula>$A17</formula>
    </cfRule>
  </conditionalFormatting>
  <conditionalFormatting sqref="C30:C31">
    <cfRule type="cellIs" dxfId="1745" priority="496" operator="notEqual">
      <formula>$A30</formula>
    </cfRule>
    <cfRule type="cellIs" dxfId="1744" priority="497" operator="equal">
      <formula>"""&lt;&gt;$A6"""</formula>
    </cfRule>
    <cfRule type="cellIs" dxfId="1743" priority="498" operator="equal">
      <formula>"&lt;&gt;$A6"</formula>
    </cfRule>
    <cfRule type="cellIs" dxfId="1742" priority="499" operator="equal">
      <formula>$A30</formula>
    </cfRule>
    <cfRule type="cellIs" dxfId="1741" priority="500" operator="equal">
      <formula>$A30</formula>
    </cfRule>
  </conditionalFormatting>
  <conditionalFormatting sqref="C9">
    <cfRule type="cellIs" dxfId="1740" priority="341" operator="notEqual">
      <formula>$A9</formula>
    </cfRule>
    <cfRule type="cellIs" dxfId="1739" priority="342" operator="equal">
      <formula>"""&lt;&gt;$A6"""</formula>
    </cfRule>
    <cfRule type="cellIs" dxfId="1738" priority="343" operator="equal">
      <formula>"&lt;&gt;$A6"</formula>
    </cfRule>
    <cfRule type="cellIs" dxfId="1737" priority="344" operator="equal">
      <formula>$A9</formula>
    </cfRule>
    <cfRule type="cellIs" dxfId="1736" priority="345" operator="equal">
      <formula>$A9</formula>
    </cfRule>
  </conditionalFormatting>
  <conditionalFormatting sqref="C8">
    <cfRule type="cellIs" dxfId="1735" priority="336" operator="notEqual">
      <formula>$A8</formula>
    </cfRule>
    <cfRule type="cellIs" dxfId="1734" priority="337" operator="equal">
      <formula>"""&lt;&gt;$A6"""</formula>
    </cfRule>
    <cfRule type="cellIs" dxfId="1733" priority="338" operator="equal">
      <formula>"&lt;&gt;$A6"</formula>
    </cfRule>
    <cfRule type="cellIs" dxfId="1732" priority="339" operator="equal">
      <formula>$A8</formula>
    </cfRule>
    <cfRule type="cellIs" dxfId="1731" priority="340" operator="equal">
      <formula>$A8</formula>
    </cfRule>
  </conditionalFormatting>
  <conditionalFormatting sqref="C20">
    <cfRule type="cellIs" dxfId="1730" priority="331" operator="notEqual">
      <formula>$A20</formula>
    </cfRule>
    <cfRule type="cellIs" dxfId="1729" priority="332" operator="equal">
      <formula>"""&lt;&gt;$A6"""</formula>
    </cfRule>
    <cfRule type="cellIs" dxfId="1728" priority="333" operator="equal">
      <formula>"&lt;&gt;$A6"</formula>
    </cfRule>
    <cfRule type="cellIs" dxfId="1727" priority="334" operator="equal">
      <formula>$A20</formula>
    </cfRule>
    <cfRule type="cellIs" dxfId="1726" priority="335" operator="equal">
      <formula>$A20</formula>
    </cfRule>
  </conditionalFormatting>
  <conditionalFormatting sqref="D17:D18 D20">
    <cfRule type="cellIs" dxfId="1725" priority="316" operator="notEqual">
      <formula>$A17</formula>
    </cfRule>
    <cfRule type="cellIs" dxfId="1724" priority="317" operator="equal">
      <formula>"""&lt;&gt;$A6"""</formula>
    </cfRule>
    <cfRule type="cellIs" dxfId="1723" priority="318" operator="equal">
      <formula>"&lt;&gt;$A6"</formula>
    </cfRule>
    <cfRule type="cellIs" dxfId="1722" priority="319" operator="equal">
      <formula>$A17</formula>
    </cfRule>
    <cfRule type="cellIs" dxfId="1721" priority="320" operator="equal">
      <formula>$A17</formula>
    </cfRule>
  </conditionalFormatting>
  <conditionalFormatting sqref="D21:D29">
    <cfRule type="cellIs" dxfId="1720" priority="311" operator="notEqual">
      <formula>$A21</formula>
    </cfRule>
    <cfRule type="cellIs" dxfId="1719" priority="312" operator="equal">
      <formula>"""&lt;&gt;$A6"""</formula>
    </cfRule>
    <cfRule type="cellIs" dxfId="1718" priority="313" operator="equal">
      <formula>"&lt;&gt;$A6"</formula>
    </cfRule>
    <cfRule type="cellIs" dxfId="1717" priority="314" operator="equal">
      <formula>$A21</formula>
    </cfRule>
    <cfRule type="cellIs" dxfId="1716" priority="315" operator="equal">
      <formula>$A21</formula>
    </cfRule>
  </conditionalFormatting>
  <conditionalFormatting sqref="D30:D31">
    <cfRule type="cellIs" dxfId="1715" priority="306" operator="notEqual">
      <formula>$A30</formula>
    </cfRule>
    <cfRule type="cellIs" dxfId="1714" priority="307" operator="equal">
      <formula>"""&lt;&gt;$A6"""</formula>
    </cfRule>
    <cfRule type="cellIs" dxfId="1713" priority="308" operator="equal">
      <formula>"&lt;&gt;$A6"</formula>
    </cfRule>
    <cfRule type="cellIs" dxfId="1712" priority="309" operator="equal">
      <formula>$A30</formula>
    </cfRule>
    <cfRule type="cellIs" dxfId="1711" priority="310" operator="equal">
      <formula>$A30</formula>
    </cfRule>
  </conditionalFormatting>
  <conditionalFormatting sqref="E17:E18 E20">
    <cfRule type="cellIs" dxfId="1710" priority="301" operator="notEqual">
      <formula>$A17</formula>
    </cfRule>
    <cfRule type="cellIs" dxfId="1709" priority="302" operator="equal">
      <formula>"""&lt;&gt;$A6"""</formula>
    </cfRule>
    <cfRule type="cellIs" dxfId="1708" priority="303" operator="equal">
      <formula>"&lt;&gt;$A6"</formula>
    </cfRule>
    <cfRule type="cellIs" dxfId="1707" priority="304" operator="equal">
      <formula>$A17</formula>
    </cfRule>
    <cfRule type="cellIs" dxfId="1706" priority="305" operator="equal">
      <formula>$A17</formula>
    </cfRule>
  </conditionalFormatting>
  <conditionalFormatting sqref="E21:E29">
    <cfRule type="cellIs" dxfId="1705" priority="296" operator="notEqual">
      <formula>$A21</formula>
    </cfRule>
    <cfRule type="cellIs" dxfId="1704" priority="297" operator="equal">
      <formula>"""&lt;&gt;$A6"""</formula>
    </cfRule>
    <cfRule type="cellIs" dxfId="1703" priority="298" operator="equal">
      <formula>"&lt;&gt;$A6"</formula>
    </cfRule>
    <cfRule type="cellIs" dxfId="1702" priority="299" operator="equal">
      <formula>$A21</formula>
    </cfRule>
    <cfRule type="cellIs" dxfId="1701" priority="300" operator="equal">
      <formula>$A21</formula>
    </cfRule>
  </conditionalFormatting>
  <conditionalFormatting sqref="E30:E31">
    <cfRule type="cellIs" dxfId="1700" priority="291" operator="notEqual">
      <formula>$A30</formula>
    </cfRule>
    <cfRule type="cellIs" dxfId="1699" priority="292" operator="equal">
      <formula>"""&lt;&gt;$A6"""</formula>
    </cfRule>
    <cfRule type="cellIs" dxfId="1698" priority="293" operator="equal">
      <formula>"&lt;&gt;$A6"</formula>
    </cfRule>
    <cfRule type="cellIs" dxfId="1697" priority="294" operator="equal">
      <formula>$A30</formula>
    </cfRule>
    <cfRule type="cellIs" dxfId="1696" priority="295" operator="equal">
      <formula>$A30</formula>
    </cfRule>
  </conditionalFormatting>
  <conditionalFormatting sqref="F17:F18 F20">
    <cfRule type="cellIs" dxfId="1695" priority="286" operator="notEqual">
      <formula>$A17</formula>
    </cfRule>
    <cfRule type="cellIs" dxfId="1694" priority="287" operator="equal">
      <formula>"""&lt;&gt;$A6"""</formula>
    </cfRule>
    <cfRule type="cellIs" dxfId="1693" priority="288" operator="equal">
      <formula>"&lt;&gt;$A6"</formula>
    </cfRule>
    <cfRule type="cellIs" dxfId="1692" priority="289" operator="equal">
      <formula>$A17</formula>
    </cfRule>
    <cfRule type="cellIs" dxfId="1691" priority="290" operator="equal">
      <formula>$A17</formula>
    </cfRule>
  </conditionalFormatting>
  <conditionalFormatting sqref="F21:F29">
    <cfRule type="cellIs" dxfId="1690" priority="281" operator="notEqual">
      <formula>$A21</formula>
    </cfRule>
    <cfRule type="cellIs" dxfId="1689" priority="282" operator="equal">
      <formula>"""&lt;&gt;$A6"""</formula>
    </cfRule>
    <cfRule type="cellIs" dxfId="1688" priority="283" operator="equal">
      <formula>"&lt;&gt;$A6"</formula>
    </cfRule>
    <cfRule type="cellIs" dxfId="1687" priority="284" operator="equal">
      <formula>$A21</formula>
    </cfRule>
    <cfRule type="cellIs" dxfId="1686" priority="285" operator="equal">
      <formula>$A21</formula>
    </cfRule>
  </conditionalFormatting>
  <conditionalFormatting sqref="F30:F31">
    <cfRule type="cellIs" dxfId="1685" priority="276" operator="notEqual">
      <formula>$A30</formula>
    </cfRule>
    <cfRule type="cellIs" dxfId="1684" priority="277" operator="equal">
      <formula>"""&lt;&gt;$A6"""</formula>
    </cfRule>
    <cfRule type="cellIs" dxfId="1683" priority="278" operator="equal">
      <formula>"&lt;&gt;$A6"</formula>
    </cfRule>
    <cfRule type="cellIs" dxfId="1682" priority="279" operator="equal">
      <formula>$A30</formula>
    </cfRule>
    <cfRule type="cellIs" dxfId="1681" priority="280" operator="equal">
      <formula>$A30</formula>
    </cfRule>
  </conditionalFormatting>
  <conditionalFormatting sqref="G17:G18 G20">
    <cfRule type="cellIs" dxfId="1680" priority="271" operator="notEqual">
      <formula>$A17</formula>
    </cfRule>
    <cfRule type="cellIs" dxfId="1679" priority="272" operator="equal">
      <formula>"""&lt;&gt;$A6"""</formula>
    </cfRule>
    <cfRule type="cellIs" dxfId="1678" priority="273" operator="equal">
      <formula>"&lt;&gt;$A6"</formula>
    </cfRule>
    <cfRule type="cellIs" dxfId="1677" priority="274" operator="equal">
      <formula>$A17</formula>
    </cfRule>
    <cfRule type="cellIs" dxfId="1676" priority="275" operator="equal">
      <formula>$A17</formula>
    </cfRule>
  </conditionalFormatting>
  <conditionalFormatting sqref="G21:G29">
    <cfRule type="cellIs" dxfId="1675" priority="266" operator="notEqual">
      <formula>$A21</formula>
    </cfRule>
    <cfRule type="cellIs" dxfId="1674" priority="267" operator="equal">
      <formula>"""&lt;&gt;$A6"""</formula>
    </cfRule>
    <cfRule type="cellIs" dxfId="1673" priority="268" operator="equal">
      <formula>"&lt;&gt;$A6"</formula>
    </cfRule>
    <cfRule type="cellIs" dxfId="1672" priority="269" operator="equal">
      <formula>$A21</formula>
    </cfRule>
    <cfRule type="cellIs" dxfId="1671" priority="270" operator="equal">
      <formula>$A21</formula>
    </cfRule>
  </conditionalFormatting>
  <conditionalFormatting sqref="G30:G31">
    <cfRule type="cellIs" dxfId="1670" priority="261" operator="notEqual">
      <formula>$A30</formula>
    </cfRule>
    <cfRule type="cellIs" dxfId="1669" priority="262" operator="equal">
      <formula>"""&lt;&gt;$A6"""</formula>
    </cfRule>
    <cfRule type="cellIs" dxfId="1668" priority="263" operator="equal">
      <formula>"&lt;&gt;$A6"</formula>
    </cfRule>
    <cfRule type="cellIs" dxfId="1667" priority="264" operator="equal">
      <formula>$A30</formula>
    </cfRule>
    <cfRule type="cellIs" dxfId="1666" priority="265" operator="equal">
      <formula>$A30</formula>
    </cfRule>
  </conditionalFormatting>
  <conditionalFormatting sqref="J17:J18 J20">
    <cfRule type="cellIs" dxfId="1665" priority="256" operator="notEqual">
      <formula>$A17</formula>
    </cfRule>
    <cfRule type="cellIs" dxfId="1664" priority="257" operator="equal">
      <formula>"""&lt;&gt;$A6"""</formula>
    </cfRule>
    <cfRule type="cellIs" dxfId="1663" priority="258" operator="equal">
      <formula>"&lt;&gt;$A6"</formula>
    </cfRule>
    <cfRule type="cellIs" dxfId="1662" priority="259" operator="equal">
      <formula>$A17</formula>
    </cfRule>
    <cfRule type="cellIs" dxfId="1661" priority="260" operator="equal">
      <formula>$A17</formula>
    </cfRule>
  </conditionalFormatting>
  <conditionalFormatting sqref="J21:J29">
    <cfRule type="cellIs" dxfId="1660" priority="251" operator="notEqual">
      <formula>$A21</formula>
    </cfRule>
    <cfRule type="cellIs" dxfId="1659" priority="252" operator="equal">
      <formula>"""&lt;&gt;$A6"""</formula>
    </cfRule>
    <cfRule type="cellIs" dxfId="1658" priority="253" operator="equal">
      <formula>"&lt;&gt;$A6"</formula>
    </cfRule>
    <cfRule type="cellIs" dxfId="1657" priority="254" operator="equal">
      <formula>$A21</formula>
    </cfRule>
    <cfRule type="cellIs" dxfId="1656" priority="255" operator="equal">
      <formula>$A21</formula>
    </cfRule>
  </conditionalFormatting>
  <conditionalFormatting sqref="J30:J31">
    <cfRule type="cellIs" dxfId="1655" priority="246" operator="notEqual">
      <formula>$A30</formula>
    </cfRule>
    <cfRule type="cellIs" dxfId="1654" priority="247" operator="equal">
      <formula>"""&lt;&gt;$A6"""</formula>
    </cfRule>
    <cfRule type="cellIs" dxfId="1653" priority="248" operator="equal">
      <formula>"&lt;&gt;$A6"</formula>
    </cfRule>
    <cfRule type="cellIs" dxfId="1652" priority="249" operator="equal">
      <formula>$A30</formula>
    </cfRule>
    <cfRule type="cellIs" dxfId="1651" priority="250" operator="equal">
      <formula>$A30</formula>
    </cfRule>
  </conditionalFormatting>
  <conditionalFormatting sqref="I17:I18 I20">
    <cfRule type="cellIs" dxfId="1650" priority="241" operator="notEqual">
      <formula>$A17</formula>
    </cfRule>
    <cfRule type="cellIs" dxfId="1649" priority="242" operator="equal">
      <formula>"""&lt;&gt;$A6"""</formula>
    </cfRule>
    <cfRule type="cellIs" dxfId="1648" priority="243" operator="equal">
      <formula>"&lt;&gt;$A6"</formula>
    </cfRule>
    <cfRule type="cellIs" dxfId="1647" priority="244" operator="equal">
      <formula>$A17</formula>
    </cfRule>
    <cfRule type="cellIs" dxfId="1646" priority="245" operator="equal">
      <formula>$A17</formula>
    </cfRule>
  </conditionalFormatting>
  <conditionalFormatting sqref="I21:I29">
    <cfRule type="cellIs" dxfId="1645" priority="236" operator="notEqual">
      <formula>$A21</formula>
    </cfRule>
    <cfRule type="cellIs" dxfId="1644" priority="237" operator="equal">
      <formula>"""&lt;&gt;$A6"""</formula>
    </cfRule>
    <cfRule type="cellIs" dxfId="1643" priority="238" operator="equal">
      <formula>"&lt;&gt;$A6"</formula>
    </cfRule>
    <cfRule type="cellIs" dxfId="1642" priority="239" operator="equal">
      <formula>$A21</formula>
    </cfRule>
    <cfRule type="cellIs" dxfId="1641" priority="240" operator="equal">
      <formula>$A21</formula>
    </cfRule>
  </conditionalFormatting>
  <conditionalFormatting sqref="I30:I31">
    <cfRule type="cellIs" dxfId="1640" priority="231" operator="notEqual">
      <formula>$A30</formula>
    </cfRule>
    <cfRule type="cellIs" dxfId="1639" priority="232" operator="equal">
      <formula>"""&lt;&gt;$A6"""</formula>
    </cfRule>
    <cfRule type="cellIs" dxfId="1638" priority="233" operator="equal">
      <formula>"&lt;&gt;$A6"</formula>
    </cfRule>
    <cfRule type="cellIs" dxfId="1637" priority="234" operator="equal">
      <formula>$A30</formula>
    </cfRule>
    <cfRule type="cellIs" dxfId="1636" priority="235" operator="equal">
      <formula>$A30</formula>
    </cfRule>
  </conditionalFormatting>
  <conditionalFormatting sqref="H17:H18 H20">
    <cfRule type="cellIs" dxfId="1635" priority="226" operator="notEqual">
      <formula>$A17</formula>
    </cfRule>
    <cfRule type="cellIs" dxfId="1634" priority="227" operator="equal">
      <formula>"""&lt;&gt;$A6"""</formula>
    </cfRule>
    <cfRule type="cellIs" dxfId="1633" priority="228" operator="equal">
      <formula>"&lt;&gt;$A6"</formula>
    </cfRule>
    <cfRule type="cellIs" dxfId="1632" priority="229" operator="equal">
      <formula>$A17</formula>
    </cfRule>
    <cfRule type="cellIs" dxfId="1631" priority="230" operator="equal">
      <formula>$A17</formula>
    </cfRule>
  </conditionalFormatting>
  <conditionalFormatting sqref="H21:H29">
    <cfRule type="cellIs" dxfId="1630" priority="221" operator="notEqual">
      <formula>$A21</formula>
    </cfRule>
    <cfRule type="cellIs" dxfId="1629" priority="222" operator="equal">
      <formula>"""&lt;&gt;$A6"""</formula>
    </cfRule>
    <cfRule type="cellIs" dxfId="1628" priority="223" operator="equal">
      <formula>"&lt;&gt;$A6"</formula>
    </cfRule>
    <cfRule type="cellIs" dxfId="1627" priority="224" operator="equal">
      <formula>$A21</formula>
    </cfRule>
    <cfRule type="cellIs" dxfId="1626" priority="225" operator="equal">
      <formula>$A21</formula>
    </cfRule>
  </conditionalFormatting>
  <conditionalFormatting sqref="H30:H31">
    <cfRule type="cellIs" dxfId="1625" priority="216" operator="notEqual">
      <formula>$A30</formula>
    </cfRule>
    <cfRule type="cellIs" dxfId="1624" priority="217" operator="equal">
      <formula>"""&lt;&gt;$A6"""</formula>
    </cfRule>
    <cfRule type="cellIs" dxfId="1623" priority="218" operator="equal">
      <formula>"&lt;&gt;$A6"</formula>
    </cfRule>
    <cfRule type="cellIs" dxfId="1622" priority="219" operator="equal">
      <formula>$A30</formula>
    </cfRule>
    <cfRule type="cellIs" dxfId="1621" priority="220" operator="equal">
      <formula>$A30</formula>
    </cfRule>
  </conditionalFormatting>
  <conditionalFormatting sqref="H19">
    <cfRule type="cellIs" dxfId="1620" priority="96" operator="notEqual">
      <formula>$A19</formula>
    </cfRule>
    <cfRule type="cellIs" dxfId="1619" priority="97" operator="equal">
      <formula>"""&lt;&gt;$A6"""</formula>
    </cfRule>
    <cfRule type="cellIs" dxfId="1618" priority="98" operator="equal">
      <formula>"&lt;&gt;$A6"</formula>
    </cfRule>
    <cfRule type="cellIs" dxfId="1617" priority="99" operator="equal">
      <formula>$A19</formula>
    </cfRule>
    <cfRule type="cellIs" dxfId="1616" priority="100" operator="equal">
      <formula>$A19</formula>
    </cfRule>
  </conditionalFormatting>
  <conditionalFormatting sqref="J19">
    <cfRule type="cellIs" dxfId="1615" priority="106" operator="notEqual">
      <formula>$A19</formula>
    </cfRule>
    <cfRule type="cellIs" dxfId="1614" priority="107" operator="equal">
      <formula>"""&lt;&gt;$A6"""</formula>
    </cfRule>
    <cfRule type="cellIs" dxfId="1613" priority="108" operator="equal">
      <formula>"&lt;&gt;$A6"</formula>
    </cfRule>
    <cfRule type="cellIs" dxfId="1612" priority="109" operator="equal">
      <formula>$A19</formula>
    </cfRule>
    <cfRule type="cellIs" dxfId="1611" priority="110" operator="equal">
      <formula>$A19</formula>
    </cfRule>
  </conditionalFormatting>
  <conditionalFormatting sqref="I19">
    <cfRule type="cellIs" dxfId="1610" priority="101" operator="notEqual">
      <formula>$A19</formula>
    </cfRule>
    <cfRule type="cellIs" dxfId="1609" priority="102" operator="equal">
      <formula>"""&lt;&gt;$A6"""</formula>
    </cfRule>
    <cfRule type="cellIs" dxfId="1608" priority="103" operator="equal">
      <formula>"&lt;&gt;$A6"</formula>
    </cfRule>
    <cfRule type="cellIs" dxfId="1607" priority="104" operator="equal">
      <formula>$A19</formula>
    </cfRule>
    <cfRule type="cellIs" dxfId="1606" priority="105" operator="equal">
      <formula>$A19</formula>
    </cfRule>
  </conditionalFormatting>
  <conditionalFormatting sqref="C19">
    <cfRule type="cellIs" dxfId="1605" priority="136" operator="notEqual">
      <formula>$A19</formula>
    </cfRule>
    <cfRule type="cellIs" dxfId="1604" priority="137" operator="equal">
      <formula>"""&lt;&gt;$A6"""</formula>
    </cfRule>
    <cfRule type="cellIs" dxfId="1603" priority="138" operator="equal">
      <formula>"&lt;&gt;$A6"</formula>
    </cfRule>
    <cfRule type="cellIs" dxfId="1602" priority="139" operator="equal">
      <formula>$A19</formula>
    </cfRule>
    <cfRule type="cellIs" dxfId="1601" priority="140" operator="equal">
      <formula>$A19</formula>
    </cfRule>
  </conditionalFormatting>
  <conditionalFormatting sqref="D19">
    <cfRule type="cellIs" dxfId="1600" priority="126" operator="notEqual">
      <formula>$A19</formula>
    </cfRule>
    <cfRule type="cellIs" dxfId="1599" priority="127" operator="equal">
      <formula>"""&lt;&gt;$A6"""</formula>
    </cfRule>
    <cfRule type="cellIs" dxfId="1598" priority="128" operator="equal">
      <formula>"&lt;&gt;$A6"</formula>
    </cfRule>
    <cfRule type="cellIs" dxfId="1597" priority="129" operator="equal">
      <formula>$A19</formula>
    </cfRule>
    <cfRule type="cellIs" dxfId="1596" priority="130" operator="equal">
      <formula>$A19</formula>
    </cfRule>
  </conditionalFormatting>
  <conditionalFormatting sqref="E19">
    <cfRule type="cellIs" dxfId="1595" priority="121" operator="notEqual">
      <formula>$A19</formula>
    </cfRule>
    <cfRule type="cellIs" dxfId="1594" priority="122" operator="equal">
      <formula>"""&lt;&gt;$A6"""</formula>
    </cfRule>
    <cfRule type="cellIs" dxfId="1593" priority="123" operator="equal">
      <formula>"&lt;&gt;$A6"</formula>
    </cfRule>
    <cfRule type="cellIs" dxfId="1592" priority="124" operator="equal">
      <formula>$A19</formula>
    </cfRule>
    <cfRule type="cellIs" dxfId="1591" priority="125" operator="equal">
      <formula>$A19</formula>
    </cfRule>
  </conditionalFormatting>
  <conditionalFormatting sqref="F19">
    <cfRule type="cellIs" dxfId="1590" priority="116" operator="notEqual">
      <formula>$A19</formula>
    </cfRule>
    <cfRule type="cellIs" dxfId="1589" priority="117" operator="equal">
      <formula>"""&lt;&gt;$A6"""</formula>
    </cfRule>
    <cfRule type="cellIs" dxfId="1588" priority="118" operator="equal">
      <formula>"&lt;&gt;$A6"</formula>
    </cfRule>
    <cfRule type="cellIs" dxfId="1587" priority="119" operator="equal">
      <formula>$A19</formula>
    </cfRule>
    <cfRule type="cellIs" dxfId="1586" priority="120" operator="equal">
      <formula>$A19</formula>
    </cfRule>
  </conditionalFormatting>
  <conditionalFormatting sqref="G19">
    <cfRule type="cellIs" dxfId="1585" priority="111" operator="notEqual">
      <formula>$A19</formula>
    </cfRule>
    <cfRule type="cellIs" dxfId="1584" priority="112" operator="equal">
      <formula>"""&lt;&gt;$A6"""</formula>
    </cfRule>
    <cfRule type="cellIs" dxfId="1583" priority="113" operator="equal">
      <formula>"&lt;&gt;$A6"</formula>
    </cfRule>
    <cfRule type="cellIs" dxfId="1582" priority="114" operator="equal">
      <formula>$A19</formula>
    </cfRule>
    <cfRule type="cellIs" dxfId="1581" priority="115" operator="equal">
      <formula>$A19</formula>
    </cfRule>
  </conditionalFormatting>
  <conditionalFormatting sqref="K24 K29">
    <cfRule type="cellIs" dxfId="1580" priority="91" operator="notEqual">
      <formula>$A24</formula>
    </cfRule>
    <cfRule type="cellIs" dxfId="1579" priority="92" operator="equal">
      <formula>"""&lt;&gt;$A6"""</formula>
    </cfRule>
    <cfRule type="cellIs" dxfId="1578" priority="93" operator="equal">
      <formula>"&lt;&gt;$A6"</formula>
    </cfRule>
    <cfRule type="cellIs" dxfId="1577" priority="94" operator="equal">
      <formula>$A24</formula>
    </cfRule>
    <cfRule type="cellIs" dxfId="1576" priority="95" operator="equal">
      <formula>$A24</formula>
    </cfRule>
  </conditionalFormatting>
  <conditionalFormatting sqref="K17:K18 K20">
    <cfRule type="cellIs" dxfId="1575" priority="86" operator="notEqual">
      <formula>$A17</formula>
    </cfRule>
    <cfRule type="cellIs" dxfId="1574" priority="87" operator="equal">
      <formula>"""&lt;&gt;$A6"""</formula>
    </cfRule>
    <cfRule type="cellIs" dxfId="1573" priority="88" operator="equal">
      <formula>"&lt;&gt;$A6"</formula>
    </cfRule>
    <cfRule type="cellIs" dxfId="1572" priority="89" operator="equal">
      <formula>$A17</formula>
    </cfRule>
    <cfRule type="cellIs" dxfId="1571" priority="90" operator="equal">
      <formula>$A17</formula>
    </cfRule>
  </conditionalFormatting>
  <conditionalFormatting sqref="K21:K29">
    <cfRule type="cellIs" dxfId="1570" priority="81" operator="notEqual">
      <formula>$A21</formula>
    </cfRule>
    <cfRule type="cellIs" dxfId="1569" priority="82" operator="equal">
      <formula>"""&lt;&gt;$A6"""</formula>
    </cfRule>
    <cfRule type="cellIs" dxfId="1568" priority="83" operator="equal">
      <formula>"&lt;&gt;$A6"</formula>
    </cfRule>
    <cfRule type="cellIs" dxfId="1567" priority="84" operator="equal">
      <formula>$A21</formula>
    </cfRule>
    <cfRule type="cellIs" dxfId="1566" priority="85" operator="equal">
      <formula>$A21</formula>
    </cfRule>
  </conditionalFormatting>
  <conditionalFormatting sqref="K30:K31">
    <cfRule type="cellIs" dxfId="1565" priority="76" operator="notEqual">
      <formula>$A30</formula>
    </cfRule>
    <cfRule type="cellIs" dxfId="1564" priority="77" operator="equal">
      <formula>"""&lt;&gt;$A6"""</formula>
    </cfRule>
    <cfRule type="cellIs" dxfId="1563" priority="78" operator="equal">
      <formula>"&lt;&gt;$A6"</formula>
    </cfRule>
    <cfRule type="cellIs" dxfId="1562" priority="79" operator="equal">
      <formula>$A30</formula>
    </cfRule>
    <cfRule type="cellIs" dxfId="1561" priority="80" operator="equal">
      <formula>$A30</formula>
    </cfRule>
  </conditionalFormatting>
  <conditionalFormatting sqref="K19">
    <cfRule type="cellIs" dxfId="1560" priority="71" operator="notEqual">
      <formula>$A19</formula>
    </cfRule>
    <cfRule type="cellIs" dxfId="1559" priority="72" operator="equal">
      <formula>"""&lt;&gt;$A6"""</formula>
    </cfRule>
    <cfRule type="cellIs" dxfId="1558" priority="73" operator="equal">
      <formula>"&lt;&gt;$A6"</formula>
    </cfRule>
    <cfRule type="cellIs" dxfId="1557" priority="74" operator="equal">
      <formula>$A19</formula>
    </cfRule>
    <cfRule type="cellIs" dxfId="1556" priority="75" operator="equal">
      <formula>$A19</formula>
    </cfRule>
  </conditionalFormatting>
  <conditionalFormatting sqref="M24 M29">
    <cfRule type="cellIs" dxfId="1555" priority="41" operator="notEqual">
      <formula>$A24</formula>
    </cfRule>
    <cfRule type="cellIs" dxfId="1554" priority="42" operator="equal">
      <formula>"""&lt;&gt;$A6"""</formula>
    </cfRule>
    <cfRule type="cellIs" dxfId="1553" priority="43" operator="equal">
      <formula>"&lt;&gt;$A6"</formula>
    </cfRule>
    <cfRule type="cellIs" dxfId="1552" priority="44" operator="equal">
      <formula>$A24</formula>
    </cfRule>
    <cfRule type="cellIs" dxfId="1551" priority="45" operator="equal">
      <formula>$A24</formula>
    </cfRule>
  </conditionalFormatting>
  <conditionalFormatting sqref="M17:M18 M20">
    <cfRule type="cellIs" dxfId="1550" priority="36" operator="notEqual">
      <formula>$A17</formula>
    </cfRule>
    <cfRule type="cellIs" dxfId="1549" priority="37" operator="equal">
      <formula>"""&lt;&gt;$A6"""</formula>
    </cfRule>
    <cfRule type="cellIs" dxfId="1548" priority="38" operator="equal">
      <formula>"&lt;&gt;$A6"</formula>
    </cfRule>
    <cfRule type="cellIs" dxfId="1547" priority="39" operator="equal">
      <formula>$A17</formula>
    </cfRule>
    <cfRule type="cellIs" dxfId="1546" priority="40" operator="equal">
      <formula>$A17</formula>
    </cfRule>
  </conditionalFormatting>
  <conditionalFormatting sqref="M21:M29">
    <cfRule type="cellIs" dxfId="1545" priority="31" operator="notEqual">
      <formula>$A21</formula>
    </cfRule>
    <cfRule type="cellIs" dxfId="1544" priority="32" operator="equal">
      <formula>"""&lt;&gt;$A6"""</formula>
    </cfRule>
    <cfRule type="cellIs" dxfId="1543" priority="33" operator="equal">
      <formula>"&lt;&gt;$A6"</formula>
    </cfRule>
    <cfRule type="cellIs" dxfId="1542" priority="34" operator="equal">
      <formula>$A21</formula>
    </cfRule>
    <cfRule type="cellIs" dxfId="1541" priority="35" operator="equal">
      <formula>$A21</formula>
    </cfRule>
  </conditionalFormatting>
  <conditionalFormatting sqref="M30:M31">
    <cfRule type="cellIs" dxfId="1540" priority="26" operator="notEqual">
      <formula>$A30</formula>
    </cfRule>
    <cfRule type="cellIs" dxfId="1539" priority="27" operator="equal">
      <formula>"""&lt;&gt;$A6"""</formula>
    </cfRule>
    <cfRule type="cellIs" dxfId="1538" priority="28" operator="equal">
      <formula>"&lt;&gt;$A6"</formula>
    </cfRule>
    <cfRule type="cellIs" dxfId="1537" priority="29" operator="equal">
      <formula>$A30</formula>
    </cfRule>
    <cfRule type="cellIs" dxfId="1536" priority="30" operator="equal">
      <formula>$A30</formula>
    </cfRule>
  </conditionalFormatting>
  <conditionalFormatting sqref="M19">
    <cfRule type="cellIs" dxfId="1535" priority="21" operator="notEqual">
      <formula>$A19</formula>
    </cfRule>
    <cfRule type="cellIs" dxfId="1534" priority="22" operator="equal">
      <formula>"""&lt;&gt;$A6"""</formula>
    </cfRule>
    <cfRule type="cellIs" dxfId="1533" priority="23" operator="equal">
      <formula>"&lt;&gt;$A6"</formula>
    </cfRule>
    <cfRule type="cellIs" dxfId="1532" priority="24" operator="equal">
      <formula>$A19</formula>
    </cfRule>
    <cfRule type="cellIs" dxfId="1531" priority="25" operator="equal">
      <formula>$A19</formula>
    </cfRule>
  </conditionalFormatting>
  <conditionalFormatting sqref="L21:L29 L17:L18">
    <cfRule type="cellIs" dxfId="1530" priority="16" operator="notEqual">
      <formula>$A17</formula>
    </cfRule>
    <cfRule type="cellIs" dxfId="1529" priority="17" operator="equal">
      <formula>"""&lt;&gt;$A6"""</formula>
    </cfRule>
    <cfRule type="cellIs" dxfId="1528" priority="18" operator="equal">
      <formula>"&lt;&gt;$A6"</formula>
    </cfRule>
    <cfRule type="cellIs" dxfId="1527" priority="19" operator="equal">
      <formula>$A17</formula>
    </cfRule>
    <cfRule type="cellIs" dxfId="1526" priority="20" operator="equal">
      <formula>$A17</formula>
    </cfRule>
  </conditionalFormatting>
  <conditionalFormatting sqref="L30:L31">
    <cfRule type="cellIs" dxfId="1525" priority="11" operator="notEqual">
      <formula>$A30</formula>
    </cfRule>
    <cfRule type="cellIs" dxfId="1524" priority="12" operator="equal">
      <formula>"""&lt;&gt;$A6"""</formula>
    </cfRule>
    <cfRule type="cellIs" dxfId="1523" priority="13" operator="equal">
      <formula>"&lt;&gt;$A6"</formula>
    </cfRule>
    <cfRule type="cellIs" dxfId="1522" priority="14" operator="equal">
      <formula>$A30</formula>
    </cfRule>
    <cfRule type="cellIs" dxfId="1521" priority="15" operator="equal">
      <formula>$A30</formula>
    </cfRule>
  </conditionalFormatting>
  <conditionalFormatting sqref="L20">
    <cfRule type="cellIs" dxfId="1520" priority="6" operator="notEqual">
      <formula>$A20</formula>
    </cfRule>
    <cfRule type="cellIs" dxfId="1519" priority="7" operator="equal">
      <formula>"""&lt;&gt;$A6"""</formula>
    </cfRule>
    <cfRule type="cellIs" dxfId="1518" priority="8" operator="equal">
      <formula>"&lt;&gt;$A6"</formula>
    </cfRule>
    <cfRule type="cellIs" dxfId="1517" priority="9" operator="equal">
      <formula>$A20</formula>
    </cfRule>
    <cfRule type="cellIs" dxfId="1516" priority="10" operator="equal">
      <formula>$A20</formula>
    </cfRule>
  </conditionalFormatting>
  <conditionalFormatting sqref="L19">
    <cfRule type="cellIs" dxfId="1515" priority="1" operator="notEqual">
      <formula>$A19</formula>
    </cfRule>
    <cfRule type="cellIs" dxfId="1514" priority="2" operator="equal">
      <formula>"""&lt;&gt;$A6"""</formula>
    </cfRule>
    <cfRule type="cellIs" dxfId="1513" priority="3" operator="equal">
      <formula>"&lt;&gt;$A6"</formula>
    </cfRule>
    <cfRule type="cellIs" dxfId="1512" priority="4" operator="equal">
      <formula>$A19</formula>
    </cfRule>
    <cfRule type="cellIs" dxfId="1511" priority="5" operator="equal">
      <formula>$A19</formula>
    </cfRule>
  </conditionalFormatting>
  <dataValidations count="6">
    <dataValidation type="list" allowBlank="1" showInputMessage="1" showErrorMessage="1" sqref="C9" xr:uid="{00000000-0002-0000-0800-000000000000}">
      <formula1>"Effective Duration,Years to Maturity,Weighted Average Life"</formula1>
    </dataValidation>
    <dataValidation type="list" allowBlank="1" showInputMessage="1" showErrorMessage="1" sqref="C17:M17" xr:uid="{00000000-0002-0000-0800-000001000000}">
      <formula1>"Bond,Mortgage,Securitized Asset,Interest Rate Derivative,Equity,Real Estate,Index Option"</formula1>
    </dataValidation>
    <dataValidation type="list" allowBlank="1" showInputMessage="1" showErrorMessage="1" sqref="C18:M18" xr:uid="{00000000-0002-0000-0800-000002000000}">
      <formula1>"Investment,Hedging"</formula1>
    </dataValidation>
    <dataValidation type="list" allowBlank="1" showInputMessage="1" showErrorMessage="1" sqref="C20:M20" xr:uid="{00000000-0002-0000-0800-000003000000}">
      <formula1>"Both,Existing,Purchased"</formula1>
    </dataValidation>
    <dataValidation type="list" allowBlank="1" showInputMessage="1" showErrorMessage="1" sqref="C24:M24" xr:uid="{00000000-0002-0000-0800-000004000000}">
      <formula1>"Yes,No"</formula1>
    </dataValidation>
    <dataValidation type="list" allowBlank="1" showInputMessage="1" showErrorMessage="1" sqref="C31:M31" xr:uid="{00000000-0002-0000-0800-000005000000}">
      <formula1>"Not Assigned,Available for Sale,Trading,Held to Maturity"</formula1>
    </dataValidation>
  </dataValidations>
  <hyperlinks>
    <hyperlink ref="A1" location="'Table of Contents'!A1" display="Go to TOC" xr:uid="{00000000-0004-0000-0800-000000000000}"/>
    <hyperlink ref="A14" location="'Table of Contents'!A1" display="Go to TOC" xr:uid="{00000000-0004-0000-0800-000001000000}"/>
    <hyperlink ref="A15" location="'Asset Groups'!B12" display="Back to Main" xr:uid="{00000000-0004-0000-0800-000002000000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A2:AF59"/>
  <sheetViews>
    <sheetView zoomScaleNormal="100" workbookViewId="0">
      <pane xSplit="5" ySplit="4" topLeftCell="F26" activePane="bottomRight" state="frozen"/>
      <selection pane="topRight" activeCell="E1" sqref="E1"/>
      <selection pane="bottomLeft" activeCell="A5" sqref="A5"/>
      <selection pane="bottomRight"/>
    </sheetView>
  </sheetViews>
  <sheetFormatPr defaultRowHeight="12.75" x14ac:dyDescent="0.2"/>
  <cols>
    <col min="1" max="1" width="12.42578125" bestFit="1" customWidth="1"/>
    <col min="2" max="2" width="12" style="39" bestFit="1" customWidth="1"/>
    <col min="3" max="3" width="15.42578125" bestFit="1" customWidth="1"/>
    <col min="4" max="4" width="12.42578125" customWidth="1"/>
    <col min="5" max="5" width="13.5703125" customWidth="1"/>
    <col min="6" max="10" width="12.85546875" bestFit="1" customWidth="1"/>
    <col min="12" max="12" width="12.85546875" bestFit="1" customWidth="1"/>
    <col min="14" max="14" width="10.85546875" customWidth="1"/>
    <col min="15" max="15" width="12.42578125" customWidth="1"/>
  </cols>
  <sheetData>
    <row r="2" spans="1:32" x14ac:dyDescent="0.2">
      <c r="N2" t="s">
        <v>748</v>
      </c>
      <c r="O2" s="39" t="s">
        <v>749</v>
      </c>
      <c r="P2" t="s">
        <v>698</v>
      </c>
      <c r="Q2" t="s">
        <v>746</v>
      </c>
    </row>
    <row r="3" spans="1:32" x14ac:dyDescent="0.2">
      <c r="A3" s="314" t="s">
        <v>403</v>
      </c>
      <c r="B3" s="314"/>
      <c r="C3" s="193" t="s">
        <v>676</v>
      </c>
      <c r="D3" s="281"/>
      <c r="E3" s="281"/>
      <c r="F3" s="271" t="s">
        <v>677</v>
      </c>
      <c r="G3" s="32" t="s">
        <v>678</v>
      </c>
      <c r="H3" s="32" t="s">
        <v>679</v>
      </c>
      <c r="I3" s="32" t="s">
        <v>680</v>
      </c>
      <c r="J3" s="32" t="s">
        <v>681</v>
      </c>
      <c r="K3" s="32" t="s">
        <v>682</v>
      </c>
      <c r="L3" s="32" t="s">
        <v>315</v>
      </c>
      <c r="M3" s="43"/>
      <c r="N3" s="32" t="s">
        <v>677</v>
      </c>
      <c r="O3" s="32" t="s">
        <v>677</v>
      </c>
      <c r="P3" s="32" t="s">
        <v>677</v>
      </c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</row>
    <row r="4" spans="1:32" s="39" customFormat="1" x14ac:dyDescent="0.2">
      <c r="A4" s="63" t="s">
        <v>746</v>
      </c>
      <c r="B4" s="63" t="s">
        <v>747</v>
      </c>
      <c r="C4" s="281" t="s">
        <v>743</v>
      </c>
      <c r="D4" s="281" t="s">
        <v>744</v>
      </c>
      <c r="E4" s="281" t="s">
        <v>675</v>
      </c>
      <c r="F4" s="271"/>
      <c r="G4" s="32"/>
      <c r="H4" s="32"/>
      <c r="I4" s="32"/>
      <c r="J4" s="32"/>
      <c r="K4" s="32"/>
      <c r="L4" s="32"/>
      <c r="M4" s="43"/>
      <c r="N4" s="32"/>
      <c r="O4" s="32"/>
      <c r="P4" s="32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</row>
    <row r="5" spans="1:32" x14ac:dyDescent="0.2">
      <c r="A5">
        <v>6.15</v>
      </c>
      <c r="B5" s="39">
        <v>10</v>
      </c>
      <c r="C5" s="281" t="s">
        <v>735</v>
      </c>
      <c r="D5" s="281" t="s">
        <v>740</v>
      </c>
      <c r="E5" s="281">
        <f>1</f>
        <v>1</v>
      </c>
      <c r="F5" s="273" t="str">
        <f>MIN(14,ROUND($A5,0))&amp;"Y_TgtDur"</f>
        <v>6Y_TgtDur</v>
      </c>
      <c r="G5" s="248" t="str">
        <f>F5</f>
        <v>6Y_TgtDur</v>
      </c>
      <c r="H5" s="248" t="str">
        <f t="shared" ref="H5:J5" si="0">G5</f>
        <v>6Y_TgtDur</v>
      </c>
      <c r="I5" s="248" t="str">
        <f t="shared" si="0"/>
        <v>6Y_TgtDur</v>
      </c>
      <c r="J5" s="248" t="str">
        <f t="shared" si="0"/>
        <v>6Y_TgtDur</v>
      </c>
      <c r="K5" s="248">
        <v>100</v>
      </c>
      <c r="L5" s="248">
        <v>7</v>
      </c>
      <c r="M5" s="43"/>
      <c r="N5" s="248" t="str">
        <f>MIN(14,ROUND($A5,0))&amp;"Y_TgtDur"</f>
        <v>6Y_TgtDur</v>
      </c>
      <c r="O5" s="315" t="str">
        <f>ROUND(IF(AND($D5="BASE",$B5=8),7,$B5)+IF($D5="BASE",0,IF($B5=5,4,IF($B5=7,5,10))),0)&amp;"Y_I"</f>
        <v>10Y_I</v>
      </c>
      <c r="P5" s="248" t="str">
        <f>(ROUND($B5,0)+2)&amp;"Y_I"</f>
        <v>12Y_I</v>
      </c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</row>
    <row r="6" spans="1:32" x14ac:dyDescent="0.2">
      <c r="A6">
        <v>6.8</v>
      </c>
      <c r="B6" s="39">
        <v>10</v>
      </c>
      <c r="C6" s="281" t="s">
        <v>737</v>
      </c>
      <c r="D6" s="281" t="s">
        <v>740</v>
      </c>
      <c r="E6" s="281">
        <f>1</f>
        <v>1</v>
      </c>
      <c r="F6" s="273" t="str">
        <f t="shared" ref="F6:F59" si="1">MIN(14,ROUND($A6,0))&amp;"Y_TgtDur"</f>
        <v>7Y_TgtDur</v>
      </c>
      <c r="G6" s="248" t="str">
        <f t="shared" ref="G6:J6" si="2">F6</f>
        <v>7Y_TgtDur</v>
      </c>
      <c r="H6" s="248" t="str">
        <f t="shared" si="2"/>
        <v>7Y_TgtDur</v>
      </c>
      <c r="I6" s="248" t="str">
        <f t="shared" si="2"/>
        <v>7Y_TgtDur</v>
      </c>
      <c r="J6" s="248" t="str">
        <f t="shared" si="2"/>
        <v>7Y_TgtDur</v>
      </c>
      <c r="K6" s="248">
        <v>100</v>
      </c>
      <c r="L6" s="248">
        <v>7</v>
      </c>
      <c r="M6" s="43"/>
      <c r="N6" s="248" t="str">
        <f t="shared" ref="N6:N59" si="3">MIN(14,ROUND($A6,0))&amp;"Y_TgtDur"</f>
        <v>7Y_TgtDur</v>
      </c>
      <c r="O6" s="315" t="str">
        <f t="shared" ref="O6:O59" si="4">ROUND(IF(AND($D6="BASE",$B6=8),7,$B6)+IF($D6="BASE",0,IF($B6=5,4,IF($B6=7,5,10))),0)&amp;"Y_I"</f>
        <v>10Y_I</v>
      </c>
      <c r="P6" s="248" t="str">
        <f t="shared" ref="P6:P59" si="5">(ROUND($B6,0)+2)&amp;"Y_I"</f>
        <v>12Y_I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</row>
    <row r="7" spans="1:32" x14ac:dyDescent="0.2">
      <c r="A7">
        <v>4.6100000000000003</v>
      </c>
      <c r="B7" s="39">
        <v>5</v>
      </c>
      <c r="C7" s="281" t="s">
        <v>717</v>
      </c>
      <c r="D7" s="281" t="s">
        <v>740</v>
      </c>
      <c r="E7" s="281">
        <f>1</f>
        <v>1</v>
      </c>
      <c r="F7" s="273" t="str">
        <f t="shared" si="1"/>
        <v>5Y_TgtDur</v>
      </c>
      <c r="G7" s="248" t="str">
        <f t="shared" ref="G7:J7" si="6">F7</f>
        <v>5Y_TgtDur</v>
      </c>
      <c r="H7" s="248" t="str">
        <f t="shared" si="6"/>
        <v>5Y_TgtDur</v>
      </c>
      <c r="I7" s="248" t="str">
        <f t="shared" si="6"/>
        <v>5Y_TgtDur</v>
      </c>
      <c r="J7" s="248" t="str">
        <f t="shared" si="6"/>
        <v>5Y_TgtDur</v>
      </c>
      <c r="K7" s="248">
        <v>100</v>
      </c>
      <c r="L7" s="248">
        <v>7</v>
      </c>
      <c r="M7" s="43"/>
      <c r="N7" s="248" t="str">
        <f t="shared" si="3"/>
        <v>5Y_TgtDur</v>
      </c>
      <c r="O7" s="315" t="str">
        <f t="shared" si="4"/>
        <v>5Y_I</v>
      </c>
      <c r="P7" s="248" t="str">
        <f t="shared" si="5"/>
        <v>7Y_I</v>
      </c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</row>
    <row r="8" spans="1:32" x14ac:dyDescent="0.2">
      <c r="A8">
        <v>4.82</v>
      </c>
      <c r="B8" s="39">
        <v>7</v>
      </c>
      <c r="C8" s="281" t="s">
        <v>728</v>
      </c>
      <c r="D8" s="281" t="s">
        <v>740</v>
      </c>
      <c r="E8" s="281">
        <f>1</f>
        <v>1</v>
      </c>
      <c r="F8" s="273" t="str">
        <f t="shared" si="1"/>
        <v>5Y_TgtDur</v>
      </c>
      <c r="G8" s="248" t="str">
        <f t="shared" ref="G8:J8" si="7">F8</f>
        <v>5Y_TgtDur</v>
      </c>
      <c r="H8" s="248" t="str">
        <f t="shared" si="7"/>
        <v>5Y_TgtDur</v>
      </c>
      <c r="I8" s="248" t="str">
        <f t="shared" si="7"/>
        <v>5Y_TgtDur</v>
      </c>
      <c r="J8" s="248" t="str">
        <f t="shared" si="7"/>
        <v>5Y_TgtDur</v>
      </c>
      <c r="K8" s="248">
        <v>100</v>
      </c>
      <c r="L8" s="248">
        <v>7</v>
      </c>
      <c r="M8" s="43"/>
      <c r="N8" s="248" t="str">
        <f t="shared" si="3"/>
        <v>5Y_TgtDur</v>
      </c>
      <c r="O8" s="315" t="str">
        <f t="shared" si="4"/>
        <v>7Y_I</v>
      </c>
      <c r="P8" s="248" t="str">
        <f t="shared" si="5"/>
        <v>9Y_I</v>
      </c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</row>
    <row r="9" spans="1:32" x14ac:dyDescent="0.2">
      <c r="A9">
        <v>6.14</v>
      </c>
      <c r="B9" s="39">
        <v>10</v>
      </c>
      <c r="C9" s="281" t="s">
        <v>734</v>
      </c>
      <c r="D9" s="281" t="s">
        <v>740</v>
      </c>
      <c r="E9" s="281">
        <f>1</f>
        <v>1</v>
      </c>
      <c r="F9" s="273" t="str">
        <f t="shared" si="1"/>
        <v>6Y_TgtDur</v>
      </c>
      <c r="G9" s="248" t="str">
        <f t="shared" ref="G9:J9" si="8">F9</f>
        <v>6Y_TgtDur</v>
      </c>
      <c r="H9" s="248" t="str">
        <f t="shared" si="8"/>
        <v>6Y_TgtDur</v>
      </c>
      <c r="I9" s="248" t="str">
        <f t="shared" si="8"/>
        <v>6Y_TgtDur</v>
      </c>
      <c r="J9" s="248" t="str">
        <f t="shared" si="8"/>
        <v>6Y_TgtDur</v>
      </c>
      <c r="K9" s="248">
        <v>100</v>
      </c>
      <c r="L9" s="248">
        <v>7</v>
      </c>
      <c r="M9" s="43"/>
      <c r="N9" s="248" t="str">
        <f t="shared" si="3"/>
        <v>6Y_TgtDur</v>
      </c>
      <c r="O9" s="315" t="str">
        <f t="shared" si="4"/>
        <v>10Y_I</v>
      </c>
      <c r="P9" s="248" t="str">
        <f t="shared" si="5"/>
        <v>12Y_I</v>
      </c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</row>
    <row r="10" spans="1:32" x14ac:dyDescent="0.2">
      <c r="A10">
        <v>5.37</v>
      </c>
      <c r="B10" s="39">
        <v>7</v>
      </c>
      <c r="C10" s="281" t="s">
        <v>732</v>
      </c>
      <c r="D10" s="281" t="s">
        <v>740</v>
      </c>
      <c r="E10" s="281">
        <f>1</f>
        <v>1</v>
      </c>
      <c r="F10" s="273" t="str">
        <f t="shared" si="1"/>
        <v>5Y_TgtDur</v>
      </c>
      <c r="G10" s="248" t="str">
        <f t="shared" ref="G10:J10" si="9">F10</f>
        <v>5Y_TgtDur</v>
      </c>
      <c r="H10" s="248" t="str">
        <f t="shared" si="9"/>
        <v>5Y_TgtDur</v>
      </c>
      <c r="I10" s="248" t="str">
        <f t="shared" si="9"/>
        <v>5Y_TgtDur</v>
      </c>
      <c r="J10" s="248" t="str">
        <f t="shared" si="9"/>
        <v>5Y_TgtDur</v>
      </c>
      <c r="K10" s="248">
        <v>100</v>
      </c>
      <c r="L10" s="248">
        <v>7</v>
      </c>
      <c r="M10" s="43"/>
      <c r="N10" s="248" t="str">
        <f t="shared" si="3"/>
        <v>5Y_TgtDur</v>
      </c>
      <c r="O10" s="315" t="str">
        <f t="shared" si="4"/>
        <v>7Y_I</v>
      </c>
      <c r="P10" s="248" t="str">
        <f t="shared" si="5"/>
        <v>9Y_I</v>
      </c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</row>
    <row r="11" spans="1:32" x14ac:dyDescent="0.2">
      <c r="A11">
        <v>4.43</v>
      </c>
      <c r="B11" s="39">
        <v>5</v>
      </c>
      <c r="C11" s="281" t="s">
        <v>716</v>
      </c>
      <c r="D11" s="281" t="s">
        <v>740</v>
      </c>
      <c r="E11" s="281">
        <f>1</f>
        <v>1</v>
      </c>
      <c r="F11" s="273" t="str">
        <f t="shared" si="1"/>
        <v>4Y_TgtDur</v>
      </c>
      <c r="G11" s="248" t="str">
        <f t="shared" ref="G11:J11" si="10">F11</f>
        <v>4Y_TgtDur</v>
      </c>
      <c r="H11" s="248" t="str">
        <f t="shared" si="10"/>
        <v>4Y_TgtDur</v>
      </c>
      <c r="I11" s="248" t="str">
        <f t="shared" si="10"/>
        <v>4Y_TgtDur</v>
      </c>
      <c r="J11" s="248" t="str">
        <f t="shared" si="10"/>
        <v>4Y_TgtDur</v>
      </c>
      <c r="K11" s="248">
        <v>100</v>
      </c>
      <c r="L11" s="248">
        <v>7</v>
      </c>
      <c r="M11" s="43"/>
      <c r="N11" s="248" t="str">
        <f t="shared" si="3"/>
        <v>4Y_TgtDur</v>
      </c>
      <c r="O11" s="315" t="str">
        <f t="shared" si="4"/>
        <v>5Y_I</v>
      </c>
      <c r="P11" s="248" t="str">
        <f t="shared" si="5"/>
        <v>7Y_I</v>
      </c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</row>
    <row r="12" spans="1:32" x14ac:dyDescent="0.2">
      <c r="A12">
        <v>5.0599999999999996</v>
      </c>
      <c r="B12" s="39">
        <v>7</v>
      </c>
      <c r="C12" s="281" t="s">
        <v>731</v>
      </c>
      <c r="D12" s="281" t="s">
        <v>740</v>
      </c>
      <c r="E12" s="281">
        <f>1</f>
        <v>1</v>
      </c>
      <c r="F12" s="273" t="str">
        <f t="shared" si="1"/>
        <v>5Y_TgtDur</v>
      </c>
      <c r="G12" s="248" t="str">
        <f t="shared" ref="G12:J12" si="11">F12</f>
        <v>5Y_TgtDur</v>
      </c>
      <c r="H12" s="248" t="str">
        <f t="shared" si="11"/>
        <v>5Y_TgtDur</v>
      </c>
      <c r="I12" s="248" t="str">
        <f t="shared" si="11"/>
        <v>5Y_TgtDur</v>
      </c>
      <c r="J12" s="248" t="str">
        <f t="shared" si="11"/>
        <v>5Y_TgtDur</v>
      </c>
      <c r="K12" s="248">
        <v>100</v>
      </c>
      <c r="L12" s="248">
        <v>7</v>
      </c>
      <c r="M12" s="43"/>
      <c r="N12" s="248" t="str">
        <f t="shared" si="3"/>
        <v>5Y_TgtDur</v>
      </c>
      <c r="O12" s="315" t="str">
        <f t="shared" si="4"/>
        <v>7Y_I</v>
      </c>
      <c r="P12" s="248" t="str">
        <f t="shared" si="5"/>
        <v>9Y_I</v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</row>
    <row r="13" spans="1:32" s="39" customFormat="1" x14ac:dyDescent="0.2">
      <c r="A13" s="322">
        <v>5</v>
      </c>
      <c r="B13" s="39">
        <v>7</v>
      </c>
      <c r="C13" s="281" t="s">
        <v>751</v>
      </c>
      <c r="D13" s="281" t="s">
        <v>740</v>
      </c>
      <c r="E13" s="281">
        <f>1</f>
        <v>1</v>
      </c>
      <c r="F13" s="273" t="str">
        <f t="shared" si="1"/>
        <v>5Y_TgtDur</v>
      </c>
      <c r="G13" s="248" t="str">
        <f t="shared" ref="G13" si="12">F13</f>
        <v>5Y_TgtDur</v>
      </c>
      <c r="H13" s="248" t="str">
        <f t="shared" ref="H13" si="13">G13</f>
        <v>5Y_TgtDur</v>
      </c>
      <c r="I13" s="248" t="str">
        <f t="shared" ref="I13" si="14">H13</f>
        <v>5Y_TgtDur</v>
      </c>
      <c r="J13" s="248" t="str">
        <f t="shared" ref="J13" si="15">I13</f>
        <v>5Y_TgtDur</v>
      </c>
      <c r="K13" s="248">
        <v>100</v>
      </c>
      <c r="L13" s="248">
        <v>5</v>
      </c>
      <c r="M13" s="43"/>
      <c r="N13" s="248" t="str">
        <f t="shared" si="3"/>
        <v>5Y_TgtDur</v>
      </c>
      <c r="O13" s="315" t="str">
        <f t="shared" si="4"/>
        <v>7Y_I</v>
      </c>
      <c r="P13" s="248" t="str">
        <f t="shared" si="5"/>
        <v>9Y_I</v>
      </c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</row>
    <row r="14" spans="1:32" s="39" customFormat="1" x14ac:dyDescent="0.2">
      <c r="A14" s="39">
        <v>7</v>
      </c>
      <c r="B14" s="39">
        <v>7</v>
      </c>
      <c r="C14" s="281" t="s">
        <v>752</v>
      </c>
      <c r="D14" s="281" t="s">
        <v>740</v>
      </c>
      <c r="E14" s="281">
        <f>1</f>
        <v>1</v>
      </c>
      <c r="F14" s="273" t="s">
        <v>759</v>
      </c>
      <c r="G14" s="248" t="s">
        <v>759</v>
      </c>
      <c r="H14" s="248" t="s">
        <v>759</v>
      </c>
      <c r="I14" s="248" t="s">
        <v>759</v>
      </c>
      <c r="J14" s="248" t="s">
        <v>759</v>
      </c>
      <c r="K14" s="248">
        <v>100</v>
      </c>
      <c r="L14" s="248">
        <v>5</v>
      </c>
      <c r="M14" s="43"/>
      <c r="N14" s="248" t="str">
        <f t="shared" si="3"/>
        <v>7Y_TgtDur</v>
      </c>
      <c r="O14" s="315" t="str">
        <f t="shared" si="4"/>
        <v>7Y_I</v>
      </c>
      <c r="P14" s="248" t="str">
        <f t="shared" si="5"/>
        <v>9Y_I</v>
      </c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</row>
    <row r="15" spans="1:32" x14ac:dyDescent="0.2">
      <c r="A15">
        <v>5.17</v>
      </c>
      <c r="B15" s="39">
        <v>7</v>
      </c>
      <c r="C15" s="281" t="s">
        <v>727</v>
      </c>
      <c r="D15" s="281" t="s">
        <v>740</v>
      </c>
      <c r="E15" s="281">
        <f>1</f>
        <v>1</v>
      </c>
      <c r="F15" s="273" t="str">
        <f t="shared" si="1"/>
        <v>5Y_TgtDur</v>
      </c>
      <c r="G15" s="248" t="str">
        <f t="shared" ref="G15:J15" si="16">F15</f>
        <v>5Y_TgtDur</v>
      </c>
      <c r="H15" s="248" t="str">
        <f t="shared" si="16"/>
        <v>5Y_TgtDur</v>
      </c>
      <c r="I15" s="248" t="str">
        <f t="shared" si="16"/>
        <v>5Y_TgtDur</v>
      </c>
      <c r="J15" s="248" t="str">
        <f t="shared" si="16"/>
        <v>5Y_TgtDur</v>
      </c>
      <c r="K15" s="248">
        <v>100</v>
      </c>
      <c r="L15" s="248">
        <v>7</v>
      </c>
      <c r="M15" s="43"/>
      <c r="N15" s="248" t="str">
        <f t="shared" si="3"/>
        <v>5Y_TgtDur</v>
      </c>
      <c r="O15" s="315" t="str">
        <f t="shared" si="4"/>
        <v>7Y_I</v>
      </c>
      <c r="P15" s="248" t="str">
        <f t="shared" si="5"/>
        <v>9Y_I</v>
      </c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</row>
    <row r="16" spans="1:32" x14ac:dyDescent="0.2">
      <c r="A16">
        <v>5.78</v>
      </c>
      <c r="B16" s="39">
        <v>7</v>
      </c>
      <c r="C16" s="281" t="s">
        <v>725</v>
      </c>
      <c r="D16" s="281" t="s">
        <v>740</v>
      </c>
      <c r="E16" s="281">
        <f>1</f>
        <v>1</v>
      </c>
      <c r="F16" s="273" t="str">
        <f t="shared" si="1"/>
        <v>6Y_TgtDur</v>
      </c>
      <c r="G16" s="248" t="str">
        <f t="shared" ref="G16:J16" si="17">F16</f>
        <v>6Y_TgtDur</v>
      </c>
      <c r="H16" s="248" t="str">
        <f t="shared" si="17"/>
        <v>6Y_TgtDur</v>
      </c>
      <c r="I16" s="248" t="str">
        <f t="shared" si="17"/>
        <v>6Y_TgtDur</v>
      </c>
      <c r="J16" s="248" t="str">
        <f t="shared" si="17"/>
        <v>6Y_TgtDur</v>
      </c>
      <c r="K16" s="248">
        <v>100</v>
      </c>
      <c r="L16" s="248">
        <v>7</v>
      </c>
      <c r="M16" s="43"/>
      <c r="N16" s="248" t="str">
        <f t="shared" si="3"/>
        <v>6Y_TgtDur</v>
      </c>
      <c r="O16" s="315" t="str">
        <f t="shared" si="4"/>
        <v>7Y_I</v>
      </c>
      <c r="P16" s="248" t="str">
        <f t="shared" si="5"/>
        <v>9Y_I</v>
      </c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</row>
    <row r="17" spans="1:32" x14ac:dyDescent="0.2">
      <c r="A17">
        <v>5.17</v>
      </c>
      <c r="B17" s="39">
        <v>7</v>
      </c>
      <c r="C17" s="281" t="s">
        <v>730</v>
      </c>
      <c r="D17" s="281" t="s">
        <v>740</v>
      </c>
      <c r="E17" s="281">
        <f>1</f>
        <v>1</v>
      </c>
      <c r="F17" s="273" t="str">
        <f t="shared" si="1"/>
        <v>5Y_TgtDur</v>
      </c>
      <c r="G17" s="248" t="str">
        <f t="shared" ref="G17:J17" si="18">F17</f>
        <v>5Y_TgtDur</v>
      </c>
      <c r="H17" s="248" t="str">
        <f t="shared" si="18"/>
        <v>5Y_TgtDur</v>
      </c>
      <c r="I17" s="248" t="str">
        <f t="shared" si="18"/>
        <v>5Y_TgtDur</v>
      </c>
      <c r="J17" s="248" t="str">
        <f t="shared" si="18"/>
        <v>5Y_TgtDur</v>
      </c>
      <c r="K17" s="248">
        <v>100</v>
      </c>
      <c r="L17" s="248">
        <v>7</v>
      </c>
      <c r="M17" s="43"/>
      <c r="N17" s="248" t="str">
        <f t="shared" si="3"/>
        <v>5Y_TgtDur</v>
      </c>
      <c r="O17" s="315" t="str">
        <f t="shared" si="4"/>
        <v>7Y_I</v>
      </c>
      <c r="P17" s="248" t="str">
        <f t="shared" si="5"/>
        <v>9Y_I</v>
      </c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</row>
    <row r="18" spans="1:32" x14ac:dyDescent="0.2">
      <c r="A18">
        <v>6.17</v>
      </c>
      <c r="B18" s="39">
        <v>10</v>
      </c>
      <c r="C18" s="281" t="s">
        <v>738</v>
      </c>
      <c r="D18" s="281" t="s">
        <v>740</v>
      </c>
      <c r="E18" s="281">
        <f>1</f>
        <v>1</v>
      </c>
      <c r="F18" s="273" t="str">
        <f t="shared" si="1"/>
        <v>6Y_TgtDur</v>
      </c>
      <c r="G18" s="248" t="str">
        <f t="shared" ref="G18:J18" si="19">F18</f>
        <v>6Y_TgtDur</v>
      </c>
      <c r="H18" s="248" t="str">
        <f t="shared" si="19"/>
        <v>6Y_TgtDur</v>
      </c>
      <c r="I18" s="248" t="str">
        <f t="shared" si="19"/>
        <v>6Y_TgtDur</v>
      </c>
      <c r="J18" s="248" t="str">
        <f t="shared" si="19"/>
        <v>6Y_TgtDur</v>
      </c>
      <c r="K18" s="248">
        <v>100</v>
      </c>
      <c r="L18" s="248">
        <v>7</v>
      </c>
      <c r="M18" s="43"/>
      <c r="N18" s="248" t="str">
        <f t="shared" si="3"/>
        <v>6Y_TgtDur</v>
      </c>
      <c r="O18" s="315" t="str">
        <f t="shared" si="4"/>
        <v>10Y_I</v>
      </c>
      <c r="P18" s="248" t="str">
        <f t="shared" si="5"/>
        <v>12Y_I</v>
      </c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</row>
    <row r="19" spans="1:32" x14ac:dyDescent="0.2">
      <c r="A19">
        <v>5.73</v>
      </c>
      <c r="B19" s="39">
        <v>8</v>
      </c>
      <c r="C19" s="281" t="s">
        <v>733</v>
      </c>
      <c r="D19" s="281" t="s">
        <v>740</v>
      </c>
      <c r="E19" s="281">
        <f>1</f>
        <v>1</v>
      </c>
      <c r="F19" s="273" t="str">
        <f t="shared" si="1"/>
        <v>6Y_TgtDur</v>
      </c>
      <c r="G19" s="248" t="str">
        <f t="shared" ref="G19:J19" si="20">F19</f>
        <v>6Y_TgtDur</v>
      </c>
      <c r="H19" s="248" t="str">
        <f t="shared" si="20"/>
        <v>6Y_TgtDur</v>
      </c>
      <c r="I19" s="248" t="str">
        <f t="shared" si="20"/>
        <v>6Y_TgtDur</v>
      </c>
      <c r="J19" s="248" t="str">
        <f t="shared" si="20"/>
        <v>6Y_TgtDur</v>
      </c>
      <c r="K19" s="248">
        <v>100</v>
      </c>
      <c r="L19" s="248">
        <v>7</v>
      </c>
      <c r="M19" s="43"/>
      <c r="N19" s="248" t="str">
        <f t="shared" si="3"/>
        <v>6Y_TgtDur</v>
      </c>
      <c r="O19" s="315" t="str">
        <f t="shared" si="4"/>
        <v>7Y_I</v>
      </c>
      <c r="P19" s="248" t="str">
        <f t="shared" si="5"/>
        <v>10Y_I</v>
      </c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</row>
    <row r="20" spans="1:32" x14ac:dyDescent="0.2">
      <c r="A20">
        <v>5.75</v>
      </c>
      <c r="B20" s="39">
        <v>7</v>
      </c>
      <c r="C20" s="281" t="s">
        <v>722</v>
      </c>
      <c r="D20" s="281" t="s">
        <v>740</v>
      </c>
      <c r="E20" s="281">
        <f>1</f>
        <v>1</v>
      </c>
      <c r="F20" s="273" t="str">
        <f t="shared" si="1"/>
        <v>6Y_TgtDur</v>
      </c>
      <c r="G20" s="248" t="str">
        <f t="shared" ref="G20:J20" si="21">F20</f>
        <v>6Y_TgtDur</v>
      </c>
      <c r="H20" s="248" t="str">
        <f t="shared" si="21"/>
        <v>6Y_TgtDur</v>
      </c>
      <c r="I20" s="248" t="str">
        <f t="shared" si="21"/>
        <v>6Y_TgtDur</v>
      </c>
      <c r="J20" s="248" t="str">
        <f t="shared" si="21"/>
        <v>6Y_TgtDur</v>
      </c>
      <c r="K20" s="248">
        <v>100</v>
      </c>
      <c r="L20" s="248">
        <v>7</v>
      </c>
      <c r="M20" s="43"/>
      <c r="N20" s="248" t="str">
        <f t="shared" si="3"/>
        <v>6Y_TgtDur</v>
      </c>
      <c r="O20" s="315" t="str">
        <f t="shared" si="4"/>
        <v>7Y_I</v>
      </c>
      <c r="P20" s="248" t="str">
        <f t="shared" si="5"/>
        <v>9Y_I</v>
      </c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</row>
    <row r="21" spans="1:32" x14ac:dyDescent="0.2">
      <c r="A21">
        <v>5.26</v>
      </c>
      <c r="B21" s="39">
        <v>7</v>
      </c>
      <c r="C21" s="281" t="s">
        <v>729</v>
      </c>
      <c r="D21" s="281" t="s">
        <v>740</v>
      </c>
      <c r="E21" s="281">
        <f>1</f>
        <v>1</v>
      </c>
      <c r="F21" s="273" t="str">
        <f t="shared" si="1"/>
        <v>5Y_TgtDur</v>
      </c>
      <c r="G21" s="248" t="str">
        <f t="shared" ref="G21:J21" si="22">F21</f>
        <v>5Y_TgtDur</v>
      </c>
      <c r="H21" s="248" t="str">
        <f t="shared" si="22"/>
        <v>5Y_TgtDur</v>
      </c>
      <c r="I21" s="248" t="str">
        <f t="shared" si="22"/>
        <v>5Y_TgtDur</v>
      </c>
      <c r="J21" s="248" t="str">
        <f t="shared" si="22"/>
        <v>5Y_TgtDur</v>
      </c>
      <c r="K21" s="248">
        <v>100</v>
      </c>
      <c r="L21" s="248">
        <v>7</v>
      </c>
      <c r="M21" s="43"/>
      <c r="N21" s="248" t="str">
        <f t="shared" si="3"/>
        <v>5Y_TgtDur</v>
      </c>
      <c r="O21" s="315" t="str">
        <f t="shared" si="4"/>
        <v>7Y_I</v>
      </c>
      <c r="P21" s="248" t="str">
        <f t="shared" si="5"/>
        <v>9Y_I</v>
      </c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</row>
    <row r="22" spans="1:32" x14ac:dyDescent="0.2">
      <c r="A22">
        <v>4.43</v>
      </c>
      <c r="B22" s="39">
        <v>5</v>
      </c>
      <c r="C22" s="281" t="s">
        <v>715</v>
      </c>
      <c r="D22" s="281" t="s">
        <v>740</v>
      </c>
      <c r="E22" s="281">
        <f>1</f>
        <v>1</v>
      </c>
      <c r="F22" s="273" t="str">
        <f t="shared" si="1"/>
        <v>4Y_TgtDur</v>
      </c>
      <c r="G22" s="248" t="str">
        <f t="shared" ref="G22:J22" si="23">F22</f>
        <v>4Y_TgtDur</v>
      </c>
      <c r="H22" s="248" t="str">
        <f t="shared" si="23"/>
        <v>4Y_TgtDur</v>
      </c>
      <c r="I22" s="248" t="str">
        <f t="shared" si="23"/>
        <v>4Y_TgtDur</v>
      </c>
      <c r="J22" s="248" t="str">
        <f t="shared" si="23"/>
        <v>4Y_TgtDur</v>
      </c>
      <c r="K22" s="248">
        <v>100</v>
      </c>
      <c r="L22" s="248">
        <v>7</v>
      </c>
      <c r="M22" s="43"/>
      <c r="N22" s="248" t="str">
        <f t="shared" si="3"/>
        <v>4Y_TgtDur</v>
      </c>
      <c r="O22" s="315" t="str">
        <f t="shared" si="4"/>
        <v>5Y_I</v>
      </c>
      <c r="P22" s="248" t="str">
        <f t="shared" si="5"/>
        <v>7Y_I</v>
      </c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</row>
    <row r="23" spans="1:32" x14ac:dyDescent="0.2">
      <c r="A23">
        <v>5.17</v>
      </c>
      <c r="B23" s="39">
        <v>7</v>
      </c>
      <c r="C23" s="281" t="s">
        <v>726</v>
      </c>
      <c r="D23" s="281" t="s">
        <v>740</v>
      </c>
      <c r="E23" s="281">
        <f>1</f>
        <v>1</v>
      </c>
      <c r="F23" s="273" t="str">
        <f t="shared" si="1"/>
        <v>5Y_TgtDur</v>
      </c>
      <c r="G23" s="248" t="str">
        <f t="shared" ref="G23:J23" si="24">F23</f>
        <v>5Y_TgtDur</v>
      </c>
      <c r="H23" s="248" t="str">
        <f t="shared" si="24"/>
        <v>5Y_TgtDur</v>
      </c>
      <c r="I23" s="248" t="str">
        <f t="shared" si="24"/>
        <v>5Y_TgtDur</v>
      </c>
      <c r="J23" s="248" t="str">
        <f t="shared" si="24"/>
        <v>5Y_TgtDur</v>
      </c>
      <c r="K23" s="248">
        <v>100</v>
      </c>
      <c r="L23" s="248">
        <v>7</v>
      </c>
      <c r="M23" s="43"/>
      <c r="N23" s="248" t="str">
        <f t="shared" si="3"/>
        <v>5Y_TgtDur</v>
      </c>
      <c r="O23" s="315" t="str">
        <f t="shared" si="4"/>
        <v>7Y_I</v>
      </c>
      <c r="P23" s="248" t="str">
        <f t="shared" si="5"/>
        <v>9Y_I</v>
      </c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</row>
    <row r="24" spans="1:32" x14ac:dyDescent="0.2">
      <c r="A24">
        <v>12.76</v>
      </c>
      <c r="B24" s="39">
        <v>10</v>
      </c>
      <c r="C24" s="281" t="s">
        <v>735</v>
      </c>
      <c r="D24" s="281" t="s">
        <v>741</v>
      </c>
      <c r="E24" s="281">
        <f>1</f>
        <v>1</v>
      </c>
      <c r="F24" s="273" t="str">
        <f t="shared" si="1"/>
        <v>13Y_TgtDur</v>
      </c>
      <c r="G24" s="248" t="str">
        <f t="shared" ref="G24:J24" si="25">F24</f>
        <v>13Y_TgtDur</v>
      </c>
      <c r="H24" s="248" t="str">
        <f t="shared" si="25"/>
        <v>13Y_TgtDur</v>
      </c>
      <c r="I24" s="248" t="str">
        <f t="shared" si="25"/>
        <v>13Y_TgtDur</v>
      </c>
      <c r="J24" s="248" t="str">
        <f t="shared" si="25"/>
        <v>13Y_TgtDur</v>
      </c>
      <c r="K24" s="248">
        <v>100</v>
      </c>
      <c r="L24" s="248">
        <v>7</v>
      </c>
      <c r="M24" s="43"/>
      <c r="N24" s="248" t="str">
        <f t="shared" si="3"/>
        <v>13Y_TgtDur</v>
      </c>
      <c r="O24" s="315" t="str">
        <f t="shared" si="4"/>
        <v>20Y_I</v>
      </c>
      <c r="P24" s="248" t="str">
        <f t="shared" si="5"/>
        <v>12Y_I</v>
      </c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</row>
    <row r="25" spans="1:32" x14ac:dyDescent="0.2">
      <c r="A25">
        <v>11.02</v>
      </c>
      <c r="B25" s="39">
        <v>10</v>
      </c>
      <c r="C25" s="281" t="s">
        <v>737</v>
      </c>
      <c r="D25" s="281" t="s">
        <v>741</v>
      </c>
      <c r="E25" s="281">
        <f>1</f>
        <v>1</v>
      </c>
      <c r="F25" s="273" t="str">
        <f t="shared" si="1"/>
        <v>11Y_TgtDur</v>
      </c>
      <c r="G25" s="248" t="str">
        <f t="shared" ref="G25:J25" si="26">F25</f>
        <v>11Y_TgtDur</v>
      </c>
      <c r="H25" s="248" t="str">
        <f t="shared" si="26"/>
        <v>11Y_TgtDur</v>
      </c>
      <c r="I25" s="248" t="str">
        <f t="shared" si="26"/>
        <v>11Y_TgtDur</v>
      </c>
      <c r="J25" s="248" t="str">
        <f t="shared" si="26"/>
        <v>11Y_TgtDur</v>
      </c>
      <c r="K25" s="248">
        <v>100</v>
      </c>
      <c r="L25" s="248">
        <v>7</v>
      </c>
      <c r="M25" s="43"/>
      <c r="N25" s="248" t="str">
        <f t="shared" si="3"/>
        <v>11Y_TgtDur</v>
      </c>
      <c r="O25" s="315" t="str">
        <f t="shared" si="4"/>
        <v>20Y_I</v>
      </c>
      <c r="P25" s="248" t="str">
        <f t="shared" si="5"/>
        <v>12Y_I</v>
      </c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</row>
    <row r="26" spans="1:32" x14ac:dyDescent="0.2">
      <c r="A26">
        <v>8.4600000000000009</v>
      </c>
      <c r="B26" s="39">
        <v>7</v>
      </c>
      <c r="C26" s="281" t="s">
        <v>728</v>
      </c>
      <c r="D26" s="281" t="s">
        <v>741</v>
      </c>
      <c r="E26" s="281">
        <f>1</f>
        <v>1</v>
      </c>
      <c r="F26" s="273" t="str">
        <f t="shared" si="1"/>
        <v>8Y_TgtDur</v>
      </c>
      <c r="G26" s="248" t="str">
        <f t="shared" ref="G26:J26" si="27">F26</f>
        <v>8Y_TgtDur</v>
      </c>
      <c r="H26" s="248" t="str">
        <f t="shared" si="27"/>
        <v>8Y_TgtDur</v>
      </c>
      <c r="I26" s="248" t="str">
        <f t="shared" si="27"/>
        <v>8Y_TgtDur</v>
      </c>
      <c r="J26" s="248" t="str">
        <f t="shared" si="27"/>
        <v>8Y_TgtDur</v>
      </c>
      <c r="K26" s="248">
        <v>100</v>
      </c>
      <c r="L26" s="248">
        <v>7</v>
      </c>
      <c r="M26" s="43"/>
      <c r="N26" s="248" t="str">
        <f t="shared" si="3"/>
        <v>8Y_TgtDur</v>
      </c>
      <c r="O26" s="315" t="str">
        <f t="shared" si="4"/>
        <v>12Y_I</v>
      </c>
      <c r="P26" s="248" t="str">
        <f t="shared" si="5"/>
        <v>9Y_I</v>
      </c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</row>
    <row r="27" spans="1:32" x14ac:dyDescent="0.2">
      <c r="A27">
        <v>11.72</v>
      </c>
      <c r="B27" s="39">
        <v>10</v>
      </c>
      <c r="C27" s="281" t="s">
        <v>734</v>
      </c>
      <c r="D27" s="281" t="s">
        <v>741</v>
      </c>
      <c r="E27" s="281">
        <f>1</f>
        <v>1</v>
      </c>
      <c r="F27" s="273" t="str">
        <f t="shared" si="1"/>
        <v>12Y_TgtDur</v>
      </c>
      <c r="G27" s="248" t="str">
        <f t="shared" ref="G27:J27" si="28">F27</f>
        <v>12Y_TgtDur</v>
      </c>
      <c r="H27" s="248" t="str">
        <f t="shared" si="28"/>
        <v>12Y_TgtDur</v>
      </c>
      <c r="I27" s="248" t="str">
        <f t="shared" si="28"/>
        <v>12Y_TgtDur</v>
      </c>
      <c r="J27" s="248" t="str">
        <f t="shared" si="28"/>
        <v>12Y_TgtDur</v>
      </c>
      <c r="K27" s="248">
        <v>100</v>
      </c>
      <c r="L27" s="248">
        <v>7</v>
      </c>
      <c r="M27" s="43"/>
      <c r="N27" s="248" t="str">
        <f t="shared" si="3"/>
        <v>12Y_TgtDur</v>
      </c>
      <c r="O27" s="315" t="str">
        <f t="shared" si="4"/>
        <v>20Y_I</v>
      </c>
      <c r="P27" s="248" t="str">
        <f t="shared" si="5"/>
        <v>12Y_I</v>
      </c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</row>
    <row r="28" spans="1:32" x14ac:dyDescent="0.2">
      <c r="A28">
        <v>5.85</v>
      </c>
      <c r="B28" s="39">
        <v>7</v>
      </c>
      <c r="C28" s="281" t="s">
        <v>732</v>
      </c>
      <c r="D28" s="281" t="s">
        <v>741</v>
      </c>
      <c r="E28" s="281">
        <f>1</f>
        <v>1</v>
      </c>
      <c r="F28" s="273" t="str">
        <f t="shared" si="1"/>
        <v>6Y_TgtDur</v>
      </c>
      <c r="G28" s="248" t="str">
        <f t="shared" ref="G28:J28" si="29">F28</f>
        <v>6Y_TgtDur</v>
      </c>
      <c r="H28" s="248" t="str">
        <f t="shared" si="29"/>
        <v>6Y_TgtDur</v>
      </c>
      <c r="I28" s="248" t="str">
        <f t="shared" si="29"/>
        <v>6Y_TgtDur</v>
      </c>
      <c r="J28" s="248" t="str">
        <f t="shared" si="29"/>
        <v>6Y_TgtDur</v>
      </c>
      <c r="K28" s="248">
        <v>100</v>
      </c>
      <c r="L28" s="248">
        <v>7</v>
      </c>
      <c r="M28" s="43"/>
      <c r="N28" s="248" t="str">
        <f t="shared" si="3"/>
        <v>6Y_TgtDur</v>
      </c>
      <c r="O28" s="315" t="str">
        <f t="shared" si="4"/>
        <v>12Y_I</v>
      </c>
      <c r="P28" s="248" t="str">
        <f t="shared" si="5"/>
        <v>9Y_I</v>
      </c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</row>
    <row r="29" spans="1:32" x14ac:dyDescent="0.2">
      <c r="A29">
        <v>9.65</v>
      </c>
      <c r="B29" s="39">
        <v>5</v>
      </c>
      <c r="C29" s="281" t="s">
        <v>715</v>
      </c>
      <c r="D29" s="281" t="s">
        <v>741</v>
      </c>
      <c r="E29" s="281">
        <f>1</f>
        <v>1</v>
      </c>
      <c r="F29" s="273" t="str">
        <f t="shared" si="1"/>
        <v>10Y_TgtDur</v>
      </c>
      <c r="G29" s="248" t="str">
        <f t="shared" ref="G29:J29" si="30">F29</f>
        <v>10Y_TgtDur</v>
      </c>
      <c r="H29" s="248" t="str">
        <f t="shared" si="30"/>
        <v>10Y_TgtDur</v>
      </c>
      <c r="I29" s="248" t="str">
        <f t="shared" si="30"/>
        <v>10Y_TgtDur</v>
      </c>
      <c r="J29" s="248" t="str">
        <f t="shared" si="30"/>
        <v>10Y_TgtDur</v>
      </c>
      <c r="K29" s="248">
        <v>100</v>
      </c>
      <c r="L29" s="248">
        <v>7</v>
      </c>
      <c r="M29" s="43"/>
      <c r="N29" s="248" t="str">
        <f t="shared" si="3"/>
        <v>10Y_TgtDur</v>
      </c>
      <c r="O29" s="315" t="str">
        <f t="shared" si="4"/>
        <v>9Y_I</v>
      </c>
      <c r="P29" s="248" t="str">
        <f t="shared" si="5"/>
        <v>7Y_I</v>
      </c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</row>
    <row r="30" spans="1:32" x14ac:dyDescent="0.2">
      <c r="A30">
        <v>12.98</v>
      </c>
      <c r="B30" s="39">
        <v>7</v>
      </c>
      <c r="C30" s="281" t="s">
        <v>731</v>
      </c>
      <c r="D30" s="281" t="s">
        <v>741</v>
      </c>
      <c r="E30" s="281">
        <f>1</f>
        <v>1</v>
      </c>
      <c r="F30" s="273" t="str">
        <f t="shared" si="1"/>
        <v>13Y_TgtDur</v>
      </c>
      <c r="G30" s="248" t="str">
        <f t="shared" ref="G30:J30" si="31">F30</f>
        <v>13Y_TgtDur</v>
      </c>
      <c r="H30" s="248" t="str">
        <f t="shared" si="31"/>
        <v>13Y_TgtDur</v>
      </c>
      <c r="I30" s="248" t="str">
        <f t="shared" si="31"/>
        <v>13Y_TgtDur</v>
      </c>
      <c r="J30" s="248" t="str">
        <f t="shared" si="31"/>
        <v>13Y_TgtDur</v>
      </c>
      <c r="K30" s="248">
        <v>100</v>
      </c>
      <c r="L30" s="248">
        <v>7</v>
      </c>
      <c r="M30" s="43"/>
      <c r="N30" s="248" t="str">
        <f t="shared" si="3"/>
        <v>13Y_TgtDur</v>
      </c>
      <c r="O30" s="315" t="str">
        <f t="shared" si="4"/>
        <v>12Y_I</v>
      </c>
      <c r="P30" s="248" t="str">
        <f t="shared" si="5"/>
        <v>9Y_I</v>
      </c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</row>
    <row r="31" spans="1:32" x14ac:dyDescent="0.2">
      <c r="A31">
        <v>8.9600000000000009</v>
      </c>
      <c r="B31" s="39">
        <v>7</v>
      </c>
      <c r="C31" s="281" t="s">
        <v>726</v>
      </c>
      <c r="D31" s="281" t="s">
        <v>741</v>
      </c>
      <c r="E31" s="281">
        <f>1</f>
        <v>1</v>
      </c>
      <c r="F31" s="273" t="str">
        <f t="shared" si="1"/>
        <v>9Y_TgtDur</v>
      </c>
      <c r="G31" s="248" t="str">
        <f t="shared" ref="G31:J31" si="32">F31</f>
        <v>9Y_TgtDur</v>
      </c>
      <c r="H31" s="248" t="str">
        <f t="shared" si="32"/>
        <v>9Y_TgtDur</v>
      </c>
      <c r="I31" s="248" t="str">
        <f t="shared" si="32"/>
        <v>9Y_TgtDur</v>
      </c>
      <c r="J31" s="248" t="str">
        <f t="shared" si="32"/>
        <v>9Y_TgtDur</v>
      </c>
      <c r="K31" s="248">
        <v>100</v>
      </c>
      <c r="L31" s="248">
        <v>7</v>
      </c>
      <c r="M31" s="43"/>
      <c r="N31" s="248" t="str">
        <f t="shared" si="3"/>
        <v>9Y_TgtDur</v>
      </c>
      <c r="O31" s="315" t="str">
        <f t="shared" si="4"/>
        <v>12Y_I</v>
      </c>
      <c r="P31" s="248" t="str">
        <f t="shared" si="5"/>
        <v>9Y_I</v>
      </c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</row>
    <row r="32" spans="1:32" x14ac:dyDescent="0.2">
      <c r="A32">
        <v>11.28</v>
      </c>
      <c r="B32" s="39">
        <v>7</v>
      </c>
      <c r="C32" s="281" t="s">
        <v>727</v>
      </c>
      <c r="D32" s="281" t="s">
        <v>741</v>
      </c>
      <c r="E32" s="281">
        <f>1</f>
        <v>1</v>
      </c>
      <c r="F32" s="273" t="str">
        <f t="shared" si="1"/>
        <v>11Y_TgtDur</v>
      </c>
      <c r="G32" s="248" t="str">
        <f t="shared" ref="G32:J32" si="33">F32</f>
        <v>11Y_TgtDur</v>
      </c>
      <c r="H32" s="248" t="str">
        <f t="shared" si="33"/>
        <v>11Y_TgtDur</v>
      </c>
      <c r="I32" s="248" t="str">
        <f t="shared" si="33"/>
        <v>11Y_TgtDur</v>
      </c>
      <c r="J32" s="248" t="str">
        <f t="shared" si="33"/>
        <v>11Y_TgtDur</v>
      </c>
      <c r="K32" s="248">
        <v>100</v>
      </c>
      <c r="L32" s="248">
        <v>7</v>
      </c>
      <c r="M32" s="43"/>
      <c r="N32" s="248" t="str">
        <f t="shared" si="3"/>
        <v>11Y_TgtDur</v>
      </c>
      <c r="O32" s="315" t="str">
        <f t="shared" si="4"/>
        <v>12Y_I</v>
      </c>
      <c r="P32" s="248" t="str">
        <f t="shared" si="5"/>
        <v>9Y_I</v>
      </c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</row>
    <row r="33" spans="1:32" x14ac:dyDescent="0.2">
      <c r="A33">
        <v>11.28</v>
      </c>
      <c r="B33" s="39">
        <v>7</v>
      </c>
      <c r="C33" s="281" t="s">
        <v>725</v>
      </c>
      <c r="D33" s="281" t="s">
        <v>741</v>
      </c>
      <c r="E33" s="281">
        <f>1</f>
        <v>1</v>
      </c>
      <c r="F33" s="273" t="str">
        <f t="shared" si="1"/>
        <v>11Y_TgtDur</v>
      </c>
      <c r="G33" s="248" t="str">
        <f t="shared" ref="G33:J33" si="34">F33</f>
        <v>11Y_TgtDur</v>
      </c>
      <c r="H33" s="248" t="str">
        <f t="shared" si="34"/>
        <v>11Y_TgtDur</v>
      </c>
      <c r="I33" s="248" t="str">
        <f t="shared" si="34"/>
        <v>11Y_TgtDur</v>
      </c>
      <c r="J33" s="248" t="str">
        <f t="shared" si="34"/>
        <v>11Y_TgtDur</v>
      </c>
      <c r="K33" s="248">
        <v>100</v>
      </c>
      <c r="L33" s="248">
        <v>7</v>
      </c>
      <c r="M33" s="43"/>
      <c r="N33" s="248" t="str">
        <f t="shared" si="3"/>
        <v>11Y_TgtDur</v>
      </c>
      <c r="O33" s="315" t="str">
        <f t="shared" si="4"/>
        <v>12Y_I</v>
      </c>
      <c r="P33" s="248" t="str">
        <f t="shared" si="5"/>
        <v>9Y_I</v>
      </c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</row>
    <row r="34" spans="1:32" x14ac:dyDescent="0.2">
      <c r="A34">
        <v>14.53</v>
      </c>
      <c r="B34" s="39">
        <v>7</v>
      </c>
      <c r="C34" s="281" t="s">
        <v>730</v>
      </c>
      <c r="D34" s="281" t="s">
        <v>741</v>
      </c>
      <c r="E34" s="281">
        <f>1</f>
        <v>1</v>
      </c>
      <c r="F34" s="273" t="str">
        <f t="shared" si="1"/>
        <v>14Y_TgtDur</v>
      </c>
      <c r="G34" s="248" t="str">
        <f t="shared" ref="G34:J34" si="35">F34</f>
        <v>14Y_TgtDur</v>
      </c>
      <c r="H34" s="248" t="str">
        <f t="shared" si="35"/>
        <v>14Y_TgtDur</v>
      </c>
      <c r="I34" s="248" t="str">
        <f t="shared" si="35"/>
        <v>14Y_TgtDur</v>
      </c>
      <c r="J34" s="248" t="str">
        <f t="shared" si="35"/>
        <v>14Y_TgtDur</v>
      </c>
      <c r="K34" s="248">
        <v>100</v>
      </c>
      <c r="L34" s="248">
        <v>7</v>
      </c>
      <c r="M34" s="43"/>
      <c r="N34" s="248" t="str">
        <f t="shared" si="3"/>
        <v>14Y_TgtDur</v>
      </c>
      <c r="O34" s="315" t="str">
        <f t="shared" si="4"/>
        <v>12Y_I</v>
      </c>
      <c r="P34" s="248" t="str">
        <f t="shared" si="5"/>
        <v>9Y_I</v>
      </c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</row>
    <row r="35" spans="1:32" x14ac:dyDescent="0.2">
      <c r="A35">
        <v>11.58</v>
      </c>
      <c r="B35" s="39">
        <v>10</v>
      </c>
      <c r="C35" s="281" t="s">
        <v>738</v>
      </c>
      <c r="D35" s="281" t="s">
        <v>741</v>
      </c>
      <c r="E35" s="281">
        <f>1</f>
        <v>1</v>
      </c>
      <c r="F35" s="273" t="str">
        <f t="shared" si="1"/>
        <v>12Y_TgtDur</v>
      </c>
      <c r="G35" s="248" t="str">
        <f t="shared" ref="G35:J35" si="36">F35</f>
        <v>12Y_TgtDur</v>
      </c>
      <c r="H35" s="248" t="str">
        <f t="shared" si="36"/>
        <v>12Y_TgtDur</v>
      </c>
      <c r="I35" s="248" t="str">
        <f t="shared" si="36"/>
        <v>12Y_TgtDur</v>
      </c>
      <c r="J35" s="248" t="str">
        <f t="shared" si="36"/>
        <v>12Y_TgtDur</v>
      </c>
      <c r="K35" s="248">
        <v>100</v>
      </c>
      <c r="L35" s="248">
        <v>7</v>
      </c>
      <c r="M35" s="43"/>
      <c r="N35" s="248" t="str">
        <f t="shared" si="3"/>
        <v>12Y_TgtDur</v>
      </c>
      <c r="O35" s="315" t="str">
        <f t="shared" si="4"/>
        <v>20Y_I</v>
      </c>
      <c r="P35" s="248" t="str">
        <f t="shared" si="5"/>
        <v>12Y_I</v>
      </c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</row>
    <row r="36" spans="1:32" x14ac:dyDescent="0.2">
      <c r="A36">
        <v>11.44</v>
      </c>
      <c r="B36" s="39">
        <v>7</v>
      </c>
      <c r="C36" s="281" t="s">
        <v>729</v>
      </c>
      <c r="D36" s="281" t="s">
        <v>741</v>
      </c>
      <c r="E36" s="281">
        <f>1</f>
        <v>1</v>
      </c>
      <c r="F36" s="273" t="str">
        <f t="shared" si="1"/>
        <v>11Y_TgtDur</v>
      </c>
      <c r="G36" s="248" t="str">
        <f t="shared" ref="G36:J36" si="37">F36</f>
        <v>11Y_TgtDur</v>
      </c>
      <c r="H36" s="248" t="str">
        <f t="shared" si="37"/>
        <v>11Y_TgtDur</v>
      </c>
      <c r="I36" s="248" t="str">
        <f t="shared" si="37"/>
        <v>11Y_TgtDur</v>
      </c>
      <c r="J36" s="248" t="str">
        <f t="shared" si="37"/>
        <v>11Y_TgtDur</v>
      </c>
      <c r="K36" s="248">
        <v>100</v>
      </c>
      <c r="L36" s="248">
        <v>7</v>
      </c>
      <c r="M36" s="43"/>
      <c r="N36" s="248" t="str">
        <f t="shared" si="3"/>
        <v>11Y_TgtDur</v>
      </c>
      <c r="O36" s="315" t="str">
        <f t="shared" si="4"/>
        <v>12Y_I</v>
      </c>
      <c r="P36" s="248" t="str">
        <f t="shared" si="5"/>
        <v>9Y_I</v>
      </c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</row>
    <row r="37" spans="1:32" x14ac:dyDescent="0.2">
      <c r="A37">
        <v>8.49</v>
      </c>
      <c r="B37" s="39">
        <v>7</v>
      </c>
      <c r="C37" s="281" t="s">
        <v>722</v>
      </c>
      <c r="D37" s="281" t="s">
        <v>741</v>
      </c>
      <c r="E37" s="281">
        <f>1</f>
        <v>1</v>
      </c>
      <c r="F37" s="273" t="str">
        <f t="shared" si="1"/>
        <v>8Y_TgtDur</v>
      </c>
      <c r="G37" s="248" t="str">
        <f t="shared" ref="G37:J37" si="38">F37</f>
        <v>8Y_TgtDur</v>
      </c>
      <c r="H37" s="248" t="str">
        <f t="shared" si="38"/>
        <v>8Y_TgtDur</v>
      </c>
      <c r="I37" s="248" t="str">
        <f t="shared" si="38"/>
        <v>8Y_TgtDur</v>
      </c>
      <c r="J37" s="248" t="str">
        <f t="shared" si="38"/>
        <v>8Y_TgtDur</v>
      </c>
      <c r="K37" s="248">
        <v>100</v>
      </c>
      <c r="L37" s="248">
        <v>7</v>
      </c>
      <c r="M37" s="43"/>
      <c r="N37" s="248" t="str">
        <f t="shared" si="3"/>
        <v>8Y_TgtDur</v>
      </c>
      <c r="O37" s="315" t="str">
        <f t="shared" si="4"/>
        <v>12Y_I</v>
      </c>
      <c r="P37" s="248" t="str">
        <f t="shared" si="5"/>
        <v>9Y_I</v>
      </c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</row>
    <row r="38" spans="1:32" x14ac:dyDescent="0.2">
      <c r="A38">
        <v>8.76</v>
      </c>
      <c r="B38" s="39">
        <v>10</v>
      </c>
      <c r="C38" s="281" t="s">
        <v>735</v>
      </c>
      <c r="D38" s="281" t="s">
        <v>742</v>
      </c>
      <c r="E38" s="281">
        <f>1</f>
        <v>1</v>
      </c>
      <c r="F38" s="273" t="str">
        <f t="shared" si="1"/>
        <v>9Y_TgtDur</v>
      </c>
      <c r="G38" s="248" t="str">
        <f t="shared" ref="G38:J38" si="39">F38</f>
        <v>9Y_TgtDur</v>
      </c>
      <c r="H38" s="248" t="str">
        <f t="shared" si="39"/>
        <v>9Y_TgtDur</v>
      </c>
      <c r="I38" s="248" t="str">
        <f t="shared" si="39"/>
        <v>9Y_TgtDur</v>
      </c>
      <c r="J38" s="248" t="str">
        <f t="shared" si="39"/>
        <v>9Y_TgtDur</v>
      </c>
      <c r="K38" s="248">
        <v>100</v>
      </c>
      <c r="L38" s="248">
        <v>7</v>
      </c>
      <c r="M38" s="43"/>
      <c r="N38" s="248" t="str">
        <f t="shared" si="3"/>
        <v>9Y_TgtDur</v>
      </c>
      <c r="O38" s="315" t="str">
        <f t="shared" si="4"/>
        <v>20Y_I</v>
      </c>
      <c r="P38" s="248" t="str">
        <f t="shared" si="5"/>
        <v>12Y_I</v>
      </c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</row>
    <row r="39" spans="1:32" x14ac:dyDescent="0.2">
      <c r="A39">
        <v>8.32</v>
      </c>
      <c r="B39" s="39">
        <v>10</v>
      </c>
      <c r="C39" s="281" t="s">
        <v>734</v>
      </c>
      <c r="D39" s="281" t="s">
        <v>742</v>
      </c>
      <c r="E39" s="281">
        <f>1</f>
        <v>1</v>
      </c>
      <c r="F39" s="273" t="str">
        <f t="shared" si="1"/>
        <v>8Y_TgtDur</v>
      </c>
      <c r="G39" s="248" t="str">
        <f t="shared" ref="G39:J39" si="40">F39</f>
        <v>8Y_TgtDur</v>
      </c>
      <c r="H39" s="248" t="str">
        <f t="shared" si="40"/>
        <v>8Y_TgtDur</v>
      </c>
      <c r="I39" s="248" t="str">
        <f t="shared" si="40"/>
        <v>8Y_TgtDur</v>
      </c>
      <c r="J39" s="248" t="str">
        <f t="shared" si="40"/>
        <v>8Y_TgtDur</v>
      </c>
      <c r="K39" s="248">
        <v>100</v>
      </c>
      <c r="L39" s="248">
        <v>7</v>
      </c>
      <c r="M39" s="43"/>
      <c r="N39" s="248" t="str">
        <f t="shared" si="3"/>
        <v>8Y_TgtDur</v>
      </c>
      <c r="O39" s="315" t="str">
        <f t="shared" si="4"/>
        <v>20Y_I</v>
      </c>
      <c r="P39" s="248" t="str">
        <f t="shared" si="5"/>
        <v>12Y_I</v>
      </c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</row>
    <row r="40" spans="1:32" x14ac:dyDescent="0.2">
      <c r="A40">
        <v>8.7899999999999991</v>
      </c>
      <c r="B40" s="39">
        <v>7</v>
      </c>
      <c r="C40" s="281" t="s">
        <v>732</v>
      </c>
      <c r="D40" s="281" t="s">
        <v>742</v>
      </c>
      <c r="E40" s="281">
        <f>1</f>
        <v>1</v>
      </c>
      <c r="F40" s="273" t="str">
        <f t="shared" si="1"/>
        <v>9Y_TgtDur</v>
      </c>
      <c r="G40" s="248" t="str">
        <f t="shared" ref="G40:J40" si="41">F40</f>
        <v>9Y_TgtDur</v>
      </c>
      <c r="H40" s="248" t="str">
        <f t="shared" si="41"/>
        <v>9Y_TgtDur</v>
      </c>
      <c r="I40" s="248" t="str">
        <f t="shared" si="41"/>
        <v>9Y_TgtDur</v>
      </c>
      <c r="J40" s="248" t="str">
        <f t="shared" si="41"/>
        <v>9Y_TgtDur</v>
      </c>
      <c r="K40" s="248">
        <v>100</v>
      </c>
      <c r="L40" s="248">
        <v>7</v>
      </c>
      <c r="M40" s="43"/>
      <c r="N40" s="248" t="str">
        <f t="shared" si="3"/>
        <v>9Y_TgtDur</v>
      </c>
      <c r="O40" s="315" t="str">
        <f t="shared" si="4"/>
        <v>12Y_I</v>
      </c>
      <c r="P40" s="248" t="str">
        <f t="shared" si="5"/>
        <v>9Y_I</v>
      </c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</row>
    <row r="41" spans="1:32" x14ac:dyDescent="0.2">
      <c r="A41">
        <v>8.83</v>
      </c>
      <c r="B41" s="39">
        <v>5</v>
      </c>
      <c r="C41" s="281" t="s">
        <v>715</v>
      </c>
      <c r="D41" s="281" t="s">
        <v>742</v>
      </c>
      <c r="E41" s="281">
        <f>1</f>
        <v>1</v>
      </c>
      <c r="F41" s="273" t="str">
        <f t="shared" si="1"/>
        <v>9Y_TgtDur</v>
      </c>
      <c r="G41" s="248" t="str">
        <f t="shared" ref="G41:J41" si="42">F41</f>
        <v>9Y_TgtDur</v>
      </c>
      <c r="H41" s="248" t="str">
        <f t="shared" si="42"/>
        <v>9Y_TgtDur</v>
      </c>
      <c r="I41" s="248" t="str">
        <f t="shared" si="42"/>
        <v>9Y_TgtDur</v>
      </c>
      <c r="J41" s="248" t="str">
        <f t="shared" si="42"/>
        <v>9Y_TgtDur</v>
      </c>
      <c r="K41" s="248">
        <v>100</v>
      </c>
      <c r="L41" s="248">
        <v>7</v>
      </c>
      <c r="M41" s="43"/>
      <c r="N41" s="248" t="str">
        <f t="shared" si="3"/>
        <v>9Y_TgtDur</v>
      </c>
      <c r="O41" s="315" t="str">
        <f t="shared" si="4"/>
        <v>9Y_I</v>
      </c>
      <c r="P41" s="248" t="str">
        <f t="shared" si="5"/>
        <v>7Y_I</v>
      </c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</row>
    <row r="42" spans="1:32" x14ac:dyDescent="0.2">
      <c r="A42">
        <v>7.61</v>
      </c>
      <c r="B42" s="39">
        <v>7</v>
      </c>
      <c r="C42" s="281" t="s">
        <v>731</v>
      </c>
      <c r="D42" s="281" t="s">
        <v>742</v>
      </c>
      <c r="E42" s="281">
        <f>1</f>
        <v>1</v>
      </c>
      <c r="F42" s="273" t="str">
        <f t="shared" si="1"/>
        <v>8Y_TgtDur</v>
      </c>
      <c r="G42" s="248" t="str">
        <f t="shared" ref="G42:J42" si="43">F42</f>
        <v>8Y_TgtDur</v>
      </c>
      <c r="H42" s="248" t="str">
        <f t="shared" si="43"/>
        <v>8Y_TgtDur</v>
      </c>
      <c r="I42" s="248" t="str">
        <f t="shared" si="43"/>
        <v>8Y_TgtDur</v>
      </c>
      <c r="J42" s="248" t="str">
        <f t="shared" si="43"/>
        <v>8Y_TgtDur</v>
      </c>
      <c r="K42" s="248">
        <v>100</v>
      </c>
      <c r="L42" s="248">
        <v>7</v>
      </c>
      <c r="M42" s="43"/>
      <c r="N42" s="248" t="str">
        <f t="shared" si="3"/>
        <v>8Y_TgtDur</v>
      </c>
      <c r="O42" s="315" t="str">
        <f t="shared" si="4"/>
        <v>12Y_I</v>
      </c>
      <c r="P42" s="248" t="str">
        <f t="shared" si="5"/>
        <v>9Y_I</v>
      </c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</row>
    <row r="43" spans="1:32" x14ac:dyDescent="0.2">
      <c r="A43">
        <v>8.68</v>
      </c>
      <c r="B43" s="39">
        <v>7</v>
      </c>
      <c r="C43" s="281" t="s">
        <v>726</v>
      </c>
      <c r="D43" s="281" t="s">
        <v>742</v>
      </c>
      <c r="E43" s="281">
        <f>1</f>
        <v>1</v>
      </c>
      <c r="F43" s="273" t="str">
        <f t="shared" si="1"/>
        <v>9Y_TgtDur</v>
      </c>
      <c r="G43" s="248" t="str">
        <f t="shared" ref="G43:J43" si="44">F43</f>
        <v>9Y_TgtDur</v>
      </c>
      <c r="H43" s="248" t="str">
        <f t="shared" si="44"/>
        <v>9Y_TgtDur</v>
      </c>
      <c r="I43" s="248" t="str">
        <f t="shared" si="44"/>
        <v>9Y_TgtDur</v>
      </c>
      <c r="J43" s="248" t="str">
        <f t="shared" si="44"/>
        <v>9Y_TgtDur</v>
      </c>
      <c r="K43" s="248">
        <v>100</v>
      </c>
      <c r="L43" s="248">
        <v>7</v>
      </c>
      <c r="M43" s="43"/>
      <c r="N43" s="248" t="str">
        <f t="shared" si="3"/>
        <v>9Y_TgtDur</v>
      </c>
      <c r="O43" s="315" t="str">
        <f t="shared" si="4"/>
        <v>12Y_I</v>
      </c>
      <c r="P43" s="248" t="str">
        <f t="shared" si="5"/>
        <v>9Y_I</v>
      </c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</row>
    <row r="44" spans="1:32" x14ac:dyDescent="0.2">
      <c r="A44">
        <v>7.61</v>
      </c>
      <c r="B44" s="39">
        <v>7</v>
      </c>
      <c r="C44" s="281" t="s">
        <v>727</v>
      </c>
      <c r="D44" s="281" t="s">
        <v>742</v>
      </c>
      <c r="E44" s="281">
        <f>1</f>
        <v>1</v>
      </c>
      <c r="F44" s="273" t="str">
        <f t="shared" si="1"/>
        <v>8Y_TgtDur</v>
      </c>
      <c r="G44" s="248" t="str">
        <f t="shared" ref="G44:J44" si="45">F44</f>
        <v>8Y_TgtDur</v>
      </c>
      <c r="H44" s="248" t="str">
        <f t="shared" si="45"/>
        <v>8Y_TgtDur</v>
      </c>
      <c r="I44" s="248" t="str">
        <f t="shared" si="45"/>
        <v>8Y_TgtDur</v>
      </c>
      <c r="J44" s="248" t="str">
        <f t="shared" si="45"/>
        <v>8Y_TgtDur</v>
      </c>
      <c r="K44" s="248">
        <v>100</v>
      </c>
      <c r="L44" s="248">
        <v>7</v>
      </c>
      <c r="M44" s="43"/>
      <c r="N44" s="248" t="str">
        <f t="shared" si="3"/>
        <v>8Y_TgtDur</v>
      </c>
      <c r="O44" s="315" t="str">
        <f t="shared" si="4"/>
        <v>12Y_I</v>
      </c>
      <c r="P44" s="248" t="str">
        <f t="shared" si="5"/>
        <v>9Y_I</v>
      </c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</row>
    <row r="45" spans="1:32" x14ac:dyDescent="0.2">
      <c r="A45">
        <v>9.24</v>
      </c>
      <c r="B45" s="39">
        <v>7</v>
      </c>
      <c r="C45" s="281" t="s">
        <v>725</v>
      </c>
      <c r="D45" s="281" t="s">
        <v>742</v>
      </c>
      <c r="E45" s="281">
        <f>1</f>
        <v>1</v>
      </c>
      <c r="F45" s="273" t="str">
        <f t="shared" si="1"/>
        <v>9Y_TgtDur</v>
      </c>
      <c r="G45" s="248" t="str">
        <f t="shared" ref="G45:J45" si="46">F45</f>
        <v>9Y_TgtDur</v>
      </c>
      <c r="H45" s="248" t="str">
        <f t="shared" si="46"/>
        <v>9Y_TgtDur</v>
      </c>
      <c r="I45" s="248" t="str">
        <f t="shared" si="46"/>
        <v>9Y_TgtDur</v>
      </c>
      <c r="J45" s="248" t="str">
        <f t="shared" si="46"/>
        <v>9Y_TgtDur</v>
      </c>
      <c r="K45" s="248">
        <v>100</v>
      </c>
      <c r="L45" s="248">
        <v>7</v>
      </c>
      <c r="M45" s="43"/>
      <c r="N45" s="248" t="str">
        <f t="shared" si="3"/>
        <v>9Y_TgtDur</v>
      </c>
      <c r="O45" s="315" t="str">
        <f t="shared" si="4"/>
        <v>12Y_I</v>
      </c>
      <c r="P45" s="248" t="str">
        <f t="shared" si="5"/>
        <v>9Y_I</v>
      </c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</row>
    <row r="46" spans="1:32" x14ac:dyDescent="0.2">
      <c r="A46">
        <v>7.61</v>
      </c>
      <c r="B46" s="39">
        <v>7</v>
      </c>
      <c r="C46" s="281" t="s">
        <v>730</v>
      </c>
      <c r="D46" s="281" t="s">
        <v>742</v>
      </c>
      <c r="E46" s="281">
        <f>1</f>
        <v>1</v>
      </c>
      <c r="F46" s="273" t="str">
        <f t="shared" si="1"/>
        <v>8Y_TgtDur</v>
      </c>
      <c r="G46" s="248" t="str">
        <f t="shared" ref="G46:J46" si="47">F46</f>
        <v>8Y_TgtDur</v>
      </c>
      <c r="H46" s="248" t="str">
        <f t="shared" si="47"/>
        <v>8Y_TgtDur</v>
      </c>
      <c r="I46" s="248" t="str">
        <f t="shared" si="47"/>
        <v>8Y_TgtDur</v>
      </c>
      <c r="J46" s="248" t="str">
        <f t="shared" si="47"/>
        <v>8Y_TgtDur</v>
      </c>
      <c r="K46" s="248">
        <v>100</v>
      </c>
      <c r="L46" s="248">
        <v>7</v>
      </c>
      <c r="M46" s="43"/>
      <c r="N46" s="248" t="str">
        <f t="shared" si="3"/>
        <v>8Y_TgtDur</v>
      </c>
      <c r="O46" s="315" t="str">
        <f t="shared" si="4"/>
        <v>12Y_I</v>
      </c>
      <c r="P46" s="248" t="str">
        <f t="shared" si="5"/>
        <v>9Y_I</v>
      </c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</row>
    <row r="47" spans="1:32" x14ac:dyDescent="0.2">
      <c r="A47">
        <v>8.1300000000000008</v>
      </c>
      <c r="B47" s="39">
        <v>10</v>
      </c>
      <c r="C47" s="281" t="s">
        <v>738</v>
      </c>
      <c r="D47" s="281" t="s">
        <v>742</v>
      </c>
      <c r="E47" s="281">
        <f>1</f>
        <v>1</v>
      </c>
      <c r="F47" s="273" t="str">
        <f t="shared" si="1"/>
        <v>8Y_TgtDur</v>
      </c>
      <c r="G47" s="248" t="str">
        <f t="shared" ref="G47:J47" si="48">F47</f>
        <v>8Y_TgtDur</v>
      </c>
      <c r="H47" s="248" t="str">
        <f t="shared" si="48"/>
        <v>8Y_TgtDur</v>
      </c>
      <c r="I47" s="248" t="str">
        <f t="shared" si="48"/>
        <v>8Y_TgtDur</v>
      </c>
      <c r="J47" s="248" t="str">
        <f t="shared" si="48"/>
        <v>8Y_TgtDur</v>
      </c>
      <c r="K47" s="248">
        <v>100</v>
      </c>
      <c r="L47" s="248">
        <v>7</v>
      </c>
      <c r="M47" s="43"/>
      <c r="N47" s="248" t="str">
        <f t="shared" si="3"/>
        <v>8Y_TgtDur</v>
      </c>
      <c r="O47" s="315" t="str">
        <f t="shared" si="4"/>
        <v>20Y_I</v>
      </c>
      <c r="P47" s="248" t="str">
        <f t="shared" si="5"/>
        <v>12Y_I</v>
      </c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</row>
    <row r="48" spans="1:32" x14ac:dyDescent="0.2">
      <c r="A48">
        <v>14.07</v>
      </c>
      <c r="B48" s="39">
        <v>10</v>
      </c>
      <c r="C48" s="281" t="s">
        <v>745</v>
      </c>
      <c r="D48" s="281" t="s">
        <v>742</v>
      </c>
      <c r="E48" s="281">
        <f>1</f>
        <v>1</v>
      </c>
      <c r="F48" s="273" t="str">
        <f t="shared" si="1"/>
        <v>14Y_TgtDur</v>
      </c>
      <c r="G48" s="248" t="str">
        <f t="shared" ref="G48:J48" si="49">F48</f>
        <v>14Y_TgtDur</v>
      </c>
      <c r="H48" s="248" t="str">
        <f t="shared" si="49"/>
        <v>14Y_TgtDur</v>
      </c>
      <c r="I48" s="248" t="str">
        <f t="shared" si="49"/>
        <v>14Y_TgtDur</v>
      </c>
      <c r="J48" s="248" t="str">
        <f t="shared" si="49"/>
        <v>14Y_TgtDur</v>
      </c>
      <c r="K48" s="248">
        <v>100</v>
      </c>
      <c r="L48" s="248">
        <v>7</v>
      </c>
      <c r="M48" s="43"/>
      <c r="N48" s="248" t="str">
        <f t="shared" si="3"/>
        <v>14Y_TgtDur</v>
      </c>
      <c r="O48" s="315" t="str">
        <f t="shared" si="4"/>
        <v>20Y_I</v>
      </c>
      <c r="P48" s="248" t="str">
        <f t="shared" si="5"/>
        <v>12Y_I</v>
      </c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</row>
    <row r="49" spans="1:32" x14ac:dyDescent="0.2">
      <c r="A49">
        <v>7.39</v>
      </c>
      <c r="B49" s="39">
        <v>7</v>
      </c>
      <c r="C49" s="281" t="s">
        <v>729</v>
      </c>
      <c r="D49" s="281" t="s">
        <v>742</v>
      </c>
      <c r="E49" s="281">
        <f>1</f>
        <v>1</v>
      </c>
      <c r="F49" s="273" t="str">
        <f t="shared" si="1"/>
        <v>7Y_TgtDur</v>
      </c>
      <c r="G49" s="248" t="str">
        <f t="shared" ref="G49:J49" si="50">F49</f>
        <v>7Y_TgtDur</v>
      </c>
      <c r="H49" s="248" t="str">
        <f t="shared" si="50"/>
        <v>7Y_TgtDur</v>
      </c>
      <c r="I49" s="248" t="str">
        <f t="shared" si="50"/>
        <v>7Y_TgtDur</v>
      </c>
      <c r="J49" s="248" t="str">
        <f t="shared" si="50"/>
        <v>7Y_TgtDur</v>
      </c>
      <c r="K49" s="248">
        <v>100</v>
      </c>
      <c r="L49" s="248">
        <v>7</v>
      </c>
      <c r="M49" s="43"/>
      <c r="N49" s="248" t="str">
        <f t="shared" si="3"/>
        <v>7Y_TgtDur</v>
      </c>
      <c r="O49" s="315" t="str">
        <f t="shared" si="4"/>
        <v>12Y_I</v>
      </c>
      <c r="P49" s="248" t="str">
        <f t="shared" si="5"/>
        <v>9Y_I</v>
      </c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</row>
    <row r="50" spans="1:32" x14ac:dyDescent="0.2">
      <c r="A50">
        <v>14.07</v>
      </c>
      <c r="B50" s="39">
        <v>10</v>
      </c>
      <c r="C50" s="281" t="s">
        <v>739</v>
      </c>
      <c r="D50" s="281" t="s">
        <v>742</v>
      </c>
      <c r="E50" s="281">
        <f>1</f>
        <v>1</v>
      </c>
      <c r="F50" s="273" t="str">
        <f t="shared" si="1"/>
        <v>14Y_TgtDur</v>
      </c>
      <c r="G50" s="248" t="str">
        <f t="shared" ref="G50:J50" si="51">F50</f>
        <v>14Y_TgtDur</v>
      </c>
      <c r="H50" s="248" t="str">
        <f t="shared" si="51"/>
        <v>14Y_TgtDur</v>
      </c>
      <c r="I50" s="248" t="str">
        <f t="shared" si="51"/>
        <v>14Y_TgtDur</v>
      </c>
      <c r="J50" s="248" t="str">
        <f t="shared" si="51"/>
        <v>14Y_TgtDur</v>
      </c>
      <c r="K50" s="248">
        <v>100</v>
      </c>
      <c r="L50" s="248">
        <v>7</v>
      </c>
      <c r="M50" s="43"/>
      <c r="N50" s="248" t="str">
        <f t="shared" si="3"/>
        <v>14Y_TgtDur</v>
      </c>
      <c r="O50" s="315" t="str">
        <f t="shared" si="4"/>
        <v>20Y_I</v>
      </c>
      <c r="P50" s="248" t="str">
        <f t="shared" si="5"/>
        <v>12Y_I</v>
      </c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</row>
    <row r="51" spans="1:32" x14ac:dyDescent="0.2">
      <c r="A51">
        <f>A38</f>
        <v>8.76</v>
      </c>
      <c r="B51" s="39">
        <v>10</v>
      </c>
      <c r="C51" s="281" t="s">
        <v>736</v>
      </c>
      <c r="D51" s="281" t="s">
        <v>742</v>
      </c>
      <c r="E51" s="281">
        <f>1</f>
        <v>1</v>
      </c>
      <c r="F51" s="273" t="str">
        <f t="shared" si="1"/>
        <v>9Y_TgtDur</v>
      </c>
      <c r="G51" s="248" t="str">
        <f t="shared" ref="G51:J51" si="52">F51</f>
        <v>9Y_TgtDur</v>
      </c>
      <c r="H51" s="248" t="str">
        <f t="shared" si="52"/>
        <v>9Y_TgtDur</v>
      </c>
      <c r="I51" s="248" t="str">
        <f t="shared" si="52"/>
        <v>9Y_TgtDur</v>
      </c>
      <c r="J51" s="248" t="str">
        <f t="shared" si="52"/>
        <v>9Y_TgtDur</v>
      </c>
      <c r="K51" s="248">
        <v>100</v>
      </c>
      <c r="L51" s="248">
        <v>7</v>
      </c>
      <c r="M51" s="43"/>
      <c r="N51" s="248" t="str">
        <f t="shared" si="3"/>
        <v>9Y_TgtDur</v>
      </c>
      <c r="O51" s="315" t="str">
        <f t="shared" si="4"/>
        <v>20Y_I</v>
      </c>
      <c r="P51" s="248" t="str">
        <f t="shared" si="5"/>
        <v>12Y_I</v>
      </c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</row>
    <row r="52" spans="1:32" x14ac:dyDescent="0.2">
      <c r="A52">
        <f>A5</f>
        <v>6.15</v>
      </c>
      <c r="B52" s="39">
        <v>10</v>
      </c>
      <c r="C52" s="281" t="s">
        <v>736</v>
      </c>
      <c r="D52" s="281" t="s">
        <v>740</v>
      </c>
      <c r="E52" s="281">
        <f>1</f>
        <v>1</v>
      </c>
      <c r="F52" s="273" t="str">
        <f t="shared" si="1"/>
        <v>6Y_TgtDur</v>
      </c>
      <c r="G52" s="248" t="str">
        <f t="shared" ref="G52:J52" si="53">F52</f>
        <v>6Y_TgtDur</v>
      </c>
      <c r="H52" s="248" t="str">
        <f t="shared" si="53"/>
        <v>6Y_TgtDur</v>
      </c>
      <c r="I52" s="248" t="str">
        <f t="shared" si="53"/>
        <v>6Y_TgtDur</v>
      </c>
      <c r="J52" s="248" t="str">
        <f t="shared" si="53"/>
        <v>6Y_TgtDur</v>
      </c>
      <c r="K52" s="248">
        <v>100</v>
      </c>
      <c r="L52" s="248">
        <v>7</v>
      </c>
      <c r="M52" s="43"/>
      <c r="N52" s="248" t="str">
        <f t="shared" si="3"/>
        <v>6Y_TgtDur</v>
      </c>
      <c r="O52" s="315" t="str">
        <f t="shared" si="4"/>
        <v>10Y_I</v>
      </c>
      <c r="P52" s="248" t="str">
        <f t="shared" si="5"/>
        <v>12Y_I</v>
      </c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</row>
    <row r="53" spans="1:32" x14ac:dyDescent="0.2">
      <c r="A53">
        <f>A11</f>
        <v>4.43</v>
      </c>
      <c r="B53" s="39">
        <v>5</v>
      </c>
      <c r="C53" s="281" t="s">
        <v>724</v>
      </c>
      <c r="D53" s="281" t="s">
        <v>740</v>
      </c>
      <c r="E53" s="281">
        <f>1</f>
        <v>1</v>
      </c>
      <c r="F53" s="273" t="str">
        <f t="shared" si="1"/>
        <v>4Y_TgtDur</v>
      </c>
      <c r="G53" s="248" t="str">
        <f t="shared" ref="G53:J53" si="54">F53</f>
        <v>4Y_TgtDur</v>
      </c>
      <c r="H53" s="248" t="str">
        <f t="shared" si="54"/>
        <v>4Y_TgtDur</v>
      </c>
      <c r="I53" s="248" t="str">
        <f t="shared" si="54"/>
        <v>4Y_TgtDur</v>
      </c>
      <c r="J53" s="248" t="str">
        <f t="shared" si="54"/>
        <v>4Y_TgtDur</v>
      </c>
      <c r="K53" s="248">
        <v>100</v>
      </c>
      <c r="L53" s="248">
        <v>7</v>
      </c>
      <c r="M53" s="43"/>
      <c r="N53" s="248" t="str">
        <f t="shared" si="3"/>
        <v>4Y_TgtDur</v>
      </c>
      <c r="O53" s="315" t="str">
        <f t="shared" si="4"/>
        <v>5Y_I</v>
      </c>
      <c r="P53" s="248" t="str">
        <f t="shared" si="5"/>
        <v>7Y_I</v>
      </c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</row>
    <row r="54" spans="1:32" x14ac:dyDescent="0.2">
      <c r="A54">
        <f>A20</f>
        <v>5.75</v>
      </c>
      <c r="B54" s="39">
        <v>7</v>
      </c>
      <c r="C54" s="281" t="s">
        <v>723</v>
      </c>
      <c r="D54" s="281" t="s">
        <v>740</v>
      </c>
      <c r="E54" s="281">
        <f>1</f>
        <v>1</v>
      </c>
      <c r="F54" s="273" t="str">
        <f t="shared" si="1"/>
        <v>6Y_TgtDur</v>
      </c>
      <c r="G54" s="248" t="str">
        <f t="shared" ref="G54:J54" si="55">F54</f>
        <v>6Y_TgtDur</v>
      </c>
      <c r="H54" s="248" t="str">
        <f t="shared" si="55"/>
        <v>6Y_TgtDur</v>
      </c>
      <c r="I54" s="248" t="str">
        <f t="shared" si="55"/>
        <v>6Y_TgtDur</v>
      </c>
      <c r="J54" s="248" t="str">
        <f t="shared" si="55"/>
        <v>6Y_TgtDur</v>
      </c>
      <c r="K54" s="248">
        <v>100</v>
      </c>
      <c r="L54" s="248">
        <v>7</v>
      </c>
      <c r="M54" s="43"/>
      <c r="N54" s="248" t="str">
        <f t="shared" si="3"/>
        <v>6Y_TgtDur</v>
      </c>
      <c r="O54" s="315" t="str">
        <f t="shared" si="4"/>
        <v>7Y_I</v>
      </c>
      <c r="P54" s="248" t="str">
        <f t="shared" si="5"/>
        <v>9Y_I</v>
      </c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</row>
    <row r="55" spans="1:32" s="39" customFormat="1" x14ac:dyDescent="0.2">
      <c r="A55" s="39">
        <f>A37</f>
        <v>8.49</v>
      </c>
      <c r="B55" s="39">
        <v>7</v>
      </c>
      <c r="C55" s="281" t="s">
        <v>723</v>
      </c>
      <c r="D55" s="281" t="s">
        <v>741</v>
      </c>
      <c r="E55" s="281">
        <f>1</f>
        <v>1</v>
      </c>
      <c r="F55" s="273" t="str">
        <f t="shared" si="1"/>
        <v>8Y_TgtDur</v>
      </c>
      <c r="G55" s="248" t="str">
        <f t="shared" ref="G55" si="56">F55</f>
        <v>8Y_TgtDur</v>
      </c>
      <c r="H55" s="248" t="str">
        <f t="shared" ref="H55" si="57">G55</f>
        <v>8Y_TgtDur</v>
      </c>
      <c r="I55" s="248" t="str">
        <f t="shared" ref="I55" si="58">H55</f>
        <v>8Y_TgtDur</v>
      </c>
      <c r="J55" s="248" t="str">
        <f t="shared" ref="J55" si="59">I55</f>
        <v>8Y_TgtDur</v>
      </c>
      <c r="K55" s="248">
        <v>100</v>
      </c>
      <c r="L55" s="248">
        <v>7</v>
      </c>
      <c r="M55" s="43"/>
      <c r="N55" s="248" t="str">
        <f t="shared" si="3"/>
        <v>8Y_TgtDur</v>
      </c>
      <c r="O55" s="315" t="str">
        <f t="shared" si="4"/>
        <v>12Y_I</v>
      </c>
      <c r="P55" s="248" t="str">
        <f t="shared" si="5"/>
        <v>9Y_I</v>
      </c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</row>
    <row r="56" spans="1:32" x14ac:dyDescent="0.2">
      <c r="A56">
        <f>A15</f>
        <v>5.17</v>
      </c>
      <c r="B56" s="39">
        <v>7</v>
      </c>
      <c r="C56" s="281" t="s">
        <v>718</v>
      </c>
      <c r="D56" s="281" t="s">
        <v>740</v>
      </c>
      <c r="E56" s="281">
        <f>1</f>
        <v>1</v>
      </c>
      <c r="F56" s="273" t="str">
        <f t="shared" si="1"/>
        <v>5Y_TgtDur</v>
      </c>
      <c r="G56" s="248" t="str">
        <f t="shared" ref="G56:J56" si="60">F56</f>
        <v>5Y_TgtDur</v>
      </c>
      <c r="H56" s="248" t="str">
        <f t="shared" si="60"/>
        <v>5Y_TgtDur</v>
      </c>
      <c r="I56" s="248" t="str">
        <f t="shared" si="60"/>
        <v>5Y_TgtDur</v>
      </c>
      <c r="J56" s="248" t="str">
        <f t="shared" si="60"/>
        <v>5Y_TgtDur</v>
      </c>
      <c r="K56" s="248">
        <v>100</v>
      </c>
      <c r="L56" s="248">
        <v>7</v>
      </c>
      <c r="M56" s="43"/>
      <c r="N56" s="248" t="str">
        <f t="shared" si="3"/>
        <v>5Y_TgtDur</v>
      </c>
      <c r="O56" s="315" t="str">
        <f t="shared" si="4"/>
        <v>7Y_I</v>
      </c>
      <c r="P56" s="248" t="str">
        <f t="shared" si="5"/>
        <v>9Y_I</v>
      </c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</row>
    <row r="57" spans="1:32" x14ac:dyDescent="0.2">
      <c r="A57">
        <f>A15</f>
        <v>5.17</v>
      </c>
      <c r="B57" s="39">
        <v>7</v>
      </c>
      <c r="C57" s="281" t="s">
        <v>720</v>
      </c>
      <c r="D57" s="281" t="s">
        <v>740</v>
      </c>
      <c r="E57" s="281">
        <f>1</f>
        <v>1</v>
      </c>
      <c r="F57" s="273" t="str">
        <f t="shared" si="1"/>
        <v>5Y_TgtDur</v>
      </c>
      <c r="G57" s="248" t="str">
        <f t="shared" ref="G57:J57" si="61">F57</f>
        <v>5Y_TgtDur</v>
      </c>
      <c r="H57" s="248" t="str">
        <f t="shared" si="61"/>
        <v>5Y_TgtDur</v>
      </c>
      <c r="I57" s="248" t="str">
        <f t="shared" si="61"/>
        <v>5Y_TgtDur</v>
      </c>
      <c r="J57" s="248" t="str">
        <f t="shared" si="61"/>
        <v>5Y_TgtDur</v>
      </c>
      <c r="K57" s="248">
        <v>100</v>
      </c>
      <c r="L57" s="248">
        <v>7</v>
      </c>
      <c r="M57" s="43"/>
      <c r="N57" s="248" t="str">
        <f t="shared" si="3"/>
        <v>5Y_TgtDur</v>
      </c>
      <c r="O57" s="315" t="str">
        <f t="shared" si="4"/>
        <v>7Y_I</v>
      </c>
      <c r="P57" s="248" t="str">
        <f t="shared" si="5"/>
        <v>9Y_I</v>
      </c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</row>
    <row r="58" spans="1:32" x14ac:dyDescent="0.2">
      <c r="A58">
        <f>A15</f>
        <v>5.17</v>
      </c>
      <c r="B58" s="39">
        <v>7</v>
      </c>
      <c r="C58" s="281" t="s">
        <v>721</v>
      </c>
      <c r="D58" s="281" t="s">
        <v>740</v>
      </c>
      <c r="E58" s="281">
        <f>1</f>
        <v>1</v>
      </c>
      <c r="F58" s="273" t="str">
        <f t="shared" si="1"/>
        <v>5Y_TgtDur</v>
      </c>
      <c r="G58" s="248" t="str">
        <f t="shared" ref="G58:J58" si="62">F58</f>
        <v>5Y_TgtDur</v>
      </c>
      <c r="H58" s="248" t="str">
        <f t="shared" si="62"/>
        <v>5Y_TgtDur</v>
      </c>
      <c r="I58" s="248" t="str">
        <f t="shared" si="62"/>
        <v>5Y_TgtDur</v>
      </c>
      <c r="J58" s="248" t="str">
        <f t="shared" si="62"/>
        <v>5Y_TgtDur</v>
      </c>
      <c r="K58" s="248">
        <v>100</v>
      </c>
      <c r="L58" s="248">
        <v>7</v>
      </c>
      <c r="M58" s="43"/>
      <c r="N58" s="248" t="str">
        <f t="shared" si="3"/>
        <v>5Y_TgtDur</v>
      </c>
      <c r="O58" s="315" t="str">
        <f t="shared" si="4"/>
        <v>7Y_I</v>
      </c>
      <c r="P58" s="248" t="str">
        <f t="shared" si="5"/>
        <v>9Y_I</v>
      </c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</row>
    <row r="59" spans="1:32" x14ac:dyDescent="0.2">
      <c r="A59">
        <f>A15</f>
        <v>5.17</v>
      </c>
      <c r="B59" s="39">
        <v>7</v>
      </c>
      <c r="C59" s="281" t="s">
        <v>719</v>
      </c>
      <c r="D59" s="281" t="s">
        <v>740</v>
      </c>
      <c r="E59" s="281">
        <f>1</f>
        <v>1</v>
      </c>
      <c r="F59" s="273" t="str">
        <f t="shared" si="1"/>
        <v>5Y_TgtDur</v>
      </c>
      <c r="G59" s="248" t="str">
        <f t="shared" ref="G59:J59" si="63">F59</f>
        <v>5Y_TgtDur</v>
      </c>
      <c r="H59" s="248" t="str">
        <f t="shared" si="63"/>
        <v>5Y_TgtDur</v>
      </c>
      <c r="I59" s="248" t="str">
        <f t="shared" si="63"/>
        <v>5Y_TgtDur</v>
      </c>
      <c r="J59" s="248" t="str">
        <f t="shared" si="63"/>
        <v>5Y_TgtDur</v>
      </c>
      <c r="K59" s="248">
        <v>100</v>
      </c>
      <c r="L59" s="248">
        <v>7</v>
      </c>
      <c r="M59" s="43"/>
      <c r="N59" s="248" t="str">
        <f t="shared" si="3"/>
        <v>5Y_TgtDur</v>
      </c>
      <c r="O59" s="315" t="str">
        <f t="shared" si="4"/>
        <v>7Y_I</v>
      </c>
      <c r="P59" s="248" t="str">
        <f t="shared" si="5"/>
        <v>9Y_I</v>
      </c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</row>
  </sheetData>
  <conditionalFormatting sqref="F5:J8 G56:J59 G9:J12 F6:F12 O56:P59 F15:F59 G15:J54 N15:N59 O15:P54">
    <cfRule type="cellIs" dxfId="1510" priority="50" operator="notEqual">
      <formula>F$29</formula>
    </cfRule>
  </conditionalFormatting>
  <conditionalFormatting sqref="G5:J12 G56:J59 O56:P59 G15:J54 F15:F59 N15:N59 O15:P54">
    <cfRule type="cellIs" dxfId="1509" priority="52" operator="notEqual">
      <formula>E$100</formula>
    </cfRule>
  </conditionalFormatting>
  <conditionalFormatting sqref="F5:F12">
    <cfRule type="cellIs" dxfId="1508" priority="48" operator="notEqual">
      <formula>E$100</formula>
    </cfRule>
  </conditionalFormatting>
  <conditionalFormatting sqref="K5:L12 K56:L59 K15:L54">
    <cfRule type="cellIs" dxfId="1507" priority="44" operator="notEqual">
      <formula>K$31</formula>
    </cfRule>
  </conditionalFormatting>
  <conditionalFormatting sqref="N5:N12">
    <cfRule type="cellIs" dxfId="1506" priority="38" operator="notEqual">
      <formula>N$29</formula>
    </cfRule>
  </conditionalFormatting>
  <conditionalFormatting sqref="N5:N12">
    <cfRule type="cellIs" dxfId="1505" priority="37" operator="notEqual">
      <formula>M$100</formula>
    </cfRule>
  </conditionalFormatting>
  <conditionalFormatting sqref="P5:P12">
    <cfRule type="cellIs" dxfId="1504" priority="34" operator="notEqual">
      <formula>P$29</formula>
    </cfRule>
  </conditionalFormatting>
  <conditionalFormatting sqref="P5:P12">
    <cfRule type="cellIs" dxfId="1503" priority="33" operator="notEqual">
      <formula>O$100</formula>
    </cfRule>
  </conditionalFormatting>
  <conditionalFormatting sqref="O5:O12">
    <cfRule type="cellIs" dxfId="1502" priority="32" operator="notEqual">
      <formula>O$29</formula>
    </cfRule>
  </conditionalFormatting>
  <conditionalFormatting sqref="O5:O12">
    <cfRule type="cellIs" dxfId="1501" priority="31" operator="notEqual">
      <formula>N$100</formula>
    </cfRule>
  </conditionalFormatting>
  <conditionalFormatting sqref="G55:J55">
    <cfRule type="cellIs" dxfId="1500" priority="29" operator="notEqual">
      <formula>G$29</formula>
    </cfRule>
  </conditionalFormatting>
  <conditionalFormatting sqref="G55:J55">
    <cfRule type="cellIs" dxfId="1499" priority="30" operator="notEqual">
      <formula>F$100</formula>
    </cfRule>
  </conditionalFormatting>
  <conditionalFormatting sqref="K55:L55">
    <cfRule type="cellIs" dxfId="1498" priority="27" operator="notEqual">
      <formula>K$31</formula>
    </cfRule>
  </conditionalFormatting>
  <conditionalFormatting sqref="P55">
    <cfRule type="cellIs" dxfId="1497" priority="24" operator="notEqual">
      <formula>P$29</formula>
    </cfRule>
  </conditionalFormatting>
  <conditionalFormatting sqref="P55">
    <cfRule type="cellIs" dxfId="1496" priority="23" operator="notEqual">
      <formula>O$100</formula>
    </cfRule>
  </conditionalFormatting>
  <conditionalFormatting sqref="O55">
    <cfRule type="cellIs" dxfId="1495" priority="22" operator="notEqual">
      <formula>O$29</formula>
    </cfRule>
  </conditionalFormatting>
  <conditionalFormatting sqref="O55">
    <cfRule type="cellIs" dxfId="1494" priority="21" operator="notEqual">
      <formula>N$100</formula>
    </cfRule>
  </conditionalFormatting>
  <conditionalFormatting sqref="F14:J14">
    <cfRule type="cellIs" dxfId="1493" priority="19" operator="notEqual">
      <formula>F$29</formula>
    </cfRule>
  </conditionalFormatting>
  <conditionalFormatting sqref="G14:J14">
    <cfRule type="cellIs" dxfId="1492" priority="20" operator="notEqual">
      <formula>F$100</formula>
    </cfRule>
  </conditionalFormatting>
  <conditionalFormatting sqref="F14">
    <cfRule type="cellIs" dxfId="1491" priority="18" operator="notEqual">
      <formula>E$100</formula>
    </cfRule>
  </conditionalFormatting>
  <conditionalFormatting sqref="K14:L14">
    <cfRule type="cellIs" dxfId="1490" priority="17" operator="notEqual">
      <formula>K$31</formula>
    </cfRule>
  </conditionalFormatting>
  <conditionalFormatting sqref="N14">
    <cfRule type="cellIs" dxfId="1489" priority="16" operator="notEqual">
      <formula>N$29</formula>
    </cfRule>
  </conditionalFormatting>
  <conditionalFormatting sqref="N14">
    <cfRule type="cellIs" dxfId="1488" priority="15" operator="notEqual">
      <formula>M$100</formula>
    </cfRule>
  </conditionalFormatting>
  <conditionalFormatting sqref="P14">
    <cfRule type="cellIs" dxfId="1487" priority="14" operator="notEqual">
      <formula>P$29</formula>
    </cfRule>
  </conditionalFormatting>
  <conditionalFormatting sqref="P14">
    <cfRule type="cellIs" dxfId="1486" priority="13" operator="notEqual">
      <formula>O$100</formula>
    </cfRule>
  </conditionalFormatting>
  <conditionalFormatting sqref="O14">
    <cfRule type="cellIs" dxfId="1485" priority="12" operator="notEqual">
      <formula>O$29</formula>
    </cfRule>
  </conditionalFormatting>
  <conditionalFormatting sqref="O14">
    <cfRule type="cellIs" dxfId="1484" priority="11" operator="notEqual">
      <formula>N$100</formula>
    </cfRule>
  </conditionalFormatting>
  <conditionalFormatting sqref="F13:J13">
    <cfRule type="cellIs" dxfId="1483" priority="9" operator="notEqual">
      <formula>F$29</formula>
    </cfRule>
  </conditionalFormatting>
  <conditionalFormatting sqref="G13:J13">
    <cfRule type="cellIs" dxfId="1482" priority="10" operator="notEqual">
      <formula>F$100</formula>
    </cfRule>
  </conditionalFormatting>
  <conditionalFormatting sqref="F13">
    <cfRule type="cellIs" dxfId="1481" priority="8" operator="notEqual">
      <formula>E$100</formula>
    </cfRule>
  </conditionalFormatting>
  <conditionalFormatting sqref="K13:L13">
    <cfRule type="cellIs" dxfId="1480" priority="7" operator="notEqual">
      <formula>K$31</formula>
    </cfRule>
  </conditionalFormatting>
  <conditionalFormatting sqref="N13">
    <cfRule type="cellIs" dxfId="1479" priority="6" operator="notEqual">
      <formula>N$29</formula>
    </cfRule>
  </conditionalFormatting>
  <conditionalFormatting sqref="N13">
    <cfRule type="cellIs" dxfId="1478" priority="5" operator="notEqual">
      <formula>M$100</formula>
    </cfRule>
  </conditionalFormatting>
  <conditionalFormatting sqref="P13">
    <cfRule type="cellIs" dxfId="1477" priority="4" operator="notEqual">
      <formula>P$29</formula>
    </cfRule>
  </conditionalFormatting>
  <conditionalFormatting sqref="P13">
    <cfRule type="cellIs" dxfId="1476" priority="3" operator="notEqual">
      <formula>O$100</formula>
    </cfRule>
  </conditionalFormatting>
  <conditionalFormatting sqref="O13">
    <cfRule type="cellIs" dxfId="1475" priority="2" operator="notEqual">
      <formula>O$29</formula>
    </cfRule>
  </conditionalFormatting>
  <conditionalFormatting sqref="O13">
    <cfRule type="cellIs" dxfId="1474" priority="1" operator="notEqual">
      <formula>N$100</formula>
    </cfRule>
  </conditionalFormatting>
  <hyperlinks>
    <hyperlink ref="A3" location="Strategy!B24" display="Back To Main" xr:uid="{00000000-0004-0000-0900-000000000000}"/>
  </hyperlinks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A1:LJ41"/>
  <sheetViews>
    <sheetView zoomScale="90" zoomScaleNormal="90" workbookViewId="0"/>
  </sheetViews>
  <sheetFormatPr defaultRowHeight="12.75" x14ac:dyDescent="0.2"/>
  <cols>
    <col min="1" max="1" width="12.42578125" bestFit="1" customWidth="1"/>
    <col min="2" max="2" width="23" customWidth="1"/>
    <col min="3" max="44" width="13.42578125" customWidth="1"/>
  </cols>
  <sheetData>
    <row r="1" spans="1:322" s="39" customFormat="1" x14ac:dyDescent="0.2"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</row>
    <row r="2" spans="1:322" s="39" customFormat="1" x14ac:dyDescent="0.2">
      <c r="A2" s="14" t="s">
        <v>9</v>
      </c>
      <c r="B2" s="18" t="e">
        <f>GetNameRange(B3)</f>
        <v>#VALUE!</v>
      </c>
      <c r="C2" s="50" t="s">
        <v>6</v>
      </c>
      <c r="D2" s="50" t="s">
        <v>6</v>
      </c>
      <c r="E2" s="50" t="s">
        <v>6</v>
      </c>
      <c r="F2" s="50" t="s">
        <v>6</v>
      </c>
      <c r="G2" s="50" t="s">
        <v>6</v>
      </c>
      <c r="H2" s="150">
        <v>999.99</v>
      </c>
      <c r="I2" s="150">
        <v>999.99</v>
      </c>
      <c r="J2" s="50" t="s">
        <v>6</v>
      </c>
      <c r="K2" s="50" t="s">
        <v>6</v>
      </c>
      <c r="L2" s="50" t="s">
        <v>6</v>
      </c>
      <c r="M2" s="50" t="s">
        <v>6</v>
      </c>
      <c r="N2" s="50" t="s">
        <v>6</v>
      </c>
      <c r="O2" s="150">
        <v>999.99</v>
      </c>
      <c r="P2" s="150">
        <v>999.99</v>
      </c>
      <c r="Q2" s="50" t="s">
        <v>6</v>
      </c>
      <c r="R2" s="50" t="s">
        <v>6</v>
      </c>
      <c r="S2" s="50" t="s">
        <v>6</v>
      </c>
      <c r="T2" s="50" t="s">
        <v>6</v>
      </c>
      <c r="U2" s="50" t="s">
        <v>6</v>
      </c>
      <c r="V2" s="150">
        <v>999.99</v>
      </c>
      <c r="W2" s="150">
        <v>999.99</v>
      </c>
      <c r="X2" s="50" t="s">
        <v>6</v>
      </c>
      <c r="Y2" s="50" t="s">
        <v>6</v>
      </c>
      <c r="Z2" s="50" t="s">
        <v>6</v>
      </c>
      <c r="AA2" s="50" t="s">
        <v>6</v>
      </c>
      <c r="AB2" s="50" t="s">
        <v>6</v>
      </c>
      <c r="AC2" s="150">
        <v>999.99</v>
      </c>
      <c r="AD2" s="150">
        <v>999.99</v>
      </c>
      <c r="AE2" s="50" t="s">
        <v>6</v>
      </c>
      <c r="AF2" s="50" t="s">
        <v>6</v>
      </c>
      <c r="AG2" s="50" t="s">
        <v>6</v>
      </c>
      <c r="AH2" s="50" t="s">
        <v>6</v>
      </c>
      <c r="AI2" s="50" t="s">
        <v>6</v>
      </c>
      <c r="AJ2" s="150">
        <v>999.99</v>
      </c>
      <c r="AK2" s="150">
        <v>999.99</v>
      </c>
      <c r="AL2" s="50" t="s">
        <v>6</v>
      </c>
      <c r="AM2" s="50" t="s">
        <v>6</v>
      </c>
      <c r="AN2" s="50" t="s">
        <v>6</v>
      </c>
      <c r="AO2" s="50" t="s">
        <v>6</v>
      </c>
      <c r="AP2" s="50" t="s">
        <v>6</v>
      </c>
      <c r="AQ2" s="150">
        <v>999.99</v>
      </c>
      <c r="AR2" s="150">
        <v>999.99</v>
      </c>
      <c r="AS2" s="50" t="s">
        <v>6</v>
      </c>
      <c r="AT2" s="50" t="s">
        <v>6</v>
      </c>
      <c r="AU2" s="50" t="s">
        <v>6</v>
      </c>
      <c r="AV2" s="50" t="s">
        <v>6</v>
      </c>
      <c r="AW2" s="50" t="s">
        <v>6</v>
      </c>
      <c r="AX2" s="150">
        <v>999.99</v>
      </c>
      <c r="AY2" s="150">
        <v>999.99</v>
      </c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  <c r="HG2" s="12"/>
      <c r="HH2" s="12"/>
      <c r="HI2" s="12"/>
      <c r="HJ2" s="12"/>
      <c r="HK2" s="12"/>
      <c r="HL2" s="12"/>
      <c r="HM2" s="12"/>
      <c r="HN2" s="12"/>
      <c r="HO2" s="12"/>
      <c r="HP2" s="12"/>
      <c r="HQ2" s="12"/>
      <c r="HR2" s="12"/>
      <c r="HS2" s="12"/>
      <c r="HT2" s="12"/>
      <c r="HU2" s="12"/>
      <c r="HV2" s="12"/>
      <c r="HW2" s="12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  <c r="II2" s="12"/>
      <c r="IJ2" s="12"/>
      <c r="IK2" s="12"/>
      <c r="IL2" s="12"/>
      <c r="IM2" s="12"/>
      <c r="IN2" s="12"/>
      <c r="IO2" s="12"/>
      <c r="IP2" s="12"/>
      <c r="IQ2" s="12"/>
      <c r="IR2" s="12"/>
      <c r="IS2" s="12"/>
      <c r="IT2" s="12"/>
      <c r="IU2" s="12"/>
      <c r="IV2" s="12"/>
      <c r="IW2" s="12"/>
      <c r="IX2" s="12"/>
      <c r="IY2" s="12"/>
      <c r="IZ2" s="12"/>
      <c r="JA2" s="12"/>
      <c r="JB2" s="12"/>
      <c r="JC2" s="12"/>
      <c r="JD2" s="12"/>
      <c r="JE2" s="12"/>
      <c r="JF2" s="12"/>
      <c r="JG2" s="12"/>
      <c r="JH2" s="12"/>
      <c r="JI2" s="12"/>
      <c r="JJ2" s="12"/>
      <c r="JK2" s="12"/>
      <c r="JL2" s="12"/>
      <c r="JM2" s="12"/>
      <c r="JN2" s="12"/>
      <c r="JO2" s="12"/>
      <c r="JP2" s="12"/>
      <c r="JQ2" s="12"/>
      <c r="JR2" s="12"/>
      <c r="JS2" s="12"/>
      <c r="JT2" s="12"/>
      <c r="JU2" s="12"/>
      <c r="JV2" s="12"/>
      <c r="JW2" s="12"/>
      <c r="JX2" s="12"/>
      <c r="JY2" s="12"/>
      <c r="JZ2" s="12"/>
      <c r="KA2" s="12"/>
      <c r="KB2" s="12"/>
      <c r="KC2" s="12"/>
      <c r="KD2" s="12"/>
      <c r="KE2" s="12"/>
      <c r="KF2" s="12"/>
      <c r="KG2" s="12"/>
      <c r="KH2" s="12"/>
      <c r="KI2" s="12"/>
      <c r="KJ2" s="12"/>
      <c r="KK2" s="12"/>
      <c r="KL2" s="12"/>
      <c r="KM2" s="12"/>
      <c r="KN2" s="12"/>
      <c r="KO2" s="12"/>
      <c r="KP2" s="12"/>
      <c r="KQ2" s="12"/>
      <c r="KR2" s="12"/>
      <c r="KS2" s="12"/>
      <c r="KT2" s="12"/>
      <c r="KU2" s="12"/>
      <c r="KV2" s="12"/>
      <c r="KW2" s="12"/>
      <c r="KX2" s="12"/>
      <c r="KY2" s="12"/>
      <c r="KZ2" s="12"/>
      <c r="LA2" s="12"/>
      <c r="LB2" s="12"/>
      <c r="LC2" s="12"/>
      <c r="LD2" s="12"/>
      <c r="LE2" s="12"/>
      <c r="LF2" s="12"/>
      <c r="LG2" s="12"/>
      <c r="LH2" s="12"/>
      <c r="LI2" s="12"/>
      <c r="LJ2" s="12"/>
    </row>
    <row r="3" spans="1:322" s="39" customFormat="1" x14ac:dyDescent="0.2">
      <c r="B3" s="125" t="s">
        <v>613</v>
      </c>
      <c r="C3" s="279">
        <v>0</v>
      </c>
      <c r="D3" s="166">
        <v>0</v>
      </c>
      <c r="E3" s="166">
        <v>0</v>
      </c>
      <c r="F3" s="166">
        <v>0</v>
      </c>
      <c r="G3" s="166">
        <v>0</v>
      </c>
      <c r="H3" s="166">
        <f>I3</f>
        <v>0</v>
      </c>
      <c r="I3" s="280">
        <v>0</v>
      </c>
      <c r="J3" s="279">
        <v>0</v>
      </c>
      <c r="K3" s="166">
        <v>0</v>
      </c>
      <c r="L3" s="166">
        <v>0</v>
      </c>
      <c r="M3" s="166">
        <v>0</v>
      </c>
      <c r="N3" s="166">
        <v>0</v>
      </c>
      <c r="O3" s="166">
        <f>P3</f>
        <v>0</v>
      </c>
      <c r="P3" s="280">
        <v>0</v>
      </c>
      <c r="Q3" s="279">
        <v>0</v>
      </c>
      <c r="R3" s="166">
        <v>0</v>
      </c>
      <c r="S3" s="166">
        <v>0</v>
      </c>
      <c r="T3" s="166">
        <v>0</v>
      </c>
      <c r="U3" s="166">
        <v>0</v>
      </c>
      <c r="V3" s="166">
        <f>W3</f>
        <v>0</v>
      </c>
      <c r="W3" s="280">
        <v>0</v>
      </c>
      <c r="X3" s="279">
        <v>0</v>
      </c>
      <c r="Y3" s="166">
        <v>0</v>
      </c>
      <c r="Z3" s="166">
        <v>0</v>
      </c>
      <c r="AA3" s="166">
        <v>0</v>
      </c>
      <c r="AB3" s="166">
        <v>0</v>
      </c>
      <c r="AC3" s="166">
        <f>AD3</f>
        <v>0</v>
      </c>
      <c r="AD3" s="280">
        <v>0</v>
      </c>
      <c r="AE3" s="279">
        <v>1</v>
      </c>
      <c r="AF3" s="166">
        <v>1</v>
      </c>
      <c r="AG3" s="166">
        <v>1</v>
      </c>
      <c r="AH3" s="166">
        <v>1</v>
      </c>
      <c r="AI3" s="166">
        <v>1</v>
      </c>
      <c r="AJ3" s="166">
        <f>AK3</f>
        <v>1</v>
      </c>
      <c r="AK3" s="280">
        <v>1</v>
      </c>
      <c r="AL3" s="279">
        <v>1</v>
      </c>
      <c r="AM3" s="166">
        <v>1</v>
      </c>
      <c r="AN3" s="166">
        <v>1</v>
      </c>
      <c r="AO3" s="166">
        <v>1</v>
      </c>
      <c r="AP3" s="166">
        <v>1</v>
      </c>
      <c r="AQ3" s="166">
        <f>AR3</f>
        <v>1</v>
      </c>
      <c r="AR3" s="280">
        <v>1</v>
      </c>
      <c r="AS3" s="279">
        <v>1</v>
      </c>
      <c r="AT3" s="166">
        <v>1</v>
      </c>
      <c r="AU3" s="166">
        <v>1</v>
      </c>
      <c r="AV3" s="166">
        <v>1</v>
      </c>
      <c r="AW3" s="166">
        <v>1</v>
      </c>
      <c r="AX3" s="166">
        <f>AY3</f>
        <v>1</v>
      </c>
      <c r="AY3" s="176">
        <v>1</v>
      </c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</row>
    <row r="4" spans="1:322" s="39" customFormat="1" x14ac:dyDescent="0.2">
      <c r="A4" s="267"/>
      <c r="B4" s="193" t="s">
        <v>683</v>
      </c>
      <c r="C4" s="271">
        <v>5</v>
      </c>
      <c r="D4" s="32">
        <v>5</v>
      </c>
      <c r="E4" s="32">
        <v>5</v>
      </c>
      <c r="F4" s="32">
        <v>5</v>
      </c>
      <c r="G4" s="32">
        <v>5</v>
      </c>
      <c r="H4" s="32">
        <f>I4</f>
        <v>5</v>
      </c>
      <c r="I4" s="268">
        <v>5</v>
      </c>
      <c r="J4" s="271">
        <v>7</v>
      </c>
      <c r="K4" s="32">
        <v>7</v>
      </c>
      <c r="L4" s="32">
        <v>7</v>
      </c>
      <c r="M4" s="32">
        <v>7</v>
      </c>
      <c r="N4" s="32">
        <v>7</v>
      </c>
      <c r="O4" s="32">
        <f>P4</f>
        <v>7</v>
      </c>
      <c r="P4" s="268">
        <v>7</v>
      </c>
      <c r="Q4" s="271">
        <v>8</v>
      </c>
      <c r="R4" s="32">
        <v>8</v>
      </c>
      <c r="S4" s="32">
        <v>8</v>
      </c>
      <c r="T4" s="32">
        <v>8</v>
      </c>
      <c r="U4" s="32">
        <v>8</v>
      </c>
      <c r="V4" s="32">
        <f>W4</f>
        <v>8</v>
      </c>
      <c r="W4" s="268">
        <v>8</v>
      </c>
      <c r="X4" s="271">
        <v>10</v>
      </c>
      <c r="Y4" s="32">
        <v>10</v>
      </c>
      <c r="Z4" s="32">
        <v>10</v>
      </c>
      <c r="AA4" s="32">
        <v>10</v>
      </c>
      <c r="AB4" s="32">
        <v>10</v>
      </c>
      <c r="AC4" s="32">
        <f>AD4</f>
        <v>10</v>
      </c>
      <c r="AD4" s="268">
        <v>10</v>
      </c>
      <c r="AE4" s="271">
        <v>5</v>
      </c>
      <c r="AF4" s="32">
        <v>5</v>
      </c>
      <c r="AG4" s="32">
        <v>5</v>
      </c>
      <c r="AH4" s="32">
        <v>5</v>
      </c>
      <c r="AI4" s="32">
        <v>5</v>
      </c>
      <c r="AJ4" s="32">
        <f>AK4</f>
        <v>5</v>
      </c>
      <c r="AK4" s="268">
        <v>5</v>
      </c>
      <c r="AL4" s="271">
        <v>7</v>
      </c>
      <c r="AM4" s="32">
        <v>7</v>
      </c>
      <c r="AN4" s="32">
        <v>7</v>
      </c>
      <c r="AO4" s="32">
        <v>7</v>
      </c>
      <c r="AP4" s="32">
        <v>7</v>
      </c>
      <c r="AQ4" s="32">
        <f>AR4</f>
        <v>7</v>
      </c>
      <c r="AR4" s="268">
        <v>7</v>
      </c>
      <c r="AS4" s="271">
        <v>10</v>
      </c>
      <c r="AT4" s="32">
        <v>10</v>
      </c>
      <c r="AU4" s="32">
        <v>10</v>
      </c>
      <c r="AV4" s="32">
        <v>10</v>
      </c>
      <c r="AW4" s="32">
        <v>10</v>
      </c>
      <c r="AX4" s="32">
        <f>AY4</f>
        <v>10</v>
      </c>
      <c r="AY4" s="173">
        <v>10</v>
      </c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</row>
    <row r="5" spans="1:322" s="39" customFormat="1" x14ac:dyDescent="0.2">
      <c r="A5" s="266" t="s">
        <v>403</v>
      </c>
      <c r="B5" s="193" t="s">
        <v>676</v>
      </c>
      <c r="C5" s="271" t="s">
        <v>677</v>
      </c>
      <c r="D5" s="32" t="s">
        <v>678</v>
      </c>
      <c r="E5" s="32" t="s">
        <v>679</v>
      </c>
      <c r="F5" s="32" t="s">
        <v>680</v>
      </c>
      <c r="G5" s="32" t="s">
        <v>681</v>
      </c>
      <c r="H5" s="32" t="s">
        <v>682</v>
      </c>
      <c r="I5" s="268" t="s">
        <v>315</v>
      </c>
      <c r="J5" s="271" t="s">
        <v>677</v>
      </c>
      <c r="K5" s="32" t="s">
        <v>678</v>
      </c>
      <c r="L5" s="32" t="s">
        <v>679</v>
      </c>
      <c r="M5" s="32" t="s">
        <v>680</v>
      </c>
      <c r="N5" s="32" t="s">
        <v>681</v>
      </c>
      <c r="O5" s="32" t="s">
        <v>682</v>
      </c>
      <c r="P5" s="268" t="s">
        <v>315</v>
      </c>
      <c r="Q5" s="271" t="s">
        <v>677</v>
      </c>
      <c r="R5" s="32" t="s">
        <v>678</v>
      </c>
      <c r="S5" s="32" t="s">
        <v>679</v>
      </c>
      <c r="T5" s="32" t="s">
        <v>680</v>
      </c>
      <c r="U5" s="32" t="s">
        <v>681</v>
      </c>
      <c r="V5" s="32" t="s">
        <v>682</v>
      </c>
      <c r="W5" s="268" t="s">
        <v>315</v>
      </c>
      <c r="X5" s="271" t="s">
        <v>677</v>
      </c>
      <c r="Y5" s="32" t="s">
        <v>678</v>
      </c>
      <c r="Z5" s="32" t="s">
        <v>679</v>
      </c>
      <c r="AA5" s="32" t="s">
        <v>680</v>
      </c>
      <c r="AB5" s="32" t="s">
        <v>681</v>
      </c>
      <c r="AC5" s="32" t="s">
        <v>682</v>
      </c>
      <c r="AD5" s="268" t="s">
        <v>315</v>
      </c>
      <c r="AE5" s="271" t="s">
        <v>677</v>
      </c>
      <c r="AF5" s="32" t="s">
        <v>678</v>
      </c>
      <c r="AG5" s="32" t="s">
        <v>679</v>
      </c>
      <c r="AH5" s="32" t="s">
        <v>680</v>
      </c>
      <c r="AI5" s="32" t="s">
        <v>681</v>
      </c>
      <c r="AJ5" s="32" t="s">
        <v>682</v>
      </c>
      <c r="AK5" s="268" t="s">
        <v>315</v>
      </c>
      <c r="AL5" s="271" t="s">
        <v>677</v>
      </c>
      <c r="AM5" s="32" t="s">
        <v>678</v>
      </c>
      <c r="AN5" s="32" t="s">
        <v>679</v>
      </c>
      <c r="AO5" s="32" t="s">
        <v>680</v>
      </c>
      <c r="AP5" s="32" t="s">
        <v>681</v>
      </c>
      <c r="AQ5" s="32" t="s">
        <v>682</v>
      </c>
      <c r="AR5" s="268" t="s">
        <v>315</v>
      </c>
      <c r="AS5" s="271" t="s">
        <v>677</v>
      </c>
      <c r="AT5" s="32" t="s">
        <v>678</v>
      </c>
      <c r="AU5" s="32" t="s">
        <v>679</v>
      </c>
      <c r="AV5" s="32" t="s">
        <v>680</v>
      </c>
      <c r="AW5" s="32" t="s">
        <v>681</v>
      </c>
      <c r="AX5" s="32" t="s">
        <v>682</v>
      </c>
      <c r="AY5" s="173" t="s">
        <v>315</v>
      </c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12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12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12"/>
      <c r="JX5" s="12"/>
      <c r="JY5" s="12"/>
      <c r="JZ5" s="12"/>
      <c r="KA5" s="12"/>
      <c r="KB5" s="12"/>
      <c r="KC5" s="12"/>
      <c r="KD5" s="12"/>
      <c r="KE5" s="12"/>
      <c r="KF5" s="12"/>
      <c r="KG5" s="12"/>
      <c r="KH5" s="12"/>
      <c r="KI5" s="12"/>
      <c r="KJ5" s="12"/>
      <c r="KK5" s="12"/>
      <c r="KL5" s="12"/>
      <c r="KM5" s="12"/>
      <c r="KN5" s="12"/>
      <c r="KO5" s="12"/>
      <c r="KP5" s="12"/>
      <c r="KQ5" s="12"/>
      <c r="KR5" s="12"/>
      <c r="KS5" s="12"/>
      <c r="KT5" s="12"/>
      <c r="KU5" s="12"/>
      <c r="KV5" s="12"/>
      <c r="KW5" s="12"/>
      <c r="KX5" s="12"/>
      <c r="KY5" s="12"/>
      <c r="KZ5" s="12"/>
      <c r="LA5" s="12"/>
      <c r="LB5" s="12"/>
      <c r="LC5" s="12"/>
      <c r="LD5" s="12"/>
      <c r="LE5" s="12"/>
      <c r="LF5" s="12"/>
      <c r="LG5" s="12"/>
      <c r="LH5" s="12"/>
      <c r="LI5" s="12"/>
      <c r="LJ5" s="12"/>
    </row>
    <row r="6" spans="1:322" s="39" customFormat="1" x14ac:dyDescent="0.2">
      <c r="A6" s="266"/>
      <c r="B6" s="281" t="s">
        <v>675</v>
      </c>
      <c r="C6" s="272"/>
      <c r="D6" s="66"/>
      <c r="E6" s="66"/>
      <c r="F6" s="66"/>
      <c r="G6" s="66"/>
      <c r="H6" s="66"/>
      <c r="I6" s="269"/>
      <c r="J6" s="272"/>
      <c r="K6" s="66"/>
      <c r="L6" s="66"/>
      <c r="M6" s="66"/>
      <c r="N6" s="66"/>
      <c r="O6" s="66"/>
      <c r="P6" s="269"/>
      <c r="Q6" s="272"/>
      <c r="R6" s="66"/>
      <c r="S6" s="66"/>
      <c r="T6" s="66"/>
      <c r="U6" s="66"/>
      <c r="V6" s="66"/>
      <c r="W6" s="269"/>
      <c r="X6" s="272"/>
      <c r="Y6" s="66"/>
      <c r="Z6" s="66"/>
      <c r="AA6" s="66"/>
      <c r="AB6" s="66"/>
      <c r="AC6" s="66"/>
      <c r="AD6" s="269"/>
      <c r="AE6" s="272"/>
      <c r="AF6" s="66"/>
      <c r="AG6" s="66"/>
      <c r="AH6" s="66"/>
      <c r="AI6" s="66"/>
      <c r="AJ6" s="66"/>
      <c r="AK6" s="269"/>
      <c r="AL6" s="272"/>
      <c r="AM6" s="66"/>
      <c r="AN6" s="66"/>
      <c r="AO6" s="66"/>
      <c r="AP6" s="66"/>
      <c r="AQ6" s="66"/>
      <c r="AR6" s="269"/>
      <c r="AS6" s="272"/>
      <c r="AT6" s="66"/>
      <c r="AU6" s="66"/>
      <c r="AV6" s="66"/>
      <c r="AW6" s="66"/>
      <c r="AX6" s="66"/>
      <c r="AY6" s="28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12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12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12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12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12"/>
      <c r="JX6" s="12"/>
      <c r="JY6" s="12"/>
      <c r="JZ6" s="12"/>
      <c r="KA6" s="12"/>
      <c r="KB6" s="12"/>
      <c r="KC6" s="12"/>
      <c r="KD6" s="12"/>
      <c r="KE6" s="12"/>
      <c r="KF6" s="12"/>
      <c r="KG6" s="12"/>
      <c r="KH6" s="12"/>
      <c r="KI6" s="12"/>
      <c r="KJ6" s="12"/>
      <c r="KK6" s="12"/>
      <c r="KL6" s="12"/>
      <c r="KM6" s="12"/>
      <c r="KN6" s="12"/>
      <c r="KO6" s="12"/>
      <c r="KP6" s="12"/>
      <c r="KQ6" s="12"/>
      <c r="KR6" s="12"/>
      <c r="KS6" s="12"/>
      <c r="KT6" s="12"/>
      <c r="KU6" s="12"/>
      <c r="KV6" s="12"/>
      <c r="KW6" s="12"/>
      <c r="KX6" s="12"/>
      <c r="KY6" s="12"/>
      <c r="KZ6" s="12"/>
      <c r="LA6" s="12"/>
      <c r="LB6" s="12"/>
      <c r="LC6" s="12"/>
      <c r="LD6" s="12"/>
      <c r="LE6" s="12"/>
      <c r="LF6" s="12"/>
      <c r="LG6" s="12"/>
      <c r="LH6" s="12"/>
      <c r="LI6" s="12"/>
      <c r="LJ6" s="12"/>
    </row>
    <row r="7" spans="1:322" s="39" customFormat="1" x14ac:dyDescent="0.2">
      <c r="B7" s="283">
        <v>1</v>
      </c>
      <c r="C7" s="273" t="s">
        <v>663</v>
      </c>
      <c r="D7" s="248" t="str">
        <f>C7</f>
        <v>7Y_R</v>
      </c>
      <c r="E7" s="248" t="str">
        <f t="shared" ref="E7:G7" si="0">D7</f>
        <v>7Y_R</v>
      </c>
      <c r="F7" s="248" t="str">
        <f t="shared" si="0"/>
        <v>7Y_R</v>
      </c>
      <c r="G7" s="248" t="str">
        <f t="shared" si="0"/>
        <v>7Y_R</v>
      </c>
      <c r="H7" s="248">
        <v>100</v>
      </c>
      <c r="I7" s="270">
        <v>6.0337326004918692</v>
      </c>
      <c r="J7" s="273" t="s">
        <v>664</v>
      </c>
      <c r="K7" s="248" t="str">
        <f>J7</f>
        <v>9Y_R</v>
      </c>
      <c r="L7" s="248" t="str">
        <f t="shared" ref="L7:N7" si="1">K7</f>
        <v>9Y_R</v>
      </c>
      <c r="M7" s="248" t="str">
        <f t="shared" si="1"/>
        <v>9Y_R</v>
      </c>
      <c r="N7" s="248" t="str">
        <f t="shared" si="1"/>
        <v>9Y_R</v>
      </c>
      <c r="O7" s="248">
        <v>100</v>
      </c>
      <c r="P7" s="270">
        <v>7.5703825265788067</v>
      </c>
      <c r="Q7" s="273" t="s">
        <v>665</v>
      </c>
      <c r="R7" s="248" t="str">
        <f>Q7</f>
        <v>10Y_R</v>
      </c>
      <c r="S7" s="248" t="str">
        <f t="shared" ref="S7:U7" si="2">R7</f>
        <v>10Y_R</v>
      </c>
      <c r="T7" s="248" t="str">
        <f t="shared" si="2"/>
        <v>10Y_R</v>
      </c>
      <c r="U7" s="248" t="str">
        <f t="shared" si="2"/>
        <v>10Y_R</v>
      </c>
      <c r="V7" s="248">
        <v>100</v>
      </c>
      <c r="W7" s="270">
        <v>8.4120059347037639</v>
      </c>
      <c r="X7" s="273" t="s">
        <v>666</v>
      </c>
      <c r="Y7" s="248" t="str">
        <f>X7</f>
        <v>12Y_R</v>
      </c>
      <c r="Z7" s="248" t="str">
        <f t="shared" ref="Z7:AB7" si="3">Y7</f>
        <v>12Y_R</v>
      </c>
      <c r="AA7" s="248" t="str">
        <f t="shared" si="3"/>
        <v>12Y_R</v>
      </c>
      <c r="AB7" s="248" t="str">
        <f t="shared" si="3"/>
        <v>12Y_R</v>
      </c>
      <c r="AC7" s="248">
        <v>100</v>
      </c>
      <c r="AD7" s="270">
        <v>9.3403316759548041</v>
      </c>
      <c r="AE7" s="273" t="s">
        <v>663</v>
      </c>
      <c r="AF7" s="248" t="str">
        <f>AE7</f>
        <v>7Y_R</v>
      </c>
      <c r="AG7" s="248" t="str">
        <f t="shared" ref="AG7:AI7" si="4">AF7</f>
        <v>7Y_R</v>
      </c>
      <c r="AH7" s="248" t="str">
        <f t="shared" si="4"/>
        <v>7Y_R</v>
      </c>
      <c r="AI7" s="248" t="str">
        <f t="shared" si="4"/>
        <v>7Y_R</v>
      </c>
      <c r="AJ7" s="248">
        <v>100</v>
      </c>
      <c r="AK7" s="270">
        <v>11.173333333333332</v>
      </c>
      <c r="AL7" s="273" t="s">
        <v>664</v>
      </c>
      <c r="AM7" s="248" t="str">
        <f>AL7</f>
        <v>9Y_R</v>
      </c>
      <c r="AN7" s="248" t="str">
        <f t="shared" ref="AN7:AP7" si="5">AM7</f>
        <v>9Y_R</v>
      </c>
      <c r="AO7" s="248" t="str">
        <f t="shared" si="5"/>
        <v>9Y_R</v>
      </c>
      <c r="AP7" s="248" t="str">
        <f t="shared" si="5"/>
        <v>9Y_R</v>
      </c>
      <c r="AQ7" s="248">
        <v>100</v>
      </c>
      <c r="AR7" s="270">
        <v>11.62</v>
      </c>
      <c r="AS7" s="273" t="s">
        <v>666</v>
      </c>
      <c r="AT7" s="248" t="str">
        <f>AS7</f>
        <v>12Y_R</v>
      </c>
      <c r="AU7" s="248" t="str">
        <f t="shared" ref="AU7:AW7" si="6">AT7</f>
        <v>12Y_R</v>
      </c>
      <c r="AV7" s="248" t="str">
        <f t="shared" si="6"/>
        <v>12Y_R</v>
      </c>
      <c r="AW7" s="248" t="str">
        <f t="shared" si="6"/>
        <v>12Y_R</v>
      </c>
      <c r="AX7" s="248">
        <v>100</v>
      </c>
      <c r="AY7" s="285">
        <v>12.29</v>
      </c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12"/>
      <c r="IP7" s="12"/>
      <c r="IQ7" s="12"/>
      <c r="IR7" s="12"/>
      <c r="IS7" s="12"/>
      <c r="IT7" s="12"/>
      <c r="IU7" s="12"/>
      <c r="IV7" s="12"/>
      <c r="IW7" s="12"/>
      <c r="IX7" s="12"/>
      <c r="IY7" s="12"/>
      <c r="IZ7" s="12"/>
      <c r="JA7" s="12"/>
      <c r="JB7" s="12"/>
      <c r="JC7" s="12"/>
      <c r="JD7" s="12"/>
      <c r="JE7" s="12"/>
      <c r="JF7" s="12"/>
      <c r="JG7" s="12"/>
      <c r="JH7" s="12"/>
      <c r="JI7" s="12"/>
      <c r="JJ7" s="12"/>
      <c r="JK7" s="12"/>
      <c r="JL7" s="12"/>
      <c r="JM7" s="12"/>
      <c r="JN7" s="12"/>
      <c r="JO7" s="12"/>
      <c r="JP7" s="12"/>
      <c r="JQ7" s="12"/>
      <c r="JR7" s="12"/>
      <c r="JS7" s="12"/>
      <c r="JT7" s="12"/>
      <c r="JU7" s="12"/>
      <c r="JV7" s="12"/>
      <c r="JW7" s="12"/>
      <c r="JX7" s="12"/>
      <c r="JY7" s="12"/>
      <c r="JZ7" s="12"/>
      <c r="KA7" s="12"/>
      <c r="KB7" s="12"/>
      <c r="KC7" s="12"/>
      <c r="KD7" s="12"/>
      <c r="KE7" s="12"/>
      <c r="KF7" s="12"/>
      <c r="KG7" s="12"/>
      <c r="KH7" s="12"/>
      <c r="KI7" s="12"/>
      <c r="KJ7" s="12"/>
      <c r="KK7" s="12"/>
      <c r="KL7" s="12"/>
      <c r="KM7" s="12"/>
      <c r="KN7" s="12"/>
      <c r="KO7" s="12"/>
      <c r="KP7" s="12"/>
      <c r="KQ7" s="12"/>
      <c r="KR7" s="12"/>
      <c r="KS7" s="12"/>
      <c r="KT7" s="12"/>
      <c r="KU7" s="12"/>
      <c r="KV7" s="12"/>
      <c r="KW7" s="12"/>
      <c r="KX7" s="12"/>
      <c r="KY7" s="12"/>
      <c r="KZ7" s="12"/>
      <c r="LA7" s="12"/>
      <c r="LB7" s="12"/>
      <c r="LC7" s="12"/>
      <c r="LD7" s="12"/>
      <c r="LE7" s="12"/>
      <c r="LF7" s="12"/>
      <c r="LG7" s="12"/>
      <c r="LH7" s="12"/>
      <c r="LI7" s="12"/>
      <c r="LJ7" s="12"/>
    </row>
    <row r="8" spans="1:322" s="39" customFormat="1" x14ac:dyDescent="0.2">
      <c r="B8" s="283">
        <f>B7+12</f>
        <v>13</v>
      </c>
      <c r="C8" s="273" t="str">
        <f>C7</f>
        <v>7Y_R</v>
      </c>
      <c r="D8" s="248" t="str">
        <f t="shared" ref="D8:G8" si="7">C8</f>
        <v>7Y_R</v>
      </c>
      <c r="E8" s="248" t="str">
        <f t="shared" si="7"/>
        <v>7Y_R</v>
      </c>
      <c r="F8" s="248" t="str">
        <f t="shared" si="7"/>
        <v>7Y_R</v>
      </c>
      <c r="G8" s="248" t="str">
        <f t="shared" si="7"/>
        <v>7Y_R</v>
      </c>
      <c r="H8" s="248">
        <v>100</v>
      </c>
      <c r="I8" s="270">
        <v>5.5337326004918692</v>
      </c>
      <c r="J8" s="273" t="str">
        <f>J7</f>
        <v>9Y_R</v>
      </c>
      <c r="K8" s="248" t="str">
        <f t="shared" ref="K8:N8" si="8">J8</f>
        <v>9Y_R</v>
      </c>
      <c r="L8" s="248" t="str">
        <f t="shared" si="8"/>
        <v>9Y_R</v>
      </c>
      <c r="M8" s="248" t="str">
        <f t="shared" si="8"/>
        <v>9Y_R</v>
      </c>
      <c r="N8" s="248" t="str">
        <f t="shared" si="8"/>
        <v>9Y_R</v>
      </c>
      <c r="O8" s="248">
        <v>100</v>
      </c>
      <c r="P8" s="270">
        <v>7.0703825265788067</v>
      </c>
      <c r="Q8" s="273" t="str">
        <f>Q7</f>
        <v>10Y_R</v>
      </c>
      <c r="R8" s="248" t="str">
        <f t="shared" ref="R8:U8" si="9">Q8</f>
        <v>10Y_R</v>
      </c>
      <c r="S8" s="248" t="str">
        <f t="shared" si="9"/>
        <v>10Y_R</v>
      </c>
      <c r="T8" s="248" t="str">
        <f t="shared" si="9"/>
        <v>10Y_R</v>
      </c>
      <c r="U8" s="248" t="str">
        <f t="shared" si="9"/>
        <v>10Y_R</v>
      </c>
      <c r="V8" s="248">
        <v>100</v>
      </c>
      <c r="W8" s="270">
        <v>7.9120059347037639</v>
      </c>
      <c r="X8" s="273" t="str">
        <f>X7</f>
        <v>12Y_R</v>
      </c>
      <c r="Y8" s="248" t="str">
        <f t="shared" ref="Y8:AB8" si="10">X8</f>
        <v>12Y_R</v>
      </c>
      <c r="Z8" s="248" t="str">
        <f t="shared" si="10"/>
        <v>12Y_R</v>
      </c>
      <c r="AA8" s="248" t="str">
        <f t="shared" si="10"/>
        <v>12Y_R</v>
      </c>
      <c r="AB8" s="248" t="str">
        <f t="shared" si="10"/>
        <v>12Y_R</v>
      </c>
      <c r="AC8" s="248">
        <v>100</v>
      </c>
      <c r="AD8" s="270">
        <v>8.8403316759548041</v>
      </c>
      <c r="AE8" s="273" t="str">
        <f>AE7</f>
        <v>7Y_R</v>
      </c>
      <c r="AF8" s="248" t="str">
        <f t="shared" ref="AF8:AI8" si="11">AE8</f>
        <v>7Y_R</v>
      </c>
      <c r="AG8" s="248" t="str">
        <f t="shared" si="11"/>
        <v>7Y_R</v>
      </c>
      <c r="AH8" s="248" t="str">
        <f t="shared" si="11"/>
        <v>7Y_R</v>
      </c>
      <c r="AI8" s="248" t="str">
        <f t="shared" si="11"/>
        <v>7Y_R</v>
      </c>
      <c r="AJ8" s="248">
        <v>100</v>
      </c>
      <c r="AK8" s="270">
        <v>10.506666666666666</v>
      </c>
      <c r="AL8" s="273" t="str">
        <f>AL7</f>
        <v>9Y_R</v>
      </c>
      <c r="AM8" s="248" t="str">
        <f t="shared" ref="AM8:AP8" si="12">AL8</f>
        <v>9Y_R</v>
      </c>
      <c r="AN8" s="248" t="str">
        <f t="shared" si="12"/>
        <v>9Y_R</v>
      </c>
      <c r="AO8" s="248" t="str">
        <f t="shared" si="12"/>
        <v>9Y_R</v>
      </c>
      <c r="AP8" s="248" t="str">
        <f t="shared" si="12"/>
        <v>9Y_R</v>
      </c>
      <c r="AQ8" s="248">
        <v>100</v>
      </c>
      <c r="AR8" s="270">
        <v>10.953333333333333</v>
      </c>
      <c r="AS8" s="273" t="str">
        <f>AS7</f>
        <v>12Y_R</v>
      </c>
      <c r="AT8" s="248" t="str">
        <f t="shared" ref="AT8:AW8" si="13">AS8</f>
        <v>12Y_R</v>
      </c>
      <c r="AU8" s="248" t="str">
        <f t="shared" si="13"/>
        <v>12Y_R</v>
      </c>
      <c r="AV8" s="248" t="str">
        <f t="shared" si="13"/>
        <v>12Y_R</v>
      </c>
      <c r="AW8" s="248" t="str">
        <f t="shared" si="13"/>
        <v>12Y_R</v>
      </c>
      <c r="AX8" s="248">
        <v>100</v>
      </c>
      <c r="AY8" s="285">
        <v>11.623333333333333</v>
      </c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  <c r="KC8" s="12"/>
      <c r="KD8" s="12"/>
      <c r="KE8" s="12"/>
      <c r="KF8" s="12"/>
      <c r="KG8" s="12"/>
      <c r="KH8" s="12"/>
      <c r="KI8" s="12"/>
      <c r="KJ8" s="12"/>
      <c r="KK8" s="12"/>
      <c r="KL8" s="12"/>
      <c r="KM8" s="12"/>
      <c r="KN8" s="12"/>
      <c r="KO8" s="12"/>
      <c r="KP8" s="12"/>
      <c r="KQ8" s="12"/>
      <c r="KR8" s="12"/>
      <c r="KS8" s="12"/>
      <c r="KT8" s="12"/>
      <c r="KU8" s="12"/>
      <c r="KV8" s="12"/>
      <c r="KW8" s="12"/>
      <c r="KX8" s="12"/>
      <c r="KY8" s="12"/>
      <c r="KZ8" s="12"/>
      <c r="LA8" s="12"/>
      <c r="LB8" s="12"/>
      <c r="LC8" s="12"/>
      <c r="LD8" s="12"/>
      <c r="LE8" s="12"/>
    </row>
    <row r="9" spans="1:322" s="39" customFormat="1" x14ac:dyDescent="0.2">
      <c r="B9" s="283">
        <f t="shared" ref="B9:B21" si="14">B8+12</f>
        <v>25</v>
      </c>
      <c r="C9" s="273" t="str">
        <f t="shared" ref="C9:C21" si="15">C8</f>
        <v>7Y_R</v>
      </c>
      <c r="D9" s="248" t="str">
        <f t="shared" ref="D9:G9" si="16">C9</f>
        <v>7Y_R</v>
      </c>
      <c r="E9" s="248" t="str">
        <f t="shared" si="16"/>
        <v>7Y_R</v>
      </c>
      <c r="F9" s="248" t="str">
        <f t="shared" si="16"/>
        <v>7Y_R</v>
      </c>
      <c r="G9" s="248" t="str">
        <f t="shared" si="16"/>
        <v>7Y_R</v>
      </c>
      <c r="H9" s="248">
        <v>100</v>
      </c>
      <c r="I9" s="270">
        <v>5.0337326004918692</v>
      </c>
      <c r="J9" s="273" t="str">
        <f t="shared" ref="J9:J21" si="17">J8</f>
        <v>9Y_R</v>
      </c>
      <c r="K9" s="248" t="str">
        <f t="shared" ref="K9:N9" si="18">J9</f>
        <v>9Y_R</v>
      </c>
      <c r="L9" s="248" t="str">
        <f t="shared" si="18"/>
        <v>9Y_R</v>
      </c>
      <c r="M9" s="248" t="str">
        <f t="shared" si="18"/>
        <v>9Y_R</v>
      </c>
      <c r="N9" s="248" t="str">
        <f t="shared" si="18"/>
        <v>9Y_R</v>
      </c>
      <c r="O9" s="248">
        <v>100</v>
      </c>
      <c r="P9" s="270">
        <v>6.5703825265788067</v>
      </c>
      <c r="Q9" s="273" t="str">
        <f t="shared" ref="Q9:Q21" si="19">Q8</f>
        <v>10Y_R</v>
      </c>
      <c r="R9" s="248" t="str">
        <f t="shared" ref="R9:U9" si="20">Q9</f>
        <v>10Y_R</v>
      </c>
      <c r="S9" s="248" t="str">
        <f t="shared" si="20"/>
        <v>10Y_R</v>
      </c>
      <c r="T9" s="248" t="str">
        <f t="shared" si="20"/>
        <v>10Y_R</v>
      </c>
      <c r="U9" s="248" t="str">
        <f t="shared" si="20"/>
        <v>10Y_R</v>
      </c>
      <c r="V9" s="248">
        <v>100</v>
      </c>
      <c r="W9" s="270">
        <v>7.4120059347037639</v>
      </c>
      <c r="X9" s="273" t="str">
        <f t="shared" ref="X9:X21" si="21">X8</f>
        <v>12Y_R</v>
      </c>
      <c r="Y9" s="248" t="str">
        <f t="shared" ref="Y9:AB9" si="22">X9</f>
        <v>12Y_R</v>
      </c>
      <c r="Z9" s="248" t="str">
        <f t="shared" si="22"/>
        <v>12Y_R</v>
      </c>
      <c r="AA9" s="248" t="str">
        <f t="shared" si="22"/>
        <v>12Y_R</v>
      </c>
      <c r="AB9" s="248" t="str">
        <f t="shared" si="22"/>
        <v>12Y_R</v>
      </c>
      <c r="AC9" s="248">
        <v>100</v>
      </c>
      <c r="AD9" s="270">
        <v>8.3403316759548041</v>
      </c>
      <c r="AE9" s="273" t="str">
        <f t="shared" ref="AE9:AE21" si="23">AE8</f>
        <v>7Y_R</v>
      </c>
      <c r="AF9" s="248" t="str">
        <f t="shared" ref="AF9:AI9" si="24">AE9</f>
        <v>7Y_R</v>
      </c>
      <c r="AG9" s="248" t="str">
        <f t="shared" si="24"/>
        <v>7Y_R</v>
      </c>
      <c r="AH9" s="248" t="str">
        <f t="shared" si="24"/>
        <v>7Y_R</v>
      </c>
      <c r="AI9" s="248" t="str">
        <f t="shared" si="24"/>
        <v>7Y_R</v>
      </c>
      <c r="AJ9" s="248">
        <v>100</v>
      </c>
      <c r="AK9" s="270">
        <v>9.8400000000000016</v>
      </c>
      <c r="AL9" s="273" t="str">
        <f t="shared" ref="AL9:AL21" si="25">AL8</f>
        <v>9Y_R</v>
      </c>
      <c r="AM9" s="248" t="str">
        <f t="shared" ref="AM9:AP9" si="26">AL9</f>
        <v>9Y_R</v>
      </c>
      <c r="AN9" s="248" t="str">
        <f t="shared" si="26"/>
        <v>9Y_R</v>
      </c>
      <c r="AO9" s="248" t="str">
        <f t="shared" si="26"/>
        <v>9Y_R</v>
      </c>
      <c r="AP9" s="248" t="str">
        <f t="shared" si="26"/>
        <v>9Y_R</v>
      </c>
      <c r="AQ9" s="248">
        <v>100</v>
      </c>
      <c r="AR9" s="270">
        <v>10.286666666666667</v>
      </c>
      <c r="AS9" s="273" t="str">
        <f t="shared" ref="AS9:AS21" si="27">AS8</f>
        <v>12Y_R</v>
      </c>
      <c r="AT9" s="248" t="str">
        <f t="shared" ref="AT9:AW9" si="28">AS9</f>
        <v>12Y_R</v>
      </c>
      <c r="AU9" s="248" t="str">
        <f t="shared" si="28"/>
        <v>12Y_R</v>
      </c>
      <c r="AV9" s="248" t="str">
        <f t="shared" si="28"/>
        <v>12Y_R</v>
      </c>
      <c r="AW9" s="248" t="str">
        <f t="shared" si="28"/>
        <v>12Y_R</v>
      </c>
      <c r="AX9" s="248">
        <v>100</v>
      </c>
      <c r="AY9" s="285">
        <v>10.956666666666667</v>
      </c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22" s="39" customFormat="1" x14ac:dyDescent="0.2">
      <c r="B10" s="283">
        <f t="shared" si="14"/>
        <v>37</v>
      </c>
      <c r="C10" s="273" t="str">
        <f t="shared" si="15"/>
        <v>7Y_R</v>
      </c>
      <c r="D10" s="248" t="str">
        <f t="shared" ref="D10:G10" si="29">C10</f>
        <v>7Y_R</v>
      </c>
      <c r="E10" s="248" t="str">
        <f t="shared" si="29"/>
        <v>7Y_R</v>
      </c>
      <c r="F10" s="248" t="str">
        <f t="shared" si="29"/>
        <v>7Y_R</v>
      </c>
      <c r="G10" s="248" t="str">
        <f t="shared" si="29"/>
        <v>7Y_R</v>
      </c>
      <c r="H10" s="248">
        <v>100</v>
      </c>
      <c r="I10" s="270">
        <v>4.5337326004918692</v>
      </c>
      <c r="J10" s="273" t="str">
        <f t="shared" si="17"/>
        <v>9Y_R</v>
      </c>
      <c r="K10" s="248" t="str">
        <f t="shared" ref="K10:N10" si="30">J10</f>
        <v>9Y_R</v>
      </c>
      <c r="L10" s="248" t="str">
        <f t="shared" si="30"/>
        <v>9Y_R</v>
      </c>
      <c r="M10" s="248" t="str">
        <f t="shared" si="30"/>
        <v>9Y_R</v>
      </c>
      <c r="N10" s="248" t="str">
        <f t="shared" si="30"/>
        <v>9Y_R</v>
      </c>
      <c r="O10" s="248">
        <v>100</v>
      </c>
      <c r="P10" s="270">
        <v>6.0703825265788067</v>
      </c>
      <c r="Q10" s="273" t="str">
        <f t="shared" si="19"/>
        <v>10Y_R</v>
      </c>
      <c r="R10" s="248" t="str">
        <f t="shared" ref="R10:U10" si="31">Q10</f>
        <v>10Y_R</v>
      </c>
      <c r="S10" s="248" t="str">
        <f t="shared" si="31"/>
        <v>10Y_R</v>
      </c>
      <c r="T10" s="248" t="str">
        <f t="shared" si="31"/>
        <v>10Y_R</v>
      </c>
      <c r="U10" s="248" t="str">
        <f t="shared" si="31"/>
        <v>10Y_R</v>
      </c>
      <c r="V10" s="248">
        <v>100</v>
      </c>
      <c r="W10" s="270">
        <v>6.9120059347037639</v>
      </c>
      <c r="X10" s="273" t="str">
        <f t="shared" si="21"/>
        <v>12Y_R</v>
      </c>
      <c r="Y10" s="248" t="str">
        <f t="shared" ref="Y10:AB10" si="32">X10</f>
        <v>12Y_R</v>
      </c>
      <c r="Z10" s="248" t="str">
        <f t="shared" si="32"/>
        <v>12Y_R</v>
      </c>
      <c r="AA10" s="248" t="str">
        <f t="shared" si="32"/>
        <v>12Y_R</v>
      </c>
      <c r="AB10" s="248" t="str">
        <f t="shared" si="32"/>
        <v>12Y_R</v>
      </c>
      <c r="AC10" s="248">
        <v>100</v>
      </c>
      <c r="AD10" s="270">
        <v>7.8403316759548041</v>
      </c>
      <c r="AE10" s="273" t="str">
        <f t="shared" si="23"/>
        <v>7Y_R</v>
      </c>
      <c r="AF10" s="248" t="str">
        <f t="shared" ref="AF10:AI10" si="33">AE10</f>
        <v>7Y_R</v>
      </c>
      <c r="AG10" s="248" t="str">
        <f t="shared" si="33"/>
        <v>7Y_R</v>
      </c>
      <c r="AH10" s="248" t="str">
        <f t="shared" si="33"/>
        <v>7Y_R</v>
      </c>
      <c r="AI10" s="248" t="str">
        <f t="shared" si="33"/>
        <v>7Y_R</v>
      </c>
      <c r="AJ10" s="248">
        <v>100</v>
      </c>
      <c r="AK10" s="270">
        <v>9.1733333333333356</v>
      </c>
      <c r="AL10" s="273" t="str">
        <f t="shared" si="25"/>
        <v>9Y_R</v>
      </c>
      <c r="AM10" s="248" t="str">
        <f t="shared" ref="AM10:AP10" si="34">AL10</f>
        <v>9Y_R</v>
      </c>
      <c r="AN10" s="248" t="str">
        <f t="shared" si="34"/>
        <v>9Y_R</v>
      </c>
      <c r="AO10" s="248" t="str">
        <f t="shared" si="34"/>
        <v>9Y_R</v>
      </c>
      <c r="AP10" s="248" t="str">
        <f t="shared" si="34"/>
        <v>9Y_R</v>
      </c>
      <c r="AQ10" s="248">
        <v>100</v>
      </c>
      <c r="AR10" s="270">
        <v>9.620000000000001</v>
      </c>
      <c r="AS10" s="273" t="str">
        <f t="shared" si="27"/>
        <v>12Y_R</v>
      </c>
      <c r="AT10" s="248" t="str">
        <f t="shared" ref="AT10:AW10" si="35">AS10</f>
        <v>12Y_R</v>
      </c>
      <c r="AU10" s="248" t="str">
        <f t="shared" si="35"/>
        <v>12Y_R</v>
      </c>
      <c r="AV10" s="248" t="str">
        <f t="shared" si="35"/>
        <v>12Y_R</v>
      </c>
      <c r="AW10" s="248" t="str">
        <f t="shared" si="35"/>
        <v>12Y_R</v>
      </c>
      <c r="AX10" s="248">
        <v>100</v>
      </c>
      <c r="AY10" s="285">
        <v>10.290000000000001</v>
      </c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12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12"/>
      <c r="JX10" s="12"/>
      <c r="JY10" s="12"/>
      <c r="JZ10" s="12"/>
      <c r="KA10" s="12"/>
      <c r="KB10" s="12"/>
      <c r="KC10" s="12"/>
      <c r="KD10" s="12"/>
      <c r="KE10" s="12"/>
      <c r="KF10" s="12"/>
      <c r="KG10" s="12"/>
      <c r="KH10" s="12"/>
      <c r="KI10" s="12"/>
      <c r="KJ10" s="12"/>
      <c r="KK10" s="12"/>
      <c r="KL10" s="12"/>
      <c r="KM10" s="12"/>
      <c r="KN10" s="12"/>
      <c r="KO10" s="12"/>
      <c r="KP10" s="12"/>
      <c r="KQ10" s="12"/>
      <c r="KR10" s="12"/>
      <c r="KS10" s="12"/>
      <c r="KT10" s="12"/>
      <c r="KU10" s="12"/>
      <c r="KV10" s="12"/>
      <c r="KW10" s="12"/>
      <c r="KX10" s="12"/>
      <c r="KY10" s="12"/>
      <c r="KZ10" s="12"/>
      <c r="LA10" s="12"/>
      <c r="LB10" s="12"/>
      <c r="LC10" s="12"/>
      <c r="LD10" s="12"/>
      <c r="LE10" s="12"/>
    </row>
    <row r="11" spans="1:322" s="39" customFormat="1" x14ac:dyDescent="0.2">
      <c r="B11" s="283">
        <f t="shared" si="14"/>
        <v>49</v>
      </c>
      <c r="C11" s="273" t="str">
        <f t="shared" si="15"/>
        <v>7Y_R</v>
      </c>
      <c r="D11" s="248" t="str">
        <f t="shared" ref="D11:G11" si="36">C11</f>
        <v>7Y_R</v>
      </c>
      <c r="E11" s="248" t="str">
        <f t="shared" si="36"/>
        <v>7Y_R</v>
      </c>
      <c r="F11" s="248" t="str">
        <f t="shared" si="36"/>
        <v>7Y_R</v>
      </c>
      <c r="G11" s="248" t="str">
        <f t="shared" si="36"/>
        <v>7Y_R</v>
      </c>
      <c r="H11" s="248">
        <v>100</v>
      </c>
      <c r="I11" s="270">
        <v>4.0337326004918692</v>
      </c>
      <c r="J11" s="273" t="str">
        <f t="shared" si="17"/>
        <v>9Y_R</v>
      </c>
      <c r="K11" s="248" t="str">
        <f t="shared" ref="K11:N11" si="37">J11</f>
        <v>9Y_R</v>
      </c>
      <c r="L11" s="248" t="str">
        <f t="shared" si="37"/>
        <v>9Y_R</v>
      </c>
      <c r="M11" s="248" t="str">
        <f t="shared" si="37"/>
        <v>9Y_R</v>
      </c>
      <c r="N11" s="248" t="str">
        <f t="shared" si="37"/>
        <v>9Y_R</v>
      </c>
      <c r="O11" s="248">
        <v>100</v>
      </c>
      <c r="P11" s="270">
        <v>5.5703825265788067</v>
      </c>
      <c r="Q11" s="273" t="str">
        <f t="shared" si="19"/>
        <v>10Y_R</v>
      </c>
      <c r="R11" s="248" t="str">
        <f t="shared" ref="R11:U11" si="38">Q11</f>
        <v>10Y_R</v>
      </c>
      <c r="S11" s="248" t="str">
        <f t="shared" si="38"/>
        <v>10Y_R</v>
      </c>
      <c r="T11" s="248" t="str">
        <f t="shared" si="38"/>
        <v>10Y_R</v>
      </c>
      <c r="U11" s="248" t="str">
        <f t="shared" si="38"/>
        <v>10Y_R</v>
      </c>
      <c r="V11" s="248">
        <v>100</v>
      </c>
      <c r="W11" s="270">
        <v>6.4120059347037639</v>
      </c>
      <c r="X11" s="273" t="str">
        <f t="shared" si="21"/>
        <v>12Y_R</v>
      </c>
      <c r="Y11" s="248" t="str">
        <f t="shared" ref="Y11:AB11" si="39">X11</f>
        <v>12Y_R</v>
      </c>
      <c r="Z11" s="248" t="str">
        <f t="shared" si="39"/>
        <v>12Y_R</v>
      </c>
      <c r="AA11" s="248" t="str">
        <f t="shared" si="39"/>
        <v>12Y_R</v>
      </c>
      <c r="AB11" s="248" t="str">
        <f t="shared" si="39"/>
        <v>12Y_R</v>
      </c>
      <c r="AC11" s="248">
        <v>100</v>
      </c>
      <c r="AD11" s="270">
        <v>7.3403316759548041</v>
      </c>
      <c r="AE11" s="273" t="str">
        <f t="shared" si="23"/>
        <v>7Y_R</v>
      </c>
      <c r="AF11" s="248" t="str">
        <f t="shared" ref="AF11:AI11" si="40">AE11</f>
        <v>7Y_R</v>
      </c>
      <c r="AG11" s="248" t="str">
        <f t="shared" si="40"/>
        <v>7Y_R</v>
      </c>
      <c r="AH11" s="248" t="str">
        <f t="shared" si="40"/>
        <v>7Y_R</v>
      </c>
      <c r="AI11" s="248" t="str">
        <f t="shared" si="40"/>
        <v>7Y_R</v>
      </c>
      <c r="AJ11" s="248">
        <v>100</v>
      </c>
      <c r="AK11" s="270">
        <v>8.5066666666666677</v>
      </c>
      <c r="AL11" s="273" t="str">
        <f t="shared" si="25"/>
        <v>9Y_R</v>
      </c>
      <c r="AM11" s="248" t="str">
        <f t="shared" ref="AM11:AP11" si="41">AL11</f>
        <v>9Y_R</v>
      </c>
      <c r="AN11" s="248" t="str">
        <f t="shared" si="41"/>
        <v>9Y_R</v>
      </c>
      <c r="AO11" s="248" t="str">
        <f t="shared" si="41"/>
        <v>9Y_R</v>
      </c>
      <c r="AP11" s="248" t="str">
        <f t="shared" si="41"/>
        <v>9Y_R</v>
      </c>
      <c r="AQ11" s="248">
        <v>100</v>
      </c>
      <c r="AR11" s="270">
        <v>8.9533333333333349</v>
      </c>
      <c r="AS11" s="273" t="str">
        <f t="shared" si="27"/>
        <v>12Y_R</v>
      </c>
      <c r="AT11" s="248" t="str">
        <f t="shared" ref="AT11:AW11" si="42">AS11</f>
        <v>12Y_R</v>
      </c>
      <c r="AU11" s="248" t="str">
        <f t="shared" si="42"/>
        <v>12Y_R</v>
      </c>
      <c r="AV11" s="248" t="str">
        <f t="shared" si="42"/>
        <v>12Y_R</v>
      </c>
      <c r="AW11" s="248" t="str">
        <f t="shared" si="42"/>
        <v>12Y_R</v>
      </c>
      <c r="AX11" s="248">
        <v>100</v>
      </c>
      <c r="AY11" s="285">
        <v>9.6233333333333348</v>
      </c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12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12"/>
      <c r="JX11" s="12"/>
      <c r="JY11" s="12"/>
      <c r="JZ11" s="12"/>
      <c r="KA11" s="12"/>
      <c r="KB11" s="12"/>
      <c r="KC11" s="12"/>
      <c r="KD11" s="12"/>
      <c r="KE11" s="12"/>
      <c r="KF11" s="12"/>
      <c r="KG11" s="12"/>
      <c r="KH11" s="12"/>
      <c r="KI11" s="12"/>
      <c r="KJ11" s="12"/>
      <c r="KK11" s="12"/>
      <c r="KL11" s="12"/>
      <c r="KM11" s="12"/>
      <c r="KN11" s="12"/>
      <c r="KO11" s="12"/>
      <c r="KP11" s="12"/>
      <c r="KQ11" s="12"/>
      <c r="KR11" s="12"/>
      <c r="KS11" s="12"/>
      <c r="KT11" s="12"/>
      <c r="KU11" s="12"/>
      <c r="KV11" s="12"/>
      <c r="KW11" s="12"/>
      <c r="KX11" s="12"/>
      <c r="KY11" s="12"/>
      <c r="KZ11" s="12"/>
      <c r="LA11" s="12"/>
      <c r="LB11" s="12"/>
      <c r="LC11" s="12"/>
      <c r="LD11" s="12"/>
      <c r="LE11" s="12"/>
    </row>
    <row r="12" spans="1:322" s="39" customFormat="1" x14ac:dyDescent="0.2">
      <c r="B12" s="283">
        <f t="shared" si="14"/>
        <v>61</v>
      </c>
      <c r="C12" s="273" t="str">
        <f t="shared" si="15"/>
        <v>7Y_R</v>
      </c>
      <c r="D12" s="248" t="str">
        <f t="shared" ref="D12:G12" si="43">C12</f>
        <v>7Y_R</v>
      </c>
      <c r="E12" s="248" t="str">
        <f t="shared" si="43"/>
        <v>7Y_R</v>
      </c>
      <c r="F12" s="248" t="str">
        <f t="shared" si="43"/>
        <v>7Y_R</v>
      </c>
      <c r="G12" s="248" t="str">
        <f t="shared" si="43"/>
        <v>7Y_R</v>
      </c>
      <c r="H12" s="248">
        <v>100</v>
      </c>
      <c r="I12" s="270">
        <v>3.5337326004918692</v>
      </c>
      <c r="J12" s="273" t="str">
        <f t="shared" si="17"/>
        <v>9Y_R</v>
      </c>
      <c r="K12" s="248" t="str">
        <f t="shared" ref="K12:N12" si="44">J12</f>
        <v>9Y_R</v>
      </c>
      <c r="L12" s="248" t="str">
        <f t="shared" si="44"/>
        <v>9Y_R</v>
      </c>
      <c r="M12" s="248" t="str">
        <f t="shared" si="44"/>
        <v>9Y_R</v>
      </c>
      <c r="N12" s="248" t="str">
        <f t="shared" si="44"/>
        <v>9Y_R</v>
      </c>
      <c r="O12" s="248">
        <v>100</v>
      </c>
      <c r="P12" s="270">
        <v>5.0703825265788067</v>
      </c>
      <c r="Q12" s="273" t="str">
        <f t="shared" si="19"/>
        <v>10Y_R</v>
      </c>
      <c r="R12" s="248" t="str">
        <f t="shared" ref="R12:U12" si="45">Q12</f>
        <v>10Y_R</v>
      </c>
      <c r="S12" s="248" t="str">
        <f t="shared" si="45"/>
        <v>10Y_R</v>
      </c>
      <c r="T12" s="248" t="str">
        <f t="shared" si="45"/>
        <v>10Y_R</v>
      </c>
      <c r="U12" s="248" t="str">
        <f t="shared" si="45"/>
        <v>10Y_R</v>
      </c>
      <c r="V12" s="248">
        <v>100</v>
      </c>
      <c r="W12" s="270">
        <v>5.9120059347037639</v>
      </c>
      <c r="X12" s="273" t="str">
        <f t="shared" si="21"/>
        <v>12Y_R</v>
      </c>
      <c r="Y12" s="248" t="str">
        <f t="shared" ref="Y12:AB12" si="46">X12</f>
        <v>12Y_R</v>
      </c>
      <c r="Z12" s="248" t="str">
        <f t="shared" si="46"/>
        <v>12Y_R</v>
      </c>
      <c r="AA12" s="248" t="str">
        <f t="shared" si="46"/>
        <v>12Y_R</v>
      </c>
      <c r="AB12" s="248" t="str">
        <f t="shared" si="46"/>
        <v>12Y_R</v>
      </c>
      <c r="AC12" s="248">
        <v>100</v>
      </c>
      <c r="AD12" s="270">
        <v>6.8403316759548041</v>
      </c>
      <c r="AE12" s="273" t="str">
        <f t="shared" si="23"/>
        <v>7Y_R</v>
      </c>
      <c r="AF12" s="248" t="str">
        <f t="shared" ref="AF12:AI12" si="47">AE12</f>
        <v>7Y_R</v>
      </c>
      <c r="AG12" s="248" t="str">
        <f t="shared" si="47"/>
        <v>7Y_R</v>
      </c>
      <c r="AH12" s="248" t="str">
        <f t="shared" si="47"/>
        <v>7Y_R</v>
      </c>
      <c r="AI12" s="248" t="str">
        <f t="shared" si="47"/>
        <v>7Y_R</v>
      </c>
      <c r="AJ12" s="248">
        <v>100</v>
      </c>
      <c r="AK12" s="270">
        <v>7.8400000000000025</v>
      </c>
      <c r="AL12" s="273" t="str">
        <f t="shared" si="25"/>
        <v>9Y_R</v>
      </c>
      <c r="AM12" s="248" t="str">
        <f t="shared" ref="AM12:AP12" si="48">AL12</f>
        <v>9Y_R</v>
      </c>
      <c r="AN12" s="248" t="str">
        <f t="shared" si="48"/>
        <v>9Y_R</v>
      </c>
      <c r="AO12" s="248" t="str">
        <f t="shared" si="48"/>
        <v>9Y_R</v>
      </c>
      <c r="AP12" s="248" t="str">
        <f t="shared" si="48"/>
        <v>9Y_R</v>
      </c>
      <c r="AQ12" s="248">
        <v>100</v>
      </c>
      <c r="AR12" s="270">
        <v>8.2866666666666688</v>
      </c>
      <c r="AS12" s="273" t="str">
        <f t="shared" si="27"/>
        <v>12Y_R</v>
      </c>
      <c r="AT12" s="248" t="str">
        <f t="shared" ref="AT12:AW12" si="49">AS12</f>
        <v>12Y_R</v>
      </c>
      <c r="AU12" s="248" t="str">
        <f t="shared" si="49"/>
        <v>12Y_R</v>
      </c>
      <c r="AV12" s="248" t="str">
        <f t="shared" si="49"/>
        <v>12Y_R</v>
      </c>
      <c r="AW12" s="248" t="str">
        <f t="shared" si="49"/>
        <v>12Y_R</v>
      </c>
      <c r="AX12" s="248">
        <v>100</v>
      </c>
      <c r="AY12" s="285">
        <v>8.9566666666666688</v>
      </c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12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12"/>
      <c r="JX12" s="12"/>
      <c r="JY12" s="12"/>
      <c r="JZ12" s="12"/>
      <c r="KA12" s="12"/>
      <c r="KB12" s="12"/>
      <c r="KC12" s="12"/>
      <c r="KD12" s="12"/>
      <c r="KE12" s="12"/>
      <c r="KF12" s="12"/>
      <c r="KG12" s="12"/>
      <c r="KH12" s="12"/>
      <c r="KI12" s="12"/>
      <c r="KJ12" s="12"/>
      <c r="KK12" s="12"/>
      <c r="KL12" s="12"/>
      <c r="KM12" s="12"/>
      <c r="KN12" s="12"/>
      <c r="KO12" s="12"/>
      <c r="KP12" s="12"/>
      <c r="KQ12" s="12"/>
      <c r="KR12" s="12"/>
      <c r="KS12" s="12"/>
      <c r="KT12" s="12"/>
      <c r="KU12" s="12"/>
      <c r="KV12" s="12"/>
      <c r="KW12" s="12"/>
      <c r="KX12" s="12"/>
      <c r="KY12" s="12"/>
      <c r="KZ12" s="12"/>
      <c r="LA12" s="12"/>
      <c r="LB12" s="12"/>
      <c r="LC12" s="12"/>
      <c r="LD12" s="12"/>
      <c r="LE12" s="12"/>
    </row>
    <row r="13" spans="1:322" s="39" customFormat="1" x14ac:dyDescent="0.2">
      <c r="B13" s="283">
        <f t="shared" si="14"/>
        <v>73</v>
      </c>
      <c r="C13" s="273" t="str">
        <f t="shared" si="15"/>
        <v>7Y_R</v>
      </c>
      <c r="D13" s="248" t="str">
        <f t="shared" ref="D13:G13" si="50">C13</f>
        <v>7Y_R</v>
      </c>
      <c r="E13" s="248" t="str">
        <f t="shared" si="50"/>
        <v>7Y_R</v>
      </c>
      <c r="F13" s="248" t="str">
        <f t="shared" si="50"/>
        <v>7Y_R</v>
      </c>
      <c r="G13" s="248" t="str">
        <f t="shared" si="50"/>
        <v>7Y_R</v>
      </c>
      <c r="H13" s="248">
        <v>100</v>
      </c>
      <c r="I13" s="270">
        <v>3.0337326004918692</v>
      </c>
      <c r="J13" s="273" t="str">
        <f t="shared" si="17"/>
        <v>9Y_R</v>
      </c>
      <c r="K13" s="248" t="str">
        <f t="shared" ref="K13:N13" si="51">J13</f>
        <v>9Y_R</v>
      </c>
      <c r="L13" s="248" t="str">
        <f t="shared" si="51"/>
        <v>9Y_R</v>
      </c>
      <c r="M13" s="248" t="str">
        <f t="shared" si="51"/>
        <v>9Y_R</v>
      </c>
      <c r="N13" s="248" t="str">
        <f t="shared" si="51"/>
        <v>9Y_R</v>
      </c>
      <c r="O13" s="248">
        <v>100</v>
      </c>
      <c r="P13" s="270">
        <v>4.5703825265788067</v>
      </c>
      <c r="Q13" s="273" t="str">
        <f t="shared" si="19"/>
        <v>10Y_R</v>
      </c>
      <c r="R13" s="248" t="str">
        <f t="shared" ref="R13:U13" si="52">Q13</f>
        <v>10Y_R</v>
      </c>
      <c r="S13" s="248" t="str">
        <f t="shared" si="52"/>
        <v>10Y_R</v>
      </c>
      <c r="T13" s="248" t="str">
        <f t="shared" si="52"/>
        <v>10Y_R</v>
      </c>
      <c r="U13" s="248" t="str">
        <f t="shared" si="52"/>
        <v>10Y_R</v>
      </c>
      <c r="V13" s="248">
        <v>100</v>
      </c>
      <c r="W13" s="270">
        <v>5.4120059347037639</v>
      </c>
      <c r="X13" s="273" t="str">
        <f t="shared" si="21"/>
        <v>12Y_R</v>
      </c>
      <c r="Y13" s="248" t="str">
        <f t="shared" ref="Y13:AB13" si="53">X13</f>
        <v>12Y_R</v>
      </c>
      <c r="Z13" s="248" t="str">
        <f t="shared" si="53"/>
        <v>12Y_R</v>
      </c>
      <c r="AA13" s="248" t="str">
        <f t="shared" si="53"/>
        <v>12Y_R</v>
      </c>
      <c r="AB13" s="248" t="str">
        <f t="shared" si="53"/>
        <v>12Y_R</v>
      </c>
      <c r="AC13" s="248">
        <v>100</v>
      </c>
      <c r="AD13" s="270">
        <v>6.3403316759548041</v>
      </c>
      <c r="AE13" s="273" t="str">
        <f t="shared" si="23"/>
        <v>7Y_R</v>
      </c>
      <c r="AF13" s="248" t="str">
        <f t="shared" ref="AF13:AI13" si="54">AE13</f>
        <v>7Y_R</v>
      </c>
      <c r="AG13" s="248" t="str">
        <f t="shared" si="54"/>
        <v>7Y_R</v>
      </c>
      <c r="AH13" s="248" t="str">
        <f t="shared" si="54"/>
        <v>7Y_R</v>
      </c>
      <c r="AI13" s="248" t="str">
        <f t="shared" si="54"/>
        <v>7Y_R</v>
      </c>
      <c r="AJ13" s="248">
        <v>100</v>
      </c>
      <c r="AK13" s="270">
        <v>7.1733333333333347</v>
      </c>
      <c r="AL13" s="273" t="str">
        <f t="shared" si="25"/>
        <v>9Y_R</v>
      </c>
      <c r="AM13" s="248" t="str">
        <f t="shared" ref="AM13:AP13" si="55">AL13</f>
        <v>9Y_R</v>
      </c>
      <c r="AN13" s="248" t="str">
        <f t="shared" si="55"/>
        <v>9Y_R</v>
      </c>
      <c r="AO13" s="248" t="str">
        <f t="shared" si="55"/>
        <v>9Y_R</v>
      </c>
      <c r="AP13" s="248" t="str">
        <f t="shared" si="55"/>
        <v>9Y_R</v>
      </c>
      <c r="AQ13" s="248">
        <v>100</v>
      </c>
      <c r="AR13" s="270">
        <v>7.6200000000000019</v>
      </c>
      <c r="AS13" s="273" t="str">
        <f t="shared" si="27"/>
        <v>12Y_R</v>
      </c>
      <c r="AT13" s="248" t="str">
        <f t="shared" ref="AT13:AW13" si="56">AS13</f>
        <v>12Y_R</v>
      </c>
      <c r="AU13" s="248" t="str">
        <f t="shared" si="56"/>
        <v>12Y_R</v>
      </c>
      <c r="AV13" s="248" t="str">
        <f t="shared" si="56"/>
        <v>12Y_R</v>
      </c>
      <c r="AW13" s="248" t="str">
        <f t="shared" si="56"/>
        <v>12Y_R</v>
      </c>
      <c r="AX13" s="248">
        <v>100</v>
      </c>
      <c r="AY13" s="285">
        <v>8.2900000000000027</v>
      </c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12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12"/>
      <c r="JX13" s="12"/>
      <c r="JY13" s="12"/>
      <c r="JZ13" s="12"/>
      <c r="KA13" s="12"/>
      <c r="KB13" s="12"/>
      <c r="KC13" s="12"/>
      <c r="KD13" s="12"/>
      <c r="KE13" s="12"/>
      <c r="KF13" s="12"/>
      <c r="KG13" s="12"/>
      <c r="KH13" s="12"/>
      <c r="KI13" s="12"/>
      <c r="KJ13" s="12"/>
      <c r="KK13" s="12"/>
      <c r="KL13" s="12"/>
      <c r="KM13" s="12"/>
      <c r="KN13" s="12"/>
      <c r="KO13" s="12"/>
      <c r="KP13" s="12"/>
      <c r="KQ13" s="12"/>
      <c r="KR13" s="12"/>
      <c r="KS13" s="12"/>
      <c r="KT13" s="12"/>
      <c r="KU13" s="12"/>
      <c r="KV13" s="12"/>
      <c r="KW13" s="12"/>
      <c r="KX13" s="12"/>
      <c r="KY13" s="12"/>
      <c r="KZ13" s="12"/>
      <c r="LA13" s="12"/>
      <c r="LB13" s="12"/>
      <c r="LC13" s="12"/>
      <c r="LD13" s="12"/>
      <c r="LE13" s="12"/>
    </row>
    <row r="14" spans="1:322" s="39" customFormat="1" x14ac:dyDescent="0.2">
      <c r="B14" s="283">
        <f t="shared" si="14"/>
        <v>85</v>
      </c>
      <c r="C14" s="273" t="str">
        <f t="shared" si="15"/>
        <v>7Y_R</v>
      </c>
      <c r="D14" s="248" t="str">
        <f t="shared" ref="D14:G14" si="57">C14</f>
        <v>7Y_R</v>
      </c>
      <c r="E14" s="248" t="str">
        <f t="shared" si="57"/>
        <v>7Y_R</v>
      </c>
      <c r="F14" s="248" t="str">
        <f t="shared" si="57"/>
        <v>7Y_R</v>
      </c>
      <c r="G14" s="248" t="str">
        <f t="shared" si="57"/>
        <v>7Y_R</v>
      </c>
      <c r="H14" s="248">
        <v>100</v>
      </c>
      <c r="I14" s="270">
        <v>2.5337326004918692</v>
      </c>
      <c r="J14" s="273" t="str">
        <f t="shared" si="17"/>
        <v>9Y_R</v>
      </c>
      <c r="K14" s="248" t="str">
        <f t="shared" ref="K14:N14" si="58">J14</f>
        <v>9Y_R</v>
      </c>
      <c r="L14" s="248" t="str">
        <f t="shared" si="58"/>
        <v>9Y_R</v>
      </c>
      <c r="M14" s="248" t="str">
        <f t="shared" si="58"/>
        <v>9Y_R</v>
      </c>
      <c r="N14" s="248" t="str">
        <f t="shared" si="58"/>
        <v>9Y_R</v>
      </c>
      <c r="O14" s="248">
        <v>100</v>
      </c>
      <c r="P14" s="270">
        <v>4.0703825265788067</v>
      </c>
      <c r="Q14" s="273" t="str">
        <f t="shared" si="19"/>
        <v>10Y_R</v>
      </c>
      <c r="R14" s="248" t="str">
        <f t="shared" ref="R14:U14" si="59">Q14</f>
        <v>10Y_R</v>
      </c>
      <c r="S14" s="248" t="str">
        <f t="shared" si="59"/>
        <v>10Y_R</v>
      </c>
      <c r="T14" s="248" t="str">
        <f t="shared" si="59"/>
        <v>10Y_R</v>
      </c>
      <c r="U14" s="248" t="str">
        <f t="shared" si="59"/>
        <v>10Y_R</v>
      </c>
      <c r="V14" s="248">
        <v>100</v>
      </c>
      <c r="W14" s="270">
        <v>4.9120059347037639</v>
      </c>
      <c r="X14" s="273" t="str">
        <f t="shared" si="21"/>
        <v>12Y_R</v>
      </c>
      <c r="Y14" s="248" t="str">
        <f t="shared" ref="Y14:AB14" si="60">X14</f>
        <v>12Y_R</v>
      </c>
      <c r="Z14" s="248" t="str">
        <f t="shared" si="60"/>
        <v>12Y_R</v>
      </c>
      <c r="AA14" s="248" t="str">
        <f t="shared" si="60"/>
        <v>12Y_R</v>
      </c>
      <c r="AB14" s="248" t="str">
        <f t="shared" si="60"/>
        <v>12Y_R</v>
      </c>
      <c r="AC14" s="248">
        <v>100</v>
      </c>
      <c r="AD14" s="270">
        <v>5.8403316759548041</v>
      </c>
      <c r="AE14" s="273" t="str">
        <f t="shared" si="23"/>
        <v>7Y_R</v>
      </c>
      <c r="AF14" s="248" t="str">
        <f t="shared" ref="AF14:AI14" si="61">AE14</f>
        <v>7Y_R</v>
      </c>
      <c r="AG14" s="248" t="str">
        <f t="shared" si="61"/>
        <v>7Y_R</v>
      </c>
      <c r="AH14" s="248" t="str">
        <f t="shared" si="61"/>
        <v>7Y_R</v>
      </c>
      <c r="AI14" s="248" t="str">
        <f t="shared" si="61"/>
        <v>7Y_R</v>
      </c>
      <c r="AJ14" s="248">
        <v>100</v>
      </c>
      <c r="AK14" s="270">
        <v>6.5066666666666677</v>
      </c>
      <c r="AL14" s="273" t="str">
        <f t="shared" si="25"/>
        <v>9Y_R</v>
      </c>
      <c r="AM14" s="248" t="str">
        <f t="shared" ref="AM14:AP14" si="62">AL14</f>
        <v>9Y_R</v>
      </c>
      <c r="AN14" s="248" t="str">
        <f t="shared" si="62"/>
        <v>9Y_R</v>
      </c>
      <c r="AO14" s="248" t="str">
        <f t="shared" si="62"/>
        <v>9Y_R</v>
      </c>
      <c r="AP14" s="248" t="str">
        <f t="shared" si="62"/>
        <v>9Y_R</v>
      </c>
      <c r="AQ14" s="248">
        <v>100</v>
      </c>
      <c r="AR14" s="270">
        <v>6.9533333333333349</v>
      </c>
      <c r="AS14" s="273" t="str">
        <f t="shared" si="27"/>
        <v>12Y_R</v>
      </c>
      <c r="AT14" s="248" t="str">
        <f t="shared" ref="AT14:AW14" si="63">AS14</f>
        <v>12Y_R</v>
      </c>
      <c r="AU14" s="248" t="str">
        <f t="shared" si="63"/>
        <v>12Y_R</v>
      </c>
      <c r="AV14" s="248" t="str">
        <f t="shared" si="63"/>
        <v>12Y_R</v>
      </c>
      <c r="AW14" s="248" t="str">
        <f t="shared" si="63"/>
        <v>12Y_R</v>
      </c>
      <c r="AX14" s="248">
        <v>100</v>
      </c>
      <c r="AY14" s="285">
        <v>7.6233333333333357</v>
      </c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12"/>
      <c r="IP14" s="12"/>
      <c r="IQ14" s="12"/>
      <c r="IR14" s="12"/>
      <c r="IS14" s="12"/>
      <c r="IT14" s="12"/>
      <c r="IU14" s="12"/>
      <c r="IV14" s="12"/>
      <c r="IW14" s="12"/>
      <c r="IX14" s="12"/>
      <c r="IY14" s="12"/>
      <c r="IZ14" s="12"/>
      <c r="JA14" s="12"/>
      <c r="JB14" s="12"/>
      <c r="JC14" s="12"/>
      <c r="JD14" s="12"/>
      <c r="JE14" s="12"/>
      <c r="JF14" s="12"/>
      <c r="JG14" s="12"/>
      <c r="JH14" s="12"/>
      <c r="JI14" s="12"/>
      <c r="JJ14" s="12"/>
      <c r="JK14" s="12"/>
      <c r="JL14" s="12"/>
      <c r="JM14" s="12"/>
      <c r="JN14" s="12"/>
      <c r="JO14" s="12"/>
      <c r="JP14" s="12"/>
      <c r="JQ14" s="12"/>
      <c r="JR14" s="12"/>
      <c r="JS14" s="12"/>
      <c r="JT14" s="12"/>
      <c r="JU14" s="12"/>
      <c r="JV14" s="12"/>
      <c r="JW14" s="12"/>
      <c r="JX14" s="12"/>
      <c r="JY14" s="12"/>
      <c r="JZ14" s="12"/>
      <c r="KA14" s="12"/>
      <c r="KB14" s="12"/>
      <c r="KC14" s="12"/>
      <c r="KD14" s="12"/>
      <c r="KE14" s="12"/>
      <c r="KF14" s="12"/>
      <c r="KG14" s="12"/>
      <c r="KH14" s="12"/>
      <c r="KI14" s="12"/>
      <c r="KJ14" s="12"/>
      <c r="KK14" s="12"/>
      <c r="KL14" s="12"/>
      <c r="KM14" s="12"/>
      <c r="KN14" s="12"/>
      <c r="KO14" s="12"/>
      <c r="KP14" s="12"/>
      <c r="KQ14" s="12"/>
      <c r="KR14" s="12"/>
      <c r="KS14" s="12"/>
      <c r="KT14" s="12"/>
      <c r="KU14" s="12"/>
      <c r="KV14" s="12"/>
      <c r="KW14" s="12"/>
      <c r="KX14" s="12"/>
      <c r="KY14" s="12"/>
      <c r="KZ14" s="12"/>
      <c r="LA14" s="12"/>
      <c r="LB14" s="12"/>
      <c r="LC14" s="12"/>
      <c r="LD14" s="12"/>
      <c r="LE14" s="12"/>
    </row>
    <row r="15" spans="1:322" s="39" customFormat="1" x14ac:dyDescent="0.2">
      <c r="B15" s="283">
        <f t="shared" si="14"/>
        <v>97</v>
      </c>
      <c r="C15" s="273" t="str">
        <f t="shared" si="15"/>
        <v>7Y_R</v>
      </c>
      <c r="D15" s="248" t="str">
        <f t="shared" ref="D15:G15" si="64">C15</f>
        <v>7Y_R</v>
      </c>
      <c r="E15" s="248" t="str">
        <f t="shared" si="64"/>
        <v>7Y_R</v>
      </c>
      <c r="F15" s="248" t="str">
        <f t="shared" si="64"/>
        <v>7Y_R</v>
      </c>
      <c r="G15" s="248" t="str">
        <f t="shared" si="64"/>
        <v>7Y_R</v>
      </c>
      <c r="H15" s="248">
        <v>100</v>
      </c>
      <c r="I15" s="270">
        <v>2.5</v>
      </c>
      <c r="J15" s="273" t="str">
        <f t="shared" si="17"/>
        <v>9Y_R</v>
      </c>
      <c r="K15" s="248" t="str">
        <f t="shared" ref="K15:N15" si="65">J15</f>
        <v>9Y_R</v>
      </c>
      <c r="L15" s="248" t="str">
        <f t="shared" si="65"/>
        <v>9Y_R</v>
      </c>
      <c r="M15" s="248" t="str">
        <f t="shared" si="65"/>
        <v>9Y_R</v>
      </c>
      <c r="N15" s="248" t="str">
        <f t="shared" si="65"/>
        <v>9Y_R</v>
      </c>
      <c r="O15" s="248">
        <v>100</v>
      </c>
      <c r="P15" s="270">
        <v>3.5703825265788067</v>
      </c>
      <c r="Q15" s="273" t="str">
        <f t="shared" si="19"/>
        <v>10Y_R</v>
      </c>
      <c r="R15" s="248" t="str">
        <f t="shared" ref="R15:U15" si="66">Q15</f>
        <v>10Y_R</v>
      </c>
      <c r="S15" s="248" t="str">
        <f t="shared" si="66"/>
        <v>10Y_R</v>
      </c>
      <c r="T15" s="248" t="str">
        <f t="shared" si="66"/>
        <v>10Y_R</v>
      </c>
      <c r="U15" s="248" t="str">
        <f t="shared" si="66"/>
        <v>10Y_R</v>
      </c>
      <c r="V15" s="248">
        <v>100</v>
      </c>
      <c r="W15" s="270">
        <v>4.4120059347037639</v>
      </c>
      <c r="X15" s="273" t="str">
        <f t="shared" si="21"/>
        <v>12Y_R</v>
      </c>
      <c r="Y15" s="248" t="str">
        <f t="shared" ref="Y15:AB15" si="67">X15</f>
        <v>12Y_R</v>
      </c>
      <c r="Z15" s="248" t="str">
        <f t="shared" si="67"/>
        <v>12Y_R</v>
      </c>
      <c r="AA15" s="248" t="str">
        <f t="shared" si="67"/>
        <v>12Y_R</v>
      </c>
      <c r="AB15" s="248" t="str">
        <f t="shared" si="67"/>
        <v>12Y_R</v>
      </c>
      <c r="AC15" s="248">
        <v>100</v>
      </c>
      <c r="AD15" s="270">
        <v>5.3403316759548041</v>
      </c>
      <c r="AE15" s="273" t="str">
        <f t="shared" si="23"/>
        <v>7Y_R</v>
      </c>
      <c r="AF15" s="248" t="str">
        <f t="shared" ref="AF15:AI15" si="68">AE15</f>
        <v>7Y_R</v>
      </c>
      <c r="AG15" s="248" t="str">
        <f t="shared" si="68"/>
        <v>7Y_R</v>
      </c>
      <c r="AH15" s="248" t="str">
        <f t="shared" si="68"/>
        <v>7Y_R</v>
      </c>
      <c r="AI15" s="248" t="str">
        <f t="shared" si="68"/>
        <v>7Y_R</v>
      </c>
      <c r="AJ15" s="248">
        <v>100</v>
      </c>
      <c r="AK15" s="270">
        <v>5.8400000000000007</v>
      </c>
      <c r="AL15" s="273" t="str">
        <f t="shared" si="25"/>
        <v>9Y_R</v>
      </c>
      <c r="AM15" s="248" t="str">
        <f t="shared" ref="AM15:AP15" si="69">AL15</f>
        <v>9Y_R</v>
      </c>
      <c r="AN15" s="248" t="str">
        <f t="shared" si="69"/>
        <v>9Y_R</v>
      </c>
      <c r="AO15" s="248" t="str">
        <f t="shared" si="69"/>
        <v>9Y_R</v>
      </c>
      <c r="AP15" s="248" t="str">
        <f t="shared" si="69"/>
        <v>9Y_R</v>
      </c>
      <c r="AQ15" s="248">
        <v>100</v>
      </c>
      <c r="AR15" s="270">
        <v>6.286666666666668</v>
      </c>
      <c r="AS15" s="273" t="str">
        <f t="shared" si="27"/>
        <v>12Y_R</v>
      </c>
      <c r="AT15" s="248" t="str">
        <f t="shared" ref="AT15:AW15" si="70">AS15</f>
        <v>12Y_R</v>
      </c>
      <c r="AU15" s="248" t="str">
        <f t="shared" si="70"/>
        <v>12Y_R</v>
      </c>
      <c r="AV15" s="248" t="str">
        <f t="shared" si="70"/>
        <v>12Y_R</v>
      </c>
      <c r="AW15" s="248" t="str">
        <f t="shared" si="70"/>
        <v>12Y_R</v>
      </c>
      <c r="AX15" s="248">
        <v>100</v>
      </c>
      <c r="AY15" s="285">
        <v>6.9566666666666688</v>
      </c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12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12"/>
      <c r="JX15" s="12"/>
      <c r="JY15" s="12"/>
      <c r="JZ15" s="12"/>
      <c r="KA15" s="12"/>
      <c r="KB15" s="12"/>
      <c r="KC15" s="12"/>
      <c r="KD15" s="12"/>
      <c r="KE15" s="12"/>
      <c r="KF15" s="12"/>
      <c r="KG15" s="12"/>
      <c r="KH15" s="12"/>
      <c r="KI15" s="12"/>
      <c r="KJ15" s="12"/>
      <c r="KK15" s="12"/>
      <c r="KL15" s="12"/>
      <c r="KM15" s="12"/>
      <c r="KN15" s="12"/>
      <c r="KO15" s="12"/>
      <c r="KP15" s="12"/>
      <c r="KQ15" s="12"/>
      <c r="KR15" s="12"/>
      <c r="KS15" s="12"/>
      <c r="KT15" s="12"/>
      <c r="KU15" s="12"/>
      <c r="KV15" s="12"/>
      <c r="KW15" s="12"/>
      <c r="KX15" s="12"/>
      <c r="KY15" s="12"/>
      <c r="KZ15" s="12"/>
      <c r="LA15" s="12"/>
      <c r="LB15" s="12"/>
      <c r="LC15" s="12"/>
      <c r="LD15" s="12"/>
      <c r="LE15" s="12"/>
    </row>
    <row r="16" spans="1:322" s="39" customFormat="1" x14ac:dyDescent="0.2">
      <c r="B16" s="283">
        <f t="shared" si="14"/>
        <v>109</v>
      </c>
      <c r="C16" s="273" t="str">
        <f t="shared" si="15"/>
        <v>7Y_R</v>
      </c>
      <c r="D16" s="248" t="str">
        <f t="shared" ref="D16:G16" si="71">C16</f>
        <v>7Y_R</v>
      </c>
      <c r="E16" s="248" t="str">
        <f t="shared" si="71"/>
        <v>7Y_R</v>
      </c>
      <c r="F16" s="248" t="str">
        <f t="shared" si="71"/>
        <v>7Y_R</v>
      </c>
      <c r="G16" s="248" t="str">
        <f t="shared" si="71"/>
        <v>7Y_R</v>
      </c>
      <c r="H16" s="248">
        <v>100</v>
      </c>
      <c r="I16" s="270">
        <v>2.5</v>
      </c>
      <c r="J16" s="273" t="str">
        <f t="shared" si="17"/>
        <v>9Y_R</v>
      </c>
      <c r="K16" s="248" t="str">
        <f t="shared" ref="K16:N16" si="72">J16</f>
        <v>9Y_R</v>
      </c>
      <c r="L16" s="248" t="str">
        <f t="shared" si="72"/>
        <v>9Y_R</v>
      </c>
      <c r="M16" s="248" t="str">
        <f t="shared" si="72"/>
        <v>9Y_R</v>
      </c>
      <c r="N16" s="248" t="str">
        <f t="shared" si="72"/>
        <v>9Y_R</v>
      </c>
      <c r="O16" s="248">
        <v>100</v>
      </c>
      <c r="P16" s="270">
        <v>3.0703825265788067</v>
      </c>
      <c r="Q16" s="273" t="str">
        <f t="shared" si="19"/>
        <v>10Y_R</v>
      </c>
      <c r="R16" s="248" t="str">
        <f t="shared" ref="R16:U16" si="73">Q16</f>
        <v>10Y_R</v>
      </c>
      <c r="S16" s="248" t="str">
        <f t="shared" si="73"/>
        <v>10Y_R</v>
      </c>
      <c r="T16" s="248" t="str">
        <f t="shared" si="73"/>
        <v>10Y_R</v>
      </c>
      <c r="U16" s="248" t="str">
        <f t="shared" si="73"/>
        <v>10Y_R</v>
      </c>
      <c r="V16" s="248">
        <v>100</v>
      </c>
      <c r="W16" s="270">
        <v>3.9120059347037639</v>
      </c>
      <c r="X16" s="273" t="str">
        <f t="shared" si="21"/>
        <v>12Y_R</v>
      </c>
      <c r="Y16" s="248" t="str">
        <f t="shared" ref="Y16:AB16" si="74">X16</f>
        <v>12Y_R</v>
      </c>
      <c r="Z16" s="248" t="str">
        <f t="shared" si="74"/>
        <v>12Y_R</v>
      </c>
      <c r="AA16" s="248" t="str">
        <f t="shared" si="74"/>
        <v>12Y_R</v>
      </c>
      <c r="AB16" s="248" t="str">
        <f t="shared" si="74"/>
        <v>12Y_R</v>
      </c>
      <c r="AC16" s="248">
        <v>100</v>
      </c>
      <c r="AD16" s="270">
        <v>4.8403316759548041</v>
      </c>
      <c r="AE16" s="273" t="str">
        <f t="shared" si="23"/>
        <v>7Y_R</v>
      </c>
      <c r="AF16" s="248" t="str">
        <f t="shared" ref="AF16:AI16" si="75">AE16</f>
        <v>7Y_R</v>
      </c>
      <c r="AG16" s="248" t="str">
        <f t="shared" si="75"/>
        <v>7Y_R</v>
      </c>
      <c r="AH16" s="248" t="str">
        <f t="shared" si="75"/>
        <v>7Y_R</v>
      </c>
      <c r="AI16" s="248" t="str">
        <f t="shared" si="75"/>
        <v>7Y_R</v>
      </c>
      <c r="AJ16" s="248">
        <v>100</v>
      </c>
      <c r="AK16" s="270">
        <v>5.1733333333333338</v>
      </c>
      <c r="AL16" s="273" t="str">
        <f t="shared" si="25"/>
        <v>9Y_R</v>
      </c>
      <c r="AM16" s="248" t="str">
        <f t="shared" ref="AM16:AP16" si="76">AL16</f>
        <v>9Y_R</v>
      </c>
      <c r="AN16" s="248" t="str">
        <f t="shared" si="76"/>
        <v>9Y_R</v>
      </c>
      <c r="AO16" s="248" t="str">
        <f t="shared" si="76"/>
        <v>9Y_R</v>
      </c>
      <c r="AP16" s="248" t="str">
        <f t="shared" si="76"/>
        <v>9Y_R</v>
      </c>
      <c r="AQ16" s="248">
        <v>100</v>
      </c>
      <c r="AR16" s="270">
        <v>5.620000000000001</v>
      </c>
      <c r="AS16" s="273" t="str">
        <f t="shared" si="27"/>
        <v>12Y_R</v>
      </c>
      <c r="AT16" s="248" t="str">
        <f t="shared" ref="AT16:AW16" si="77">AS16</f>
        <v>12Y_R</v>
      </c>
      <c r="AU16" s="248" t="str">
        <f t="shared" si="77"/>
        <v>12Y_R</v>
      </c>
      <c r="AV16" s="248" t="str">
        <f t="shared" si="77"/>
        <v>12Y_R</v>
      </c>
      <c r="AW16" s="248" t="str">
        <f t="shared" si="77"/>
        <v>12Y_R</v>
      </c>
      <c r="AX16" s="248">
        <v>100</v>
      </c>
      <c r="AY16" s="285">
        <v>6.2900000000000018</v>
      </c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12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12"/>
      <c r="JX16" s="12"/>
      <c r="JY16" s="12"/>
      <c r="JZ16" s="12"/>
      <c r="KA16" s="12"/>
      <c r="KB16" s="12"/>
      <c r="KC16" s="12"/>
      <c r="KD16" s="12"/>
      <c r="KE16" s="12"/>
      <c r="KF16" s="12"/>
      <c r="KG16" s="12"/>
      <c r="KH16" s="12"/>
      <c r="KI16" s="12"/>
      <c r="KJ16" s="12"/>
      <c r="KK16" s="12"/>
      <c r="KL16" s="12"/>
      <c r="KM16" s="12"/>
      <c r="KN16" s="12"/>
      <c r="KO16" s="12"/>
      <c r="KP16" s="12"/>
      <c r="KQ16" s="12"/>
      <c r="KR16" s="12"/>
      <c r="KS16" s="12"/>
      <c r="KT16" s="12"/>
      <c r="KU16" s="12"/>
      <c r="KV16" s="12"/>
      <c r="KW16" s="12"/>
      <c r="KX16" s="12"/>
      <c r="KY16" s="12"/>
      <c r="KZ16" s="12"/>
      <c r="LA16" s="12"/>
      <c r="LB16" s="12"/>
      <c r="LC16" s="12"/>
      <c r="LD16" s="12"/>
      <c r="LE16" s="12"/>
    </row>
    <row r="17" spans="2:317" s="39" customFormat="1" x14ac:dyDescent="0.2">
      <c r="B17" s="283">
        <f t="shared" si="14"/>
        <v>121</v>
      </c>
      <c r="C17" s="273" t="str">
        <f t="shared" si="15"/>
        <v>7Y_R</v>
      </c>
      <c r="D17" s="248" t="str">
        <f t="shared" ref="D17:G17" si="78">C17</f>
        <v>7Y_R</v>
      </c>
      <c r="E17" s="248" t="str">
        <f t="shared" si="78"/>
        <v>7Y_R</v>
      </c>
      <c r="F17" s="248" t="str">
        <f t="shared" si="78"/>
        <v>7Y_R</v>
      </c>
      <c r="G17" s="248" t="str">
        <f t="shared" si="78"/>
        <v>7Y_R</v>
      </c>
      <c r="H17" s="248">
        <v>100</v>
      </c>
      <c r="I17" s="270">
        <v>2.5</v>
      </c>
      <c r="J17" s="273" t="str">
        <f t="shared" si="17"/>
        <v>9Y_R</v>
      </c>
      <c r="K17" s="248" t="str">
        <f t="shared" ref="K17:N17" si="79">J17</f>
        <v>9Y_R</v>
      </c>
      <c r="L17" s="248" t="str">
        <f t="shared" si="79"/>
        <v>9Y_R</v>
      </c>
      <c r="M17" s="248" t="str">
        <f t="shared" si="79"/>
        <v>9Y_R</v>
      </c>
      <c r="N17" s="248" t="str">
        <f t="shared" si="79"/>
        <v>9Y_R</v>
      </c>
      <c r="O17" s="248">
        <v>100</v>
      </c>
      <c r="P17" s="270">
        <v>2.5703825265788067</v>
      </c>
      <c r="Q17" s="273" t="str">
        <f t="shared" si="19"/>
        <v>10Y_R</v>
      </c>
      <c r="R17" s="248" t="str">
        <f t="shared" ref="R17:U17" si="80">Q17</f>
        <v>10Y_R</v>
      </c>
      <c r="S17" s="248" t="str">
        <f t="shared" si="80"/>
        <v>10Y_R</v>
      </c>
      <c r="T17" s="248" t="str">
        <f t="shared" si="80"/>
        <v>10Y_R</v>
      </c>
      <c r="U17" s="248" t="str">
        <f t="shared" si="80"/>
        <v>10Y_R</v>
      </c>
      <c r="V17" s="248">
        <v>100</v>
      </c>
      <c r="W17" s="270">
        <v>3.4120059347037639</v>
      </c>
      <c r="X17" s="273" t="str">
        <f t="shared" si="21"/>
        <v>12Y_R</v>
      </c>
      <c r="Y17" s="248" t="str">
        <f t="shared" ref="Y17:AB17" si="81">X17</f>
        <v>12Y_R</v>
      </c>
      <c r="Z17" s="248" t="str">
        <f t="shared" si="81"/>
        <v>12Y_R</v>
      </c>
      <c r="AA17" s="248" t="str">
        <f t="shared" si="81"/>
        <v>12Y_R</v>
      </c>
      <c r="AB17" s="248" t="str">
        <f t="shared" si="81"/>
        <v>12Y_R</v>
      </c>
      <c r="AC17" s="248">
        <v>100</v>
      </c>
      <c r="AD17" s="270">
        <v>4.3403316759548041</v>
      </c>
      <c r="AE17" s="273" t="str">
        <f t="shared" si="23"/>
        <v>7Y_R</v>
      </c>
      <c r="AF17" s="248" t="str">
        <f t="shared" ref="AF17:AI17" si="82">AE17</f>
        <v>7Y_R</v>
      </c>
      <c r="AG17" s="248" t="str">
        <f t="shared" si="82"/>
        <v>7Y_R</v>
      </c>
      <c r="AH17" s="248" t="str">
        <f t="shared" si="82"/>
        <v>7Y_R</v>
      </c>
      <c r="AI17" s="248" t="str">
        <f t="shared" si="82"/>
        <v>7Y_R</v>
      </c>
      <c r="AJ17" s="248">
        <v>100</v>
      </c>
      <c r="AK17" s="270">
        <v>5.6177777777777775</v>
      </c>
      <c r="AL17" s="273" t="str">
        <f t="shared" si="25"/>
        <v>9Y_R</v>
      </c>
      <c r="AM17" s="248" t="str">
        <f t="shared" ref="AM17:AP17" si="83">AL17</f>
        <v>9Y_R</v>
      </c>
      <c r="AN17" s="248" t="str">
        <f t="shared" si="83"/>
        <v>9Y_R</v>
      </c>
      <c r="AO17" s="248" t="str">
        <f t="shared" si="83"/>
        <v>9Y_R</v>
      </c>
      <c r="AP17" s="248" t="str">
        <f t="shared" si="83"/>
        <v>9Y_R</v>
      </c>
      <c r="AQ17" s="248">
        <v>100</v>
      </c>
      <c r="AR17" s="270">
        <v>5.62</v>
      </c>
      <c r="AS17" s="273" t="str">
        <f t="shared" si="27"/>
        <v>12Y_R</v>
      </c>
      <c r="AT17" s="248" t="str">
        <f t="shared" ref="AT17:AW17" si="84">AS17</f>
        <v>12Y_R</v>
      </c>
      <c r="AU17" s="248" t="str">
        <f t="shared" si="84"/>
        <v>12Y_R</v>
      </c>
      <c r="AV17" s="248" t="str">
        <f t="shared" si="84"/>
        <v>12Y_R</v>
      </c>
      <c r="AW17" s="248" t="str">
        <f t="shared" si="84"/>
        <v>12Y_R</v>
      </c>
      <c r="AX17" s="248">
        <v>100</v>
      </c>
      <c r="AY17" s="285">
        <v>5.6233333333333348</v>
      </c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12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12"/>
      <c r="JX17" s="12"/>
      <c r="JY17" s="12"/>
      <c r="JZ17" s="12"/>
      <c r="KA17" s="12"/>
      <c r="KB17" s="12"/>
      <c r="KC17" s="12"/>
      <c r="KD17" s="12"/>
      <c r="KE17" s="12"/>
      <c r="KF17" s="12"/>
      <c r="KG17" s="12"/>
      <c r="KH17" s="12"/>
      <c r="KI17" s="12"/>
      <c r="KJ17" s="12"/>
      <c r="KK17" s="12"/>
      <c r="KL17" s="12"/>
      <c r="KM17" s="12"/>
      <c r="KN17" s="12"/>
      <c r="KO17" s="12"/>
      <c r="KP17" s="12"/>
      <c r="KQ17" s="12"/>
      <c r="KR17" s="12"/>
      <c r="KS17" s="12"/>
      <c r="KT17" s="12"/>
      <c r="KU17" s="12"/>
      <c r="KV17" s="12"/>
      <c r="KW17" s="12"/>
      <c r="KX17" s="12"/>
      <c r="KY17" s="12"/>
      <c r="KZ17" s="12"/>
      <c r="LA17" s="12"/>
      <c r="LB17" s="12"/>
      <c r="LC17" s="12"/>
      <c r="LD17" s="12"/>
      <c r="LE17" s="12"/>
    </row>
    <row r="18" spans="2:317" s="39" customFormat="1" x14ac:dyDescent="0.2">
      <c r="B18" s="283">
        <f t="shared" si="14"/>
        <v>133</v>
      </c>
      <c r="C18" s="273" t="str">
        <f t="shared" si="15"/>
        <v>7Y_R</v>
      </c>
      <c r="D18" s="248" t="str">
        <f t="shared" ref="D18:G18" si="85">C18</f>
        <v>7Y_R</v>
      </c>
      <c r="E18" s="248" t="str">
        <f t="shared" si="85"/>
        <v>7Y_R</v>
      </c>
      <c r="F18" s="248" t="str">
        <f t="shared" si="85"/>
        <v>7Y_R</v>
      </c>
      <c r="G18" s="248" t="str">
        <f t="shared" si="85"/>
        <v>7Y_R</v>
      </c>
      <c r="H18" s="248">
        <v>100</v>
      </c>
      <c r="I18" s="270">
        <v>2.5</v>
      </c>
      <c r="J18" s="273" t="str">
        <f t="shared" si="17"/>
        <v>9Y_R</v>
      </c>
      <c r="K18" s="248" t="str">
        <f t="shared" ref="K18:N18" si="86">J18</f>
        <v>9Y_R</v>
      </c>
      <c r="L18" s="248" t="str">
        <f t="shared" si="86"/>
        <v>9Y_R</v>
      </c>
      <c r="M18" s="248" t="str">
        <f t="shared" si="86"/>
        <v>9Y_R</v>
      </c>
      <c r="N18" s="248" t="str">
        <f t="shared" si="86"/>
        <v>9Y_R</v>
      </c>
      <c r="O18" s="248">
        <v>100</v>
      </c>
      <c r="P18" s="270">
        <v>2.5</v>
      </c>
      <c r="Q18" s="273" t="str">
        <f t="shared" si="19"/>
        <v>10Y_R</v>
      </c>
      <c r="R18" s="248" t="str">
        <f t="shared" ref="R18:U18" si="87">Q18</f>
        <v>10Y_R</v>
      </c>
      <c r="S18" s="248" t="str">
        <f t="shared" si="87"/>
        <v>10Y_R</v>
      </c>
      <c r="T18" s="248" t="str">
        <f t="shared" si="87"/>
        <v>10Y_R</v>
      </c>
      <c r="U18" s="248" t="str">
        <f t="shared" si="87"/>
        <v>10Y_R</v>
      </c>
      <c r="V18" s="248">
        <v>100</v>
      </c>
      <c r="W18" s="270">
        <v>2.9120059347037639</v>
      </c>
      <c r="X18" s="273" t="str">
        <f t="shared" si="21"/>
        <v>12Y_R</v>
      </c>
      <c r="Y18" s="248" t="str">
        <f t="shared" ref="Y18:AB18" si="88">X18</f>
        <v>12Y_R</v>
      </c>
      <c r="Z18" s="248" t="str">
        <f t="shared" si="88"/>
        <v>12Y_R</v>
      </c>
      <c r="AA18" s="248" t="str">
        <f t="shared" si="88"/>
        <v>12Y_R</v>
      </c>
      <c r="AB18" s="248" t="str">
        <f t="shared" si="88"/>
        <v>12Y_R</v>
      </c>
      <c r="AC18" s="248">
        <v>100</v>
      </c>
      <c r="AD18" s="270">
        <v>3.8403316759548041</v>
      </c>
      <c r="AE18" s="273" t="str">
        <f t="shared" si="23"/>
        <v>7Y_R</v>
      </c>
      <c r="AF18" s="248" t="str">
        <f t="shared" ref="AF18:AI18" si="89">AE18</f>
        <v>7Y_R</v>
      </c>
      <c r="AG18" s="248" t="str">
        <f t="shared" si="89"/>
        <v>7Y_R</v>
      </c>
      <c r="AH18" s="248" t="str">
        <f t="shared" si="89"/>
        <v>7Y_R</v>
      </c>
      <c r="AI18" s="248" t="str">
        <f t="shared" si="89"/>
        <v>7Y_R</v>
      </c>
      <c r="AJ18" s="248">
        <v>100</v>
      </c>
      <c r="AK18" s="270">
        <v>5.62</v>
      </c>
      <c r="AL18" s="273" t="str">
        <f t="shared" si="25"/>
        <v>9Y_R</v>
      </c>
      <c r="AM18" s="248" t="str">
        <f t="shared" ref="AM18:AP18" si="90">AL18</f>
        <v>9Y_R</v>
      </c>
      <c r="AN18" s="248" t="str">
        <f t="shared" si="90"/>
        <v>9Y_R</v>
      </c>
      <c r="AO18" s="248" t="str">
        <f t="shared" si="90"/>
        <v>9Y_R</v>
      </c>
      <c r="AP18" s="248" t="str">
        <f t="shared" si="90"/>
        <v>9Y_R</v>
      </c>
      <c r="AQ18" s="248">
        <v>100</v>
      </c>
      <c r="AR18" s="270">
        <v>5.62</v>
      </c>
      <c r="AS18" s="273" t="str">
        <f t="shared" si="27"/>
        <v>12Y_R</v>
      </c>
      <c r="AT18" s="248" t="str">
        <f t="shared" ref="AT18:AW18" si="91">AS18</f>
        <v>12Y_R</v>
      </c>
      <c r="AU18" s="248" t="str">
        <f t="shared" si="91"/>
        <v>12Y_R</v>
      </c>
      <c r="AV18" s="248" t="str">
        <f t="shared" si="91"/>
        <v>12Y_R</v>
      </c>
      <c r="AW18" s="248" t="str">
        <f t="shared" si="91"/>
        <v>12Y_R</v>
      </c>
      <c r="AX18" s="248">
        <v>100</v>
      </c>
      <c r="AY18" s="285">
        <v>5.62</v>
      </c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12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12"/>
      <c r="JX18" s="12"/>
      <c r="JY18" s="12"/>
      <c r="JZ18" s="12"/>
      <c r="KA18" s="12"/>
      <c r="KB18" s="12"/>
      <c r="KC18" s="12"/>
      <c r="KD18" s="12"/>
      <c r="KE18" s="12"/>
      <c r="KF18" s="12"/>
      <c r="KG18" s="12"/>
      <c r="KH18" s="12"/>
      <c r="KI18" s="12"/>
      <c r="KJ18" s="12"/>
      <c r="KK18" s="12"/>
      <c r="KL18" s="12"/>
      <c r="KM18" s="12"/>
      <c r="KN18" s="12"/>
      <c r="KO18" s="12"/>
      <c r="KP18" s="12"/>
      <c r="KQ18" s="12"/>
      <c r="KR18" s="12"/>
      <c r="KS18" s="12"/>
      <c r="KT18" s="12"/>
      <c r="KU18" s="12"/>
      <c r="KV18" s="12"/>
      <c r="KW18" s="12"/>
      <c r="KX18" s="12"/>
      <c r="KY18" s="12"/>
      <c r="KZ18" s="12"/>
      <c r="LA18" s="12"/>
      <c r="LB18" s="12"/>
      <c r="LC18" s="12"/>
      <c r="LD18" s="12"/>
      <c r="LE18" s="12"/>
    </row>
    <row r="19" spans="2:317" s="39" customFormat="1" x14ac:dyDescent="0.2">
      <c r="B19" s="283">
        <f t="shared" si="14"/>
        <v>145</v>
      </c>
      <c r="C19" s="273" t="str">
        <f t="shared" si="15"/>
        <v>7Y_R</v>
      </c>
      <c r="D19" s="248" t="str">
        <f t="shared" ref="D19:G19" si="92">C19</f>
        <v>7Y_R</v>
      </c>
      <c r="E19" s="248" t="str">
        <f t="shared" si="92"/>
        <v>7Y_R</v>
      </c>
      <c r="F19" s="248" t="str">
        <f t="shared" si="92"/>
        <v>7Y_R</v>
      </c>
      <c r="G19" s="248" t="str">
        <f t="shared" si="92"/>
        <v>7Y_R</v>
      </c>
      <c r="H19" s="248">
        <v>100</v>
      </c>
      <c r="I19" s="270">
        <v>2.5</v>
      </c>
      <c r="J19" s="273" t="str">
        <f t="shared" si="17"/>
        <v>9Y_R</v>
      </c>
      <c r="K19" s="248" t="str">
        <f t="shared" ref="K19:N19" si="93">J19</f>
        <v>9Y_R</v>
      </c>
      <c r="L19" s="248" t="str">
        <f t="shared" si="93"/>
        <v>9Y_R</v>
      </c>
      <c r="M19" s="248" t="str">
        <f t="shared" si="93"/>
        <v>9Y_R</v>
      </c>
      <c r="N19" s="248" t="str">
        <f t="shared" si="93"/>
        <v>9Y_R</v>
      </c>
      <c r="O19" s="248">
        <v>100</v>
      </c>
      <c r="P19" s="270">
        <v>2.5</v>
      </c>
      <c r="Q19" s="273" t="str">
        <f t="shared" si="19"/>
        <v>10Y_R</v>
      </c>
      <c r="R19" s="248" t="str">
        <f t="shared" ref="R19:U19" si="94">Q19</f>
        <v>10Y_R</v>
      </c>
      <c r="S19" s="248" t="str">
        <f t="shared" si="94"/>
        <v>10Y_R</v>
      </c>
      <c r="T19" s="248" t="str">
        <f t="shared" si="94"/>
        <v>10Y_R</v>
      </c>
      <c r="U19" s="248" t="str">
        <f t="shared" si="94"/>
        <v>10Y_R</v>
      </c>
      <c r="V19" s="248">
        <v>100</v>
      </c>
      <c r="W19" s="270">
        <v>2.5</v>
      </c>
      <c r="X19" s="273" t="str">
        <f t="shared" si="21"/>
        <v>12Y_R</v>
      </c>
      <c r="Y19" s="248" t="str">
        <f t="shared" ref="Y19:AB19" si="95">X19</f>
        <v>12Y_R</v>
      </c>
      <c r="Z19" s="248" t="str">
        <f t="shared" si="95"/>
        <v>12Y_R</v>
      </c>
      <c r="AA19" s="248" t="str">
        <f t="shared" si="95"/>
        <v>12Y_R</v>
      </c>
      <c r="AB19" s="248" t="str">
        <f t="shared" si="95"/>
        <v>12Y_R</v>
      </c>
      <c r="AC19" s="248">
        <v>100</v>
      </c>
      <c r="AD19" s="270">
        <v>3.3403316759548041</v>
      </c>
      <c r="AE19" s="273" t="str">
        <f t="shared" si="23"/>
        <v>7Y_R</v>
      </c>
      <c r="AF19" s="248" t="str">
        <f t="shared" ref="AF19:AI19" si="96">AE19</f>
        <v>7Y_R</v>
      </c>
      <c r="AG19" s="248" t="str">
        <f t="shared" si="96"/>
        <v>7Y_R</v>
      </c>
      <c r="AH19" s="248" t="str">
        <f t="shared" si="96"/>
        <v>7Y_R</v>
      </c>
      <c r="AI19" s="248" t="str">
        <f t="shared" si="96"/>
        <v>7Y_R</v>
      </c>
      <c r="AJ19" s="248">
        <v>100</v>
      </c>
      <c r="AK19" s="270">
        <v>5.62</v>
      </c>
      <c r="AL19" s="273" t="str">
        <f t="shared" si="25"/>
        <v>9Y_R</v>
      </c>
      <c r="AM19" s="248" t="str">
        <f t="shared" ref="AM19:AP19" si="97">AL19</f>
        <v>9Y_R</v>
      </c>
      <c r="AN19" s="248" t="str">
        <f t="shared" si="97"/>
        <v>9Y_R</v>
      </c>
      <c r="AO19" s="248" t="str">
        <f t="shared" si="97"/>
        <v>9Y_R</v>
      </c>
      <c r="AP19" s="248" t="str">
        <f t="shared" si="97"/>
        <v>9Y_R</v>
      </c>
      <c r="AQ19" s="248">
        <v>100</v>
      </c>
      <c r="AR19" s="270">
        <v>5.62</v>
      </c>
      <c r="AS19" s="273" t="str">
        <f t="shared" si="27"/>
        <v>12Y_R</v>
      </c>
      <c r="AT19" s="248" t="str">
        <f t="shared" ref="AT19:AW19" si="98">AS19</f>
        <v>12Y_R</v>
      </c>
      <c r="AU19" s="248" t="str">
        <f t="shared" si="98"/>
        <v>12Y_R</v>
      </c>
      <c r="AV19" s="248" t="str">
        <f t="shared" si="98"/>
        <v>12Y_R</v>
      </c>
      <c r="AW19" s="248" t="str">
        <f t="shared" si="98"/>
        <v>12Y_R</v>
      </c>
      <c r="AX19" s="248">
        <v>100</v>
      </c>
      <c r="AY19" s="285">
        <v>5.62</v>
      </c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12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12"/>
      <c r="JX19" s="12"/>
      <c r="JY19" s="12"/>
      <c r="JZ19" s="12"/>
      <c r="KA19" s="12"/>
      <c r="KB19" s="12"/>
      <c r="KC19" s="12"/>
      <c r="KD19" s="12"/>
      <c r="KE19" s="12"/>
      <c r="KF19" s="12"/>
      <c r="KG19" s="12"/>
      <c r="KH19" s="12"/>
      <c r="KI19" s="12"/>
      <c r="KJ19" s="12"/>
      <c r="KK19" s="12"/>
      <c r="KL19" s="12"/>
      <c r="KM19" s="12"/>
      <c r="KN19" s="12"/>
      <c r="KO19" s="12"/>
      <c r="KP19" s="12"/>
      <c r="KQ19" s="12"/>
      <c r="KR19" s="12"/>
      <c r="KS19" s="12"/>
      <c r="KT19" s="12"/>
      <c r="KU19" s="12"/>
      <c r="KV19" s="12"/>
      <c r="KW19" s="12"/>
      <c r="KX19" s="12"/>
      <c r="KY19" s="12"/>
      <c r="KZ19" s="12"/>
      <c r="LA19" s="12"/>
      <c r="LB19" s="12"/>
      <c r="LC19" s="12"/>
      <c r="LD19" s="12"/>
      <c r="LE19" s="12"/>
    </row>
    <row r="20" spans="2:317" s="39" customFormat="1" x14ac:dyDescent="0.2">
      <c r="B20" s="283">
        <f t="shared" si="14"/>
        <v>157</v>
      </c>
      <c r="C20" s="273" t="str">
        <f t="shared" si="15"/>
        <v>7Y_R</v>
      </c>
      <c r="D20" s="248" t="str">
        <f t="shared" ref="D20:G20" si="99">C20</f>
        <v>7Y_R</v>
      </c>
      <c r="E20" s="248" t="str">
        <f t="shared" si="99"/>
        <v>7Y_R</v>
      </c>
      <c r="F20" s="248" t="str">
        <f t="shared" si="99"/>
        <v>7Y_R</v>
      </c>
      <c r="G20" s="248" t="str">
        <f t="shared" si="99"/>
        <v>7Y_R</v>
      </c>
      <c r="H20" s="248">
        <v>100</v>
      </c>
      <c r="I20" s="270">
        <v>2.5</v>
      </c>
      <c r="J20" s="273" t="str">
        <f t="shared" si="17"/>
        <v>9Y_R</v>
      </c>
      <c r="K20" s="248" t="str">
        <f t="shared" ref="K20:N20" si="100">J20</f>
        <v>9Y_R</v>
      </c>
      <c r="L20" s="248" t="str">
        <f t="shared" si="100"/>
        <v>9Y_R</v>
      </c>
      <c r="M20" s="248" t="str">
        <f t="shared" si="100"/>
        <v>9Y_R</v>
      </c>
      <c r="N20" s="248" t="str">
        <f t="shared" si="100"/>
        <v>9Y_R</v>
      </c>
      <c r="O20" s="248">
        <v>100</v>
      </c>
      <c r="P20" s="270">
        <v>2.5</v>
      </c>
      <c r="Q20" s="273" t="str">
        <f t="shared" si="19"/>
        <v>10Y_R</v>
      </c>
      <c r="R20" s="248" t="str">
        <f t="shared" ref="R20:U20" si="101">Q20</f>
        <v>10Y_R</v>
      </c>
      <c r="S20" s="248" t="str">
        <f t="shared" si="101"/>
        <v>10Y_R</v>
      </c>
      <c r="T20" s="248" t="str">
        <f t="shared" si="101"/>
        <v>10Y_R</v>
      </c>
      <c r="U20" s="248" t="str">
        <f t="shared" si="101"/>
        <v>10Y_R</v>
      </c>
      <c r="V20" s="248">
        <v>100</v>
      </c>
      <c r="W20" s="270">
        <v>2.5</v>
      </c>
      <c r="X20" s="273" t="str">
        <f t="shared" si="21"/>
        <v>12Y_R</v>
      </c>
      <c r="Y20" s="248" t="str">
        <f t="shared" ref="Y20:AB20" si="102">X20</f>
        <v>12Y_R</v>
      </c>
      <c r="Z20" s="248" t="str">
        <f t="shared" si="102"/>
        <v>12Y_R</v>
      </c>
      <c r="AA20" s="248" t="str">
        <f t="shared" si="102"/>
        <v>12Y_R</v>
      </c>
      <c r="AB20" s="248" t="str">
        <f t="shared" si="102"/>
        <v>12Y_R</v>
      </c>
      <c r="AC20" s="248">
        <v>100</v>
      </c>
      <c r="AD20" s="270">
        <v>2.8403316759548041</v>
      </c>
      <c r="AE20" s="273" t="str">
        <f t="shared" si="23"/>
        <v>7Y_R</v>
      </c>
      <c r="AF20" s="248" t="str">
        <f t="shared" ref="AF20:AI20" si="103">AE20</f>
        <v>7Y_R</v>
      </c>
      <c r="AG20" s="248" t="str">
        <f t="shared" si="103"/>
        <v>7Y_R</v>
      </c>
      <c r="AH20" s="248" t="str">
        <f t="shared" si="103"/>
        <v>7Y_R</v>
      </c>
      <c r="AI20" s="248" t="str">
        <f t="shared" si="103"/>
        <v>7Y_R</v>
      </c>
      <c r="AJ20" s="248">
        <v>100</v>
      </c>
      <c r="AK20" s="270">
        <v>5.62</v>
      </c>
      <c r="AL20" s="273" t="str">
        <f t="shared" si="25"/>
        <v>9Y_R</v>
      </c>
      <c r="AM20" s="248" t="str">
        <f t="shared" ref="AM20:AP20" si="104">AL20</f>
        <v>9Y_R</v>
      </c>
      <c r="AN20" s="248" t="str">
        <f t="shared" si="104"/>
        <v>9Y_R</v>
      </c>
      <c r="AO20" s="248" t="str">
        <f t="shared" si="104"/>
        <v>9Y_R</v>
      </c>
      <c r="AP20" s="248" t="str">
        <f t="shared" si="104"/>
        <v>9Y_R</v>
      </c>
      <c r="AQ20" s="248">
        <v>100</v>
      </c>
      <c r="AR20" s="270">
        <v>5.62</v>
      </c>
      <c r="AS20" s="273" t="str">
        <f t="shared" si="27"/>
        <v>12Y_R</v>
      </c>
      <c r="AT20" s="248" t="str">
        <f t="shared" ref="AT20:AW20" si="105">AS20</f>
        <v>12Y_R</v>
      </c>
      <c r="AU20" s="248" t="str">
        <f t="shared" si="105"/>
        <v>12Y_R</v>
      </c>
      <c r="AV20" s="248" t="str">
        <f t="shared" si="105"/>
        <v>12Y_R</v>
      </c>
      <c r="AW20" s="248" t="str">
        <f t="shared" si="105"/>
        <v>12Y_R</v>
      </c>
      <c r="AX20" s="248">
        <v>100</v>
      </c>
      <c r="AY20" s="285">
        <v>5.62</v>
      </c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12"/>
      <c r="JX20" s="12"/>
      <c r="JY20" s="12"/>
      <c r="JZ20" s="12"/>
      <c r="KA20" s="12"/>
      <c r="KB20" s="12"/>
      <c r="KC20" s="12"/>
      <c r="KD20" s="12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</row>
    <row r="21" spans="2:317" s="39" customFormat="1" x14ac:dyDescent="0.2">
      <c r="B21" s="283">
        <f t="shared" si="14"/>
        <v>169</v>
      </c>
      <c r="C21" s="273" t="str">
        <f t="shared" si="15"/>
        <v>7Y_R</v>
      </c>
      <c r="D21" s="248" t="str">
        <f t="shared" ref="D21:G21" si="106">C21</f>
        <v>7Y_R</v>
      </c>
      <c r="E21" s="248" t="str">
        <f t="shared" si="106"/>
        <v>7Y_R</v>
      </c>
      <c r="F21" s="248" t="str">
        <f t="shared" si="106"/>
        <v>7Y_R</v>
      </c>
      <c r="G21" s="248" t="str">
        <f t="shared" si="106"/>
        <v>7Y_R</v>
      </c>
      <c r="H21" s="248">
        <v>100</v>
      </c>
      <c r="I21" s="284">
        <v>2.5</v>
      </c>
      <c r="J21" s="273" t="str">
        <f t="shared" si="17"/>
        <v>9Y_R</v>
      </c>
      <c r="K21" s="248" t="str">
        <f t="shared" ref="K21:N21" si="107">J21</f>
        <v>9Y_R</v>
      </c>
      <c r="L21" s="248" t="str">
        <f t="shared" si="107"/>
        <v>9Y_R</v>
      </c>
      <c r="M21" s="248" t="str">
        <f t="shared" si="107"/>
        <v>9Y_R</v>
      </c>
      <c r="N21" s="248" t="str">
        <f t="shared" si="107"/>
        <v>9Y_R</v>
      </c>
      <c r="O21" s="248">
        <v>100</v>
      </c>
      <c r="P21" s="284">
        <v>2.5</v>
      </c>
      <c r="Q21" s="273" t="str">
        <f t="shared" si="19"/>
        <v>10Y_R</v>
      </c>
      <c r="R21" s="248" t="str">
        <f t="shared" ref="R21:U21" si="108">Q21</f>
        <v>10Y_R</v>
      </c>
      <c r="S21" s="248" t="str">
        <f t="shared" si="108"/>
        <v>10Y_R</v>
      </c>
      <c r="T21" s="248" t="str">
        <f t="shared" si="108"/>
        <v>10Y_R</v>
      </c>
      <c r="U21" s="248" t="str">
        <f t="shared" si="108"/>
        <v>10Y_R</v>
      </c>
      <c r="V21" s="248">
        <v>100</v>
      </c>
      <c r="W21" s="284">
        <v>2.5</v>
      </c>
      <c r="X21" s="273" t="str">
        <f t="shared" si="21"/>
        <v>12Y_R</v>
      </c>
      <c r="Y21" s="248" t="str">
        <f t="shared" ref="Y21:AB21" si="109">X21</f>
        <v>12Y_R</v>
      </c>
      <c r="Z21" s="248" t="str">
        <f t="shared" si="109"/>
        <v>12Y_R</v>
      </c>
      <c r="AA21" s="248" t="str">
        <f t="shared" si="109"/>
        <v>12Y_R</v>
      </c>
      <c r="AB21" s="248" t="str">
        <f t="shared" si="109"/>
        <v>12Y_R</v>
      </c>
      <c r="AC21" s="248">
        <v>100</v>
      </c>
      <c r="AD21" s="284">
        <v>2.5</v>
      </c>
      <c r="AE21" s="273" t="str">
        <f t="shared" si="23"/>
        <v>7Y_R</v>
      </c>
      <c r="AF21" s="248" t="str">
        <f t="shared" ref="AF21:AI21" si="110">AE21</f>
        <v>7Y_R</v>
      </c>
      <c r="AG21" s="248" t="str">
        <f t="shared" si="110"/>
        <v>7Y_R</v>
      </c>
      <c r="AH21" s="248" t="str">
        <f t="shared" si="110"/>
        <v>7Y_R</v>
      </c>
      <c r="AI21" s="248" t="str">
        <f t="shared" si="110"/>
        <v>7Y_R</v>
      </c>
      <c r="AJ21" s="248">
        <v>100</v>
      </c>
      <c r="AK21" s="284">
        <v>5.62</v>
      </c>
      <c r="AL21" s="273" t="str">
        <f t="shared" si="25"/>
        <v>9Y_R</v>
      </c>
      <c r="AM21" s="248" t="str">
        <f t="shared" ref="AM21:AP21" si="111">AL21</f>
        <v>9Y_R</v>
      </c>
      <c r="AN21" s="248" t="str">
        <f t="shared" si="111"/>
        <v>9Y_R</v>
      </c>
      <c r="AO21" s="248" t="str">
        <f t="shared" si="111"/>
        <v>9Y_R</v>
      </c>
      <c r="AP21" s="248" t="str">
        <f t="shared" si="111"/>
        <v>9Y_R</v>
      </c>
      <c r="AQ21" s="248">
        <v>100</v>
      </c>
      <c r="AR21" s="284">
        <v>5.62</v>
      </c>
      <c r="AS21" s="273" t="str">
        <f t="shared" si="27"/>
        <v>12Y_R</v>
      </c>
      <c r="AT21" s="248" t="str">
        <f t="shared" ref="AT21:AW21" si="112">AS21</f>
        <v>12Y_R</v>
      </c>
      <c r="AU21" s="248" t="str">
        <f t="shared" si="112"/>
        <v>12Y_R</v>
      </c>
      <c r="AV21" s="248" t="str">
        <f t="shared" si="112"/>
        <v>12Y_R</v>
      </c>
      <c r="AW21" s="248" t="str">
        <f t="shared" si="112"/>
        <v>12Y_R</v>
      </c>
      <c r="AX21" s="248">
        <v>100</v>
      </c>
      <c r="AY21" s="286">
        <v>5.62</v>
      </c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/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/>
      <c r="JM21" s="12"/>
      <c r="JN21" s="12"/>
      <c r="JO21" s="12"/>
      <c r="JP21" s="12"/>
      <c r="JQ21" s="12"/>
      <c r="JR21" s="12"/>
      <c r="JS21" s="12"/>
      <c r="JT21" s="12"/>
      <c r="JU21" s="12"/>
      <c r="JV21" s="12"/>
      <c r="JW21" s="12"/>
      <c r="JX21" s="12"/>
      <c r="JY21" s="12"/>
      <c r="JZ21" s="12"/>
      <c r="KA21" s="12"/>
      <c r="KB21" s="12"/>
      <c r="KC21" s="12"/>
      <c r="KD21" s="12"/>
      <c r="KE21" s="12"/>
      <c r="KF21" s="12"/>
      <c r="KG21" s="12"/>
      <c r="KH21" s="12"/>
      <c r="KI21" s="12"/>
      <c r="KJ21" s="12"/>
      <c r="KK21" s="12"/>
      <c r="KL21" s="12"/>
      <c r="KM21" s="12"/>
      <c r="KN21" s="12"/>
      <c r="KO21" s="12"/>
      <c r="KP21" s="12"/>
      <c r="KQ21" s="12"/>
      <c r="KR21" s="12"/>
      <c r="KS21" s="12"/>
      <c r="KT21" s="12"/>
      <c r="KU21" s="12"/>
      <c r="KV21" s="12"/>
      <c r="KW21" s="12"/>
      <c r="KX21" s="12"/>
      <c r="KY21" s="12"/>
      <c r="KZ21" s="12"/>
      <c r="LA21" s="12"/>
      <c r="LB21" s="12"/>
      <c r="LC21" s="12"/>
      <c r="LD21" s="12"/>
      <c r="LE21" s="12"/>
    </row>
    <row r="22" spans="2:317" s="39" customFormat="1" x14ac:dyDescent="0.2"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12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</row>
    <row r="23" spans="2:317" x14ac:dyDescent="0.2">
      <c r="B23" t="s">
        <v>698</v>
      </c>
      <c r="C23" s="273" t="s">
        <v>663</v>
      </c>
      <c r="H23" s="248">
        <v>100</v>
      </c>
      <c r="J23" s="273" t="s">
        <v>664</v>
      </c>
      <c r="O23" s="248">
        <v>100</v>
      </c>
      <c r="Q23" s="273" t="s">
        <v>665</v>
      </c>
      <c r="V23" s="248">
        <v>100</v>
      </c>
      <c r="X23" s="248" t="s">
        <v>666</v>
      </c>
      <c r="AC23" s="248">
        <v>100</v>
      </c>
      <c r="AE23" s="248" t="s">
        <v>663</v>
      </c>
      <c r="AJ23" s="248">
        <v>100</v>
      </c>
      <c r="AL23" s="248" t="s">
        <v>664</v>
      </c>
      <c r="AQ23" s="248">
        <v>100</v>
      </c>
      <c r="AS23" s="273" t="s">
        <v>666</v>
      </c>
      <c r="AX23" s="248">
        <v>100</v>
      </c>
    </row>
    <row r="25" spans="2:317" s="39" customFormat="1" x14ac:dyDescent="0.2">
      <c r="B25" s="39" t="s">
        <v>699</v>
      </c>
      <c r="C25" s="273" t="s">
        <v>660</v>
      </c>
      <c r="H25" s="248">
        <v>100</v>
      </c>
      <c r="J25" s="273" t="s">
        <v>663</v>
      </c>
      <c r="O25" s="248">
        <v>100</v>
      </c>
      <c r="Q25" s="273" t="s">
        <v>663</v>
      </c>
      <c r="V25" s="248">
        <v>100</v>
      </c>
      <c r="X25" s="248" t="s">
        <v>665</v>
      </c>
      <c r="AC25" s="248">
        <v>100</v>
      </c>
      <c r="AE25" s="248" t="s">
        <v>664</v>
      </c>
      <c r="AJ25" s="248">
        <v>100</v>
      </c>
      <c r="AL25" s="248" t="s">
        <v>665</v>
      </c>
      <c r="AQ25" s="248">
        <v>100</v>
      </c>
      <c r="AS25" s="273" t="s">
        <v>666</v>
      </c>
      <c r="AX25" s="248">
        <v>100</v>
      </c>
    </row>
    <row r="26" spans="2:317" s="39" customFormat="1" x14ac:dyDescent="0.2"/>
    <row r="27" spans="2:317" x14ac:dyDescent="0.2">
      <c r="C27" s="273" t="s">
        <v>653</v>
      </c>
      <c r="D27" s="248" t="s">
        <v>652</v>
      </c>
      <c r="E27" s="248" t="s">
        <v>651</v>
      </c>
      <c r="F27" s="248" t="s">
        <v>654</v>
      </c>
      <c r="G27" s="248" t="s">
        <v>658</v>
      </c>
      <c r="H27" s="248">
        <v>0.5</v>
      </c>
      <c r="I27" s="270">
        <v>6.0337326004918692</v>
      </c>
      <c r="J27" s="273" t="s">
        <v>654</v>
      </c>
      <c r="K27" s="248" t="s">
        <v>653</v>
      </c>
      <c r="L27" s="248" t="s">
        <v>652</v>
      </c>
      <c r="M27" s="248" t="s">
        <v>655</v>
      </c>
      <c r="N27" s="248" t="s">
        <v>658</v>
      </c>
      <c r="O27" s="248">
        <v>0.5</v>
      </c>
      <c r="P27" s="270">
        <v>7.5703825265788067</v>
      </c>
      <c r="Q27" s="273" t="s">
        <v>655</v>
      </c>
      <c r="R27" s="248" t="s">
        <v>654</v>
      </c>
      <c r="S27" s="248" t="s">
        <v>653</v>
      </c>
      <c r="T27" s="248" t="s">
        <v>657</v>
      </c>
      <c r="U27" s="248" t="s">
        <v>658</v>
      </c>
      <c r="V27" s="248">
        <v>0.5</v>
      </c>
      <c r="W27" s="270">
        <v>8.4120059347037639</v>
      </c>
      <c r="X27" s="273" t="s">
        <v>656</v>
      </c>
      <c r="Y27" s="248" t="s">
        <v>655</v>
      </c>
      <c r="Z27" s="248" t="s">
        <v>654</v>
      </c>
      <c r="AA27" s="248" t="s">
        <v>657</v>
      </c>
      <c r="AB27" s="248" t="s">
        <v>658</v>
      </c>
      <c r="AC27" s="248">
        <v>0.5</v>
      </c>
      <c r="AD27" s="270">
        <v>9.3403316759548041</v>
      </c>
      <c r="AE27" s="273" t="s">
        <v>656</v>
      </c>
      <c r="AF27" s="248" t="s">
        <v>655</v>
      </c>
      <c r="AG27" s="248" t="s">
        <v>654</v>
      </c>
      <c r="AH27" s="248" t="s">
        <v>657</v>
      </c>
      <c r="AI27" s="248" t="s">
        <v>658</v>
      </c>
      <c r="AJ27" s="248">
        <v>0.5</v>
      </c>
      <c r="AK27" s="270">
        <v>11.173333333333332</v>
      </c>
      <c r="AL27" s="273" t="s">
        <v>657</v>
      </c>
      <c r="AM27" s="248" t="s">
        <v>656</v>
      </c>
      <c r="AN27" s="248" t="s">
        <v>655</v>
      </c>
      <c r="AO27" s="248" t="s">
        <v>658</v>
      </c>
      <c r="AP27" s="248" t="s">
        <v>659</v>
      </c>
      <c r="AQ27" s="248">
        <v>0.5</v>
      </c>
      <c r="AR27" s="270">
        <v>11.62</v>
      </c>
      <c r="AS27" s="273" t="s">
        <v>657</v>
      </c>
      <c r="AT27" s="248" t="s">
        <v>656</v>
      </c>
      <c r="AU27" s="248" t="s">
        <v>655</v>
      </c>
      <c r="AV27" s="248" t="s">
        <v>658</v>
      </c>
      <c r="AW27" s="248" t="s">
        <v>659</v>
      </c>
      <c r="AX27" s="248">
        <v>0.5</v>
      </c>
      <c r="AY27" s="285">
        <v>12.29</v>
      </c>
    </row>
    <row r="28" spans="2:317" x14ac:dyDescent="0.2">
      <c r="C28" s="273" t="s">
        <v>660</v>
      </c>
      <c r="D28" s="248" t="s">
        <v>661</v>
      </c>
      <c r="E28" s="248" t="s">
        <v>662</v>
      </c>
      <c r="F28" s="248" t="s">
        <v>663</v>
      </c>
      <c r="G28" s="248" t="s">
        <v>667</v>
      </c>
      <c r="H28" s="248">
        <f>H27</f>
        <v>0.5</v>
      </c>
      <c r="I28" s="270">
        <v>5.5337326004918692</v>
      </c>
      <c r="J28" s="273" t="s">
        <v>663</v>
      </c>
      <c r="K28" s="248" t="s">
        <v>660</v>
      </c>
      <c r="L28" s="248" t="s">
        <v>661</v>
      </c>
      <c r="M28" s="248" t="s">
        <v>664</v>
      </c>
      <c r="N28" s="248" t="s">
        <v>667</v>
      </c>
      <c r="O28" s="248">
        <f>O27</f>
        <v>0.5</v>
      </c>
      <c r="P28" s="270">
        <v>7.0703825265788067</v>
      </c>
      <c r="Q28" s="273" t="s">
        <v>663</v>
      </c>
      <c r="R28" s="248" t="s">
        <v>660</v>
      </c>
      <c r="S28" s="248" t="s">
        <v>661</v>
      </c>
      <c r="T28" s="248" t="s">
        <v>666</v>
      </c>
      <c r="U28" s="248" t="s">
        <v>667</v>
      </c>
      <c r="V28" s="248">
        <f>V27</f>
        <v>0.5</v>
      </c>
      <c r="W28" s="270">
        <v>7.9120059347037639</v>
      </c>
      <c r="X28" s="273" t="s">
        <v>664</v>
      </c>
      <c r="Y28" s="248" t="s">
        <v>663</v>
      </c>
      <c r="Z28" s="248" t="s">
        <v>660</v>
      </c>
      <c r="AA28" s="248" t="s">
        <v>666</v>
      </c>
      <c r="AB28" s="248" t="s">
        <v>667</v>
      </c>
      <c r="AC28" s="248">
        <f>AC27</f>
        <v>0.5</v>
      </c>
      <c r="AD28" s="270">
        <v>8.8403316759548041</v>
      </c>
      <c r="AE28" s="273" t="s">
        <v>665</v>
      </c>
      <c r="AF28" s="248" t="s">
        <v>664</v>
      </c>
      <c r="AG28" s="248" t="s">
        <v>663</v>
      </c>
      <c r="AH28" s="248" t="s">
        <v>666</v>
      </c>
      <c r="AI28" s="248" t="s">
        <v>667</v>
      </c>
      <c r="AJ28" s="248">
        <f>AJ27</f>
        <v>0.5</v>
      </c>
      <c r="AK28" s="270">
        <v>10.506666666666666</v>
      </c>
      <c r="AL28" s="273" t="s">
        <v>665</v>
      </c>
      <c r="AM28" s="248" t="s">
        <v>664</v>
      </c>
      <c r="AN28" s="248" t="s">
        <v>663</v>
      </c>
      <c r="AO28" s="248" t="s">
        <v>666</v>
      </c>
      <c r="AP28" s="248" t="s">
        <v>667</v>
      </c>
      <c r="AQ28" s="248">
        <f>AQ27</f>
        <v>0.5</v>
      </c>
      <c r="AR28" s="270">
        <v>10.953333333333333</v>
      </c>
      <c r="AS28" s="273" t="s">
        <v>666</v>
      </c>
      <c r="AT28" s="248" t="s">
        <v>665</v>
      </c>
      <c r="AU28" s="248" t="s">
        <v>664</v>
      </c>
      <c r="AV28" s="248" t="s">
        <v>667</v>
      </c>
      <c r="AW28" s="248" t="s">
        <v>668</v>
      </c>
      <c r="AX28" s="248">
        <f>AX27</f>
        <v>0.5</v>
      </c>
      <c r="AY28" s="285">
        <v>11.623333333333333</v>
      </c>
    </row>
    <row r="29" spans="2:317" x14ac:dyDescent="0.2">
      <c r="C29" s="273" t="s">
        <v>660</v>
      </c>
      <c r="D29" s="248" t="s">
        <v>661</v>
      </c>
      <c r="E29" s="248" t="s">
        <v>662</v>
      </c>
      <c r="F29" s="248" t="s">
        <v>663</v>
      </c>
      <c r="G29" s="248" t="s">
        <v>667</v>
      </c>
      <c r="H29" s="248">
        <f t="shared" ref="H29:H41" si="113">H28</f>
        <v>0.5</v>
      </c>
      <c r="I29" s="270">
        <v>5.0337326004918692</v>
      </c>
      <c r="J29" s="273" t="s">
        <v>663</v>
      </c>
      <c r="K29" s="248" t="s">
        <v>660</v>
      </c>
      <c r="L29" s="248" t="s">
        <v>661</v>
      </c>
      <c r="M29" s="248" t="s">
        <v>664</v>
      </c>
      <c r="N29" s="248" t="s">
        <v>667</v>
      </c>
      <c r="O29" s="248">
        <f t="shared" ref="O29:O41" si="114">O28</f>
        <v>0.5</v>
      </c>
      <c r="P29" s="270">
        <v>6.5703825265788067</v>
      </c>
      <c r="Q29" s="273" t="s">
        <v>663</v>
      </c>
      <c r="R29" s="248" t="s">
        <v>660</v>
      </c>
      <c r="S29" s="248" t="s">
        <v>661</v>
      </c>
      <c r="T29" s="248" t="s">
        <v>666</v>
      </c>
      <c r="U29" s="248" t="s">
        <v>667</v>
      </c>
      <c r="V29" s="248">
        <f t="shared" ref="V29:V41" si="115">V28</f>
        <v>0.5</v>
      </c>
      <c r="W29" s="270">
        <v>7.4120059347037639</v>
      </c>
      <c r="X29" s="273" t="s">
        <v>664</v>
      </c>
      <c r="Y29" s="248" t="s">
        <v>663</v>
      </c>
      <c r="Z29" s="248" t="s">
        <v>660</v>
      </c>
      <c r="AA29" s="248" t="s">
        <v>666</v>
      </c>
      <c r="AB29" s="248" t="s">
        <v>667</v>
      </c>
      <c r="AC29" s="248">
        <f t="shared" ref="AC29:AC41" si="116">AC28</f>
        <v>0.5</v>
      </c>
      <c r="AD29" s="270">
        <v>8.3403316759548041</v>
      </c>
      <c r="AE29" s="273" t="s">
        <v>665</v>
      </c>
      <c r="AF29" s="248" t="s">
        <v>664</v>
      </c>
      <c r="AG29" s="248" t="s">
        <v>663</v>
      </c>
      <c r="AH29" s="248" t="s">
        <v>666</v>
      </c>
      <c r="AI29" s="248" t="s">
        <v>667</v>
      </c>
      <c r="AJ29" s="248">
        <f t="shared" ref="AJ29:AJ41" si="117">AJ28</f>
        <v>0.5</v>
      </c>
      <c r="AK29" s="270">
        <v>9.8400000000000016</v>
      </c>
      <c r="AL29" s="273" t="s">
        <v>665</v>
      </c>
      <c r="AM29" s="248" t="s">
        <v>664</v>
      </c>
      <c r="AN29" s="248" t="s">
        <v>663</v>
      </c>
      <c r="AO29" s="248" t="s">
        <v>666</v>
      </c>
      <c r="AP29" s="248" t="s">
        <v>667</v>
      </c>
      <c r="AQ29" s="248">
        <f t="shared" ref="AQ29:AQ41" si="118">AQ28</f>
        <v>0.5</v>
      </c>
      <c r="AR29" s="270">
        <v>10.286666666666667</v>
      </c>
      <c r="AS29" s="273" t="s">
        <v>665</v>
      </c>
      <c r="AT29" s="248" t="s">
        <v>664</v>
      </c>
      <c r="AU29" s="248" t="s">
        <v>663</v>
      </c>
      <c r="AV29" s="248" t="s">
        <v>666</v>
      </c>
      <c r="AW29" s="248" t="s">
        <v>667</v>
      </c>
      <c r="AX29" s="248">
        <f t="shared" ref="AX29:AX41" si="119">AX28</f>
        <v>0.5</v>
      </c>
      <c r="AY29" s="285">
        <v>10.956666666666667</v>
      </c>
    </row>
    <row r="30" spans="2:317" x14ac:dyDescent="0.2">
      <c r="C30" s="273" t="s">
        <v>660</v>
      </c>
      <c r="D30" s="248" t="s">
        <v>661</v>
      </c>
      <c r="E30" s="248" t="s">
        <v>662</v>
      </c>
      <c r="F30" s="248" t="s">
        <v>663</v>
      </c>
      <c r="G30" s="248" t="s">
        <v>664</v>
      </c>
      <c r="H30" s="248">
        <f t="shared" si="113"/>
        <v>0.5</v>
      </c>
      <c r="I30" s="270">
        <v>4.5337326004918692</v>
      </c>
      <c r="J30" s="273" t="s">
        <v>663</v>
      </c>
      <c r="K30" s="248" t="s">
        <v>660</v>
      </c>
      <c r="L30" s="248" t="s">
        <v>661</v>
      </c>
      <c r="M30" s="248" t="s">
        <v>664</v>
      </c>
      <c r="N30" s="248" t="s">
        <v>667</v>
      </c>
      <c r="O30" s="248">
        <f t="shared" si="114"/>
        <v>0.5</v>
      </c>
      <c r="P30" s="270">
        <v>6.0703825265788067</v>
      </c>
      <c r="Q30" s="273" t="s">
        <v>663</v>
      </c>
      <c r="R30" s="248" t="s">
        <v>660</v>
      </c>
      <c r="S30" s="248" t="s">
        <v>661</v>
      </c>
      <c r="T30" s="248" t="s">
        <v>664</v>
      </c>
      <c r="U30" s="248" t="s">
        <v>667</v>
      </c>
      <c r="V30" s="248">
        <f t="shared" si="115"/>
        <v>0.5</v>
      </c>
      <c r="W30" s="270">
        <v>6.9120059347037639</v>
      </c>
      <c r="X30" s="273" t="s">
        <v>663</v>
      </c>
      <c r="Y30" s="248" t="s">
        <v>660</v>
      </c>
      <c r="Z30" s="248" t="s">
        <v>661</v>
      </c>
      <c r="AA30" s="248" t="s">
        <v>664</v>
      </c>
      <c r="AB30" s="248" t="s">
        <v>667</v>
      </c>
      <c r="AC30" s="248">
        <f t="shared" si="116"/>
        <v>0.5</v>
      </c>
      <c r="AD30" s="270">
        <v>7.8403316759548041</v>
      </c>
      <c r="AE30" s="273" t="s">
        <v>664</v>
      </c>
      <c r="AF30" s="248" t="s">
        <v>663</v>
      </c>
      <c r="AG30" s="248" t="s">
        <v>660</v>
      </c>
      <c r="AH30" s="248" t="s">
        <v>666</v>
      </c>
      <c r="AI30" s="248" t="s">
        <v>667</v>
      </c>
      <c r="AJ30" s="248">
        <f t="shared" si="117"/>
        <v>0.5</v>
      </c>
      <c r="AK30" s="270">
        <v>9.1733333333333356</v>
      </c>
      <c r="AL30" s="273" t="s">
        <v>665</v>
      </c>
      <c r="AM30" s="248" t="s">
        <v>664</v>
      </c>
      <c r="AN30" s="248" t="s">
        <v>663</v>
      </c>
      <c r="AO30" s="248" t="s">
        <v>666</v>
      </c>
      <c r="AP30" s="248" t="s">
        <v>667</v>
      </c>
      <c r="AQ30" s="248">
        <f t="shared" si="118"/>
        <v>0.5</v>
      </c>
      <c r="AR30" s="270">
        <v>9.620000000000001</v>
      </c>
      <c r="AS30" s="273" t="s">
        <v>665</v>
      </c>
      <c r="AT30" s="248" t="s">
        <v>664</v>
      </c>
      <c r="AU30" s="248" t="s">
        <v>663</v>
      </c>
      <c r="AV30" s="248" t="s">
        <v>666</v>
      </c>
      <c r="AW30" s="248" t="s">
        <v>667</v>
      </c>
      <c r="AX30" s="248">
        <f t="shared" si="119"/>
        <v>0.5</v>
      </c>
      <c r="AY30" s="285">
        <v>10.290000000000001</v>
      </c>
    </row>
    <row r="31" spans="2:317" x14ac:dyDescent="0.2">
      <c r="C31" s="273" t="s">
        <v>660</v>
      </c>
      <c r="D31" s="248" t="s">
        <v>661</v>
      </c>
      <c r="E31" s="248" t="s">
        <v>662</v>
      </c>
      <c r="F31" s="248" t="s">
        <v>663</v>
      </c>
      <c r="G31" s="248" t="s">
        <v>664</v>
      </c>
      <c r="H31" s="248">
        <f t="shared" si="113"/>
        <v>0.5</v>
      </c>
      <c r="I31" s="270">
        <v>4.0337326004918692</v>
      </c>
      <c r="J31" s="273" t="s">
        <v>660</v>
      </c>
      <c r="K31" s="248" t="s">
        <v>661</v>
      </c>
      <c r="L31" s="248" t="s">
        <v>662</v>
      </c>
      <c r="M31" s="248" t="s">
        <v>663</v>
      </c>
      <c r="N31" s="248" t="s">
        <v>664</v>
      </c>
      <c r="O31" s="248">
        <f t="shared" si="114"/>
        <v>0.5</v>
      </c>
      <c r="P31" s="270">
        <v>5.5703825265788067</v>
      </c>
      <c r="Q31" s="273" t="s">
        <v>663</v>
      </c>
      <c r="R31" s="248" t="s">
        <v>660</v>
      </c>
      <c r="S31" s="248" t="s">
        <v>661</v>
      </c>
      <c r="T31" s="248" t="s">
        <v>664</v>
      </c>
      <c r="U31" s="248" t="s">
        <v>667</v>
      </c>
      <c r="V31" s="248">
        <f t="shared" si="115"/>
        <v>0.5</v>
      </c>
      <c r="W31" s="270">
        <v>6.4120059347037639</v>
      </c>
      <c r="X31" s="273" t="s">
        <v>663</v>
      </c>
      <c r="Y31" s="248" t="s">
        <v>660</v>
      </c>
      <c r="Z31" s="248" t="s">
        <v>661</v>
      </c>
      <c r="AA31" s="248" t="s">
        <v>664</v>
      </c>
      <c r="AB31" s="248" t="s">
        <v>667</v>
      </c>
      <c r="AC31" s="248">
        <f t="shared" si="116"/>
        <v>0.5</v>
      </c>
      <c r="AD31" s="270">
        <v>7.3403316759548041</v>
      </c>
      <c r="AE31" s="273" t="s">
        <v>664</v>
      </c>
      <c r="AF31" s="248" t="s">
        <v>663</v>
      </c>
      <c r="AG31" s="248" t="s">
        <v>660</v>
      </c>
      <c r="AH31" s="248" t="s">
        <v>666</v>
      </c>
      <c r="AI31" s="248" t="s">
        <v>667</v>
      </c>
      <c r="AJ31" s="248">
        <f t="shared" si="117"/>
        <v>0.5</v>
      </c>
      <c r="AK31" s="270">
        <v>8.5066666666666677</v>
      </c>
      <c r="AL31" s="273" t="s">
        <v>664</v>
      </c>
      <c r="AM31" s="248" t="s">
        <v>663</v>
      </c>
      <c r="AN31" s="248" t="s">
        <v>660</v>
      </c>
      <c r="AO31" s="248" t="s">
        <v>666</v>
      </c>
      <c r="AP31" s="248" t="s">
        <v>667</v>
      </c>
      <c r="AQ31" s="248">
        <f t="shared" si="118"/>
        <v>0.5</v>
      </c>
      <c r="AR31" s="270">
        <v>8.9533333333333349</v>
      </c>
      <c r="AS31" s="273" t="s">
        <v>665</v>
      </c>
      <c r="AT31" s="248" t="s">
        <v>664</v>
      </c>
      <c r="AU31" s="248" t="s">
        <v>663</v>
      </c>
      <c r="AV31" s="248" t="s">
        <v>666</v>
      </c>
      <c r="AW31" s="248" t="s">
        <v>667</v>
      </c>
      <c r="AX31" s="248">
        <f t="shared" si="119"/>
        <v>0.5</v>
      </c>
      <c r="AY31" s="285">
        <v>9.6233333333333348</v>
      </c>
    </row>
    <row r="32" spans="2:317" x14ac:dyDescent="0.2">
      <c r="C32" s="273" t="s">
        <v>661</v>
      </c>
      <c r="D32" s="248" t="s">
        <v>662</v>
      </c>
      <c r="E32" s="248" t="s">
        <v>662</v>
      </c>
      <c r="F32" s="248" t="s">
        <v>660</v>
      </c>
      <c r="G32" s="248" t="s">
        <v>663</v>
      </c>
      <c r="H32" s="248">
        <f t="shared" si="113"/>
        <v>0.5</v>
      </c>
      <c r="I32" s="270">
        <v>3.5337326004918692</v>
      </c>
      <c r="J32" s="273" t="s">
        <v>660</v>
      </c>
      <c r="K32" s="248" t="s">
        <v>661</v>
      </c>
      <c r="L32" s="248" t="s">
        <v>662</v>
      </c>
      <c r="M32" s="248" t="s">
        <v>663</v>
      </c>
      <c r="N32" s="248" t="s">
        <v>664</v>
      </c>
      <c r="O32" s="248">
        <f t="shared" si="114"/>
        <v>0.5</v>
      </c>
      <c r="P32" s="270">
        <v>5.0703825265788067</v>
      </c>
      <c r="Q32" s="273" t="s">
        <v>660</v>
      </c>
      <c r="R32" s="248" t="s">
        <v>661</v>
      </c>
      <c r="S32" s="248" t="s">
        <v>662</v>
      </c>
      <c r="T32" s="248" t="s">
        <v>663</v>
      </c>
      <c r="U32" s="248" t="s">
        <v>664</v>
      </c>
      <c r="V32" s="248">
        <f t="shared" si="115"/>
        <v>0.5</v>
      </c>
      <c r="W32" s="270">
        <v>5.9120059347037639</v>
      </c>
      <c r="X32" s="273" t="s">
        <v>663</v>
      </c>
      <c r="Y32" s="248" t="s">
        <v>660</v>
      </c>
      <c r="Z32" s="248" t="s">
        <v>661</v>
      </c>
      <c r="AA32" s="248" t="s">
        <v>664</v>
      </c>
      <c r="AB32" s="248" t="s">
        <v>665</v>
      </c>
      <c r="AC32" s="248">
        <f t="shared" si="116"/>
        <v>0.5</v>
      </c>
      <c r="AD32" s="270">
        <v>6.8403316759548041</v>
      </c>
      <c r="AE32" s="273" t="s">
        <v>663</v>
      </c>
      <c r="AF32" s="248" t="s">
        <v>660</v>
      </c>
      <c r="AG32" s="248" t="s">
        <v>661</v>
      </c>
      <c r="AH32" s="248" t="s">
        <v>664</v>
      </c>
      <c r="AI32" s="248" t="s">
        <v>666</v>
      </c>
      <c r="AJ32" s="248">
        <f t="shared" si="117"/>
        <v>0.5</v>
      </c>
      <c r="AK32" s="270">
        <v>7.8400000000000025</v>
      </c>
      <c r="AL32" s="273" t="s">
        <v>664</v>
      </c>
      <c r="AM32" s="248" t="s">
        <v>663</v>
      </c>
      <c r="AN32" s="248" t="s">
        <v>660</v>
      </c>
      <c r="AO32" s="248" t="s">
        <v>666</v>
      </c>
      <c r="AP32" s="248" t="s">
        <v>667</v>
      </c>
      <c r="AQ32" s="248">
        <f t="shared" si="118"/>
        <v>0.5</v>
      </c>
      <c r="AR32" s="270">
        <v>8.2866666666666688</v>
      </c>
      <c r="AS32" s="273" t="s">
        <v>665</v>
      </c>
      <c r="AT32" s="248" t="s">
        <v>664</v>
      </c>
      <c r="AU32" s="248" t="s">
        <v>663</v>
      </c>
      <c r="AV32" s="248" t="s">
        <v>666</v>
      </c>
      <c r="AW32" s="248" t="s">
        <v>667</v>
      </c>
      <c r="AX32" s="248">
        <f t="shared" si="119"/>
        <v>0.5</v>
      </c>
      <c r="AY32" s="285">
        <v>8.9566666666666688</v>
      </c>
    </row>
    <row r="33" spans="3:51" x14ac:dyDescent="0.2">
      <c r="C33" s="273" t="s">
        <v>661</v>
      </c>
      <c r="D33" s="248" t="s">
        <v>662</v>
      </c>
      <c r="E33" s="248" t="s">
        <v>662</v>
      </c>
      <c r="F33" s="248" t="s">
        <v>660</v>
      </c>
      <c r="G33" s="248" t="s">
        <v>663</v>
      </c>
      <c r="H33" s="248">
        <f t="shared" si="113"/>
        <v>0.5</v>
      </c>
      <c r="I33" s="270">
        <v>3.0337326004918692</v>
      </c>
      <c r="J33" s="273" t="s">
        <v>660</v>
      </c>
      <c r="K33" s="248" t="s">
        <v>661</v>
      </c>
      <c r="L33" s="248" t="s">
        <v>662</v>
      </c>
      <c r="M33" s="248" t="s">
        <v>663</v>
      </c>
      <c r="N33" s="248" t="s">
        <v>664</v>
      </c>
      <c r="O33" s="248">
        <f t="shared" si="114"/>
        <v>0.5</v>
      </c>
      <c r="P33" s="270">
        <v>4.5703825265788067</v>
      </c>
      <c r="Q33" s="273" t="s">
        <v>660</v>
      </c>
      <c r="R33" s="248" t="s">
        <v>661</v>
      </c>
      <c r="S33" s="248" t="s">
        <v>662</v>
      </c>
      <c r="T33" s="248" t="s">
        <v>663</v>
      </c>
      <c r="U33" s="248" t="s">
        <v>664</v>
      </c>
      <c r="V33" s="248">
        <f t="shared" si="115"/>
        <v>0.5</v>
      </c>
      <c r="W33" s="270">
        <v>5.4120059347037639</v>
      </c>
      <c r="X33" s="273" t="s">
        <v>663</v>
      </c>
      <c r="Y33" s="248" t="s">
        <v>660</v>
      </c>
      <c r="Z33" s="248" t="s">
        <v>661</v>
      </c>
      <c r="AA33" s="248" t="s">
        <v>664</v>
      </c>
      <c r="AB33" s="248" t="s">
        <v>665</v>
      </c>
      <c r="AC33" s="248">
        <f t="shared" si="116"/>
        <v>0.5</v>
      </c>
      <c r="AD33" s="270">
        <v>6.3403316759548041</v>
      </c>
      <c r="AE33" s="273" t="s">
        <v>663</v>
      </c>
      <c r="AF33" s="248" t="s">
        <v>660</v>
      </c>
      <c r="AG33" s="248" t="s">
        <v>661</v>
      </c>
      <c r="AH33" s="248" t="s">
        <v>664</v>
      </c>
      <c r="AI33" s="248" t="s">
        <v>666</v>
      </c>
      <c r="AJ33" s="248">
        <f t="shared" si="117"/>
        <v>0.5</v>
      </c>
      <c r="AK33" s="270">
        <v>7.1733333333333347</v>
      </c>
      <c r="AL33" s="273" t="s">
        <v>663</v>
      </c>
      <c r="AM33" s="248" t="s">
        <v>660</v>
      </c>
      <c r="AN33" s="248" t="s">
        <v>661</v>
      </c>
      <c r="AO33" s="248" t="s">
        <v>664</v>
      </c>
      <c r="AP33" s="248" t="s">
        <v>665</v>
      </c>
      <c r="AQ33" s="248">
        <f t="shared" si="118"/>
        <v>0.5</v>
      </c>
      <c r="AR33" s="270">
        <v>7.6200000000000019</v>
      </c>
      <c r="AS33" s="273" t="s">
        <v>665</v>
      </c>
      <c r="AT33" s="248" t="s">
        <v>664</v>
      </c>
      <c r="AU33" s="248" t="s">
        <v>663</v>
      </c>
      <c r="AV33" s="248" t="s">
        <v>666</v>
      </c>
      <c r="AW33" s="248" t="s">
        <v>667</v>
      </c>
      <c r="AX33" s="248">
        <f t="shared" si="119"/>
        <v>0.5</v>
      </c>
      <c r="AY33" s="285">
        <v>8.2900000000000027</v>
      </c>
    </row>
    <row r="34" spans="3:51" x14ac:dyDescent="0.2">
      <c r="C34" s="273" t="s">
        <v>661</v>
      </c>
      <c r="D34" s="248" t="s">
        <v>662</v>
      </c>
      <c r="E34" s="248" t="s">
        <v>662</v>
      </c>
      <c r="F34" s="248" t="s">
        <v>660</v>
      </c>
      <c r="G34" s="248" t="s">
        <v>663</v>
      </c>
      <c r="H34" s="248">
        <f t="shared" si="113"/>
        <v>0.5</v>
      </c>
      <c r="I34" s="270">
        <v>2.5337326004918692</v>
      </c>
      <c r="J34" s="273" t="s">
        <v>660</v>
      </c>
      <c r="K34" s="248" t="s">
        <v>661</v>
      </c>
      <c r="L34" s="248" t="s">
        <v>662</v>
      </c>
      <c r="M34" s="248" t="s">
        <v>663</v>
      </c>
      <c r="N34" s="248" t="s">
        <v>664</v>
      </c>
      <c r="O34" s="248">
        <f t="shared" si="114"/>
        <v>0.5</v>
      </c>
      <c r="P34" s="270">
        <v>4.0703825265788067</v>
      </c>
      <c r="Q34" s="273" t="s">
        <v>660</v>
      </c>
      <c r="R34" s="248" t="s">
        <v>661</v>
      </c>
      <c r="S34" s="248" t="s">
        <v>662</v>
      </c>
      <c r="T34" s="248" t="s">
        <v>663</v>
      </c>
      <c r="U34" s="248" t="s">
        <v>664</v>
      </c>
      <c r="V34" s="248">
        <f t="shared" si="115"/>
        <v>0.5</v>
      </c>
      <c r="W34" s="270">
        <v>4.9120059347037639</v>
      </c>
      <c r="X34" s="273" t="s">
        <v>660</v>
      </c>
      <c r="Y34" s="248" t="s">
        <v>661</v>
      </c>
      <c r="Z34" s="248" t="s">
        <v>662</v>
      </c>
      <c r="AA34" s="248" t="s">
        <v>663</v>
      </c>
      <c r="AB34" s="248" t="s">
        <v>664</v>
      </c>
      <c r="AC34" s="248">
        <f t="shared" si="116"/>
        <v>0.5</v>
      </c>
      <c r="AD34" s="270">
        <v>5.8403316759548041</v>
      </c>
      <c r="AE34" s="273" t="s">
        <v>660</v>
      </c>
      <c r="AF34" s="248" t="s">
        <v>661</v>
      </c>
      <c r="AG34" s="248" t="s">
        <v>662</v>
      </c>
      <c r="AH34" s="248" t="s">
        <v>663</v>
      </c>
      <c r="AI34" s="248" t="s">
        <v>664</v>
      </c>
      <c r="AJ34" s="248">
        <f t="shared" si="117"/>
        <v>0.5</v>
      </c>
      <c r="AK34" s="270">
        <v>6.5066666666666677</v>
      </c>
      <c r="AL34" s="273" t="s">
        <v>663</v>
      </c>
      <c r="AM34" s="248" t="s">
        <v>660</v>
      </c>
      <c r="AN34" s="248" t="s">
        <v>661</v>
      </c>
      <c r="AO34" s="248" t="s">
        <v>664</v>
      </c>
      <c r="AP34" s="248" t="s">
        <v>665</v>
      </c>
      <c r="AQ34" s="248">
        <f t="shared" si="118"/>
        <v>0.5</v>
      </c>
      <c r="AR34" s="270">
        <v>6.9533333333333349</v>
      </c>
      <c r="AS34" s="273" t="s">
        <v>663</v>
      </c>
      <c r="AT34" s="248" t="s">
        <v>660</v>
      </c>
      <c r="AU34" s="248" t="s">
        <v>661</v>
      </c>
      <c r="AV34" s="248" t="s">
        <v>664</v>
      </c>
      <c r="AW34" s="248" t="s">
        <v>665</v>
      </c>
      <c r="AX34" s="248">
        <f t="shared" si="119"/>
        <v>0.5</v>
      </c>
      <c r="AY34" s="285">
        <v>7.6233333333333357</v>
      </c>
    </row>
    <row r="35" spans="3:51" x14ac:dyDescent="0.2">
      <c r="C35" s="273" t="s">
        <v>661</v>
      </c>
      <c r="D35" s="248" t="s">
        <v>662</v>
      </c>
      <c r="E35" s="248" t="s">
        <v>662</v>
      </c>
      <c r="F35" s="248" t="s">
        <v>660</v>
      </c>
      <c r="G35" s="248" t="s">
        <v>663</v>
      </c>
      <c r="H35" s="248">
        <f t="shared" si="113"/>
        <v>0.5</v>
      </c>
      <c r="I35" s="270">
        <v>2.5</v>
      </c>
      <c r="J35" s="273" t="s">
        <v>661</v>
      </c>
      <c r="K35" s="248" t="s">
        <v>662</v>
      </c>
      <c r="L35" s="248" t="s">
        <v>662</v>
      </c>
      <c r="M35" s="248" t="s">
        <v>660</v>
      </c>
      <c r="N35" s="248" t="s">
        <v>663</v>
      </c>
      <c r="O35" s="248">
        <f t="shared" si="114"/>
        <v>0.5</v>
      </c>
      <c r="P35" s="270">
        <v>3.5703825265788067</v>
      </c>
      <c r="Q35" s="273" t="s">
        <v>660</v>
      </c>
      <c r="R35" s="248" t="s">
        <v>661</v>
      </c>
      <c r="S35" s="248" t="s">
        <v>662</v>
      </c>
      <c r="T35" s="248" t="s">
        <v>663</v>
      </c>
      <c r="U35" s="248" t="s">
        <v>664</v>
      </c>
      <c r="V35" s="248">
        <f t="shared" si="115"/>
        <v>0.5</v>
      </c>
      <c r="W35" s="270">
        <v>4.4120059347037639</v>
      </c>
      <c r="X35" s="273" t="s">
        <v>660</v>
      </c>
      <c r="Y35" s="248" t="s">
        <v>661</v>
      </c>
      <c r="Z35" s="248" t="s">
        <v>662</v>
      </c>
      <c r="AA35" s="248" t="s">
        <v>663</v>
      </c>
      <c r="AB35" s="248" t="s">
        <v>664</v>
      </c>
      <c r="AC35" s="248">
        <f t="shared" si="116"/>
        <v>0.5</v>
      </c>
      <c r="AD35" s="270">
        <v>5.3403316759548041</v>
      </c>
      <c r="AE35" s="273" t="s">
        <v>660</v>
      </c>
      <c r="AF35" s="248" t="s">
        <v>661</v>
      </c>
      <c r="AG35" s="248" t="s">
        <v>662</v>
      </c>
      <c r="AH35" s="248" t="s">
        <v>663</v>
      </c>
      <c r="AI35" s="248" t="s">
        <v>664</v>
      </c>
      <c r="AJ35" s="248">
        <f t="shared" si="117"/>
        <v>0.5</v>
      </c>
      <c r="AK35" s="270">
        <v>5.8400000000000007</v>
      </c>
      <c r="AL35" s="273" t="s">
        <v>663</v>
      </c>
      <c r="AM35" s="248" t="s">
        <v>660</v>
      </c>
      <c r="AN35" s="248" t="s">
        <v>661</v>
      </c>
      <c r="AO35" s="248" t="s">
        <v>664</v>
      </c>
      <c r="AP35" s="248" t="s">
        <v>665</v>
      </c>
      <c r="AQ35" s="248">
        <f t="shared" si="118"/>
        <v>0.5</v>
      </c>
      <c r="AR35" s="270">
        <v>6.286666666666668</v>
      </c>
      <c r="AS35" s="273" t="s">
        <v>663</v>
      </c>
      <c r="AT35" s="248" t="s">
        <v>660</v>
      </c>
      <c r="AU35" s="248" t="s">
        <v>661</v>
      </c>
      <c r="AV35" s="248" t="s">
        <v>664</v>
      </c>
      <c r="AW35" s="248" t="s">
        <v>665</v>
      </c>
      <c r="AX35" s="248">
        <f t="shared" si="119"/>
        <v>0.5</v>
      </c>
      <c r="AY35" s="285">
        <v>6.9566666666666688</v>
      </c>
    </row>
    <row r="36" spans="3:51" x14ac:dyDescent="0.2">
      <c r="C36" s="273" t="s">
        <v>661</v>
      </c>
      <c r="D36" s="248" t="s">
        <v>662</v>
      </c>
      <c r="E36" s="248" t="s">
        <v>662</v>
      </c>
      <c r="F36" s="248" t="s">
        <v>660</v>
      </c>
      <c r="G36" s="248" t="s">
        <v>663</v>
      </c>
      <c r="H36" s="248">
        <f t="shared" si="113"/>
        <v>0.5</v>
      </c>
      <c r="I36" s="270">
        <v>2.5</v>
      </c>
      <c r="J36" s="273" t="s">
        <v>661</v>
      </c>
      <c r="K36" s="248" t="s">
        <v>662</v>
      </c>
      <c r="L36" s="248" t="s">
        <v>662</v>
      </c>
      <c r="M36" s="248" t="s">
        <v>660</v>
      </c>
      <c r="N36" s="248" t="s">
        <v>663</v>
      </c>
      <c r="O36" s="248">
        <f t="shared" si="114"/>
        <v>0.5</v>
      </c>
      <c r="P36" s="270">
        <v>3.0703825265788067</v>
      </c>
      <c r="Q36" s="273" t="s">
        <v>661</v>
      </c>
      <c r="R36" s="248" t="s">
        <v>662</v>
      </c>
      <c r="S36" s="248" t="s">
        <v>662</v>
      </c>
      <c r="T36" s="248" t="s">
        <v>660</v>
      </c>
      <c r="U36" s="248" t="s">
        <v>663</v>
      </c>
      <c r="V36" s="248">
        <f t="shared" si="115"/>
        <v>0.5</v>
      </c>
      <c r="W36" s="270">
        <v>3.9120059347037639</v>
      </c>
      <c r="X36" s="273" t="s">
        <v>660</v>
      </c>
      <c r="Y36" s="248" t="s">
        <v>661</v>
      </c>
      <c r="Z36" s="248" t="s">
        <v>662</v>
      </c>
      <c r="AA36" s="248" t="s">
        <v>663</v>
      </c>
      <c r="AB36" s="248" t="s">
        <v>664</v>
      </c>
      <c r="AC36" s="248">
        <f t="shared" si="116"/>
        <v>0.5</v>
      </c>
      <c r="AD36" s="270">
        <v>4.8403316759548041</v>
      </c>
      <c r="AE36" s="273" t="s">
        <v>660</v>
      </c>
      <c r="AF36" s="248" t="s">
        <v>661</v>
      </c>
      <c r="AG36" s="248" t="s">
        <v>662</v>
      </c>
      <c r="AH36" s="248" t="s">
        <v>663</v>
      </c>
      <c r="AI36" s="248" t="s">
        <v>664</v>
      </c>
      <c r="AJ36" s="248">
        <f t="shared" si="117"/>
        <v>0.5</v>
      </c>
      <c r="AK36" s="270">
        <v>5.1733333333333338</v>
      </c>
      <c r="AL36" s="273" t="s">
        <v>660</v>
      </c>
      <c r="AM36" s="248" t="s">
        <v>661</v>
      </c>
      <c r="AN36" s="248" t="s">
        <v>662</v>
      </c>
      <c r="AO36" s="248" t="s">
        <v>663</v>
      </c>
      <c r="AP36" s="248" t="s">
        <v>664</v>
      </c>
      <c r="AQ36" s="248">
        <f t="shared" si="118"/>
        <v>0.5</v>
      </c>
      <c r="AR36" s="270">
        <v>5.620000000000001</v>
      </c>
      <c r="AS36" s="273" t="s">
        <v>663</v>
      </c>
      <c r="AT36" s="248" t="s">
        <v>660</v>
      </c>
      <c r="AU36" s="248" t="s">
        <v>661</v>
      </c>
      <c r="AV36" s="248" t="s">
        <v>664</v>
      </c>
      <c r="AW36" s="248" t="s">
        <v>665</v>
      </c>
      <c r="AX36" s="248">
        <f t="shared" si="119"/>
        <v>0.5</v>
      </c>
      <c r="AY36" s="285">
        <v>6.2900000000000018</v>
      </c>
    </row>
    <row r="37" spans="3:51" x14ac:dyDescent="0.2">
      <c r="C37" s="273" t="s">
        <v>661</v>
      </c>
      <c r="D37" s="248" t="s">
        <v>662</v>
      </c>
      <c r="E37" s="248" t="s">
        <v>662</v>
      </c>
      <c r="F37" s="248" t="s">
        <v>660</v>
      </c>
      <c r="G37" s="248" t="s">
        <v>663</v>
      </c>
      <c r="H37" s="248">
        <f t="shared" si="113"/>
        <v>0.5</v>
      </c>
      <c r="I37" s="270">
        <v>2.5</v>
      </c>
      <c r="J37" s="273" t="s">
        <v>661</v>
      </c>
      <c r="K37" s="248" t="s">
        <v>662</v>
      </c>
      <c r="L37" s="248" t="s">
        <v>662</v>
      </c>
      <c r="M37" s="248" t="s">
        <v>660</v>
      </c>
      <c r="N37" s="248" t="s">
        <v>663</v>
      </c>
      <c r="O37" s="248">
        <f t="shared" si="114"/>
        <v>0.5</v>
      </c>
      <c r="P37" s="270">
        <v>2.5703825265788067</v>
      </c>
      <c r="Q37" s="273" t="s">
        <v>661</v>
      </c>
      <c r="R37" s="248" t="s">
        <v>662</v>
      </c>
      <c r="S37" s="248" t="s">
        <v>662</v>
      </c>
      <c r="T37" s="248" t="s">
        <v>660</v>
      </c>
      <c r="U37" s="248" t="s">
        <v>663</v>
      </c>
      <c r="V37" s="248">
        <f t="shared" si="115"/>
        <v>0.5</v>
      </c>
      <c r="W37" s="270">
        <v>3.4120059347037639</v>
      </c>
      <c r="X37" s="273" t="s">
        <v>660</v>
      </c>
      <c r="Y37" s="248" t="s">
        <v>661</v>
      </c>
      <c r="Z37" s="248" t="s">
        <v>662</v>
      </c>
      <c r="AA37" s="248" t="s">
        <v>663</v>
      </c>
      <c r="AB37" s="248" t="s">
        <v>664</v>
      </c>
      <c r="AC37" s="248">
        <f t="shared" si="116"/>
        <v>0.5</v>
      </c>
      <c r="AD37" s="270">
        <v>4.3403316759548041</v>
      </c>
      <c r="AE37" s="273" t="s">
        <v>660</v>
      </c>
      <c r="AF37" s="248" t="s">
        <v>661</v>
      </c>
      <c r="AG37" s="248" t="s">
        <v>662</v>
      </c>
      <c r="AH37" s="248" t="s">
        <v>663</v>
      </c>
      <c r="AI37" s="248" t="s">
        <v>664</v>
      </c>
      <c r="AJ37" s="248">
        <f t="shared" si="117"/>
        <v>0.5</v>
      </c>
      <c r="AK37" s="270">
        <v>5.6177777777777775</v>
      </c>
      <c r="AL37" s="273" t="s">
        <v>660</v>
      </c>
      <c r="AM37" s="248" t="s">
        <v>661</v>
      </c>
      <c r="AN37" s="248" t="s">
        <v>662</v>
      </c>
      <c r="AO37" s="248" t="s">
        <v>663</v>
      </c>
      <c r="AP37" s="248" t="s">
        <v>664</v>
      </c>
      <c r="AQ37" s="248">
        <f t="shared" si="118"/>
        <v>0.5</v>
      </c>
      <c r="AR37" s="270">
        <v>5.62</v>
      </c>
      <c r="AS37" s="273" t="s">
        <v>660</v>
      </c>
      <c r="AT37" s="248" t="s">
        <v>661</v>
      </c>
      <c r="AU37" s="248" t="s">
        <v>662</v>
      </c>
      <c r="AV37" s="248" t="s">
        <v>663</v>
      </c>
      <c r="AW37" s="248" t="s">
        <v>664</v>
      </c>
      <c r="AX37" s="248">
        <f t="shared" si="119"/>
        <v>0.5</v>
      </c>
      <c r="AY37" s="285">
        <v>5.6233333333333348</v>
      </c>
    </row>
    <row r="38" spans="3:51" x14ac:dyDescent="0.2">
      <c r="C38" s="273" t="s">
        <v>661</v>
      </c>
      <c r="D38" s="248" t="s">
        <v>662</v>
      </c>
      <c r="E38" s="248" t="s">
        <v>662</v>
      </c>
      <c r="F38" s="248" t="s">
        <v>660</v>
      </c>
      <c r="G38" s="248" t="s">
        <v>663</v>
      </c>
      <c r="H38" s="248">
        <f t="shared" si="113"/>
        <v>0.5</v>
      </c>
      <c r="I38" s="270">
        <v>2.5</v>
      </c>
      <c r="J38" s="273" t="s">
        <v>661</v>
      </c>
      <c r="K38" s="248" t="s">
        <v>662</v>
      </c>
      <c r="L38" s="248" t="s">
        <v>662</v>
      </c>
      <c r="M38" s="248" t="s">
        <v>660</v>
      </c>
      <c r="N38" s="248" t="s">
        <v>663</v>
      </c>
      <c r="O38" s="248">
        <f t="shared" si="114"/>
        <v>0.5</v>
      </c>
      <c r="P38" s="270">
        <v>2.5</v>
      </c>
      <c r="Q38" s="273" t="s">
        <v>661</v>
      </c>
      <c r="R38" s="248" t="s">
        <v>662</v>
      </c>
      <c r="S38" s="248" t="s">
        <v>662</v>
      </c>
      <c r="T38" s="248" t="s">
        <v>660</v>
      </c>
      <c r="U38" s="248" t="s">
        <v>663</v>
      </c>
      <c r="V38" s="248">
        <f t="shared" si="115"/>
        <v>0.5</v>
      </c>
      <c r="W38" s="270">
        <v>2.9120059347037639</v>
      </c>
      <c r="X38" s="273" t="s">
        <v>661</v>
      </c>
      <c r="Y38" s="248" t="s">
        <v>662</v>
      </c>
      <c r="Z38" s="248" t="s">
        <v>662</v>
      </c>
      <c r="AA38" s="248" t="s">
        <v>660</v>
      </c>
      <c r="AB38" s="248" t="s">
        <v>663</v>
      </c>
      <c r="AC38" s="248">
        <f t="shared" si="116"/>
        <v>0.5</v>
      </c>
      <c r="AD38" s="270">
        <v>3.8403316759548041</v>
      </c>
      <c r="AE38" s="273" t="s">
        <v>660</v>
      </c>
      <c r="AF38" s="248" t="s">
        <v>661</v>
      </c>
      <c r="AG38" s="248" t="s">
        <v>662</v>
      </c>
      <c r="AH38" s="248" t="s">
        <v>663</v>
      </c>
      <c r="AI38" s="248" t="s">
        <v>664</v>
      </c>
      <c r="AJ38" s="248">
        <f t="shared" si="117"/>
        <v>0.5</v>
      </c>
      <c r="AK38" s="270">
        <v>5.62</v>
      </c>
      <c r="AL38" s="273" t="s">
        <v>660</v>
      </c>
      <c r="AM38" s="248" t="s">
        <v>661</v>
      </c>
      <c r="AN38" s="248" t="s">
        <v>662</v>
      </c>
      <c r="AO38" s="248" t="s">
        <v>663</v>
      </c>
      <c r="AP38" s="248" t="s">
        <v>664</v>
      </c>
      <c r="AQ38" s="248">
        <f t="shared" si="118"/>
        <v>0.5</v>
      </c>
      <c r="AR38" s="270">
        <v>5.62</v>
      </c>
      <c r="AS38" s="273" t="s">
        <v>660</v>
      </c>
      <c r="AT38" s="248" t="s">
        <v>661</v>
      </c>
      <c r="AU38" s="248" t="s">
        <v>662</v>
      </c>
      <c r="AV38" s="248" t="s">
        <v>663</v>
      </c>
      <c r="AW38" s="248" t="s">
        <v>664</v>
      </c>
      <c r="AX38" s="248">
        <f t="shared" si="119"/>
        <v>0.5</v>
      </c>
      <c r="AY38" s="285">
        <v>5.62</v>
      </c>
    </row>
    <row r="39" spans="3:51" x14ac:dyDescent="0.2">
      <c r="C39" s="273" t="s">
        <v>661</v>
      </c>
      <c r="D39" s="248" t="s">
        <v>662</v>
      </c>
      <c r="E39" s="248" t="s">
        <v>662</v>
      </c>
      <c r="F39" s="248" t="s">
        <v>660</v>
      </c>
      <c r="G39" s="248" t="s">
        <v>663</v>
      </c>
      <c r="H39" s="248">
        <f t="shared" si="113"/>
        <v>0.5</v>
      </c>
      <c r="I39" s="270">
        <v>2.5</v>
      </c>
      <c r="J39" s="273" t="s">
        <v>661</v>
      </c>
      <c r="K39" s="248" t="s">
        <v>662</v>
      </c>
      <c r="L39" s="248" t="s">
        <v>662</v>
      </c>
      <c r="M39" s="248" t="s">
        <v>660</v>
      </c>
      <c r="N39" s="248" t="s">
        <v>663</v>
      </c>
      <c r="O39" s="248">
        <f t="shared" si="114"/>
        <v>0.5</v>
      </c>
      <c r="P39" s="270">
        <v>2.5</v>
      </c>
      <c r="Q39" s="273" t="s">
        <v>661</v>
      </c>
      <c r="R39" s="248" t="s">
        <v>662</v>
      </c>
      <c r="S39" s="248" t="s">
        <v>662</v>
      </c>
      <c r="T39" s="248" t="s">
        <v>660</v>
      </c>
      <c r="U39" s="248" t="s">
        <v>663</v>
      </c>
      <c r="V39" s="248">
        <f t="shared" si="115"/>
        <v>0.5</v>
      </c>
      <c r="W39" s="270">
        <v>2.5</v>
      </c>
      <c r="X39" s="273" t="s">
        <v>661</v>
      </c>
      <c r="Y39" s="248" t="s">
        <v>662</v>
      </c>
      <c r="Z39" s="248" t="s">
        <v>662</v>
      </c>
      <c r="AA39" s="248" t="s">
        <v>660</v>
      </c>
      <c r="AB39" s="248" t="s">
        <v>663</v>
      </c>
      <c r="AC39" s="248">
        <f t="shared" si="116"/>
        <v>0.5</v>
      </c>
      <c r="AD39" s="270">
        <v>3.3403316759548041</v>
      </c>
      <c r="AE39" s="273" t="s">
        <v>660</v>
      </c>
      <c r="AF39" s="248" t="s">
        <v>661</v>
      </c>
      <c r="AG39" s="248" t="s">
        <v>662</v>
      </c>
      <c r="AH39" s="248" t="s">
        <v>663</v>
      </c>
      <c r="AI39" s="248" t="s">
        <v>664</v>
      </c>
      <c r="AJ39" s="248">
        <f t="shared" si="117"/>
        <v>0.5</v>
      </c>
      <c r="AK39" s="270">
        <v>5.62</v>
      </c>
      <c r="AL39" s="273" t="s">
        <v>660</v>
      </c>
      <c r="AM39" s="248" t="s">
        <v>661</v>
      </c>
      <c r="AN39" s="248" t="s">
        <v>662</v>
      </c>
      <c r="AO39" s="248" t="s">
        <v>663</v>
      </c>
      <c r="AP39" s="248" t="s">
        <v>664</v>
      </c>
      <c r="AQ39" s="248">
        <f t="shared" si="118"/>
        <v>0.5</v>
      </c>
      <c r="AR39" s="270">
        <v>5.62</v>
      </c>
      <c r="AS39" s="273" t="s">
        <v>660</v>
      </c>
      <c r="AT39" s="248" t="s">
        <v>661</v>
      </c>
      <c r="AU39" s="248" t="s">
        <v>662</v>
      </c>
      <c r="AV39" s="248" t="s">
        <v>663</v>
      </c>
      <c r="AW39" s="248" t="s">
        <v>664</v>
      </c>
      <c r="AX39" s="248">
        <f t="shared" si="119"/>
        <v>0.5</v>
      </c>
      <c r="AY39" s="285">
        <v>5.62</v>
      </c>
    </row>
    <row r="40" spans="3:51" x14ac:dyDescent="0.2">
      <c r="C40" s="273" t="s">
        <v>661</v>
      </c>
      <c r="D40" s="248" t="s">
        <v>662</v>
      </c>
      <c r="E40" s="248" t="s">
        <v>662</v>
      </c>
      <c r="F40" s="248" t="s">
        <v>660</v>
      </c>
      <c r="G40" s="248" t="s">
        <v>663</v>
      </c>
      <c r="H40" s="248">
        <f t="shared" si="113"/>
        <v>0.5</v>
      </c>
      <c r="I40" s="270">
        <v>2.5</v>
      </c>
      <c r="J40" s="273" t="s">
        <v>661</v>
      </c>
      <c r="K40" s="248" t="s">
        <v>662</v>
      </c>
      <c r="L40" s="248" t="s">
        <v>662</v>
      </c>
      <c r="M40" s="248" t="s">
        <v>660</v>
      </c>
      <c r="N40" s="248" t="s">
        <v>663</v>
      </c>
      <c r="O40" s="248">
        <f t="shared" si="114"/>
        <v>0.5</v>
      </c>
      <c r="P40" s="270">
        <v>2.5</v>
      </c>
      <c r="Q40" s="273" t="s">
        <v>661</v>
      </c>
      <c r="R40" s="248" t="s">
        <v>662</v>
      </c>
      <c r="S40" s="248" t="s">
        <v>662</v>
      </c>
      <c r="T40" s="248" t="s">
        <v>660</v>
      </c>
      <c r="U40" s="248" t="s">
        <v>663</v>
      </c>
      <c r="V40" s="248">
        <f t="shared" si="115"/>
        <v>0.5</v>
      </c>
      <c r="W40" s="270">
        <v>2.5</v>
      </c>
      <c r="X40" s="273" t="s">
        <v>661</v>
      </c>
      <c r="Y40" s="248" t="s">
        <v>662</v>
      </c>
      <c r="Z40" s="248" t="s">
        <v>662</v>
      </c>
      <c r="AA40" s="248" t="s">
        <v>660</v>
      </c>
      <c r="AB40" s="248" t="s">
        <v>663</v>
      </c>
      <c r="AC40" s="248">
        <f t="shared" si="116"/>
        <v>0.5</v>
      </c>
      <c r="AD40" s="270">
        <v>2.8403316759548041</v>
      </c>
      <c r="AE40" s="273" t="s">
        <v>660</v>
      </c>
      <c r="AF40" s="248" t="s">
        <v>661</v>
      </c>
      <c r="AG40" s="248" t="s">
        <v>662</v>
      </c>
      <c r="AH40" s="248" t="s">
        <v>663</v>
      </c>
      <c r="AI40" s="248" t="s">
        <v>664</v>
      </c>
      <c r="AJ40" s="248">
        <f t="shared" si="117"/>
        <v>0.5</v>
      </c>
      <c r="AK40" s="270">
        <v>5.62</v>
      </c>
      <c r="AL40" s="273" t="s">
        <v>660</v>
      </c>
      <c r="AM40" s="248" t="s">
        <v>661</v>
      </c>
      <c r="AN40" s="248" t="s">
        <v>662</v>
      </c>
      <c r="AO40" s="248" t="s">
        <v>663</v>
      </c>
      <c r="AP40" s="248" t="s">
        <v>664</v>
      </c>
      <c r="AQ40" s="248">
        <f t="shared" si="118"/>
        <v>0.5</v>
      </c>
      <c r="AR40" s="270">
        <v>5.62</v>
      </c>
      <c r="AS40" s="273" t="s">
        <v>660</v>
      </c>
      <c r="AT40" s="248" t="s">
        <v>661</v>
      </c>
      <c r="AU40" s="248" t="s">
        <v>662</v>
      </c>
      <c r="AV40" s="248" t="s">
        <v>663</v>
      </c>
      <c r="AW40" s="248" t="s">
        <v>664</v>
      </c>
      <c r="AX40" s="248">
        <f t="shared" si="119"/>
        <v>0.5</v>
      </c>
      <c r="AY40" s="285">
        <v>5.62</v>
      </c>
    </row>
    <row r="41" spans="3:51" x14ac:dyDescent="0.2">
      <c r="C41" s="312" t="s">
        <v>661</v>
      </c>
      <c r="D41" s="249" t="s">
        <v>662</v>
      </c>
      <c r="E41" s="249" t="s">
        <v>662</v>
      </c>
      <c r="F41" s="249" t="s">
        <v>660</v>
      </c>
      <c r="G41" s="249" t="s">
        <v>663</v>
      </c>
      <c r="H41" s="248">
        <f t="shared" si="113"/>
        <v>0.5</v>
      </c>
      <c r="I41" s="284">
        <v>2.5</v>
      </c>
      <c r="J41" s="273" t="s">
        <v>661</v>
      </c>
      <c r="K41" s="249" t="s">
        <v>662</v>
      </c>
      <c r="L41" s="249" t="s">
        <v>662</v>
      </c>
      <c r="M41" s="249" t="s">
        <v>660</v>
      </c>
      <c r="N41" s="249" t="s">
        <v>663</v>
      </c>
      <c r="O41" s="248">
        <f t="shared" si="114"/>
        <v>0.5</v>
      </c>
      <c r="P41" s="284">
        <v>2.5</v>
      </c>
      <c r="Q41" s="312" t="s">
        <v>661</v>
      </c>
      <c r="R41" s="249" t="s">
        <v>662</v>
      </c>
      <c r="S41" s="249" t="s">
        <v>662</v>
      </c>
      <c r="T41" s="249" t="s">
        <v>660</v>
      </c>
      <c r="U41" s="249" t="s">
        <v>663</v>
      </c>
      <c r="V41" s="248">
        <f t="shared" si="115"/>
        <v>0.5</v>
      </c>
      <c r="W41" s="284">
        <v>2.5</v>
      </c>
      <c r="X41" s="312" t="s">
        <v>661</v>
      </c>
      <c r="Y41" s="249" t="s">
        <v>662</v>
      </c>
      <c r="Z41" s="249" t="s">
        <v>662</v>
      </c>
      <c r="AA41" s="249" t="s">
        <v>660</v>
      </c>
      <c r="AB41" s="249" t="s">
        <v>663</v>
      </c>
      <c r="AC41" s="248">
        <f t="shared" si="116"/>
        <v>0.5</v>
      </c>
      <c r="AD41" s="284">
        <v>2.5</v>
      </c>
      <c r="AE41" s="312" t="s">
        <v>660</v>
      </c>
      <c r="AF41" s="249" t="s">
        <v>661</v>
      </c>
      <c r="AG41" s="249" t="s">
        <v>662</v>
      </c>
      <c r="AH41" s="249" t="s">
        <v>663</v>
      </c>
      <c r="AI41" s="249" t="s">
        <v>664</v>
      </c>
      <c r="AJ41" s="248">
        <f t="shared" si="117"/>
        <v>0.5</v>
      </c>
      <c r="AK41" s="284">
        <v>5.62</v>
      </c>
      <c r="AL41" s="312" t="s">
        <v>660</v>
      </c>
      <c r="AM41" s="249" t="s">
        <v>661</v>
      </c>
      <c r="AN41" s="249" t="s">
        <v>662</v>
      </c>
      <c r="AO41" s="249" t="s">
        <v>663</v>
      </c>
      <c r="AP41" s="249" t="s">
        <v>664</v>
      </c>
      <c r="AQ41" s="248">
        <f t="shared" si="118"/>
        <v>0.5</v>
      </c>
      <c r="AR41" s="284">
        <v>5.62</v>
      </c>
      <c r="AS41" s="312" t="s">
        <v>660</v>
      </c>
      <c r="AT41" s="249" t="s">
        <v>661</v>
      </c>
      <c r="AU41" s="249" t="s">
        <v>662</v>
      </c>
      <c r="AV41" s="249" t="s">
        <v>663</v>
      </c>
      <c r="AW41" s="249" t="s">
        <v>664</v>
      </c>
      <c r="AX41" s="248">
        <f t="shared" si="119"/>
        <v>0.5</v>
      </c>
      <c r="AY41" s="286">
        <v>5.62</v>
      </c>
    </row>
  </sheetData>
  <conditionalFormatting sqref="P13:P14">
    <cfRule type="cellIs" dxfId="1473" priority="1946" operator="notEqual">
      <formula>D$126</formula>
    </cfRule>
  </conditionalFormatting>
  <conditionalFormatting sqref="P7:P21">
    <cfRule type="cellIs" dxfId="1472" priority="1945" operator="notEqual">
      <formula>D$56</formula>
    </cfRule>
  </conditionalFormatting>
  <conditionalFormatting sqref="AY7:AY21">
    <cfRule type="cellIs" dxfId="1471" priority="1896" operator="notEqual">
      <formula>I$126</formula>
    </cfRule>
  </conditionalFormatting>
  <conditionalFormatting sqref="AR21 AR13:AR14 AR33:AR34">
    <cfRule type="cellIs" dxfId="1470" priority="1894" operator="notEqual">
      <formula>H$56</formula>
    </cfRule>
  </conditionalFormatting>
  <conditionalFormatting sqref="P21">
    <cfRule type="cellIs" dxfId="1469" priority="1891" operator="notEqual">
      <formula>D$56</formula>
    </cfRule>
  </conditionalFormatting>
  <conditionalFormatting sqref="Y28:Y29 X34:Y41">
    <cfRule type="cellIs" dxfId="1468" priority="1366" operator="notEqual">
      <formula>U$56</formula>
    </cfRule>
  </conditionalFormatting>
  <conditionalFormatting sqref="AF41">
    <cfRule type="cellIs" dxfId="1467" priority="1354" operator="notEqual">
      <formula>AB$56</formula>
    </cfRule>
  </conditionalFormatting>
  <conditionalFormatting sqref="AY13:AY14">
    <cfRule type="cellIs" dxfId="1466" priority="3182" operator="notEqual">
      <formula>I$56</formula>
    </cfRule>
  </conditionalFormatting>
  <conditionalFormatting sqref="AD7:AD21">
    <cfRule type="cellIs" dxfId="1465" priority="1791" operator="notEqual">
      <formula>F$56</formula>
    </cfRule>
  </conditionalFormatting>
  <conditionalFormatting sqref="AR7:AR21">
    <cfRule type="cellIs" dxfId="1464" priority="3183" operator="notEqual">
      <formula>H$126</formula>
    </cfRule>
  </conditionalFormatting>
  <conditionalFormatting sqref="AK7:AK21">
    <cfRule type="cellIs" dxfId="1463" priority="3185" operator="notEqual">
      <formula>G$56</formula>
    </cfRule>
  </conditionalFormatting>
  <conditionalFormatting sqref="W7:W21">
    <cfRule type="cellIs" dxfId="1462" priority="3188" operator="notEqual">
      <formula>E$56</formula>
    </cfRule>
  </conditionalFormatting>
  <conditionalFormatting sqref="AU27:AW41">
    <cfRule type="cellIs" dxfId="1461" priority="1192" operator="notEqual">
      <formula>AO$56</formula>
    </cfRule>
  </conditionalFormatting>
  <conditionalFormatting sqref="I13:I14">
    <cfRule type="cellIs" dxfId="1460" priority="1111" operator="notEqual">
      <formula>C$126</formula>
    </cfRule>
  </conditionalFormatting>
  <conditionalFormatting sqref="I7:I21">
    <cfRule type="cellIs" dxfId="1459" priority="1110" operator="notEqual">
      <formula>C$56</formula>
    </cfRule>
  </conditionalFormatting>
  <conditionalFormatting sqref="I21">
    <cfRule type="cellIs" dxfId="1458" priority="1109" operator="notEqual">
      <formula>C$56</formula>
    </cfRule>
  </conditionalFormatting>
  <conditionalFormatting sqref="E7:F7">
    <cfRule type="cellIs" dxfId="1457" priority="1002" operator="notEqual">
      <formula>E$56</formula>
    </cfRule>
  </conditionalFormatting>
  <conditionalFormatting sqref="E15:G21">
    <cfRule type="cellIs" dxfId="1456" priority="1001" operator="notEqual">
      <formula>E$56</formula>
    </cfRule>
  </conditionalFormatting>
  <conditionalFormatting sqref="D8">
    <cfRule type="cellIs" dxfId="1455" priority="1000" operator="notEqual">
      <formula>D$56</formula>
    </cfRule>
  </conditionalFormatting>
  <conditionalFormatting sqref="E8:F8">
    <cfRule type="cellIs" dxfId="1454" priority="999" operator="notEqual">
      <formula>E$56</formula>
    </cfRule>
  </conditionalFormatting>
  <conditionalFormatting sqref="D9">
    <cfRule type="cellIs" dxfId="1453" priority="998" operator="notEqual">
      <formula>D$56</formula>
    </cfRule>
  </conditionalFormatting>
  <conditionalFormatting sqref="E9:F9">
    <cfRule type="cellIs" dxfId="1452" priority="997" operator="notEqual">
      <formula>E$56</formula>
    </cfRule>
  </conditionalFormatting>
  <conditionalFormatting sqref="D10">
    <cfRule type="cellIs" dxfId="1451" priority="996" operator="notEqual">
      <formula>D$56</formula>
    </cfRule>
  </conditionalFormatting>
  <conditionalFormatting sqref="D11">
    <cfRule type="cellIs" dxfId="1450" priority="994" operator="notEqual">
      <formula>D$56</formula>
    </cfRule>
  </conditionalFormatting>
  <conditionalFormatting sqref="E11:G11">
    <cfRule type="cellIs" dxfId="1449" priority="993" operator="notEqual">
      <formula>E$56</formula>
    </cfRule>
  </conditionalFormatting>
  <conditionalFormatting sqref="D12">
    <cfRule type="cellIs" dxfId="1448" priority="992" operator="notEqual">
      <formula>D$56</formula>
    </cfRule>
  </conditionalFormatting>
  <conditionalFormatting sqref="E12:G12">
    <cfRule type="cellIs" dxfId="1447" priority="991" operator="notEqual">
      <formula>E$56</formula>
    </cfRule>
  </conditionalFormatting>
  <conditionalFormatting sqref="D13">
    <cfRule type="cellIs" dxfId="1446" priority="990" operator="notEqual">
      <formula>D$56</formula>
    </cfRule>
  </conditionalFormatting>
  <conditionalFormatting sqref="E13:G13">
    <cfRule type="cellIs" dxfId="1445" priority="989" operator="notEqual">
      <formula>E$56</formula>
    </cfRule>
  </conditionalFormatting>
  <conditionalFormatting sqref="D14">
    <cfRule type="cellIs" dxfId="1444" priority="988" operator="notEqual">
      <formula>D$56</formula>
    </cfRule>
  </conditionalFormatting>
  <conditionalFormatting sqref="E14:G14">
    <cfRule type="cellIs" dxfId="1443" priority="987" operator="notEqual">
      <formula>E$56</formula>
    </cfRule>
  </conditionalFormatting>
  <conditionalFormatting sqref="D8">
    <cfRule type="cellIs" dxfId="1442" priority="1021" operator="notEqual">
      <formula>D$126</formula>
    </cfRule>
  </conditionalFormatting>
  <conditionalFormatting sqref="E8:F8">
    <cfRule type="cellIs" dxfId="1441" priority="1020" operator="notEqual">
      <formula>E$56</formula>
    </cfRule>
  </conditionalFormatting>
  <conditionalFormatting sqref="E15:G21">
    <cfRule type="cellIs" dxfId="1440" priority="1006" operator="notEqual">
      <formula>E$56</formula>
    </cfRule>
  </conditionalFormatting>
  <conditionalFormatting sqref="D9">
    <cfRule type="cellIs" dxfId="1439" priority="1019" operator="notEqual">
      <formula>D$56</formula>
    </cfRule>
  </conditionalFormatting>
  <conditionalFormatting sqref="E9:F9">
    <cfRule type="cellIs" dxfId="1438" priority="1018" operator="notEqual">
      <formula>E$56</formula>
    </cfRule>
  </conditionalFormatting>
  <conditionalFormatting sqref="D10">
    <cfRule type="cellIs" dxfId="1437" priority="1017" operator="notEqual">
      <formula>D$56</formula>
    </cfRule>
  </conditionalFormatting>
  <conditionalFormatting sqref="E10:F10">
    <cfRule type="cellIs" dxfId="1436" priority="1016" operator="notEqual">
      <formula>E$56</formula>
    </cfRule>
  </conditionalFormatting>
  <conditionalFormatting sqref="D11">
    <cfRule type="cellIs" dxfId="1435" priority="1015" operator="notEqual">
      <formula>D$56</formula>
    </cfRule>
  </conditionalFormatting>
  <conditionalFormatting sqref="E11:G11">
    <cfRule type="cellIs" dxfId="1434" priority="1014" operator="notEqual">
      <formula>E$56</formula>
    </cfRule>
  </conditionalFormatting>
  <conditionalFormatting sqref="D12">
    <cfRule type="cellIs" dxfId="1433" priority="1013" operator="notEqual">
      <formula>D$56</formula>
    </cfRule>
  </conditionalFormatting>
  <conditionalFormatting sqref="E12:G12">
    <cfRule type="cellIs" dxfId="1432" priority="1012" operator="notEqual">
      <formula>E$56</formula>
    </cfRule>
  </conditionalFormatting>
  <conditionalFormatting sqref="D13">
    <cfRule type="cellIs" dxfId="1431" priority="1011" operator="notEqual">
      <formula>D$56</formula>
    </cfRule>
  </conditionalFormatting>
  <conditionalFormatting sqref="E13:G13">
    <cfRule type="cellIs" dxfId="1430" priority="1010" operator="notEqual">
      <formula>E$56</formula>
    </cfRule>
  </conditionalFormatting>
  <conditionalFormatting sqref="D14">
    <cfRule type="cellIs" dxfId="1429" priority="1009" operator="notEqual">
      <formula>D$56</formula>
    </cfRule>
  </conditionalFormatting>
  <conditionalFormatting sqref="E14:G14">
    <cfRule type="cellIs" dxfId="1428" priority="1008" operator="notEqual">
      <formula>E$56</formula>
    </cfRule>
  </conditionalFormatting>
  <conditionalFormatting sqref="D15:D21">
    <cfRule type="cellIs" dxfId="1427" priority="1007" operator="notEqual">
      <formula>D$56</formula>
    </cfRule>
  </conditionalFormatting>
  <conditionalFormatting sqref="D7:G21">
    <cfRule type="cellIs" dxfId="1426" priority="1005" operator="notEqual">
      <formula>D$126</formula>
    </cfRule>
  </conditionalFormatting>
  <conditionalFormatting sqref="D15:D21">
    <cfRule type="cellIs" dxfId="1425" priority="1003" operator="notEqual">
      <formula>D$56</formula>
    </cfRule>
  </conditionalFormatting>
  <conditionalFormatting sqref="E10:F10">
    <cfRule type="cellIs" dxfId="1424" priority="995" operator="notEqual">
      <formula>E$56</formula>
    </cfRule>
  </conditionalFormatting>
  <conditionalFormatting sqref="G7:G9">
    <cfRule type="cellIs" dxfId="1423" priority="941" operator="notEqual">
      <formula>F$56</formula>
    </cfRule>
  </conditionalFormatting>
  <conditionalFormatting sqref="G10">
    <cfRule type="cellIs" dxfId="1422" priority="939" operator="notEqual">
      <formula>G$56</formula>
    </cfRule>
  </conditionalFormatting>
  <conditionalFormatting sqref="G10">
    <cfRule type="cellIs" dxfId="1421" priority="940" operator="notEqual">
      <formula>G$56</formula>
    </cfRule>
  </conditionalFormatting>
  <conditionalFormatting sqref="AX23">
    <cfRule type="cellIs" dxfId="1420" priority="904" operator="notEqual">
      <formula>AX$56</formula>
    </cfRule>
  </conditionalFormatting>
  <conditionalFormatting sqref="AX23">
    <cfRule type="cellIs" dxfId="1419" priority="903" operator="notEqual">
      <formula>AX$56</formula>
    </cfRule>
  </conditionalFormatting>
  <conditionalFormatting sqref="AQ23">
    <cfRule type="cellIs" dxfId="1418" priority="900" operator="notEqual">
      <formula>AQ$56</formula>
    </cfRule>
  </conditionalFormatting>
  <conditionalFormatting sqref="AQ23">
    <cfRule type="cellIs" dxfId="1417" priority="899" operator="notEqual">
      <formula>AQ$56</formula>
    </cfRule>
  </conditionalFormatting>
  <conditionalFormatting sqref="AJ23">
    <cfRule type="cellIs" dxfId="1416" priority="896" operator="notEqual">
      <formula>AJ$56</formula>
    </cfRule>
  </conditionalFormatting>
  <conditionalFormatting sqref="AJ23">
    <cfRule type="cellIs" dxfId="1415" priority="895" operator="notEqual">
      <formula>AJ$56</formula>
    </cfRule>
  </conditionalFormatting>
  <conditionalFormatting sqref="AC23">
    <cfRule type="cellIs" dxfId="1414" priority="888" operator="notEqual">
      <formula>AC$56</formula>
    </cfRule>
  </conditionalFormatting>
  <conditionalFormatting sqref="AC23">
    <cfRule type="cellIs" dxfId="1413" priority="887" operator="notEqual">
      <formula>AC$56</formula>
    </cfRule>
  </conditionalFormatting>
  <conditionalFormatting sqref="V23">
    <cfRule type="cellIs" dxfId="1412" priority="884" operator="notEqual">
      <formula>V$56</formula>
    </cfRule>
  </conditionalFormatting>
  <conditionalFormatting sqref="V23">
    <cfRule type="cellIs" dxfId="1411" priority="883" operator="notEqual">
      <formula>V$56</formula>
    </cfRule>
  </conditionalFormatting>
  <conditionalFormatting sqref="O23">
    <cfRule type="cellIs" dxfId="1410" priority="880" operator="notEqual">
      <formula>O$56</formula>
    </cfRule>
  </conditionalFormatting>
  <conditionalFormatting sqref="O23">
    <cfRule type="cellIs" dxfId="1409" priority="879" operator="notEqual">
      <formula>O$56</formula>
    </cfRule>
  </conditionalFormatting>
  <conditionalFormatting sqref="H23">
    <cfRule type="cellIs" dxfId="1408" priority="876" operator="notEqual">
      <formula>H$56</formula>
    </cfRule>
  </conditionalFormatting>
  <conditionalFormatting sqref="H23">
    <cfRule type="cellIs" dxfId="1407" priority="875" operator="notEqual">
      <formula>H$56</formula>
    </cfRule>
  </conditionalFormatting>
  <conditionalFormatting sqref="C23">
    <cfRule type="cellIs" dxfId="1406" priority="874" operator="notEqual">
      <formula>B$126</formula>
    </cfRule>
  </conditionalFormatting>
  <conditionalFormatting sqref="J23">
    <cfRule type="cellIs" dxfId="1405" priority="873" operator="notEqual">
      <formula>H$126</formula>
    </cfRule>
  </conditionalFormatting>
  <conditionalFormatting sqref="Q23">
    <cfRule type="cellIs" dxfId="1404" priority="854" operator="notEqual">
      <formula>O$126</formula>
    </cfRule>
  </conditionalFormatting>
  <conditionalFormatting sqref="X23">
    <cfRule type="cellIs" dxfId="1403" priority="838" operator="notEqual">
      <formula>U$56</formula>
    </cfRule>
  </conditionalFormatting>
  <conditionalFormatting sqref="X23">
    <cfRule type="cellIs" dxfId="1402" priority="837" operator="notEqual">
      <formula>U$56</formula>
    </cfRule>
  </conditionalFormatting>
  <conditionalFormatting sqref="AE23">
    <cfRule type="cellIs" dxfId="1401" priority="833" operator="notEqual">
      <formula>AA$56</formula>
    </cfRule>
  </conditionalFormatting>
  <conditionalFormatting sqref="AE23">
    <cfRule type="cellIs" dxfId="1400" priority="832" operator="notEqual">
      <formula>AA$56</formula>
    </cfRule>
  </conditionalFormatting>
  <conditionalFormatting sqref="AL23">
    <cfRule type="cellIs" dxfId="1399" priority="830" operator="notEqual">
      <formula>AG$56</formula>
    </cfRule>
  </conditionalFormatting>
  <conditionalFormatting sqref="AL23">
    <cfRule type="cellIs" dxfId="1398" priority="831" operator="notEqual">
      <formula>AG$126</formula>
    </cfRule>
  </conditionalFormatting>
  <conditionalFormatting sqref="AS23">
    <cfRule type="cellIs" dxfId="1397" priority="829" operator="notEqual">
      <formula>AM$126</formula>
    </cfRule>
  </conditionalFormatting>
  <conditionalFormatting sqref="AS23">
    <cfRule type="cellIs" dxfId="1396" priority="828" operator="notEqual">
      <formula>AM$56</formula>
    </cfRule>
  </conditionalFormatting>
  <conditionalFormatting sqref="AS23">
    <cfRule type="cellIs" dxfId="1395" priority="827" operator="notEqual">
      <formula>AM$56</formula>
    </cfRule>
  </conditionalFormatting>
  <conditionalFormatting sqref="AS23">
    <cfRule type="cellIs" dxfId="1394" priority="826" operator="notEqual">
      <formula>AM$56</formula>
    </cfRule>
  </conditionalFormatting>
  <conditionalFormatting sqref="P33:P34">
    <cfRule type="cellIs" dxfId="1393" priority="741" operator="notEqual">
      <formula>D$126</formula>
    </cfRule>
  </conditionalFormatting>
  <conditionalFormatting sqref="P27:P41">
    <cfRule type="cellIs" dxfId="1392" priority="740" operator="notEqual">
      <formula>D$56</formula>
    </cfRule>
  </conditionalFormatting>
  <conditionalFormatting sqref="AY27:AY41">
    <cfRule type="cellIs" dxfId="1391" priority="739" operator="notEqual">
      <formula>I$126</formula>
    </cfRule>
  </conditionalFormatting>
  <conditionalFormatting sqref="AR41">
    <cfRule type="cellIs" dxfId="1390" priority="738" operator="notEqual">
      <formula>H$56</formula>
    </cfRule>
  </conditionalFormatting>
  <conditionalFormatting sqref="P41">
    <cfRule type="cellIs" dxfId="1389" priority="737" operator="notEqual">
      <formula>D$56</formula>
    </cfRule>
  </conditionalFormatting>
  <conditionalFormatting sqref="AN27:AP41">
    <cfRule type="cellIs" dxfId="1388" priority="673" operator="notEqual">
      <formula>AI$56</formula>
    </cfRule>
  </conditionalFormatting>
  <conditionalFormatting sqref="Z35:AB35">
    <cfRule type="cellIs" dxfId="1387" priority="681" operator="notEqual">
      <formula>W$56</formula>
    </cfRule>
  </conditionalFormatting>
  <conditionalFormatting sqref="Z35:AB35">
    <cfRule type="cellIs" dxfId="1386" priority="680" operator="notEqual">
      <formula>W$56</formula>
    </cfRule>
  </conditionalFormatting>
  <conditionalFormatting sqref="Z36:AB36">
    <cfRule type="cellIs" dxfId="1385" priority="679" operator="notEqual">
      <formula>W$56</formula>
    </cfRule>
  </conditionalFormatting>
  <conditionalFormatting sqref="Z36:AB36">
    <cfRule type="cellIs" dxfId="1384" priority="678" operator="notEqual">
      <formula>W$56</formula>
    </cfRule>
  </conditionalFormatting>
  <conditionalFormatting sqref="Z37:AB37">
    <cfRule type="cellIs" dxfId="1383" priority="677" operator="notEqual">
      <formula>W$56</formula>
    </cfRule>
  </conditionalFormatting>
  <conditionalFormatting sqref="Z37:AB37">
    <cfRule type="cellIs" dxfId="1382" priority="676" operator="notEqual">
      <formula>W$56</formula>
    </cfRule>
  </conditionalFormatting>
  <conditionalFormatting sqref="AG28:AI28">
    <cfRule type="cellIs" dxfId="1381" priority="674" operator="notEqual">
      <formula>AC$56</formula>
    </cfRule>
  </conditionalFormatting>
  <conditionalFormatting sqref="AF41">
    <cfRule type="cellIs" dxfId="1380" priority="670" operator="notEqual">
      <formula>AB$56</formula>
    </cfRule>
  </conditionalFormatting>
  <conditionalFormatting sqref="AG27:AI27">
    <cfRule type="cellIs" dxfId="1379" priority="669" operator="notEqual">
      <formula>AC$56</formula>
    </cfRule>
  </conditionalFormatting>
  <conditionalFormatting sqref="AG41:AI41">
    <cfRule type="cellIs" dxfId="1378" priority="668" operator="notEqual">
      <formula>AC$56</formula>
    </cfRule>
  </conditionalFormatting>
  <conditionalFormatting sqref="AF28">
    <cfRule type="cellIs" dxfId="1377" priority="667" operator="notEqual">
      <formula>AB$56</formula>
    </cfRule>
  </conditionalFormatting>
  <conditionalFormatting sqref="AG28:AI28">
    <cfRule type="cellIs" dxfId="1376" priority="666" operator="notEqual">
      <formula>AC$56</formula>
    </cfRule>
  </conditionalFormatting>
  <conditionalFormatting sqref="AG32:AH32">
    <cfRule type="cellIs" dxfId="1375" priority="664" operator="notEqual">
      <formula>AC$56</formula>
    </cfRule>
  </conditionalFormatting>
  <conditionalFormatting sqref="AY33:AY34">
    <cfRule type="cellIs" dxfId="1374" priority="742" operator="notEqual">
      <formula>I$56</formula>
    </cfRule>
  </conditionalFormatting>
  <conditionalFormatting sqref="AD27:AD41">
    <cfRule type="cellIs" dxfId="1373" priority="736" operator="notEqual">
      <formula>F$56</formula>
    </cfRule>
  </conditionalFormatting>
  <conditionalFormatting sqref="AR27:AR41">
    <cfRule type="cellIs" dxfId="1372" priority="743" operator="notEqual">
      <formula>H$126</formula>
    </cfRule>
  </conditionalFormatting>
  <conditionalFormatting sqref="AK27:AK41">
    <cfRule type="cellIs" dxfId="1371" priority="744" operator="notEqual">
      <formula>G$56</formula>
    </cfRule>
  </conditionalFormatting>
  <conditionalFormatting sqref="W27:W41">
    <cfRule type="cellIs" dxfId="1370" priority="745" operator="notEqual">
      <formula>E$56</formula>
    </cfRule>
  </conditionalFormatting>
  <conditionalFormatting sqref="L35:N41">
    <cfRule type="cellIs" dxfId="1369" priority="732" operator="notEqual">
      <formula>K$56</formula>
    </cfRule>
  </conditionalFormatting>
  <conditionalFormatting sqref="K31:K34">
    <cfRule type="cellIs" dxfId="1368" priority="735" operator="notEqual">
      <formula>J$56</formula>
    </cfRule>
  </conditionalFormatting>
  <conditionalFormatting sqref="L31:N34">
    <cfRule type="cellIs" dxfId="1367" priority="734" operator="notEqual">
      <formula>K$56</formula>
    </cfRule>
  </conditionalFormatting>
  <conditionalFormatting sqref="K35:K41">
    <cfRule type="cellIs" dxfId="1366" priority="733" operator="notEqual">
      <formula>J$56</formula>
    </cfRule>
  </conditionalFormatting>
  <conditionalFormatting sqref="K27:K30">
    <cfRule type="cellIs" dxfId="1365" priority="731" operator="notEqual">
      <formula>J$126</formula>
    </cfRule>
  </conditionalFormatting>
  <conditionalFormatting sqref="K35:K41">
    <cfRule type="cellIs" dxfId="1364" priority="730" operator="notEqual">
      <formula>J$56</formula>
    </cfRule>
  </conditionalFormatting>
  <conditionalFormatting sqref="L27:N30">
    <cfRule type="cellIs" dxfId="1363" priority="729" operator="notEqual">
      <formula>K$56</formula>
    </cfRule>
  </conditionalFormatting>
  <conditionalFormatting sqref="L35:N41">
    <cfRule type="cellIs" dxfId="1362" priority="728" operator="notEqual">
      <formula>K$56</formula>
    </cfRule>
  </conditionalFormatting>
  <conditionalFormatting sqref="K31:K34">
    <cfRule type="cellIs" dxfId="1361" priority="727" operator="notEqual">
      <formula>J$56</formula>
    </cfRule>
  </conditionalFormatting>
  <conditionalFormatting sqref="L31:N34">
    <cfRule type="cellIs" dxfId="1360" priority="726" operator="notEqual">
      <formula>K$56</formula>
    </cfRule>
  </conditionalFormatting>
  <conditionalFormatting sqref="AF34">
    <cfRule type="cellIs" dxfId="1359" priority="661" operator="notEqual">
      <formula>AB$56</formula>
    </cfRule>
  </conditionalFormatting>
  <conditionalFormatting sqref="S36:U41">
    <cfRule type="cellIs" dxfId="1358" priority="724" operator="notEqual">
      <formula>Q$56</formula>
    </cfRule>
  </conditionalFormatting>
  <conditionalFormatting sqref="AG33:AH33">
    <cfRule type="cellIs" dxfId="1357" priority="662" operator="notEqual">
      <formula>AC$56</formula>
    </cfRule>
  </conditionalFormatting>
  <conditionalFormatting sqref="R36:R41">
    <cfRule type="cellIs" dxfId="1356" priority="725" operator="notEqual">
      <formula>P$56</formula>
    </cfRule>
  </conditionalFormatting>
  <conditionalFormatting sqref="R27">
    <cfRule type="cellIs" dxfId="1355" priority="723" operator="notEqual">
      <formula>P$126</formula>
    </cfRule>
  </conditionalFormatting>
  <conditionalFormatting sqref="R36:R41">
    <cfRule type="cellIs" dxfId="1354" priority="722" operator="notEqual">
      <formula>P$56</formula>
    </cfRule>
  </conditionalFormatting>
  <conditionalFormatting sqref="S27:T27">
    <cfRule type="cellIs" dxfId="1353" priority="721" operator="notEqual">
      <formula>Q$56</formula>
    </cfRule>
  </conditionalFormatting>
  <conditionalFormatting sqref="S36:U41">
    <cfRule type="cellIs" dxfId="1352" priority="720" operator="notEqual">
      <formula>Q$56</formula>
    </cfRule>
  </conditionalFormatting>
  <conditionalFormatting sqref="AG30">
    <cfRule type="cellIs" dxfId="1351" priority="644" operator="notEqual">
      <formula>AC$56</formula>
    </cfRule>
  </conditionalFormatting>
  <conditionalFormatting sqref="AG31">
    <cfRule type="cellIs" dxfId="1350" priority="640" operator="notEqual">
      <formula>AC$56</formula>
    </cfRule>
  </conditionalFormatting>
  <conditionalFormatting sqref="AF30">
    <cfRule type="cellIs" dxfId="1349" priority="643" operator="notEqual">
      <formula>AB$56</formula>
    </cfRule>
  </conditionalFormatting>
  <conditionalFormatting sqref="AG30">
    <cfRule type="cellIs" dxfId="1348" priority="642" operator="notEqual">
      <formula>AC$56</formula>
    </cfRule>
  </conditionalFormatting>
  <conditionalFormatting sqref="Z28:AA28">
    <cfRule type="cellIs" dxfId="1347" priority="719" operator="notEqual">
      <formula>W$56</formula>
    </cfRule>
  </conditionalFormatting>
  <conditionalFormatting sqref="Z38:AB41">
    <cfRule type="cellIs" dxfId="1346" priority="718" operator="notEqual">
      <formula>W$56</formula>
    </cfRule>
  </conditionalFormatting>
  <conditionalFormatting sqref="AF37">
    <cfRule type="cellIs" dxfId="1345" priority="649" operator="notEqual">
      <formula>AB$56</formula>
    </cfRule>
  </conditionalFormatting>
  <conditionalFormatting sqref="AG37:AI37">
    <cfRule type="cellIs" dxfId="1344" priority="648" operator="notEqual">
      <formula>AC$56</formula>
    </cfRule>
  </conditionalFormatting>
  <conditionalFormatting sqref="AF36">
    <cfRule type="cellIs" dxfId="1343" priority="651" operator="notEqual">
      <formula>AB$56</formula>
    </cfRule>
  </conditionalFormatting>
  <conditionalFormatting sqref="AG36:AI36">
    <cfRule type="cellIs" dxfId="1342" priority="650" operator="notEqual">
      <formula>AC$56</formula>
    </cfRule>
  </conditionalFormatting>
  <conditionalFormatting sqref="Y38:Y41">
    <cfRule type="cellIs" dxfId="1341" priority="717" operator="notEqual">
      <formula>V$56</formula>
    </cfRule>
  </conditionalFormatting>
  <conditionalFormatting sqref="Z27:AB27">
    <cfRule type="cellIs" dxfId="1340" priority="716" operator="notEqual">
      <formula>W$56</formula>
    </cfRule>
  </conditionalFormatting>
  <conditionalFormatting sqref="Z38:AB41">
    <cfRule type="cellIs" dxfId="1339" priority="715" operator="notEqual">
      <formula>W$56</formula>
    </cfRule>
  </conditionalFormatting>
  <conditionalFormatting sqref="AF39">
    <cfRule type="cellIs" dxfId="1338" priority="629" operator="notEqual">
      <formula>AB$56</formula>
    </cfRule>
  </conditionalFormatting>
  <conditionalFormatting sqref="Z28:AA28">
    <cfRule type="cellIs" dxfId="1337" priority="714" operator="notEqual">
      <formula>W$56</formula>
    </cfRule>
  </conditionalFormatting>
  <conditionalFormatting sqref="AG39:AI39">
    <cfRule type="cellIs" dxfId="1336" priority="628" operator="notEqual">
      <formula>AC$56</formula>
    </cfRule>
  </conditionalFormatting>
  <conditionalFormatting sqref="AF39">
    <cfRule type="cellIs" dxfId="1335" priority="627" operator="notEqual">
      <formula>AB$56</formula>
    </cfRule>
  </conditionalFormatting>
  <conditionalFormatting sqref="AG38:AI38">
    <cfRule type="cellIs" dxfId="1334" priority="630" operator="notEqual">
      <formula>AC$56</formula>
    </cfRule>
  </conditionalFormatting>
  <conditionalFormatting sqref="AF31">
    <cfRule type="cellIs" dxfId="1333" priority="639" operator="notEqual">
      <formula>AB$56</formula>
    </cfRule>
  </conditionalFormatting>
  <conditionalFormatting sqref="AG31">
    <cfRule type="cellIs" dxfId="1332" priority="638" operator="notEqual">
      <formula>AC$56</formula>
    </cfRule>
  </conditionalFormatting>
  <conditionalFormatting sqref="AG29:AI29">
    <cfRule type="cellIs" dxfId="1331" priority="636" operator="notEqual">
      <formula>AC$56</formula>
    </cfRule>
  </conditionalFormatting>
  <conditionalFormatting sqref="AF29">
    <cfRule type="cellIs" dxfId="1330" priority="635" operator="notEqual">
      <formula>AB$56</formula>
    </cfRule>
  </conditionalFormatting>
  <conditionalFormatting sqref="AG29:AI29">
    <cfRule type="cellIs" dxfId="1329" priority="634" operator="notEqual">
      <formula>AC$56</formula>
    </cfRule>
  </conditionalFormatting>
  <conditionalFormatting sqref="AF38">
    <cfRule type="cellIs" dxfId="1328" priority="633" operator="notEqual">
      <formula>AB$56</formula>
    </cfRule>
  </conditionalFormatting>
  <conditionalFormatting sqref="AG38:AI38">
    <cfRule type="cellIs" dxfId="1327" priority="632" operator="notEqual">
      <formula>AC$56</formula>
    </cfRule>
  </conditionalFormatting>
  <conditionalFormatting sqref="AF38">
    <cfRule type="cellIs" dxfId="1326" priority="631" operator="notEqual">
      <formula>AB$56</formula>
    </cfRule>
  </conditionalFormatting>
  <conditionalFormatting sqref="AG39:AI39">
    <cfRule type="cellIs" dxfId="1325" priority="626" operator="notEqual">
      <formula>AC$56</formula>
    </cfRule>
  </conditionalFormatting>
  <conditionalFormatting sqref="AF40">
    <cfRule type="cellIs" dxfId="1324" priority="625" operator="notEqual">
      <formula>AB$56</formula>
    </cfRule>
  </conditionalFormatting>
  <conditionalFormatting sqref="AG40:AI40">
    <cfRule type="cellIs" dxfId="1323" priority="624" operator="notEqual">
      <formula>AC$56</formula>
    </cfRule>
  </conditionalFormatting>
  <conditionalFormatting sqref="AF40">
    <cfRule type="cellIs" dxfId="1322" priority="623" operator="notEqual">
      <formula>AB$56</formula>
    </cfRule>
  </conditionalFormatting>
  <conditionalFormatting sqref="AG40:AI40">
    <cfRule type="cellIs" dxfId="1321" priority="622" operator="notEqual">
      <formula>AC$56</formula>
    </cfRule>
  </conditionalFormatting>
  <conditionalFormatting sqref="AM41">
    <cfRule type="cellIs" dxfId="1320" priority="620" operator="notEqual">
      <formula>AH$56</formula>
    </cfRule>
  </conditionalFormatting>
  <conditionalFormatting sqref="AM41">
    <cfRule type="cellIs" dxfId="1319" priority="618" operator="notEqual">
      <formula>AH$56</formula>
    </cfRule>
  </conditionalFormatting>
  <conditionalFormatting sqref="AM28">
    <cfRule type="cellIs" dxfId="1318" priority="617" operator="notEqual">
      <formula>AH$56</formula>
    </cfRule>
  </conditionalFormatting>
  <conditionalFormatting sqref="AF35">
    <cfRule type="cellIs" dxfId="1317" priority="657" operator="notEqual">
      <formula>AB$56</formula>
    </cfRule>
  </conditionalFormatting>
  <conditionalFormatting sqref="AG34:AI34">
    <cfRule type="cellIs" dxfId="1316" priority="660" operator="notEqual">
      <formula>AC$56</formula>
    </cfRule>
  </conditionalFormatting>
  <conditionalFormatting sqref="AF34">
    <cfRule type="cellIs" dxfId="1315" priority="659" operator="notEqual">
      <formula>AB$56</formula>
    </cfRule>
  </conditionalFormatting>
  <conditionalFormatting sqref="AG34:AI34">
    <cfRule type="cellIs" dxfId="1314" priority="658" operator="notEqual">
      <formula>AC$56</formula>
    </cfRule>
  </conditionalFormatting>
  <conditionalFormatting sqref="AF35">
    <cfRule type="cellIs" dxfId="1313" priority="655" operator="notEqual">
      <formula>AB$56</formula>
    </cfRule>
  </conditionalFormatting>
  <conditionalFormatting sqref="AG35:AI35">
    <cfRule type="cellIs" dxfId="1312" priority="654" operator="notEqual">
      <formula>AC$56</formula>
    </cfRule>
  </conditionalFormatting>
  <conditionalFormatting sqref="AF36">
    <cfRule type="cellIs" dxfId="1311" priority="653" operator="notEqual">
      <formula>AB$56</formula>
    </cfRule>
  </conditionalFormatting>
  <conditionalFormatting sqref="AG36:AI36">
    <cfRule type="cellIs" dxfId="1310" priority="652" operator="notEqual">
      <formula>AC$56</formula>
    </cfRule>
  </conditionalFormatting>
  <conditionalFormatting sqref="AF37">
    <cfRule type="cellIs" dxfId="1309" priority="647" operator="notEqual">
      <formula>AB$56</formula>
    </cfRule>
  </conditionalFormatting>
  <conditionalFormatting sqref="AG37:AI37">
    <cfRule type="cellIs" dxfId="1308" priority="646" operator="notEqual">
      <formula>AC$56</formula>
    </cfRule>
  </conditionalFormatting>
  <conditionalFormatting sqref="Z32:AB32">
    <cfRule type="cellIs" dxfId="1307" priority="685" operator="notEqual">
      <formula>W$56</formula>
    </cfRule>
  </conditionalFormatting>
  <conditionalFormatting sqref="Z33:AB33">
    <cfRule type="cellIs" dxfId="1306" priority="684" operator="notEqual">
      <formula>W$56</formula>
    </cfRule>
  </conditionalFormatting>
  <conditionalFormatting sqref="Z34:AB34">
    <cfRule type="cellIs" dxfId="1305" priority="683" operator="notEqual">
      <formula>W$56</formula>
    </cfRule>
  </conditionalFormatting>
  <conditionalFormatting sqref="Z34:AB34">
    <cfRule type="cellIs" dxfId="1304" priority="682" operator="notEqual">
      <formula>W$56</formula>
    </cfRule>
  </conditionalFormatting>
  <conditionalFormatting sqref="AG41:AI41">
    <cfRule type="cellIs" dxfId="1303" priority="672" operator="notEqual">
      <formula>AC$56</formula>
    </cfRule>
  </conditionalFormatting>
  <conditionalFormatting sqref="R28">
    <cfRule type="cellIs" dxfId="1302" priority="713" operator="notEqual">
      <formula>P$126</formula>
    </cfRule>
  </conditionalFormatting>
  <conditionalFormatting sqref="S28:T28">
    <cfRule type="cellIs" dxfId="1301" priority="712" operator="notEqual">
      <formula>Q$56</formula>
    </cfRule>
  </conditionalFormatting>
  <conditionalFormatting sqref="R29">
    <cfRule type="cellIs" dxfId="1300" priority="711" operator="notEqual">
      <formula>P$126</formula>
    </cfRule>
  </conditionalFormatting>
  <conditionalFormatting sqref="S29">
    <cfRule type="cellIs" dxfId="1299" priority="710" operator="notEqual">
      <formula>Q$56</formula>
    </cfRule>
  </conditionalFormatting>
  <conditionalFormatting sqref="R30">
    <cfRule type="cellIs" dxfId="1298" priority="709" operator="notEqual">
      <formula>P$126</formula>
    </cfRule>
  </conditionalFormatting>
  <conditionalFormatting sqref="S30:T30">
    <cfRule type="cellIs" dxfId="1297" priority="708" operator="notEqual">
      <formula>Q$56</formula>
    </cfRule>
  </conditionalFormatting>
  <conditionalFormatting sqref="R31">
    <cfRule type="cellIs" dxfId="1296" priority="707" operator="notEqual">
      <formula>P$126</formula>
    </cfRule>
  </conditionalFormatting>
  <conditionalFormatting sqref="S31:T31">
    <cfRule type="cellIs" dxfId="1295" priority="706" operator="notEqual">
      <formula>Q$56</formula>
    </cfRule>
  </conditionalFormatting>
  <conditionalFormatting sqref="R32">
    <cfRule type="cellIs" dxfId="1294" priority="705" operator="notEqual">
      <formula>P$56</formula>
    </cfRule>
  </conditionalFormatting>
  <conditionalFormatting sqref="S32:U32">
    <cfRule type="cellIs" dxfId="1293" priority="704" operator="notEqual">
      <formula>Q$56</formula>
    </cfRule>
  </conditionalFormatting>
  <conditionalFormatting sqref="R32">
    <cfRule type="cellIs" dxfId="1292" priority="703" operator="notEqual">
      <formula>P$56</formula>
    </cfRule>
  </conditionalFormatting>
  <conditionalFormatting sqref="S32:U32">
    <cfRule type="cellIs" dxfId="1291" priority="702" operator="notEqual">
      <formula>Q$56</formula>
    </cfRule>
  </conditionalFormatting>
  <conditionalFormatting sqref="R33">
    <cfRule type="cellIs" dxfId="1290" priority="701" operator="notEqual">
      <formula>P$56</formula>
    </cfRule>
  </conditionalFormatting>
  <conditionalFormatting sqref="S33:U33">
    <cfRule type="cellIs" dxfId="1289" priority="700" operator="notEqual">
      <formula>Q$56</formula>
    </cfRule>
  </conditionalFormatting>
  <conditionalFormatting sqref="R33">
    <cfRule type="cellIs" dxfId="1288" priority="699" operator="notEqual">
      <formula>P$56</formula>
    </cfRule>
  </conditionalFormatting>
  <conditionalFormatting sqref="S33:U33">
    <cfRule type="cellIs" dxfId="1287" priority="698" operator="notEqual">
      <formula>Q$56</formula>
    </cfRule>
  </conditionalFormatting>
  <conditionalFormatting sqref="R34">
    <cfRule type="cellIs" dxfId="1286" priority="697" operator="notEqual">
      <formula>P$56</formula>
    </cfRule>
  </conditionalFormatting>
  <conditionalFormatting sqref="S34:U34">
    <cfRule type="cellIs" dxfId="1285" priority="696" operator="notEqual">
      <formula>Q$56</formula>
    </cfRule>
  </conditionalFormatting>
  <conditionalFormatting sqref="R34">
    <cfRule type="cellIs" dxfId="1284" priority="695" operator="notEqual">
      <formula>P$56</formula>
    </cfRule>
  </conditionalFormatting>
  <conditionalFormatting sqref="S34:U34">
    <cfRule type="cellIs" dxfId="1283" priority="694" operator="notEqual">
      <formula>Q$56</formula>
    </cfRule>
  </conditionalFormatting>
  <conditionalFormatting sqref="R35">
    <cfRule type="cellIs" dxfId="1282" priority="693" operator="notEqual">
      <formula>P$56</formula>
    </cfRule>
  </conditionalFormatting>
  <conditionalFormatting sqref="S35:U35">
    <cfRule type="cellIs" dxfId="1281" priority="692" operator="notEqual">
      <formula>Q$56</formula>
    </cfRule>
  </conditionalFormatting>
  <conditionalFormatting sqref="R35">
    <cfRule type="cellIs" dxfId="1280" priority="691" operator="notEqual">
      <formula>P$56</formula>
    </cfRule>
  </conditionalFormatting>
  <conditionalFormatting sqref="S35:U35">
    <cfRule type="cellIs" dxfId="1279" priority="690" operator="notEqual">
      <formula>Q$56</formula>
    </cfRule>
  </conditionalFormatting>
  <conditionalFormatting sqref="Z29">
    <cfRule type="cellIs" dxfId="1278" priority="689" operator="notEqual">
      <formula>W$56</formula>
    </cfRule>
  </conditionalFormatting>
  <conditionalFormatting sqref="Z29">
    <cfRule type="cellIs" dxfId="1277" priority="688" operator="notEqual">
      <formula>W$56</formula>
    </cfRule>
  </conditionalFormatting>
  <conditionalFormatting sqref="Z30:AA30">
    <cfRule type="cellIs" dxfId="1276" priority="687" operator="notEqual">
      <formula>W$56</formula>
    </cfRule>
  </conditionalFormatting>
  <conditionalFormatting sqref="Z31:AA31">
    <cfRule type="cellIs" dxfId="1275" priority="686" operator="notEqual">
      <formula>W$56</formula>
    </cfRule>
  </conditionalFormatting>
  <conditionalFormatting sqref="AF28">
    <cfRule type="cellIs" dxfId="1274" priority="675" operator="notEqual">
      <formula>AB$126</formula>
    </cfRule>
  </conditionalFormatting>
  <conditionalFormatting sqref="AF27">
    <cfRule type="cellIs" dxfId="1273" priority="671" operator="notEqual">
      <formula>AB$126</formula>
    </cfRule>
  </conditionalFormatting>
  <conditionalFormatting sqref="AT39">
    <cfRule type="cellIs" dxfId="1272" priority="584" operator="notEqual">
      <formula>AN$56</formula>
    </cfRule>
  </conditionalFormatting>
  <conditionalFormatting sqref="AT30">
    <cfRule type="cellIs" dxfId="1271" priority="580" operator="notEqual">
      <formula>AN$126</formula>
    </cfRule>
  </conditionalFormatting>
  <conditionalFormatting sqref="AF32">
    <cfRule type="cellIs" dxfId="1270" priority="665" operator="notEqual">
      <formula>AB$126</formula>
    </cfRule>
  </conditionalFormatting>
  <conditionalFormatting sqref="AF33">
    <cfRule type="cellIs" dxfId="1269" priority="663" operator="notEqual">
      <formula>AB$126</formula>
    </cfRule>
  </conditionalFormatting>
  <conditionalFormatting sqref="AG35:AI35">
    <cfRule type="cellIs" dxfId="1268" priority="656" operator="notEqual">
      <formula>AC$56</formula>
    </cfRule>
  </conditionalFormatting>
  <conditionalFormatting sqref="AF30">
    <cfRule type="cellIs" dxfId="1267" priority="645" operator="notEqual">
      <formula>AB$126</formula>
    </cfRule>
  </conditionalFormatting>
  <conditionalFormatting sqref="AF31">
    <cfRule type="cellIs" dxfId="1266" priority="641" operator="notEqual">
      <formula>AB$126</formula>
    </cfRule>
  </conditionalFormatting>
  <conditionalFormatting sqref="AF29">
    <cfRule type="cellIs" dxfId="1265" priority="637" operator="notEqual">
      <formula>AB$126</formula>
    </cfRule>
  </conditionalFormatting>
  <conditionalFormatting sqref="AM28">
    <cfRule type="cellIs" dxfId="1264" priority="621" operator="notEqual">
      <formula>AH$126</formula>
    </cfRule>
  </conditionalFormatting>
  <conditionalFormatting sqref="AM27">
    <cfRule type="cellIs" dxfId="1263" priority="619" operator="notEqual">
      <formula>AH$126</formula>
    </cfRule>
  </conditionalFormatting>
  <conditionalFormatting sqref="AM33">
    <cfRule type="cellIs" dxfId="1262" priority="616" operator="notEqual">
      <formula>AH$126</formula>
    </cfRule>
  </conditionalFormatting>
  <conditionalFormatting sqref="AT37">
    <cfRule type="cellIs" dxfId="1261" priority="589" operator="notEqual">
      <formula>AN$56</formula>
    </cfRule>
  </conditionalFormatting>
  <conditionalFormatting sqref="AM36">
    <cfRule type="cellIs" dxfId="1260" priority="615" operator="notEqual">
      <formula>AH$56</formula>
    </cfRule>
  </conditionalFormatting>
  <conditionalFormatting sqref="AM36">
    <cfRule type="cellIs" dxfId="1259" priority="614" operator="notEqual">
      <formula>AH$56</formula>
    </cfRule>
  </conditionalFormatting>
  <conditionalFormatting sqref="AM37">
    <cfRule type="cellIs" dxfId="1258" priority="613" operator="notEqual">
      <formula>AH$56</formula>
    </cfRule>
  </conditionalFormatting>
  <conditionalFormatting sqref="AM37">
    <cfRule type="cellIs" dxfId="1257" priority="612" operator="notEqual">
      <formula>AH$56</formula>
    </cfRule>
  </conditionalFormatting>
  <conditionalFormatting sqref="AM31">
    <cfRule type="cellIs" dxfId="1256" priority="611" operator="notEqual">
      <formula>AH$126</formula>
    </cfRule>
  </conditionalFormatting>
  <conditionalFormatting sqref="AM31">
    <cfRule type="cellIs" dxfId="1255" priority="610" operator="notEqual">
      <formula>AH$56</formula>
    </cfRule>
  </conditionalFormatting>
  <conditionalFormatting sqref="AM29">
    <cfRule type="cellIs" dxfId="1254" priority="609" operator="notEqual">
      <formula>AH$126</formula>
    </cfRule>
  </conditionalFormatting>
  <conditionalFormatting sqref="AM29">
    <cfRule type="cellIs" dxfId="1253" priority="608" operator="notEqual">
      <formula>AH$56</formula>
    </cfRule>
  </conditionalFormatting>
  <conditionalFormatting sqref="AM38">
    <cfRule type="cellIs" dxfId="1252" priority="607" operator="notEqual">
      <formula>AH$56</formula>
    </cfRule>
  </conditionalFormatting>
  <conditionalFormatting sqref="AM38">
    <cfRule type="cellIs" dxfId="1251" priority="606" operator="notEqual">
      <formula>AH$56</formula>
    </cfRule>
  </conditionalFormatting>
  <conditionalFormatting sqref="AM39">
    <cfRule type="cellIs" dxfId="1250" priority="605" operator="notEqual">
      <formula>AH$56</formula>
    </cfRule>
  </conditionalFormatting>
  <conditionalFormatting sqref="AM39">
    <cfRule type="cellIs" dxfId="1249" priority="604" operator="notEqual">
      <formula>AH$56</formula>
    </cfRule>
  </conditionalFormatting>
  <conditionalFormatting sqref="AM40">
    <cfRule type="cellIs" dxfId="1248" priority="603" operator="notEqual">
      <formula>AH$56</formula>
    </cfRule>
  </conditionalFormatting>
  <conditionalFormatting sqref="AM40">
    <cfRule type="cellIs" dxfId="1247" priority="602" operator="notEqual">
      <formula>AH$56</formula>
    </cfRule>
  </conditionalFormatting>
  <conditionalFormatting sqref="AM30">
    <cfRule type="cellIs" dxfId="1246" priority="601" operator="notEqual">
      <formula>AH$126</formula>
    </cfRule>
  </conditionalFormatting>
  <conditionalFormatting sqref="AM30">
    <cfRule type="cellIs" dxfId="1245" priority="600" operator="notEqual">
      <formula>AH$56</formula>
    </cfRule>
  </conditionalFormatting>
  <conditionalFormatting sqref="AM32">
    <cfRule type="cellIs" dxfId="1244" priority="599" operator="notEqual">
      <formula>AH$126</formula>
    </cfRule>
  </conditionalFormatting>
  <conditionalFormatting sqref="AM32">
    <cfRule type="cellIs" dxfId="1243" priority="598" operator="notEqual">
      <formula>AH$56</formula>
    </cfRule>
  </conditionalFormatting>
  <conditionalFormatting sqref="AM34">
    <cfRule type="cellIs" dxfId="1242" priority="597" operator="notEqual">
      <formula>AH$126</formula>
    </cfRule>
  </conditionalFormatting>
  <conditionalFormatting sqref="AM35">
    <cfRule type="cellIs" dxfId="1241" priority="596" operator="notEqual">
      <formula>AH$126</formula>
    </cfRule>
  </conditionalFormatting>
  <conditionalFormatting sqref="AT28">
    <cfRule type="cellIs" dxfId="1240" priority="595" operator="notEqual">
      <formula>AN$126</formula>
    </cfRule>
  </conditionalFormatting>
  <conditionalFormatting sqref="AT41">
    <cfRule type="cellIs" dxfId="1239" priority="594" operator="notEqual">
      <formula>AN$56</formula>
    </cfRule>
  </conditionalFormatting>
  <conditionalFormatting sqref="AT27">
    <cfRule type="cellIs" dxfId="1238" priority="593" operator="notEqual">
      <formula>AN$126</formula>
    </cfRule>
  </conditionalFormatting>
  <conditionalFormatting sqref="AT41">
    <cfRule type="cellIs" dxfId="1237" priority="592" operator="notEqual">
      <formula>AN$56</formula>
    </cfRule>
  </conditionalFormatting>
  <conditionalFormatting sqref="AT28">
    <cfRule type="cellIs" dxfId="1236" priority="591" operator="notEqual">
      <formula>AN$56</formula>
    </cfRule>
  </conditionalFormatting>
  <conditionalFormatting sqref="AT37">
    <cfRule type="cellIs" dxfId="1235" priority="590" operator="notEqual">
      <formula>AN$56</formula>
    </cfRule>
  </conditionalFormatting>
  <conditionalFormatting sqref="AT40">
    <cfRule type="cellIs" dxfId="1234" priority="582" operator="notEqual">
      <formula>AN$56</formula>
    </cfRule>
  </conditionalFormatting>
  <conditionalFormatting sqref="AT29">
    <cfRule type="cellIs" dxfId="1233" priority="588" operator="notEqual">
      <formula>AN$126</formula>
    </cfRule>
  </conditionalFormatting>
  <conditionalFormatting sqref="AT29">
    <cfRule type="cellIs" dxfId="1232" priority="587" operator="notEqual">
      <formula>AN$56</formula>
    </cfRule>
  </conditionalFormatting>
  <conditionalFormatting sqref="AT38">
    <cfRule type="cellIs" dxfId="1231" priority="586" operator="notEqual">
      <formula>AN$56</formula>
    </cfRule>
  </conditionalFormatting>
  <conditionalFormatting sqref="AT38">
    <cfRule type="cellIs" dxfId="1230" priority="585" operator="notEqual">
      <formula>AN$56</formula>
    </cfRule>
  </conditionalFormatting>
  <conditionalFormatting sqref="AT39">
    <cfRule type="cellIs" dxfId="1229" priority="583" operator="notEqual">
      <formula>AN$56</formula>
    </cfRule>
  </conditionalFormatting>
  <conditionalFormatting sqref="AT40">
    <cfRule type="cellIs" dxfId="1228" priority="581" operator="notEqual">
      <formula>AN$56</formula>
    </cfRule>
  </conditionalFormatting>
  <conditionalFormatting sqref="AT30">
    <cfRule type="cellIs" dxfId="1227" priority="579" operator="notEqual">
      <formula>AN$56</formula>
    </cfRule>
  </conditionalFormatting>
  <conditionalFormatting sqref="AT34">
    <cfRule type="cellIs" dxfId="1226" priority="578" operator="notEqual">
      <formula>AN$126</formula>
    </cfRule>
  </conditionalFormatting>
  <conditionalFormatting sqref="AT35">
    <cfRule type="cellIs" dxfId="1225" priority="577" operator="notEqual">
      <formula>AN$126</formula>
    </cfRule>
  </conditionalFormatting>
  <conditionalFormatting sqref="AT31">
    <cfRule type="cellIs" dxfId="1224" priority="576" operator="notEqual">
      <formula>AN$126</formula>
    </cfRule>
  </conditionalFormatting>
  <conditionalFormatting sqref="AT31">
    <cfRule type="cellIs" dxfId="1223" priority="575" operator="notEqual">
      <formula>AN$56</formula>
    </cfRule>
  </conditionalFormatting>
  <conditionalFormatting sqref="AT32">
    <cfRule type="cellIs" dxfId="1222" priority="574" operator="notEqual">
      <formula>AN$126</formula>
    </cfRule>
  </conditionalFormatting>
  <conditionalFormatting sqref="AT32">
    <cfRule type="cellIs" dxfId="1221" priority="573" operator="notEqual">
      <formula>AN$56</formula>
    </cfRule>
  </conditionalFormatting>
  <conditionalFormatting sqref="AT33">
    <cfRule type="cellIs" dxfId="1220" priority="572" operator="notEqual">
      <formula>AN$126</formula>
    </cfRule>
  </conditionalFormatting>
  <conditionalFormatting sqref="AT33">
    <cfRule type="cellIs" dxfId="1219" priority="571" operator="notEqual">
      <formula>AN$56</formula>
    </cfRule>
  </conditionalFormatting>
  <conditionalFormatting sqref="AT36">
    <cfRule type="cellIs" dxfId="1218" priority="570" operator="notEqual">
      <formula>AN$126</formula>
    </cfRule>
  </conditionalFormatting>
  <conditionalFormatting sqref="I33:I34">
    <cfRule type="cellIs" dxfId="1217" priority="569" operator="notEqual">
      <formula>C$126</formula>
    </cfRule>
  </conditionalFormatting>
  <conditionalFormatting sqref="I27:I41">
    <cfRule type="cellIs" dxfId="1216" priority="568" operator="notEqual">
      <formula>C$56</formula>
    </cfRule>
  </conditionalFormatting>
  <conditionalFormatting sqref="I41">
    <cfRule type="cellIs" dxfId="1215" priority="567" operator="notEqual">
      <formula>C$56</formula>
    </cfRule>
  </conditionalFormatting>
  <conditionalFormatting sqref="E27:F27">
    <cfRule type="cellIs" dxfId="1214" priority="548" operator="notEqual">
      <formula>E$56</formula>
    </cfRule>
  </conditionalFormatting>
  <conditionalFormatting sqref="E35:G41">
    <cfRule type="cellIs" dxfId="1213" priority="547" operator="notEqual">
      <formula>E$56</formula>
    </cfRule>
  </conditionalFormatting>
  <conditionalFormatting sqref="D28">
    <cfRule type="cellIs" dxfId="1212" priority="546" operator="notEqual">
      <formula>D$56</formula>
    </cfRule>
  </conditionalFormatting>
  <conditionalFormatting sqref="E28:F28">
    <cfRule type="cellIs" dxfId="1211" priority="545" operator="notEqual">
      <formula>E$56</formula>
    </cfRule>
  </conditionalFormatting>
  <conditionalFormatting sqref="D29">
    <cfRule type="cellIs" dxfId="1210" priority="544" operator="notEqual">
      <formula>D$56</formula>
    </cfRule>
  </conditionalFormatting>
  <conditionalFormatting sqref="E29:F29">
    <cfRule type="cellIs" dxfId="1209" priority="543" operator="notEqual">
      <formula>E$56</formula>
    </cfRule>
  </conditionalFormatting>
  <conditionalFormatting sqref="D30">
    <cfRule type="cellIs" dxfId="1208" priority="542" operator="notEqual">
      <formula>D$56</formula>
    </cfRule>
  </conditionalFormatting>
  <conditionalFormatting sqref="D31">
    <cfRule type="cellIs" dxfId="1207" priority="540" operator="notEqual">
      <formula>D$56</formula>
    </cfRule>
  </conditionalFormatting>
  <conditionalFormatting sqref="E31:G31">
    <cfRule type="cellIs" dxfId="1206" priority="539" operator="notEqual">
      <formula>E$56</formula>
    </cfRule>
  </conditionalFormatting>
  <conditionalFormatting sqref="D32">
    <cfRule type="cellIs" dxfId="1205" priority="538" operator="notEqual">
      <formula>D$56</formula>
    </cfRule>
  </conditionalFormatting>
  <conditionalFormatting sqref="E32:G32">
    <cfRule type="cellIs" dxfId="1204" priority="537" operator="notEqual">
      <formula>E$56</formula>
    </cfRule>
  </conditionalFormatting>
  <conditionalFormatting sqref="D33">
    <cfRule type="cellIs" dxfId="1203" priority="536" operator="notEqual">
      <formula>D$56</formula>
    </cfRule>
  </conditionalFormatting>
  <conditionalFormatting sqref="E33:G33">
    <cfRule type="cellIs" dxfId="1202" priority="535" operator="notEqual">
      <formula>E$56</formula>
    </cfRule>
  </conditionalFormatting>
  <conditionalFormatting sqref="D34">
    <cfRule type="cellIs" dxfId="1201" priority="534" operator="notEqual">
      <formula>D$56</formula>
    </cfRule>
  </conditionalFormatting>
  <conditionalFormatting sqref="E34:G34">
    <cfRule type="cellIs" dxfId="1200" priority="533" operator="notEqual">
      <formula>E$56</formula>
    </cfRule>
  </conditionalFormatting>
  <conditionalFormatting sqref="D28">
    <cfRule type="cellIs" dxfId="1199" priority="566" operator="notEqual">
      <formula>D$126</formula>
    </cfRule>
  </conditionalFormatting>
  <conditionalFormatting sqref="E28:F28">
    <cfRule type="cellIs" dxfId="1198" priority="565" operator="notEqual">
      <formula>E$56</formula>
    </cfRule>
  </conditionalFormatting>
  <conditionalFormatting sqref="E35:G41">
    <cfRule type="cellIs" dxfId="1197" priority="551" operator="notEqual">
      <formula>E$56</formula>
    </cfRule>
  </conditionalFormatting>
  <conditionalFormatting sqref="D29">
    <cfRule type="cellIs" dxfId="1196" priority="564" operator="notEqual">
      <formula>D$56</formula>
    </cfRule>
  </conditionalFormatting>
  <conditionalFormatting sqref="E29:F29">
    <cfRule type="cellIs" dxfId="1195" priority="563" operator="notEqual">
      <formula>E$56</formula>
    </cfRule>
  </conditionalFormatting>
  <conditionalFormatting sqref="D30">
    <cfRule type="cellIs" dxfId="1194" priority="562" operator="notEqual">
      <formula>D$56</formula>
    </cfRule>
  </conditionalFormatting>
  <conditionalFormatting sqref="E30:F30">
    <cfRule type="cellIs" dxfId="1193" priority="561" operator="notEqual">
      <formula>E$56</formula>
    </cfRule>
  </conditionalFormatting>
  <conditionalFormatting sqref="D31">
    <cfRule type="cellIs" dxfId="1192" priority="560" operator="notEqual">
      <formula>D$56</formula>
    </cfRule>
  </conditionalFormatting>
  <conditionalFormatting sqref="E31:G31">
    <cfRule type="cellIs" dxfId="1191" priority="559" operator="notEqual">
      <formula>E$56</formula>
    </cfRule>
  </conditionalFormatting>
  <conditionalFormatting sqref="D32">
    <cfRule type="cellIs" dxfId="1190" priority="558" operator="notEqual">
      <formula>D$56</formula>
    </cfRule>
  </conditionalFormatting>
  <conditionalFormatting sqref="E32:G32">
    <cfRule type="cellIs" dxfId="1189" priority="557" operator="notEqual">
      <formula>E$56</formula>
    </cfRule>
  </conditionalFormatting>
  <conditionalFormatting sqref="D33">
    <cfRule type="cellIs" dxfId="1188" priority="556" operator="notEqual">
      <formula>D$56</formula>
    </cfRule>
  </conditionalFormatting>
  <conditionalFormatting sqref="E33:G33">
    <cfRule type="cellIs" dxfId="1187" priority="555" operator="notEqual">
      <formula>E$56</formula>
    </cfRule>
  </conditionalFormatting>
  <conditionalFormatting sqref="D34">
    <cfRule type="cellIs" dxfId="1186" priority="554" operator="notEqual">
      <formula>D$56</formula>
    </cfRule>
  </conditionalFormatting>
  <conditionalFormatting sqref="E34:G34">
    <cfRule type="cellIs" dxfId="1185" priority="553" operator="notEqual">
      <formula>E$56</formula>
    </cfRule>
  </conditionalFormatting>
  <conditionalFormatting sqref="D35:D41">
    <cfRule type="cellIs" dxfId="1184" priority="552" operator="notEqual">
      <formula>D$56</formula>
    </cfRule>
  </conditionalFormatting>
  <conditionalFormatting sqref="D27">
    <cfRule type="cellIs" dxfId="1183" priority="550" operator="notEqual">
      <formula>D$126</formula>
    </cfRule>
  </conditionalFormatting>
  <conditionalFormatting sqref="D35:D41">
    <cfRule type="cellIs" dxfId="1182" priority="549" operator="notEqual">
      <formula>D$56</formula>
    </cfRule>
  </conditionalFormatting>
  <conditionalFormatting sqref="E30:F30">
    <cfRule type="cellIs" dxfId="1181" priority="541" operator="notEqual">
      <formula>E$56</formula>
    </cfRule>
  </conditionalFormatting>
  <conditionalFormatting sqref="Y27:Y33">
    <cfRule type="cellIs" dxfId="1180" priority="746" operator="notEqual">
      <formula>V$126</formula>
    </cfRule>
  </conditionalFormatting>
  <conditionalFormatting sqref="G27:G29">
    <cfRule type="cellIs" dxfId="1179" priority="532" operator="notEqual">
      <formula>F$56</formula>
    </cfRule>
  </conditionalFormatting>
  <conditionalFormatting sqref="G30">
    <cfRule type="cellIs" dxfId="1178" priority="530" operator="notEqual">
      <formula>G$56</formula>
    </cfRule>
  </conditionalFormatting>
  <conditionalFormatting sqref="G30">
    <cfRule type="cellIs" dxfId="1177" priority="531" operator="notEqual">
      <formula>G$56</formula>
    </cfRule>
  </conditionalFormatting>
  <conditionalFormatting sqref="U27">
    <cfRule type="cellIs" dxfId="1176" priority="529" operator="notEqual">
      <formula>T$56</formula>
    </cfRule>
  </conditionalFormatting>
  <conditionalFormatting sqref="U28:U30">
    <cfRule type="cellIs" dxfId="1175" priority="528" operator="notEqual">
      <formula>T$56</formula>
    </cfRule>
  </conditionalFormatting>
  <conditionalFormatting sqref="U31">
    <cfRule type="cellIs" dxfId="1174" priority="527" operator="notEqual">
      <formula>T$56</formula>
    </cfRule>
  </conditionalFormatting>
  <conditionalFormatting sqref="AB28:AB30">
    <cfRule type="cellIs" dxfId="1173" priority="526" operator="notEqual">
      <formula>AA$56</formula>
    </cfRule>
  </conditionalFormatting>
  <conditionalFormatting sqref="AB31">
    <cfRule type="cellIs" dxfId="1172" priority="525" operator="notEqual">
      <formula>AA$56</formula>
    </cfRule>
  </conditionalFormatting>
  <conditionalFormatting sqref="AA29">
    <cfRule type="cellIs" dxfId="1171" priority="524" operator="notEqual">
      <formula>X$56</formula>
    </cfRule>
  </conditionalFormatting>
  <conditionalFormatting sqref="AA29">
    <cfRule type="cellIs" dxfId="1170" priority="523" operator="notEqual">
      <formula>X$56</formula>
    </cfRule>
  </conditionalFormatting>
  <conditionalFormatting sqref="T29">
    <cfRule type="cellIs" dxfId="1169" priority="522" operator="notEqual">
      <formula>R$56</formula>
    </cfRule>
  </conditionalFormatting>
  <conditionalFormatting sqref="AH30:AI30">
    <cfRule type="cellIs" dxfId="1168" priority="521" operator="notEqual">
      <formula>AD$56</formula>
    </cfRule>
  </conditionalFormatting>
  <conditionalFormatting sqref="AH30:AI30">
    <cfRule type="cellIs" dxfId="1167" priority="520" operator="notEqual">
      <formula>AD$56</formula>
    </cfRule>
  </conditionalFormatting>
  <conditionalFormatting sqref="AH31:AI31">
    <cfRule type="cellIs" dxfId="1166" priority="519" operator="notEqual">
      <formula>AD$56</formula>
    </cfRule>
  </conditionalFormatting>
  <conditionalFormatting sqref="AH31:AI31">
    <cfRule type="cellIs" dxfId="1165" priority="518" operator="notEqual">
      <formula>AD$56</formula>
    </cfRule>
  </conditionalFormatting>
  <conditionalFormatting sqref="AI32:AI33">
    <cfRule type="cellIs" dxfId="1164" priority="517" operator="notEqual">
      <formula>AE$56</formula>
    </cfRule>
  </conditionalFormatting>
  <conditionalFormatting sqref="AI32:AI33">
    <cfRule type="cellIs" dxfId="1163" priority="516" operator="notEqual">
      <formula>AE$56</formula>
    </cfRule>
  </conditionalFormatting>
  <conditionalFormatting sqref="AX27:AX41">
    <cfRule type="cellIs" dxfId="1162" priority="515" operator="notEqual">
      <formula>AX$56</formula>
    </cfRule>
  </conditionalFormatting>
  <conditionalFormatting sqref="AX41">
    <cfRule type="cellIs" dxfId="1161" priority="514" operator="notEqual">
      <formula>AX$56</formula>
    </cfRule>
  </conditionalFormatting>
  <conditionalFormatting sqref="AQ27:AQ41">
    <cfRule type="cellIs" dxfId="1160" priority="512" operator="notEqual">
      <formula>AQ$56</formula>
    </cfRule>
  </conditionalFormatting>
  <conditionalFormatting sqref="AQ41">
    <cfRule type="cellIs" dxfId="1159" priority="511" operator="notEqual">
      <formula>AQ$56</formula>
    </cfRule>
  </conditionalFormatting>
  <conditionalFormatting sqref="AJ27:AJ41">
    <cfRule type="cellIs" dxfId="1158" priority="510" operator="notEqual">
      <formula>AJ$56</formula>
    </cfRule>
  </conditionalFormatting>
  <conditionalFormatting sqref="AJ41">
    <cfRule type="cellIs" dxfId="1157" priority="509" operator="notEqual">
      <formula>AJ$56</formula>
    </cfRule>
  </conditionalFormatting>
  <conditionalFormatting sqref="AC27:AC41">
    <cfRule type="cellIs" dxfId="1156" priority="508" operator="notEqual">
      <formula>AC$56</formula>
    </cfRule>
  </conditionalFormatting>
  <conditionalFormatting sqref="AC41">
    <cfRule type="cellIs" dxfId="1155" priority="507" operator="notEqual">
      <formula>AC$56</formula>
    </cfRule>
  </conditionalFormatting>
  <conditionalFormatting sqref="V27:V41">
    <cfRule type="cellIs" dxfId="1154" priority="506" operator="notEqual">
      <formula>V$56</formula>
    </cfRule>
  </conditionalFormatting>
  <conditionalFormatting sqref="V41">
    <cfRule type="cellIs" dxfId="1153" priority="505" operator="notEqual">
      <formula>V$56</formula>
    </cfRule>
  </conditionalFormatting>
  <conditionalFormatting sqref="O27:O41">
    <cfRule type="cellIs" dxfId="1152" priority="504" operator="notEqual">
      <formula>O$56</formula>
    </cfRule>
  </conditionalFormatting>
  <conditionalFormatting sqref="O41">
    <cfRule type="cellIs" dxfId="1151" priority="503" operator="notEqual">
      <formula>O$56</formula>
    </cfRule>
  </conditionalFormatting>
  <conditionalFormatting sqref="H27:H41">
    <cfRule type="cellIs" dxfId="1150" priority="502" operator="notEqual">
      <formula>H$56</formula>
    </cfRule>
  </conditionalFormatting>
  <conditionalFormatting sqref="H41">
    <cfRule type="cellIs" dxfId="1149" priority="501" operator="notEqual">
      <formula>H$56</formula>
    </cfRule>
  </conditionalFormatting>
  <conditionalFormatting sqref="J27:J41">
    <cfRule type="cellIs" dxfId="1148" priority="500" operator="notEqual">
      <formula>I$126</formula>
    </cfRule>
  </conditionalFormatting>
  <conditionalFormatting sqref="Q36:Q41">
    <cfRule type="cellIs" dxfId="1147" priority="499" operator="notEqual">
      <formula>O$56</formula>
    </cfRule>
  </conditionalFormatting>
  <conditionalFormatting sqref="Q27">
    <cfRule type="cellIs" dxfId="1146" priority="498" operator="notEqual">
      <formula>O$126</formula>
    </cfRule>
  </conditionalFormatting>
  <conditionalFormatting sqref="Q36:Q41">
    <cfRule type="cellIs" dxfId="1145" priority="497" operator="notEqual">
      <formula>O$56</formula>
    </cfRule>
  </conditionalFormatting>
  <conditionalFormatting sqref="Q28">
    <cfRule type="cellIs" dxfId="1144" priority="496" operator="notEqual">
      <formula>O$126</formula>
    </cfRule>
  </conditionalFormatting>
  <conditionalFormatting sqref="Q29">
    <cfRule type="cellIs" dxfId="1143" priority="495" operator="notEqual">
      <formula>O$126</formula>
    </cfRule>
  </conditionalFormatting>
  <conditionalFormatting sqref="Q30">
    <cfRule type="cellIs" dxfId="1142" priority="494" operator="notEqual">
      <formula>O$126</formula>
    </cfRule>
  </conditionalFormatting>
  <conditionalFormatting sqref="Q31">
    <cfRule type="cellIs" dxfId="1141" priority="493" operator="notEqual">
      <formula>O$126</formula>
    </cfRule>
  </conditionalFormatting>
  <conditionalFormatting sqref="Q32">
    <cfRule type="cellIs" dxfId="1140" priority="492" operator="notEqual">
      <formula>O$56</formula>
    </cfRule>
  </conditionalFormatting>
  <conditionalFormatting sqref="Q32">
    <cfRule type="cellIs" dxfId="1139" priority="491" operator="notEqual">
      <formula>O$56</formula>
    </cfRule>
  </conditionalFormatting>
  <conditionalFormatting sqref="Q33">
    <cfRule type="cellIs" dxfId="1138" priority="490" operator="notEqual">
      <formula>O$56</formula>
    </cfRule>
  </conditionalFormatting>
  <conditionalFormatting sqref="Q33">
    <cfRule type="cellIs" dxfId="1137" priority="489" operator="notEqual">
      <formula>O$56</formula>
    </cfRule>
  </conditionalFormatting>
  <conditionalFormatting sqref="Q34">
    <cfRule type="cellIs" dxfId="1136" priority="488" operator="notEqual">
      <formula>O$56</formula>
    </cfRule>
  </conditionalFormatting>
  <conditionalFormatting sqref="Q34">
    <cfRule type="cellIs" dxfId="1135" priority="487" operator="notEqual">
      <formula>O$56</formula>
    </cfRule>
  </conditionalFormatting>
  <conditionalFormatting sqref="Q35">
    <cfRule type="cellIs" dxfId="1134" priority="486" operator="notEqual">
      <formula>O$56</formula>
    </cfRule>
  </conditionalFormatting>
  <conditionalFormatting sqref="Q35">
    <cfRule type="cellIs" dxfId="1133" priority="485" operator="notEqual">
      <formula>O$56</formula>
    </cfRule>
  </conditionalFormatting>
  <conditionalFormatting sqref="X28:X29">
    <cfRule type="cellIs" dxfId="1132" priority="482" operator="notEqual">
      <formula>U$56</formula>
    </cfRule>
  </conditionalFormatting>
  <conditionalFormatting sqref="X38:X41">
    <cfRule type="cellIs" dxfId="1131" priority="483" operator="notEqual">
      <formula>U$56</formula>
    </cfRule>
  </conditionalFormatting>
  <conditionalFormatting sqref="X27:X33">
    <cfRule type="cellIs" dxfId="1130" priority="484" operator="notEqual">
      <formula>U$126</formula>
    </cfRule>
  </conditionalFormatting>
  <conditionalFormatting sqref="AE41">
    <cfRule type="cellIs" dxfId="1129" priority="480" operator="notEqual">
      <formula>AA$56</formula>
    </cfRule>
  </conditionalFormatting>
  <conditionalFormatting sqref="AE41">
    <cfRule type="cellIs" dxfId="1128" priority="478" operator="notEqual">
      <formula>AA$56</formula>
    </cfRule>
  </conditionalFormatting>
  <conditionalFormatting sqref="AE28">
    <cfRule type="cellIs" dxfId="1127" priority="477" operator="notEqual">
      <formula>AA$56</formula>
    </cfRule>
  </conditionalFormatting>
  <conditionalFormatting sqref="AE34">
    <cfRule type="cellIs" dxfId="1126" priority="474" operator="notEqual">
      <formula>AA$56</formula>
    </cfRule>
  </conditionalFormatting>
  <conditionalFormatting sqref="AE30">
    <cfRule type="cellIs" dxfId="1125" priority="465" operator="notEqual">
      <formula>AA$56</formula>
    </cfRule>
  </conditionalFormatting>
  <conditionalFormatting sqref="AE37">
    <cfRule type="cellIs" dxfId="1124" priority="468" operator="notEqual">
      <formula>AA$56</formula>
    </cfRule>
  </conditionalFormatting>
  <conditionalFormatting sqref="AE36">
    <cfRule type="cellIs" dxfId="1123" priority="469" operator="notEqual">
      <formula>AA$56</formula>
    </cfRule>
  </conditionalFormatting>
  <conditionalFormatting sqref="AE39">
    <cfRule type="cellIs" dxfId="1122" priority="458" operator="notEqual">
      <formula>AA$56</formula>
    </cfRule>
  </conditionalFormatting>
  <conditionalFormatting sqref="AE39">
    <cfRule type="cellIs" dxfId="1121" priority="457" operator="notEqual">
      <formula>AA$56</formula>
    </cfRule>
  </conditionalFormatting>
  <conditionalFormatting sqref="AE31">
    <cfRule type="cellIs" dxfId="1120" priority="463" operator="notEqual">
      <formula>AA$56</formula>
    </cfRule>
  </conditionalFormatting>
  <conditionalFormatting sqref="AE29">
    <cfRule type="cellIs" dxfId="1119" priority="461" operator="notEqual">
      <formula>AA$56</formula>
    </cfRule>
  </conditionalFormatting>
  <conditionalFormatting sqref="AE38">
    <cfRule type="cellIs" dxfId="1118" priority="460" operator="notEqual">
      <formula>AA$56</formula>
    </cfRule>
  </conditionalFormatting>
  <conditionalFormatting sqref="AE38">
    <cfRule type="cellIs" dxfId="1117" priority="459" operator="notEqual">
      <formula>AA$56</formula>
    </cfRule>
  </conditionalFormatting>
  <conditionalFormatting sqref="AE40">
    <cfRule type="cellIs" dxfId="1116" priority="456" operator="notEqual">
      <formula>AA$56</formula>
    </cfRule>
  </conditionalFormatting>
  <conditionalFormatting sqref="AE40">
    <cfRule type="cellIs" dxfId="1115" priority="455" operator="notEqual">
      <formula>AA$56</formula>
    </cfRule>
  </conditionalFormatting>
  <conditionalFormatting sqref="AE35">
    <cfRule type="cellIs" dxfId="1114" priority="472" operator="notEqual">
      <formula>AA$56</formula>
    </cfRule>
  </conditionalFormatting>
  <conditionalFormatting sqref="AE34">
    <cfRule type="cellIs" dxfId="1113" priority="473" operator="notEqual">
      <formula>AA$56</formula>
    </cfRule>
  </conditionalFormatting>
  <conditionalFormatting sqref="AE35">
    <cfRule type="cellIs" dxfId="1112" priority="471" operator="notEqual">
      <formula>AA$56</formula>
    </cfRule>
  </conditionalFormatting>
  <conditionalFormatting sqref="AE36">
    <cfRule type="cellIs" dxfId="1111" priority="470" operator="notEqual">
      <formula>AA$56</formula>
    </cfRule>
  </conditionalFormatting>
  <conditionalFormatting sqref="AE37">
    <cfRule type="cellIs" dxfId="1110" priority="467" operator="notEqual">
      <formula>AA$56</formula>
    </cfRule>
  </conditionalFormatting>
  <conditionalFormatting sqref="AE28">
    <cfRule type="cellIs" dxfId="1109" priority="481" operator="notEqual">
      <formula>AA$126</formula>
    </cfRule>
  </conditionalFormatting>
  <conditionalFormatting sqref="AE27">
    <cfRule type="cellIs" dxfId="1108" priority="479" operator="notEqual">
      <formula>AA$126</formula>
    </cfRule>
  </conditionalFormatting>
  <conditionalFormatting sqref="AE32">
    <cfRule type="cellIs" dxfId="1107" priority="476" operator="notEqual">
      <formula>AA$126</formula>
    </cfRule>
  </conditionalFormatting>
  <conditionalFormatting sqref="AE33">
    <cfRule type="cellIs" dxfId="1106" priority="475" operator="notEqual">
      <formula>AA$126</formula>
    </cfRule>
  </conditionalFormatting>
  <conditionalFormatting sqref="AE30">
    <cfRule type="cellIs" dxfId="1105" priority="466" operator="notEqual">
      <formula>AA$126</formula>
    </cfRule>
  </conditionalFormatting>
  <conditionalFormatting sqref="AE31">
    <cfRule type="cellIs" dxfId="1104" priority="464" operator="notEqual">
      <formula>AA$126</formula>
    </cfRule>
  </conditionalFormatting>
  <conditionalFormatting sqref="AE29">
    <cfRule type="cellIs" dxfId="1103" priority="462" operator="notEqual">
      <formula>AA$126</formula>
    </cfRule>
  </conditionalFormatting>
  <conditionalFormatting sqref="AL41">
    <cfRule type="cellIs" dxfId="1102" priority="453" operator="notEqual">
      <formula>AG$56</formula>
    </cfRule>
  </conditionalFormatting>
  <conditionalFormatting sqref="AL41">
    <cfRule type="cellIs" dxfId="1101" priority="451" operator="notEqual">
      <formula>AG$56</formula>
    </cfRule>
  </conditionalFormatting>
  <conditionalFormatting sqref="AL28">
    <cfRule type="cellIs" dxfId="1100" priority="450" operator="notEqual">
      <formula>AG$56</formula>
    </cfRule>
  </conditionalFormatting>
  <conditionalFormatting sqref="AL28">
    <cfRule type="cellIs" dxfId="1099" priority="454" operator="notEqual">
      <formula>AG$126</formula>
    </cfRule>
  </conditionalFormatting>
  <conditionalFormatting sqref="AL27">
    <cfRule type="cellIs" dxfId="1098" priority="452" operator="notEqual">
      <formula>AG$126</formula>
    </cfRule>
  </conditionalFormatting>
  <conditionalFormatting sqref="AL33">
    <cfRule type="cellIs" dxfId="1097" priority="449" operator="notEqual">
      <formula>AG$126</formula>
    </cfRule>
  </conditionalFormatting>
  <conditionalFormatting sqref="AL36">
    <cfRule type="cellIs" dxfId="1096" priority="448" operator="notEqual">
      <formula>AG$56</formula>
    </cfRule>
  </conditionalFormatting>
  <conditionalFormatting sqref="AL36">
    <cfRule type="cellIs" dxfId="1095" priority="447" operator="notEqual">
      <formula>AG$56</formula>
    </cfRule>
  </conditionalFormatting>
  <conditionalFormatting sqref="AL37">
    <cfRule type="cellIs" dxfId="1094" priority="446" operator="notEqual">
      <formula>AG$56</formula>
    </cfRule>
  </conditionalFormatting>
  <conditionalFormatting sqref="AL37">
    <cfRule type="cellIs" dxfId="1093" priority="445" operator="notEqual">
      <formula>AG$56</formula>
    </cfRule>
  </conditionalFormatting>
  <conditionalFormatting sqref="AL31">
    <cfRule type="cellIs" dxfId="1092" priority="444" operator="notEqual">
      <formula>AG$126</formula>
    </cfRule>
  </conditionalFormatting>
  <conditionalFormatting sqref="AL31">
    <cfRule type="cellIs" dxfId="1091" priority="443" operator="notEqual">
      <formula>AG$56</formula>
    </cfRule>
  </conditionalFormatting>
  <conditionalFormatting sqref="AL29">
    <cfRule type="cellIs" dxfId="1090" priority="442" operator="notEqual">
      <formula>AG$126</formula>
    </cfRule>
  </conditionalFormatting>
  <conditionalFormatting sqref="AL29">
    <cfRule type="cellIs" dxfId="1089" priority="441" operator="notEqual">
      <formula>AG$56</formula>
    </cfRule>
  </conditionalFormatting>
  <conditionalFormatting sqref="AL38">
    <cfRule type="cellIs" dxfId="1088" priority="440" operator="notEqual">
      <formula>AG$56</formula>
    </cfRule>
  </conditionalFormatting>
  <conditionalFormatting sqref="AL38">
    <cfRule type="cellIs" dxfId="1087" priority="439" operator="notEqual">
      <formula>AG$56</formula>
    </cfRule>
  </conditionalFormatting>
  <conditionalFormatting sqref="AL39">
    <cfRule type="cellIs" dxfId="1086" priority="438" operator="notEqual">
      <formula>AG$56</formula>
    </cfRule>
  </conditionalFormatting>
  <conditionalFormatting sqref="AL39">
    <cfRule type="cellIs" dxfId="1085" priority="437" operator="notEqual">
      <formula>AG$56</formula>
    </cfRule>
  </conditionalFormatting>
  <conditionalFormatting sqref="AL40">
    <cfRule type="cellIs" dxfId="1084" priority="436" operator="notEqual">
      <formula>AG$56</formula>
    </cfRule>
  </conditionalFormatting>
  <conditionalFormatting sqref="AL40">
    <cfRule type="cellIs" dxfId="1083" priority="435" operator="notEqual">
      <formula>AG$56</formula>
    </cfRule>
  </conditionalFormatting>
  <conditionalFormatting sqref="AL30">
    <cfRule type="cellIs" dxfId="1082" priority="434" operator="notEqual">
      <formula>AG$126</formula>
    </cfRule>
  </conditionalFormatting>
  <conditionalFormatting sqref="AL30">
    <cfRule type="cellIs" dxfId="1081" priority="433" operator="notEqual">
      <formula>AG$56</formula>
    </cfRule>
  </conditionalFormatting>
  <conditionalFormatting sqref="AL32">
    <cfRule type="cellIs" dxfId="1080" priority="432" operator="notEqual">
      <formula>AG$126</formula>
    </cfRule>
  </conditionalFormatting>
  <conditionalFormatting sqref="AL32">
    <cfRule type="cellIs" dxfId="1079" priority="431" operator="notEqual">
      <formula>AG$56</formula>
    </cfRule>
  </conditionalFormatting>
  <conditionalFormatting sqref="AL34">
    <cfRule type="cellIs" dxfId="1078" priority="430" operator="notEqual">
      <formula>AG$126</formula>
    </cfRule>
  </conditionalFormatting>
  <conditionalFormatting sqref="AL35">
    <cfRule type="cellIs" dxfId="1077" priority="429" operator="notEqual">
      <formula>AG$126</formula>
    </cfRule>
  </conditionalFormatting>
  <conditionalFormatting sqref="AS39">
    <cfRule type="cellIs" dxfId="1076" priority="417" operator="notEqual">
      <formula>AM$56</formula>
    </cfRule>
  </conditionalFormatting>
  <conditionalFormatting sqref="AS30">
    <cfRule type="cellIs" dxfId="1075" priority="413" operator="notEqual">
      <formula>AM$126</formula>
    </cfRule>
  </conditionalFormatting>
  <conditionalFormatting sqref="AS37">
    <cfRule type="cellIs" dxfId="1074" priority="422" operator="notEqual">
      <formula>AM$56</formula>
    </cfRule>
  </conditionalFormatting>
  <conditionalFormatting sqref="AS28">
    <cfRule type="cellIs" dxfId="1073" priority="428" operator="notEqual">
      <formula>AM$126</formula>
    </cfRule>
  </conditionalFormatting>
  <conditionalFormatting sqref="AS41">
    <cfRule type="cellIs" dxfId="1072" priority="427" operator="notEqual">
      <formula>AM$56</formula>
    </cfRule>
  </conditionalFormatting>
  <conditionalFormatting sqref="AS27">
    <cfRule type="cellIs" dxfId="1071" priority="426" operator="notEqual">
      <formula>AM$126</formula>
    </cfRule>
  </conditionalFormatting>
  <conditionalFormatting sqref="AS41">
    <cfRule type="cellIs" dxfId="1070" priority="425" operator="notEqual">
      <formula>AM$56</formula>
    </cfRule>
  </conditionalFormatting>
  <conditionalFormatting sqref="AS28">
    <cfRule type="cellIs" dxfId="1069" priority="424" operator="notEqual">
      <formula>AM$56</formula>
    </cfRule>
  </conditionalFormatting>
  <conditionalFormatting sqref="AS37">
    <cfRule type="cellIs" dxfId="1068" priority="423" operator="notEqual">
      <formula>AM$56</formula>
    </cfRule>
  </conditionalFormatting>
  <conditionalFormatting sqref="AS40">
    <cfRule type="cellIs" dxfId="1067" priority="415" operator="notEqual">
      <formula>AM$56</formula>
    </cfRule>
  </conditionalFormatting>
  <conditionalFormatting sqref="AS29">
    <cfRule type="cellIs" dxfId="1066" priority="421" operator="notEqual">
      <formula>AM$126</formula>
    </cfRule>
  </conditionalFormatting>
  <conditionalFormatting sqref="AS29">
    <cfRule type="cellIs" dxfId="1065" priority="420" operator="notEqual">
      <formula>AM$56</formula>
    </cfRule>
  </conditionalFormatting>
  <conditionalFormatting sqref="AS38">
    <cfRule type="cellIs" dxfId="1064" priority="419" operator="notEqual">
      <formula>AM$56</formula>
    </cfRule>
  </conditionalFormatting>
  <conditionalFormatting sqref="AS38">
    <cfRule type="cellIs" dxfId="1063" priority="418" operator="notEqual">
      <formula>AM$56</formula>
    </cfRule>
  </conditionalFormatting>
  <conditionalFormatting sqref="AS39">
    <cfRule type="cellIs" dxfId="1062" priority="416" operator="notEqual">
      <formula>AM$56</formula>
    </cfRule>
  </conditionalFormatting>
  <conditionalFormatting sqref="AS40">
    <cfRule type="cellIs" dxfId="1061" priority="414" operator="notEqual">
      <formula>AM$56</formula>
    </cfRule>
  </conditionalFormatting>
  <conditionalFormatting sqref="AS30">
    <cfRule type="cellIs" dxfId="1060" priority="412" operator="notEqual">
      <formula>AM$56</formula>
    </cfRule>
  </conditionalFormatting>
  <conditionalFormatting sqref="AS34">
    <cfRule type="cellIs" dxfId="1059" priority="411" operator="notEqual">
      <formula>AM$126</formula>
    </cfRule>
  </conditionalFormatting>
  <conditionalFormatting sqref="AS35">
    <cfRule type="cellIs" dxfId="1058" priority="410" operator="notEqual">
      <formula>AM$126</formula>
    </cfRule>
  </conditionalFormatting>
  <conditionalFormatting sqref="AS31">
    <cfRule type="cellIs" dxfId="1057" priority="409" operator="notEqual">
      <formula>AM$126</formula>
    </cfRule>
  </conditionalFormatting>
  <conditionalFormatting sqref="AS31">
    <cfRule type="cellIs" dxfId="1056" priority="408" operator="notEqual">
      <formula>AM$56</formula>
    </cfRule>
  </conditionalFormatting>
  <conditionalFormatting sqref="AS32">
    <cfRule type="cellIs" dxfId="1055" priority="407" operator="notEqual">
      <formula>AM$126</formula>
    </cfRule>
  </conditionalFormatting>
  <conditionalFormatting sqref="AS32">
    <cfRule type="cellIs" dxfId="1054" priority="406" operator="notEqual">
      <formula>AM$56</formula>
    </cfRule>
  </conditionalFormatting>
  <conditionalFormatting sqref="AS33">
    <cfRule type="cellIs" dxfId="1053" priority="405" operator="notEqual">
      <formula>AM$126</formula>
    </cfRule>
  </conditionalFormatting>
  <conditionalFormatting sqref="AS33">
    <cfRule type="cellIs" dxfId="1052" priority="404" operator="notEqual">
      <formula>AM$56</formula>
    </cfRule>
  </conditionalFormatting>
  <conditionalFormatting sqref="AS36">
    <cfRule type="cellIs" dxfId="1051" priority="403" operator="notEqual">
      <formula>AM$126</formula>
    </cfRule>
  </conditionalFormatting>
  <conditionalFormatting sqref="AX25">
    <cfRule type="cellIs" dxfId="1050" priority="402" operator="notEqual">
      <formula>AX$56</formula>
    </cfRule>
  </conditionalFormatting>
  <conditionalFormatting sqref="AX25">
    <cfRule type="cellIs" dxfId="1049" priority="401" operator="notEqual">
      <formula>AX$56</formula>
    </cfRule>
  </conditionalFormatting>
  <conditionalFormatting sqref="AQ25">
    <cfRule type="cellIs" dxfId="1048" priority="400" operator="notEqual">
      <formula>AQ$56</formula>
    </cfRule>
  </conditionalFormatting>
  <conditionalFormatting sqref="AQ25">
    <cfRule type="cellIs" dxfId="1047" priority="399" operator="notEqual">
      <formula>AQ$56</formula>
    </cfRule>
  </conditionalFormatting>
  <conditionalFormatting sqref="AJ25">
    <cfRule type="cellIs" dxfId="1046" priority="398" operator="notEqual">
      <formula>AJ$56</formula>
    </cfRule>
  </conditionalFormatting>
  <conditionalFormatting sqref="AJ25">
    <cfRule type="cellIs" dxfId="1045" priority="397" operator="notEqual">
      <formula>AJ$56</formula>
    </cfRule>
  </conditionalFormatting>
  <conditionalFormatting sqref="AC25">
    <cfRule type="cellIs" dxfId="1044" priority="396" operator="notEqual">
      <formula>AC$56</formula>
    </cfRule>
  </conditionalFormatting>
  <conditionalFormatting sqref="AC25">
    <cfRule type="cellIs" dxfId="1043" priority="395" operator="notEqual">
      <formula>AC$56</formula>
    </cfRule>
  </conditionalFormatting>
  <conditionalFormatting sqref="V25">
    <cfRule type="cellIs" dxfId="1042" priority="394" operator="notEqual">
      <formula>V$56</formula>
    </cfRule>
  </conditionalFormatting>
  <conditionalFormatting sqref="V25">
    <cfRule type="cellIs" dxfId="1041" priority="393" operator="notEqual">
      <formula>V$56</formula>
    </cfRule>
  </conditionalFormatting>
  <conditionalFormatting sqref="O25">
    <cfRule type="cellIs" dxfId="1040" priority="392" operator="notEqual">
      <formula>O$56</formula>
    </cfRule>
  </conditionalFormatting>
  <conditionalFormatting sqref="O25">
    <cfRule type="cellIs" dxfId="1039" priority="391" operator="notEqual">
      <formula>O$56</formula>
    </cfRule>
  </conditionalFormatting>
  <conditionalFormatting sqref="H25">
    <cfRule type="cellIs" dxfId="1038" priority="390" operator="notEqual">
      <formula>H$56</formula>
    </cfRule>
  </conditionalFormatting>
  <conditionalFormatting sqref="H25">
    <cfRule type="cellIs" dxfId="1037" priority="389" operator="notEqual">
      <formula>H$56</formula>
    </cfRule>
  </conditionalFormatting>
  <conditionalFormatting sqref="Q25">
    <cfRule type="cellIs" dxfId="1036" priority="386" operator="notEqual">
      <formula>O$126</formula>
    </cfRule>
  </conditionalFormatting>
  <conditionalFormatting sqref="X25">
    <cfRule type="cellIs" dxfId="1035" priority="385" operator="notEqual">
      <formula>U$56</formula>
    </cfRule>
  </conditionalFormatting>
  <conditionalFormatting sqref="X25">
    <cfRule type="cellIs" dxfId="1034" priority="384" operator="notEqual">
      <formula>U$56</formula>
    </cfRule>
  </conditionalFormatting>
  <conditionalFormatting sqref="AE25">
    <cfRule type="cellIs" dxfId="1033" priority="383" operator="notEqual">
      <formula>AA$56</formula>
    </cfRule>
  </conditionalFormatting>
  <conditionalFormatting sqref="AE25">
    <cfRule type="cellIs" dxfId="1032" priority="382" operator="notEqual">
      <formula>AA$56</formula>
    </cfRule>
  </conditionalFormatting>
  <conditionalFormatting sqref="AL25">
    <cfRule type="cellIs" dxfId="1031" priority="380" operator="notEqual">
      <formula>AG$56</formula>
    </cfRule>
  </conditionalFormatting>
  <conditionalFormatting sqref="AL25">
    <cfRule type="cellIs" dxfId="1030" priority="381" operator="notEqual">
      <formula>AG$126</formula>
    </cfRule>
  </conditionalFormatting>
  <conditionalFormatting sqref="AS25">
    <cfRule type="cellIs" dxfId="1029" priority="379" operator="notEqual">
      <formula>AM$126</formula>
    </cfRule>
  </conditionalFormatting>
  <conditionalFormatting sqref="AS25">
    <cfRule type="cellIs" dxfId="1028" priority="378" operator="notEqual">
      <formula>AM$56</formula>
    </cfRule>
  </conditionalFormatting>
  <conditionalFormatting sqref="AS25">
    <cfRule type="cellIs" dxfId="1027" priority="377" operator="notEqual">
      <formula>AM$56</formula>
    </cfRule>
  </conditionalFormatting>
  <conditionalFormatting sqref="AS25">
    <cfRule type="cellIs" dxfId="1026" priority="376" operator="notEqual">
      <formula>AM$56</formula>
    </cfRule>
  </conditionalFormatting>
  <conditionalFormatting sqref="C25">
    <cfRule type="cellIs" dxfId="1025" priority="375" operator="notEqual">
      <formula>B$126</formula>
    </cfRule>
  </conditionalFormatting>
  <conditionalFormatting sqref="J25">
    <cfRule type="cellIs" dxfId="1024" priority="374" operator="notEqual">
      <formula>I$126</formula>
    </cfRule>
  </conditionalFormatting>
  <conditionalFormatting sqref="C8:C21">
    <cfRule type="cellIs" dxfId="1023" priority="363" operator="notEqual">
      <formula>C$54</formula>
    </cfRule>
  </conditionalFormatting>
  <conditionalFormatting sqref="C9">
    <cfRule type="cellIs" dxfId="1022" priority="362" operator="notEqual">
      <formula>C$54</formula>
    </cfRule>
  </conditionalFormatting>
  <conditionalFormatting sqref="C10">
    <cfRule type="cellIs" dxfId="1021" priority="361" operator="notEqual">
      <formula>C$54</formula>
    </cfRule>
  </conditionalFormatting>
  <conditionalFormatting sqref="C11">
    <cfRule type="cellIs" dxfId="1020" priority="360" operator="notEqual">
      <formula>C$54</formula>
    </cfRule>
  </conditionalFormatting>
  <conditionalFormatting sqref="C12">
    <cfRule type="cellIs" dxfId="1019" priority="359" operator="notEqual">
      <formula>C$54</formula>
    </cfRule>
  </conditionalFormatting>
  <conditionalFormatting sqref="C13">
    <cfRule type="cellIs" dxfId="1018" priority="358" operator="notEqual">
      <formula>C$54</formula>
    </cfRule>
  </conditionalFormatting>
  <conditionalFormatting sqref="C14">
    <cfRule type="cellIs" dxfId="1017" priority="357" operator="notEqual">
      <formula>C$54</formula>
    </cfRule>
  </conditionalFormatting>
  <conditionalFormatting sqref="C8:C21">
    <cfRule type="cellIs" dxfId="1016" priority="373" operator="notEqual">
      <formula>C$124</formula>
    </cfRule>
  </conditionalFormatting>
  <conditionalFormatting sqref="C9">
    <cfRule type="cellIs" dxfId="1015" priority="372" operator="notEqual">
      <formula>C$54</formula>
    </cfRule>
  </conditionalFormatting>
  <conditionalFormatting sqref="C10">
    <cfRule type="cellIs" dxfId="1014" priority="371" operator="notEqual">
      <formula>C$54</formula>
    </cfRule>
  </conditionalFormatting>
  <conditionalFormatting sqref="C11">
    <cfRule type="cellIs" dxfId="1013" priority="370" operator="notEqual">
      <formula>C$54</formula>
    </cfRule>
  </conditionalFormatting>
  <conditionalFormatting sqref="C12">
    <cfRule type="cellIs" dxfId="1012" priority="369" operator="notEqual">
      <formula>C$54</formula>
    </cfRule>
  </conditionalFormatting>
  <conditionalFormatting sqref="C13">
    <cfRule type="cellIs" dxfId="1011" priority="368" operator="notEqual">
      <formula>C$54</formula>
    </cfRule>
  </conditionalFormatting>
  <conditionalFormatting sqref="C14">
    <cfRule type="cellIs" dxfId="1010" priority="367" operator="notEqual">
      <formula>C$54</formula>
    </cfRule>
  </conditionalFormatting>
  <conditionalFormatting sqref="C15:C21">
    <cfRule type="cellIs" dxfId="1009" priority="366" operator="notEqual">
      <formula>C$54</formula>
    </cfRule>
  </conditionalFormatting>
  <conditionalFormatting sqref="C15:C21">
    <cfRule type="cellIs" dxfId="1008" priority="364" operator="notEqual">
      <formula>C$54</formula>
    </cfRule>
  </conditionalFormatting>
  <conditionalFormatting sqref="C28">
    <cfRule type="cellIs" dxfId="1007" priority="346" operator="notEqual">
      <formula>C$54</formula>
    </cfRule>
  </conditionalFormatting>
  <conditionalFormatting sqref="C29">
    <cfRule type="cellIs" dxfId="1006" priority="345" operator="notEqual">
      <formula>C$54</formula>
    </cfRule>
  </conditionalFormatting>
  <conditionalFormatting sqref="C30">
    <cfRule type="cellIs" dxfId="1005" priority="344" operator="notEqual">
      <formula>C$54</formula>
    </cfRule>
  </conditionalFormatting>
  <conditionalFormatting sqref="C31">
    <cfRule type="cellIs" dxfId="1004" priority="343" operator="notEqual">
      <formula>C$54</formula>
    </cfRule>
  </conditionalFormatting>
  <conditionalFormatting sqref="C32">
    <cfRule type="cellIs" dxfId="1003" priority="342" operator="notEqual">
      <formula>C$54</formula>
    </cfRule>
  </conditionalFormatting>
  <conditionalFormatting sqref="C33">
    <cfRule type="cellIs" dxfId="1002" priority="341" operator="notEqual">
      <formula>C$54</formula>
    </cfRule>
  </conditionalFormatting>
  <conditionalFormatting sqref="C34">
    <cfRule type="cellIs" dxfId="1001" priority="340" operator="notEqual">
      <formula>C$54</formula>
    </cfRule>
  </conditionalFormatting>
  <conditionalFormatting sqref="C28">
    <cfRule type="cellIs" dxfId="1000" priority="356" operator="notEqual">
      <formula>C$124</formula>
    </cfRule>
  </conditionalFormatting>
  <conditionalFormatting sqref="C29">
    <cfRule type="cellIs" dxfId="999" priority="355" operator="notEqual">
      <formula>C$54</formula>
    </cfRule>
  </conditionalFormatting>
  <conditionalFormatting sqref="C30">
    <cfRule type="cellIs" dxfId="998" priority="354" operator="notEqual">
      <formula>C$54</formula>
    </cfRule>
  </conditionalFormatting>
  <conditionalFormatting sqref="C31">
    <cfRule type="cellIs" dxfId="997" priority="353" operator="notEqual">
      <formula>C$54</formula>
    </cfRule>
  </conditionalFormatting>
  <conditionalFormatting sqref="C32">
    <cfRule type="cellIs" dxfId="996" priority="352" operator="notEqual">
      <formula>C$54</formula>
    </cfRule>
  </conditionalFormatting>
  <conditionalFormatting sqref="C33">
    <cfRule type="cellIs" dxfId="995" priority="351" operator="notEqual">
      <formula>C$54</formula>
    </cfRule>
  </conditionalFormatting>
  <conditionalFormatting sqref="C34">
    <cfRule type="cellIs" dxfId="994" priority="350" operator="notEqual">
      <formula>C$54</formula>
    </cfRule>
  </conditionalFormatting>
  <conditionalFormatting sqref="C35:C41">
    <cfRule type="cellIs" dxfId="993" priority="349" operator="notEqual">
      <formula>C$54</formula>
    </cfRule>
  </conditionalFormatting>
  <conditionalFormatting sqref="C27">
    <cfRule type="cellIs" dxfId="992" priority="348" operator="notEqual">
      <formula>C$124</formula>
    </cfRule>
  </conditionalFormatting>
  <conditionalFormatting sqref="C35:C41">
    <cfRule type="cellIs" dxfId="991" priority="347" operator="notEqual">
      <formula>C$54</formula>
    </cfRule>
  </conditionalFormatting>
  <conditionalFormatting sqref="C7">
    <cfRule type="cellIs" dxfId="990" priority="339" operator="notEqual">
      <formula>B$126</formula>
    </cfRule>
  </conditionalFormatting>
  <conditionalFormatting sqref="J8:J21">
    <cfRule type="cellIs" dxfId="989" priority="329" operator="notEqual">
      <formula>J$54</formula>
    </cfRule>
  </conditionalFormatting>
  <conditionalFormatting sqref="J9">
    <cfRule type="cellIs" dxfId="988" priority="328" operator="notEqual">
      <formula>J$54</formula>
    </cfRule>
  </conditionalFormatting>
  <conditionalFormatting sqref="J10">
    <cfRule type="cellIs" dxfId="987" priority="327" operator="notEqual">
      <formula>J$54</formula>
    </cfRule>
  </conditionalFormatting>
  <conditionalFormatting sqref="J11">
    <cfRule type="cellIs" dxfId="986" priority="326" operator="notEqual">
      <formula>J$54</formula>
    </cfRule>
  </conditionalFormatting>
  <conditionalFormatting sqref="J12">
    <cfRule type="cellIs" dxfId="985" priority="325" operator="notEqual">
      <formula>J$54</formula>
    </cfRule>
  </conditionalFormatting>
  <conditionalFormatting sqref="J13">
    <cfRule type="cellIs" dxfId="984" priority="324" operator="notEqual">
      <formula>J$54</formula>
    </cfRule>
  </conditionalFormatting>
  <conditionalFormatting sqref="J14">
    <cfRule type="cellIs" dxfId="983" priority="323" operator="notEqual">
      <formula>J$54</formula>
    </cfRule>
  </conditionalFormatting>
  <conditionalFormatting sqref="J8:J21">
    <cfRule type="cellIs" dxfId="982" priority="338" operator="notEqual">
      <formula>J$124</formula>
    </cfRule>
  </conditionalFormatting>
  <conditionalFormatting sqref="J9">
    <cfRule type="cellIs" dxfId="981" priority="337" operator="notEqual">
      <formula>J$54</formula>
    </cfRule>
  </conditionalFormatting>
  <conditionalFormatting sqref="J10">
    <cfRule type="cellIs" dxfId="980" priority="336" operator="notEqual">
      <formula>J$54</formula>
    </cfRule>
  </conditionalFormatting>
  <conditionalFormatting sqref="J11">
    <cfRule type="cellIs" dxfId="979" priority="335" operator="notEqual">
      <formula>J$54</formula>
    </cfRule>
  </conditionalFormatting>
  <conditionalFormatting sqref="J12">
    <cfRule type="cellIs" dxfId="978" priority="334" operator="notEqual">
      <formula>J$54</formula>
    </cfRule>
  </conditionalFormatting>
  <conditionalFormatting sqref="J13">
    <cfRule type="cellIs" dxfId="977" priority="333" operator="notEqual">
      <formula>J$54</formula>
    </cfRule>
  </conditionalFormatting>
  <conditionalFormatting sqref="J14">
    <cfRule type="cellIs" dxfId="976" priority="332" operator="notEqual">
      <formula>J$54</formula>
    </cfRule>
  </conditionalFormatting>
  <conditionalFormatting sqref="J15:J21">
    <cfRule type="cellIs" dxfId="975" priority="331" operator="notEqual">
      <formula>J$54</formula>
    </cfRule>
  </conditionalFormatting>
  <conditionalFormatting sqref="J15:J21">
    <cfRule type="cellIs" dxfId="974" priority="330" operator="notEqual">
      <formula>J$54</formula>
    </cfRule>
  </conditionalFormatting>
  <conditionalFormatting sqref="J7">
    <cfRule type="cellIs" dxfId="973" priority="322" operator="notEqual">
      <formula>I$126</formula>
    </cfRule>
  </conditionalFormatting>
  <conditionalFormatting sqref="Q8:Q21">
    <cfRule type="cellIs" dxfId="972" priority="312" operator="notEqual">
      <formula>Q$54</formula>
    </cfRule>
  </conditionalFormatting>
  <conditionalFormatting sqref="Q9">
    <cfRule type="cellIs" dxfId="971" priority="311" operator="notEqual">
      <formula>Q$54</formula>
    </cfRule>
  </conditionalFormatting>
  <conditionalFormatting sqref="Q10">
    <cfRule type="cellIs" dxfId="970" priority="310" operator="notEqual">
      <formula>Q$54</formula>
    </cfRule>
  </conditionalFormatting>
  <conditionalFormatting sqref="Q11">
    <cfRule type="cellIs" dxfId="969" priority="309" operator="notEqual">
      <formula>Q$54</formula>
    </cfRule>
  </conditionalFormatting>
  <conditionalFormatting sqref="Q12">
    <cfRule type="cellIs" dxfId="968" priority="308" operator="notEqual">
      <formula>Q$54</formula>
    </cfRule>
  </conditionalFormatting>
  <conditionalFormatting sqref="Q13">
    <cfRule type="cellIs" dxfId="967" priority="307" operator="notEqual">
      <formula>Q$54</formula>
    </cfRule>
  </conditionalFormatting>
  <conditionalFormatting sqref="Q14">
    <cfRule type="cellIs" dxfId="966" priority="306" operator="notEqual">
      <formula>Q$54</formula>
    </cfRule>
  </conditionalFormatting>
  <conditionalFormatting sqref="Q8:Q21">
    <cfRule type="cellIs" dxfId="965" priority="321" operator="notEqual">
      <formula>Q$124</formula>
    </cfRule>
  </conditionalFormatting>
  <conditionalFormatting sqref="Q9">
    <cfRule type="cellIs" dxfId="964" priority="320" operator="notEqual">
      <formula>Q$54</formula>
    </cfRule>
  </conditionalFormatting>
  <conditionalFormatting sqref="Q10">
    <cfRule type="cellIs" dxfId="963" priority="319" operator="notEqual">
      <formula>Q$54</formula>
    </cfRule>
  </conditionalFormatting>
  <conditionalFormatting sqref="Q11">
    <cfRule type="cellIs" dxfId="962" priority="318" operator="notEqual">
      <formula>Q$54</formula>
    </cfRule>
  </conditionalFormatting>
  <conditionalFormatting sqref="Q12">
    <cfRule type="cellIs" dxfId="961" priority="317" operator="notEqual">
      <formula>Q$54</formula>
    </cfRule>
  </conditionalFormatting>
  <conditionalFormatting sqref="Q13">
    <cfRule type="cellIs" dxfId="960" priority="316" operator="notEqual">
      <formula>Q$54</formula>
    </cfRule>
  </conditionalFormatting>
  <conditionalFormatting sqref="Q14">
    <cfRule type="cellIs" dxfId="959" priority="315" operator="notEqual">
      <formula>Q$54</formula>
    </cfRule>
  </conditionalFormatting>
  <conditionalFormatting sqref="Q15:Q21">
    <cfRule type="cellIs" dxfId="958" priority="314" operator="notEqual">
      <formula>Q$54</formula>
    </cfRule>
  </conditionalFormatting>
  <conditionalFormatting sqref="Q15:Q21">
    <cfRule type="cellIs" dxfId="957" priority="313" operator="notEqual">
      <formula>Q$54</formula>
    </cfRule>
  </conditionalFormatting>
  <conditionalFormatting sqref="Q7">
    <cfRule type="cellIs" dxfId="956" priority="305" operator="notEqual">
      <formula>P$126</formula>
    </cfRule>
  </conditionalFormatting>
  <conditionalFormatting sqref="X8:X21">
    <cfRule type="cellIs" dxfId="955" priority="295" operator="notEqual">
      <formula>X$54</formula>
    </cfRule>
  </conditionalFormatting>
  <conditionalFormatting sqref="X9">
    <cfRule type="cellIs" dxfId="954" priority="294" operator="notEqual">
      <formula>X$54</formula>
    </cfRule>
  </conditionalFormatting>
  <conditionalFormatting sqref="X10">
    <cfRule type="cellIs" dxfId="953" priority="293" operator="notEqual">
      <formula>X$54</formula>
    </cfRule>
  </conditionalFormatting>
  <conditionalFormatting sqref="X11">
    <cfRule type="cellIs" dxfId="952" priority="292" operator="notEqual">
      <formula>X$54</formula>
    </cfRule>
  </conditionalFormatting>
  <conditionalFormatting sqref="X12">
    <cfRule type="cellIs" dxfId="951" priority="291" operator="notEqual">
      <formula>X$54</formula>
    </cfRule>
  </conditionalFormatting>
  <conditionalFormatting sqref="X13">
    <cfRule type="cellIs" dxfId="950" priority="290" operator="notEqual">
      <formula>X$54</formula>
    </cfRule>
  </conditionalFormatting>
  <conditionalFormatting sqref="X14">
    <cfRule type="cellIs" dxfId="949" priority="289" operator="notEqual">
      <formula>X$54</formula>
    </cfRule>
  </conditionalFormatting>
  <conditionalFormatting sqref="X8:X21">
    <cfRule type="cellIs" dxfId="948" priority="304" operator="notEqual">
      <formula>X$124</formula>
    </cfRule>
  </conditionalFormatting>
  <conditionalFormatting sqref="X9">
    <cfRule type="cellIs" dxfId="947" priority="303" operator="notEqual">
      <formula>X$54</formula>
    </cfRule>
  </conditionalFormatting>
  <conditionalFormatting sqref="X10">
    <cfRule type="cellIs" dxfId="946" priority="302" operator="notEqual">
      <formula>X$54</formula>
    </cfRule>
  </conditionalFormatting>
  <conditionalFormatting sqref="X11">
    <cfRule type="cellIs" dxfId="945" priority="301" operator="notEqual">
      <formula>X$54</formula>
    </cfRule>
  </conditionalFormatting>
  <conditionalFormatting sqref="X12">
    <cfRule type="cellIs" dxfId="944" priority="300" operator="notEqual">
      <formula>X$54</formula>
    </cfRule>
  </conditionalFormatting>
  <conditionalFormatting sqref="X13">
    <cfRule type="cellIs" dxfId="943" priority="299" operator="notEqual">
      <formula>X$54</formula>
    </cfRule>
  </conditionalFormatting>
  <conditionalFormatting sqref="X14">
    <cfRule type="cellIs" dxfId="942" priority="298" operator="notEqual">
      <formula>X$54</formula>
    </cfRule>
  </conditionalFormatting>
  <conditionalFormatting sqref="X15:X21">
    <cfRule type="cellIs" dxfId="941" priority="297" operator="notEqual">
      <formula>X$54</formula>
    </cfRule>
  </conditionalFormatting>
  <conditionalFormatting sqref="X15:X21">
    <cfRule type="cellIs" dxfId="940" priority="296" operator="notEqual">
      <formula>X$54</formula>
    </cfRule>
  </conditionalFormatting>
  <conditionalFormatting sqref="X7">
    <cfRule type="cellIs" dxfId="939" priority="288" operator="notEqual">
      <formula>W$126</formula>
    </cfRule>
  </conditionalFormatting>
  <conditionalFormatting sqref="AS8:AS21">
    <cfRule type="cellIs" dxfId="938" priority="278" operator="notEqual">
      <formula>AS$54</formula>
    </cfRule>
  </conditionalFormatting>
  <conditionalFormatting sqref="AS9">
    <cfRule type="cellIs" dxfId="937" priority="277" operator="notEqual">
      <formula>AS$54</formula>
    </cfRule>
  </conditionalFormatting>
  <conditionalFormatting sqref="AS10">
    <cfRule type="cellIs" dxfId="936" priority="276" operator="notEqual">
      <formula>AS$54</formula>
    </cfRule>
  </conditionalFormatting>
  <conditionalFormatting sqref="AS11">
    <cfRule type="cellIs" dxfId="935" priority="275" operator="notEqual">
      <formula>AS$54</formula>
    </cfRule>
  </conditionalFormatting>
  <conditionalFormatting sqref="AS12">
    <cfRule type="cellIs" dxfId="934" priority="274" operator="notEqual">
      <formula>AS$54</formula>
    </cfRule>
  </conditionalFormatting>
  <conditionalFormatting sqref="AS13">
    <cfRule type="cellIs" dxfId="933" priority="273" operator="notEqual">
      <formula>AS$54</formula>
    </cfRule>
  </conditionalFormatting>
  <conditionalFormatting sqref="AS14">
    <cfRule type="cellIs" dxfId="932" priority="272" operator="notEqual">
      <formula>AS$54</formula>
    </cfRule>
  </conditionalFormatting>
  <conditionalFormatting sqref="AS8:AS21">
    <cfRule type="cellIs" dxfId="931" priority="287" operator="notEqual">
      <formula>AS$124</formula>
    </cfRule>
  </conditionalFormatting>
  <conditionalFormatting sqref="AS9">
    <cfRule type="cellIs" dxfId="930" priority="286" operator="notEqual">
      <formula>AS$54</formula>
    </cfRule>
  </conditionalFormatting>
  <conditionalFormatting sqref="AS10">
    <cfRule type="cellIs" dxfId="929" priority="285" operator="notEqual">
      <formula>AS$54</formula>
    </cfRule>
  </conditionalFormatting>
  <conditionalFormatting sqref="AS11">
    <cfRule type="cellIs" dxfId="928" priority="284" operator="notEqual">
      <formula>AS$54</formula>
    </cfRule>
  </conditionalFormatting>
  <conditionalFormatting sqref="AS12">
    <cfRule type="cellIs" dxfId="927" priority="283" operator="notEqual">
      <formula>AS$54</formula>
    </cfRule>
  </conditionalFormatting>
  <conditionalFormatting sqref="AS13">
    <cfRule type="cellIs" dxfId="926" priority="282" operator="notEqual">
      <formula>AS$54</formula>
    </cfRule>
  </conditionalFormatting>
  <conditionalFormatting sqref="AS14">
    <cfRule type="cellIs" dxfId="925" priority="281" operator="notEqual">
      <formula>AS$54</formula>
    </cfRule>
  </conditionalFormatting>
  <conditionalFormatting sqref="AS15:AS21">
    <cfRule type="cellIs" dxfId="924" priority="280" operator="notEqual">
      <formula>AS$54</formula>
    </cfRule>
  </conditionalFormatting>
  <conditionalFormatting sqref="AS15:AS21">
    <cfRule type="cellIs" dxfId="923" priority="279" operator="notEqual">
      <formula>AS$54</formula>
    </cfRule>
  </conditionalFormatting>
  <conditionalFormatting sqref="AS7">
    <cfRule type="cellIs" dxfId="922" priority="271" operator="notEqual">
      <formula>AR$126</formula>
    </cfRule>
  </conditionalFormatting>
  <conditionalFormatting sqref="AL8:AL21">
    <cfRule type="cellIs" dxfId="921" priority="261" operator="notEqual">
      <formula>AL$54</formula>
    </cfRule>
  </conditionalFormatting>
  <conditionalFormatting sqref="AL9">
    <cfRule type="cellIs" dxfId="920" priority="260" operator="notEqual">
      <formula>AL$54</formula>
    </cfRule>
  </conditionalFormatting>
  <conditionalFormatting sqref="AL10">
    <cfRule type="cellIs" dxfId="919" priority="259" operator="notEqual">
      <formula>AL$54</formula>
    </cfRule>
  </conditionalFormatting>
  <conditionalFormatting sqref="AL11">
    <cfRule type="cellIs" dxfId="918" priority="258" operator="notEqual">
      <formula>AL$54</formula>
    </cfRule>
  </conditionalFormatting>
  <conditionalFormatting sqref="AL12">
    <cfRule type="cellIs" dxfId="917" priority="257" operator="notEqual">
      <formula>AL$54</formula>
    </cfRule>
  </conditionalFormatting>
  <conditionalFormatting sqref="AL13">
    <cfRule type="cellIs" dxfId="916" priority="256" operator="notEqual">
      <formula>AL$54</formula>
    </cfRule>
  </conditionalFormatting>
  <conditionalFormatting sqref="AL14">
    <cfRule type="cellIs" dxfId="915" priority="255" operator="notEqual">
      <formula>AL$54</formula>
    </cfRule>
  </conditionalFormatting>
  <conditionalFormatting sqref="AL8:AL21">
    <cfRule type="cellIs" dxfId="914" priority="270" operator="notEqual">
      <formula>AL$124</formula>
    </cfRule>
  </conditionalFormatting>
  <conditionalFormatting sqref="AL9">
    <cfRule type="cellIs" dxfId="913" priority="269" operator="notEqual">
      <formula>AL$54</formula>
    </cfRule>
  </conditionalFormatting>
  <conditionalFormatting sqref="AL10">
    <cfRule type="cellIs" dxfId="912" priority="268" operator="notEqual">
      <formula>AL$54</formula>
    </cfRule>
  </conditionalFormatting>
  <conditionalFormatting sqref="AL11">
    <cfRule type="cellIs" dxfId="911" priority="267" operator="notEqual">
      <formula>AL$54</formula>
    </cfRule>
  </conditionalFormatting>
  <conditionalFormatting sqref="AL12">
    <cfRule type="cellIs" dxfId="910" priority="266" operator="notEqual">
      <formula>AL$54</formula>
    </cfRule>
  </conditionalFormatting>
  <conditionalFormatting sqref="AL13">
    <cfRule type="cellIs" dxfId="909" priority="265" operator="notEqual">
      <formula>AL$54</formula>
    </cfRule>
  </conditionalFormatting>
  <conditionalFormatting sqref="AL14">
    <cfRule type="cellIs" dxfId="908" priority="264" operator="notEqual">
      <formula>AL$54</formula>
    </cfRule>
  </conditionalFormatting>
  <conditionalFormatting sqref="AL15:AL21">
    <cfRule type="cellIs" dxfId="907" priority="263" operator="notEqual">
      <formula>AL$54</formula>
    </cfRule>
  </conditionalFormatting>
  <conditionalFormatting sqref="AL15:AL21">
    <cfRule type="cellIs" dxfId="906" priority="262" operator="notEqual">
      <formula>AL$54</formula>
    </cfRule>
  </conditionalFormatting>
  <conditionalFormatting sqref="AL7">
    <cfRule type="cellIs" dxfId="905" priority="254" operator="notEqual">
      <formula>AK$126</formula>
    </cfRule>
  </conditionalFormatting>
  <conditionalFormatting sqref="AE8:AE21">
    <cfRule type="cellIs" dxfId="904" priority="244" operator="notEqual">
      <formula>AE$54</formula>
    </cfRule>
  </conditionalFormatting>
  <conditionalFormatting sqref="AE9">
    <cfRule type="cellIs" dxfId="903" priority="243" operator="notEqual">
      <formula>AE$54</formula>
    </cfRule>
  </conditionalFormatting>
  <conditionalFormatting sqref="AE10">
    <cfRule type="cellIs" dxfId="902" priority="242" operator="notEqual">
      <formula>AE$54</formula>
    </cfRule>
  </conditionalFormatting>
  <conditionalFormatting sqref="AE11">
    <cfRule type="cellIs" dxfId="901" priority="241" operator="notEqual">
      <formula>AE$54</formula>
    </cfRule>
  </conditionalFormatting>
  <conditionalFormatting sqref="AE12">
    <cfRule type="cellIs" dxfId="900" priority="240" operator="notEqual">
      <formula>AE$54</formula>
    </cfRule>
  </conditionalFormatting>
  <conditionalFormatting sqref="AE13">
    <cfRule type="cellIs" dxfId="899" priority="239" operator="notEqual">
      <formula>AE$54</formula>
    </cfRule>
  </conditionalFormatting>
  <conditionalFormatting sqref="AE14">
    <cfRule type="cellIs" dxfId="898" priority="238" operator="notEqual">
      <formula>AE$54</formula>
    </cfRule>
  </conditionalFormatting>
  <conditionalFormatting sqref="AE8:AE21">
    <cfRule type="cellIs" dxfId="897" priority="253" operator="notEqual">
      <formula>AE$124</formula>
    </cfRule>
  </conditionalFormatting>
  <conditionalFormatting sqref="AE9">
    <cfRule type="cellIs" dxfId="896" priority="252" operator="notEqual">
      <formula>AE$54</formula>
    </cfRule>
  </conditionalFormatting>
  <conditionalFormatting sqref="AE10">
    <cfRule type="cellIs" dxfId="895" priority="251" operator="notEqual">
      <formula>AE$54</formula>
    </cfRule>
  </conditionalFormatting>
  <conditionalFormatting sqref="AE11">
    <cfRule type="cellIs" dxfId="894" priority="250" operator="notEqual">
      <formula>AE$54</formula>
    </cfRule>
  </conditionalFormatting>
  <conditionalFormatting sqref="AE12">
    <cfRule type="cellIs" dxfId="893" priority="249" operator="notEqual">
      <formula>AE$54</formula>
    </cfRule>
  </conditionalFormatting>
  <conditionalFormatting sqref="AE13">
    <cfRule type="cellIs" dxfId="892" priority="248" operator="notEqual">
      <formula>AE$54</formula>
    </cfRule>
  </conditionalFormatting>
  <conditionalFormatting sqref="AE14">
    <cfRule type="cellIs" dxfId="891" priority="247" operator="notEqual">
      <formula>AE$54</formula>
    </cfRule>
  </conditionalFormatting>
  <conditionalFormatting sqref="AE15:AE21">
    <cfRule type="cellIs" dxfId="890" priority="246" operator="notEqual">
      <formula>AE$54</formula>
    </cfRule>
  </conditionalFormatting>
  <conditionalFormatting sqref="AE15:AE21">
    <cfRule type="cellIs" dxfId="889" priority="245" operator="notEqual">
      <formula>AE$54</formula>
    </cfRule>
  </conditionalFormatting>
  <conditionalFormatting sqref="AE7">
    <cfRule type="cellIs" dxfId="888" priority="237" operator="notEqual">
      <formula>AD$126</formula>
    </cfRule>
  </conditionalFormatting>
  <conditionalFormatting sqref="AX7:AX21">
    <cfRule type="cellIs" dxfId="887" priority="236" operator="notEqual">
      <formula>AX$56</formula>
    </cfRule>
  </conditionalFormatting>
  <conditionalFormatting sqref="AX7:AX21">
    <cfRule type="cellIs" dxfId="886" priority="235" operator="notEqual">
      <formula>AX$56</formula>
    </cfRule>
  </conditionalFormatting>
  <conditionalFormatting sqref="AQ7:AQ21">
    <cfRule type="cellIs" dxfId="885" priority="234" operator="notEqual">
      <formula>AQ$56</formula>
    </cfRule>
  </conditionalFormatting>
  <conditionalFormatting sqref="AQ7:AQ21">
    <cfRule type="cellIs" dxfId="884" priority="233" operator="notEqual">
      <formula>AQ$56</formula>
    </cfRule>
  </conditionalFormatting>
  <conditionalFormatting sqref="AJ7:AJ21">
    <cfRule type="cellIs" dxfId="883" priority="232" operator="notEqual">
      <formula>AJ$56</formula>
    </cfRule>
  </conditionalFormatting>
  <conditionalFormatting sqref="AJ7:AJ21">
    <cfRule type="cellIs" dxfId="882" priority="231" operator="notEqual">
      <formula>AJ$56</formula>
    </cfRule>
  </conditionalFormatting>
  <conditionalFormatting sqref="AC7:AC21">
    <cfRule type="cellIs" dxfId="881" priority="230" operator="notEqual">
      <formula>AC$56</formula>
    </cfRule>
  </conditionalFormatting>
  <conditionalFormatting sqref="AC7:AC21">
    <cfRule type="cellIs" dxfId="880" priority="229" operator="notEqual">
      <formula>AC$56</formula>
    </cfRule>
  </conditionalFormatting>
  <conditionalFormatting sqref="V7:V21">
    <cfRule type="cellIs" dxfId="879" priority="228" operator="notEqual">
      <formula>V$56</formula>
    </cfRule>
  </conditionalFormatting>
  <conditionalFormatting sqref="V7:V21">
    <cfRule type="cellIs" dxfId="878" priority="227" operator="notEqual">
      <formula>V$56</formula>
    </cfRule>
  </conditionalFormatting>
  <conditionalFormatting sqref="O7:O21">
    <cfRule type="cellIs" dxfId="877" priority="226" operator="notEqual">
      <formula>O$56</formula>
    </cfRule>
  </conditionalFormatting>
  <conditionalFormatting sqref="O7:O21">
    <cfRule type="cellIs" dxfId="876" priority="225" operator="notEqual">
      <formula>O$56</formula>
    </cfRule>
  </conditionalFormatting>
  <conditionalFormatting sqref="H7:H21">
    <cfRule type="cellIs" dxfId="875" priority="224" operator="notEqual">
      <formula>H$56</formula>
    </cfRule>
  </conditionalFormatting>
  <conditionalFormatting sqref="H7:H21">
    <cfRule type="cellIs" dxfId="874" priority="223" operator="notEqual">
      <formula>H$56</formula>
    </cfRule>
  </conditionalFormatting>
  <conditionalFormatting sqref="L7:M7">
    <cfRule type="cellIs" dxfId="873" priority="204" operator="notEqual">
      <formula>L$56</formula>
    </cfRule>
  </conditionalFormatting>
  <conditionalFormatting sqref="L15:N21">
    <cfRule type="cellIs" dxfId="872" priority="203" operator="notEqual">
      <formula>L$56</formula>
    </cfRule>
  </conditionalFormatting>
  <conditionalFormatting sqref="K8">
    <cfRule type="cellIs" dxfId="871" priority="202" operator="notEqual">
      <formula>K$56</formula>
    </cfRule>
  </conditionalFormatting>
  <conditionalFormatting sqref="L8:M8">
    <cfRule type="cellIs" dxfId="870" priority="201" operator="notEqual">
      <formula>L$56</formula>
    </cfRule>
  </conditionalFormatting>
  <conditionalFormatting sqref="K9">
    <cfRule type="cellIs" dxfId="869" priority="200" operator="notEqual">
      <formula>K$56</formula>
    </cfRule>
  </conditionalFormatting>
  <conditionalFormatting sqref="L9:M9">
    <cfRule type="cellIs" dxfId="868" priority="199" operator="notEqual">
      <formula>L$56</formula>
    </cfRule>
  </conditionalFormatting>
  <conditionalFormatting sqref="K10">
    <cfRule type="cellIs" dxfId="867" priority="198" operator="notEqual">
      <formula>K$56</formula>
    </cfRule>
  </conditionalFormatting>
  <conditionalFormatting sqref="K11">
    <cfRule type="cellIs" dxfId="866" priority="196" operator="notEqual">
      <formula>K$56</formula>
    </cfRule>
  </conditionalFormatting>
  <conditionalFormatting sqref="L11:N11">
    <cfRule type="cellIs" dxfId="865" priority="195" operator="notEqual">
      <formula>L$56</formula>
    </cfRule>
  </conditionalFormatting>
  <conditionalFormatting sqref="K12">
    <cfRule type="cellIs" dxfId="864" priority="194" operator="notEqual">
      <formula>K$56</formula>
    </cfRule>
  </conditionalFormatting>
  <conditionalFormatting sqref="L12:N12">
    <cfRule type="cellIs" dxfId="863" priority="193" operator="notEqual">
      <formula>L$56</formula>
    </cfRule>
  </conditionalFormatting>
  <conditionalFormatting sqref="K13">
    <cfRule type="cellIs" dxfId="862" priority="192" operator="notEqual">
      <formula>K$56</formula>
    </cfRule>
  </conditionalFormatting>
  <conditionalFormatting sqref="L13:N13">
    <cfRule type="cellIs" dxfId="861" priority="191" operator="notEqual">
      <formula>L$56</formula>
    </cfRule>
  </conditionalFormatting>
  <conditionalFormatting sqref="K14">
    <cfRule type="cellIs" dxfId="860" priority="190" operator="notEqual">
      <formula>K$56</formula>
    </cfRule>
  </conditionalFormatting>
  <conditionalFormatting sqref="L14:N14">
    <cfRule type="cellIs" dxfId="859" priority="189" operator="notEqual">
      <formula>L$56</formula>
    </cfRule>
  </conditionalFormatting>
  <conditionalFormatting sqref="K8">
    <cfRule type="cellIs" dxfId="858" priority="222" operator="notEqual">
      <formula>K$126</formula>
    </cfRule>
  </conditionalFormatting>
  <conditionalFormatting sqref="L8:M8">
    <cfRule type="cellIs" dxfId="857" priority="221" operator="notEqual">
      <formula>L$56</formula>
    </cfRule>
  </conditionalFormatting>
  <conditionalFormatting sqref="L15:N21">
    <cfRule type="cellIs" dxfId="856" priority="207" operator="notEqual">
      <formula>L$56</formula>
    </cfRule>
  </conditionalFormatting>
  <conditionalFormatting sqref="K9">
    <cfRule type="cellIs" dxfId="855" priority="220" operator="notEqual">
      <formula>K$56</formula>
    </cfRule>
  </conditionalFormatting>
  <conditionalFormatting sqref="L9:M9">
    <cfRule type="cellIs" dxfId="854" priority="219" operator="notEqual">
      <formula>L$56</formula>
    </cfRule>
  </conditionalFormatting>
  <conditionalFormatting sqref="K10">
    <cfRule type="cellIs" dxfId="853" priority="218" operator="notEqual">
      <formula>K$56</formula>
    </cfRule>
  </conditionalFormatting>
  <conditionalFormatting sqref="L10:M10">
    <cfRule type="cellIs" dxfId="852" priority="217" operator="notEqual">
      <formula>L$56</formula>
    </cfRule>
  </conditionalFormatting>
  <conditionalFormatting sqref="K11">
    <cfRule type="cellIs" dxfId="851" priority="216" operator="notEqual">
      <formula>K$56</formula>
    </cfRule>
  </conditionalFormatting>
  <conditionalFormatting sqref="L11:N11">
    <cfRule type="cellIs" dxfId="850" priority="215" operator="notEqual">
      <formula>L$56</formula>
    </cfRule>
  </conditionalFormatting>
  <conditionalFormatting sqref="K12">
    <cfRule type="cellIs" dxfId="849" priority="214" operator="notEqual">
      <formula>K$56</formula>
    </cfRule>
  </conditionalFormatting>
  <conditionalFormatting sqref="L12:N12">
    <cfRule type="cellIs" dxfId="848" priority="213" operator="notEqual">
      <formula>L$56</formula>
    </cfRule>
  </conditionalFormatting>
  <conditionalFormatting sqref="K13">
    <cfRule type="cellIs" dxfId="847" priority="212" operator="notEqual">
      <formula>K$56</formula>
    </cfRule>
  </conditionalFormatting>
  <conditionalFormatting sqref="L13:N13">
    <cfRule type="cellIs" dxfId="846" priority="211" operator="notEqual">
      <formula>L$56</formula>
    </cfRule>
  </conditionalFormatting>
  <conditionalFormatting sqref="K14">
    <cfRule type="cellIs" dxfId="845" priority="210" operator="notEqual">
      <formula>K$56</formula>
    </cfRule>
  </conditionalFormatting>
  <conditionalFormatting sqref="L14:N14">
    <cfRule type="cellIs" dxfId="844" priority="209" operator="notEqual">
      <formula>L$56</formula>
    </cfRule>
  </conditionalFormatting>
  <conditionalFormatting sqref="K15:K21">
    <cfRule type="cellIs" dxfId="843" priority="208" operator="notEqual">
      <formula>K$56</formula>
    </cfRule>
  </conditionalFormatting>
  <conditionalFormatting sqref="K7:N21">
    <cfRule type="cellIs" dxfId="842" priority="206" operator="notEqual">
      <formula>K$126</formula>
    </cfRule>
  </conditionalFormatting>
  <conditionalFormatting sqref="K15:K21">
    <cfRule type="cellIs" dxfId="841" priority="205" operator="notEqual">
      <formula>K$56</formula>
    </cfRule>
  </conditionalFormatting>
  <conditionalFormatting sqref="L10:M10">
    <cfRule type="cellIs" dxfId="840" priority="197" operator="notEqual">
      <formula>L$56</formula>
    </cfRule>
  </conditionalFormatting>
  <conditionalFormatting sqref="N7:N9">
    <cfRule type="cellIs" dxfId="839" priority="188" operator="notEqual">
      <formula>M$56</formula>
    </cfRule>
  </conditionalFormatting>
  <conditionalFormatting sqref="N10">
    <cfRule type="cellIs" dxfId="838" priority="186" operator="notEqual">
      <formula>N$56</formula>
    </cfRule>
  </conditionalFormatting>
  <conditionalFormatting sqref="N10">
    <cfRule type="cellIs" dxfId="837" priority="187" operator="notEqual">
      <formula>N$56</formula>
    </cfRule>
  </conditionalFormatting>
  <conditionalFormatting sqref="S7:T7">
    <cfRule type="cellIs" dxfId="836" priority="167" operator="notEqual">
      <formula>S$56</formula>
    </cfRule>
  </conditionalFormatting>
  <conditionalFormatting sqref="S15:U21">
    <cfRule type="cellIs" dxfId="835" priority="166" operator="notEqual">
      <formula>S$56</formula>
    </cfRule>
  </conditionalFormatting>
  <conditionalFormatting sqref="R8">
    <cfRule type="cellIs" dxfId="834" priority="165" operator="notEqual">
      <formula>R$56</formula>
    </cfRule>
  </conditionalFormatting>
  <conditionalFormatting sqref="S8:T8">
    <cfRule type="cellIs" dxfId="833" priority="164" operator="notEqual">
      <formula>S$56</formula>
    </cfRule>
  </conditionalFormatting>
  <conditionalFormatting sqref="R9">
    <cfRule type="cellIs" dxfId="832" priority="163" operator="notEqual">
      <formula>R$56</formula>
    </cfRule>
  </conditionalFormatting>
  <conditionalFormatting sqref="S9:T9">
    <cfRule type="cellIs" dxfId="831" priority="162" operator="notEqual">
      <formula>S$56</formula>
    </cfRule>
  </conditionalFormatting>
  <conditionalFormatting sqref="R10">
    <cfRule type="cellIs" dxfId="830" priority="161" operator="notEqual">
      <formula>R$56</formula>
    </cfRule>
  </conditionalFormatting>
  <conditionalFormatting sqref="R11">
    <cfRule type="cellIs" dxfId="829" priority="159" operator="notEqual">
      <formula>R$56</formula>
    </cfRule>
  </conditionalFormatting>
  <conditionalFormatting sqref="S11:U11">
    <cfRule type="cellIs" dxfId="828" priority="158" operator="notEqual">
      <formula>S$56</formula>
    </cfRule>
  </conditionalFormatting>
  <conditionalFormatting sqref="R12">
    <cfRule type="cellIs" dxfId="827" priority="157" operator="notEqual">
      <formula>R$56</formula>
    </cfRule>
  </conditionalFormatting>
  <conditionalFormatting sqref="S12:U12">
    <cfRule type="cellIs" dxfId="826" priority="156" operator="notEqual">
      <formula>S$56</formula>
    </cfRule>
  </conditionalFormatting>
  <conditionalFormatting sqref="R13">
    <cfRule type="cellIs" dxfId="825" priority="155" operator="notEqual">
      <formula>R$56</formula>
    </cfRule>
  </conditionalFormatting>
  <conditionalFormatting sqref="S13:U13">
    <cfRule type="cellIs" dxfId="824" priority="154" operator="notEqual">
      <formula>S$56</formula>
    </cfRule>
  </conditionalFormatting>
  <conditionalFormatting sqref="R14">
    <cfRule type="cellIs" dxfId="823" priority="153" operator="notEqual">
      <formula>R$56</formula>
    </cfRule>
  </conditionalFormatting>
  <conditionalFormatting sqref="S14:U14">
    <cfRule type="cellIs" dxfId="822" priority="152" operator="notEqual">
      <formula>S$56</formula>
    </cfRule>
  </conditionalFormatting>
  <conditionalFormatting sqref="R8">
    <cfRule type="cellIs" dxfId="821" priority="185" operator="notEqual">
      <formula>R$126</formula>
    </cfRule>
  </conditionalFormatting>
  <conditionalFormatting sqref="S8:T8">
    <cfRule type="cellIs" dxfId="820" priority="184" operator="notEqual">
      <formula>S$56</formula>
    </cfRule>
  </conditionalFormatting>
  <conditionalFormatting sqref="S15:U21">
    <cfRule type="cellIs" dxfId="819" priority="170" operator="notEqual">
      <formula>S$56</formula>
    </cfRule>
  </conditionalFormatting>
  <conditionalFormatting sqref="R9">
    <cfRule type="cellIs" dxfId="818" priority="183" operator="notEqual">
      <formula>R$56</formula>
    </cfRule>
  </conditionalFormatting>
  <conditionalFormatting sqref="S9:T9">
    <cfRule type="cellIs" dxfId="817" priority="182" operator="notEqual">
      <formula>S$56</formula>
    </cfRule>
  </conditionalFormatting>
  <conditionalFormatting sqref="R10">
    <cfRule type="cellIs" dxfId="816" priority="181" operator="notEqual">
      <formula>R$56</formula>
    </cfRule>
  </conditionalFormatting>
  <conditionalFormatting sqref="S10:T10">
    <cfRule type="cellIs" dxfId="815" priority="180" operator="notEqual">
      <formula>S$56</formula>
    </cfRule>
  </conditionalFormatting>
  <conditionalFormatting sqref="R11">
    <cfRule type="cellIs" dxfId="814" priority="179" operator="notEqual">
      <formula>R$56</formula>
    </cfRule>
  </conditionalFormatting>
  <conditionalFormatting sqref="S11:U11">
    <cfRule type="cellIs" dxfId="813" priority="178" operator="notEqual">
      <formula>S$56</formula>
    </cfRule>
  </conditionalFormatting>
  <conditionalFormatting sqref="R12">
    <cfRule type="cellIs" dxfId="812" priority="177" operator="notEqual">
      <formula>R$56</formula>
    </cfRule>
  </conditionalFormatting>
  <conditionalFormatting sqref="S12:U12">
    <cfRule type="cellIs" dxfId="811" priority="176" operator="notEqual">
      <formula>S$56</formula>
    </cfRule>
  </conditionalFormatting>
  <conditionalFormatting sqref="R13">
    <cfRule type="cellIs" dxfId="810" priority="175" operator="notEqual">
      <formula>R$56</formula>
    </cfRule>
  </conditionalFormatting>
  <conditionalFormatting sqref="S13:U13">
    <cfRule type="cellIs" dxfId="809" priority="174" operator="notEqual">
      <formula>S$56</formula>
    </cfRule>
  </conditionalFormatting>
  <conditionalFormatting sqref="R14">
    <cfRule type="cellIs" dxfId="808" priority="173" operator="notEqual">
      <formula>R$56</formula>
    </cfRule>
  </conditionalFormatting>
  <conditionalFormatting sqref="S14:U14">
    <cfRule type="cellIs" dxfId="807" priority="172" operator="notEqual">
      <formula>S$56</formula>
    </cfRule>
  </conditionalFormatting>
  <conditionalFormatting sqref="R15:R21">
    <cfRule type="cellIs" dxfId="806" priority="171" operator="notEqual">
      <formula>R$56</formula>
    </cfRule>
  </conditionalFormatting>
  <conditionalFormatting sqref="R7:U21">
    <cfRule type="cellIs" dxfId="805" priority="169" operator="notEqual">
      <formula>R$126</formula>
    </cfRule>
  </conditionalFormatting>
  <conditionalFormatting sqref="R15:R21">
    <cfRule type="cellIs" dxfId="804" priority="168" operator="notEqual">
      <formula>R$56</formula>
    </cfRule>
  </conditionalFormatting>
  <conditionalFormatting sqref="S10:T10">
    <cfRule type="cellIs" dxfId="803" priority="160" operator="notEqual">
      <formula>S$56</formula>
    </cfRule>
  </conditionalFormatting>
  <conditionalFormatting sqref="U7:U9">
    <cfRule type="cellIs" dxfId="802" priority="151" operator="notEqual">
      <formula>T$56</formula>
    </cfRule>
  </conditionalFormatting>
  <conditionalFormatting sqref="U10">
    <cfRule type="cellIs" dxfId="801" priority="149" operator="notEqual">
      <formula>U$56</formula>
    </cfRule>
  </conditionalFormatting>
  <conditionalFormatting sqref="U10">
    <cfRule type="cellIs" dxfId="800" priority="150" operator="notEqual">
      <formula>U$56</formula>
    </cfRule>
  </conditionalFormatting>
  <conditionalFormatting sqref="Z7:AA7">
    <cfRule type="cellIs" dxfId="799" priority="130" operator="notEqual">
      <formula>Z$56</formula>
    </cfRule>
  </conditionalFormatting>
  <conditionalFormatting sqref="Z15:AB21">
    <cfRule type="cellIs" dxfId="798" priority="129" operator="notEqual">
      <formula>Z$56</formula>
    </cfRule>
  </conditionalFormatting>
  <conditionalFormatting sqref="Y8">
    <cfRule type="cellIs" dxfId="797" priority="128" operator="notEqual">
      <formula>Y$56</formula>
    </cfRule>
  </conditionalFormatting>
  <conditionalFormatting sqref="Z8:AA8">
    <cfRule type="cellIs" dxfId="796" priority="127" operator="notEqual">
      <formula>Z$56</formula>
    </cfRule>
  </conditionalFormatting>
  <conditionalFormatting sqref="Y9">
    <cfRule type="cellIs" dxfId="795" priority="126" operator="notEqual">
      <formula>Y$56</formula>
    </cfRule>
  </conditionalFormatting>
  <conditionalFormatting sqref="Z9:AA9">
    <cfRule type="cellIs" dxfId="794" priority="125" operator="notEqual">
      <formula>Z$56</formula>
    </cfRule>
  </conditionalFormatting>
  <conditionalFormatting sqref="Y10">
    <cfRule type="cellIs" dxfId="793" priority="124" operator="notEqual">
      <formula>Y$56</formula>
    </cfRule>
  </conditionalFormatting>
  <conditionalFormatting sqref="Y11">
    <cfRule type="cellIs" dxfId="792" priority="122" operator="notEqual">
      <formula>Y$56</formula>
    </cfRule>
  </conditionalFormatting>
  <conditionalFormatting sqref="Z11:AB11">
    <cfRule type="cellIs" dxfId="791" priority="121" operator="notEqual">
      <formula>Z$56</formula>
    </cfRule>
  </conditionalFormatting>
  <conditionalFormatting sqref="Y12">
    <cfRule type="cellIs" dxfId="790" priority="120" operator="notEqual">
      <formula>Y$56</formula>
    </cfRule>
  </conditionalFormatting>
  <conditionalFormatting sqref="Z12:AB12">
    <cfRule type="cellIs" dxfId="789" priority="119" operator="notEqual">
      <formula>Z$56</formula>
    </cfRule>
  </conditionalFormatting>
  <conditionalFormatting sqref="Y13">
    <cfRule type="cellIs" dxfId="788" priority="118" operator="notEqual">
      <formula>Y$56</formula>
    </cfRule>
  </conditionalFormatting>
  <conditionalFormatting sqref="Z13:AB13">
    <cfRule type="cellIs" dxfId="787" priority="117" operator="notEqual">
      <formula>Z$56</formula>
    </cfRule>
  </conditionalFormatting>
  <conditionalFormatting sqref="Y14">
    <cfRule type="cellIs" dxfId="786" priority="116" operator="notEqual">
      <formula>Y$56</formula>
    </cfRule>
  </conditionalFormatting>
  <conditionalFormatting sqref="Z14:AB14">
    <cfRule type="cellIs" dxfId="785" priority="115" operator="notEqual">
      <formula>Z$56</formula>
    </cfRule>
  </conditionalFormatting>
  <conditionalFormatting sqref="Y8">
    <cfRule type="cellIs" dxfId="784" priority="148" operator="notEqual">
      <formula>Y$126</formula>
    </cfRule>
  </conditionalFormatting>
  <conditionalFormatting sqref="Z8:AA8">
    <cfRule type="cellIs" dxfId="783" priority="147" operator="notEqual">
      <formula>Z$56</formula>
    </cfRule>
  </conditionalFormatting>
  <conditionalFormatting sqref="Z15:AB21">
    <cfRule type="cellIs" dxfId="782" priority="133" operator="notEqual">
      <formula>Z$56</formula>
    </cfRule>
  </conditionalFormatting>
  <conditionalFormatting sqref="Y9">
    <cfRule type="cellIs" dxfId="781" priority="146" operator="notEqual">
      <formula>Y$56</formula>
    </cfRule>
  </conditionalFormatting>
  <conditionalFormatting sqref="Z9:AA9">
    <cfRule type="cellIs" dxfId="780" priority="145" operator="notEqual">
      <formula>Z$56</formula>
    </cfRule>
  </conditionalFormatting>
  <conditionalFormatting sqref="Y10">
    <cfRule type="cellIs" dxfId="779" priority="144" operator="notEqual">
      <formula>Y$56</formula>
    </cfRule>
  </conditionalFormatting>
  <conditionalFormatting sqref="Z10:AA10">
    <cfRule type="cellIs" dxfId="778" priority="143" operator="notEqual">
      <formula>Z$56</formula>
    </cfRule>
  </conditionalFormatting>
  <conditionalFormatting sqref="Y11">
    <cfRule type="cellIs" dxfId="777" priority="142" operator="notEqual">
      <formula>Y$56</formula>
    </cfRule>
  </conditionalFormatting>
  <conditionalFormatting sqref="Z11:AB11">
    <cfRule type="cellIs" dxfId="776" priority="141" operator="notEqual">
      <formula>Z$56</formula>
    </cfRule>
  </conditionalFormatting>
  <conditionalFormatting sqref="Y12">
    <cfRule type="cellIs" dxfId="775" priority="140" operator="notEqual">
      <formula>Y$56</formula>
    </cfRule>
  </conditionalFormatting>
  <conditionalFormatting sqref="Z12:AB12">
    <cfRule type="cellIs" dxfId="774" priority="139" operator="notEqual">
      <formula>Z$56</formula>
    </cfRule>
  </conditionalFormatting>
  <conditionalFormatting sqref="Y13">
    <cfRule type="cellIs" dxfId="773" priority="138" operator="notEqual">
      <formula>Y$56</formula>
    </cfRule>
  </conditionalFormatting>
  <conditionalFormatting sqref="Z13:AB13">
    <cfRule type="cellIs" dxfId="772" priority="137" operator="notEqual">
      <formula>Z$56</formula>
    </cfRule>
  </conditionalFormatting>
  <conditionalFormatting sqref="Y14">
    <cfRule type="cellIs" dxfId="771" priority="136" operator="notEqual">
      <formula>Y$56</formula>
    </cfRule>
  </conditionalFormatting>
  <conditionalFormatting sqref="Z14:AB14">
    <cfRule type="cellIs" dxfId="770" priority="135" operator="notEqual">
      <formula>Z$56</formula>
    </cfRule>
  </conditionalFormatting>
  <conditionalFormatting sqref="Y15:Y21">
    <cfRule type="cellIs" dxfId="769" priority="134" operator="notEqual">
      <formula>Y$56</formula>
    </cfRule>
  </conditionalFormatting>
  <conditionalFormatting sqref="Y7:AB21">
    <cfRule type="cellIs" dxfId="768" priority="132" operator="notEqual">
      <formula>Y$126</formula>
    </cfRule>
  </conditionalFormatting>
  <conditionalFormatting sqref="Y15:Y21">
    <cfRule type="cellIs" dxfId="767" priority="131" operator="notEqual">
      <formula>Y$56</formula>
    </cfRule>
  </conditionalFormatting>
  <conditionalFormatting sqref="Z10:AA10">
    <cfRule type="cellIs" dxfId="766" priority="123" operator="notEqual">
      <formula>Z$56</formula>
    </cfRule>
  </conditionalFormatting>
  <conditionalFormatting sqref="AB7:AB9">
    <cfRule type="cellIs" dxfId="765" priority="114" operator="notEqual">
      <formula>AA$56</formula>
    </cfRule>
  </conditionalFormatting>
  <conditionalFormatting sqref="AB10">
    <cfRule type="cellIs" dxfId="764" priority="112" operator="notEqual">
      <formula>AB$56</formula>
    </cfRule>
  </conditionalFormatting>
  <conditionalFormatting sqref="AB10">
    <cfRule type="cellIs" dxfId="763" priority="113" operator="notEqual">
      <formula>AB$56</formula>
    </cfRule>
  </conditionalFormatting>
  <conditionalFormatting sqref="AG7:AH7">
    <cfRule type="cellIs" dxfId="762" priority="93" operator="notEqual">
      <formula>AG$56</formula>
    </cfRule>
  </conditionalFormatting>
  <conditionalFormatting sqref="AG15:AI21">
    <cfRule type="cellIs" dxfId="761" priority="92" operator="notEqual">
      <formula>AG$56</formula>
    </cfRule>
  </conditionalFormatting>
  <conditionalFormatting sqref="AF8">
    <cfRule type="cellIs" dxfId="760" priority="91" operator="notEqual">
      <formula>AF$56</formula>
    </cfRule>
  </conditionalFormatting>
  <conditionalFormatting sqref="AG8:AH8">
    <cfRule type="cellIs" dxfId="759" priority="90" operator="notEqual">
      <formula>AG$56</formula>
    </cfRule>
  </conditionalFormatting>
  <conditionalFormatting sqref="AF9">
    <cfRule type="cellIs" dxfId="758" priority="89" operator="notEqual">
      <formula>AF$56</formula>
    </cfRule>
  </conditionalFormatting>
  <conditionalFormatting sqref="AG9:AH9">
    <cfRule type="cellIs" dxfId="757" priority="88" operator="notEqual">
      <formula>AG$56</formula>
    </cfRule>
  </conditionalFormatting>
  <conditionalFormatting sqref="AF10">
    <cfRule type="cellIs" dxfId="756" priority="87" operator="notEqual">
      <formula>AF$56</formula>
    </cfRule>
  </conditionalFormatting>
  <conditionalFormatting sqref="AF11">
    <cfRule type="cellIs" dxfId="755" priority="85" operator="notEqual">
      <formula>AF$56</formula>
    </cfRule>
  </conditionalFormatting>
  <conditionalFormatting sqref="AG11:AI11">
    <cfRule type="cellIs" dxfId="754" priority="84" operator="notEqual">
      <formula>AG$56</formula>
    </cfRule>
  </conditionalFormatting>
  <conditionalFormatting sqref="AF12">
    <cfRule type="cellIs" dxfId="753" priority="83" operator="notEqual">
      <formula>AF$56</formula>
    </cfRule>
  </conditionalFormatting>
  <conditionalFormatting sqref="AG12:AI12">
    <cfRule type="cellIs" dxfId="752" priority="82" operator="notEqual">
      <formula>AG$56</formula>
    </cfRule>
  </conditionalFormatting>
  <conditionalFormatting sqref="AF13">
    <cfRule type="cellIs" dxfId="751" priority="81" operator="notEqual">
      <formula>AF$56</formula>
    </cfRule>
  </conditionalFormatting>
  <conditionalFormatting sqref="AG13:AI13">
    <cfRule type="cellIs" dxfId="750" priority="80" operator="notEqual">
      <formula>AG$56</formula>
    </cfRule>
  </conditionalFormatting>
  <conditionalFormatting sqref="AF14">
    <cfRule type="cellIs" dxfId="749" priority="79" operator="notEqual">
      <formula>AF$56</formula>
    </cfRule>
  </conditionalFormatting>
  <conditionalFormatting sqref="AG14:AI14">
    <cfRule type="cellIs" dxfId="748" priority="78" operator="notEqual">
      <formula>AG$56</formula>
    </cfRule>
  </conditionalFormatting>
  <conditionalFormatting sqref="AF8">
    <cfRule type="cellIs" dxfId="747" priority="111" operator="notEqual">
      <formula>AF$126</formula>
    </cfRule>
  </conditionalFormatting>
  <conditionalFormatting sqref="AG8:AH8">
    <cfRule type="cellIs" dxfId="746" priority="110" operator="notEqual">
      <formula>AG$56</formula>
    </cfRule>
  </conditionalFormatting>
  <conditionalFormatting sqref="AG15:AI21">
    <cfRule type="cellIs" dxfId="745" priority="96" operator="notEqual">
      <formula>AG$56</formula>
    </cfRule>
  </conditionalFormatting>
  <conditionalFormatting sqref="AF9">
    <cfRule type="cellIs" dxfId="744" priority="109" operator="notEqual">
      <formula>AF$56</formula>
    </cfRule>
  </conditionalFormatting>
  <conditionalFormatting sqref="AG9:AH9">
    <cfRule type="cellIs" dxfId="743" priority="108" operator="notEqual">
      <formula>AG$56</formula>
    </cfRule>
  </conditionalFormatting>
  <conditionalFormatting sqref="AF10">
    <cfRule type="cellIs" dxfId="742" priority="107" operator="notEqual">
      <formula>AF$56</formula>
    </cfRule>
  </conditionalFormatting>
  <conditionalFormatting sqref="AG10:AH10">
    <cfRule type="cellIs" dxfId="741" priority="106" operator="notEqual">
      <formula>AG$56</formula>
    </cfRule>
  </conditionalFormatting>
  <conditionalFormatting sqref="AF11">
    <cfRule type="cellIs" dxfId="740" priority="105" operator="notEqual">
      <formula>AF$56</formula>
    </cfRule>
  </conditionalFormatting>
  <conditionalFormatting sqref="AG11:AI11">
    <cfRule type="cellIs" dxfId="739" priority="104" operator="notEqual">
      <formula>AG$56</formula>
    </cfRule>
  </conditionalFormatting>
  <conditionalFormatting sqref="AF12">
    <cfRule type="cellIs" dxfId="738" priority="103" operator="notEqual">
      <formula>AF$56</formula>
    </cfRule>
  </conditionalFormatting>
  <conditionalFormatting sqref="AG12:AI12">
    <cfRule type="cellIs" dxfId="737" priority="102" operator="notEqual">
      <formula>AG$56</formula>
    </cfRule>
  </conditionalFormatting>
  <conditionalFormatting sqref="AF13">
    <cfRule type="cellIs" dxfId="736" priority="101" operator="notEqual">
      <formula>AF$56</formula>
    </cfRule>
  </conditionalFormatting>
  <conditionalFormatting sqref="AG13:AI13">
    <cfRule type="cellIs" dxfId="735" priority="100" operator="notEqual">
      <formula>AG$56</formula>
    </cfRule>
  </conditionalFormatting>
  <conditionalFormatting sqref="AF14">
    <cfRule type="cellIs" dxfId="734" priority="99" operator="notEqual">
      <formula>AF$56</formula>
    </cfRule>
  </conditionalFormatting>
  <conditionalFormatting sqref="AG14:AI14">
    <cfRule type="cellIs" dxfId="733" priority="98" operator="notEqual">
      <formula>AG$56</formula>
    </cfRule>
  </conditionalFormatting>
  <conditionalFormatting sqref="AF15:AF21">
    <cfRule type="cellIs" dxfId="732" priority="97" operator="notEqual">
      <formula>AF$56</formula>
    </cfRule>
  </conditionalFormatting>
  <conditionalFormatting sqref="AF7:AI21">
    <cfRule type="cellIs" dxfId="731" priority="95" operator="notEqual">
      <formula>AF$126</formula>
    </cfRule>
  </conditionalFormatting>
  <conditionalFormatting sqref="AF15:AF21">
    <cfRule type="cellIs" dxfId="730" priority="94" operator="notEqual">
      <formula>AF$56</formula>
    </cfRule>
  </conditionalFormatting>
  <conditionalFormatting sqref="AG10:AH10">
    <cfRule type="cellIs" dxfId="729" priority="86" operator="notEqual">
      <formula>AG$56</formula>
    </cfRule>
  </conditionalFormatting>
  <conditionalFormatting sqref="AI7:AI9">
    <cfRule type="cellIs" dxfId="728" priority="77" operator="notEqual">
      <formula>AH$56</formula>
    </cfRule>
  </conditionalFormatting>
  <conditionalFormatting sqref="AI10">
    <cfRule type="cellIs" dxfId="727" priority="75" operator="notEqual">
      <formula>AI$56</formula>
    </cfRule>
  </conditionalFormatting>
  <conditionalFormatting sqref="AI10">
    <cfRule type="cellIs" dxfId="726" priority="76" operator="notEqual">
      <formula>AI$56</formula>
    </cfRule>
  </conditionalFormatting>
  <conditionalFormatting sqref="AN7:AO7">
    <cfRule type="cellIs" dxfId="725" priority="56" operator="notEqual">
      <formula>AN$56</formula>
    </cfRule>
  </conditionalFormatting>
  <conditionalFormatting sqref="AN15:AP21">
    <cfRule type="cellIs" dxfId="724" priority="55" operator="notEqual">
      <formula>AN$56</formula>
    </cfRule>
  </conditionalFormatting>
  <conditionalFormatting sqref="AM8">
    <cfRule type="cellIs" dxfId="723" priority="54" operator="notEqual">
      <formula>AM$56</formula>
    </cfRule>
  </conditionalFormatting>
  <conditionalFormatting sqref="AN8:AO8">
    <cfRule type="cellIs" dxfId="722" priority="53" operator="notEqual">
      <formula>AN$56</formula>
    </cfRule>
  </conditionalFormatting>
  <conditionalFormatting sqref="AM9">
    <cfRule type="cellIs" dxfId="721" priority="52" operator="notEqual">
      <formula>AM$56</formula>
    </cfRule>
  </conditionalFormatting>
  <conditionalFormatting sqref="AN9:AO9">
    <cfRule type="cellIs" dxfId="720" priority="51" operator="notEqual">
      <formula>AN$56</formula>
    </cfRule>
  </conditionalFormatting>
  <conditionalFormatting sqref="AM10">
    <cfRule type="cellIs" dxfId="719" priority="50" operator="notEqual">
      <formula>AM$56</formula>
    </cfRule>
  </conditionalFormatting>
  <conditionalFormatting sqref="AM11">
    <cfRule type="cellIs" dxfId="718" priority="48" operator="notEqual">
      <formula>AM$56</formula>
    </cfRule>
  </conditionalFormatting>
  <conditionalFormatting sqref="AN11:AP11">
    <cfRule type="cellIs" dxfId="717" priority="47" operator="notEqual">
      <formula>AN$56</formula>
    </cfRule>
  </conditionalFormatting>
  <conditionalFormatting sqref="AM12">
    <cfRule type="cellIs" dxfId="716" priority="46" operator="notEqual">
      <formula>AM$56</formula>
    </cfRule>
  </conditionalFormatting>
  <conditionalFormatting sqref="AN12:AP12">
    <cfRule type="cellIs" dxfId="715" priority="45" operator="notEqual">
      <formula>AN$56</formula>
    </cfRule>
  </conditionalFormatting>
  <conditionalFormatting sqref="AM13">
    <cfRule type="cellIs" dxfId="714" priority="44" operator="notEqual">
      <formula>AM$56</formula>
    </cfRule>
  </conditionalFormatting>
  <conditionalFormatting sqref="AN13:AP13">
    <cfRule type="cellIs" dxfId="713" priority="43" operator="notEqual">
      <formula>AN$56</formula>
    </cfRule>
  </conditionalFormatting>
  <conditionalFormatting sqref="AM14">
    <cfRule type="cellIs" dxfId="712" priority="42" operator="notEqual">
      <formula>AM$56</formula>
    </cfRule>
  </conditionalFormatting>
  <conditionalFormatting sqref="AN14:AP14">
    <cfRule type="cellIs" dxfId="711" priority="41" operator="notEqual">
      <formula>AN$56</formula>
    </cfRule>
  </conditionalFormatting>
  <conditionalFormatting sqref="AM8">
    <cfRule type="cellIs" dxfId="710" priority="74" operator="notEqual">
      <formula>AM$126</formula>
    </cfRule>
  </conditionalFormatting>
  <conditionalFormatting sqref="AN8:AO8">
    <cfRule type="cellIs" dxfId="709" priority="73" operator="notEqual">
      <formula>AN$56</formula>
    </cfRule>
  </conditionalFormatting>
  <conditionalFormatting sqref="AN15:AP21">
    <cfRule type="cellIs" dxfId="708" priority="59" operator="notEqual">
      <formula>AN$56</formula>
    </cfRule>
  </conditionalFormatting>
  <conditionalFormatting sqref="AM9">
    <cfRule type="cellIs" dxfId="707" priority="72" operator="notEqual">
      <formula>AM$56</formula>
    </cfRule>
  </conditionalFormatting>
  <conditionalFormatting sqref="AN9:AO9">
    <cfRule type="cellIs" dxfId="706" priority="71" operator="notEqual">
      <formula>AN$56</formula>
    </cfRule>
  </conditionalFormatting>
  <conditionalFormatting sqref="AM10">
    <cfRule type="cellIs" dxfId="705" priority="70" operator="notEqual">
      <formula>AM$56</formula>
    </cfRule>
  </conditionalFormatting>
  <conditionalFormatting sqref="AN10:AO10">
    <cfRule type="cellIs" dxfId="704" priority="69" operator="notEqual">
      <formula>AN$56</formula>
    </cfRule>
  </conditionalFormatting>
  <conditionalFormatting sqref="AM11">
    <cfRule type="cellIs" dxfId="703" priority="68" operator="notEqual">
      <formula>AM$56</formula>
    </cfRule>
  </conditionalFormatting>
  <conditionalFormatting sqref="AN11:AP11">
    <cfRule type="cellIs" dxfId="702" priority="67" operator="notEqual">
      <formula>AN$56</formula>
    </cfRule>
  </conditionalFormatting>
  <conditionalFormatting sqref="AM12">
    <cfRule type="cellIs" dxfId="701" priority="66" operator="notEqual">
      <formula>AM$56</formula>
    </cfRule>
  </conditionalFormatting>
  <conditionalFormatting sqref="AN12:AP12">
    <cfRule type="cellIs" dxfId="700" priority="65" operator="notEqual">
      <formula>AN$56</formula>
    </cfRule>
  </conditionalFormatting>
  <conditionalFormatting sqref="AM13">
    <cfRule type="cellIs" dxfId="699" priority="64" operator="notEqual">
      <formula>AM$56</formula>
    </cfRule>
  </conditionalFormatting>
  <conditionalFormatting sqref="AN13:AP13">
    <cfRule type="cellIs" dxfId="698" priority="63" operator="notEqual">
      <formula>AN$56</formula>
    </cfRule>
  </conditionalFormatting>
  <conditionalFormatting sqref="AM14">
    <cfRule type="cellIs" dxfId="697" priority="62" operator="notEqual">
      <formula>AM$56</formula>
    </cfRule>
  </conditionalFormatting>
  <conditionalFormatting sqref="AN14:AP14">
    <cfRule type="cellIs" dxfId="696" priority="61" operator="notEqual">
      <formula>AN$56</formula>
    </cfRule>
  </conditionalFormatting>
  <conditionalFormatting sqref="AM15:AM21">
    <cfRule type="cellIs" dxfId="695" priority="60" operator="notEqual">
      <formula>AM$56</formula>
    </cfRule>
  </conditionalFormatting>
  <conditionalFormatting sqref="AM7:AP21">
    <cfRule type="cellIs" dxfId="694" priority="58" operator="notEqual">
      <formula>AM$126</formula>
    </cfRule>
  </conditionalFormatting>
  <conditionalFormatting sqref="AM15:AM21">
    <cfRule type="cellIs" dxfId="693" priority="57" operator="notEqual">
      <formula>AM$56</formula>
    </cfRule>
  </conditionalFormatting>
  <conditionalFormatting sqref="AN10:AO10">
    <cfRule type="cellIs" dxfId="692" priority="49" operator="notEqual">
      <formula>AN$56</formula>
    </cfRule>
  </conditionalFormatting>
  <conditionalFormatting sqref="AP7:AP9">
    <cfRule type="cellIs" dxfId="691" priority="40" operator="notEqual">
      <formula>AO$56</formula>
    </cfRule>
  </conditionalFormatting>
  <conditionalFormatting sqref="AP10">
    <cfRule type="cellIs" dxfId="690" priority="38" operator="notEqual">
      <formula>AP$56</formula>
    </cfRule>
  </conditionalFormatting>
  <conditionalFormatting sqref="AP10">
    <cfRule type="cellIs" dxfId="689" priority="39" operator="notEqual">
      <formula>AP$56</formula>
    </cfRule>
  </conditionalFormatting>
  <conditionalFormatting sqref="AU7:AV7">
    <cfRule type="cellIs" dxfId="688" priority="19" operator="notEqual">
      <formula>AU$56</formula>
    </cfRule>
  </conditionalFormatting>
  <conditionalFormatting sqref="AU15:AW21">
    <cfRule type="cellIs" dxfId="687" priority="18" operator="notEqual">
      <formula>AU$56</formula>
    </cfRule>
  </conditionalFormatting>
  <conditionalFormatting sqref="AT8">
    <cfRule type="cellIs" dxfId="686" priority="17" operator="notEqual">
      <formula>AT$56</formula>
    </cfRule>
  </conditionalFormatting>
  <conditionalFormatting sqref="AU8:AV8">
    <cfRule type="cellIs" dxfId="685" priority="16" operator="notEqual">
      <formula>AU$56</formula>
    </cfRule>
  </conditionalFormatting>
  <conditionalFormatting sqref="AT9">
    <cfRule type="cellIs" dxfId="684" priority="15" operator="notEqual">
      <formula>AT$56</formula>
    </cfRule>
  </conditionalFormatting>
  <conditionalFormatting sqref="AU9:AV9">
    <cfRule type="cellIs" dxfId="683" priority="14" operator="notEqual">
      <formula>AU$56</formula>
    </cfRule>
  </conditionalFormatting>
  <conditionalFormatting sqref="AT10">
    <cfRule type="cellIs" dxfId="682" priority="13" operator="notEqual">
      <formula>AT$56</formula>
    </cfRule>
  </conditionalFormatting>
  <conditionalFormatting sqref="AT11">
    <cfRule type="cellIs" dxfId="681" priority="11" operator="notEqual">
      <formula>AT$56</formula>
    </cfRule>
  </conditionalFormatting>
  <conditionalFormatting sqref="AU11:AW11">
    <cfRule type="cellIs" dxfId="680" priority="10" operator="notEqual">
      <formula>AU$56</formula>
    </cfRule>
  </conditionalFormatting>
  <conditionalFormatting sqref="AT12">
    <cfRule type="cellIs" dxfId="679" priority="9" operator="notEqual">
      <formula>AT$56</formula>
    </cfRule>
  </conditionalFormatting>
  <conditionalFormatting sqref="AU12:AW12">
    <cfRule type="cellIs" dxfId="678" priority="8" operator="notEqual">
      <formula>AU$56</formula>
    </cfRule>
  </conditionalFormatting>
  <conditionalFormatting sqref="AT13">
    <cfRule type="cellIs" dxfId="677" priority="7" operator="notEqual">
      <formula>AT$56</formula>
    </cfRule>
  </conditionalFormatting>
  <conditionalFormatting sqref="AU13:AW13">
    <cfRule type="cellIs" dxfId="676" priority="6" operator="notEqual">
      <formula>AU$56</formula>
    </cfRule>
  </conditionalFormatting>
  <conditionalFormatting sqref="AT14">
    <cfRule type="cellIs" dxfId="675" priority="5" operator="notEqual">
      <formula>AT$56</formula>
    </cfRule>
  </conditionalFormatting>
  <conditionalFormatting sqref="AU14:AW14">
    <cfRule type="cellIs" dxfId="674" priority="4" operator="notEqual">
      <formula>AU$56</formula>
    </cfRule>
  </conditionalFormatting>
  <conditionalFormatting sqref="AT8">
    <cfRule type="cellIs" dxfId="673" priority="37" operator="notEqual">
      <formula>AT$126</formula>
    </cfRule>
  </conditionalFormatting>
  <conditionalFormatting sqref="AU8:AV8">
    <cfRule type="cellIs" dxfId="672" priority="36" operator="notEqual">
      <formula>AU$56</formula>
    </cfRule>
  </conditionalFormatting>
  <conditionalFormatting sqref="AU15:AW21">
    <cfRule type="cellIs" dxfId="671" priority="22" operator="notEqual">
      <formula>AU$56</formula>
    </cfRule>
  </conditionalFormatting>
  <conditionalFormatting sqref="AT9">
    <cfRule type="cellIs" dxfId="670" priority="35" operator="notEqual">
      <formula>AT$56</formula>
    </cfRule>
  </conditionalFormatting>
  <conditionalFormatting sqref="AU9:AV9">
    <cfRule type="cellIs" dxfId="669" priority="34" operator="notEqual">
      <formula>AU$56</formula>
    </cfRule>
  </conditionalFormatting>
  <conditionalFormatting sqref="AT10">
    <cfRule type="cellIs" dxfId="668" priority="33" operator="notEqual">
      <formula>AT$56</formula>
    </cfRule>
  </conditionalFormatting>
  <conditionalFormatting sqref="AU10:AV10">
    <cfRule type="cellIs" dxfId="667" priority="32" operator="notEqual">
      <formula>AU$56</formula>
    </cfRule>
  </conditionalFormatting>
  <conditionalFormatting sqref="AT11">
    <cfRule type="cellIs" dxfId="666" priority="31" operator="notEqual">
      <formula>AT$56</formula>
    </cfRule>
  </conditionalFormatting>
  <conditionalFormatting sqref="AU11:AW11">
    <cfRule type="cellIs" dxfId="665" priority="30" operator="notEqual">
      <formula>AU$56</formula>
    </cfRule>
  </conditionalFormatting>
  <conditionalFormatting sqref="AT12">
    <cfRule type="cellIs" dxfId="664" priority="29" operator="notEqual">
      <formula>AT$56</formula>
    </cfRule>
  </conditionalFormatting>
  <conditionalFormatting sqref="AU12:AW12">
    <cfRule type="cellIs" dxfId="663" priority="28" operator="notEqual">
      <formula>AU$56</formula>
    </cfRule>
  </conditionalFormatting>
  <conditionalFormatting sqref="AT13">
    <cfRule type="cellIs" dxfId="662" priority="27" operator="notEqual">
      <formula>AT$56</formula>
    </cfRule>
  </conditionalFormatting>
  <conditionalFormatting sqref="AU13:AW13">
    <cfRule type="cellIs" dxfId="661" priority="26" operator="notEqual">
      <formula>AU$56</formula>
    </cfRule>
  </conditionalFormatting>
  <conditionalFormatting sqref="AT14">
    <cfRule type="cellIs" dxfId="660" priority="25" operator="notEqual">
      <formula>AT$56</formula>
    </cfRule>
  </conditionalFormatting>
  <conditionalFormatting sqref="AU14:AW14">
    <cfRule type="cellIs" dxfId="659" priority="24" operator="notEqual">
      <formula>AU$56</formula>
    </cfRule>
  </conditionalFormatting>
  <conditionalFormatting sqref="AT15:AT21">
    <cfRule type="cellIs" dxfId="658" priority="23" operator="notEqual">
      <formula>AT$56</formula>
    </cfRule>
  </conditionalFormatting>
  <conditionalFormatting sqref="AT7:AW21">
    <cfRule type="cellIs" dxfId="657" priority="21" operator="notEqual">
      <formula>AT$126</formula>
    </cfRule>
  </conditionalFormatting>
  <conditionalFormatting sqref="AT15:AT21">
    <cfRule type="cellIs" dxfId="656" priority="20" operator="notEqual">
      <formula>AT$56</formula>
    </cfRule>
  </conditionalFormatting>
  <conditionalFormatting sqref="AU10:AV10">
    <cfRule type="cellIs" dxfId="655" priority="12" operator="notEqual">
      <formula>AU$56</formula>
    </cfRule>
  </conditionalFormatting>
  <conditionalFormatting sqref="AW7:AW9">
    <cfRule type="cellIs" dxfId="654" priority="3" operator="notEqual">
      <formula>AV$56</formula>
    </cfRule>
  </conditionalFormatting>
  <conditionalFormatting sqref="AW10">
    <cfRule type="cellIs" dxfId="653" priority="1" operator="notEqual">
      <formula>AW$56</formula>
    </cfRule>
  </conditionalFormatting>
  <conditionalFormatting sqref="AW10">
    <cfRule type="cellIs" dxfId="652" priority="2" operator="notEqual">
      <formula>AW$56</formula>
    </cfRule>
  </conditionalFormatting>
  <hyperlinks>
    <hyperlink ref="A5" location="Strategy!B24" display="Back To Main" xr:uid="{00000000-0004-0000-0A00-000000000000}"/>
    <hyperlink ref="A2" location="'Table of Contents'!A1" display="Go to TOC" xr:uid="{00000000-0004-0000-0A00-000001000000}"/>
  </hyperlinks>
  <pageMargins left="0.7" right="0.7" top="0.75" bottom="0.75" header="0.3" footer="0.3"/>
  <pageSetup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KX230"/>
  <sheetViews>
    <sheetView showGridLines="0"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1" sqref="B1:B1048576"/>
    </sheetView>
  </sheetViews>
  <sheetFormatPr defaultColWidth="15.5703125" defaultRowHeight="12.75" x14ac:dyDescent="0.2"/>
  <cols>
    <col min="1" max="1" width="15" customWidth="1"/>
    <col min="2" max="2" width="46.85546875" customWidth="1"/>
    <col min="3" max="3" width="22.140625" customWidth="1"/>
    <col min="4" max="4" width="21.5703125" customWidth="1"/>
    <col min="5" max="5" width="20.42578125" customWidth="1"/>
    <col min="6" max="6" width="21.5703125" customWidth="1"/>
    <col min="7" max="7" width="21.42578125" customWidth="1"/>
    <col min="8" max="8" width="19.42578125" customWidth="1"/>
    <col min="9" max="9" width="20.5703125" customWidth="1"/>
    <col min="10" max="10" width="19.5703125" customWidth="1"/>
    <col min="12" max="12" width="18.85546875" customWidth="1"/>
    <col min="14" max="14" width="20" customWidth="1"/>
    <col min="16" max="16" width="19.42578125" customWidth="1"/>
    <col min="18" max="18" width="18.140625" customWidth="1"/>
    <col min="20" max="20" width="17.42578125" bestFit="1" customWidth="1"/>
    <col min="22" max="22" width="17.42578125" bestFit="1" customWidth="1"/>
    <col min="23" max="23" width="9.42578125" bestFit="1" customWidth="1"/>
    <col min="24" max="24" width="17.42578125" bestFit="1" customWidth="1"/>
    <col min="25" max="25" width="9.42578125" bestFit="1" customWidth="1"/>
    <col min="26" max="26" width="17.42578125" bestFit="1" customWidth="1"/>
    <col min="27" max="27" width="9.42578125" bestFit="1" customWidth="1"/>
    <col min="28" max="28" width="17.42578125" bestFit="1" customWidth="1"/>
    <col min="29" max="29" width="9.42578125" bestFit="1" customWidth="1"/>
    <col min="30" max="30" width="17.42578125" bestFit="1" customWidth="1"/>
    <col min="31" max="31" width="9.42578125" bestFit="1" customWidth="1"/>
    <col min="32" max="32" width="12" customWidth="1"/>
    <col min="33" max="33" width="10.85546875" bestFit="1" customWidth="1"/>
    <col min="34" max="38" width="12.85546875" bestFit="1" customWidth="1"/>
  </cols>
  <sheetData>
    <row r="1" spans="1:4" s="12" customFormat="1" ht="15.75" x14ac:dyDescent="0.2">
      <c r="A1" s="14" t="s">
        <v>9</v>
      </c>
      <c r="B1" s="19" t="s">
        <v>280</v>
      </c>
    </row>
    <row r="2" spans="1:4" s="12" customFormat="1" x14ac:dyDescent="0.2">
      <c r="A2" s="15"/>
    </row>
    <row r="3" spans="1:4" s="12" customFormat="1" x14ac:dyDescent="0.2">
      <c r="A3" s="15"/>
      <c r="B3" s="18" t="str">
        <f ca="1">GetNameRange(B4)</f>
        <v>Strategy</v>
      </c>
    </row>
    <row r="4" spans="1:4" s="12" customFormat="1" x14ac:dyDescent="0.2">
      <c r="A4" s="75"/>
      <c r="B4" s="77" t="s">
        <v>10</v>
      </c>
      <c r="C4" s="73" t="s">
        <v>448</v>
      </c>
      <c r="D4" s="73" t="s">
        <v>448</v>
      </c>
    </row>
    <row r="5" spans="1:4" s="12" customFormat="1" x14ac:dyDescent="0.2">
      <c r="A5" s="75"/>
      <c r="B5" s="133" t="s">
        <v>279</v>
      </c>
      <c r="C5" s="29" t="s">
        <v>402</v>
      </c>
      <c r="D5" s="316" t="s">
        <v>750</v>
      </c>
    </row>
    <row r="6" spans="1:4" s="12" customFormat="1" x14ac:dyDescent="0.2">
      <c r="A6" s="76" t="s">
        <v>8</v>
      </c>
      <c r="B6" s="21" t="s">
        <v>0</v>
      </c>
      <c r="C6" s="29"/>
      <c r="D6" s="29"/>
    </row>
    <row r="7" spans="1:4" s="12" customFormat="1" x14ac:dyDescent="0.2">
      <c r="A7" s="22"/>
      <c r="B7" s="79"/>
      <c r="C7" s="80"/>
      <c r="D7" s="80"/>
    </row>
    <row r="8" spans="1:4" s="12" customFormat="1" x14ac:dyDescent="0.2">
      <c r="A8" s="22"/>
      <c r="B8" s="79" t="s">
        <v>398</v>
      </c>
      <c r="C8" s="33"/>
      <c r="D8" s="33"/>
    </row>
    <row r="9" spans="1:4" s="12" customFormat="1" x14ac:dyDescent="0.2">
      <c r="A9" s="87">
        <v>0</v>
      </c>
      <c r="B9" s="113" t="s">
        <v>268</v>
      </c>
      <c r="C9" s="82">
        <v>100</v>
      </c>
      <c r="D9" s="82">
        <v>100</v>
      </c>
    </row>
    <row r="10" spans="1:4" s="12" customFormat="1" x14ac:dyDescent="0.2">
      <c r="A10" s="86">
        <v>120</v>
      </c>
      <c r="B10" s="113" t="s">
        <v>269</v>
      </c>
      <c r="C10" s="33">
        <v>120</v>
      </c>
      <c r="D10" s="33">
        <v>120</v>
      </c>
    </row>
    <row r="11" spans="1:4" s="12" customFormat="1" x14ac:dyDescent="0.2">
      <c r="A11" s="131">
        <v>120</v>
      </c>
      <c r="B11" s="113" t="s">
        <v>270</v>
      </c>
      <c r="C11" s="132">
        <v>120</v>
      </c>
      <c r="D11" s="132">
        <v>120</v>
      </c>
    </row>
    <row r="12" spans="1:4" s="12" customFormat="1" x14ac:dyDescent="0.2">
      <c r="A12" s="88" t="s">
        <v>6</v>
      </c>
      <c r="B12" s="113" t="s">
        <v>272</v>
      </c>
      <c r="C12" s="317" t="str">
        <f>D12</f>
        <v>2Y_Public Corp_A,2Y_Public Corp_BBB,3Y_Public Corp_A,3Y_Public Corp_AAA,3Y_Public Corp_B,3Y_Public Corp_BBB,5Y_Public Corp_A,5Y_Public Corp_AA,5Y_Public Corp_AAA,5Y_Public Corp_B,5Y_Public Corp_BB,5Y_Public Corp_BBB,7Y_Public Corp_A,7Y_Public Corp_B,7Y_Public Corp_BB,7Y_Public Corp_BBB,10Y_Public Corp_A,10Y_Public Corp_AAA,10Y_Public Corp_B,10Y_Public Corp_BB,10Y_Public Corp_BBB,10Y_Public Corp_CCC,30Y_Public Corp_A,30Y_Public Corp_AA,30Y_Public Corp_BBB,20Y_Private Corp_A,20Y_Private Corp_BBB</v>
      </c>
      <c r="D12" s="290" t="str">
        <f>'Purch Bond Defn'!C4&amp;","&amp;'Purch Bond Defn'!D4&amp;","&amp;'Purch Bond Defn'!E4&amp;","&amp;'Purch Bond Defn'!F4&amp;","&amp;'Purch Bond Defn'!G4&amp;","&amp;'Purch Bond Defn'!H4&amp;","&amp;'Purch Bond Defn'!I4&amp;","&amp;'Purch Bond Defn'!J4&amp;","&amp;'Purch Bond Defn'!K4&amp;","&amp;'Purch Bond Defn'!L4&amp;","&amp;'Purch Bond Defn'!M4&amp;","&amp;'Purch Bond Defn'!N4&amp;","&amp;'Purch Bond Defn'!O4&amp;","&amp;'Purch Bond Defn'!P4&amp;","&amp;'Purch Bond Defn'!Q4&amp;","&amp;'Purch Bond Defn'!R4&amp;","&amp;'Purch Bond Defn'!S4&amp;","&amp;'Purch Bond Defn'!U4&amp;","&amp;'Purch Bond Defn'!V4&amp;","&amp;'Purch Bond Defn'!W4&amp;","&amp;'Purch Bond Defn'!X4&amp;","&amp;'Purch Bond Defn'!Y4&amp;","&amp;'Purch Bond Defn'!Z4&amp;","&amp;'Purch Bond Defn'!AA4&amp;","&amp;'Purch Bond Defn'!AB4&amp;","&amp;'Purch Bond Defn'!AC4&amp;","&amp;'Purch Bond Defn'!AD4</f>
        <v>2Y_Public Corp_A,2Y_Public Corp_BBB,3Y_Public Corp_A,3Y_Public Corp_AAA,3Y_Public Corp_B,3Y_Public Corp_BBB,5Y_Public Corp_A,5Y_Public Corp_AA,5Y_Public Corp_AAA,5Y_Public Corp_B,5Y_Public Corp_BB,5Y_Public Corp_BBB,7Y_Public Corp_A,7Y_Public Corp_B,7Y_Public Corp_BB,7Y_Public Corp_BBB,10Y_Public Corp_A,10Y_Public Corp_AAA,10Y_Public Corp_B,10Y_Public Corp_BB,10Y_Public Corp_BBB,10Y_Public Corp_CCC,30Y_Public Corp_A,30Y_Public Corp_AA,30Y_Public Corp_BBB,20Y_Private Corp_A,20Y_Private Corp_BBB</v>
      </c>
    </row>
    <row r="13" spans="1:4" s="12" customFormat="1" x14ac:dyDescent="0.2">
      <c r="A13" s="86" t="s">
        <v>6</v>
      </c>
      <c r="B13" s="113" t="s">
        <v>273</v>
      </c>
      <c r="C13" s="291" t="str">
        <f>'Purch Mtg Defn'!C4&amp;","&amp;'Purch Mtg Defn'!D4&amp;","&amp;'Purch Mtg Defn'!E4&amp;","&amp;'Purch Mtg Defn'!G4&amp;","&amp;'Purch Mtg Defn'!F4&amp;","&amp;'Purch Mtg Defn'!H4&amp;","&amp;'Purch Mtg Defn'!I4</f>
        <v>2Y_CML,3Y_CML,5Y_CML,10Y_CML,5Y_RML,15Y_CML,20Y_CML</v>
      </c>
      <c r="D13" s="291" t="str">
        <f>'Purch Mtg Defn'!C4&amp;","&amp;'Purch Mtg Defn'!D4&amp;","&amp;'Purch Mtg Defn'!E4&amp;","&amp;'Purch Mtg Defn'!G4&amp;","&amp;'Purch Mtg Defn'!F4&amp;","&amp;'Purch Mtg Defn'!H4&amp;","&amp;'Purch Mtg Defn'!I4</f>
        <v>2Y_CML,3Y_CML,5Y_CML,10Y_CML,5Y_RML,15Y_CML,20Y_CML</v>
      </c>
    </row>
    <row r="14" spans="1:4" s="12" customFormat="1" x14ac:dyDescent="0.2">
      <c r="A14" s="86" t="s">
        <v>6</v>
      </c>
      <c r="B14" s="113" t="s">
        <v>274</v>
      </c>
      <c r="C14" s="33" t="s">
        <v>6</v>
      </c>
      <c r="D14" s="33" t="s">
        <v>6</v>
      </c>
    </row>
    <row r="15" spans="1:4" s="12" customFormat="1" x14ac:dyDescent="0.2">
      <c r="A15" s="86" t="s">
        <v>6</v>
      </c>
      <c r="B15" s="113" t="s">
        <v>275</v>
      </c>
      <c r="C15" s="33" t="s">
        <v>6</v>
      </c>
      <c r="D15" s="33" t="s">
        <v>6</v>
      </c>
    </row>
    <row r="16" spans="1:4" s="12" customFormat="1" x14ac:dyDescent="0.2">
      <c r="A16" s="86" t="s">
        <v>6</v>
      </c>
      <c r="B16" s="113" t="s">
        <v>276</v>
      </c>
      <c r="C16" s="33" t="s">
        <v>6</v>
      </c>
      <c r="D16" s="33" t="s">
        <v>6</v>
      </c>
    </row>
    <row r="17" spans="1:7" s="12" customFormat="1" x14ac:dyDescent="0.2">
      <c r="A17" s="86" t="s">
        <v>6</v>
      </c>
      <c r="B17" s="113" t="s">
        <v>277</v>
      </c>
      <c r="C17" s="33" t="s">
        <v>6</v>
      </c>
      <c r="D17" s="33" t="s">
        <v>6</v>
      </c>
    </row>
    <row r="18" spans="1:7" s="12" customFormat="1" x14ac:dyDescent="0.2">
      <c r="A18" s="86" t="s">
        <v>6</v>
      </c>
      <c r="B18" s="113" t="s">
        <v>278</v>
      </c>
      <c r="C18" s="33" t="s">
        <v>6</v>
      </c>
      <c r="D18" s="33" t="s">
        <v>6</v>
      </c>
    </row>
    <row r="19" spans="1:7" s="12" customFormat="1" x14ac:dyDescent="0.2">
      <c r="A19" s="15"/>
      <c r="B19" s="78"/>
      <c r="C19" s="112"/>
      <c r="D19" s="112"/>
      <c r="F19" s="15"/>
    </row>
    <row r="20" spans="1:7" s="12" customFormat="1" x14ac:dyDescent="0.2">
      <c r="A20" s="15"/>
      <c r="B20" s="79" t="s">
        <v>399</v>
      </c>
      <c r="C20" s="112"/>
      <c r="D20" s="112"/>
    </row>
    <row r="21" spans="1:7" s="12" customFormat="1" x14ac:dyDescent="0.2">
      <c r="A21" s="90"/>
      <c r="B21" s="153" t="s">
        <v>368</v>
      </c>
      <c r="C21" s="33" t="s">
        <v>368</v>
      </c>
      <c r="D21" s="33" t="s">
        <v>368</v>
      </c>
    </row>
    <row r="22" spans="1:7" s="12" customFormat="1" x14ac:dyDescent="0.2">
      <c r="A22" s="15"/>
      <c r="B22" s="78"/>
      <c r="C22" s="112"/>
      <c r="D22" s="112"/>
    </row>
    <row r="23" spans="1:7" s="12" customFormat="1" x14ac:dyDescent="0.2">
      <c r="A23" s="15"/>
      <c r="B23" s="79" t="s">
        <v>400</v>
      </c>
      <c r="C23" s="112"/>
      <c r="D23" s="112"/>
    </row>
    <row r="24" spans="1:7" s="12" customFormat="1" x14ac:dyDescent="0.2">
      <c r="A24" s="15"/>
      <c r="B24" s="153" t="s">
        <v>285</v>
      </c>
      <c r="C24" s="33" t="s">
        <v>368</v>
      </c>
      <c r="D24" s="33" t="s">
        <v>368</v>
      </c>
    </row>
    <row r="25" spans="1:7" s="12" customFormat="1" x14ac:dyDescent="0.2">
      <c r="A25" s="15"/>
      <c r="B25" s="153" t="s">
        <v>562</v>
      </c>
      <c r="C25" s="33" t="s">
        <v>368</v>
      </c>
      <c r="D25" s="33" t="s">
        <v>368</v>
      </c>
    </row>
    <row r="26" spans="1:7" s="12" customFormat="1" x14ac:dyDescent="0.2">
      <c r="A26" s="15"/>
      <c r="B26" s="78"/>
      <c r="C26" s="112"/>
      <c r="D26" s="112"/>
    </row>
    <row r="27" spans="1:7" s="12" customFormat="1" x14ac:dyDescent="0.2">
      <c r="A27" s="15"/>
      <c r="B27" s="79" t="s">
        <v>401</v>
      </c>
      <c r="C27" s="112"/>
      <c r="D27" s="112"/>
    </row>
    <row r="28" spans="1:7" s="12" customFormat="1" x14ac:dyDescent="0.2">
      <c r="A28" s="58">
        <v>0</v>
      </c>
      <c r="B28" s="113" t="s">
        <v>271</v>
      </c>
      <c r="C28" s="262">
        <v>0</v>
      </c>
      <c r="D28" s="262">
        <v>0</v>
      </c>
    </row>
    <row r="29" spans="1:7" s="12" customFormat="1" x14ac:dyDescent="0.2">
      <c r="A29" s="15"/>
      <c r="B29" s="153" t="s">
        <v>564</v>
      </c>
      <c r="C29" s="33" t="s">
        <v>368</v>
      </c>
      <c r="D29" s="33" t="s">
        <v>368</v>
      </c>
    </row>
    <row r="30" spans="1:7" s="12" customFormat="1" x14ac:dyDescent="0.2">
      <c r="A30" s="58">
        <v>0</v>
      </c>
      <c r="B30" s="113" t="s">
        <v>563</v>
      </c>
      <c r="C30" s="262">
        <v>0</v>
      </c>
      <c r="D30" s="262">
        <v>0</v>
      </c>
    </row>
    <row r="31" spans="1:7" s="12" customFormat="1" x14ac:dyDescent="0.2">
      <c r="A31" s="15"/>
      <c r="B31" s="153" t="s">
        <v>565</v>
      </c>
      <c r="C31" s="33" t="s">
        <v>368</v>
      </c>
      <c r="D31" s="33" t="s">
        <v>368</v>
      </c>
      <c r="E31" s="274"/>
      <c r="F31" s="11"/>
      <c r="G31" s="275"/>
    </row>
    <row r="32" spans="1:7" s="12" customFormat="1" x14ac:dyDescent="0.2">
      <c r="A32" s="15"/>
      <c r="B32" s="78"/>
      <c r="C32" s="112"/>
      <c r="D32" s="112"/>
      <c r="E32" s="274"/>
      <c r="F32" s="11"/>
      <c r="G32" s="275"/>
    </row>
    <row r="33" spans="1:176" s="12" customFormat="1" x14ac:dyDescent="0.2">
      <c r="A33" s="15"/>
      <c r="B33" s="79" t="s">
        <v>566</v>
      </c>
      <c r="C33" s="112"/>
      <c r="D33" s="112"/>
      <c r="E33" s="274"/>
      <c r="F33" s="11"/>
      <c r="G33" s="275"/>
    </row>
    <row r="34" spans="1:176" s="12" customFormat="1" x14ac:dyDescent="0.2">
      <c r="A34" s="86" t="s">
        <v>39</v>
      </c>
      <c r="B34" s="113" t="s">
        <v>306</v>
      </c>
      <c r="C34" s="33" t="s">
        <v>120</v>
      </c>
      <c r="D34" s="33" t="s">
        <v>120</v>
      </c>
      <c r="E34" s="274"/>
      <c r="F34" s="11"/>
      <c r="G34" s="275"/>
    </row>
    <row r="35" spans="1:176" s="12" customFormat="1" x14ac:dyDescent="0.2">
      <c r="A35" s="86" t="s">
        <v>308</v>
      </c>
      <c r="B35" s="113" t="s">
        <v>307</v>
      </c>
      <c r="C35" s="33" t="s">
        <v>308</v>
      </c>
      <c r="D35" s="33" t="s">
        <v>308</v>
      </c>
      <c r="E35" s="274"/>
      <c r="F35" s="11"/>
      <c r="G35" s="275"/>
    </row>
    <row r="36" spans="1:176" s="12" customFormat="1" x14ac:dyDescent="0.2">
      <c r="A36" s="86" t="s">
        <v>5</v>
      </c>
      <c r="B36" s="323" t="s">
        <v>309</v>
      </c>
      <c r="C36" s="324" t="s">
        <v>41</v>
      </c>
      <c r="D36" s="324" t="s">
        <v>41</v>
      </c>
      <c r="E36" s="274"/>
      <c r="F36" s="11"/>
      <c r="G36" s="275"/>
    </row>
    <row r="37" spans="1:176" s="12" customFormat="1" x14ac:dyDescent="0.2">
      <c r="A37" s="86">
        <v>1</v>
      </c>
      <c r="B37" s="113" t="s">
        <v>567</v>
      </c>
      <c r="C37" s="33">
        <v>1</v>
      </c>
      <c r="D37" s="33">
        <v>1</v>
      </c>
      <c r="E37" s="274"/>
      <c r="F37" s="11"/>
      <c r="G37" s="275"/>
    </row>
    <row r="38" spans="1:176" s="12" customFormat="1" x14ac:dyDescent="0.2">
      <c r="A38" s="86">
        <v>1</v>
      </c>
      <c r="B38" s="113" t="s">
        <v>568</v>
      </c>
      <c r="C38" s="33">
        <v>1</v>
      </c>
      <c r="D38" s="33">
        <v>1</v>
      </c>
      <c r="E38" s="274"/>
      <c r="F38" s="11"/>
      <c r="G38" s="275"/>
    </row>
    <row r="39" spans="1:176" s="12" customFormat="1" x14ac:dyDescent="0.2">
      <c r="A39" s="86">
        <v>0</v>
      </c>
      <c r="B39" s="113" t="s">
        <v>569</v>
      </c>
      <c r="C39" s="33">
        <v>0</v>
      </c>
      <c r="D39" s="33">
        <v>0</v>
      </c>
      <c r="E39" s="274"/>
      <c r="F39" s="11"/>
      <c r="G39" s="275"/>
    </row>
    <row r="40" spans="1:176" s="12" customFormat="1" x14ac:dyDescent="0.2">
      <c r="A40" s="86">
        <v>1</v>
      </c>
      <c r="B40" s="114" t="s">
        <v>570</v>
      </c>
      <c r="C40" s="35">
        <v>1</v>
      </c>
      <c r="D40" s="35">
        <v>1</v>
      </c>
    </row>
    <row r="41" spans="1:176" s="12" customFormat="1" x14ac:dyDescent="0.2">
      <c r="A41" s="15"/>
    </row>
    <row r="42" spans="1:176" s="39" customFormat="1" x14ac:dyDescent="0.2">
      <c r="A42" s="14" t="s">
        <v>9</v>
      </c>
      <c r="B42" s="18" t="str">
        <f ca="1">GetNameRange(B43)</f>
        <v>InvStratCashPctDistribnDefn</v>
      </c>
      <c r="C42" s="63"/>
      <c r="D42" s="63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>
        <v>3</v>
      </c>
      <c r="V42" s="12">
        <v>4</v>
      </c>
      <c r="W42" s="12">
        <f>V42+1</f>
        <v>5</v>
      </c>
      <c r="X42" s="12">
        <f t="shared" ref="X42" si="0">W42+1</f>
        <v>6</v>
      </c>
      <c r="Y42" s="12">
        <f t="shared" ref="Y42" si="1">X42+1</f>
        <v>7</v>
      </c>
      <c r="Z42" s="12">
        <f t="shared" ref="Z42" si="2">Y42+1</f>
        <v>8</v>
      </c>
      <c r="AA42" s="12">
        <f t="shared" ref="AA42" si="3">Z42+1</f>
        <v>9</v>
      </c>
      <c r="AB42" s="12">
        <f t="shared" ref="AB42" si="4">AA42+1</f>
        <v>10</v>
      </c>
      <c r="AC42" s="12">
        <f t="shared" ref="AC42" si="5">AB42+1</f>
        <v>11</v>
      </c>
      <c r="AD42" s="12">
        <f t="shared" ref="AD42" si="6">AC42+1</f>
        <v>12</v>
      </c>
      <c r="AE42" s="12">
        <f t="shared" ref="AE42" si="7">AD42+1</f>
        <v>13</v>
      </c>
      <c r="AF42" s="12">
        <f>AD42+1</f>
        <v>13</v>
      </c>
      <c r="AG42" s="12"/>
      <c r="AH42" s="12"/>
      <c r="AI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</row>
    <row r="43" spans="1:176" s="39" customFormat="1" x14ac:dyDescent="0.2">
      <c r="A43" s="199" t="s">
        <v>403</v>
      </c>
      <c r="B43" s="142" t="s">
        <v>281</v>
      </c>
      <c r="C43" s="143" t="s">
        <v>651</v>
      </c>
      <c r="D43" s="143" t="s">
        <v>652</v>
      </c>
      <c r="E43" s="143" t="s">
        <v>653</v>
      </c>
      <c r="F43" s="143" t="s">
        <v>654</v>
      </c>
      <c r="G43" s="143" t="s">
        <v>655</v>
      </c>
      <c r="H43" s="143" t="s">
        <v>656</v>
      </c>
      <c r="I43" s="143" t="s">
        <v>657</v>
      </c>
      <c r="J43" s="143" t="s">
        <v>658</v>
      </c>
      <c r="K43" s="143" t="s">
        <v>659</v>
      </c>
      <c r="L43" s="143" t="s">
        <v>662</v>
      </c>
      <c r="M43" s="143" t="s">
        <v>661</v>
      </c>
      <c r="N43" s="143" t="s">
        <v>660</v>
      </c>
      <c r="O43" s="143" t="s">
        <v>663</v>
      </c>
      <c r="P43" s="143" t="s">
        <v>664</v>
      </c>
      <c r="Q43" s="143" t="s">
        <v>665</v>
      </c>
      <c r="R43" s="143" t="s">
        <v>666</v>
      </c>
      <c r="S43" s="143" t="s">
        <v>667</v>
      </c>
      <c r="T43" s="143" t="s">
        <v>668</v>
      </c>
      <c r="U43" s="143" t="str">
        <f t="shared" ref="U43:AE43" si="8">U42&amp;"Y_TgtDur"</f>
        <v>3Y_TgtDur</v>
      </c>
      <c r="V43" s="143" t="str">
        <f t="shared" si="8"/>
        <v>4Y_TgtDur</v>
      </c>
      <c r="W43" s="143" t="str">
        <f t="shared" si="8"/>
        <v>5Y_TgtDur</v>
      </c>
      <c r="X43" s="143" t="str">
        <f t="shared" si="8"/>
        <v>6Y_TgtDur</v>
      </c>
      <c r="Y43" s="143" t="str">
        <f t="shared" si="8"/>
        <v>7Y_TgtDur</v>
      </c>
      <c r="Z43" s="143" t="str">
        <f t="shared" si="8"/>
        <v>8Y_TgtDur</v>
      </c>
      <c r="AA43" s="143" t="str">
        <f t="shared" si="8"/>
        <v>9Y_TgtDur</v>
      </c>
      <c r="AB43" s="143" t="str">
        <f t="shared" si="8"/>
        <v>10Y_TgtDur</v>
      </c>
      <c r="AC43" s="143" t="str">
        <f t="shared" si="8"/>
        <v>11Y_TgtDur</v>
      </c>
      <c r="AD43" s="143" t="str">
        <f t="shared" si="8"/>
        <v>12Y_TgtDur</v>
      </c>
      <c r="AE43" s="143" t="str">
        <f t="shared" si="8"/>
        <v>13Y_TgtDur</v>
      </c>
      <c r="AF43" s="143" t="str">
        <f t="shared" ref="AF43" si="9">AF42&amp;"Y_TgtDur"</f>
        <v>13Y_TgtDur</v>
      </c>
      <c r="AG43" s="143" t="s">
        <v>752</v>
      </c>
      <c r="AH43" s="143" t="s">
        <v>758</v>
      </c>
      <c r="AI43" s="143" t="s">
        <v>759</v>
      </c>
      <c r="AJ43" s="143" t="s">
        <v>760</v>
      </c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</row>
    <row r="44" spans="1:176" s="39" customFormat="1" x14ac:dyDescent="0.2">
      <c r="A44" s="22"/>
      <c r="B44" s="144" t="s">
        <v>0</v>
      </c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145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</row>
    <row r="45" spans="1:176" s="39" customFormat="1" x14ac:dyDescent="0.2">
      <c r="A45" s="138">
        <v>0</v>
      </c>
      <c r="B45" s="191" t="s">
        <v>282</v>
      </c>
      <c r="C45" s="298">
        <v>0</v>
      </c>
      <c r="D45" s="298">
        <v>0</v>
      </c>
      <c r="E45" s="298">
        <v>0</v>
      </c>
      <c r="F45" s="298">
        <v>0</v>
      </c>
      <c r="G45" s="298">
        <v>0</v>
      </c>
      <c r="H45" s="298">
        <v>0</v>
      </c>
      <c r="I45" s="298">
        <v>0</v>
      </c>
      <c r="J45" s="298">
        <v>0</v>
      </c>
      <c r="K45" s="298">
        <v>0</v>
      </c>
      <c r="L45" s="298">
        <v>0</v>
      </c>
      <c r="M45" s="298">
        <v>0</v>
      </c>
      <c r="N45" s="298">
        <v>0</v>
      </c>
      <c r="O45" s="298">
        <v>0</v>
      </c>
      <c r="P45" s="298">
        <v>0</v>
      </c>
      <c r="Q45" s="298">
        <v>0</v>
      </c>
      <c r="R45" s="298">
        <v>0</v>
      </c>
      <c r="S45" s="298">
        <v>0</v>
      </c>
      <c r="T45" s="298">
        <v>0</v>
      </c>
      <c r="U45" s="298">
        <v>0</v>
      </c>
      <c r="V45" s="298">
        <v>0</v>
      </c>
      <c r="W45" s="298">
        <v>0</v>
      </c>
      <c r="X45" s="298">
        <v>0</v>
      </c>
      <c r="Y45" s="298">
        <v>0</v>
      </c>
      <c r="Z45" s="298">
        <v>0</v>
      </c>
      <c r="AA45" s="298">
        <v>0</v>
      </c>
      <c r="AB45" s="298">
        <v>0</v>
      </c>
      <c r="AC45" s="298">
        <v>0</v>
      </c>
      <c r="AD45" s="298">
        <v>0</v>
      </c>
      <c r="AE45" s="298">
        <v>0</v>
      </c>
      <c r="AF45" s="298">
        <v>0</v>
      </c>
      <c r="AG45" s="298">
        <v>0</v>
      </c>
      <c r="AH45" s="298">
        <v>0</v>
      </c>
      <c r="AI45" s="298">
        <v>0</v>
      </c>
      <c r="AJ45" s="298">
        <v>0</v>
      </c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</row>
    <row r="46" spans="1:176" s="39" customFormat="1" x14ac:dyDescent="0.2">
      <c r="A46" s="58" t="s">
        <v>284</v>
      </c>
      <c r="B46" s="192" t="s">
        <v>283</v>
      </c>
      <c r="C46" s="303" t="s">
        <v>284</v>
      </c>
      <c r="D46" s="303" t="s">
        <v>284</v>
      </c>
      <c r="E46" s="303" t="s">
        <v>284</v>
      </c>
      <c r="F46" s="303" t="s">
        <v>284</v>
      </c>
      <c r="G46" s="303" t="s">
        <v>284</v>
      </c>
      <c r="H46" s="303" t="s">
        <v>284</v>
      </c>
      <c r="I46" s="303" t="s">
        <v>284</v>
      </c>
      <c r="J46" s="303" t="s">
        <v>284</v>
      </c>
      <c r="K46" s="303" t="s">
        <v>284</v>
      </c>
      <c r="L46" s="303" t="s">
        <v>284</v>
      </c>
      <c r="M46" s="303" t="s">
        <v>284</v>
      </c>
      <c r="N46" s="303" t="s">
        <v>284</v>
      </c>
      <c r="O46" s="303" t="s">
        <v>284</v>
      </c>
      <c r="P46" s="303" t="s">
        <v>284</v>
      </c>
      <c r="Q46" s="303" t="s">
        <v>284</v>
      </c>
      <c r="R46" s="303" t="s">
        <v>284</v>
      </c>
      <c r="S46" s="303" t="s">
        <v>284</v>
      </c>
      <c r="T46" s="303" t="s">
        <v>284</v>
      </c>
      <c r="U46" s="303" t="s">
        <v>284</v>
      </c>
      <c r="V46" s="303" t="s">
        <v>284</v>
      </c>
      <c r="W46" s="303" t="s">
        <v>284</v>
      </c>
      <c r="X46" s="303" t="s">
        <v>284</v>
      </c>
      <c r="Y46" s="303" t="s">
        <v>284</v>
      </c>
      <c r="Z46" s="303" t="s">
        <v>284</v>
      </c>
      <c r="AA46" s="303" t="s">
        <v>284</v>
      </c>
      <c r="AB46" s="303" t="s">
        <v>284</v>
      </c>
      <c r="AC46" s="303" t="s">
        <v>284</v>
      </c>
      <c r="AD46" s="303" t="s">
        <v>284</v>
      </c>
      <c r="AE46" s="303" t="s">
        <v>284</v>
      </c>
      <c r="AF46" s="303" t="s">
        <v>284</v>
      </c>
      <c r="AG46" s="303" t="s">
        <v>284</v>
      </c>
      <c r="AH46" s="303" t="s">
        <v>284</v>
      </c>
      <c r="AI46" s="303" t="s">
        <v>284</v>
      </c>
      <c r="AJ46" s="303" t="s">
        <v>284</v>
      </c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</row>
    <row r="47" spans="1:176" s="39" customFormat="1" x14ac:dyDescent="0.2">
      <c r="A47" s="22"/>
      <c r="B47" s="57"/>
      <c r="C47" s="136"/>
      <c r="D47" s="136"/>
      <c r="E47" s="136"/>
      <c r="F47" s="136"/>
      <c r="G47" s="136"/>
      <c r="H47" s="136"/>
      <c r="I47" s="136"/>
      <c r="J47" s="136"/>
      <c r="K47" s="136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</row>
    <row r="48" spans="1:176" s="39" customFormat="1" x14ac:dyDescent="0.2">
      <c r="A48" s="14" t="s">
        <v>9</v>
      </c>
      <c r="B48" s="18" t="str">
        <f ca="1">GetNameRange(B49)</f>
        <v>InvStratAssetSubPortInvTgtPct</v>
      </c>
      <c r="C48" s="40"/>
      <c r="D48" s="40"/>
      <c r="E48" s="40"/>
      <c r="F48" s="40"/>
      <c r="G48" s="40"/>
      <c r="H48" s="40"/>
      <c r="I48" s="40"/>
      <c r="J48" s="40"/>
      <c r="K48" s="40"/>
      <c r="L48" s="12"/>
      <c r="M48" s="12"/>
      <c r="N48" s="12"/>
      <c r="O48" s="12"/>
      <c r="P48" s="12"/>
      <c r="Q48" s="12"/>
      <c r="R48" s="12"/>
      <c r="S48" s="12"/>
      <c r="T48" s="12"/>
      <c r="U48" s="12">
        <v>3</v>
      </c>
      <c r="V48" s="12">
        <v>4</v>
      </c>
      <c r="W48" s="12">
        <f>V48+1</f>
        <v>5</v>
      </c>
      <c r="X48" s="12">
        <f t="shared" ref="X48:AE48" si="10">W48+1</f>
        <v>6</v>
      </c>
      <c r="Y48" s="12">
        <f t="shared" si="10"/>
        <v>7</v>
      </c>
      <c r="Z48" s="12">
        <f t="shared" si="10"/>
        <v>8</v>
      </c>
      <c r="AA48" s="12">
        <f t="shared" si="10"/>
        <v>9</v>
      </c>
      <c r="AB48" s="12">
        <f t="shared" si="10"/>
        <v>10</v>
      </c>
      <c r="AC48" s="12">
        <f t="shared" si="10"/>
        <v>11</v>
      </c>
      <c r="AD48" s="12">
        <f t="shared" si="10"/>
        <v>12</v>
      </c>
      <c r="AE48" s="12">
        <f t="shared" si="10"/>
        <v>13</v>
      </c>
      <c r="AF48" s="12">
        <f t="shared" ref="AF48" si="11">AE48+1</f>
        <v>14</v>
      </c>
      <c r="AG48" s="12">
        <f t="shared" ref="AG48" si="12">AF48+1</f>
        <v>15</v>
      </c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</row>
    <row r="49" spans="1:281" s="39" customFormat="1" x14ac:dyDescent="0.2">
      <c r="A49" s="199" t="s">
        <v>403</v>
      </c>
      <c r="B49" s="142" t="s">
        <v>281</v>
      </c>
      <c r="C49" s="143" t="str">
        <f>C43</f>
        <v>2Y_I</v>
      </c>
      <c r="D49" s="143" t="str">
        <f t="shared" ref="D49:K49" si="13">D43</f>
        <v>3Y_I</v>
      </c>
      <c r="E49" s="143" t="str">
        <f t="shared" si="13"/>
        <v>5Y_I</v>
      </c>
      <c r="F49" s="143" t="str">
        <f t="shared" si="13"/>
        <v>7Y_I</v>
      </c>
      <c r="G49" s="143" t="str">
        <f t="shared" si="13"/>
        <v>9Y_I</v>
      </c>
      <c r="H49" s="143" t="str">
        <f t="shared" si="13"/>
        <v>10Y_I</v>
      </c>
      <c r="I49" s="143" t="str">
        <f t="shared" si="13"/>
        <v>12Y_I</v>
      </c>
      <c r="J49" s="143" t="str">
        <f t="shared" si="13"/>
        <v>20Y_I</v>
      </c>
      <c r="K49" s="143" t="str">
        <f t="shared" si="13"/>
        <v>30Y_I</v>
      </c>
      <c r="L49" s="143" t="str">
        <f t="shared" ref="L49:T49" si="14">L43</f>
        <v>2Y_R</v>
      </c>
      <c r="M49" s="143" t="str">
        <f t="shared" si="14"/>
        <v>3Y_R</v>
      </c>
      <c r="N49" s="143" t="str">
        <f t="shared" si="14"/>
        <v>5Y_R</v>
      </c>
      <c r="O49" s="143" t="str">
        <f t="shared" si="14"/>
        <v>7Y_R</v>
      </c>
      <c r="P49" s="143" t="str">
        <f t="shared" si="14"/>
        <v>9Y_R</v>
      </c>
      <c r="Q49" s="143" t="str">
        <f t="shared" si="14"/>
        <v>10Y_R</v>
      </c>
      <c r="R49" s="143" t="str">
        <f t="shared" si="14"/>
        <v>12Y_R</v>
      </c>
      <c r="S49" s="143" t="str">
        <f t="shared" si="14"/>
        <v>20Y_R</v>
      </c>
      <c r="T49" s="62" t="str">
        <f t="shared" si="14"/>
        <v>30Y_R</v>
      </c>
      <c r="U49" s="62" t="str">
        <f t="shared" ref="U49:AE49" si="15">U48&amp;"Y_TgtDur"</f>
        <v>3Y_TgtDur</v>
      </c>
      <c r="V49" s="143" t="str">
        <f t="shared" si="15"/>
        <v>4Y_TgtDur</v>
      </c>
      <c r="W49" s="143" t="str">
        <f t="shared" si="15"/>
        <v>5Y_TgtDur</v>
      </c>
      <c r="X49" s="143" t="str">
        <f t="shared" si="15"/>
        <v>6Y_TgtDur</v>
      </c>
      <c r="Y49" s="143" t="str">
        <f t="shared" si="15"/>
        <v>7Y_TgtDur</v>
      </c>
      <c r="Z49" s="143" t="str">
        <f t="shared" si="15"/>
        <v>8Y_TgtDur</v>
      </c>
      <c r="AA49" s="143" t="str">
        <f t="shared" si="15"/>
        <v>9Y_TgtDur</v>
      </c>
      <c r="AB49" s="143" t="str">
        <f t="shared" si="15"/>
        <v>10Y_TgtDur</v>
      </c>
      <c r="AC49" s="143" t="str">
        <f t="shared" si="15"/>
        <v>11Y_TgtDur</v>
      </c>
      <c r="AD49" s="143" t="str">
        <f t="shared" si="15"/>
        <v>12Y_TgtDur</v>
      </c>
      <c r="AE49" s="143" t="str">
        <f t="shared" si="15"/>
        <v>13Y_TgtDur</v>
      </c>
      <c r="AF49" s="143" t="s">
        <v>714</v>
      </c>
      <c r="AG49" s="143" t="s">
        <v>756</v>
      </c>
      <c r="AH49" s="143" t="s">
        <v>752</v>
      </c>
      <c r="AI49" s="143" t="s">
        <v>758</v>
      </c>
      <c r="AJ49" s="143" t="s">
        <v>759</v>
      </c>
      <c r="AK49" s="143" t="s">
        <v>760</v>
      </c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</row>
    <row r="50" spans="1:281" s="39" customFormat="1" x14ac:dyDescent="0.2">
      <c r="B50" s="144" t="s">
        <v>494</v>
      </c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</row>
    <row r="51" spans="1:281" s="39" customFormat="1" x14ac:dyDescent="0.2">
      <c r="A51" s="138">
        <v>0</v>
      </c>
      <c r="B51" s="325" t="s">
        <v>616</v>
      </c>
      <c r="C51" s="319">
        <f>L51</f>
        <v>0.45200000000000001</v>
      </c>
      <c r="D51" s="319">
        <f t="shared" ref="D51:K61" si="16">M51</f>
        <v>0.34100000000000003</v>
      </c>
      <c r="E51" s="319">
        <f t="shared" si="16"/>
        <v>0.33609999999999995</v>
      </c>
      <c r="F51" s="319">
        <f t="shared" si="16"/>
        <v>0.33335999999999999</v>
      </c>
      <c r="G51" s="319">
        <f t="shared" si="16"/>
        <v>0.30500000000000005</v>
      </c>
      <c r="H51" s="319">
        <f t="shared" si="16"/>
        <v>0.31037500000000001</v>
      </c>
      <c r="I51" s="319">
        <f t="shared" si="16"/>
        <v>0.35599999999999998</v>
      </c>
      <c r="J51" s="319">
        <f t="shared" si="16"/>
        <v>0.40250000000000002</v>
      </c>
      <c r="K51" s="319">
        <f t="shared" si="16"/>
        <v>0.36462500000000003</v>
      </c>
      <c r="L51" s="330">
        <v>0.45200000000000001</v>
      </c>
      <c r="M51" s="330">
        <v>0.34100000000000003</v>
      </c>
      <c r="N51" s="330">
        <v>0.33609999999999995</v>
      </c>
      <c r="O51" s="330">
        <v>0.33335999999999999</v>
      </c>
      <c r="P51" s="330">
        <v>0.30500000000000005</v>
      </c>
      <c r="Q51" s="330">
        <v>0.31037500000000001</v>
      </c>
      <c r="R51" s="330">
        <v>0.35599999999999998</v>
      </c>
      <c r="S51" s="330">
        <v>0.40250000000000002</v>
      </c>
      <c r="T51" s="330">
        <v>0.36462500000000003</v>
      </c>
      <c r="U51" s="330">
        <v>0.38442000000000004</v>
      </c>
      <c r="V51" s="330">
        <v>0.33806000000000003</v>
      </c>
      <c r="W51" s="330">
        <v>0.33500399999999997</v>
      </c>
      <c r="X51" s="330">
        <v>0.32768763537500001</v>
      </c>
      <c r="Y51" s="330">
        <v>0.31037500000000001</v>
      </c>
      <c r="Z51" s="330">
        <v>0.35599999999999998</v>
      </c>
      <c r="AA51" s="330">
        <v>0.37460000000000004</v>
      </c>
      <c r="AB51" s="330">
        <v>0.38855000000000001</v>
      </c>
      <c r="AC51" s="330">
        <v>0.40250000000000002</v>
      </c>
      <c r="AD51" s="330">
        <v>0.38356250000000008</v>
      </c>
      <c r="AE51" s="330">
        <v>0.37220000000000009</v>
      </c>
      <c r="AF51" s="330">
        <v>0.36462500000000003</v>
      </c>
      <c r="AG51" s="332">
        <v>0.36462500000000003</v>
      </c>
      <c r="AH51" s="321">
        <v>0.5</v>
      </c>
      <c r="AI51" s="321">
        <v>0.5</v>
      </c>
      <c r="AJ51" s="321">
        <v>0.5</v>
      </c>
      <c r="AK51" s="321">
        <v>0.5</v>
      </c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</row>
    <row r="52" spans="1:281" s="39" customFormat="1" x14ac:dyDescent="0.2">
      <c r="A52" s="138">
        <v>0</v>
      </c>
      <c r="B52" s="325" t="s">
        <v>620</v>
      </c>
      <c r="C52" s="319">
        <f t="shared" ref="C52:C61" si="17">L52</f>
        <v>0.10300000000000001</v>
      </c>
      <c r="D52" s="319">
        <f t="shared" si="16"/>
        <v>0.129</v>
      </c>
      <c r="E52" s="319">
        <f t="shared" si="16"/>
        <v>4.6649999999999997E-2</v>
      </c>
      <c r="F52" s="319">
        <f t="shared" si="16"/>
        <v>3.5040000000000002E-2</v>
      </c>
      <c r="G52" s="319">
        <f t="shared" si="16"/>
        <v>0.03</v>
      </c>
      <c r="H52" s="319">
        <f t="shared" si="16"/>
        <v>2.7862500000000002E-2</v>
      </c>
      <c r="I52" s="319">
        <f t="shared" si="16"/>
        <v>2.2500000000000003E-2</v>
      </c>
      <c r="J52" s="319">
        <f t="shared" si="16"/>
        <v>2.2499999999999998E-3</v>
      </c>
      <c r="K52" s="319">
        <f t="shared" si="16"/>
        <v>3.1875000000000002E-3</v>
      </c>
      <c r="L52" s="330">
        <v>0.10300000000000001</v>
      </c>
      <c r="M52" s="330">
        <v>0.129</v>
      </c>
      <c r="N52" s="330">
        <v>4.6649999999999997E-2</v>
      </c>
      <c r="O52" s="330">
        <v>3.5040000000000002E-2</v>
      </c>
      <c r="P52" s="330">
        <v>0.03</v>
      </c>
      <c r="Q52" s="330">
        <v>2.7862500000000002E-2</v>
      </c>
      <c r="R52" s="330">
        <v>2.2500000000000003E-2</v>
      </c>
      <c r="S52" s="330">
        <v>2.2499999999999998E-3</v>
      </c>
      <c r="T52" s="330">
        <v>3.1875000000000002E-3</v>
      </c>
      <c r="U52" s="330">
        <v>0.10213000000000003</v>
      </c>
      <c r="V52" s="330">
        <v>7.9590000000000008E-2</v>
      </c>
      <c r="W52" s="330">
        <v>4.2006000000000002E-2</v>
      </c>
      <c r="X52" s="330">
        <v>3.40319968125E-2</v>
      </c>
      <c r="Y52" s="330">
        <v>2.7862500000000002E-2</v>
      </c>
      <c r="Z52" s="330">
        <v>2.2500000000000003E-2</v>
      </c>
      <c r="AA52" s="330">
        <v>1.4400000000000001E-2</v>
      </c>
      <c r="AB52" s="330">
        <v>8.3250000000000008E-3</v>
      </c>
      <c r="AC52" s="330">
        <v>2.2499999999999998E-3</v>
      </c>
      <c r="AD52" s="330">
        <v>2.7187499999999998E-3</v>
      </c>
      <c r="AE52" s="330">
        <v>3.0000000000000001E-3</v>
      </c>
      <c r="AF52" s="330">
        <v>3.1875000000000002E-3</v>
      </c>
      <c r="AG52" s="332">
        <v>3.1875000000000002E-3</v>
      </c>
      <c r="AH52" s="321">
        <v>0.5</v>
      </c>
      <c r="AI52" s="321">
        <v>0.5</v>
      </c>
      <c r="AJ52" s="321">
        <v>0.5</v>
      </c>
      <c r="AK52" s="321">
        <v>0.5</v>
      </c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</row>
    <row r="53" spans="1:281" s="39" customFormat="1" x14ac:dyDescent="0.2">
      <c r="A53" s="138">
        <v>0</v>
      </c>
      <c r="B53" s="325" t="s">
        <v>619</v>
      </c>
      <c r="C53" s="319">
        <f t="shared" si="17"/>
        <v>5.5E-2</v>
      </c>
      <c r="D53" s="319">
        <f t="shared" si="16"/>
        <v>0.09</v>
      </c>
      <c r="E53" s="319">
        <f t="shared" si="16"/>
        <v>7.775E-2</v>
      </c>
      <c r="F53" s="319">
        <f t="shared" si="16"/>
        <v>5.8400000000000001E-2</v>
      </c>
      <c r="G53" s="319">
        <f t="shared" si="16"/>
        <v>0.05</v>
      </c>
      <c r="H53" s="319">
        <f t="shared" si="16"/>
        <v>4.64375E-2</v>
      </c>
      <c r="I53" s="319">
        <f t="shared" si="16"/>
        <v>3.7499999999999999E-2</v>
      </c>
      <c r="J53" s="319">
        <f t="shared" si="16"/>
        <v>3.7499999999999999E-3</v>
      </c>
      <c r="K53" s="319">
        <f t="shared" si="16"/>
        <v>5.3125000000000004E-3</v>
      </c>
      <c r="L53" s="330">
        <v>5.5E-2</v>
      </c>
      <c r="M53" s="330">
        <v>0.09</v>
      </c>
      <c r="N53" s="330">
        <v>7.775E-2</v>
      </c>
      <c r="O53" s="330">
        <v>5.8400000000000001E-2</v>
      </c>
      <c r="P53" s="330">
        <v>0.05</v>
      </c>
      <c r="Q53" s="330">
        <v>4.64375E-2</v>
      </c>
      <c r="R53" s="330">
        <v>3.7499999999999999E-2</v>
      </c>
      <c r="S53" s="330">
        <v>3.7499999999999999E-3</v>
      </c>
      <c r="T53" s="330">
        <v>5.3125000000000004E-3</v>
      </c>
      <c r="U53" s="330">
        <v>7.3550000000000004E-2</v>
      </c>
      <c r="V53" s="330">
        <v>8.2650000000000001E-2</v>
      </c>
      <c r="W53" s="330">
        <v>7.0010000000000003E-2</v>
      </c>
      <c r="X53" s="330">
        <v>5.6719994687500004E-2</v>
      </c>
      <c r="Y53" s="330">
        <v>4.64375E-2</v>
      </c>
      <c r="Z53" s="330">
        <v>3.7499999999999999E-2</v>
      </c>
      <c r="AA53" s="330">
        <v>2.4E-2</v>
      </c>
      <c r="AB53" s="330">
        <v>1.3874999999999998E-2</v>
      </c>
      <c r="AC53" s="330">
        <v>3.7499999999999999E-3</v>
      </c>
      <c r="AD53" s="330">
        <v>4.5312500000000006E-3</v>
      </c>
      <c r="AE53" s="330">
        <v>5.0000000000000001E-3</v>
      </c>
      <c r="AF53" s="330">
        <v>5.3125000000000004E-3</v>
      </c>
      <c r="AG53" s="332">
        <v>5.3125000000000004E-3</v>
      </c>
      <c r="AH53" s="321">
        <v>0</v>
      </c>
      <c r="AI53" s="321">
        <v>0</v>
      </c>
      <c r="AJ53" s="321">
        <v>0</v>
      </c>
      <c r="AK53" s="321">
        <v>0</v>
      </c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</row>
    <row r="54" spans="1:281" s="39" customFormat="1" x14ac:dyDescent="0.2">
      <c r="A54" s="138">
        <v>0</v>
      </c>
      <c r="B54" s="325" t="s">
        <v>623</v>
      </c>
      <c r="C54" s="319">
        <f t="shared" si="17"/>
        <v>0</v>
      </c>
      <c r="D54" s="319">
        <f t="shared" si="16"/>
        <v>0</v>
      </c>
      <c r="E54" s="319">
        <f t="shared" si="16"/>
        <v>0.03</v>
      </c>
      <c r="F54" s="319">
        <f t="shared" si="16"/>
        <v>0.03</v>
      </c>
      <c r="G54" s="319">
        <f t="shared" si="16"/>
        <v>0.03</v>
      </c>
      <c r="H54" s="319">
        <f t="shared" si="16"/>
        <v>0.03</v>
      </c>
      <c r="I54" s="319">
        <f t="shared" si="16"/>
        <v>0.03</v>
      </c>
      <c r="J54" s="319">
        <f t="shared" si="16"/>
        <v>0</v>
      </c>
      <c r="K54" s="319">
        <f t="shared" si="16"/>
        <v>0</v>
      </c>
      <c r="L54" s="330">
        <v>0</v>
      </c>
      <c r="M54" s="330">
        <v>0</v>
      </c>
      <c r="N54" s="330">
        <v>0.03</v>
      </c>
      <c r="O54" s="330">
        <v>0.03</v>
      </c>
      <c r="P54" s="330">
        <v>0.03</v>
      </c>
      <c r="Q54" s="330">
        <v>0.03</v>
      </c>
      <c r="R54" s="330">
        <v>0.03</v>
      </c>
      <c r="S54" s="330">
        <v>0</v>
      </c>
      <c r="T54" s="330">
        <v>0</v>
      </c>
      <c r="U54" s="330">
        <v>6.0000000000000001E-3</v>
      </c>
      <c r="V54" s="330">
        <v>1.7999999999999999E-2</v>
      </c>
      <c r="W54" s="330">
        <v>0.03</v>
      </c>
      <c r="X54" s="330">
        <v>0.03</v>
      </c>
      <c r="Y54" s="330">
        <v>0.03</v>
      </c>
      <c r="Z54" s="330">
        <v>0.03</v>
      </c>
      <c r="AA54" s="330">
        <v>1.7999999999999999E-2</v>
      </c>
      <c r="AB54" s="330">
        <v>8.9999999999999993E-3</v>
      </c>
      <c r="AC54" s="330">
        <v>0</v>
      </c>
      <c r="AD54" s="330">
        <v>0</v>
      </c>
      <c r="AE54" s="330">
        <v>0</v>
      </c>
      <c r="AF54" s="330">
        <v>0</v>
      </c>
      <c r="AG54" s="332">
        <v>0</v>
      </c>
      <c r="AH54" s="321">
        <v>0</v>
      </c>
      <c r="AI54" s="321">
        <v>0</v>
      </c>
      <c r="AJ54" s="321">
        <v>0</v>
      </c>
      <c r="AK54" s="321">
        <v>0</v>
      </c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</row>
    <row r="55" spans="1:281" s="39" customFormat="1" x14ac:dyDescent="0.2">
      <c r="A55" s="138">
        <v>0</v>
      </c>
      <c r="B55" s="325" t="s">
        <v>622</v>
      </c>
      <c r="C55" s="319">
        <f t="shared" si="17"/>
        <v>0</v>
      </c>
      <c r="D55" s="319">
        <f t="shared" si="16"/>
        <v>0</v>
      </c>
      <c r="E55" s="319">
        <f t="shared" si="16"/>
        <v>0</v>
      </c>
      <c r="F55" s="319">
        <f t="shared" si="16"/>
        <v>0</v>
      </c>
      <c r="G55" s="319">
        <f t="shared" si="16"/>
        <v>0</v>
      </c>
      <c r="H55" s="319">
        <f t="shared" si="16"/>
        <v>0</v>
      </c>
      <c r="I55" s="319">
        <f t="shared" si="16"/>
        <v>0</v>
      </c>
      <c r="J55" s="319">
        <f t="shared" si="16"/>
        <v>0</v>
      </c>
      <c r="K55" s="319">
        <f t="shared" si="16"/>
        <v>0</v>
      </c>
      <c r="L55" s="330">
        <v>0</v>
      </c>
      <c r="M55" s="330">
        <v>0</v>
      </c>
      <c r="N55" s="330">
        <v>0</v>
      </c>
      <c r="O55" s="330">
        <v>0</v>
      </c>
      <c r="P55" s="330">
        <v>0</v>
      </c>
      <c r="Q55" s="330">
        <v>0</v>
      </c>
      <c r="R55" s="330">
        <v>0</v>
      </c>
      <c r="S55" s="330">
        <v>0</v>
      </c>
      <c r="T55" s="330">
        <v>0</v>
      </c>
      <c r="U55" s="330">
        <v>0</v>
      </c>
      <c r="V55" s="330">
        <v>0</v>
      </c>
      <c r="W55" s="330">
        <v>0</v>
      </c>
      <c r="X55" s="330">
        <v>0</v>
      </c>
      <c r="Y55" s="330">
        <v>0</v>
      </c>
      <c r="Z55" s="330">
        <v>0</v>
      </c>
      <c r="AA55" s="330">
        <v>0</v>
      </c>
      <c r="AB55" s="330">
        <v>0</v>
      </c>
      <c r="AC55" s="330">
        <v>0</v>
      </c>
      <c r="AD55" s="330">
        <v>0</v>
      </c>
      <c r="AE55" s="330">
        <v>0</v>
      </c>
      <c r="AF55" s="330">
        <v>0</v>
      </c>
      <c r="AG55" s="332">
        <v>0</v>
      </c>
      <c r="AH55" s="321">
        <v>0</v>
      </c>
      <c r="AI55" s="321">
        <v>0</v>
      </c>
      <c r="AJ55" s="321">
        <v>0</v>
      </c>
      <c r="AK55" s="321">
        <v>0</v>
      </c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</row>
    <row r="56" spans="1:281" s="39" customFormat="1" x14ac:dyDescent="0.2">
      <c r="A56" s="138">
        <v>0</v>
      </c>
      <c r="B56" s="325" t="s">
        <v>617</v>
      </c>
      <c r="C56" s="319">
        <f t="shared" si="17"/>
        <v>0.32</v>
      </c>
      <c r="D56" s="319">
        <f t="shared" si="16"/>
        <v>0.28249999999999997</v>
      </c>
      <c r="E56" s="319">
        <f t="shared" si="16"/>
        <v>0.26700000000000002</v>
      </c>
      <c r="F56" s="319">
        <f t="shared" si="16"/>
        <v>0.26319999999999999</v>
      </c>
      <c r="G56" s="319">
        <f t="shared" si="16"/>
        <v>0.215</v>
      </c>
      <c r="H56" s="319">
        <f t="shared" si="16"/>
        <v>0.23970000000000002</v>
      </c>
      <c r="I56" s="319">
        <f t="shared" si="16"/>
        <v>0.26900000000000002</v>
      </c>
      <c r="J56" s="319">
        <f t="shared" si="16"/>
        <v>0.56899999999999995</v>
      </c>
      <c r="K56" s="319">
        <f t="shared" si="16"/>
        <v>0.59500000000000008</v>
      </c>
      <c r="L56" s="330">
        <v>0.32</v>
      </c>
      <c r="M56" s="330">
        <v>0.28249999999999997</v>
      </c>
      <c r="N56" s="330">
        <v>0.26700000000000002</v>
      </c>
      <c r="O56" s="330">
        <v>0.26319999999999999</v>
      </c>
      <c r="P56" s="330">
        <v>0.215</v>
      </c>
      <c r="Q56" s="330">
        <v>0.23970000000000002</v>
      </c>
      <c r="R56" s="330">
        <v>0.26900000000000002</v>
      </c>
      <c r="S56" s="330">
        <v>0.56899999999999995</v>
      </c>
      <c r="T56" s="330">
        <v>0.59500000000000008</v>
      </c>
      <c r="U56" s="330">
        <v>0.29440000000000005</v>
      </c>
      <c r="V56" s="330">
        <v>0.2732</v>
      </c>
      <c r="W56" s="330">
        <v>0.26548000000000005</v>
      </c>
      <c r="X56" s="330">
        <v>0.25355940500000002</v>
      </c>
      <c r="Y56" s="330">
        <v>0.23970000000000002</v>
      </c>
      <c r="Z56" s="330">
        <v>0.26900000000000002</v>
      </c>
      <c r="AA56" s="330">
        <v>0.38900000000000001</v>
      </c>
      <c r="AB56" s="330">
        <v>0.47899999999999998</v>
      </c>
      <c r="AC56" s="330">
        <v>0.56899999999999995</v>
      </c>
      <c r="AD56" s="330">
        <v>0.58199999999999996</v>
      </c>
      <c r="AE56" s="330">
        <v>0.5898000000000001</v>
      </c>
      <c r="AF56" s="330">
        <v>0.59500000000000008</v>
      </c>
      <c r="AG56" s="332">
        <v>0.59500000000000008</v>
      </c>
      <c r="AH56" s="321">
        <v>0</v>
      </c>
      <c r="AI56" s="321">
        <v>0</v>
      </c>
      <c r="AJ56" s="321">
        <v>0</v>
      </c>
      <c r="AK56" s="321">
        <v>0</v>
      </c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</row>
    <row r="57" spans="1:281" s="39" customFormat="1" x14ac:dyDescent="0.2">
      <c r="A57" s="138">
        <v>0</v>
      </c>
      <c r="B57" s="325" t="s">
        <v>673</v>
      </c>
      <c r="C57" s="319">
        <f t="shared" si="17"/>
        <v>0</v>
      </c>
      <c r="D57" s="319">
        <f t="shared" si="16"/>
        <v>0</v>
      </c>
      <c r="E57" s="319">
        <f t="shared" si="16"/>
        <v>0</v>
      </c>
      <c r="F57" s="319">
        <f t="shared" si="16"/>
        <v>0</v>
      </c>
      <c r="G57" s="319">
        <f t="shared" si="16"/>
        <v>0</v>
      </c>
      <c r="H57" s="319">
        <f t="shared" si="16"/>
        <v>0</v>
      </c>
      <c r="I57" s="319">
        <f t="shared" si="16"/>
        <v>0</v>
      </c>
      <c r="J57" s="319">
        <f t="shared" si="16"/>
        <v>0</v>
      </c>
      <c r="K57" s="319">
        <f t="shared" si="16"/>
        <v>0</v>
      </c>
      <c r="L57" s="330">
        <v>0</v>
      </c>
      <c r="M57" s="330">
        <v>0</v>
      </c>
      <c r="N57" s="330">
        <v>0</v>
      </c>
      <c r="O57" s="330">
        <v>0</v>
      </c>
      <c r="P57" s="330">
        <v>0</v>
      </c>
      <c r="Q57" s="330">
        <v>0</v>
      </c>
      <c r="R57" s="330">
        <v>0</v>
      </c>
      <c r="S57" s="330">
        <v>0</v>
      </c>
      <c r="T57" s="330">
        <v>0</v>
      </c>
      <c r="U57" s="330">
        <v>0</v>
      </c>
      <c r="V57" s="330">
        <v>0</v>
      </c>
      <c r="W57" s="330">
        <v>0</v>
      </c>
      <c r="X57" s="330">
        <v>0</v>
      </c>
      <c r="Y57" s="330">
        <v>0</v>
      </c>
      <c r="Z57" s="330">
        <v>0</v>
      </c>
      <c r="AA57" s="330">
        <v>0</v>
      </c>
      <c r="AB57" s="330">
        <v>0</v>
      </c>
      <c r="AC57" s="330">
        <v>0</v>
      </c>
      <c r="AD57" s="330">
        <v>0</v>
      </c>
      <c r="AE57" s="330">
        <v>0</v>
      </c>
      <c r="AF57" s="330">
        <v>0</v>
      </c>
      <c r="AG57" s="332">
        <v>0</v>
      </c>
      <c r="AH57" s="321">
        <v>0</v>
      </c>
      <c r="AI57" s="321">
        <v>0</v>
      </c>
      <c r="AJ57" s="321">
        <v>0</v>
      </c>
      <c r="AK57" s="321">
        <v>0</v>
      </c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</row>
    <row r="58" spans="1:281" s="39" customFormat="1" x14ac:dyDescent="0.2">
      <c r="A58" s="138">
        <v>0</v>
      </c>
      <c r="B58" s="325" t="s">
        <v>618</v>
      </c>
      <c r="C58" s="319">
        <f t="shared" si="17"/>
        <v>7.0000000000000007E-2</v>
      </c>
      <c r="D58" s="319">
        <f t="shared" si="16"/>
        <v>0.10750000000000001</v>
      </c>
      <c r="E58" s="319">
        <f t="shared" si="16"/>
        <v>0.16250000000000001</v>
      </c>
      <c r="F58" s="319">
        <f t="shared" si="16"/>
        <v>0.16999999999999998</v>
      </c>
      <c r="G58" s="319">
        <f t="shared" si="16"/>
        <v>0.21</v>
      </c>
      <c r="H58" s="319">
        <f t="shared" si="16"/>
        <v>0.18862500000000001</v>
      </c>
      <c r="I58" s="319">
        <f t="shared" si="16"/>
        <v>0.13500000000000001</v>
      </c>
      <c r="J58" s="319">
        <f t="shared" si="16"/>
        <v>2.2500000000000003E-2</v>
      </c>
      <c r="K58" s="319">
        <f t="shared" si="16"/>
        <v>3.1875000000000001E-2</v>
      </c>
      <c r="L58" s="330">
        <v>7.0000000000000007E-2</v>
      </c>
      <c r="M58" s="330">
        <v>0.10750000000000001</v>
      </c>
      <c r="N58" s="330">
        <v>0.16250000000000001</v>
      </c>
      <c r="O58" s="330">
        <v>0.16999999999999998</v>
      </c>
      <c r="P58" s="330">
        <v>0.21</v>
      </c>
      <c r="Q58" s="330">
        <v>0.18862500000000001</v>
      </c>
      <c r="R58" s="330">
        <v>0.13500000000000001</v>
      </c>
      <c r="S58" s="330">
        <v>2.2500000000000003E-2</v>
      </c>
      <c r="T58" s="330">
        <v>3.1875000000000001E-2</v>
      </c>
      <c r="U58" s="330">
        <v>0.10350000000000001</v>
      </c>
      <c r="V58" s="330">
        <v>0.14050000000000001</v>
      </c>
      <c r="W58" s="330">
        <v>0.16550000000000001</v>
      </c>
      <c r="X58" s="330">
        <v>0.17799996812499999</v>
      </c>
      <c r="Y58" s="330">
        <v>0.18862500000000001</v>
      </c>
      <c r="Z58" s="330">
        <v>0.13500000000000001</v>
      </c>
      <c r="AA58" s="330">
        <v>0.09</v>
      </c>
      <c r="AB58" s="330">
        <v>5.6249999999999994E-2</v>
      </c>
      <c r="AC58" s="330">
        <v>2.2500000000000003E-2</v>
      </c>
      <c r="AD58" s="330">
        <v>2.7187500000000003E-2</v>
      </c>
      <c r="AE58" s="330">
        <v>3.0000000000000002E-2</v>
      </c>
      <c r="AF58" s="330">
        <v>3.1875000000000001E-2</v>
      </c>
      <c r="AG58" s="332">
        <v>3.1875000000000001E-2</v>
      </c>
      <c r="AH58" s="321">
        <v>0</v>
      </c>
      <c r="AI58" s="321">
        <v>0</v>
      </c>
      <c r="AJ58" s="321">
        <v>0</v>
      </c>
      <c r="AK58" s="321">
        <v>0</v>
      </c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</row>
    <row r="59" spans="1:281" s="39" customFormat="1" x14ac:dyDescent="0.2">
      <c r="A59" s="138">
        <v>0</v>
      </c>
      <c r="B59" s="325" t="s">
        <v>624</v>
      </c>
      <c r="C59" s="319">
        <f t="shared" si="17"/>
        <v>0</v>
      </c>
      <c r="D59" s="319">
        <f t="shared" si="16"/>
        <v>0.05</v>
      </c>
      <c r="E59" s="319">
        <f t="shared" si="16"/>
        <v>0.08</v>
      </c>
      <c r="F59" s="319">
        <f t="shared" si="16"/>
        <v>0.11</v>
      </c>
      <c r="G59" s="319">
        <f t="shared" si="16"/>
        <v>0.16</v>
      </c>
      <c r="H59" s="319">
        <f t="shared" si="16"/>
        <v>0.157</v>
      </c>
      <c r="I59" s="319">
        <f t="shared" si="16"/>
        <v>0.15</v>
      </c>
      <c r="J59" s="319">
        <f t="shared" si="16"/>
        <v>0</v>
      </c>
      <c r="K59" s="319">
        <f t="shared" si="16"/>
        <v>0</v>
      </c>
      <c r="L59" s="330">
        <v>0</v>
      </c>
      <c r="M59" s="330">
        <v>0.05</v>
      </c>
      <c r="N59" s="330">
        <v>0.08</v>
      </c>
      <c r="O59" s="330">
        <v>0.11</v>
      </c>
      <c r="P59" s="330">
        <v>0.16</v>
      </c>
      <c r="Q59" s="330">
        <v>0.157</v>
      </c>
      <c r="R59" s="330">
        <v>0.15</v>
      </c>
      <c r="S59" s="330">
        <v>0</v>
      </c>
      <c r="T59" s="330">
        <v>0</v>
      </c>
      <c r="U59" s="330">
        <v>3.6000000000000004E-2</v>
      </c>
      <c r="V59" s="330">
        <v>6.8000000000000005E-2</v>
      </c>
      <c r="W59" s="330">
        <v>9.1999999999999998E-2</v>
      </c>
      <c r="X59" s="330">
        <v>0.12000000000000001</v>
      </c>
      <c r="Y59" s="330">
        <v>0.157</v>
      </c>
      <c r="Z59" s="330">
        <v>0.15</v>
      </c>
      <c r="AA59" s="330">
        <v>0.09</v>
      </c>
      <c r="AB59" s="330">
        <v>4.4999999999999998E-2</v>
      </c>
      <c r="AC59" s="330">
        <v>0</v>
      </c>
      <c r="AD59" s="330">
        <v>0</v>
      </c>
      <c r="AE59" s="330">
        <v>0</v>
      </c>
      <c r="AF59" s="330">
        <v>0</v>
      </c>
      <c r="AG59" s="332">
        <v>0</v>
      </c>
      <c r="AH59" s="321">
        <v>0</v>
      </c>
      <c r="AI59" s="321">
        <v>0</v>
      </c>
      <c r="AJ59" s="321">
        <v>0</v>
      </c>
      <c r="AK59" s="321">
        <v>0</v>
      </c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</row>
    <row r="60" spans="1:281" s="39" customFormat="1" x14ac:dyDescent="0.2">
      <c r="A60" s="138">
        <v>0</v>
      </c>
      <c r="B60" s="325" t="s">
        <v>700</v>
      </c>
      <c r="C60" s="319">
        <f t="shared" si="17"/>
        <v>0</v>
      </c>
      <c r="D60" s="319">
        <f t="shared" si="16"/>
        <v>0</v>
      </c>
      <c r="E60" s="319">
        <f t="shared" si="16"/>
        <v>0</v>
      </c>
      <c r="F60" s="319">
        <f t="shared" si="16"/>
        <v>0</v>
      </c>
      <c r="G60" s="319">
        <f t="shared" si="16"/>
        <v>0</v>
      </c>
      <c r="H60" s="319">
        <f t="shared" si="16"/>
        <v>0</v>
      </c>
      <c r="I60" s="319">
        <f t="shared" si="16"/>
        <v>0</v>
      </c>
      <c r="J60" s="319">
        <f t="shared" si="16"/>
        <v>0</v>
      </c>
      <c r="K60" s="319">
        <f t="shared" si="16"/>
        <v>0</v>
      </c>
      <c r="L60" s="330">
        <v>0</v>
      </c>
      <c r="M60" s="330">
        <v>0</v>
      </c>
      <c r="N60" s="330">
        <v>0</v>
      </c>
      <c r="O60" s="330">
        <v>0</v>
      </c>
      <c r="P60" s="330">
        <v>0</v>
      </c>
      <c r="Q60" s="330">
        <v>0</v>
      </c>
      <c r="R60" s="330">
        <v>0</v>
      </c>
      <c r="S60" s="330">
        <v>0</v>
      </c>
      <c r="T60" s="330">
        <v>0</v>
      </c>
      <c r="U60" s="330">
        <v>0</v>
      </c>
      <c r="V60" s="330">
        <v>0</v>
      </c>
      <c r="W60" s="330">
        <v>0</v>
      </c>
      <c r="X60" s="330">
        <v>0</v>
      </c>
      <c r="Y60" s="330">
        <v>0</v>
      </c>
      <c r="Z60" s="330">
        <v>0</v>
      </c>
      <c r="AA60" s="330">
        <v>0</v>
      </c>
      <c r="AB60" s="330">
        <v>0</v>
      </c>
      <c r="AC60" s="330">
        <v>0</v>
      </c>
      <c r="AD60" s="330">
        <v>0</v>
      </c>
      <c r="AE60" s="330">
        <v>0</v>
      </c>
      <c r="AF60" s="330">
        <v>0</v>
      </c>
      <c r="AG60" s="332">
        <v>0</v>
      </c>
      <c r="AH60" s="321">
        <v>0</v>
      </c>
      <c r="AI60" s="321">
        <v>0</v>
      </c>
      <c r="AJ60" s="321">
        <v>0</v>
      </c>
      <c r="AK60" s="321">
        <v>0</v>
      </c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</row>
    <row r="61" spans="1:281" s="39" customFormat="1" x14ac:dyDescent="0.2">
      <c r="A61" s="138">
        <v>0</v>
      </c>
      <c r="B61" s="325" t="s">
        <v>701</v>
      </c>
      <c r="C61" s="319">
        <f t="shared" si="17"/>
        <v>0</v>
      </c>
      <c r="D61" s="319">
        <f t="shared" si="16"/>
        <v>0</v>
      </c>
      <c r="E61" s="319">
        <f t="shared" si="16"/>
        <v>0</v>
      </c>
      <c r="F61" s="319">
        <f t="shared" si="16"/>
        <v>0</v>
      </c>
      <c r="G61" s="319">
        <f t="shared" si="16"/>
        <v>0</v>
      </c>
      <c r="H61" s="319">
        <f t="shared" si="16"/>
        <v>0</v>
      </c>
      <c r="I61" s="319">
        <f t="shared" si="16"/>
        <v>0</v>
      </c>
      <c r="J61" s="319">
        <f t="shared" si="16"/>
        <v>0</v>
      </c>
      <c r="K61" s="319">
        <f t="shared" si="16"/>
        <v>0</v>
      </c>
      <c r="L61" s="330">
        <v>0</v>
      </c>
      <c r="M61" s="330">
        <v>0</v>
      </c>
      <c r="N61" s="330">
        <v>0</v>
      </c>
      <c r="O61" s="330">
        <v>0</v>
      </c>
      <c r="P61" s="330">
        <v>0</v>
      </c>
      <c r="Q61" s="330">
        <v>0</v>
      </c>
      <c r="R61" s="330">
        <v>0</v>
      </c>
      <c r="S61" s="330">
        <v>0</v>
      </c>
      <c r="T61" s="330">
        <v>0</v>
      </c>
      <c r="U61" s="330">
        <v>0</v>
      </c>
      <c r="V61" s="330">
        <v>0</v>
      </c>
      <c r="W61" s="330">
        <v>0</v>
      </c>
      <c r="X61" s="330">
        <v>0</v>
      </c>
      <c r="Y61" s="330">
        <v>0</v>
      </c>
      <c r="Z61" s="330">
        <v>0</v>
      </c>
      <c r="AA61" s="330">
        <v>0</v>
      </c>
      <c r="AB61" s="330">
        <v>0</v>
      </c>
      <c r="AC61" s="330">
        <v>0</v>
      </c>
      <c r="AD61" s="330">
        <v>0</v>
      </c>
      <c r="AE61" s="330">
        <v>0</v>
      </c>
      <c r="AF61" s="330">
        <v>0</v>
      </c>
      <c r="AG61" s="332">
        <v>0</v>
      </c>
      <c r="AH61" s="321">
        <v>0</v>
      </c>
      <c r="AI61" s="321">
        <v>0</v>
      </c>
      <c r="AJ61" s="321">
        <v>0</v>
      </c>
      <c r="AK61" s="321">
        <v>0</v>
      </c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</row>
    <row r="62" spans="1:281" s="39" customFormat="1" x14ac:dyDescent="0.2">
      <c r="B62" s="148" t="s">
        <v>409</v>
      </c>
      <c r="C62" s="252">
        <f t="shared" ref="C62:S62" si="18">SUM(C51:C61)</f>
        <v>1.0000000000000002</v>
      </c>
      <c r="D62" s="252">
        <f t="shared" ref="D62:K62" si="19">SUM(D51:D61)</f>
        <v>1</v>
      </c>
      <c r="E62" s="252">
        <f t="shared" si="19"/>
        <v>0.99999999999999989</v>
      </c>
      <c r="F62" s="252">
        <f t="shared" si="19"/>
        <v>0.99999999999999989</v>
      </c>
      <c r="G62" s="252">
        <f t="shared" si="19"/>
        <v>1</v>
      </c>
      <c r="H62" s="252">
        <f t="shared" si="19"/>
        <v>1</v>
      </c>
      <c r="I62" s="252">
        <f t="shared" si="19"/>
        <v>1</v>
      </c>
      <c r="J62" s="252">
        <f t="shared" si="19"/>
        <v>0.99999999999999989</v>
      </c>
      <c r="K62" s="252">
        <f t="shared" si="19"/>
        <v>1.0000000000000002</v>
      </c>
      <c r="L62" s="252">
        <f t="shared" si="18"/>
        <v>1.0000000000000002</v>
      </c>
      <c r="M62" s="252">
        <f t="shared" si="18"/>
        <v>1</v>
      </c>
      <c r="N62" s="252">
        <f t="shared" si="18"/>
        <v>0.99999999999999989</v>
      </c>
      <c r="O62" s="252">
        <f t="shared" si="18"/>
        <v>0.99999999999999989</v>
      </c>
      <c r="P62" s="252">
        <f t="shared" si="18"/>
        <v>1</v>
      </c>
      <c r="Q62" s="252">
        <f t="shared" si="18"/>
        <v>1</v>
      </c>
      <c r="R62" s="252">
        <f t="shared" si="18"/>
        <v>1</v>
      </c>
      <c r="S62" s="252">
        <f t="shared" si="18"/>
        <v>0.99999999999999989</v>
      </c>
      <c r="T62" s="252">
        <f>SUM(T51:T61)</f>
        <v>1.0000000000000002</v>
      </c>
      <c r="U62" s="252">
        <f>SUM(U51:U61)</f>
        <v>1</v>
      </c>
      <c r="V62" s="252">
        <f t="shared" ref="V62:AE62" si="20">SUM(V51:V61)</f>
        <v>1</v>
      </c>
      <c r="W62" s="252">
        <f t="shared" si="20"/>
        <v>1</v>
      </c>
      <c r="X62" s="252">
        <f t="shared" si="20"/>
        <v>0.99999899999999997</v>
      </c>
      <c r="Y62" s="252">
        <f t="shared" si="20"/>
        <v>1</v>
      </c>
      <c r="Z62" s="252">
        <f t="shared" si="20"/>
        <v>1</v>
      </c>
      <c r="AA62" s="252">
        <f t="shared" si="20"/>
        <v>1</v>
      </c>
      <c r="AB62" s="252">
        <f t="shared" si="20"/>
        <v>1</v>
      </c>
      <c r="AC62" s="252">
        <f t="shared" si="20"/>
        <v>0.99999999999999989</v>
      </c>
      <c r="AD62" s="252">
        <f t="shared" si="20"/>
        <v>1</v>
      </c>
      <c r="AE62" s="252">
        <f t="shared" si="20"/>
        <v>1.0000000000000002</v>
      </c>
      <c r="AF62" s="252">
        <f t="shared" ref="AF62:AG62" si="21">SUM(AF51:AF61)</f>
        <v>1.0000000000000002</v>
      </c>
      <c r="AG62" s="252">
        <f t="shared" si="21"/>
        <v>1.0000000000000002</v>
      </c>
      <c r="AH62" s="252">
        <f>SUM(AH51:AH61)</f>
        <v>1</v>
      </c>
      <c r="AI62" s="252">
        <f>SUM(AI51:AI61)</f>
        <v>1</v>
      </c>
      <c r="AJ62" s="252">
        <f>SUM(AJ51:AJ61)</f>
        <v>1</v>
      </c>
      <c r="AK62" s="252">
        <f>SUM(AK51:AK61)</f>
        <v>1</v>
      </c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</row>
    <row r="63" spans="1:281" s="39" customFormat="1" x14ac:dyDescent="0.2">
      <c r="B63" s="57"/>
      <c r="C63" s="40"/>
      <c r="D63" s="40"/>
      <c r="E63" s="40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12"/>
      <c r="IP63" s="12"/>
      <c r="IQ63" s="12"/>
      <c r="IR63" s="12"/>
      <c r="IS63" s="12"/>
      <c r="IT63" s="12"/>
      <c r="IU63" s="12"/>
      <c r="IV63" s="12"/>
      <c r="IW63" s="12"/>
      <c r="IX63" s="12"/>
      <c r="IY63" s="12"/>
      <c r="IZ63" s="12"/>
      <c r="JA63" s="12"/>
      <c r="JB63" s="12"/>
      <c r="JC63" s="12"/>
      <c r="JD63" s="12"/>
      <c r="JE63" s="12"/>
      <c r="JF63" s="12"/>
      <c r="JG63" s="12"/>
      <c r="JH63" s="12"/>
      <c r="JI63" s="12"/>
      <c r="JJ63" s="12"/>
      <c r="JK63" s="12"/>
      <c r="JL63" s="12"/>
      <c r="JM63" s="12"/>
      <c r="JN63" s="12"/>
      <c r="JO63" s="12"/>
      <c r="JP63" s="12"/>
      <c r="JQ63" s="12"/>
      <c r="JR63" s="12"/>
      <c r="JS63" s="12"/>
      <c r="JT63" s="12"/>
      <c r="JU63" s="12"/>
    </row>
    <row r="64" spans="1:281" s="39" customFormat="1" x14ac:dyDescent="0.2">
      <c r="A64" s="14" t="s">
        <v>9</v>
      </c>
      <c r="B64" s="18" t="str">
        <f ca="1">GetNameRange(B65)</f>
        <v>InvStratPurchAssetSubPortIdAndWght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12"/>
      <c r="IP64" s="12"/>
      <c r="IQ64" s="12"/>
      <c r="IR64" s="12"/>
      <c r="IS64" s="12"/>
      <c r="IT64" s="12"/>
      <c r="IU64" s="12"/>
      <c r="IV64" s="12"/>
      <c r="IW64" s="12"/>
      <c r="IX64" s="12"/>
      <c r="IY64" s="12"/>
      <c r="IZ64" s="12"/>
      <c r="JA64" s="12"/>
      <c r="JB64" s="12"/>
      <c r="JC64" s="12"/>
      <c r="JD64" s="12"/>
      <c r="JE64" s="12"/>
      <c r="JF64" s="12"/>
      <c r="JG64" s="12"/>
      <c r="JH64" s="12"/>
      <c r="JI64" s="12"/>
      <c r="JJ64" s="12"/>
      <c r="JK64" s="12"/>
      <c r="JL64" s="12"/>
      <c r="JM64" s="12"/>
      <c r="JN64" s="12"/>
      <c r="JO64" s="12"/>
      <c r="JP64" s="12"/>
      <c r="JQ64" s="12"/>
      <c r="JR64" s="12"/>
      <c r="JS64" s="12"/>
      <c r="JT64" s="12"/>
    </row>
    <row r="65" spans="1:310" s="39" customFormat="1" x14ac:dyDescent="0.2">
      <c r="A65" s="199" t="s">
        <v>403</v>
      </c>
      <c r="B65" s="142" t="s">
        <v>281</v>
      </c>
      <c r="C65" s="143" t="s">
        <v>651</v>
      </c>
      <c r="D65" s="143" t="s">
        <v>651</v>
      </c>
      <c r="E65" s="143" t="s">
        <v>652</v>
      </c>
      <c r="F65" s="143" t="s">
        <v>652</v>
      </c>
      <c r="G65" s="143" t="s">
        <v>653</v>
      </c>
      <c r="H65" s="143" t="s">
        <v>653</v>
      </c>
      <c r="I65" s="143" t="s">
        <v>654</v>
      </c>
      <c r="J65" s="143" t="s">
        <v>654</v>
      </c>
      <c r="K65" s="143" t="s">
        <v>655</v>
      </c>
      <c r="L65" s="143" t="s">
        <v>655</v>
      </c>
      <c r="M65" s="143" t="s">
        <v>656</v>
      </c>
      <c r="N65" s="143" t="s">
        <v>656</v>
      </c>
      <c r="O65" s="143" t="s">
        <v>657</v>
      </c>
      <c r="P65" s="143" t="s">
        <v>657</v>
      </c>
      <c r="Q65" s="143" t="s">
        <v>658</v>
      </c>
      <c r="R65" s="143" t="s">
        <v>658</v>
      </c>
      <c r="S65" s="143" t="s">
        <v>659</v>
      </c>
      <c r="T65" s="143" t="s">
        <v>659</v>
      </c>
      <c r="U65" s="143" t="s">
        <v>662</v>
      </c>
      <c r="V65" s="143" t="s">
        <v>662</v>
      </c>
      <c r="W65" s="143" t="s">
        <v>661</v>
      </c>
      <c r="X65" s="143" t="s">
        <v>661</v>
      </c>
      <c r="Y65" s="143" t="s">
        <v>660</v>
      </c>
      <c r="Z65" s="143" t="s">
        <v>660</v>
      </c>
      <c r="AA65" s="143" t="s">
        <v>663</v>
      </c>
      <c r="AB65" s="143" t="s">
        <v>663</v>
      </c>
      <c r="AC65" s="143" t="s">
        <v>664</v>
      </c>
      <c r="AD65" s="143" t="s">
        <v>664</v>
      </c>
      <c r="AE65" s="143" t="s">
        <v>665</v>
      </c>
      <c r="AF65" s="143" t="s">
        <v>665</v>
      </c>
      <c r="AG65" s="143" t="s">
        <v>666</v>
      </c>
      <c r="AH65" s="143" t="s">
        <v>666</v>
      </c>
      <c r="AI65" s="143" t="s">
        <v>667</v>
      </c>
      <c r="AJ65" s="143" t="s">
        <v>667</v>
      </c>
      <c r="AK65" s="143" t="s">
        <v>668</v>
      </c>
      <c r="AL65" s="143" t="s">
        <v>668</v>
      </c>
      <c r="AM65" s="143" t="s">
        <v>757</v>
      </c>
      <c r="AN65" s="143" t="s">
        <v>757</v>
      </c>
      <c r="AO65" s="143" t="s">
        <v>704</v>
      </c>
      <c r="AP65" s="143" t="s">
        <v>704</v>
      </c>
      <c r="AQ65" s="143" t="s">
        <v>705</v>
      </c>
      <c r="AR65" s="143" t="s">
        <v>705</v>
      </c>
      <c r="AS65" s="143" t="s">
        <v>706</v>
      </c>
      <c r="AT65" s="143" t="s">
        <v>706</v>
      </c>
      <c r="AU65" s="143" t="s">
        <v>707</v>
      </c>
      <c r="AV65" s="143" t="s">
        <v>707</v>
      </c>
      <c r="AW65" s="143" t="s">
        <v>708</v>
      </c>
      <c r="AX65" s="143" t="s">
        <v>708</v>
      </c>
      <c r="AY65" s="143" t="s">
        <v>709</v>
      </c>
      <c r="AZ65" s="143" t="s">
        <v>709</v>
      </c>
      <c r="BA65" s="143" t="s">
        <v>710</v>
      </c>
      <c r="BB65" s="143" t="s">
        <v>710</v>
      </c>
      <c r="BC65" s="143" t="s">
        <v>711</v>
      </c>
      <c r="BD65" s="143" t="s">
        <v>711</v>
      </c>
      <c r="BE65" s="143" t="s">
        <v>712</v>
      </c>
      <c r="BF65" s="143" t="s">
        <v>712</v>
      </c>
      <c r="BG65" s="143" t="s">
        <v>713</v>
      </c>
      <c r="BH65" s="143" t="s">
        <v>713</v>
      </c>
      <c r="BI65" s="143" t="s">
        <v>714</v>
      </c>
      <c r="BJ65" s="143" t="s">
        <v>714</v>
      </c>
      <c r="BK65" s="143" t="s">
        <v>756</v>
      </c>
      <c r="BL65" s="143" t="s">
        <v>756</v>
      </c>
      <c r="BM65" s="143" t="s">
        <v>752</v>
      </c>
      <c r="BN65" s="143" t="s">
        <v>752</v>
      </c>
      <c r="BO65" s="143" t="s">
        <v>758</v>
      </c>
      <c r="BP65" s="143" t="s">
        <v>758</v>
      </c>
      <c r="BQ65" s="143" t="s">
        <v>759</v>
      </c>
      <c r="BR65" s="143" t="s">
        <v>759</v>
      </c>
      <c r="BS65" s="143" t="s">
        <v>760</v>
      </c>
      <c r="BT65" s="143" t="s">
        <v>760</v>
      </c>
      <c r="BU65" s="202"/>
      <c r="BV65" s="202"/>
      <c r="BW65" s="202"/>
      <c r="BX65" s="202"/>
      <c r="BY65" s="202"/>
      <c r="BZ65" s="202"/>
      <c r="CA65" s="202"/>
      <c r="CB65" s="202"/>
      <c r="CC65" s="202"/>
      <c r="CD65" s="202"/>
      <c r="CE65" s="202"/>
      <c r="CF65" s="202"/>
      <c r="CG65" s="202"/>
      <c r="CH65" s="202"/>
      <c r="CI65" s="202"/>
      <c r="CJ65" s="202"/>
      <c r="CK65" s="202"/>
      <c r="CL65" s="202"/>
      <c r="CM65" s="202"/>
      <c r="CN65" s="202"/>
      <c r="CO65" s="202"/>
      <c r="CP65" s="202"/>
      <c r="CQ65" s="202"/>
      <c r="CR65" s="202"/>
      <c r="CS65" s="202"/>
      <c r="CT65" s="202"/>
      <c r="CU65" s="202"/>
      <c r="CV65" s="202"/>
      <c r="CW65" s="202"/>
      <c r="CX65" s="202"/>
      <c r="CY65" s="202"/>
      <c r="CZ65" s="202"/>
      <c r="DA65" s="202"/>
      <c r="DB65" s="202"/>
      <c r="DC65" s="202"/>
      <c r="DD65" s="202"/>
      <c r="DE65" s="202"/>
      <c r="DF65" s="202"/>
      <c r="DG65" s="202"/>
      <c r="DH65" s="202"/>
      <c r="DI65" s="202"/>
      <c r="DJ65" s="202"/>
      <c r="DK65" s="202"/>
      <c r="DL65" s="202"/>
      <c r="DM65" s="202"/>
      <c r="DN65" s="202"/>
      <c r="DO65" s="202"/>
      <c r="DP65" s="202"/>
      <c r="DQ65" s="202"/>
      <c r="DR65" s="202"/>
      <c r="DS65" s="202"/>
      <c r="DT65" s="202"/>
      <c r="DU65" s="202"/>
      <c r="DV65" s="202"/>
      <c r="DW65" s="202"/>
      <c r="DX65" s="202"/>
      <c r="DY65" s="202"/>
      <c r="DZ65" s="202"/>
      <c r="EA65" s="202"/>
      <c r="EB65" s="202"/>
      <c r="EC65" s="202"/>
      <c r="ED65" s="202"/>
      <c r="EE65" s="202"/>
      <c r="EF65" s="202"/>
      <c r="EG65" s="202"/>
      <c r="EH65" s="202"/>
      <c r="EI65" s="202"/>
      <c r="EJ65" s="202"/>
      <c r="EK65" s="202"/>
      <c r="EL65" s="202"/>
      <c r="EM65" s="202"/>
      <c r="EN65" s="202"/>
      <c r="EO65" s="202"/>
      <c r="EP65" s="202"/>
      <c r="EQ65" s="202"/>
      <c r="ER65" s="202"/>
      <c r="ES65" s="202"/>
      <c r="ET65" s="202"/>
      <c r="EU65" s="202"/>
      <c r="EV65" s="202"/>
      <c r="EW65" s="202"/>
      <c r="EX65" s="202"/>
      <c r="EY65" s="202"/>
      <c r="EZ65" s="202"/>
      <c r="FA65" s="202"/>
      <c r="FB65" s="202"/>
      <c r="FC65" s="202"/>
      <c r="FD65" s="202"/>
      <c r="FE65" s="202"/>
      <c r="FF65" s="202"/>
      <c r="FG65" s="202"/>
      <c r="FH65" s="202"/>
      <c r="FI65" s="202"/>
      <c r="FJ65" s="202"/>
      <c r="FK65" s="202"/>
      <c r="FL65" s="202"/>
      <c r="FM65" s="202"/>
      <c r="FN65" s="202"/>
      <c r="FO65" s="202"/>
      <c r="FP65" s="202"/>
      <c r="FQ65" s="202"/>
      <c r="FR65" s="202"/>
      <c r="FS65" s="202"/>
      <c r="FT65" s="202"/>
      <c r="FU65" s="202"/>
      <c r="FV65" s="202"/>
      <c r="FW65" s="202"/>
      <c r="FX65" s="202"/>
      <c r="FY65" s="202"/>
      <c r="FZ65" s="202"/>
      <c r="GA65" s="202"/>
      <c r="GB65" s="202"/>
      <c r="GC65" s="202"/>
      <c r="GD65" s="202"/>
      <c r="GE65" s="202"/>
      <c r="GF65" s="202"/>
      <c r="GG65" s="202"/>
      <c r="GH65" s="202"/>
      <c r="GI65" s="202"/>
      <c r="GJ65" s="202"/>
      <c r="GK65" s="202"/>
      <c r="GL65" s="202"/>
      <c r="GM65" s="202"/>
      <c r="GN65" s="202"/>
      <c r="GO65" s="202"/>
      <c r="GP65" s="202"/>
      <c r="GQ65" s="202"/>
      <c r="GR65" s="202"/>
      <c r="GS65" s="202"/>
      <c r="GT65" s="202"/>
      <c r="GU65" s="202"/>
      <c r="GV65" s="202"/>
      <c r="GW65" s="202"/>
      <c r="GX65" s="202"/>
      <c r="GY65" s="202"/>
      <c r="GZ65" s="202"/>
      <c r="HA65" s="202"/>
      <c r="HB65" s="202"/>
      <c r="HC65" s="202"/>
      <c r="HD65" s="202"/>
      <c r="HE65" s="202"/>
      <c r="HF65" s="202"/>
      <c r="HG65" s="202"/>
      <c r="HH65" s="202"/>
      <c r="HI65" s="202"/>
      <c r="HJ65" s="202"/>
      <c r="HK65" s="202"/>
      <c r="HL65" s="202"/>
      <c r="HM65" s="202"/>
      <c r="HN65" s="202"/>
      <c r="HO65" s="202"/>
      <c r="HP65" s="202"/>
      <c r="HQ65" s="202"/>
      <c r="HR65" s="202"/>
      <c r="HS65" s="202"/>
      <c r="HT65" s="202"/>
      <c r="HU65" s="202"/>
      <c r="HV65" s="202"/>
      <c r="HW65" s="202"/>
      <c r="HX65" s="202"/>
      <c r="HY65" s="202"/>
      <c r="HZ65" s="202"/>
      <c r="IA65" s="202"/>
      <c r="IB65" s="202"/>
      <c r="IC65" s="202"/>
      <c r="ID65" s="202"/>
      <c r="IE65" s="202"/>
      <c r="IF65" s="202"/>
      <c r="IG65" s="202"/>
      <c r="IH65" s="202"/>
      <c r="II65" s="202"/>
      <c r="IJ65" s="202"/>
      <c r="IK65" s="202"/>
      <c r="IL65" s="202"/>
      <c r="IM65" s="202"/>
      <c r="IN65" s="202"/>
      <c r="IO65" s="202"/>
      <c r="IP65" s="202"/>
      <c r="IQ65" s="202"/>
      <c r="IR65" s="202"/>
      <c r="IS65" s="202"/>
      <c r="IT65" s="202"/>
      <c r="IU65" s="202"/>
      <c r="IV65" s="202"/>
      <c r="IW65" s="202"/>
      <c r="IX65" s="202"/>
      <c r="IY65" s="202"/>
      <c r="IZ65" s="202"/>
      <c r="JA65" s="202"/>
      <c r="JB65" s="202"/>
      <c r="JC65" s="202"/>
      <c r="JD65" s="202"/>
      <c r="JE65" s="202"/>
      <c r="JF65" s="202"/>
      <c r="JG65" s="202"/>
      <c r="JH65" s="202"/>
      <c r="JI65" s="202"/>
      <c r="JJ65" s="202"/>
      <c r="JK65" s="202"/>
      <c r="JL65" s="202"/>
      <c r="JM65" s="202"/>
      <c r="JN65" s="202"/>
      <c r="JO65" s="202"/>
      <c r="JP65" s="202"/>
      <c r="JQ65" s="202"/>
      <c r="JR65" s="202"/>
      <c r="JS65" s="202"/>
      <c r="JT65" s="202"/>
      <c r="JU65" s="202"/>
      <c r="JV65" s="202"/>
      <c r="JW65" s="202"/>
      <c r="JX65" s="202"/>
      <c r="JY65" s="202"/>
      <c r="JZ65" s="202"/>
      <c r="KA65" s="202"/>
      <c r="KB65" s="202"/>
      <c r="KC65" s="202"/>
      <c r="KD65" s="203"/>
      <c r="KE65" s="20"/>
      <c r="KF65" s="20"/>
      <c r="KG65" s="20"/>
      <c r="KH65" s="20"/>
      <c r="KI65" s="12"/>
      <c r="KJ65" s="12"/>
      <c r="KK65" s="12"/>
      <c r="KL65" s="12"/>
      <c r="KM65" s="12"/>
      <c r="KN65" s="12"/>
      <c r="KO65" s="12"/>
      <c r="KP65" s="12"/>
      <c r="KQ65" s="12"/>
      <c r="KR65" s="12"/>
      <c r="KS65" s="12"/>
      <c r="KT65" s="12"/>
      <c r="KU65" s="12"/>
      <c r="KV65" s="12"/>
      <c r="KW65" s="12"/>
      <c r="KX65" s="12"/>
    </row>
    <row r="66" spans="1:310" s="39" customFormat="1" ht="25.5" x14ac:dyDescent="0.2">
      <c r="B66" s="193" t="s">
        <v>404</v>
      </c>
      <c r="C66" s="61" t="s">
        <v>512</v>
      </c>
      <c r="D66" s="61" t="s">
        <v>513</v>
      </c>
      <c r="E66" s="61" t="s">
        <v>512</v>
      </c>
      <c r="F66" s="61" t="s">
        <v>513</v>
      </c>
      <c r="G66" s="61" t="s">
        <v>512</v>
      </c>
      <c r="H66" s="61" t="s">
        <v>513</v>
      </c>
      <c r="I66" s="61" t="s">
        <v>512</v>
      </c>
      <c r="J66" s="61" t="s">
        <v>513</v>
      </c>
      <c r="K66" s="61" t="s">
        <v>512</v>
      </c>
      <c r="L66" s="61" t="s">
        <v>513</v>
      </c>
      <c r="M66" s="61" t="s">
        <v>512</v>
      </c>
      <c r="N66" s="61" t="s">
        <v>513</v>
      </c>
      <c r="O66" s="61" t="s">
        <v>512</v>
      </c>
      <c r="P66" s="61" t="s">
        <v>513</v>
      </c>
      <c r="Q66" s="61" t="s">
        <v>512</v>
      </c>
      <c r="R66" s="61" t="s">
        <v>513</v>
      </c>
      <c r="S66" s="61" t="s">
        <v>512</v>
      </c>
      <c r="T66" s="61" t="s">
        <v>513</v>
      </c>
      <c r="U66" s="61" t="s">
        <v>512</v>
      </c>
      <c r="V66" s="61" t="s">
        <v>513</v>
      </c>
      <c r="W66" s="61" t="s">
        <v>512</v>
      </c>
      <c r="X66" s="61" t="s">
        <v>513</v>
      </c>
      <c r="Y66" s="61" t="s">
        <v>512</v>
      </c>
      <c r="Z66" s="61" t="s">
        <v>513</v>
      </c>
      <c r="AA66" s="61" t="s">
        <v>512</v>
      </c>
      <c r="AB66" s="61" t="s">
        <v>513</v>
      </c>
      <c r="AC66" s="61" t="s">
        <v>512</v>
      </c>
      <c r="AD66" s="61" t="s">
        <v>513</v>
      </c>
      <c r="AE66" s="61" t="s">
        <v>512</v>
      </c>
      <c r="AF66" s="61" t="s">
        <v>513</v>
      </c>
      <c r="AG66" s="61" t="s">
        <v>512</v>
      </c>
      <c r="AH66" s="61" t="s">
        <v>513</v>
      </c>
      <c r="AI66" s="61" t="s">
        <v>512</v>
      </c>
      <c r="AJ66" s="61" t="s">
        <v>513</v>
      </c>
      <c r="AK66" s="61" t="s">
        <v>512</v>
      </c>
      <c r="AL66" s="61" t="s">
        <v>513</v>
      </c>
      <c r="AM66" s="61" t="s">
        <v>512</v>
      </c>
      <c r="AN66" s="61" t="s">
        <v>513</v>
      </c>
      <c r="AO66" s="61" t="s">
        <v>512</v>
      </c>
      <c r="AP66" s="61" t="s">
        <v>513</v>
      </c>
      <c r="AQ66" s="61" t="s">
        <v>512</v>
      </c>
      <c r="AR66" s="61" t="s">
        <v>513</v>
      </c>
      <c r="AS66" s="61" t="s">
        <v>512</v>
      </c>
      <c r="AT66" s="61" t="s">
        <v>513</v>
      </c>
      <c r="AU66" s="61" t="s">
        <v>512</v>
      </c>
      <c r="AV66" s="61" t="s">
        <v>513</v>
      </c>
      <c r="AW66" s="61" t="s">
        <v>512</v>
      </c>
      <c r="AX66" s="61" t="s">
        <v>513</v>
      </c>
      <c r="AY66" s="61" t="s">
        <v>512</v>
      </c>
      <c r="AZ66" s="61" t="s">
        <v>513</v>
      </c>
      <c r="BA66" s="61" t="s">
        <v>512</v>
      </c>
      <c r="BB66" s="61" t="s">
        <v>513</v>
      </c>
      <c r="BC66" s="61" t="s">
        <v>512</v>
      </c>
      <c r="BD66" s="61" t="s">
        <v>513</v>
      </c>
      <c r="BE66" s="61" t="s">
        <v>512</v>
      </c>
      <c r="BF66" s="61" t="s">
        <v>513</v>
      </c>
      <c r="BG66" s="61" t="s">
        <v>512</v>
      </c>
      <c r="BH66" s="61" t="s">
        <v>513</v>
      </c>
      <c r="BI66" s="61" t="s">
        <v>512</v>
      </c>
      <c r="BJ66" s="61" t="s">
        <v>513</v>
      </c>
      <c r="BK66" s="61" t="s">
        <v>512</v>
      </c>
      <c r="BL66" s="61" t="s">
        <v>513</v>
      </c>
      <c r="BM66" s="61" t="s">
        <v>512</v>
      </c>
      <c r="BN66" s="61" t="s">
        <v>513</v>
      </c>
      <c r="BO66" s="61" t="s">
        <v>512</v>
      </c>
      <c r="BP66" s="61" t="s">
        <v>513</v>
      </c>
      <c r="BQ66" s="61" t="s">
        <v>512</v>
      </c>
      <c r="BR66" s="61" t="s">
        <v>513</v>
      </c>
      <c r="BS66" s="61" t="s">
        <v>512</v>
      </c>
      <c r="BT66" s="61" t="s">
        <v>513</v>
      </c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  <c r="EJ66" s="20"/>
      <c r="EK66" s="20"/>
      <c r="EL66" s="20"/>
      <c r="EM66" s="20"/>
      <c r="EN66" s="20"/>
      <c r="EO66" s="20"/>
      <c r="EP66" s="20"/>
      <c r="EQ66" s="20"/>
      <c r="ER66" s="20"/>
      <c r="ES66" s="20"/>
      <c r="ET66" s="20"/>
      <c r="EU66" s="20"/>
      <c r="EV66" s="20"/>
      <c r="EW66" s="20"/>
      <c r="EX66" s="20"/>
      <c r="EY66" s="20"/>
      <c r="EZ66" s="20"/>
      <c r="FA66" s="20"/>
      <c r="FB66" s="20"/>
      <c r="FC66" s="20"/>
      <c r="FD66" s="20"/>
      <c r="FE66" s="20"/>
      <c r="FF66" s="20"/>
      <c r="FG66" s="20"/>
      <c r="FH66" s="20"/>
      <c r="FI66" s="20"/>
      <c r="FJ66" s="20"/>
      <c r="FK66" s="20"/>
      <c r="FL66" s="20"/>
      <c r="FM66" s="20"/>
      <c r="FN66" s="20"/>
      <c r="FO66" s="20"/>
      <c r="FP66" s="20"/>
      <c r="FQ66" s="20"/>
      <c r="FR66" s="20"/>
      <c r="FS66" s="20"/>
      <c r="FT66" s="20"/>
      <c r="FU66" s="20"/>
      <c r="FV66" s="20"/>
      <c r="FW66" s="20"/>
      <c r="FX66" s="20"/>
      <c r="FY66" s="20"/>
      <c r="FZ66" s="20"/>
      <c r="GA66" s="20"/>
      <c r="GB66" s="20"/>
      <c r="GC66" s="20"/>
      <c r="GD66" s="20"/>
      <c r="GE66" s="20"/>
      <c r="GF66" s="20"/>
      <c r="GG66" s="20"/>
      <c r="GH66" s="20"/>
      <c r="GI66" s="20"/>
      <c r="GJ66" s="20"/>
      <c r="GK66" s="20"/>
      <c r="GL66" s="20"/>
      <c r="GM66" s="20"/>
      <c r="GN66" s="20"/>
      <c r="GO66" s="20"/>
      <c r="GP66" s="20"/>
      <c r="GQ66" s="20"/>
      <c r="GR66" s="20"/>
      <c r="GS66" s="20"/>
      <c r="GT66" s="20"/>
      <c r="GU66" s="20"/>
      <c r="GV66" s="20"/>
      <c r="GW66" s="20"/>
      <c r="GX66" s="20"/>
      <c r="GY66" s="20"/>
      <c r="GZ66" s="20"/>
      <c r="HA66" s="20"/>
      <c r="HB66" s="20"/>
      <c r="HC66" s="20"/>
      <c r="HD66" s="20"/>
      <c r="HE66" s="20"/>
      <c r="HF66" s="20"/>
      <c r="HG66" s="20"/>
      <c r="HH66" s="20"/>
      <c r="HI66" s="20"/>
      <c r="HJ66" s="20"/>
      <c r="HK66" s="20"/>
      <c r="HL66" s="20"/>
      <c r="HM66" s="20"/>
      <c r="HN66" s="20"/>
      <c r="HO66" s="20"/>
      <c r="HP66" s="20"/>
      <c r="HQ66" s="20"/>
      <c r="HR66" s="20"/>
      <c r="HS66" s="20"/>
      <c r="HT66" s="20"/>
      <c r="HU66" s="20"/>
      <c r="HV66" s="20"/>
      <c r="HW66" s="20"/>
      <c r="HX66" s="20"/>
      <c r="HY66" s="20"/>
      <c r="HZ66" s="20"/>
      <c r="IA66" s="20"/>
      <c r="IB66" s="20"/>
      <c r="IC66" s="20"/>
      <c r="ID66" s="20"/>
      <c r="IE66" s="20"/>
      <c r="IF66" s="20"/>
      <c r="IG66" s="20"/>
      <c r="IH66" s="20"/>
      <c r="II66" s="20"/>
      <c r="IJ66" s="20"/>
      <c r="IK66" s="20"/>
      <c r="IL66" s="20"/>
      <c r="IM66" s="20"/>
      <c r="IN66" s="20"/>
      <c r="IO66" s="20"/>
      <c r="IP66" s="20"/>
      <c r="IQ66" s="20"/>
      <c r="IR66" s="20"/>
      <c r="IS66" s="20"/>
      <c r="IT66" s="20"/>
      <c r="IU66" s="20"/>
      <c r="IV66" s="20"/>
      <c r="IW66" s="20"/>
      <c r="IX66" s="20"/>
      <c r="IY66" s="20"/>
      <c r="IZ66" s="20"/>
      <c r="JA66" s="20"/>
      <c r="JB66" s="20"/>
      <c r="JC66" s="20"/>
      <c r="JD66" s="20"/>
      <c r="JE66" s="20"/>
      <c r="JF66" s="20"/>
      <c r="JG66" s="20"/>
      <c r="JH66" s="20"/>
      <c r="JI66" s="20"/>
      <c r="JJ66" s="20"/>
      <c r="JK66" s="20"/>
      <c r="JL66" s="20"/>
      <c r="JM66" s="20"/>
      <c r="JN66" s="20"/>
      <c r="JO66" s="20"/>
      <c r="JP66" s="20"/>
      <c r="JQ66" s="20"/>
      <c r="JR66" s="20"/>
      <c r="JS66" s="20"/>
      <c r="JT66" s="20"/>
      <c r="JU66" s="20"/>
      <c r="JV66" s="20"/>
      <c r="JW66" s="20"/>
      <c r="JX66" s="20"/>
      <c r="JY66" s="20"/>
      <c r="JZ66" s="20"/>
      <c r="KA66" s="20"/>
      <c r="KB66" s="20"/>
      <c r="KC66" s="20"/>
      <c r="KD66" s="188"/>
      <c r="KE66" s="20"/>
      <c r="KF66" s="20"/>
      <c r="KG66" s="20"/>
      <c r="KH66" s="20"/>
      <c r="KI66" s="12"/>
      <c r="KJ66" s="12"/>
      <c r="KK66" s="12"/>
      <c r="KL66" s="12"/>
      <c r="KM66" s="12"/>
      <c r="KN66" s="12"/>
      <c r="KO66" s="12"/>
      <c r="KP66" s="12"/>
      <c r="KQ66" s="12"/>
      <c r="KR66" s="12"/>
      <c r="KS66" s="12"/>
      <c r="KT66" s="12"/>
      <c r="KU66" s="12"/>
      <c r="KV66" s="12"/>
      <c r="KW66" s="12"/>
      <c r="KX66" s="12"/>
    </row>
    <row r="67" spans="1:310" s="39" customFormat="1" x14ac:dyDescent="0.2">
      <c r="B67" s="194" t="s">
        <v>88</v>
      </c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20"/>
      <c r="DT67" s="20"/>
      <c r="DU67" s="20"/>
      <c r="DV67" s="20"/>
      <c r="DW67" s="20"/>
      <c r="DX67" s="20"/>
      <c r="DY67" s="20"/>
      <c r="DZ67" s="20"/>
      <c r="EA67" s="20"/>
      <c r="EB67" s="20"/>
      <c r="EC67" s="20"/>
      <c r="ED67" s="20"/>
      <c r="EE67" s="20"/>
      <c r="EF67" s="20"/>
      <c r="EG67" s="20"/>
      <c r="EH67" s="20"/>
      <c r="EI67" s="20"/>
      <c r="EJ67" s="20"/>
      <c r="EK67" s="20"/>
      <c r="EL67" s="20"/>
      <c r="EM67" s="20"/>
      <c r="EN67" s="20"/>
      <c r="EO67" s="20"/>
      <c r="EP67" s="20"/>
      <c r="EQ67" s="20"/>
      <c r="ER67" s="20"/>
      <c r="ES67" s="20"/>
      <c r="ET67" s="20"/>
      <c r="EU67" s="20"/>
      <c r="EV67" s="20"/>
      <c r="EW67" s="20"/>
      <c r="EX67" s="20"/>
      <c r="EY67" s="20"/>
      <c r="EZ67" s="20"/>
      <c r="FA67" s="20"/>
      <c r="FB67" s="20"/>
      <c r="FC67" s="20"/>
      <c r="FD67" s="20"/>
      <c r="FE67" s="20"/>
      <c r="FF67" s="20"/>
      <c r="FG67" s="20"/>
      <c r="FH67" s="20"/>
      <c r="FI67" s="20"/>
      <c r="FJ67" s="20"/>
      <c r="FK67" s="20"/>
      <c r="FL67" s="20"/>
      <c r="FM67" s="20"/>
      <c r="FN67" s="20"/>
      <c r="FO67" s="20"/>
      <c r="FP67" s="20"/>
      <c r="FQ67" s="20"/>
      <c r="FR67" s="20"/>
      <c r="FS67" s="20"/>
      <c r="FT67" s="20"/>
      <c r="FU67" s="20"/>
      <c r="FV67" s="20"/>
      <c r="FW67" s="20"/>
      <c r="FX67" s="20"/>
      <c r="FY67" s="20"/>
      <c r="FZ67" s="20"/>
      <c r="GA67" s="20"/>
      <c r="GB67" s="20"/>
      <c r="GC67" s="20"/>
      <c r="GD67" s="20"/>
      <c r="GE67" s="20"/>
      <c r="GF67" s="20"/>
      <c r="GG67" s="20"/>
      <c r="GH67" s="20"/>
      <c r="GI67" s="20"/>
      <c r="GJ67" s="20"/>
      <c r="GK67" s="20"/>
      <c r="GL67" s="20"/>
      <c r="GM67" s="20"/>
      <c r="GN67" s="20"/>
      <c r="GO67" s="20"/>
      <c r="GP67" s="20"/>
      <c r="GQ67" s="20"/>
      <c r="GR67" s="20"/>
      <c r="GS67" s="20"/>
      <c r="GT67" s="20"/>
      <c r="GU67" s="20"/>
      <c r="GV67" s="20"/>
      <c r="GW67" s="20"/>
      <c r="GX67" s="20"/>
      <c r="GY67" s="20"/>
      <c r="GZ67" s="20"/>
      <c r="HA67" s="20"/>
      <c r="HB67" s="20"/>
      <c r="HC67" s="20"/>
      <c r="HD67" s="20"/>
      <c r="HE67" s="20"/>
      <c r="HF67" s="20"/>
      <c r="HG67" s="20"/>
      <c r="HH67" s="20"/>
      <c r="HI67" s="20"/>
      <c r="HJ67" s="20"/>
      <c r="HK67" s="20"/>
      <c r="HL67" s="20"/>
      <c r="HM67" s="20"/>
      <c r="HN67" s="20"/>
      <c r="HO67" s="20"/>
      <c r="HP67" s="20"/>
      <c r="HQ67" s="20"/>
      <c r="HR67" s="20"/>
      <c r="HS67" s="20"/>
      <c r="HT67" s="20"/>
      <c r="HU67" s="20"/>
      <c r="HV67" s="20"/>
      <c r="HW67" s="20"/>
      <c r="HX67" s="20"/>
      <c r="HY67" s="20"/>
      <c r="HZ67" s="20"/>
      <c r="IA67" s="20"/>
      <c r="IB67" s="20"/>
      <c r="IC67" s="20"/>
      <c r="ID67" s="20"/>
      <c r="IE67" s="20"/>
      <c r="IF67" s="20"/>
      <c r="IG67" s="20"/>
      <c r="IH67" s="20"/>
      <c r="II67" s="20"/>
      <c r="IJ67" s="20"/>
      <c r="IK67" s="20"/>
      <c r="IL67" s="20"/>
      <c r="IM67" s="20"/>
      <c r="IN67" s="20"/>
      <c r="IO67" s="20"/>
      <c r="IP67" s="20"/>
      <c r="IQ67" s="20"/>
      <c r="IR67" s="20"/>
      <c r="IS67" s="20"/>
      <c r="IT67" s="20"/>
      <c r="IU67" s="20"/>
      <c r="IV67" s="20"/>
      <c r="IW67" s="20"/>
      <c r="IX67" s="20"/>
      <c r="IY67" s="20"/>
      <c r="IZ67" s="20"/>
      <c r="JA67" s="20"/>
      <c r="JB67" s="20"/>
      <c r="JC67" s="20"/>
      <c r="JD67" s="20"/>
      <c r="JE67" s="20"/>
      <c r="JF67" s="20"/>
      <c r="JG67" s="20"/>
      <c r="JH67" s="20"/>
      <c r="JI67" s="20"/>
      <c r="JJ67" s="20"/>
      <c r="JK67" s="20"/>
      <c r="JL67" s="20"/>
      <c r="JM67" s="20"/>
      <c r="JN67" s="20"/>
      <c r="JO67" s="20"/>
      <c r="JP67" s="20"/>
      <c r="JQ67" s="20"/>
      <c r="JR67" s="20"/>
      <c r="JS67" s="20"/>
      <c r="JT67" s="20"/>
      <c r="JU67" s="20"/>
      <c r="JV67" s="20"/>
      <c r="JW67" s="20"/>
      <c r="JX67" s="20"/>
      <c r="JY67" s="20"/>
      <c r="JZ67" s="20"/>
      <c r="KA67" s="20"/>
      <c r="KB67" s="20"/>
      <c r="KC67" s="20"/>
      <c r="KD67" s="188"/>
      <c r="KE67" s="20"/>
      <c r="KF67" s="20"/>
      <c r="KG67" s="20"/>
      <c r="KH67" s="20"/>
      <c r="KI67" s="12"/>
      <c r="KJ67" s="12"/>
      <c r="KK67" s="12"/>
      <c r="KL67" s="12"/>
      <c r="KM67" s="12"/>
      <c r="KN67" s="12"/>
      <c r="KO67" s="12"/>
      <c r="KP67" s="12"/>
      <c r="KQ67" s="12"/>
      <c r="KR67" s="12"/>
      <c r="KS67" s="12"/>
      <c r="KT67" s="12"/>
      <c r="KU67" s="12"/>
      <c r="KV67" s="12"/>
      <c r="KW67" s="12"/>
      <c r="KX67" s="12"/>
    </row>
    <row r="68" spans="1:310" s="39" customFormat="1" x14ac:dyDescent="0.2">
      <c r="A68" s="138">
        <v>0</v>
      </c>
      <c r="B68" s="326" t="s">
        <v>625</v>
      </c>
      <c r="C68" s="50" t="str">
        <f>U68</f>
        <v>PC_A</v>
      </c>
      <c r="D68" s="319">
        <f>V68</f>
        <v>0.55309734513274333</v>
      </c>
      <c r="E68" s="50" t="str">
        <f t="shared" ref="E68:T83" si="22">W68</f>
        <v>PC_A</v>
      </c>
      <c r="F68" s="319">
        <f t="shared" si="22"/>
        <v>0</v>
      </c>
      <c r="G68" s="50" t="str">
        <f t="shared" si="22"/>
        <v>PC_A</v>
      </c>
      <c r="H68" s="319">
        <f t="shared" si="22"/>
        <v>0</v>
      </c>
      <c r="I68" s="50" t="str">
        <f t="shared" si="22"/>
        <v>PC_A</v>
      </c>
      <c r="J68" s="319">
        <f t="shared" si="22"/>
        <v>0</v>
      </c>
      <c r="K68" s="50" t="str">
        <f t="shared" si="22"/>
        <v>PC_A</v>
      </c>
      <c r="L68" s="319">
        <f t="shared" si="22"/>
        <v>0</v>
      </c>
      <c r="M68" s="50" t="str">
        <f t="shared" si="22"/>
        <v>PC_A</v>
      </c>
      <c r="N68" s="319">
        <f t="shared" si="22"/>
        <v>0</v>
      </c>
      <c r="O68" s="50" t="str">
        <f t="shared" si="22"/>
        <v>PC_A</v>
      </c>
      <c r="P68" s="319">
        <f t="shared" si="22"/>
        <v>0</v>
      </c>
      <c r="Q68" s="50" t="str">
        <f t="shared" si="22"/>
        <v>PC_A</v>
      </c>
      <c r="R68" s="319">
        <f t="shared" si="22"/>
        <v>0</v>
      </c>
      <c r="S68" s="50" t="str">
        <f t="shared" si="22"/>
        <v>PC_A</v>
      </c>
      <c r="T68" s="319">
        <f t="shared" si="22"/>
        <v>0</v>
      </c>
      <c r="U68" s="329" t="s">
        <v>616</v>
      </c>
      <c r="V68" s="330">
        <v>0.55309734513274333</v>
      </c>
      <c r="W68" s="331" t="s">
        <v>616</v>
      </c>
      <c r="X68" s="330">
        <v>0</v>
      </c>
      <c r="Y68" s="331" t="s">
        <v>616</v>
      </c>
      <c r="Z68" s="330">
        <v>0</v>
      </c>
      <c r="AA68" s="331" t="s">
        <v>616</v>
      </c>
      <c r="AB68" s="330">
        <v>0</v>
      </c>
      <c r="AC68" s="331" t="s">
        <v>616</v>
      </c>
      <c r="AD68" s="330">
        <v>0</v>
      </c>
      <c r="AE68" s="331" t="s">
        <v>616</v>
      </c>
      <c r="AF68" s="330">
        <v>0</v>
      </c>
      <c r="AG68" s="331" t="s">
        <v>616</v>
      </c>
      <c r="AH68" s="330">
        <v>0</v>
      </c>
      <c r="AI68" s="331" t="s">
        <v>616</v>
      </c>
      <c r="AJ68" s="330">
        <v>0</v>
      </c>
      <c r="AK68" s="331" t="s">
        <v>616</v>
      </c>
      <c r="AL68" s="330">
        <v>0</v>
      </c>
      <c r="AM68" s="330" t="s">
        <v>616</v>
      </c>
      <c r="AN68" s="330">
        <v>0.2601321471307424</v>
      </c>
      <c r="AO68" s="331" t="s">
        <v>616</v>
      </c>
      <c r="AP68" s="330">
        <v>0</v>
      </c>
      <c r="AQ68" s="331" t="s">
        <v>616</v>
      </c>
      <c r="AR68" s="330">
        <v>0</v>
      </c>
      <c r="AS68" s="331" t="s">
        <v>616</v>
      </c>
      <c r="AT68" s="330">
        <v>0</v>
      </c>
      <c r="AU68" s="331" t="s">
        <v>616</v>
      </c>
      <c r="AV68" s="330">
        <v>0</v>
      </c>
      <c r="AW68" s="331" t="s">
        <v>616</v>
      </c>
      <c r="AX68" s="330">
        <v>0</v>
      </c>
      <c r="AY68" s="331" t="s">
        <v>616</v>
      </c>
      <c r="AZ68" s="330">
        <v>0</v>
      </c>
      <c r="BA68" s="331" t="s">
        <v>616</v>
      </c>
      <c r="BB68" s="330">
        <v>0</v>
      </c>
      <c r="BC68" s="331" t="s">
        <v>616</v>
      </c>
      <c r="BD68" s="330">
        <v>0</v>
      </c>
      <c r="BE68" s="331" t="s">
        <v>616</v>
      </c>
      <c r="BF68" s="330">
        <v>0</v>
      </c>
      <c r="BG68" s="331" t="s">
        <v>616</v>
      </c>
      <c r="BH68" s="330">
        <v>0</v>
      </c>
      <c r="BI68" s="331" t="s">
        <v>616</v>
      </c>
      <c r="BJ68" s="330">
        <v>0</v>
      </c>
      <c r="BK68" s="331" t="s">
        <v>616</v>
      </c>
      <c r="BL68" s="332">
        <v>0</v>
      </c>
      <c r="BM68" s="320" t="s">
        <v>616</v>
      </c>
      <c r="BN68" s="321">
        <v>0</v>
      </c>
      <c r="BO68" s="320" t="s">
        <v>616</v>
      </c>
      <c r="BP68" s="321">
        <v>0.5</v>
      </c>
      <c r="BQ68" s="320" t="s">
        <v>616</v>
      </c>
      <c r="BR68" s="321">
        <v>0</v>
      </c>
      <c r="BS68" s="320" t="s">
        <v>616</v>
      </c>
      <c r="BT68" s="321">
        <v>0</v>
      </c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  <c r="EJ68" s="20"/>
      <c r="EK68" s="20"/>
      <c r="EL68" s="20"/>
      <c r="EM68" s="20"/>
      <c r="EN68" s="20"/>
      <c r="EO68" s="20"/>
      <c r="EP68" s="20"/>
      <c r="EQ68" s="20"/>
      <c r="ER68" s="20"/>
      <c r="ES68" s="20"/>
      <c r="ET68" s="20"/>
      <c r="EU68" s="20"/>
      <c r="EV68" s="20"/>
      <c r="EW68" s="20"/>
      <c r="EX68" s="20"/>
      <c r="EY68" s="20"/>
      <c r="EZ68" s="20"/>
      <c r="FA68" s="20"/>
      <c r="FB68" s="20"/>
      <c r="FC68" s="20"/>
      <c r="FD68" s="20"/>
      <c r="FE68" s="20"/>
      <c r="FF68" s="20"/>
      <c r="FG68" s="20"/>
      <c r="FH68" s="20"/>
      <c r="FI68" s="20"/>
      <c r="FJ68" s="20"/>
      <c r="FK68" s="20"/>
      <c r="FL68" s="20"/>
      <c r="FM68" s="20"/>
      <c r="FN68" s="20"/>
      <c r="FO68" s="20"/>
      <c r="FP68" s="20"/>
      <c r="FQ68" s="20"/>
      <c r="FR68" s="20"/>
      <c r="FS68" s="20"/>
      <c r="FT68" s="20"/>
      <c r="FU68" s="20"/>
      <c r="FV68" s="20"/>
      <c r="FW68" s="20"/>
      <c r="FX68" s="20"/>
      <c r="FY68" s="20"/>
      <c r="FZ68" s="20"/>
      <c r="GA68" s="20"/>
      <c r="GB68" s="20"/>
      <c r="GC68" s="20"/>
      <c r="GD68" s="20"/>
      <c r="GE68" s="20"/>
      <c r="GF68" s="20"/>
      <c r="GG68" s="20"/>
      <c r="GH68" s="20"/>
      <c r="GI68" s="20"/>
      <c r="GJ68" s="20"/>
      <c r="GK68" s="20"/>
      <c r="GL68" s="20"/>
      <c r="GM68" s="20"/>
      <c r="GN68" s="20"/>
      <c r="GO68" s="20"/>
      <c r="GP68" s="20"/>
      <c r="GQ68" s="20"/>
      <c r="GR68" s="20"/>
      <c r="GS68" s="20"/>
      <c r="GT68" s="20"/>
      <c r="GU68" s="20"/>
      <c r="GV68" s="20"/>
      <c r="GW68" s="20"/>
      <c r="GX68" s="20"/>
      <c r="GY68" s="20"/>
      <c r="GZ68" s="20"/>
      <c r="HA68" s="20"/>
      <c r="HB68" s="20"/>
      <c r="HC68" s="20"/>
      <c r="HD68" s="20"/>
      <c r="HE68" s="20"/>
      <c r="HF68" s="20"/>
      <c r="HG68" s="20"/>
      <c r="HH68" s="20"/>
      <c r="HI68" s="20"/>
      <c r="HJ68" s="20"/>
      <c r="HK68" s="20"/>
      <c r="HL68" s="20"/>
      <c r="HM68" s="20"/>
      <c r="HN68" s="20"/>
      <c r="HO68" s="20"/>
      <c r="HP68" s="20"/>
      <c r="HQ68" s="20"/>
      <c r="HR68" s="20"/>
      <c r="HS68" s="20"/>
      <c r="HT68" s="20"/>
      <c r="HU68" s="20"/>
      <c r="HV68" s="20"/>
      <c r="HW68" s="20"/>
      <c r="HX68" s="20"/>
      <c r="HY68" s="20"/>
      <c r="HZ68" s="20"/>
      <c r="IA68" s="20"/>
      <c r="IB68" s="20"/>
      <c r="IC68" s="20"/>
      <c r="ID68" s="20"/>
      <c r="IE68" s="20"/>
      <c r="IF68" s="20"/>
      <c r="IG68" s="20"/>
      <c r="IH68" s="20"/>
      <c r="II68" s="20"/>
      <c r="IJ68" s="20"/>
      <c r="IK68" s="20"/>
      <c r="IL68" s="20"/>
      <c r="IM68" s="20"/>
      <c r="IN68" s="20"/>
      <c r="IO68" s="20"/>
      <c r="IP68" s="20"/>
      <c r="IQ68" s="20"/>
      <c r="IR68" s="20"/>
      <c r="IS68" s="20"/>
      <c r="IT68" s="20"/>
      <c r="IU68" s="20"/>
      <c r="IV68" s="20"/>
      <c r="IW68" s="20"/>
      <c r="IX68" s="20"/>
      <c r="IY68" s="20"/>
      <c r="IZ68" s="20"/>
      <c r="JA68" s="20"/>
      <c r="JB68" s="20"/>
      <c r="JC68" s="20"/>
      <c r="JD68" s="20"/>
      <c r="JE68" s="20"/>
      <c r="JF68" s="20"/>
      <c r="JG68" s="20"/>
      <c r="JH68" s="20"/>
      <c r="JI68" s="20"/>
      <c r="JJ68" s="20"/>
      <c r="JK68" s="20"/>
      <c r="JL68" s="20"/>
      <c r="JM68" s="20"/>
      <c r="JN68" s="20"/>
      <c r="JO68" s="20"/>
      <c r="JP68" s="20"/>
      <c r="JQ68" s="20"/>
      <c r="JR68" s="20"/>
      <c r="JS68" s="20"/>
      <c r="JT68" s="20"/>
      <c r="JU68" s="20"/>
      <c r="JV68" s="20"/>
      <c r="JW68" s="20"/>
      <c r="JX68" s="20"/>
      <c r="JY68" s="20"/>
      <c r="JZ68" s="20"/>
      <c r="KA68" s="20"/>
      <c r="KB68" s="20"/>
      <c r="KC68" s="20"/>
      <c r="KD68" s="188"/>
      <c r="KE68" s="20"/>
      <c r="KF68" s="20"/>
      <c r="KG68" s="20"/>
      <c r="KH68" s="20"/>
      <c r="KI68" s="12"/>
      <c r="KJ68" s="12"/>
      <c r="KK68" s="12"/>
      <c r="KL68" s="12"/>
      <c r="KM68" s="12"/>
      <c r="KN68" s="12"/>
      <c r="KO68" s="12"/>
      <c r="KP68" s="12"/>
      <c r="KQ68" s="12"/>
      <c r="KR68" s="12"/>
      <c r="KS68" s="12"/>
      <c r="KT68" s="12"/>
      <c r="KU68" s="12"/>
      <c r="KV68" s="12"/>
      <c r="KW68" s="12"/>
      <c r="KX68" s="12"/>
    </row>
    <row r="69" spans="1:310" s="39" customFormat="1" x14ac:dyDescent="0.2">
      <c r="A69" s="138">
        <v>0</v>
      </c>
      <c r="B69" s="326" t="s">
        <v>626</v>
      </c>
      <c r="C69" s="50" t="str">
        <f t="shared" ref="C69:C101" si="23">U69</f>
        <v>PC_BBB</v>
      </c>
      <c r="D69" s="319">
        <f t="shared" ref="D69:D101" si="24">V69</f>
        <v>0.53125</v>
      </c>
      <c r="E69" s="50" t="str">
        <f t="shared" si="22"/>
        <v>PC_BBB</v>
      </c>
      <c r="F69" s="319">
        <f t="shared" si="22"/>
        <v>0</v>
      </c>
      <c r="G69" s="50" t="str">
        <f t="shared" si="22"/>
        <v>PC_BBB</v>
      </c>
      <c r="H69" s="319">
        <f t="shared" si="22"/>
        <v>0</v>
      </c>
      <c r="I69" s="50" t="str">
        <f t="shared" si="22"/>
        <v>PC_BBB</v>
      </c>
      <c r="J69" s="319">
        <f t="shared" si="22"/>
        <v>0</v>
      </c>
      <c r="K69" s="50" t="str">
        <f t="shared" si="22"/>
        <v>PC_BBB</v>
      </c>
      <c r="L69" s="319">
        <f t="shared" si="22"/>
        <v>0</v>
      </c>
      <c r="M69" s="50" t="str">
        <f t="shared" si="22"/>
        <v>PC_BBB</v>
      </c>
      <c r="N69" s="319">
        <f t="shared" si="22"/>
        <v>0</v>
      </c>
      <c r="O69" s="50" t="str">
        <f t="shared" si="22"/>
        <v>PC_BBB</v>
      </c>
      <c r="P69" s="319">
        <f t="shared" si="22"/>
        <v>0</v>
      </c>
      <c r="Q69" s="50" t="str">
        <f t="shared" si="22"/>
        <v>PC_BBB</v>
      </c>
      <c r="R69" s="319">
        <f t="shared" si="22"/>
        <v>0</v>
      </c>
      <c r="S69" s="50" t="str">
        <f t="shared" si="22"/>
        <v>PC_BBB</v>
      </c>
      <c r="T69" s="319">
        <f t="shared" si="22"/>
        <v>0</v>
      </c>
      <c r="U69" s="329" t="s">
        <v>617</v>
      </c>
      <c r="V69" s="330">
        <v>0.53125</v>
      </c>
      <c r="W69" s="331" t="s">
        <v>617</v>
      </c>
      <c r="X69" s="330">
        <v>0</v>
      </c>
      <c r="Y69" s="331" t="s">
        <v>617</v>
      </c>
      <c r="Z69" s="330">
        <v>0</v>
      </c>
      <c r="AA69" s="331" t="s">
        <v>617</v>
      </c>
      <c r="AB69" s="330">
        <v>0</v>
      </c>
      <c r="AC69" s="331" t="s">
        <v>617</v>
      </c>
      <c r="AD69" s="330">
        <v>0</v>
      </c>
      <c r="AE69" s="331" t="s">
        <v>617</v>
      </c>
      <c r="AF69" s="330">
        <v>0</v>
      </c>
      <c r="AG69" s="331" t="s">
        <v>617</v>
      </c>
      <c r="AH69" s="330">
        <v>0</v>
      </c>
      <c r="AI69" s="331" t="s">
        <v>617</v>
      </c>
      <c r="AJ69" s="330">
        <v>0</v>
      </c>
      <c r="AK69" s="331" t="s">
        <v>617</v>
      </c>
      <c r="AL69" s="330">
        <v>0</v>
      </c>
      <c r="AM69" s="330" t="s">
        <v>617</v>
      </c>
      <c r="AN69" s="330">
        <v>0.23097826086956519</v>
      </c>
      <c r="AO69" s="331" t="s">
        <v>617</v>
      </c>
      <c r="AP69" s="330">
        <v>0</v>
      </c>
      <c r="AQ69" s="331" t="s">
        <v>617</v>
      </c>
      <c r="AR69" s="330">
        <v>0</v>
      </c>
      <c r="AS69" s="331" t="s">
        <v>617</v>
      </c>
      <c r="AT69" s="330">
        <v>0</v>
      </c>
      <c r="AU69" s="331" t="s">
        <v>617</v>
      </c>
      <c r="AV69" s="330">
        <v>0</v>
      </c>
      <c r="AW69" s="331" t="s">
        <v>617</v>
      </c>
      <c r="AX69" s="330">
        <v>0</v>
      </c>
      <c r="AY69" s="331" t="s">
        <v>617</v>
      </c>
      <c r="AZ69" s="330">
        <v>0</v>
      </c>
      <c r="BA69" s="331" t="s">
        <v>617</v>
      </c>
      <c r="BB69" s="330">
        <v>0</v>
      </c>
      <c r="BC69" s="331" t="s">
        <v>617</v>
      </c>
      <c r="BD69" s="330">
        <v>0</v>
      </c>
      <c r="BE69" s="331" t="s">
        <v>617</v>
      </c>
      <c r="BF69" s="330">
        <v>0</v>
      </c>
      <c r="BG69" s="331" t="s">
        <v>617</v>
      </c>
      <c r="BH69" s="330">
        <v>0</v>
      </c>
      <c r="BI69" s="331" t="s">
        <v>617</v>
      </c>
      <c r="BJ69" s="330">
        <v>0</v>
      </c>
      <c r="BK69" s="331" t="s">
        <v>617</v>
      </c>
      <c r="BL69" s="332">
        <v>0</v>
      </c>
      <c r="BM69" s="320" t="s">
        <v>617</v>
      </c>
      <c r="BN69" s="321">
        <v>0</v>
      </c>
      <c r="BO69" s="320" t="s">
        <v>617</v>
      </c>
      <c r="BP69" s="321">
        <v>0</v>
      </c>
      <c r="BQ69" s="320" t="s">
        <v>617</v>
      </c>
      <c r="BR69" s="321">
        <v>0</v>
      </c>
      <c r="BS69" s="320" t="s">
        <v>617</v>
      </c>
      <c r="BT69" s="321">
        <v>0</v>
      </c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20"/>
      <c r="DT69" s="20"/>
      <c r="DU69" s="20"/>
      <c r="DV69" s="20"/>
      <c r="DW69" s="20"/>
      <c r="DX69" s="20"/>
      <c r="DY69" s="20"/>
      <c r="DZ69" s="20"/>
      <c r="EA69" s="20"/>
      <c r="EB69" s="20"/>
      <c r="EC69" s="20"/>
      <c r="ED69" s="20"/>
      <c r="EE69" s="20"/>
      <c r="EF69" s="20"/>
      <c r="EG69" s="20"/>
      <c r="EH69" s="20"/>
      <c r="EI69" s="20"/>
      <c r="EJ69" s="20"/>
      <c r="EK69" s="20"/>
      <c r="EL69" s="20"/>
      <c r="EM69" s="20"/>
      <c r="EN69" s="20"/>
      <c r="EO69" s="20"/>
      <c r="EP69" s="20"/>
      <c r="EQ69" s="20"/>
      <c r="ER69" s="20"/>
      <c r="ES69" s="20"/>
      <c r="ET69" s="20"/>
      <c r="EU69" s="20"/>
      <c r="EV69" s="20"/>
      <c r="EW69" s="20"/>
      <c r="EX69" s="20"/>
      <c r="EY69" s="20"/>
      <c r="EZ69" s="20"/>
      <c r="FA69" s="20"/>
      <c r="FB69" s="20"/>
      <c r="FC69" s="20"/>
      <c r="FD69" s="20"/>
      <c r="FE69" s="20"/>
      <c r="FF69" s="20"/>
      <c r="FG69" s="20"/>
      <c r="FH69" s="20"/>
      <c r="FI69" s="20"/>
      <c r="FJ69" s="20"/>
      <c r="FK69" s="20"/>
      <c r="FL69" s="20"/>
      <c r="FM69" s="20"/>
      <c r="FN69" s="20"/>
      <c r="FO69" s="20"/>
      <c r="FP69" s="20"/>
      <c r="FQ69" s="20"/>
      <c r="FR69" s="20"/>
      <c r="FS69" s="20"/>
      <c r="FT69" s="20"/>
      <c r="FU69" s="20"/>
      <c r="FV69" s="20"/>
      <c r="FW69" s="20"/>
      <c r="FX69" s="20"/>
      <c r="FY69" s="20"/>
      <c r="FZ69" s="20"/>
      <c r="GA69" s="20"/>
      <c r="GB69" s="20"/>
      <c r="GC69" s="20"/>
      <c r="GD69" s="20"/>
      <c r="GE69" s="20"/>
      <c r="GF69" s="20"/>
      <c r="GG69" s="20"/>
      <c r="GH69" s="20"/>
      <c r="GI69" s="20"/>
      <c r="GJ69" s="20"/>
      <c r="GK69" s="20"/>
      <c r="GL69" s="20"/>
      <c r="GM69" s="20"/>
      <c r="GN69" s="20"/>
      <c r="GO69" s="20"/>
      <c r="GP69" s="20"/>
      <c r="GQ69" s="20"/>
      <c r="GR69" s="20"/>
      <c r="GS69" s="20"/>
      <c r="GT69" s="20"/>
      <c r="GU69" s="20"/>
      <c r="GV69" s="20"/>
      <c r="GW69" s="20"/>
      <c r="GX69" s="20"/>
      <c r="GY69" s="20"/>
      <c r="GZ69" s="20"/>
      <c r="HA69" s="20"/>
      <c r="HB69" s="20"/>
      <c r="HC69" s="20"/>
      <c r="HD69" s="20"/>
      <c r="HE69" s="20"/>
      <c r="HF69" s="20"/>
      <c r="HG69" s="20"/>
      <c r="HH69" s="20"/>
      <c r="HI69" s="20"/>
      <c r="HJ69" s="20"/>
      <c r="HK69" s="20"/>
      <c r="HL69" s="20"/>
      <c r="HM69" s="20"/>
      <c r="HN69" s="20"/>
      <c r="HO69" s="20"/>
      <c r="HP69" s="20"/>
      <c r="HQ69" s="20"/>
      <c r="HR69" s="20"/>
      <c r="HS69" s="20"/>
      <c r="HT69" s="20"/>
      <c r="HU69" s="20"/>
      <c r="HV69" s="20"/>
      <c r="HW69" s="20"/>
      <c r="HX69" s="20"/>
      <c r="HY69" s="20"/>
      <c r="HZ69" s="20"/>
      <c r="IA69" s="20"/>
      <c r="IB69" s="20"/>
      <c r="IC69" s="20"/>
      <c r="ID69" s="20"/>
      <c r="IE69" s="20"/>
      <c r="IF69" s="20"/>
      <c r="IG69" s="20"/>
      <c r="IH69" s="20"/>
      <c r="II69" s="20"/>
      <c r="IJ69" s="20"/>
      <c r="IK69" s="20"/>
      <c r="IL69" s="20"/>
      <c r="IM69" s="20"/>
      <c r="IN69" s="20"/>
      <c r="IO69" s="20"/>
      <c r="IP69" s="20"/>
      <c r="IQ69" s="20"/>
      <c r="IR69" s="20"/>
      <c r="IS69" s="20"/>
      <c r="IT69" s="20"/>
      <c r="IU69" s="20"/>
      <c r="IV69" s="20"/>
      <c r="IW69" s="20"/>
      <c r="IX69" s="20"/>
      <c r="IY69" s="20"/>
      <c r="IZ69" s="20"/>
      <c r="JA69" s="20"/>
      <c r="JB69" s="20"/>
      <c r="JC69" s="20"/>
      <c r="JD69" s="20"/>
      <c r="JE69" s="20"/>
      <c r="JF69" s="20"/>
      <c r="JG69" s="20"/>
      <c r="JH69" s="20"/>
      <c r="JI69" s="20"/>
      <c r="JJ69" s="20"/>
      <c r="JK69" s="20"/>
      <c r="JL69" s="20"/>
      <c r="JM69" s="20"/>
      <c r="JN69" s="20"/>
      <c r="JO69" s="20"/>
      <c r="JP69" s="20"/>
      <c r="JQ69" s="20"/>
      <c r="JR69" s="20"/>
      <c r="JS69" s="20"/>
      <c r="JT69" s="20"/>
      <c r="JU69" s="20"/>
      <c r="JV69" s="20"/>
      <c r="JW69" s="20"/>
      <c r="JX69" s="20"/>
      <c r="JY69" s="20"/>
      <c r="JZ69" s="20"/>
      <c r="KA69" s="20"/>
      <c r="KB69" s="20"/>
      <c r="KC69" s="20"/>
      <c r="KD69" s="188"/>
      <c r="KE69" s="20"/>
      <c r="KF69" s="20"/>
      <c r="KG69" s="20"/>
      <c r="KH69" s="20"/>
      <c r="KI69" s="12"/>
      <c r="KJ69" s="12"/>
      <c r="KK69" s="12"/>
      <c r="KL69" s="12"/>
      <c r="KM69" s="12"/>
      <c r="KN69" s="12"/>
      <c r="KO69" s="12"/>
      <c r="KP69" s="12"/>
      <c r="KQ69" s="12"/>
      <c r="KR69" s="12"/>
      <c r="KS69" s="12"/>
      <c r="KT69" s="12"/>
      <c r="KU69" s="12"/>
      <c r="KV69" s="12"/>
      <c r="KW69" s="12"/>
      <c r="KX69" s="12"/>
    </row>
    <row r="70" spans="1:310" s="39" customFormat="1" x14ac:dyDescent="0.2">
      <c r="A70" s="138">
        <v>0</v>
      </c>
      <c r="B70" s="326" t="s">
        <v>627</v>
      </c>
      <c r="C70" s="50" t="str">
        <f t="shared" si="23"/>
        <v>PC_A</v>
      </c>
      <c r="D70" s="319">
        <f t="shared" si="24"/>
        <v>0.11061946902654868</v>
      </c>
      <c r="E70" s="50" t="str">
        <f t="shared" si="22"/>
        <v>PC_A</v>
      </c>
      <c r="F70" s="319">
        <f t="shared" si="22"/>
        <v>0.21994134897360701</v>
      </c>
      <c r="G70" s="50" t="str">
        <f t="shared" si="22"/>
        <v>PC_A</v>
      </c>
      <c r="H70" s="319">
        <f t="shared" si="22"/>
        <v>0</v>
      </c>
      <c r="I70" s="50" t="str">
        <f t="shared" si="22"/>
        <v>PC_A</v>
      </c>
      <c r="J70" s="319">
        <f t="shared" si="22"/>
        <v>0</v>
      </c>
      <c r="K70" s="50" t="str">
        <f t="shared" si="22"/>
        <v>PC_A</v>
      </c>
      <c r="L70" s="319">
        <f t="shared" si="22"/>
        <v>0</v>
      </c>
      <c r="M70" s="50" t="str">
        <f t="shared" si="22"/>
        <v>PC_A</v>
      </c>
      <c r="N70" s="319">
        <f t="shared" si="22"/>
        <v>0</v>
      </c>
      <c r="O70" s="50" t="str">
        <f t="shared" si="22"/>
        <v>PC_A</v>
      </c>
      <c r="P70" s="319">
        <f t="shared" si="22"/>
        <v>0</v>
      </c>
      <c r="Q70" s="50" t="str">
        <f t="shared" si="22"/>
        <v>PC_A</v>
      </c>
      <c r="R70" s="319">
        <f t="shared" si="22"/>
        <v>0</v>
      </c>
      <c r="S70" s="50" t="str">
        <f t="shared" si="22"/>
        <v>PC_A</v>
      </c>
      <c r="T70" s="319">
        <f t="shared" si="22"/>
        <v>0</v>
      </c>
      <c r="U70" s="329" t="s">
        <v>616</v>
      </c>
      <c r="V70" s="330">
        <v>0.11061946902654868</v>
      </c>
      <c r="W70" s="331" t="s">
        <v>616</v>
      </c>
      <c r="X70" s="330">
        <v>0.21994134897360701</v>
      </c>
      <c r="Y70" s="331" t="s">
        <v>616</v>
      </c>
      <c r="Z70" s="330">
        <v>0</v>
      </c>
      <c r="AA70" s="331" t="s">
        <v>616</v>
      </c>
      <c r="AB70" s="330">
        <v>0</v>
      </c>
      <c r="AC70" s="331" t="s">
        <v>616</v>
      </c>
      <c r="AD70" s="330">
        <v>0</v>
      </c>
      <c r="AE70" s="331" t="s">
        <v>616</v>
      </c>
      <c r="AF70" s="330">
        <v>0</v>
      </c>
      <c r="AG70" s="331" t="s">
        <v>616</v>
      </c>
      <c r="AH70" s="330">
        <v>0</v>
      </c>
      <c r="AI70" s="331" t="s">
        <v>616</v>
      </c>
      <c r="AJ70" s="330">
        <v>0</v>
      </c>
      <c r="AK70" s="331" t="s">
        <v>616</v>
      </c>
      <c r="AL70" s="330">
        <v>0</v>
      </c>
      <c r="AM70" s="330" t="s">
        <v>616</v>
      </c>
      <c r="AN70" s="330">
        <v>0.1300660735653712</v>
      </c>
      <c r="AO70" s="331" t="s">
        <v>616</v>
      </c>
      <c r="AP70" s="330">
        <v>8.8741643495237527E-2</v>
      </c>
      <c r="AQ70" s="331" t="s">
        <v>616</v>
      </c>
      <c r="AR70" s="330">
        <v>0</v>
      </c>
      <c r="AS70" s="331" t="s">
        <v>616</v>
      </c>
      <c r="AT70" s="330">
        <v>0</v>
      </c>
      <c r="AU70" s="331" t="s">
        <v>616</v>
      </c>
      <c r="AV70" s="330">
        <v>0</v>
      </c>
      <c r="AW70" s="331" t="s">
        <v>616</v>
      </c>
      <c r="AX70" s="330">
        <v>0</v>
      </c>
      <c r="AY70" s="331" t="s">
        <v>616</v>
      </c>
      <c r="AZ70" s="330">
        <v>0</v>
      </c>
      <c r="BA70" s="331" t="s">
        <v>616</v>
      </c>
      <c r="BB70" s="330">
        <v>0</v>
      </c>
      <c r="BC70" s="331" t="s">
        <v>616</v>
      </c>
      <c r="BD70" s="330">
        <v>0</v>
      </c>
      <c r="BE70" s="331" t="s">
        <v>616</v>
      </c>
      <c r="BF70" s="330">
        <v>0</v>
      </c>
      <c r="BG70" s="331" t="s">
        <v>616</v>
      </c>
      <c r="BH70" s="330">
        <v>0</v>
      </c>
      <c r="BI70" s="331" t="s">
        <v>616</v>
      </c>
      <c r="BJ70" s="330">
        <v>0</v>
      </c>
      <c r="BK70" s="331" t="s">
        <v>616</v>
      </c>
      <c r="BL70" s="332">
        <v>0</v>
      </c>
      <c r="BM70" s="320" t="s">
        <v>616</v>
      </c>
      <c r="BN70" s="321">
        <v>0</v>
      </c>
      <c r="BO70" s="320" t="s">
        <v>616</v>
      </c>
      <c r="BP70" s="321">
        <v>0.4</v>
      </c>
      <c r="BQ70" s="320" t="s">
        <v>616</v>
      </c>
      <c r="BR70" s="321">
        <v>0.1</v>
      </c>
      <c r="BS70" s="320" t="s">
        <v>616</v>
      </c>
      <c r="BT70" s="321">
        <v>0</v>
      </c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  <c r="EJ70" s="20"/>
      <c r="EK70" s="20"/>
      <c r="EL70" s="20"/>
      <c r="EM70" s="20"/>
      <c r="EN70" s="20"/>
      <c r="EO70" s="20"/>
      <c r="EP70" s="20"/>
      <c r="EQ70" s="20"/>
      <c r="ER70" s="20"/>
      <c r="ES70" s="20"/>
      <c r="ET70" s="20"/>
      <c r="EU70" s="20"/>
      <c r="EV70" s="20"/>
      <c r="EW70" s="20"/>
      <c r="EX70" s="20"/>
      <c r="EY70" s="20"/>
      <c r="EZ70" s="20"/>
      <c r="FA70" s="20"/>
      <c r="FB70" s="20"/>
      <c r="FC70" s="20"/>
      <c r="FD70" s="20"/>
      <c r="FE70" s="20"/>
      <c r="FF70" s="20"/>
      <c r="FG70" s="20"/>
      <c r="FH70" s="20"/>
      <c r="FI70" s="20"/>
      <c r="FJ70" s="20"/>
      <c r="FK70" s="20"/>
      <c r="FL70" s="20"/>
      <c r="FM70" s="20"/>
      <c r="FN70" s="20"/>
      <c r="FO70" s="20"/>
      <c r="FP70" s="20"/>
      <c r="FQ70" s="20"/>
      <c r="FR70" s="20"/>
      <c r="FS70" s="20"/>
      <c r="FT70" s="20"/>
      <c r="FU70" s="20"/>
      <c r="FV70" s="20"/>
      <c r="FW70" s="20"/>
      <c r="FX70" s="20"/>
      <c r="FY70" s="20"/>
      <c r="FZ70" s="20"/>
      <c r="GA70" s="20"/>
      <c r="GB70" s="20"/>
      <c r="GC70" s="20"/>
      <c r="GD70" s="20"/>
      <c r="GE70" s="20"/>
      <c r="GF70" s="20"/>
      <c r="GG70" s="20"/>
      <c r="GH70" s="20"/>
      <c r="GI70" s="20"/>
      <c r="GJ70" s="20"/>
      <c r="GK70" s="20"/>
      <c r="GL70" s="20"/>
      <c r="GM70" s="20"/>
      <c r="GN70" s="20"/>
      <c r="GO70" s="20"/>
      <c r="GP70" s="20"/>
      <c r="GQ70" s="20"/>
      <c r="GR70" s="20"/>
      <c r="GS70" s="20"/>
      <c r="GT70" s="20"/>
      <c r="GU70" s="20"/>
      <c r="GV70" s="20"/>
      <c r="GW70" s="20"/>
      <c r="GX70" s="20"/>
      <c r="GY70" s="20"/>
      <c r="GZ70" s="20"/>
      <c r="HA70" s="20"/>
      <c r="HB70" s="20"/>
      <c r="HC70" s="20"/>
      <c r="HD70" s="20"/>
      <c r="HE70" s="20"/>
      <c r="HF70" s="20"/>
      <c r="HG70" s="20"/>
      <c r="HH70" s="20"/>
      <c r="HI70" s="20"/>
      <c r="HJ70" s="20"/>
      <c r="HK70" s="20"/>
      <c r="HL70" s="20"/>
      <c r="HM70" s="20"/>
      <c r="HN70" s="20"/>
      <c r="HO70" s="20"/>
      <c r="HP70" s="20"/>
      <c r="HQ70" s="20"/>
      <c r="HR70" s="20"/>
      <c r="HS70" s="20"/>
      <c r="HT70" s="20"/>
      <c r="HU70" s="20"/>
      <c r="HV70" s="20"/>
      <c r="HW70" s="20"/>
      <c r="HX70" s="20"/>
      <c r="HY70" s="20"/>
      <c r="HZ70" s="20"/>
      <c r="IA70" s="20"/>
      <c r="IB70" s="20"/>
      <c r="IC70" s="20"/>
      <c r="ID70" s="20"/>
      <c r="IE70" s="20"/>
      <c r="IF70" s="20"/>
      <c r="IG70" s="20"/>
      <c r="IH70" s="20"/>
      <c r="II70" s="20"/>
      <c r="IJ70" s="20"/>
      <c r="IK70" s="20"/>
      <c r="IL70" s="20"/>
      <c r="IM70" s="20"/>
      <c r="IN70" s="20"/>
      <c r="IO70" s="20"/>
      <c r="IP70" s="20"/>
      <c r="IQ70" s="20"/>
      <c r="IR70" s="20"/>
      <c r="IS70" s="20"/>
      <c r="IT70" s="20"/>
      <c r="IU70" s="20"/>
      <c r="IV70" s="20"/>
      <c r="IW70" s="20"/>
      <c r="IX70" s="20"/>
      <c r="IY70" s="20"/>
      <c r="IZ70" s="20"/>
      <c r="JA70" s="20"/>
      <c r="JB70" s="20"/>
      <c r="JC70" s="20"/>
      <c r="JD70" s="20"/>
      <c r="JE70" s="20"/>
      <c r="JF70" s="20"/>
      <c r="JG70" s="20"/>
      <c r="JH70" s="20"/>
      <c r="JI70" s="20"/>
      <c r="JJ70" s="20"/>
      <c r="JK70" s="20"/>
      <c r="JL70" s="20"/>
      <c r="JM70" s="20"/>
      <c r="JN70" s="20"/>
      <c r="JO70" s="20"/>
      <c r="JP70" s="20"/>
      <c r="JQ70" s="20"/>
      <c r="JR70" s="20"/>
      <c r="JS70" s="20"/>
      <c r="JT70" s="20"/>
      <c r="JU70" s="20"/>
      <c r="JV70" s="20"/>
      <c r="JW70" s="20"/>
      <c r="JX70" s="20"/>
      <c r="JY70" s="20"/>
      <c r="JZ70" s="20"/>
      <c r="KA70" s="20"/>
      <c r="KB70" s="20"/>
      <c r="KC70" s="20"/>
      <c r="KD70" s="188"/>
      <c r="KE70" s="20"/>
      <c r="KF70" s="20"/>
      <c r="KG70" s="20"/>
      <c r="KH70" s="20"/>
      <c r="KI70" s="12"/>
      <c r="KJ70" s="12"/>
      <c r="KK70" s="12"/>
      <c r="KL70" s="12"/>
      <c r="KM70" s="12"/>
      <c r="KN70" s="12"/>
      <c r="KO70" s="12"/>
      <c r="KP70" s="12"/>
      <c r="KQ70" s="12"/>
      <c r="KR70" s="12"/>
      <c r="KS70" s="12"/>
      <c r="KT70" s="12"/>
      <c r="KU70" s="12"/>
      <c r="KV70" s="12"/>
      <c r="KW70" s="12"/>
      <c r="KX70" s="12"/>
    </row>
    <row r="71" spans="1:310" s="39" customFormat="1" x14ac:dyDescent="0.2">
      <c r="A71" s="138">
        <v>0</v>
      </c>
      <c r="B71" s="326" t="s">
        <v>628</v>
      </c>
      <c r="C71" s="50" t="str">
        <f t="shared" si="23"/>
        <v>PC_AAA</v>
      </c>
      <c r="D71" s="319">
        <f t="shared" si="24"/>
        <v>0</v>
      </c>
      <c r="E71" s="50" t="str">
        <f t="shared" si="22"/>
        <v>PC_AAA</v>
      </c>
      <c r="F71" s="319">
        <f t="shared" si="22"/>
        <v>0</v>
      </c>
      <c r="G71" s="50" t="str">
        <f t="shared" si="22"/>
        <v>PC_AAA</v>
      </c>
      <c r="H71" s="319">
        <f t="shared" si="22"/>
        <v>0</v>
      </c>
      <c r="I71" s="50" t="str">
        <f t="shared" si="22"/>
        <v>PC_AAA</v>
      </c>
      <c r="J71" s="319">
        <f t="shared" si="22"/>
        <v>0</v>
      </c>
      <c r="K71" s="50" t="str">
        <f t="shared" si="22"/>
        <v>PC_AAA</v>
      </c>
      <c r="L71" s="319">
        <f t="shared" si="22"/>
        <v>0</v>
      </c>
      <c r="M71" s="50" t="str">
        <f t="shared" si="22"/>
        <v>PC_AAA</v>
      </c>
      <c r="N71" s="319">
        <f t="shared" si="22"/>
        <v>0</v>
      </c>
      <c r="O71" s="50" t="str">
        <f t="shared" si="22"/>
        <v>PC_AAA</v>
      </c>
      <c r="P71" s="319">
        <f t="shared" si="22"/>
        <v>0</v>
      </c>
      <c r="Q71" s="50" t="str">
        <f t="shared" si="22"/>
        <v>PC_AAA</v>
      </c>
      <c r="R71" s="319">
        <f t="shared" si="22"/>
        <v>0</v>
      </c>
      <c r="S71" s="50" t="str">
        <f t="shared" si="22"/>
        <v>PC_AAA</v>
      </c>
      <c r="T71" s="319">
        <f t="shared" si="22"/>
        <v>0</v>
      </c>
      <c r="U71" s="329" t="s">
        <v>619</v>
      </c>
      <c r="V71" s="330">
        <v>0</v>
      </c>
      <c r="W71" s="331" t="s">
        <v>619</v>
      </c>
      <c r="X71" s="330">
        <v>0</v>
      </c>
      <c r="Y71" s="331" t="s">
        <v>619</v>
      </c>
      <c r="Z71" s="330">
        <v>0</v>
      </c>
      <c r="AA71" s="331" t="s">
        <v>619</v>
      </c>
      <c r="AB71" s="330">
        <v>0</v>
      </c>
      <c r="AC71" s="331" t="s">
        <v>619</v>
      </c>
      <c r="AD71" s="330">
        <v>0</v>
      </c>
      <c r="AE71" s="331" t="s">
        <v>619</v>
      </c>
      <c r="AF71" s="330">
        <v>0</v>
      </c>
      <c r="AG71" s="331" t="s">
        <v>619</v>
      </c>
      <c r="AH71" s="330">
        <v>0</v>
      </c>
      <c r="AI71" s="331" t="s">
        <v>619</v>
      </c>
      <c r="AJ71" s="330">
        <v>0</v>
      </c>
      <c r="AK71" s="331" t="s">
        <v>619</v>
      </c>
      <c r="AL71" s="330">
        <v>0</v>
      </c>
      <c r="AM71" s="330" t="s">
        <v>619</v>
      </c>
      <c r="AN71" s="330">
        <v>0</v>
      </c>
      <c r="AO71" s="331" t="s">
        <v>619</v>
      </c>
      <c r="AP71" s="330">
        <v>0</v>
      </c>
      <c r="AQ71" s="331" t="s">
        <v>619</v>
      </c>
      <c r="AR71" s="330">
        <v>0</v>
      </c>
      <c r="AS71" s="331" t="s">
        <v>619</v>
      </c>
      <c r="AT71" s="330">
        <v>0</v>
      </c>
      <c r="AU71" s="331" t="s">
        <v>619</v>
      </c>
      <c r="AV71" s="330">
        <v>0</v>
      </c>
      <c r="AW71" s="331" t="s">
        <v>619</v>
      </c>
      <c r="AX71" s="330">
        <v>0</v>
      </c>
      <c r="AY71" s="331" t="s">
        <v>619</v>
      </c>
      <c r="AZ71" s="330">
        <v>0</v>
      </c>
      <c r="BA71" s="331" t="s">
        <v>619</v>
      </c>
      <c r="BB71" s="330">
        <v>0</v>
      </c>
      <c r="BC71" s="331" t="s">
        <v>619</v>
      </c>
      <c r="BD71" s="330">
        <v>0</v>
      </c>
      <c r="BE71" s="331" t="s">
        <v>619</v>
      </c>
      <c r="BF71" s="330">
        <v>0</v>
      </c>
      <c r="BG71" s="331" t="s">
        <v>619</v>
      </c>
      <c r="BH71" s="330">
        <v>0</v>
      </c>
      <c r="BI71" s="331" t="s">
        <v>619</v>
      </c>
      <c r="BJ71" s="330">
        <v>0</v>
      </c>
      <c r="BK71" s="331" t="s">
        <v>619</v>
      </c>
      <c r="BL71" s="332">
        <v>0</v>
      </c>
      <c r="BM71" s="320" t="s">
        <v>619</v>
      </c>
      <c r="BN71" s="321">
        <v>0</v>
      </c>
      <c r="BO71" s="320" t="s">
        <v>619</v>
      </c>
      <c r="BP71" s="321">
        <v>0</v>
      </c>
      <c r="BQ71" s="320" t="s">
        <v>619</v>
      </c>
      <c r="BR71" s="321">
        <v>0</v>
      </c>
      <c r="BS71" s="320" t="s">
        <v>619</v>
      </c>
      <c r="BT71" s="321">
        <v>0</v>
      </c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20"/>
      <c r="CV71" s="20"/>
      <c r="CW71" s="20"/>
      <c r="CX71" s="20"/>
      <c r="CY71" s="20"/>
      <c r="CZ71" s="20"/>
      <c r="DA71" s="20"/>
      <c r="DB71" s="20"/>
      <c r="DC71" s="20"/>
      <c r="DD71" s="20"/>
      <c r="DE71" s="20"/>
      <c r="DF71" s="20"/>
      <c r="DG71" s="20"/>
      <c r="DH71" s="20"/>
      <c r="DI71" s="20"/>
      <c r="DJ71" s="20"/>
      <c r="DK71" s="20"/>
      <c r="DL71" s="20"/>
      <c r="DM71" s="20"/>
      <c r="DN71" s="20"/>
      <c r="DO71" s="20"/>
      <c r="DP71" s="20"/>
      <c r="DQ71" s="20"/>
      <c r="DR71" s="20"/>
      <c r="DS71" s="20"/>
      <c r="DT71" s="20"/>
      <c r="DU71" s="20"/>
      <c r="DV71" s="20"/>
      <c r="DW71" s="20"/>
      <c r="DX71" s="20"/>
      <c r="DY71" s="20"/>
      <c r="DZ71" s="20"/>
      <c r="EA71" s="20"/>
      <c r="EB71" s="20"/>
      <c r="EC71" s="20"/>
      <c r="ED71" s="20"/>
      <c r="EE71" s="20"/>
      <c r="EF71" s="20"/>
      <c r="EG71" s="20"/>
      <c r="EH71" s="20"/>
      <c r="EI71" s="20"/>
      <c r="EJ71" s="20"/>
      <c r="EK71" s="20"/>
      <c r="EL71" s="20"/>
      <c r="EM71" s="20"/>
      <c r="EN71" s="20"/>
      <c r="EO71" s="20"/>
      <c r="EP71" s="20"/>
      <c r="EQ71" s="20"/>
      <c r="ER71" s="20"/>
      <c r="ES71" s="20"/>
      <c r="ET71" s="20"/>
      <c r="EU71" s="20"/>
      <c r="EV71" s="20"/>
      <c r="EW71" s="20"/>
      <c r="EX71" s="20"/>
      <c r="EY71" s="20"/>
      <c r="EZ71" s="20"/>
      <c r="FA71" s="20"/>
      <c r="FB71" s="20"/>
      <c r="FC71" s="20"/>
      <c r="FD71" s="20"/>
      <c r="FE71" s="20"/>
      <c r="FF71" s="20"/>
      <c r="FG71" s="20"/>
      <c r="FH71" s="20"/>
      <c r="FI71" s="20"/>
      <c r="FJ71" s="20"/>
      <c r="FK71" s="20"/>
      <c r="FL71" s="20"/>
      <c r="FM71" s="20"/>
      <c r="FN71" s="20"/>
      <c r="FO71" s="20"/>
      <c r="FP71" s="20"/>
      <c r="FQ71" s="20"/>
      <c r="FR71" s="20"/>
      <c r="FS71" s="20"/>
      <c r="FT71" s="20"/>
      <c r="FU71" s="20"/>
      <c r="FV71" s="20"/>
      <c r="FW71" s="20"/>
      <c r="FX71" s="20"/>
      <c r="FY71" s="20"/>
      <c r="FZ71" s="20"/>
      <c r="GA71" s="20"/>
      <c r="GB71" s="20"/>
      <c r="GC71" s="20"/>
      <c r="GD71" s="20"/>
      <c r="GE71" s="20"/>
      <c r="GF71" s="20"/>
      <c r="GG71" s="20"/>
      <c r="GH71" s="20"/>
      <c r="GI71" s="20"/>
      <c r="GJ71" s="20"/>
      <c r="GK71" s="20"/>
      <c r="GL71" s="20"/>
      <c r="GM71" s="20"/>
      <c r="GN71" s="20"/>
      <c r="GO71" s="20"/>
      <c r="GP71" s="20"/>
      <c r="GQ71" s="20"/>
      <c r="GR71" s="20"/>
      <c r="GS71" s="20"/>
      <c r="GT71" s="20"/>
      <c r="GU71" s="20"/>
      <c r="GV71" s="20"/>
      <c r="GW71" s="20"/>
      <c r="GX71" s="20"/>
      <c r="GY71" s="20"/>
      <c r="GZ71" s="20"/>
      <c r="HA71" s="20"/>
      <c r="HB71" s="20"/>
      <c r="HC71" s="20"/>
      <c r="HD71" s="20"/>
      <c r="HE71" s="20"/>
      <c r="HF71" s="20"/>
      <c r="HG71" s="20"/>
      <c r="HH71" s="20"/>
      <c r="HI71" s="20"/>
      <c r="HJ71" s="20"/>
      <c r="HK71" s="20"/>
      <c r="HL71" s="20"/>
      <c r="HM71" s="20"/>
      <c r="HN71" s="20"/>
      <c r="HO71" s="20"/>
      <c r="HP71" s="20"/>
      <c r="HQ71" s="20"/>
      <c r="HR71" s="20"/>
      <c r="HS71" s="20"/>
      <c r="HT71" s="20"/>
      <c r="HU71" s="20"/>
      <c r="HV71" s="20"/>
      <c r="HW71" s="20"/>
      <c r="HX71" s="20"/>
      <c r="HY71" s="20"/>
      <c r="HZ71" s="20"/>
      <c r="IA71" s="20"/>
      <c r="IB71" s="20"/>
      <c r="IC71" s="20"/>
      <c r="ID71" s="20"/>
      <c r="IE71" s="20"/>
      <c r="IF71" s="20"/>
      <c r="IG71" s="20"/>
      <c r="IH71" s="20"/>
      <c r="II71" s="20"/>
      <c r="IJ71" s="20"/>
      <c r="IK71" s="20"/>
      <c r="IL71" s="20"/>
      <c r="IM71" s="20"/>
      <c r="IN71" s="20"/>
      <c r="IO71" s="20"/>
      <c r="IP71" s="20"/>
      <c r="IQ71" s="20"/>
      <c r="IR71" s="20"/>
      <c r="IS71" s="20"/>
      <c r="IT71" s="20"/>
      <c r="IU71" s="20"/>
      <c r="IV71" s="20"/>
      <c r="IW71" s="20"/>
      <c r="IX71" s="20"/>
      <c r="IY71" s="20"/>
      <c r="IZ71" s="20"/>
      <c r="JA71" s="20"/>
      <c r="JB71" s="20"/>
      <c r="JC71" s="20"/>
      <c r="JD71" s="20"/>
      <c r="JE71" s="20"/>
      <c r="JF71" s="20"/>
      <c r="JG71" s="20"/>
      <c r="JH71" s="20"/>
      <c r="JI71" s="20"/>
      <c r="JJ71" s="20"/>
      <c r="JK71" s="20"/>
      <c r="JL71" s="20"/>
      <c r="JM71" s="20"/>
      <c r="JN71" s="20"/>
      <c r="JO71" s="20"/>
      <c r="JP71" s="20"/>
      <c r="JQ71" s="20"/>
      <c r="JR71" s="20"/>
      <c r="JS71" s="20"/>
      <c r="JT71" s="20"/>
      <c r="JU71" s="20"/>
      <c r="JV71" s="20"/>
      <c r="JW71" s="20"/>
      <c r="JX71" s="20"/>
      <c r="JY71" s="20"/>
      <c r="JZ71" s="20"/>
      <c r="KA71" s="20"/>
      <c r="KB71" s="20"/>
      <c r="KC71" s="20"/>
      <c r="KD71" s="188"/>
      <c r="KE71" s="20"/>
      <c r="KF71" s="20"/>
      <c r="KG71" s="20"/>
      <c r="KH71" s="20"/>
      <c r="KI71" s="12"/>
      <c r="KJ71" s="12"/>
      <c r="KK71" s="12"/>
      <c r="KL71" s="12"/>
      <c r="KM71" s="12"/>
      <c r="KN71" s="12"/>
      <c r="KO71" s="12"/>
      <c r="KP71" s="12"/>
      <c r="KQ71" s="12"/>
      <c r="KR71" s="12"/>
      <c r="KS71" s="12"/>
      <c r="KT71" s="12"/>
      <c r="KU71" s="12"/>
      <c r="KV71" s="12"/>
      <c r="KW71" s="12"/>
      <c r="KX71" s="12"/>
    </row>
    <row r="72" spans="1:310" s="39" customFormat="1" x14ac:dyDescent="0.2">
      <c r="A72" s="138">
        <v>0</v>
      </c>
      <c r="B72" s="326" t="s">
        <v>755</v>
      </c>
      <c r="C72" s="50" t="str">
        <f t="shared" si="23"/>
        <v>PC_B</v>
      </c>
      <c r="D72" s="319">
        <f t="shared" si="24"/>
        <v>0</v>
      </c>
      <c r="E72" s="50" t="str">
        <f t="shared" si="22"/>
        <v>PC_B</v>
      </c>
      <c r="F72" s="319">
        <f t="shared" si="22"/>
        <v>0</v>
      </c>
      <c r="G72" s="50" t="str">
        <f t="shared" si="22"/>
        <v>PC_B</v>
      </c>
      <c r="H72" s="319">
        <f t="shared" si="22"/>
        <v>1</v>
      </c>
      <c r="I72" s="50" t="str">
        <f t="shared" si="22"/>
        <v>PC_B</v>
      </c>
      <c r="J72" s="319">
        <f t="shared" si="22"/>
        <v>1</v>
      </c>
      <c r="K72" s="50" t="str">
        <f t="shared" si="22"/>
        <v>PC_B</v>
      </c>
      <c r="L72" s="319">
        <f t="shared" si="22"/>
        <v>1</v>
      </c>
      <c r="M72" s="50" t="str">
        <f t="shared" si="22"/>
        <v>PC_B</v>
      </c>
      <c r="N72" s="319">
        <f t="shared" si="22"/>
        <v>1</v>
      </c>
      <c r="O72" s="50" t="str">
        <f t="shared" si="22"/>
        <v>PC_B</v>
      </c>
      <c r="P72" s="319">
        <f t="shared" si="22"/>
        <v>1</v>
      </c>
      <c r="Q72" s="50" t="str">
        <f t="shared" si="22"/>
        <v>PC_B</v>
      </c>
      <c r="R72" s="319">
        <f t="shared" si="22"/>
        <v>0</v>
      </c>
      <c r="S72" s="50" t="str">
        <f t="shared" si="22"/>
        <v>PC_B</v>
      </c>
      <c r="T72" s="319">
        <f t="shared" si="22"/>
        <v>0</v>
      </c>
      <c r="U72" s="329" t="s">
        <v>623</v>
      </c>
      <c r="V72" s="330">
        <v>0</v>
      </c>
      <c r="W72" s="331" t="s">
        <v>623</v>
      </c>
      <c r="X72" s="330">
        <v>0</v>
      </c>
      <c r="Y72" s="331" t="s">
        <v>623</v>
      </c>
      <c r="Z72" s="330">
        <v>1</v>
      </c>
      <c r="AA72" s="331" t="s">
        <v>623</v>
      </c>
      <c r="AB72" s="330">
        <v>1</v>
      </c>
      <c r="AC72" s="331" t="s">
        <v>623</v>
      </c>
      <c r="AD72" s="330">
        <v>1</v>
      </c>
      <c r="AE72" s="331" t="s">
        <v>623</v>
      </c>
      <c r="AF72" s="330">
        <v>1</v>
      </c>
      <c r="AG72" s="331" t="s">
        <v>623</v>
      </c>
      <c r="AH72" s="330">
        <v>1</v>
      </c>
      <c r="AI72" s="331" t="s">
        <v>623</v>
      </c>
      <c r="AJ72" s="330">
        <v>0</v>
      </c>
      <c r="AK72" s="331" t="s">
        <v>623</v>
      </c>
      <c r="AL72" s="330">
        <v>0</v>
      </c>
      <c r="AM72" s="330" t="s">
        <v>623</v>
      </c>
      <c r="AN72" s="330">
        <v>1</v>
      </c>
      <c r="AO72" s="331" t="s">
        <v>623</v>
      </c>
      <c r="AP72" s="330">
        <v>1</v>
      </c>
      <c r="AQ72" s="331" t="s">
        <v>623</v>
      </c>
      <c r="AR72" s="330">
        <v>1</v>
      </c>
      <c r="AS72" s="331" t="s">
        <v>623</v>
      </c>
      <c r="AT72" s="330">
        <v>1</v>
      </c>
      <c r="AU72" s="331" t="s">
        <v>623</v>
      </c>
      <c r="AV72" s="330">
        <v>1</v>
      </c>
      <c r="AW72" s="331" t="s">
        <v>623</v>
      </c>
      <c r="AX72" s="330">
        <v>1</v>
      </c>
      <c r="AY72" s="331" t="s">
        <v>623</v>
      </c>
      <c r="AZ72" s="330">
        <v>1</v>
      </c>
      <c r="BA72" s="331" t="s">
        <v>623</v>
      </c>
      <c r="BB72" s="330">
        <v>1</v>
      </c>
      <c r="BC72" s="331" t="s">
        <v>623</v>
      </c>
      <c r="BD72" s="330">
        <v>0</v>
      </c>
      <c r="BE72" s="331" t="s">
        <v>623</v>
      </c>
      <c r="BF72" s="330">
        <v>0</v>
      </c>
      <c r="BG72" s="331" t="s">
        <v>623</v>
      </c>
      <c r="BH72" s="330">
        <v>0</v>
      </c>
      <c r="BI72" s="331" t="s">
        <v>623</v>
      </c>
      <c r="BJ72" s="330">
        <v>0</v>
      </c>
      <c r="BK72" s="331" t="s">
        <v>623</v>
      </c>
      <c r="BL72" s="332">
        <v>0</v>
      </c>
      <c r="BM72" s="320" t="s">
        <v>623</v>
      </c>
      <c r="BN72" s="321">
        <v>0</v>
      </c>
      <c r="BO72" s="320" t="s">
        <v>623</v>
      </c>
      <c r="BP72" s="321">
        <v>0</v>
      </c>
      <c r="BQ72" s="320" t="s">
        <v>623</v>
      </c>
      <c r="BR72" s="321">
        <v>0</v>
      </c>
      <c r="BS72" s="320" t="s">
        <v>623</v>
      </c>
      <c r="BT72" s="321">
        <v>0</v>
      </c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  <c r="EJ72" s="20"/>
      <c r="EK72" s="20"/>
      <c r="EL72" s="20"/>
      <c r="EM72" s="20"/>
      <c r="EN72" s="20"/>
      <c r="EO72" s="20"/>
      <c r="EP72" s="20"/>
      <c r="EQ72" s="20"/>
      <c r="ER72" s="20"/>
      <c r="ES72" s="20"/>
      <c r="ET72" s="20"/>
      <c r="EU72" s="20"/>
      <c r="EV72" s="20"/>
      <c r="EW72" s="20"/>
      <c r="EX72" s="20"/>
      <c r="EY72" s="20"/>
      <c r="EZ72" s="20"/>
      <c r="FA72" s="20"/>
      <c r="FB72" s="20"/>
      <c r="FC72" s="20"/>
      <c r="FD72" s="20"/>
      <c r="FE72" s="20"/>
      <c r="FF72" s="20"/>
      <c r="FG72" s="20"/>
      <c r="FH72" s="20"/>
      <c r="FI72" s="20"/>
      <c r="FJ72" s="20"/>
      <c r="FK72" s="20"/>
      <c r="FL72" s="20"/>
      <c r="FM72" s="20"/>
      <c r="FN72" s="20"/>
      <c r="FO72" s="20"/>
      <c r="FP72" s="20"/>
      <c r="FQ72" s="20"/>
      <c r="FR72" s="20"/>
      <c r="FS72" s="20"/>
      <c r="FT72" s="20"/>
      <c r="FU72" s="20"/>
      <c r="FV72" s="20"/>
      <c r="FW72" s="20"/>
      <c r="FX72" s="20"/>
      <c r="FY72" s="20"/>
      <c r="FZ72" s="20"/>
      <c r="GA72" s="20"/>
      <c r="GB72" s="20"/>
      <c r="GC72" s="20"/>
      <c r="GD72" s="20"/>
      <c r="GE72" s="20"/>
      <c r="GF72" s="20"/>
      <c r="GG72" s="20"/>
      <c r="GH72" s="20"/>
      <c r="GI72" s="20"/>
      <c r="GJ72" s="20"/>
      <c r="GK72" s="20"/>
      <c r="GL72" s="20"/>
      <c r="GM72" s="20"/>
      <c r="GN72" s="20"/>
      <c r="GO72" s="20"/>
      <c r="GP72" s="20"/>
      <c r="GQ72" s="20"/>
      <c r="GR72" s="20"/>
      <c r="GS72" s="20"/>
      <c r="GT72" s="20"/>
      <c r="GU72" s="20"/>
      <c r="GV72" s="20"/>
      <c r="GW72" s="20"/>
      <c r="GX72" s="20"/>
      <c r="GY72" s="20"/>
      <c r="GZ72" s="20"/>
      <c r="HA72" s="20"/>
      <c r="HB72" s="20"/>
      <c r="HC72" s="20"/>
      <c r="HD72" s="20"/>
      <c r="HE72" s="20"/>
      <c r="HF72" s="20"/>
      <c r="HG72" s="20"/>
      <c r="HH72" s="20"/>
      <c r="HI72" s="20"/>
      <c r="HJ72" s="20"/>
      <c r="HK72" s="20"/>
      <c r="HL72" s="20"/>
      <c r="HM72" s="20"/>
      <c r="HN72" s="20"/>
      <c r="HO72" s="20"/>
      <c r="HP72" s="20"/>
      <c r="HQ72" s="20"/>
      <c r="HR72" s="20"/>
      <c r="HS72" s="20"/>
      <c r="HT72" s="20"/>
      <c r="HU72" s="20"/>
      <c r="HV72" s="20"/>
      <c r="HW72" s="20"/>
      <c r="HX72" s="20"/>
      <c r="HY72" s="20"/>
      <c r="HZ72" s="20"/>
      <c r="IA72" s="20"/>
      <c r="IB72" s="20"/>
      <c r="IC72" s="20"/>
      <c r="ID72" s="20"/>
      <c r="IE72" s="20"/>
      <c r="IF72" s="20"/>
      <c r="IG72" s="20"/>
      <c r="IH72" s="20"/>
      <c r="II72" s="20"/>
      <c r="IJ72" s="20"/>
      <c r="IK72" s="20"/>
      <c r="IL72" s="20"/>
      <c r="IM72" s="20"/>
      <c r="IN72" s="20"/>
      <c r="IO72" s="20"/>
      <c r="IP72" s="20"/>
      <c r="IQ72" s="20"/>
      <c r="IR72" s="20"/>
      <c r="IS72" s="20"/>
      <c r="IT72" s="20"/>
      <c r="IU72" s="20"/>
      <c r="IV72" s="20"/>
      <c r="IW72" s="20"/>
      <c r="IX72" s="20"/>
      <c r="IY72" s="20"/>
      <c r="IZ72" s="20"/>
      <c r="JA72" s="20"/>
      <c r="JB72" s="20"/>
      <c r="JC72" s="20"/>
      <c r="JD72" s="20"/>
      <c r="JE72" s="20"/>
      <c r="JF72" s="20"/>
      <c r="JG72" s="20"/>
      <c r="JH72" s="20"/>
      <c r="JI72" s="20"/>
      <c r="JJ72" s="20"/>
      <c r="JK72" s="20"/>
      <c r="JL72" s="20"/>
      <c r="JM72" s="20"/>
      <c r="JN72" s="20"/>
      <c r="JO72" s="20"/>
      <c r="JP72" s="20"/>
      <c r="JQ72" s="20"/>
      <c r="JR72" s="20"/>
      <c r="JS72" s="20"/>
      <c r="JT72" s="20"/>
      <c r="JU72" s="20"/>
      <c r="JV72" s="20"/>
      <c r="JW72" s="20"/>
      <c r="JX72" s="20"/>
      <c r="JY72" s="20"/>
      <c r="JZ72" s="20"/>
      <c r="KA72" s="20"/>
      <c r="KB72" s="20"/>
      <c r="KC72" s="20"/>
      <c r="KD72" s="188"/>
      <c r="KE72" s="20"/>
      <c r="KF72" s="20"/>
      <c r="KG72" s="20"/>
      <c r="KH72" s="20"/>
      <c r="KI72" s="12"/>
      <c r="KJ72" s="12"/>
      <c r="KK72" s="12"/>
      <c r="KL72" s="12"/>
      <c r="KM72" s="12"/>
      <c r="KN72" s="12"/>
      <c r="KO72" s="12"/>
      <c r="KP72" s="12"/>
      <c r="KQ72" s="12"/>
      <c r="KR72" s="12"/>
      <c r="KS72" s="12"/>
      <c r="KT72" s="12"/>
      <c r="KU72" s="12"/>
      <c r="KV72" s="12"/>
      <c r="KW72" s="12"/>
      <c r="KX72" s="12"/>
    </row>
    <row r="73" spans="1:310" s="39" customFormat="1" x14ac:dyDescent="0.2">
      <c r="A73" s="138">
        <v>0</v>
      </c>
      <c r="B73" s="326" t="s">
        <v>629</v>
      </c>
      <c r="C73" s="50" t="str">
        <f t="shared" si="23"/>
        <v>PC_BBB</v>
      </c>
      <c r="D73" s="319">
        <f t="shared" si="24"/>
        <v>0.28125</v>
      </c>
      <c r="E73" s="50" t="str">
        <f t="shared" si="22"/>
        <v>PC_BBB</v>
      </c>
      <c r="F73" s="319">
        <f t="shared" si="22"/>
        <v>0.3539823008849558</v>
      </c>
      <c r="G73" s="50" t="str">
        <f t="shared" si="22"/>
        <v>PC_BBB</v>
      </c>
      <c r="H73" s="319">
        <f t="shared" si="22"/>
        <v>0</v>
      </c>
      <c r="I73" s="50" t="str">
        <f t="shared" si="22"/>
        <v>PC_BBB</v>
      </c>
      <c r="J73" s="319">
        <f t="shared" si="22"/>
        <v>0</v>
      </c>
      <c r="K73" s="50" t="str">
        <f t="shared" si="22"/>
        <v>PC_BBB</v>
      </c>
      <c r="L73" s="319">
        <f t="shared" si="22"/>
        <v>0</v>
      </c>
      <c r="M73" s="50" t="str">
        <f t="shared" si="22"/>
        <v>PC_BBB</v>
      </c>
      <c r="N73" s="319">
        <f t="shared" si="22"/>
        <v>0</v>
      </c>
      <c r="O73" s="50" t="str">
        <f t="shared" si="22"/>
        <v>PC_BBB</v>
      </c>
      <c r="P73" s="319">
        <f t="shared" si="22"/>
        <v>0</v>
      </c>
      <c r="Q73" s="50" t="str">
        <f t="shared" si="22"/>
        <v>PC_BBB</v>
      </c>
      <c r="R73" s="319">
        <f t="shared" si="22"/>
        <v>0</v>
      </c>
      <c r="S73" s="50" t="str">
        <f t="shared" si="22"/>
        <v>PC_BBB</v>
      </c>
      <c r="T73" s="319">
        <f t="shared" si="22"/>
        <v>0</v>
      </c>
      <c r="U73" s="329" t="s">
        <v>617</v>
      </c>
      <c r="V73" s="330">
        <v>0.28125</v>
      </c>
      <c r="W73" s="331" t="s">
        <v>617</v>
      </c>
      <c r="X73" s="330">
        <v>0.3539823008849558</v>
      </c>
      <c r="Y73" s="331" t="s">
        <v>617</v>
      </c>
      <c r="Z73" s="330">
        <v>0</v>
      </c>
      <c r="AA73" s="331" t="s">
        <v>617</v>
      </c>
      <c r="AB73" s="330">
        <v>0</v>
      </c>
      <c r="AC73" s="331" t="s">
        <v>617</v>
      </c>
      <c r="AD73" s="330">
        <v>0</v>
      </c>
      <c r="AE73" s="331" t="s">
        <v>617</v>
      </c>
      <c r="AF73" s="330">
        <v>0</v>
      </c>
      <c r="AG73" s="331" t="s">
        <v>617</v>
      </c>
      <c r="AH73" s="330">
        <v>0</v>
      </c>
      <c r="AI73" s="331" t="s">
        <v>617</v>
      </c>
      <c r="AJ73" s="330">
        <v>0</v>
      </c>
      <c r="AK73" s="331" t="s">
        <v>617</v>
      </c>
      <c r="AL73" s="330">
        <v>0</v>
      </c>
      <c r="AM73" s="330" t="s">
        <v>617</v>
      </c>
      <c r="AN73" s="330">
        <v>0.25815217391304346</v>
      </c>
      <c r="AO73" s="331" t="s">
        <v>617</v>
      </c>
      <c r="AP73" s="330">
        <v>0.14641288433382141</v>
      </c>
      <c r="AQ73" s="331" t="s">
        <v>617</v>
      </c>
      <c r="AR73" s="330">
        <v>0</v>
      </c>
      <c r="AS73" s="331" t="s">
        <v>617</v>
      </c>
      <c r="AT73" s="330">
        <v>0</v>
      </c>
      <c r="AU73" s="331" t="s">
        <v>617</v>
      </c>
      <c r="AV73" s="330">
        <v>0</v>
      </c>
      <c r="AW73" s="331" t="s">
        <v>617</v>
      </c>
      <c r="AX73" s="330">
        <v>0</v>
      </c>
      <c r="AY73" s="331" t="s">
        <v>617</v>
      </c>
      <c r="AZ73" s="330">
        <v>0</v>
      </c>
      <c r="BA73" s="331" t="s">
        <v>617</v>
      </c>
      <c r="BB73" s="330">
        <v>0</v>
      </c>
      <c r="BC73" s="331" t="s">
        <v>617</v>
      </c>
      <c r="BD73" s="330">
        <v>0</v>
      </c>
      <c r="BE73" s="331" t="s">
        <v>617</v>
      </c>
      <c r="BF73" s="330">
        <v>0</v>
      </c>
      <c r="BG73" s="331" t="s">
        <v>617</v>
      </c>
      <c r="BH73" s="330">
        <v>0</v>
      </c>
      <c r="BI73" s="331" t="s">
        <v>617</v>
      </c>
      <c r="BJ73" s="330">
        <v>0</v>
      </c>
      <c r="BK73" s="331" t="s">
        <v>617</v>
      </c>
      <c r="BL73" s="332">
        <v>0</v>
      </c>
      <c r="BM73" s="320" t="s">
        <v>617</v>
      </c>
      <c r="BN73" s="321">
        <v>0</v>
      </c>
      <c r="BO73" s="320" t="s">
        <v>617</v>
      </c>
      <c r="BP73" s="321">
        <v>0</v>
      </c>
      <c r="BQ73" s="320" t="s">
        <v>617</v>
      </c>
      <c r="BR73" s="321">
        <v>0</v>
      </c>
      <c r="BS73" s="320" t="s">
        <v>617</v>
      </c>
      <c r="BT73" s="321">
        <v>0</v>
      </c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20"/>
      <c r="DT73" s="20"/>
      <c r="DU73" s="20"/>
      <c r="DV73" s="20"/>
      <c r="DW73" s="20"/>
      <c r="DX73" s="20"/>
      <c r="DY73" s="20"/>
      <c r="DZ73" s="20"/>
      <c r="EA73" s="20"/>
      <c r="EB73" s="20"/>
      <c r="EC73" s="20"/>
      <c r="ED73" s="20"/>
      <c r="EE73" s="20"/>
      <c r="EF73" s="20"/>
      <c r="EG73" s="20"/>
      <c r="EH73" s="20"/>
      <c r="EI73" s="20"/>
      <c r="EJ73" s="20"/>
      <c r="EK73" s="20"/>
      <c r="EL73" s="20"/>
      <c r="EM73" s="20"/>
      <c r="EN73" s="20"/>
      <c r="EO73" s="20"/>
      <c r="EP73" s="20"/>
      <c r="EQ73" s="20"/>
      <c r="ER73" s="20"/>
      <c r="ES73" s="20"/>
      <c r="ET73" s="20"/>
      <c r="EU73" s="20"/>
      <c r="EV73" s="20"/>
      <c r="EW73" s="20"/>
      <c r="EX73" s="20"/>
      <c r="EY73" s="20"/>
      <c r="EZ73" s="20"/>
      <c r="FA73" s="20"/>
      <c r="FB73" s="20"/>
      <c r="FC73" s="20"/>
      <c r="FD73" s="20"/>
      <c r="FE73" s="20"/>
      <c r="FF73" s="20"/>
      <c r="FG73" s="20"/>
      <c r="FH73" s="20"/>
      <c r="FI73" s="20"/>
      <c r="FJ73" s="20"/>
      <c r="FK73" s="20"/>
      <c r="FL73" s="20"/>
      <c r="FM73" s="20"/>
      <c r="FN73" s="20"/>
      <c r="FO73" s="20"/>
      <c r="FP73" s="20"/>
      <c r="FQ73" s="20"/>
      <c r="FR73" s="20"/>
      <c r="FS73" s="20"/>
      <c r="FT73" s="20"/>
      <c r="FU73" s="20"/>
      <c r="FV73" s="20"/>
      <c r="FW73" s="20"/>
      <c r="FX73" s="20"/>
      <c r="FY73" s="20"/>
      <c r="FZ73" s="20"/>
      <c r="GA73" s="20"/>
      <c r="GB73" s="20"/>
      <c r="GC73" s="20"/>
      <c r="GD73" s="20"/>
      <c r="GE73" s="20"/>
      <c r="GF73" s="20"/>
      <c r="GG73" s="20"/>
      <c r="GH73" s="20"/>
      <c r="GI73" s="20"/>
      <c r="GJ73" s="20"/>
      <c r="GK73" s="20"/>
      <c r="GL73" s="20"/>
      <c r="GM73" s="20"/>
      <c r="GN73" s="20"/>
      <c r="GO73" s="20"/>
      <c r="GP73" s="20"/>
      <c r="GQ73" s="20"/>
      <c r="GR73" s="20"/>
      <c r="GS73" s="20"/>
      <c r="GT73" s="20"/>
      <c r="GU73" s="20"/>
      <c r="GV73" s="20"/>
      <c r="GW73" s="20"/>
      <c r="GX73" s="20"/>
      <c r="GY73" s="20"/>
      <c r="GZ73" s="20"/>
      <c r="HA73" s="20"/>
      <c r="HB73" s="20"/>
      <c r="HC73" s="20"/>
      <c r="HD73" s="20"/>
      <c r="HE73" s="20"/>
      <c r="HF73" s="20"/>
      <c r="HG73" s="20"/>
      <c r="HH73" s="20"/>
      <c r="HI73" s="20"/>
      <c r="HJ73" s="20"/>
      <c r="HK73" s="20"/>
      <c r="HL73" s="20"/>
      <c r="HM73" s="20"/>
      <c r="HN73" s="20"/>
      <c r="HO73" s="20"/>
      <c r="HP73" s="20"/>
      <c r="HQ73" s="20"/>
      <c r="HR73" s="20"/>
      <c r="HS73" s="20"/>
      <c r="HT73" s="20"/>
      <c r="HU73" s="20"/>
      <c r="HV73" s="20"/>
      <c r="HW73" s="20"/>
      <c r="HX73" s="20"/>
      <c r="HY73" s="20"/>
      <c r="HZ73" s="20"/>
      <c r="IA73" s="20"/>
      <c r="IB73" s="20"/>
      <c r="IC73" s="20"/>
      <c r="ID73" s="20"/>
      <c r="IE73" s="20"/>
      <c r="IF73" s="20"/>
      <c r="IG73" s="20"/>
      <c r="IH73" s="20"/>
      <c r="II73" s="20"/>
      <c r="IJ73" s="20"/>
      <c r="IK73" s="20"/>
      <c r="IL73" s="20"/>
      <c r="IM73" s="20"/>
      <c r="IN73" s="20"/>
      <c r="IO73" s="20"/>
      <c r="IP73" s="20"/>
      <c r="IQ73" s="20"/>
      <c r="IR73" s="20"/>
      <c r="IS73" s="20"/>
      <c r="IT73" s="20"/>
      <c r="IU73" s="20"/>
      <c r="IV73" s="20"/>
      <c r="IW73" s="20"/>
      <c r="IX73" s="20"/>
      <c r="IY73" s="20"/>
      <c r="IZ73" s="20"/>
      <c r="JA73" s="20"/>
      <c r="JB73" s="20"/>
      <c r="JC73" s="20"/>
      <c r="JD73" s="20"/>
      <c r="JE73" s="20"/>
      <c r="JF73" s="20"/>
      <c r="JG73" s="20"/>
      <c r="JH73" s="20"/>
      <c r="JI73" s="20"/>
      <c r="JJ73" s="20"/>
      <c r="JK73" s="20"/>
      <c r="JL73" s="20"/>
      <c r="JM73" s="20"/>
      <c r="JN73" s="20"/>
      <c r="JO73" s="20"/>
      <c r="JP73" s="20"/>
      <c r="JQ73" s="20"/>
      <c r="JR73" s="20"/>
      <c r="JS73" s="20"/>
      <c r="JT73" s="20"/>
      <c r="JU73" s="20"/>
      <c r="JV73" s="20"/>
      <c r="JW73" s="20"/>
      <c r="JX73" s="20"/>
      <c r="JY73" s="20"/>
      <c r="JZ73" s="20"/>
      <c r="KA73" s="20"/>
      <c r="KB73" s="20"/>
      <c r="KC73" s="20"/>
      <c r="KD73" s="188"/>
      <c r="KE73" s="20"/>
      <c r="KF73" s="20"/>
      <c r="KG73" s="20"/>
      <c r="KH73" s="20"/>
      <c r="KI73" s="12"/>
      <c r="KJ73" s="12"/>
      <c r="KK73" s="12"/>
      <c r="KL73" s="12"/>
      <c r="KM73" s="12"/>
      <c r="KN73" s="12"/>
      <c r="KO73" s="12"/>
      <c r="KP73" s="12"/>
      <c r="KQ73" s="12"/>
      <c r="KR73" s="12"/>
      <c r="KS73" s="12"/>
      <c r="KT73" s="12"/>
      <c r="KU73" s="12"/>
      <c r="KV73" s="12"/>
      <c r="KW73" s="12"/>
      <c r="KX73" s="12"/>
    </row>
    <row r="74" spans="1:310" s="39" customFormat="1" x14ac:dyDescent="0.2">
      <c r="A74" s="138">
        <v>0</v>
      </c>
      <c r="B74" s="326" t="s">
        <v>630</v>
      </c>
      <c r="C74" s="50" t="str">
        <f t="shared" si="23"/>
        <v>PC_A</v>
      </c>
      <c r="D74" s="319">
        <f t="shared" si="24"/>
        <v>0.33628318584070799</v>
      </c>
      <c r="E74" s="50" t="str">
        <f t="shared" si="22"/>
        <v>PC_A</v>
      </c>
      <c r="F74" s="319">
        <f t="shared" si="22"/>
        <v>0.721407624633431</v>
      </c>
      <c r="G74" s="50" t="str">
        <f t="shared" si="22"/>
        <v>PC_A</v>
      </c>
      <c r="H74" s="319">
        <f t="shared" si="22"/>
        <v>0.5090746801547158</v>
      </c>
      <c r="I74" s="50" t="str">
        <f t="shared" si="22"/>
        <v>PC_A</v>
      </c>
      <c r="J74" s="319">
        <f t="shared" si="22"/>
        <v>0.37005039596832257</v>
      </c>
      <c r="K74" s="50" t="str">
        <f t="shared" si="22"/>
        <v>PC_A</v>
      </c>
      <c r="L74" s="319">
        <f t="shared" si="22"/>
        <v>0.26229508196721307</v>
      </c>
      <c r="M74" s="50" t="str">
        <f t="shared" si="22"/>
        <v>PC_A</v>
      </c>
      <c r="N74" s="319">
        <f t="shared" si="22"/>
        <v>0.19516713652839307</v>
      </c>
      <c r="O74" s="50" t="str">
        <f t="shared" si="22"/>
        <v>PC_A</v>
      </c>
      <c r="P74" s="319">
        <f t="shared" si="22"/>
        <v>0.1404494382022472</v>
      </c>
      <c r="Q74" s="50" t="str">
        <f t="shared" si="22"/>
        <v>PC_A</v>
      </c>
      <c r="R74" s="319">
        <f t="shared" si="22"/>
        <v>3.7267080745341614E-3</v>
      </c>
      <c r="S74" s="50" t="str">
        <f t="shared" si="22"/>
        <v>PC_A</v>
      </c>
      <c r="T74" s="319">
        <f t="shared" si="22"/>
        <v>5.8279053822420284E-3</v>
      </c>
      <c r="U74" s="329" t="s">
        <v>616</v>
      </c>
      <c r="V74" s="330">
        <v>0.33628318584070799</v>
      </c>
      <c r="W74" s="331" t="s">
        <v>616</v>
      </c>
      <c r="X74" s="330">
        <v>0.721407624633431</v>
      </c>
      <c r="Y74" s="331" t="s">
        <v>616</v>
      </c>
      <c r="Z74" s="330">
        <v>0.5090746801547158</v>
      </c>
      <c r="AA74" s="331" t="s">
        <v>616</v>
      </c>
      <c r="AB74" s="330">
        <v>0.37005039596832257</v>
      </c>
      <c r="AC74" s="331" t="s">
        <v>616</v>
      </c>
      <c r="AD74" s="330">
        <v>0.26229508196721307</v>
      </c>
      <c r="AE74" s="331" t="s">
        <v>616</v>
      </c>
      <c r="AF74" s="330">
        <v>0.19516713652839307</v>
      </c>
      <c r="AG74" s="331" t="s">
        <v>616</v>
      </c>
      <c r="AH74" s="330">
        <v>0.1404494382022472</v>
      </c>
      <c r="AI74" s="331" t="s">
        <v>616</v>
      </c>
      <c r="AJ74" s="330">
        <v>3.7267080745341614E-3</v>
      </c>
      <c r="AK74" s="331" t="s">
        <v>616</v>
      </c>
      <c r="AL74" s="330">
        <v>5.8279053822420284E-3</v>
      </c>
      <c r="AM74" s="330" t="s">
        <v>616</v>
      </c>
      <c r="AN74" s="330">
        <v>0.50314759898028194</v>
      </c>
      <c r="AO74" s="331" t="s">
        <v>616</v>
      </c>
      <c r="AP74" s="330">
        <v>0.5947464947050819</v>
      </c>
      <c r="AQ74" s="331" t="s">
        <v>616</v>
      </c>
      <c r="AR74" s="330">
        <v>0.45373786581652753</v>
      </c>
      <c r="AS74" s="331" t="s">
        <v>616</v>
      </c>
      <c r="AT74" s="330">
        <v>0.34999183824483659</v>
      </c>
      <c r="AU74" s="331" t="s">
        <v>616</v>
      </c>
      <c r="AV74" s="330">
        <v>0.19516713652839307</v>
      </c>
      <c r="AW74" s="331" t="s">
        <v>616</v>
      </c>
      <c r="AX74" s="330">
        <v>0.1404494382022472</v>
      </c>
      <c r="AY74" s="331" t="s">
        <v>616</v>
      </c>
      <c r="AZ74" s="330">
        <v>8.1687132941804574E-2</v>
      </c>
      <c r="BA74" s="331" t="s">
        <v>616</v>
      </c>
      <c r="BB74" s="330">
        <v>4.1307425041822152E-2</v>
      </c>
      <c r="BC74" s="331" t="s">
        <v>616</v>
      </c>
      <c r="BD74" s="330">
        <v>3.7267080745341614E-3</v>
      </c>
      <c r="BE74" s="331" t="s">
        <v>616</v>
      </c>
      <c r="BF74" s="330">
        <v>4.7254358807234794E-3</v>
      </c>
      <c r="BG74" s="331" t="s">
        <v>616</v>
      </c>
      <c r="BH74" s="330">
        <v>5.3734551316496496E-3</v>
      </c>
      <c r="BI74" s="331" t="s">
        <v>616</v>
      </c>
      <c r="BJ74" s="330">
        <v>5.8279053822420284E-3</v>
      </c>
      <c r="BK74" s="331" t="s">
        <v>616</v>
      </c>
      <c r="BL74" s="332">
        <v>5.8279053822420284E-3</v>
      </c>
      <c r="BM74" s="320" t="s">
        <v>616</v>
      </c>
      <c r="BN74" s="321">
        <v>0.6</v>
      </c>
      <c r="BO74" s="320" t="s">
        <v>616</v>
      </c>
      <c r="BP74" s="321">
        <v>0</v>
      </c>
      <c r="BQ74" s="320" t="s">
        <v>616</v>
      </c>
      <c r="BR74" s="321">
        <v>0.3</v>
      </c>
      <c r="BS74" s="320" t="s">
        <v>616</v>
      </c>
      <c r="BT74" s="321">
        <v>0</v>
      </c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  <c r="FC74" s="20"/>
      <c r="FD74" s="20"/>
      <c r="FE74" s="20"/>
      <c r="FF74" s="20"/>
      <c r="FG74" s="20"/>
      <c r="FH74" s="20"/>
      <c r="FI74" s="20"/>
      <c r="FJ74" s="20"/>
      <c r="FK74" s="20"/>
      <c r="FL74" s="20"/>
      <c r="FM74" s="20"/>
      <c r="FN74" s="20"/>
      <c r="FO74" s="20"/>
      <c r="FP74" s="20"/>
      <c r="FQ74" s="20"/>
      <c r="FR74" s="20"/>
      <c r="FS74" s="20"/>
      <c r="FT74" s="20"/>
      <c r="FU74" s="20"/>
      <c r="FV74" s="20"/>
      <c r="FW74" s="20"/>
      <c r="FX74" s="20"/>
      <c r="FY74" s="20"/>
      <c r="FZ74" s="20"/>
      <c r="GA74" s="20"/>
      <c r="GB74" s="20"/>
      <c r="GC74" s="20"/>
      <c r="GD74" s="20"/>
      <c r="GE74" s="20"/>
      <c r="GF74" s="20"/>
      <c r="GG74" s="20"/>
      <c r="GH74" s="20"/>
      <c r="GI74" s="20"/>
      <c r="GJ74" s="20"/>
      <c r="GK74" s="20"/>
      <c r="GL74" s="20"/>
      <c r="GM74" s="20"/>
      <c r="GN74" s="20"/>
      <c r="GO74" s="20"/>
      <c r="GP74" s="20"/>
      <c r="GQ74" s="20"/>
      <c r="GR74" s="20"/>
      <c r="GS74" s="20"/>
      <c r="GT74" s="20"/>
      <c r="GU74" s="20"/>
      <c r="GV74" s="20"/>
      <c r="GW74" s="20"/>
      <c r="GX74" s="20"/>
      <c r="GY74" s="20"/>
      <c r="GZ74" s="20"/>
      <c r="HA74" s="20"/>
      <c r="HB74" s="20"/>
      <c r="HC74" s="20"/>
      <c r="HD74" s="20"/>
      <c r="HE74" s="20"/>
      <c r="HF74" s="20"/>
      <c r="HG74" s="20"/>
      <c r="HH74" s="20"/>
      <c r="HI74" s="20"/>
      <c r="HJ74" s="20"/>
      <c r="HK74" s="20"/>
      <c r="HL74" s="20"/>
      <c r="HM74" s="20"/>
      <c r="HN74" s="20"/>
      <c r="HO74" s="20"/>
      <c r="HP74" s="20"/>
      <c r="HQ74" s="20"/>
      <c r="HR74" s="20"/>
      <c r="HS74" s="20"/>
      <c r="HT74" s="20"/>
      <c r="HU74" s="20"/>
      <c r="HV74" s="20"/>
      <c r="HW74" s="20"/>
      <c r="HX74" s="20"/>
      <c r="HY74" s="20"/>
      <c r="HZ74" s="20"/>
      <c r="IA74" s="20"/>
      <c r="IB74" s="20"/>
      <c r="IC74" s="20"/>
      <c r="ID74" s="20"/>
      <c r="IE74" s="20"/>
      <c r="IF74" s="20"/>
      <c r="IG74" s="20"/>
      <c r="IH74" s="20"/>
      <c r="II74" s="20"/>
      <c r="IJ74" s="20"/>
      <c r="IK74" s="20"/>
      <c r="IL74" s="20"/>
      <c r="IM74" s="20"/>
      <c r="IN74" s="20"/>
      <c r="IO74" s="20"/>
      <c r="IP74" s="20"/>
      <c r="IQ74" s="20"/>
      <c r="IR74" s="20"/>
      <c r="IS74" s="20"/>
      <c r="IT74" s="20"/>
      <c r="IU74" s="20"/>
      <c r="IV74" s="20"/>
      <c r="IW74" s="20"/>
      <c r="IX74" s="20"/>
      <c r="IY74" s="20"/>
      <c r="IZ74" s="20"/>
      <c r="JA74" s="20"/>
      <c r="JB74" s="20"/>
      <c r="JC74" s="20"/>
      <c r="JD74" s="20"/>
      <c r="JE74" s="20"/>
      <c r="JF74" s="20"/>
      <c r="JG74" s="20"/>
      <c r="JH74" s="20"/>
      <c r="JI74" s="20"/>
      <c r="JJ74" s="20"/>
      <c r="JK74" s="20"/>
      <c r="JL74" s="20"/>
      <c r="JM74" s="20"/>
      <c r="JN74" s="20"/>
      <c r="JO74" s="20"/>
      <c r="JP74" s="20"/>
      <c r="JQ74" s="20"/>
      <c r="JR74" s="20"/>
      <c r="JS74" s="20"/>
      <c r="JT74" s="20"/>
      <c r="JU74" s="20"/>
      <c r="JV74" s="20"/>
      <c r="JW74" s="20"/>
      <c r="JX74" s="20"/>
      <c r="JY74" s="20"/>
      <c r="JZ74" s="20"/>
      <c r="KA74" s="20"/>
      <c r="KB74" s="20"/>
      <c r="KC74" s="20"/>
      <c r="KD74" s="188"/>
      <c r="KE74" s="20"/>
      <c r="KF74" s="20"/>
      <c r="KG74" s="20"/>
      <c r="KH74" s="20"/>
      <c r="KI74" s="12"/>
      <c r="KJ74" s="12"/>
      <c r="KK74" s="12"/>
      <c r="KL74" s="12"/>
      <c r="KM74" s="12"/>
      <c r="KN74" s="12"/>
      <c r="KO74" s="12"/>
      <c r="KP74" s="12"/>
      <c r="KQ74" s="12"/>
      <c r="KR74" s="12"/>
      <c r="KS74" s="12"/>
      <c r="KT74" s="12"/>
      <c r="KU74" s="12"/>
      <c r="KV74" s="12"/>
      <c r="KW74" s="12"/>
      <c r="KX74" s="12"/>
    </row>
    <row r="75" spans="1:310" s="39" customFormat="1" x14ac:dyDescent="0.2">
      <c r="A75" s="138">
        <v>0</v>
      </c>
      <c r="B75" s="326" t="s">
        <v>631</v>
      </c>
      <c r="C75" s="50" t="str">
        <f t="shared" si="23"/>
        <v>PC_AA</v>
      </c>
      <c r="D75" s="319">
        <f t="shared" si="24"/>
        <v>1</v>
      </c>
      <c r="E75" s="50" t="str">
        <f t="shared" si="22"/>
        <v>PC_AA</v>
      </c>
      <c r="F75" s="319">
        <f t="shared" si="22"/>
        <v>1</v>
      </c>
      <c r="G75" s="50" t="str">
        <f t="shared" si="22"/>
        <v>PC_AA</v>
      </c>
      <c r="H75" s="319">
        <f t="shared" si="22"/>
        <v>1</v>
      </c>
      <c r="I75" s="50" t="str">
        <f t="shared" si="22"/>
        <v>PC_AA</v>
      </c>
      <c r="J75" s="319">
        <f t="shared" si="22"/>
        <v>1</v>
      </c>
      <c r="K75" s="50" t="str">
        <f t="shared" si="22"/>
        <v>PC_AA</v>
      </c>
      <c r="L75" s="319">
        <f t="shared" si="22"/>
        <v>1</v>
      </c>
      <c r="M75" s="50" t="str">
        <f t="shared" si="22"/>
        <v>PC_AA</v>
      </c>
      <c r="N75" s="319">
        <f t="shared" si="22"/>
        <v>1</v>
      </c>
      <c r="O75" s="50" t="str">
        <f t="shared" si="22"/>
        <v>PC_AA</v>
      </c>
      <c r="P75" s="319">
        <f t="shared" si="22"/>
        <v>1</v>
      </c>
      <c r="Q75" s="50" t="str">
        <f t="shared" si="22"/>
        <v>PC_AA</v>
      </c>
      <c r="R75" s="319">
        <f t="shared" si="22"/>
        <v>1</v>
      </c>
      <c r="S75" s="50" t="str">
        <f t="shared" si="22"/>
        <v>PC_AA</v>
      </c>
      <c r="T75" s="319">
        <f t="shared" si="22"/>
        <v>1</v>
      </c>
      <c r="U75" s="329" t="s">
        <v>620</v>
      </c>
      <c r="V75" s="330">
        <v>1</v>
      </c>
      <c r="W75" s="331" t="s">
        <v>620</v>
      </c>
      <c r="X75" s="330">
        <v>1</v>
      </c>
      <c r="Y75" s="331" t="s">
        <v>620</v>
      </c>
      <c r="Z75" s="330">
        <v>1</v>
      </c>
      <c r="AA75" s="331" t="s">
        <v>620</v>
      </c>
      <c r="AB75" s="330">
        <v>1</v>
      </c>
      <c r="AC75" s="331" t="s">
        <v>620</v>
      </c>
      <c r="AD75" s="330">
        <v>1</v>
      </c>
      <c r="AE75" s="331" t="s">
        <v>620</v>
      </c>
      <c r="AF75" s="330">
        <v>1</v>
      </c>
      <c r="AG75" s="331" t="s">
        <v>620</v>
      </c>
      <c r="AH75" s="330">
        <v>1</v>
      </c>
      <c r="AI75" s="331" t="s">
        <v>620</v>
      </c>
      <c r="AJ75" s="330">
        <v>1</v>
      </c>
      <c r="AK75" s="331" t="s">
        <v>620</v>
      </c>
      <c r="AL75" s="330">
        <v>1</v>
      </c>
      <c r="AM75" s="330" t="s">
        <v>620</v>
      </c>
      <c r="AN75" s="330">
        <v>1</v>
      </c>
      <c r="AO75" s="331" t="s">
        <v>620</v>
      </c>
      <c r="AP75" s="330">
        <v>1</v>
      </c>
      <c r="AQ75" s="331" t="s">
        <v>620</v>
      </c>
      <c r="AR75" s="330">
        <v>1</v>
      </c>
      <c r="AS75" s="331" t="s">
        <v>620</v>
      </c>
      <c r="AT75" s="330">
        <v>1</v>
      </c>
      <c r="AU75" s="331" t="s">
        <v>620</v>
      </c>
      <c r="AV75" s="330">
        <v>1</v>
      </c>
      <c r="AW75" s="331" t="s">
        <v>620</v>
      </c>
      <c r="AX75" s="330">
        <v>1</v>
      </c>
      <c r="AY75" s="331" t="s">
        <v>620</v>
      </c>
      <c r="AZ75" s="330">
        <v>1</v>
      </c>
      <c r="BA75" s="331" t="s">
        <v>620</v>
      </c>
      <c r="BB75" s="330">
        <v>1</v>
      </c>
      <c r="BC75" s="331" t="s">
        <v>620</v>
      </c>
      <c r="BD75" s="330">
        <v>1</v>
      </c>
      <c r="BE75" s="331" t="s">
        <v>620</v>
      </c>
      <c r="BF75" s="330">
        <v>1</v>
      </c>
      <c r="BG75" s="331" t="s">
        <v>620</v>
      </c>
      <c r="BH75" s="330">
        <v>1</v>
      </c>
      <c r="BI75" s="331" t="s">
        <v>620</v>
      </c>
      <c r="BJ75" s="330">
        <v>1</v>
      </c>
      <c r="BK75" s="331" t="s">
        <v>620</v>
      </c>
      <c r="BL75" s="332">
        <v>1</v>
      </c>
      <c r="BM75" s="320" t="s">
        <v>620</v>
      </c>
      <c r="BN75" s="321">
        <v>1</v>
      </c>
      <c r="BO75" s="320" t="s">
        <v>620</v>
      </c>
      <c r="BP75" s="321">
        <v>1</v>
      </c>
      <c r="BQ75" s="320" t="s">
        <v>620</v>
      </c>
      <c r="BR75" s="321">
        <v>1</v>
      </c>
      <c r="BS75" s="320" t="s">
        <v>620</v>
      </c>
      <c r="BT75" s="321">
        <v>1</v>
      </c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0"/>
      <c r="DD75" s="20"/>
      <c r="DE75" s="20"/>
      <c r="DF75" s="20"/>
      <c r="DG75" s="20"/>
      <c r="DH75" s="20"/>
      <c r="DI75" s="20"/>
      <c r="DJ75" s="20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0"/>
      <c r="EF75" s="20"/>
      <c r="EG75" s="20"/>
      <c r="EH75" s="20"/>
      <c r="EI75" s="20"/>
      <c r="EJ75" s="20"/>
      <c r="EK75" s="20"/>
      <c r="EL75" s="20"/>
      <c r="EM75" s="20"/>
      <c r="EN75" s="20"/>
      <c r="EO75" s="20"/>
      <c r="EP75" s="20"/>
      <c r="EQ75" s="20"/>
      <c r="ER75" s="20"/>
      <c r="ES75" s="20"/>
      <c r="ET75" s="20"/>
      <c r="EU75" s="20"/>
      <c r="EV75" s="20"/>
      <c r="EW75" s="20"/>
      <c r="EX75" s="20"/>
      <c r="EY75" s="20"/>
      <c r="EZ75" s="20"/>
      <c r="FA75" s="20"/>
      <c r="FB75" s="20"/>
      <c r="FC75" s="20"/>
      <c r="FD75" s="20"/>
      <c r="FE75" s="20"/>
      <c r="FF75" s="20"/>
      <c r="FG75" s="20"/>
      <c r="FH75" s="20"/>
      <c r="FI75" s="20"/>
      <c r="FJ75" s="20"/>
      <c r="FK75" s="20"/>
      <c r="FL75" s="20"/>
      <c r="FM75" s="20"/>
      <c r="FN75" s="20"/>
      <c r="FO75" s="20"/>
      <c r="FP75" s="20"/>
      <c r="FQ75" s="20"/>
      <c r="FR75" s="20"/>
      <c r="FS75" s="20"/>
      <c r="FT75" s="20"/>
      <c r="FU75" s="20"/>
      <c r="FV75" s="20"/>
      <c r="FW75" s="20"/>
      <c r="FX75" s="20"/>
      <c r="FY75" s="20"/>
      <c r="FZ75" s="20"/>
      <c r="GA75" s="20"/>
      <c r="GB75" s="20"/>
      <c r="GC75" s="20"/>
      <c r="GD75" s="20"/>
      <c r="GE75" s="20"/>
      <c r="GF75" s="20"/>
      <c r="GG75" s="20"/>
      <c r="GH75" s="20"/>
      <c r="GI75" s="20"/>
      <c r="GJ75" s="20"/>
      <c r="GK75" s="20"/>
      <c r="GL75" s="20"/>
      <c r="GM75" s="20"/>
      <c r="GN75" s="20"/>
      <c r="GO75" s="20"/>
      <c r="GP75" s="20"/>
      <c r="GQ75" s="20"/>
      <c r="GR75" s="20"/>
      <c r="GS75" s="20"/>
      <c r="GT75" s="20"/>
      <c r="GU75" s="20"/>
      <c r="GV75" s="20"/>
      <c r="GW75" s="20"/>
      <c r="GX75" s="20"/>
      <c r="GY75" s="20"/>
      <c r="GZ75" s="20"/>
      <c r="HA75" s="20"/>
      <c r="HB75" s="20"/>
      <c r="HC75" s="20"/>
      <c r="HD75" s="20"/>
      <c r="HE75" s="20"/>
      <c r="HF75" s="20"/>
      <c r="HG75" s="20"/>
      <c r="HH75" s="20"/>
      <c r="HI75" s="20"/>
      <c r="HJ75" s="20"/>
      <c r="HK75" s="20"/>
      <c r="HL75" s="20"/>
      <c r="HM75" s="20"/>
      <c r="HN75" s="20"/>
      <c r="HO75" s="20"/>
      <c r="HP75" s="20"/>
      <c r="HQ75" s="20"/>
      <c r="HR75" s="20"/>
      <c r="HS75" s="20"/>
      <c r="HT75" s="20"/>
      <c r="HU75" s="20"/>
      <c r="HV75" s="20"/>
      <c r="HW75" s="20"/>
      <c r="HX75" s="20"/>
      <c r="HY75" s="20"/>
      <c r="HZ75" s="20"/>
      <c r="IA75" s="20"/>
      <c r="IB75" s="20"/>
      <c r="IC75" s="20"/>
      <c r="ID75" s="20"/>
      <c r="IE75" s="20"/>
      <c r="IF75" s="20"/>
      <c r="IG75" s="20"/>
      <c r="IH75" s="20"/>
      <c r="II75" s="20"/>
      <c r="IJ75" s="20"/>
      <c r="IK75" s="20"/>
      <c r="IL75" s="20"/>
      <c r="IM75" s="20"/>
      <c r="IN75" s="20"/>
      <c r="IO75" s="20"/>
      <c r="IP75" s="20"/>
      <c r="IQ75" s="20"/>
      <c r="IR75" s="20"/>
      <c r="IS75" s="20"/>
      <c r="IT75" s="20"/>
      <c r="IU75" s="20"/>
      <c r="IV75" s="20"/>
      <c r="IW75" s="20"/>
      <c r="IX75" s="20"/>
      <c r="IY75" s="20"/>
      <c r="IZ75" s="20"/>
      <c r="JA75" s="20"/>
      <c r="JB75" s="20"/>
      <c r="JC75" s="20"/>
      <c r="JD75" s="20"/>
      <c r="JE75" s="20"/>
      <c r="JF75" s="20"/>
      <c r="JG75" s="20"/>
      <c r="JH75" s="20"/>
      <c r="JI75" s="20"/>
      <c r="JJ75" s="20"/>
      <c r="JK75" s="20"/>
      <c r="JL75" s="20"/>
      <c r="JM75" s="20"/>
      <c r="JN75" s="20"/>
      <c r="JO75" s="20"/>
      <c r="JP75" s="20"/>
      <c r="JQ75" s="20"/>
      <c r="JR75" s="20"/>
      <c r="JS75" s="20"/>
      <c r="JT75" s="20"/>
      <c r="JU75" s="20"/>
      <c r="JV75" s="20"/>
      <c r="JW75" s="20"/>
      <c r="JX75" s="20"/>
      <c r="JY75" s="20"/>
      <c r="JZ75" s="20"/>
      <c r="KA75" s="20"/>
      <c r="KB75" s="20"/>
      <c r="KC75" s="20"/>
      <c r="KD75" s="188"/>
      <c r="KE75" s="20"/>
      <c r="KF75" s="20"/>
      <c r="KG75" s="20"/>
      <c r="KH75" s="20"/>
      <c r="KI75" s="12"/>
      <c r="KJ75" s="12"/>
      <c r="KK75" s="12"/>
      <c r="KL75" s="12"/>
      <c r="KM75" s="12"/>
      <c r="KN75" s="12"/>
      <c r="KO75" s="12"/>
      <c r="KP75" s="12"/>
      <c r="KQ75" s="12"/>
      <c r="KR75" s="12"/>
      <c r="KS75" s="12"/>
      <c r="KT75" s="12"/>
      <c r="KU75" s="12"/>
      <c r="KV75" s="12"/>
      <c r="KW75" s="12"/>
      <c r="KX75" s="12"/>
    </row>
    <row r="76" spans="1:310" s="39" customFormat="1" x14ac:dyDescent="0.2">
      <c r="A76" s="138">
        <v>0</v>
      </c>
      <c r="B76" s="326" t="s">
        <v>632</v>
      </c>
      <c r="C76" s="50" t="str">
        <f t="shared" si="23"/>
        <v>PC_AAA</v>
      </c>
      <c r="D76" s="319">
        <f t="shared" si="24"/>
        <v>1</v>
      </c>
      <c r="E76" s="50" t="str">
        <f t="shared" si="22"/>
        <v>PC_AAA</v>
      </c>
      <c r="F76" s="319">
        <f t="shared" si="22"/>
        <v>1</v>
      </c>
      <c r="G76" s="50" t="str">
        <f t="shared" si="22"/>
        <v>PC_AAA</v>
      </c>
      <c r="H76" s="319">
        <f t="shared" si="22"/>
        <v>1</v>
      </c>
      <c r="I76" s="50" t="str">
        <f t="shared" si="22"/>
        <v>PC_AAA</v>
      </c>
      <c r="J76" s="319">
        <f t="shared" si="22"/>
        <v>1</v>
      </c>
      <c r="K76" s="50" t="str">
        <f t="shared" si="22"/>
        <v>PC_AAA</v>
      </c>
      <c r="L76" s="319">
        <f t="shared" si="22"/>
        <v>1</v>
      </c>
      <c r="M76" s="50" t="str">
        <f t="shared" si="22"/>
        <v>PC_AAA</v>
      </c>
      <c r="N76" s="319">
        <f t="shared" si="22"/>
        <v>1</v>
      </c>
      <c r="O76" s="50" t="str">
        <f t="shared" si="22"/>
        <v>PC_AAA</v>
      </c>
      <c r="P76" s="319">
        <f t="shared" si="22"/>
        <v>1</v>
      </c>
      <c r="Q76" s="50" t="str">
        <f t="shared" si="22"/>
        <v>PC_AAA</v>
      </c>
      <c r="R76" s="319">
        <f t="shared" si="22"/>
        <v>1</v>
      </c>
      <c r="S76" s="50" t="str">
        <f t="shared" si="22"/>
        <v>PC_AAA</v>
      </c>
      <c r="T76" s="319">
        <f t="shared" si="22"/>
        <v>1</v>
      </c>
      <c r="U76" s="329" t="s">
        <v>619</v>
      </c>
      <c r="V76" s="330">
        <v>1</v>
      </c>
      <c r="W76" s="331" t="s">
        <v>619</v>
      </c>
      <c r="X76" s="330">
        <v>1</v>
      </c>
      <c r="Y76" s="331" t="s">
        <v>619</v>
      </c>
      <c r="Z76" s="330">
        <v>1</v>
      </c>
      <c r="AA76" s="331" t="s">
        <v>619</v>
      </c>
      <c r="AB76" s="330">
        <v>1</v>
      </c>
      <c r="AC76" s="331" t="s">
        <v>619</v>
      </c>
      <c r="AD76" s="330">
        <v>1</v>
      </c>
      <c r="AE76" s="331" t="s">
        <v>619</v>
      </c>
      <c r="AF76" s="330">
        <v>1</v>
      </c>
      <c r="AG76" s="331" t="s">
        <v>619</v>
      </c>
      <c r="AH76" s="330">
        <v>1</v>
      </c>
      <c r="AI76" s="331" t="s">
        <v>619</v>
      </c>
      <c r="AJ76" s="330">
        <v>1</v>
      </c>
      <c r="AK76" s="331" t="s">
        <v>619</v>
      </c>
      <c r="AL76" s="330">
        <v>1</v>
      </c>
      <c r="AM76" s="330" t="s">
        <v>619</v>
      </c>
      <c r="AN76" s="330">
        <v>1</v>
      </c>
      <c r="AO76" s="331" t="s">
        <v>619</v>
      </c>
      <c r="AP76" s="330">
        <v>1</v>
      </c>
      <c r="AQ76" s="331" t="s">
        <v>619</v>
      </c>
      <c r="AR76" s="330">
        <v>1</v>
      </c>
      <c r="AS76" s="331" t="s">
        <v>619</v>
      </c>
      <c r="AT76" s="330">
        <v>1</v>
      </c>
      <c r="AU76" s="331" t="s">
        <v>619</v>
      </c>
      <c r="AV76" s="330">
        <v>1</v>
      </c>
      <c r="AW76" s="331" t="s">
        <v>619</v>
      </c>
      <c r="AX76" s="330">
        <v>1</v>
      </c>
      <c r="AY76" s="331" t="s">
        <v>619</v>
      </c>
      <c r="AZ76" s="330">
        <v>1</v>
      </c>
      <c r="BA76" s="331" t="s">
        <v>619</v>
      </c>
      <c r="BB76" s="330">
        <v>1</v>
      </c>
      <c r="BC76" s="331" t="s">
        <v>619</v>
      </c>
      <c r="BD76" s="330">
        <v>1</v>
      </c>
      <c r="BE76" s="331" t="s">
        <v>619</v>
      </c>
      <c r="BF76" s="330">
        <v>1</v>
      </c>
      <c r="BG76" s="331" t="s">
        <v>619</v>
      </c>
      <c r="BH76" s="330">
        <v>1</v>
      </c>
      <c r="BI76" s="331" t="s">
        <v>619</v>
      </c>
      <c r="BJ76" s="330">
        <v>1</v>
      </c>
      <c r="BK76" s="331" t="s">
        <v>619</v>
      </c>
      <c r="BL76" s="332">
        <v>1</v>
      </c>
      <c r="BM76" s="320" t="s">
        <v>619</v>
      </c>
      <c r="BN76" s="321">
        <v>0</v>
      </c>
      <c r="BO76" s="320" t="s">
        <v>619</v>
      </c>
      <c r="BP76" s="321">
        <v>0</v>
      </c>
      <c r="BQ76" s="320" t="s">
        <v>619</v>
      </c>
      <c r="BR76" s="321">
        <v>0</v>
      </c>
      <c r="BS76" s="320" t="s">
        <v>619</v>
      </c>
      <c r="BT76" s="321">
        <v>0</v>
      </c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  <c r="EJ76" s="20"/>
      <c r="EK76" s="20"/>
      <c r="EL76" s="20"/>
      <c r="EM76" s="20"/>
      <c r="EN76" s="20"/>
      <c r="EO76" s="20"/>
      <c r="EP76" s="20"/>
      <c r="EQ76" s="20"/>
      <c r="ER76" s="20"/>
      <c r="ES76" s="20"/>
      <c r="ET76" s="20"/>
      <c r="EU76" s="20"/>
      <c r="EV76" s="20"/>
      <c r="EW76" s="20"/>
      <c r="EX76" s="20"/>
      <c r="EY76" s="20"/>
      <c r="EZ76" s="20"/>
      <c r="FA76" s="20"/>
      <c r="FB76" s="20"/>
      <c r="FC76" s="20"/>
      <c r="FD76" s="20"/>
      <c r="FE76" s="20"/>
      <c r="FF76" s="20"/>
      <c r="FG76" s="20"/>
      <c r="FH76" s="20"/>
      <c r="FI76" s="20"/>
      <c r="FJ76" s="20"/>
      <c r="FK76" s="20"/>
      <c r="FL76" s="20"/>
      <c r="FM76" s="20"/>
      <c r="FN76" s="20"/>
      <c r="FO76" s="20"/>
      <c r="FP76" s="20"/>
      <c r="FQ76" s="20"/>
      <c r="FR76" s="20"/>
      <c r="FS76" s="20"/>
      <c r="FT76" s="20"/>
      <c r="FU76" s="20"/>
      <c r="FV76" s="20"/>
      <c r="FW76" s="20"/>
      <c r="FX76" s="20"/>
      <c r="FY76" s="20"/>
      <c r="FZ76" s="20"/>
      <c r="GA76" s="20"/>
      <c r="GB76" s="20"/>
      <c r="GC76" s="20"/>
      <c r="GD76" s="20"/>
      <c r="GE76" s="20"/>
      <c r="GF76" s="20"/>
      <c r="GG76" s="20"/>
      <c r="GH76" s="20"/>
      <c r="GI76" s="20"/>
      <c r="GJ76" s="20"/>
      <c r="GK76" s="20"/>
      <c r="GL76" s="20"/>
      <c r="GM76" s="20"/>
      <c r="GN76" s="20"/>
      <c r="GO76" s="20"/>
      <c r="GP76" s="20"/>
      <c r="GQ76" s="20"/>
      <c r="GR76" s="20"/>
      <c r="GS76" s="20"/>
      <c r="GT76" s="20"/>
      <c r="GU76" s="20"/>
      <c r="GV76" s="20"/>
      <c r="GW76" s="20"/>
      <c r="GX76" s="20"/>
      <c r="GY76" s="20"/>
      <c r="GZ76" s="20"/>
      <c r="HA76" s="20"/>
      <c r="HB76" s="20"/>
      <c r="HC76" s="20"/>
      <c r="HD76" s="20"/>
      <c r="HE76" s="20"/>
      <c r="HF76" s="20"/>
      <c r="HG76" s="20"/>
      <c r="HH76" s="20"/>
      <c r="HI76" s="20"/>
      <c r="HJ76" s="20"/>
      <c r="HK76" s="20"/>
      <c r="HL76" s="20"/>
      <c r="HM76" s="20"/>
      <c r="HN76" s="20"/>
      <c r="HO76" s="20"/>
      <c r="HP76" s="20"/>
      <c r="HQ76" s="20"/>
      <c r="HR76" s="20"/>
      <c r="HS76" s="20"/>
      <c r="HT76" s="20"/>
      <c r="HU76" s="20"/>
      <c r="HV76" s="20"/>
      <c r="HW76" s="20"/>
      <c r="HX76" s="20"/>
      <c r="HY76" s="20"/>
      <c r="HZ76" s="20"/>
      <c r="IA76" s="20"/>
      <c r="IB76" s="20"/>
      <c r="IC76" s="20"/>
      <c r="ID76" s="20"/>
      <c r="IE76" s="20"/>
      <c r="IF76" s="20"/>
      <c r="IG76" s="20"/>
      <c r="IH76" s="20"/>
      <c r="II76" s="20"/>
      <c r="IJ76" s="20"/>
      <c r="IK76" s="20"/>
      <c r="IL76" s="20"/>
      <c r="IM76" s="20"/>
      <c r="IN76" s="20"/>
      <c r="IO76" s="20"/>
      <c r="IP76" s="20"/>
      <c r="IQ76" s="20"/>
      <c r="IR76" s="20"/>
      <c r="IS76" s="20"/>
      <c r="IT76" s="20"/>
      <c r="IU76" s="20"/>
      <c r="IV76" s="20"/>
      <c r="IW76" s="20"/>
      <c r="IX76" s="20"/>
      <c r="IY76" s="20"/>
      <c r="IZ76" s="20"/>
      <c r="JA76" s="20"/>
      <c r="JB76" s="20"/>
      <c r="JC76" s="20"/>
      <c r="JD76" s="20"/>
      <c r="JE76" s="20"/>
      <c r="JF76" s="20"/>
      <c r="JG76" s="20"/>
      <c r="JH76" s="20"/>
      <c r="JI76" s="20"/>
      <c r="JJ76" s="20"/>
      <c r="JK76" s="20"/>
      <c r="JL76" s="20"/>
      <c r="JM76" s="20"/>
      <c r="JN76" s="20"/>
      <c r="JO76" s="20"/>
      <c r="JP76" s="20"/>
      <c r="JQ76" s="20"/>
      <c r="JR76" s="20"/>
      <c r="JS76" s="20"/>
      <c r="JT76" s="20"/>
      <c r="JU76" s="20"/>
      <c r="JV76" s="20"/>
      <c r="JW76" s="20"/>
      <c r="JX76" s="20"/>
      <c r="JY76" s="20"/>
      <c r="JZ76" s="20"/>
      <c r="KA76" s="20"/>
      <c r="KB76" s="20"/>
      <c r="KC76" s="20"/>
      <c r="KD76" s="188"/>
      <c r="KE76" s="20"/>
      <c r="KF76" s="20"/>
      <c r="KG76" s="20"/>
      <c r="KH76" s="20"/>
      <c r="KI76" s="12"/>
      <c r="KJ76" s="12"/>
      <c r="KK76" s="12"/>
      <c r="KL76" s="12"/>
      <c r="KM76" s="12"/>
      <c r="KN76" s="12"/>
      <c r="KO76" s="12"/>
      <c r="KP76" s="12"/>
      <c r="KQ76" s="12"/>
      <c r="KR76" s="12"/>
      <c r="KS76" s="12"/>
      <c r="KT76" s="12"/>
      <c r="KU76" s="12"/>
      <c r="KV76" s="12"/>
      <c r="KW76" s="12"/>
      <c r="KX76" s="12"/>
    </row>
    <row r="77" spans="1:310" s="39" customFormat="1" x14ac:dyDescent="0.2">
      <c r="A77" s="138">
        <v>0</v>
      </c>
      <c r="B77" s="326" t="s">
        <v>633</v>
      </c>
      <c r="C77" s="50" t="str">
        <f t="shared" si="23"/>
        <v>PC_B</v>
      </c>
      <c r="D77" s="319">
        <f t="shared" si="24"/>
        <v>0</v>
      </c>
      <c r="E77" s="50" t="str">
        <f t="shared" si="22"/>
        <v>PC_B</v>
      </c>
      <c r="F77" s="319">
        <f t="shared" si="22"/>
        <v>0</v>
      </c>
      <c r="G77" s="50" t="str">
        <f t="shared" si="22"/>
        <v>PC_B</v>
      </c>
      <c r="H77" s="319">
        <f t="shared" si="22"/>
        <v>0</v>
      </c>
      <c r="I77" s="50" t="str">
        <f t="shared" si="22"/>
        <v>PC_B</v>
      </c>
      <c r="J77" s="319">
        <f t="shared" si="22"/>
        <v>0</v>
      </c>
      <c r="K77" s="50" t="str">
        <f t="shared" si="22"/>
        <v>PC_B</v>
      </c>
      <c r="L77" s="319">
        <f t="shared" si="22"/>
        <v>0</v>
      </c>
      <c r="M77" s="50" t="str">
        <f t="shared" si="22"/>
        <v>PC_B</v>
      </c>
      <c r="N77" s="319">
        <f t="shared" si="22"/>
        <v>0</v>
      </c>
      <c r="O77" s="50" t="str">
        <f t="shared" si="22"/>
        <v>PC_B</v>
      </c>
      <c r="P77" s="319">
        <f t="shared" si="22"/>
        <v>0</v>
      </c>
      <c r="Q77" s="50" t="str">
        <f t="shared" si="22"/>
        <v>PC_B</v>
      </c>
      <c r="R77" s="319">
        <f t="shared" si="22"/>
        <v>0</v>
      </c>
      <c r="S77" s="50" t="str">
        <f t="shared" si="22"/>
        <v>PC_B</v>
      </c>
      <c r="T77" s="319">
        <f t="shared" si="22"/>
        <v>0</v>
      </c>
      <c r="U77" s="329" t="s">
        <v>623</v>
      </c>
      <c r="V77" s="330">
        <v>0</v>
      </c>
      <c r="W77" s="331" t="s">
        <v>623</v>
      </c>
      <c r="X77" s="330">
        <v>0</v>
      </c>
      <c r="Y77" s="331" t="s">
        <v>623</v>
      </c>
      <c r="Z77" s="330">
        <v>0</v>
      </c>
      <c r="AA77" s="331" t="s">
        <v>623</v>
      </c>
      <c r="AB77" s="330">
        <v>0</v>
      </c>
      <c r="AC77" s="331" t="s">
        <v>623</v>
      </c>
      <c r="AD77" s="330">
        <v>0</v>
      </c>
      <c r="AE77" s="331" t="s">
        <v>623</v>
      </c>
      <c r="AF77" s="330">
        <v>0</v>
      </c>
      <c r="AG77" s="331" t="s">
        <v>623</v>
      </c>
      <c r="AH77" s="330">
        <v>0</v>
      </c>
      <c r="AI77" s="331" t="s">
        <v>623</v>
      </c>
      <c r="AJ77" s="330">
        <v>0</v>
      </c>
      <c r="AK77" s="331" t="s">
        <v>623</v>
      </c>
      <c r="AL77" s="330">
        <v>0</v>
      </c>
      <c r="AM77" s="330" t="s">
        <v>623</v>
      </c>
      <c r="AN77" s="330">
        <v>0</v>
      </c>
      <c r="AO77" s="331" t="s">
        <v>623</v>
      </c>
      <c r="AP77" s="330">
        <v>0</v>
      </c>
      <c r="AQ77" s="331" t="s">
        <v>623</v>
      </c>
      <c r="AR77" s="330">
        <v>0</v>
      </c>
      <c r="AS77" s="331" t="s">
        <v>623</v>
      </c>
      <c r="AT77" s="330">
        <v>0</v>
      </c>
      <c r="AU77" s="331" t="s">
        <v>623</v>
      </c>
      <c r="AV77" s="330">
        <v>0</v>
      </c>
      <c r="AW77" s="331" t="s">
        <v>623</v>
      </c>
      <c r="AX77" s="330">
        <v>0</v>
      </c>
      <c r="AY77" s="331" t="s">
        <v>623</v>
      </c>
      <c r="AZ77" s="330">
        <v>0</v>
      </c>
      <c r="BA77" s="331" t="s">
        <v>623</v>
      </c>
      <c r="BB77" s="330">
        <v>0</v>
      </c>
      <c r="BC77" s="331" t="s">
        <v>623</v>
      </c>
      <c r="BD77" s="330">
        <v>0</v>
      </c>
      <c r="BE77" s="331" t="s">
        <v>623</v>
      </c>
      <c r="BF77" s="330">
        <v>0</v>
      </c>
      <c r="BG77" s="331" t="s">
        <v>623</v>
      </c>
      <c r="BH77" s="330">
        <v>0</v>
      </c>
      <c r="BI77" s="331" t="s">
        <v>623</v>
      </c>
      <c r="BJ77" s="330">
        <v>0</v>
      </c>
      <c r="BK77" s="331" t="s">
        <v>623</v>
      </c>
      <c r="BL77" s="332">
        <v>0</v>
      </c>
      <c r="BM77" s="320" t="s">
        <v>623</v>
      </c>
      <c r="BN77" s="321">
        <v>0</v>
      </c>
      <c r="BO77" s="320" t="s">
        <v>623</v>
      </c>
      <c r="BP77" s="321">
        <v>0</v>
      </c>
      <c r="BQ77" s="320" t="s">
        <v>623</v>
      </c>
      <c r="BR77" s="321">
        <v>0</v>
      </c>
      <c r="BS77" s="320" t="s">
        <v>623</v>
      </c>
      <c r="BT77" s="321">
        <v>0</v>
      </c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  <c r="CZ77" s="20"/>
      <c r="DA77" s="20"/>
      <c r="DB77" s="20"/>
      <c r="DC77" s="20"/>
      <c r="DD77" s="20"/>
      <c r="DE77" s="20"/>
      <c r="DF77" s="20"/>
      <c r="DG77" s="20"/>
      <c r="DH77" s="20"/>
      <c r="DI77" s="20"/>
      <c r="DJ77" s="20"/>
      <c r="DK77" s="20"/>
      <c r="DL77" s="20"/>
      <c r="DM77" s="20"/>
      <c r="DN77" s="20"/>
      <c r="DO77" s="20"/>
      <c r="DP77" s="20"/>
      <c r="DQ77" s="20"/>
      <c r="DR77" s="20"/>
      <c r="DS77" s="20"/>
      <c r="DT77" s="20"/>
      <c r="DU77" s="20"/>
      <c r="DV77" s="20"/>
      <c r="DW77" s="20"/>
      <c r="DX77" s="20"/>
      <c r="DY77" s="20"/>
      <c r="DZ77" s="20"/>
      <c r="EA77" s="20"/>
      <c r="EB77" s="20"/>
      <c r="EC77" s="20"/>
      <c r="ED77" s="20"/>
      <c r="EE77" s="20"/>
      <c r="EF77" s="20"/>
      <c r="EG77" s="20"/>
      <c r="EH77" s="20"/>
      <c r="EI77" s="20"/>
      <c r="EJ77" s="20"/>
      <c r="EK77" s="20"/>
      <c r="EL77" s="20"/>
      <c r="EM77" s="20"/>
      <c r="EN77" s="20"/>
      <c r="EO77" s="20"/>
      <c r="EP77" s="20"/>
      <c r="EQ77" s="20"/>
      <c r="ER77" s="20"/>
      <c r="ES77" s="20"/>
      <c r="ET77" s="20"/>
      <c r="EU77" s="20"/>
      <c r="EV77" s="20"/>
      <c r="EW77" s="20"/>
      <c r="EX77" s="20"/>
      <c r="EY77" s="20"/>
      <c r="EZ77" s="20"/>
      <c r="FA77" s="20"/>
      <c r="FB77" s="20"/>
      <c r="FC77" s="20"/>
      <c r="FD77" s="20"/>
      <c r="FE77" s="20"/>
      <c r="FF77" s="20"/>
      <c r="FG77" s="20"/>
      <c r="FH77" s="20"/>
      <c r="FI77" s="20"/>
      <c r="FJ77" s="20"/>
      <c r="FK77" s="20"/>
      <c r="FL77" s="20"/>
      <c r="FM77" s="20"/>
      <c r="FN77" s="20"/>
      <c r="FO77" s="20"/>
      <c r="FP77" s="20"/>
      <c r="FQ77" s="20"/>
      <c r="FR77" s="20"/>
      <c r="FS77" s="20"/>
      <c r="FT77" s="20"/>
      <c r="FU77" s="20"/>
      <c r="FV77" s="20"/>
      <c r="FW77" s="20"/>
      <c r="FX77" s="20"/>
      <c r="FY77" s="20"/>
      <c r="FZ77" s="20"/>
      <c r="GA77" s="20"/>
      <c r="GB77" s="20"/>
      <c r="GC77" s="20"/>
      <c r="GD77" s="20"/>
      <c r="GE77" s="20"/>
      <c r="GF77" s="20"/>
      <c r="GG77" s="20"/>
      <c r="GH77" s="20"/>
      <c r="GI77" s="20"/>
      <c r="GJ77" s="20"/>
      <c r="GK77" s="20"/>
      <c r="GL77" s="20"/>
      <c r="GM77" s="20"/>
      <c r="GN77" s="20"/>
      <c r="GO77" s="20"/>
      <c r="GP77" s="20"/>
      <c r="GQ77" s="20"/>
      <c r="GR77" s="20"/>
      <c r="GS77" s="20"/>
      <c r="GT77" s="20"/>
      <c r="GU77" s="20"/>
      <c r="GV77" s="20"/>
      <c r="GW77" s="20"/>
      <c r="GX77" s="20"/>
      <c r="GY77" s="20"/>
      <c r="GZ77" s="20"/>
      <c r="HA77" s="20"/>
      <c r="HB77" s="20"/>
      <c r="HC77" s="20"/>
      <c r="HD77" s="20"/>
      <c r="HE77" s="20"/>
      <c r="HF77" s="20"/>
      <c r="HG77" s="20"/>
      <c r="HH77" s="20"/>
      <c r="HI77" s="20"/>
      <c r="HJ77" s="20"/>
      <c r="HK77" s="20"/>
      <c r="HL77" s="20"/>
      <c r="HM77" s="20"/>
      <c r="HN77" s="20"/>
      <c r="HO77" s="20"/>
      <c r="HP77" s="20"/>
      <c r="HQ77" s="20"/>
      <c r="HR77" s="20"/>
      <c r="HS77" s="20"/>
      <c r="HT77" s="20"/>
      <c r="HU77" s="20"/>
      <c r="HV77" s="20"/>
      <c r="HW77" s="20"/>
      <c r="HX77" s="20"/>
      <c r="HY77" s="20"/>
      <c r="HZ77" s="20"/>
      <c r="IA77" s="20"/>
      <c r="IB77" s="20"/>
      <c r="IC77" s="20"/>
      <c r="ID77" s="20"/>
      <c r="IE77" s="20"/>
      <c r="IF77" s="20"/>
      <c r="IG77" s="20"/>
      <c r="IH77" s="20"/>
      <c r="II77" s="20"/>
      <c r="IJ77" s="20"/>
      <c r="IK77" s="20"/>
      <c r="IL77" s="20"/>
      <c r="IM77" s="20"/>
      <c r="IN77" s="20"/>
      <c r="IO77" s="20"/>
      <c r="IP77" s="20"/>
      <c r="IQ77" s="20"/>
      <c r="IR77" s="20"/>
      <c r="IS77" s="20"/>
      <c r="IT77" s="20"/>
      <c r="IU77" s="20"/>
      <c r="IV77" s="20"/>
      <c r="IW77" s="20"/>
      <c r="IX77" s="20"/>
      <c r="IY77" s="20"/>
      <c r="IZ77" s="20"/>
      <c r="JA77" s="20"/>
      <c r="JB77" s="20"/>
      <c r="JC77" s="20"/>
      <c r="JD77" s="20"/>
      <c r="JE77" s="20"/>
      <c r="JF77" s="20"/>
      <c r="JG77" s="20"/>
      <c r="JH77" s="20"/>
      <c r="JI77" s="20"/>
      <c r="JJ77" s="20"/>
      <c r="JK77" s="20"/>
      <c r="JL77" s="20"/>
      <c r="JM77" s="20"/>
      <c r="JN77" s="20"/>
      <c r="JO77" s="20"/>
      <c r="JP77" s="20"/>
      <c r="JQ77" s="20"/>
      <c r="JR77" s="20"/>
      <c r="JS77" s="20"/>
      <c r="JT77" s="20"/>
      <c r="JU77" s="20"/>
      <c r="JV77" s="20"/>
      <c r="JW77" s="20"/>
      <c r="JX77" s="20"/>
      <c r="JY77" s="20"/>
      <c r="JZ77" s="20"/>
      <c r="KA77" s="20"/>
      <c r="KB77" s="20"/>
      <c r="KC77" s="20"/>
      <c r="KD77" s="188"/>
      <c r="KE77" s="20"/>
      <c r="KF77" s="20"/>
      <c r="KG77" s="20"/>
      <c r="KH77" s="20"/>
      <c r="KI77" s="12"/>
      <c r="KJ77" s="12"/>
      <c r="KK77" s="12"/>
      <c r="KL77" s="12"/>
      <c r="KM77" s="12"/>
      <c r="KN77" s="12"/>
      <c r="KO77" s="12"/>
      <c r="KP77" s="12"/>
      <c r="KQ77" s="12"/>
      <c r="KR77" s="12"/>
      <c r="KS77" s="12"/>
      <c r="KT77" s="12"/>
      <c r="KU77" s="12"/>
      <c r="KV77" s="12"/>
      <c r="KW77" s="12"/>
      <c r="KX77" s="12"/>
    </row>
    <row r="78" spans="1:310" s="39" customFormat="1" x14ac:dyDescent="0.2">
      <c r="A78" s="138">
        <v>0</v>
      </c>
      <c r="B78" s="326" t="s">
        <v>634</v>
      </c>
      <c r="C78" s="50" t="str">
        <f t="shared" si="23"/>
        <v>PC_BB</v>
      </c>
      <c r="D78" s="319">
        <f t="shared" si="24"/>
        <v>0</v>
      </c>
      <c r="E78" s="50" t="str">
        <f t="shared" si="22"/>
        <v>PC_BB</v>
      </c>
      <c r="F78" s="319">
        <f t="shared" si="22"/>
        <v>0</v>
      </c>
      <c r="G78" s="50" t="str">
        <f t="shared" si="22"/>
        <v>PC_BB</v>
      </c>
      <c r="H78" s="319">
        <f t="shared" si="22"/>
        <v>0</v>
      </c>
      <c r="I78" s="50" t="str">
        <f t="shared" si="22"/>
        <v>PC_BB</v>
      </c>
      <c r="J78" s="319">
        <f t="shared" si="22"/>
        <v>0</v>
      </c>
      <c r="K78" s="50" t="str">
        <f t="shared" si="22"/>
        <v>PC_BB</v>
      </c>
      <c r="L78" s="319">
        <f t="shared" si="22"/>
        <v>0</v>
      </c>
      <c r="M78" s="50" t="str">
        <f t="shared" si="22"/>
        <v>PC_BB</v>
      </c>
      <c r="N78" s="319">
        <f t="shared" si="22"/>
        <v>0</v>
      </c>
      <c r="O78" s="50" t="str">
        <f t="shared" si="22"/>
        <v>PC_BB</v>
      </c>
      <c r="P78" s="319">
        <f t="shared" si="22"/>
        <v>0</v>
      </c>
      <c r="Q78" s="50" t="str">
        <f t="shared" si="22"/>
        <v>PC_BB</v>
      </c>
      <c r="R78" s="319">
        <f t="shared" si="22"/>
        <v>0</v>
      </c>
      <c r="S78" s="50" t="str">
        <f t="shared" si="22"/>
        <v>PC_BB</v>
      </c>
      <c r="T78" s="319">
        <f t="shared" si="22"/>
        <v>0</v>
      </c>
      <c r="U78" s="329" t="s">
        <v>622</v>
      </c>
      <c r="V78" s="330">
        <v>0</v>
      </c>
      <c r="W78" s="331" t="s">
        <v>622</v>
      </c>
      <c r="X78" s="330">
        <v>0</v>
      </c>
      <c r="Y78" s="331" t="s">
        <v>622</v>
      </c>
      <c r="Z78" s="330">
        <v>0</v>
      </c>
      <c r="AA78" s="331" t="s">
        <v>622</v>
      </c>
      <c r="AB78" s="330">
        <v>0</v>
      </c>
      <c r="AC78" s="331" t="s">
        <v>622</v>
      </c>
      <c r="AD78" s="330">
        <v>0</v>
      </c>
      <c r="AE78" s="331" t="s">
        <v>622</v>
      </c>
      <c r="AF78" s="330">
        <v>0</v>
      </c>
      <c r="AG78" s="331" t="s">
        <v>622</v>
      </c>
      <c r="AH78" s="330">
        <v>0</v>
      </c>
      <c r="AI78" s="331" t="s">
        <v>622</v>
      </c>
      <c r="AJ78" s="330">
        <v>0</v>
      </c>
      <c r="AK78" s="331" t="s">
        <v>622</v>
      </c>
      <c r="AL78" s="330">
        <v>0</v>
      </c>
      <c r="AM78" s="330" t="s">
        <v>622</v>
      </c>
      <c r="AN78" s="330">
        <v>0</v>
      </c>
      <c r="AO78" s="331" t="s">
        <v>622</v>
      </c>
      <c r="AP78" s="330">
        <v>0</v>
      </c>
      <c r="AQ78" s="331" t="s">
        <v>622</v>
      </c>
      <c r="AR78" s="330">
        <v>0</v>
      </c>
      <c r="AS78" s="331" t="s">
        <v>622</v>
      </c>
      <c r="AT78" s="330">
        <v>0</v>
      </c>
      <c r="AU78" s="331" t="s">
        <v>622</v>
      </c>
      <c r="AV78" s="330">
        <v>0</v>
      </c>
      <c r="AW78" s="331" t="s">
        <v>622</v>
      </c>
      <c r="AX78" s="330">
        <v>0</v>
      </c>
      <c r="AY78" s="331" t="s">
        <v>622</v>
      </c>
      <c r="AZ78" s="330">
        <v>0</v>
      </c>
      <c r="BA78" s="331" t="s">
        <v>622</v>
      </c>
      <c r="BB78" s="330">
        <v>0</v>
      </c>
      <c r="BC78" s="331" t="s">
        <v>622</v>
      </c>
      <c r="BD78" s="330">
        <v>0</v>
      </c>
      <c r="BE78" s="331" t="s">
        <v>622</v>
      </c>
      <c r="BF78" s="330">
        <v>0</v>
      </c>
      <c r="BG78" s="331" t="s">
        <v>622</v>
      </c>
      <c r="BH78" s="330">
        <v>0</v>
      </c>
      <c r="BI78" s="331" t="s">
        <v>622</v>
      </c>
      <c r="BJ78" s="330">
        <v>0</v>
      </c>
      <c r="BK78" s="331" t="s">
        <v>622</v>
      </c>
      <c r="BL78" s="332">
        <v>0</v>
      </c>
      <c r="BM78" s="320" t="s">
        <v>622</v>
      </c>
      <c r="BN78" s="321">
        <v>0</v>
      </c>
      <c r="BO78" s="320" t="s">
        <v>622</v>
      </c>
      <c r="BP78" s="321">
        <v>0</v>
      </c>
      <c r="BQ78" s="320" t="s">
        <v>622</v>
      </c>
      <c r="BR78" s="321">
        <v>0</v>
      </c>
      <c r="BS78" s="320" t="s">
        <v>622</v>
      </c>
      <c r="BT78" s="321">
        <v>0</v>
      </c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  <c r="EJ78" s="20"/>
      <c r="EK78" s="20"/>
      <c r="EL78" s="20"/>
      <c r="EM78" s="20"/>
      <c r="EN78" s="20"/>
      <c r="EO78" s="20"/>
      <c r="EP78" s="20"/>
      <c r="EQ78" s="20"/>
      <c r="ER78" s="20"/>
      <c r="ES78" s="20"/>
      <c r="ET78" s="20"/>
      <c r="EU78" s="20"/>
      <c r="EV78" s="20"/>
      <c r="EW78" s="20"/>
      <c r="EX78" s="20"/>
      <c r="EY78" s="20"/>
      <c r="EZ78" s="20"/>
      <c r="FA78" s="20"/>
      <c r="FB78" s="20"/>
      <c r="FC78" s="20"/>
      <c r="FD78" s="20"/>
      <c r="FE78" s="20"/>
      <c r="FF78" s="20"/>
      <c r="FG78" s="20"/>
      <c r="FH78" s="20"/>
      <c r="FI78" s="20"/>
      <c r="FJ78" s="20"/>
      <c r="FK78" s="20"/>
      <c r="FL78" s="20"/>
      <c r="FM78" s="20"/>
      <c r="FN78" s="20"/>
      <c r="FO78" s="20"/>
      <c r="FP78" s="20"/>
      <c r="FQ78" s="20"/>
      <c r="FR78" s="20"/>
      <c r="FS78" s="20"/>
      <c r="FT78" s="20"/>
      <c r="FU78" s="20"/>
      <c r="FV78" s="20"/>
      <c r="FW78" s="20"/>
      <c r="FX78" s="20"/>
      <c r="FY78" s="20"/>
      <c r="FZ78" s="20"/>
      <c r="GA78" s="20"/>
      <c r="GB78" s="20"/>
      <c r="GC78" s="20"/>
      <c r="GD78" s="20"/>
      <c r="GE78" s="20"/>
      <c r="GF78" s="20"/>
      <c r="GG78" s="20"/>
      <c r="GH78" s="20"/>
      <c r="GI78" s="20"/>
      <c r="GJ78" s="20"/>
      <c r="GK78" s="20"/>
      <c r="GL78" s="20"/>
      <c r="GM78" s="20"/>
      <c r="GN78" s="20"/>
      <c r="GO78" s="20"/>
      <c r="GP78" s="20"/>
      <c r="GQ78" s="20"/>
      <c r="GR78" s="20"/>
      <c r="GS78" s="20"/>
      <c r="GT78" s="20"/>
      <c r="GU78" s="20"/>
      <c r="GV78" s="20"/>
      <c r="GW78" s="20"/>
      <c r="GX78" s="20"/>
      <c r="GY78" s="20"/>
      <c r="GZ78" s="20"/>
      <c r="HA78" s="20"/>
      <c r="HB78" s="20"/>
      <c r="HC78" s="20"/>
      <c r="HD78" s="20"/>
      <c r="HE78" s="20"/>
      <c r="HF78" s="20"/>
      <c r="HG78" s="20"/>
      <c r="HH78" s="20"/>
      <c r="HI78" s="20"/>
      <c r="HJ78" s="20"/>
      <c r="HK78" s="20"/>
      <c r="HL78" s="20"/>
      <c r="HM78" s="20"/>
      <c r="HN78" s="20"/>
      <c r="HO78" s="20"/>
      <c r="HP78" s="20"/>
      <c r="HQ78" s="20"/>
      <c r="HR78" s="20"/>
      <c r="HS78" s="20"/>
      <c r="HT78" s="20"/>
      <c r="HU78" s="20"/>
      <c r="HV78" s="20"/>
      <c r="HW78" s="20"/>
      <c r="HX78" s="20"/>
      <c r="HY78" s="20"/>
      <c r="HZ78" s="20"/>
      <c r="IA78" s="20"/>
      <c r="IB78" s="20"/>
      <c r="IC78" s="20"/>
      <c r="ID78" s="20"/>
      <c r="IE78" s="20"/>
      <c r="IF78" s="20"/>
      <c r="IG78" s="20"/>
      <c r="IH78" s="20"/>
      <c r="II78" s="20"/>
      <c r="IJ78" s="20"/>
      <c r="IK78" s="20"/>
      <c r="IL78" s="20"/>
      <c r="IM78" s="20"/>
      <c r="IN78" s="20"/>
      <c r="IO78" s="20"/>
      <c r="IP78" s="20"/>
      <c r="IQ78" s="20"/>
      <c r="IR78" s="20"/>
      <c r="IS78" s="20"/>
      <c r="IT78" s="20"/>
      <c r="IU78" s="20"/>
      <c r="IV78" s="20"/>
      <c r="IW78" s="20"/>
      <c r="IX78" s="20"/>
      <c r="IY78" s="20"/>
      <c r="IZ78" s="20"/>
      <c r="JA78" s="20"/>
      <c r="JB78" s="20"/>
      <c r="JC78" s="20"/>
      <c r="JD78" s="20"/>
      <c r="JE78" s="20"/>
      <c r="JF78" s="20"/>
      <c r="JG78" s="20"/>
      <c r="JH78" s="20"/>
      <c r="JI78" s="20"/>
      <c r="JJ78" s="20"/>
      <c r="JK78" s="20"/>
      <c r="JL78" s="20"/>
      <c r="JM78" s="20"/>
      <c r="JN78" s="20"/>
      <c r="JO78" s="20"/>
      <c r="JP78" s="20"/>
      <c r="JQ78" s="20"/>
      <c r="JR78" s="20"/>
      <c r="JS78" s="20"/>
      <c r="JT78" s="20"/>
      <c r="JU78" s="20"/>
      <c r="JV78" s="20"/>
      <c r="JW78" s="20"/>
      <c r="JX78" s="20"/>
      <c r="JY78" s="20"/>
      <c r="JZ78" s="20"/>
      <c r="KA78" s="20"/>
      <c r="KB78" s="20"/>
      <c r="KC78" s="20"/>
      <c r="KD78" s="188"/>
      <c r="KE78" s="20"/>
      <c r="KF78" s="20"/>
      <c r="KG78" s="20"/>
      <c r="KH78" s="20"/>
      <c r="KI78" s="12"/>
      <c r="KJ78" s="12"/>
      <c r="KK78" s="12"/>
      <c r="KL78" s="12"/>
      <c r="KM78" s="12"/>
      <c r="KN78" s="12"/>
      <c r="KO78" s="12"/>
      <c r="KP78" s="12"/>
      <c r="KQ78" s="12"/>
      <c r="KR78" s="12"/>
      <c r="KS78" s="12"/>
      <c r="KT78" s="12"/>
      <c r="KU78" s="12"/>
      <c r="KV78" s="12"/>
      <c r="KW78" s="12"/>
      <c r="KX78" s="12"/>
    </row>
    <row r="79" spans="1:310" s="39" customFormat="1" x14ac:dyDescent="0.2">
      <c r="A79" s="138">
        <v>0</v>
      </c>
      <c r="B79" s="326" t="s">
        <v>635</v>
      </c>
      <c r="C79" s="50" t="str">
        <f t="shared" si="23"/>
        <v>PC_BBB</v>
      </c>
      <c r="D79" s="319">
        <f t="shared" si="24"/>
        <v>0.1875</v>
      </c>
      <c r="E79" s="50" t="str">
        <f t="shared" si="22"/>
        <v>PC_BBB</v>
      </c>
      <c r="F79" s="319">
        <f t="shared" si="22"/>
        <v>0.64601769911504425</v>
      </c>
      <c r="G79" s="50" t="str">
        <f t="shared" si="22"/>
        <v>PC_BBB</v>
      </c>
      <c r="H79" s="319">
        <f t="shared" si="22"/>
        <v>0.73782771535580527</v>
      </c>
      <c r="I79" s="50" t="str">
        <f t="shared" si="22"/>
        <v>PC_BBB</v>
      </c>
      <c r="J79" s="319">
        <f t="shared" si="22"/>
        <v>0.33510638297872342</v>
      </c>
      <c r="K79" s="50" t="str">
        <f t="shared" si="22"/>
        <v>PC_BBB</v>
      </c>
      <c r="L79" s="319">
        <f t="shared" si="22"/>
        <v>0.23255813953488375</v>
      </c>
      <c r="M79" s="50" t="str">
        <f t="shared" si="22"/>
        <v>PC_BBB</v>
      </c>
      <c r="N79" s="319">
        <f t="shared" si="22"/>
        <v>0.18773466833541927</v>
      </c>
      <c r="O79" s="50" t="str">
        <f t="shared" si="22"/>
        <v>PC_BBB</v>
      </c>
      <c r="P79" s="319">
        <f t="shared" si="22"/>
        <v>0.13011152416356878</v>
      </c>
      <c r="Q79" s="50" t="str">
        <f t="shared" si="22"/>
        <v>PC_BBB</v>
      </c>
      <c r="R79" s="319">
        <f t="shared" si="22"/>
        <v>0</v>
      </c>
      <c r="S79" s="50" t="str">
        <f t="shared" si="22"/>
        <v>PC_BBB</v>
      </c>
      <c r="T79" s="319">
        <f t="shared" si="22"/>
        <v>0</v>
      </c>
      <c r="U79" s="329" t="s">
        <v>617</v>
      </c>
      <c r="V79" s="330">
        <v>0.1875</v>
      </c>
      <c r="W79" s="331" t="s">
        <v>617</v>
      </c>
      <c r="X79" s="330">
        <v>0.64601769911504425</v>
      </c>
      <c r="Y79" s="331" t="s">
        <v>617</v>
      </c>
      <c r="Z79" s="330">
        <v>0.73782771535580527</v>
      </c>
      <c r="AA79" s="331" t="s">
        <v>617</v>
      </c>
      <c r="AB79" s="330">
        <v>0.33510638297872342</v>
      </c>
      <c r="AC79" s="331" t="s">
        <v>617</v>
      </c>
      <c r="AD79" s="330">
        <v>0.23255813953488375</v>
      </c>
      <c r="AE79" s="331" t="s">
        <v>617</v>
      </c>
      <c r="AF79" s="330">
        <v>0.18773466833541927</v>
      </c>
      <c r="AG79" s="331" t="s">
        <v>617</v>
      </c>
      <c r="AH79" s="330">
        <v>0.13011152416356878</v>
      </c>
      <c r="AI79" s="331" t="s">
        <v>617</v>
      </c>
      <c r="AJ79" s="330">
        <v>0</v>
      </c>
      <c r="AK79" s="331" t="s">
        <v>617</v>
      </c>
      <c r="AL79" s="330">
        <v>0</v>
      </c>
      <c r="AM79" s="330" t="s">
        <v>617</v>
      </c>
      <c r="AN79" s="330">
        <v>0.46331521739130432</v>
      </c>
      <c r="AO79" s="331" t="s">
        <v>617</v>
      </c>
      <c r="AP79" s="330">
        <v>0.69985358711566614</v>
      </c>
      <c r="AQ79" s="331" t="s">
        <v>617</v>
      </c>
      <c r="AR79" s="330">
        <v>0.57812264577369288</v>
      </c>
      <c r="AS79" s="331" t="s">
        <v>617</v>
      </c>
      <c r="AT79" s="330">
        <v>0.31771647358140781</v>
      </c>
      <c r="AU79" s="331" t="s">
        <v>617</v>
      </c>
      <c r="AV79" s="330">
        <v>0.18773466833541927</v>
      </c>
      <c r="AW79" s="331" t="s">
        <v>617</v>
      </c>
      <c r="AX79" s="330">
        <v>0.13011152416356878</v>
      </c>
      <c r="AY79" s="331" t="s">
        <v>617</v>
      </c>
      <c r="AZ79" s="330">
        <v>5.3984575835475578E-2</v>
      </c>
      <c r="BA79" s="331" t="s">
        <v>617</v>
      </c>
      <c r="BB79" s="330">
        <v>2.1920668058455117E-2</v>
      </c>
      <c r="BC79" s="331" t="s">
        <v>617</v>
      </c>
      <c r="BD79" s="330">
        <v>0</v>
      </c>
      <c r="BE79" s="331" t="s">
        <v>617</v>
      </c>
      <c r="BF79" s="330">
        <v>0</v>
      </c>
      <c r="BG79" s="331" t="s">
        <v>617</v>
      </c>
      <c r="BH79" s="330">
        <v>0</v>
      </c>
      <c r="BI79" s="331" t="s">
        <v>617</v>
      </c>
      <c r="BJ79" s="330">
        <v>0</v>
      </c>
      <c r="BK79" s="331" t="s">
        <v>617</v>
      </c>
      <c r="BL79" s="332">
        <v>0</v>
      </c>
      <c r="BM79" s="320" t="s">
        <v>617</v>
      </c>
      <c r="BN79" s="321">
        <v>0</v>
      </c>
      <c r="BO79" s="320" t="s">
        <v>617</v>
      </c>
      <c r="BP79" s="321">
        <v>0</v>
      </c>
      <c r="BQ79" s="320" t="s">
        <v>617</v>
      </c>
      <c r="BR79" s="321">
        <v>0</v>
      </c>
      <c r="BS79" s="320" t="s">
        <v>617</v>
      </c>
      <c r="BT79" s="321">
        <v>0</v>
      </c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20"/>
      <c r="DT79" s="20"/>
      <c r="DU79" s="20"/>
      <c r="DV79" s="20"/>
      <c r="DW79" s="20"/>
      <c r="DX79" s="20"/>
      <c r="DY79" s="20"/>
      <c r="DZ79" s="20"/>
      <c r="EA79" s="20"/>
      <c r="EB79" s="20"/>
      <c r="EC79" s="20"/>
      <c r="ED79" s="20"/>
      <c r="EE79" s="20"/>
      <c r="EF79" s="20"/>
      <c r="EG79" s="20"/>
      <c r="EH79" s="20"/>
      <c r="EI79" s="20"/>
      <c r="EJ79" s="20"/>
      <c r="EK79" s="20"/>
      <c r="EL79" s="20"/>
      <c r="EM79" s="20"/>
      <c r="EN79" s="20"/>
      <c r="EO79" s="20"/>
      <c r="EP79" s="20"/>
      <c r="EQ79" s="20"/>
      <c r="ER79" s="20"/>
      <c r="ES79" s="20"/>
      <c r="ET79" s="20"/>
      <c r="EU79" s="20"/>
      <c r="EV79" s="20"/>
      <c r="EW79" s="20"/>
      <c r="EX79" s="20"/>
      <c r="EY79" s="20"/>
      <c r="EZ79" s="20"/>
      <c r="FA79" s="20"/>
      <c r="FB79" s="20"/>
      <c r="FC79" s="20"/>
      <c r="FD79" s="20"/>
      <c r="FE79" s="20"/>
      <c r="FF79" s="20"/>
      <c r="FG79" s="20"/>
      <c r="FH79" s="20"/>
      <c r="FI79" s="20"/>
      <c r="FJ79" s="20"/>
      <c r="FK79" s="20"/>
      <c r="FL79" s="20"/>
      <c r="FM79" s="20"/>
      <c r="FN79" s="20"/>
      <c r="FO79" s="20"/>
      <c r="FP79" s="20"/>
      <c r="FQ79" s="20"/>
      <c r="FR79" s="20"/>
      <c r="FS79" s="20"/>
      <c r="FT79" s="20"/>
      <c r="FU79" s="20"/>
      <c r="FV79" s="20"/>
      <c r="FW79" s="20"/>
      <c r="FX79" s="20"/>
      <c r="FY79" s="20"/>
      <c r="FZ79" s="20"/>
      <c r="GA79" s="20"/>
      <c r="GB79" s="20"/>
      <c r="GC79" s="20"/>
      <c r="GD79" s="20"/>
      <c r="GE79" s="20"/>
      <c r="GF79" s="20"/>
      <c r="GG79" s="20"/>
      <c r="GH79" s="20"/>
      <c r="GI79" s="20"/>
      <c r="GJ79" s="20"/>
      <c r="GK79" s="20"/>
      <c r="GL79" s="20"/>
      <c r="GM79" s="20"/>
      <c r="GN79" s="20"/>
      <c r="GO79" s="20"/>
      <c r="GP79" s="20"/>
      <c r="GQ79" s="20"/>
      <c r="GR79" s="20"/>
      <c r="GS79" s="20"/>
      <c r="GT79" s="20"/>
      <c r="GU79" s="20"/>
      <c r="GV79" s="20"/>
      <c r="GW79" s="20"/>
      <c r="GX79" s="20"/>
      <c r="GY79" s="20"/>
      <c r="GZ79" s="20"/>
      <c r="HA79" s="20"/>
      <c r="HB79" s="20"/>
      <c r="HC79" s="20"/>
      <c r="HD79" s="20"/>
      <c r="HE79" s="20"/>
      <c r="HF79" s="20"/>
      <c r="HG79" s="20"/>
      <c r="HH79" s="20"/>
      <c r="HI79" s="20"/>
      <c r="HJ79" s="20"/>
      <c r="HK79" s="20"/>
      <c r="HL79" s="20"/>
      <c r="HM79" s="20"/>
      <c r="HN79" s="20"/>
      <c r="HO79" s="20"/>
      <c r="HP79" s="20"/>
      <c r="HQ79" s="20"/>
      <c r="HR79" s="20"/>
      <c r="HS79" s="20"/>
      <c r="HT79" s="20"/>
      <c r="HU79" s="20"/>
      <c r="HV79" s="20"/>
      <c r="HW79" s="20"/>
      <c r="HX79" s="20"/>
      <c r="HY79" s="20"/>
      <c r="HZ79" s="20"/>
      <c r="IA79" s="20"/>
      <c r="IB79" s="20"/>
      <c r="IC79" s="20"/>
      <c r="ID79" s="20"/>
      <c r="IE79" s="20"/>
      <c r="IF79" s="20"/>
      <c r="IG79" s="20"/>
      <c r="IH79" s="20"/>
      <c r="II79" s="20"/>
      <c r="IJ79" s="20"/>
      <c r="IK79" s="20"/>
      <c r="IL79" s="20"/>
      <c r="IM79" s="20"/>
      <c r="IN79" s="20"/>
      <c r="IO79" s="20"/>
      <c r="IP79" s="20"/>
      <c r="IQ79" s="20"/>
      <c r="IR79" s="20"/>
      <c r="IS79" s="20"/>
      <c r="IT79" s="20"/>
      <c r="IU79" s="20"/>
      <c r="IV79" s="20"/>
      <c r="IW79" s="20"/>
      <c r="IX79" s="20"/>
      <c r="IY79" s="20"/>
      <c r="IZ79" s="20"/>
      <c r="JA79" s="20"/>
      <c r="JB79" s="20"/>
      <c r="JC79" s="20"/>
      <c r="JD79" s="20"/>
      <c r="JE79" s="20"/>
      <c r="JF79" s="20"/>
      <c r="JG79" s="20"/>
      <c r="JH79" s="20"/>
      <c r="JI79" s="20"/>
      <c r="JJ79" s="20"/>
      <c r="JK79" s="20"/>
      <c r="JL79" s="20"/>
      <c r="JM79" s="20"/>
      <c r="JN79" s="20"/>
      <c r="JO79" s="20"/>
      <c r="JP79" s="20"/>
      <c r="JQ79" s="20"/>
      <c r="JR79" s="20"/>
      <c r="JS79" s="20"/>
      <c r="JT79" s="20"/>
      <c r="JU79" s="20"/>
      <c r="JV79" s="20"/>
      <c r="JW79" s="20"/>
      <c r="JX79" s="20"/>
      <c r="JY79" s="20"/>
      <c r="JZ79" s="20"/>
      <c r="KA79" s="20"/>
      <c r="KB79" s="20"/>
      <c r="KC79" s="20"/>
      <c r="KD79" s="188"/>
      <c r="KE79" s="20"/>
      <c r="KF79" s="20"/>
      <c r="KG79" s="20"/>
      <c r="KH79" s="20"/>
      <c r="KI79" s="12"/>
      <c r="KJ79" s="12"/>
      <c r="KK79" s="12"/>
      <c r="KL79" s="12"/>
      <c r="KM79" s="12"/>
      <c r="KN79" s="12"/>
      <c r="KO79" s="12"/>
      <c r="KP79" s="12"/>
      <c r="KQ79" s="12"/>
      <c r="KR79" s="12"/>
      <c r="KS79" s="12"/>
      <c r="KT79" s="12"/>
      <c r="KU79" s="12"/>
      <c r="KV79" s="12"/>
      <c r="KW79" s="12"/>
      <c r="KX79" s="12"/>
    </row>
    <row r="80" spans="1:310" s="39" customFormat="1" x14ac:dyDescent="0.2">
      <c r="A80" s="138">
        <v>0</v>
      </c>
      <c r="B80" s="326" t="s">
        <v>636</v>
      </c>
      <c r="C80" s="50" t="str">
        <f t="shared" si="23"/>
        <v>PC_A</v>
      </c>
      <c r="D80" s="319">
        <f t="shared" si="24"/>
        <v>0</v>
      </c>
      <c r="E80" s="50" t="str">
        <f t="shared" si="22"/>
        <v>PC_A</v>
      </c>
      <c r="F80" s="319">
        <f t="shared" si="22"/>
        <v>5.8651026392961873E-2</v>
      </c>
      <c r="G80" s="50" t="str">
        <f t="shared" si="22"/>
        <v>PC_A</v>
      </c>
      <c r="H80" s="319">
        <f t="shared" si="22"/>
        <v>0.49092531984528426</v>
      </c>
      <c r="I80" s="50" t="str">
        <f t="shared" si="22"/>
        <v>PC_A</v>
      </c>
      <c r="J80" s="319">
        <f t="shared" si="22"/>
        <v>0.47996160307175428</v>
      </c>
      <c r="K80" s="50" t="str">
        <f t="shared" si="22"/>
        <v>PC_A</v>
      </c>
      <c r="L80" s="319">
        <f t="shared" si="22"/>
        <v>0.42622950819672129</v>
      </c>
      <c r="M80" s="50" t="str">
        <f t="shared" si="22"/>
        <v>PC_A</v>
      </c>
      <c r="N80" s="319">
        <f t="shared" si="22"/>
        <v>0.33668948852194924</v>
      </c>
      <c r="O80" s="50" t="str">
        <f t="shared" si="22"/>
        <v>PC_A</v>
      </c>
      <c r="P80" s="319">
        <f t="shared" si="22"/>
        <v>0.1264044943820225</v>
      </c>
      <c r="Q80" s="50" t="str">
        <f t="shared" si="22"/>
        <v>PC_A</v>
      </c>
      <c r="R80" s="319">
        <f t="shared" si="22"/>
        <v>0.12422360248447205</v>
      </c>
      <c r="S80" s="50" t="str">
        <f t="shared" si="22"/>
        <v>PC_A</v>
      </c>
      <c r="T80" s="319">
        <f t="shared" si="22"/>
        <v>0</v>
      </c>
      <c r="U80" s="329" t="s">
        <v>616</v>
      </c>
      <c r="V80" s="330">
        <v>0</v>
      </c>
      <c r="W80" s="331" t="s">
        <v>616</v>
      </c>
      <c r="X80" s="330">
        <v>5.8651026392961873E-2</v>
      </c>
      <c r="Y80" s="331" t="s">
        <v>616</v>
      </c>
      <c r="Z80" s="330">
        <v>0.49092531984528426</v>
      </c>
      <c r="AA80" s="331" t="s">
        <v>616</v>
      </c>
      <c r="AB80" s="330">
        <v>0.47996160307175428</v>
      </c>
      <c r="AC80" s="331" t="s">
        <v>616</v>
      </c>
      <c r="AD80" s="330">
        <v>0.42622950819672129</v>
      </c>
      <c r="AE80" s="331" t="s">
        <v>616</v>
      </c>
      <c r="AF80" s="330">
        <v>0.33668948852194924</v>
      </c>
      <c r="AG80" s="331" t="s">
        <v>616</v>
      </c>
      <c r="AH80" s="330">
        <v>0.1264044943820225</v>
      </c>
      <c r="AI80" s="331" t="s">
        <v>616</v>
      </c>
      <c r="AJ80" s="330">
        <v>0.12422360248447205</v>
      </c>
      <c r="AK80" s="331" t="s">
        <v>616</v>
      </c>
      <c r="AL80" s="330">
        <v>0</v>
      </c>
      <c r="AM80" s="330" t="s">
        <v>616</v>
      </c>
      <c r="AN80" s="330">
        <v>0.10665418032360438</v>
      </c>
      <c r="AO80" s="331" t="s">
        <v>616</v>
      </c>
      <c r="AP80" s="330">
        <v>0.31651186179968055</v>
      </c>
      <c r="AQ80" s="331" t="s">
        <v>616</v>
      </c>
      <c r="AR80" s="330">
        <v>0.48656135449128973</v>
      </c>
      <c r="AS80" s="331" t="s">
        <v>616</v>
      </c>
      <c r="AT80" s="330">
        <v>0.4699597524446264</v>
      </c>
      <c r="AU80" s="331" t="s">
        <v>616</v>
      </c>
      <c r="AV80" s="330">
        <v>0.33668948852194924</v>
      </c>
      <c r="AW80" s="331" t="s">
        <v>616</v>
      </c>
      <c r="AX80" s="330">
        <v>0.1264044943820225</v>
      </c>
      <c r="AY80" s="331" t="s">
        <v>616</v>
      </c>
      <c r="AZ80" s="330">
        <v>0.12546716497597438</v>
      </c>
      <c r="BA80" s="331" t="s">
        <v>616</v>
      </c>
      <c r="BB80" s="330">
        <v>0.12482306009522584</v>
      </c>
      <c r="BC80" s="331" t="s">
        <v>616</v>
      </c>
      <c r="BD80" s="330">
        <v>0.12422360248447205</v>
      </c>
      <c r="BE80" s="331" t="s">
        <v>616</v>
      </c>
      <c r="BF80" s="330">
        <v>6.5178425941013515E-2</v>
      </c>
      <c r="BG80" s="331" t="s">
        <v>616</v>
      </c>
      <c r="BH80" s="330">
        <v>2.6867275658248254E-2</v>
      </c>
      <c r="BI80" s="331" t="s">
        <v>616</v>
      </c>
      <c r="BJ80" s="330">
        <v>0</v>
      </c>
      <c r="BK80" s="331" t="s">
        <v>616</v>
      </c>
      <c r="BL80" s="332">
        <v>0</v>
      </c>
      <c r="BM80" s="320" t="s">
        <v>616</v>
      </c>
      <c r="BN80" s="321">
        <v>0.4</v>
      </c>
      <c r="BO80" s="320" t="s">
        <v>616</v>
      </c>
      <c r="BP80" s="321">
        <v>0.1</v>
      </c>
      <c r="BQ80" s="320" t="s">
        <v>616</v>
      </c>
      <c r="BR80" s="321">
        <v>0.5</v>
      </c>
      <c r="BS80" s="320" t="s">
        <v>616</v>
      </c>
      <c r="BT80" s="321">
        <v>0.5</v>
      </c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  <c r="EJ80" s="20"/>
      <c r="EK80" s="20"/>
      <c r="EL80" s="20"/>
      <c r="EM80" s="20"/>
      <c r="EN80" s="20"/>
      <c r="EO80" s="20"/>
      <c r="EP80" s="20"/>
      <c r="EQ80" s="20"/>
      <c r="ER80" s="20"/>
      <c r="ES80" s="20"/>
      <c r="ET80" s="20"/>
      <c r="EU80" s="20"/>
      <c r="EV80" s="20"/>
      <c r="EW80" s="20"/>
      <c r="EX80" s="20"/>
      <c r="EY80" s="20"/>
      <c r="EZ80" s="20"/>
      <c r="FA80" s="20"/>
      <c r="FB80" s="20"/>
      <c r="FC80" s="20"/>
      <c r="FD80" s="20"/>
      <c r="FE80" s="20"/>
      <c r="FF80" s="20"/>
      <c r="FG80" s="20"/>
      <c r="FH80" s="20"/>
      <c r="FI80" s="20"/>
      <c r="FJ80" s="20"/>
      <c r="FK80" s="20"/>
      <c r="FL80" s="20"/>
      <c r="FM80" s="20"/>
      <c r="FN80" s="20"/>
      <c r="FO80" s="20"/>
      <c r="FP80" s="20"/>
      <c r="FQ80" s="20"/>
      <c r="FR80" s="20"/>
      <c r="FS80" s="20"/>
      <c r="FT80" s="20"/>
      <c r="FU80" s="20"/>
      <c r="FV80" s="20"/>
      <c r="FW80" s="20"/>
      <c r="FX80" s="20"/>
      <c r="FY80" s="20"/>
      <c r="FZ80" s="20"/>
      <c r="GA80" s="20"/>
      <c r="GB80" s="20"/>
      <c r="GC80" s="20"/>
      <c r="GD80" s="20"/>
      <c r="GE80" s="20"/>
      <c r="GF80" s="20"/>
      <c r="GG80" s="20"/>
      <c r="GH80" s="20"/>
      <c r="GI80" s="20"/>
      <c r="GJ80" s="20"/>
      <c r="GK80" s="20"/>
      <c r="GL80" s="20"/>
      <c r="GM80" s="20"/>
      <c r="GN80" s="20"/>
      <c r="GO80" s="20"/>
      <c r="GP80" s="20"/>
      <c r="GQ80" s="20"/>
      <c r="GR80" s="20"/>
      <c r="GS80" s="20"/>
      <c r="GT80" s="20"/>
      <c r="GU80" s="20"/>
      <c r="GV80" s="20"/>
      <c r="GW80" s="20"/>
      <c r="GX80" s="20"/>
      <c r="GY80" s="20"/>
      <c r="GZ80" s="20"/>
      <c r="HA80" s="20"/>
      <c r="HB80" s="20"/>
      <c r="HC80" s="20"/>
      <c r="HD80" s="20"/>
      <c r="HE80" s="20"/>
      <c r="HF80" s="20"/>
      <c r="HG80" s="20"/>
      <c r="HH80" s="20"/>
      <c r="HI80" s="20"/>
      <c r="HJ80" s="20"/>
      <c r="HK80" s="20"/>
      <c r="HL80" s="20"/>
      <c r="HM80" s="20"/>
      <c r="HN80" s="20"/>
      <c r="HO80" s="20"/>
      <c r="HP80" s="20"/>
      <c r="HQ80" s="20"/>
      <c r="HR80" s="20"/>
      <c r="HS80" s="20"/>
      <c r="HT80" s="20"/>
      <c r="HU80" s="20"/>
      <c r="HV80" s="20"/>
      <c r="HW80" s="20"/>
      <c r="HX80" s="20"/>
      <c r="HY80" s="20"/>
      <c r="HZ80" s="20"/>
      <c r="IA80" s="20"/>
      <c r="IB80" s="20"/>
      <c r="IC80" s="20"/>
      <c r="ID80" s="20"/>
      <c r="IE80" s="20"/>
      <c r="IF80" s="20"/>
      <c r="IG80" s="20"/>
      <c r="IH80" s="20"/>
      <c r="II80" s="20"/>
      <c r="IJ80" s="20"/>
      <c r="IK80" s="20"/>
      <c r="IL80" s="20"/>
      <c r="IM80" s="20"/>
      <c r="IN80" s="20"/>
      <c r="IO80" s="20"/>
      <c r="IP80" s="20"/>
      <c r="IQ80" s="20"/>
      <c r="IR80" s="20"/>
      <c r="IS80" s="20"/>
      <c r="IT80" s="20"/>
      <c r="IU80" s="20"/>
      <c r="IV80" s="20"/>
      <c r="IW80" s="20"/>
      <c r="IX80" s="20"/>
      <c r="IY80" s="20"/>
      <c r="IZ80" s="20"/>
      <c r="JA80" s="20"/>
      <c r="JB80" s="20"/>
      <c r="JC80" s="20"/>
      <c r="JD80" s="20"/>
      <c r="JE80" s="20"/>
      <c r="JF80" s="20"/>
      <c r="JG80" s="20"/>
      <c r="JH80" s="20"/>
      <c r="JI80" s="20"/>
      <c r="JJ80" s="20"/>
      <c r="JK80" s="20"/>
      <c r="JL80" s="20"/>
      <c r="JM80" s="20"/>
      <c r="JN80" s="20"/>
      <c r="JO80" s="20"/>
      <c r="JP80" s="20"/>
      <c r="JQ80" s="20"/>
      <c r="JR80" s="20"/>
      <c r="JS80" s="20"/>
      <c r="JT80" s="20"/>
      <c r="JU80" s="20"/>
      <c r="JV80" s="20"/>
      <c r="JW80" s="20"/>
      <c r="JX80" s="20"/>
      <c r="JY80" s="20"/>
      <c r="JZ80" s="20"/>
      <c r="KA80" s="20"/>
      <c r="KB80" s="20"/>
      <c r="KC80" s="20"/>
      <c r="KD80" s="188"/>
      <c r="KE80" s="20"/>
      <c r="KF80" s="20"/>
      <c r="KG80" s="20"/>
      <c r="KH80" s="20"/>
      <c r="KI80" s="12"/>
      <c r="KJ80" s="12"/>
      <c r="KK80" s="12"/>
      <c r="KL80" s="12"/>
      <c r="KM80" s="12"/>
      <c r="KN80" s="12"/>
      <c r="KO80" s="12"/>
      <c r="KP80" s="12"/>
      <c r="KQ80" s="12"/>
      <c r="KR80" s="12"/>
      <c r="KS80" s="12"/>
      <c r="KT80" s="12"/>
      <c r="KU80" s="12"/>
      <c r="KV80" s="12"/>
      <c r="KW80" s="12"/>
      <c r="KX80" s="12"/>
    </row>
    <row r="81" spans="1:310" s="39" customFormat="1" x14ac:dyDescent="0.2">
      <c r="A81" s="138">
        <v>0</v>
      </c>
      <c r="B81" s="326" t="s">
        <v>637</v>
      </c>
      <c r="C81" s="50" t="str">
        <f t="shared" si="23"/>
        <v>PC_B</v>
      </c>
      <c r="D81" s="319">
        <f t="shared" si="24"/>
        <v>0</v>
      </c>
      <c r="E81" s="50" t="str">
        <f t="shared" si="22"/>
        <v>PC_B</v>
      </c>
      <c r="F81" s="319">
        <f t="shared" si="22"/>
        <v>0</v>
      </c>
      <c r="G81" s="50" t="str">
        <f t="shared" si="22"/>
        <v>PC_B</v>
      </c>
      <c r="H81" s="319">
        <f t="shared" si="22"/>
        <v>0</v>
      </c>
      <c r="I81" s="50" t="str">
        <f t="shared" si="22"/>
        <v>PC_B</v>
      </c>
      <c r="J81" s="319">
        <f t="shared" si="22"/>
        <v>0</v>
      </c>
      <c r="K81" s="50" t="str">
        <f t="shared" si="22"/>
        <v>PC_B</v>
      </c>
      <c r="L81" s="319">
        <f t="shared" si="22"/>
        <v>0</v>
      </c>
      <c r="M81" s="50" t="str">
        <f t="shared" si="22"/>
        <v>PC_B</v>
      </c>
      <c r="N81" s="319">
        <f t="shared" si="22"/>
        <v>0</v>
      </c>
      <c r="O81" s="50" t="str">
        <f t="shared" si="22"/>
        <v>PC_B</v>
      </c>
      <c r="P81" s="319">
        <f t="shared" si="22"/>
        <v>0</v>
      </c>
      <c r="Q81" s="50" t="str">
        <f t="shared" si="22"/>
        <v>PC_B</v>
      </c>
      <c r="R81" s="319">
        <f t="shared" si="22"/>
        <v>0</v>
      </c>
      <c r="S81" s="50" t="str">
        <f t="shared" si="22"/>
        <v>PC_B</v>
      </c>
      <c r="T81" s="319">
        <f t="shared" si="22"/>
        <v>0</v>
      </c>
      <c r="U81" s="329" t="s">
        <v>623</v>
      </c>
      <c r="V81" s="330">
        <v>0</v>
      </c>
      <c r="W81" s="331" t="s">
        <v>623</v>
      </c>
      <c r="X81" s="330">
        <v>0</v>
      </c>
      <c r="Y81" s="331" t="s">
        <v>623</v>
      </c>
      <c r="Z81" s="330">
        <v>0</v>
      </c>
      <c r="AA81" s="331" t="s">
        <v>623</v>
      </c>
      <c r="AB81" s="330">
        <v>0</v>
      </c>
      <c r="AC81" s="331" t="s">
        <v>623</v>
      </c>
      <c r="AD81" s="330">
        <v>0</v>
      </c>
      <c r="AE81" s="331" t="s">
        <v>623</v>
      </c>
      <c r="AF81" s="330">
        <v>0</v>
      </c>
      <c r="AG81" s="331" t="s">
        <v>623</v>
      </c>
      <c r="AH81" s="330">
        <v>0</v>
      </c>
      <c r="AI81" s="331" t="s">
        <v>623</v>
      </c>
      <c r="AJ81" s="330">
        <v>0</v>
      </c>
      <c r="AK81" s="331" t="s">
        <v>623</v>
      </c>
      <c r="AL81" s="330">
        <v>0</v>
      </c>
      <c r="AM81" s="330" t="s">
        <v>623</v>
      </c>
      <c r="AN81" s="330">
        <v>0</v>
      </c>
      <c r="AO81" s="331" t="s">
        <v>623</v>
      </c>
      <c r="AP81" s="330">
        <v>0</v>
      </c>
      <c r="AQ81" s="331" t="s">
        <v>623</v>
      </c>
      <c r="AR81" s="330">
        <v>0</v>
      </c>
      <c r="AS81" s="331" t="s">
        <v>623</v>
      </c>
      <c r="AT81" s="330">
        <v>0</v>
      </c>
      <c r="AU81" s="331" t="s">
        <v>623</v>
      </c>
      <c r="AV81" s="330">
        <v>0</v>
      </c>
      <c r="AW81" s="331" t="s">
        <v>623</v>
      </c>
      <c r="AX81" s="330">
        <v>0</v>
      </c>
      <c r="AY81" s="331" t="s">
        <v>623</v>
      </c>
      <c r="AZ81" s="330">
        <v>0</v>
      </c>
      <c r="BA81" s="331" t="s">
        <v>623</v>
      </c>
      <c r="BB81" s="330">
        <v>0</v>
      </c>
      <c r="BC81" s="331" t="s">
        <v>623</v>
      </c>
      <c r="BD81" s="330">
        <v>0</v>
      </c>
      <c r="BE81" s="331" t="s">
        <v>623</v>
      </c>
      <c r="BF81" s="330">
        <v>0</v>
      </c>
      <c r="BG81" s="331" t="s">
        <v>623</v>
      </c>
      <c r="BH81" s="330">
        <v>0</v>
      </c>
      <c r="BI81" s="331" t="s">
        <v>623</v>
      </c>
      <c r="BJ81" s="330">
        <v>0</v>
      </c>
      <c r="BK81" s="331" t="s">
        <v>623</v>
      </c>
      <c r="BL81" s="332">
        <v>0</v>
      </c>
      <c r="BM81" s="320" t="s">
        <v>623</v>
      </c>
      <c r="BN81" s="321">
        <v>0</v>
      </c>
      <c r="BO81" s="320" t="s">
        <v>623</v>
      </c>
      <c r="BP81" s="321">
        <v>0</v>
      </c>
      <c r="BQ81" s="320" t="s">
        <v>623</v>
      </c>
      <c r="BR81" s="321">
        <v>0</v>
      </c>
      <c r="BS81" s="320" t="s">
        <v>623</v>
      </c>
      <c r="BT81" s="321">
        <v>0</v>
      </c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20"/>
      <c r="DT81" s="20"/>
      <c r="DU81" s="20"/>
      <c r="DV81" s="20"/>
      <c r="DW81" s="20"/>
      <c r="DX81" s="20"/>
      <c r="DY81" s="20"/>
      <c r="DZ81" s="20"/>
      <c r="EA81" s="20"/>
      <c r="EB81" s="20"/>
      <c r="EC81" s="20"/>
      <c r="ED81" s="20"/>
      <c r="EE81" s="20"/>
      <c r="EF81" s="20"/>
      <c r="EG81" s="20"/>
      <c r="EH81" s="20"/>
      <c r="EI81" s="20"/>
      <c r="EJ81" s="20"/>
      <c r="EK81" s="20"/>
      <c r="EL81" s="20"/>
      <c r="EM81" s="20"/>
      <c r="EN81" s="20"/>
      <c r="EO81" s="20"/>
      <c r="EP81" s="20"/>
      <c r="EQ81" s="20"/>
      <c r="ER81" s="20"/>
      <c r="ES81" s="20"/>
      <c r="ET81" s="20"/>
      <c r="EU81" s="20"/>
      <c r="EV81" s="20"/>
      <c r="EW81" s="20"/>
      <c r="EX81" s="20"/>
      <c r="EY81" s="20"/>
      <c r="EZ81" s="20"/>
      <c r="FA81" s="20"/>
      <c r="FB81" s="20"/>
      <c r="FC81" s="20"/>
      <c r="FD81" s="20"/>
      <c r="FE81" s="20"/>
      <c r="FF81" s="20"/>
      <c r="FG81" s="20"/>
      <c r="FH81" s="20"/>
      <c r="FI81" s="20"/>
      <c r="FJ81" s="20"/>
      <c r="FK81" s="20"/>
      <c r="FL81" s="20"/>
      <c r="FM81" s="20"/>
      <c r="FN81" s="20"/>
      <c r="FO81" s="20"/>
      <c r="FP81" s="20"/>
      <c r="FQ81" s="20"/>
      <c r="FR81" s="20"/>
      <c r="FS81" s="20"/>
      <c r="FT81" s="20"/>
      <c r="FU81" s="20"/>
      <c r="FV81" s="20"/>
      <c r="FW81" s="20"/>
      <c r="FX81" s="20"/>
      <c r="FY81" s="20"/>
      <c r="FZ81" s="20"/>
      <c r="GA81" s="20"/>
      <c r="GB81" s="20"/>
      <c r="GC81" s="20"/>
      <c r="GD81" s="20"/>
      <c r="GE81" s="20"/>
      <c r="GF81" s="20"/>
      <c r="GG81" s="20"/>
      <c r="GH81" s="20"/>
      <c r="GI81" s="20"/>
      <c r="GJ81" s="20"/>
      <c r="GK81" s="20"/>
      <c r="GL81" s="20"/>
      <c r="GM81" s="20"/>
      <c r="GN81" s="20"/>
      <c r="GO81" s="20"/>
      <c r="GP81" s="20"/>
      <c r="GQ81" s="20"/>
      <c r="GR81" s="20"/>
      <c r="GS81" s="20"/>
      <c r="GT81" s="20"/>
      <c r="GU81" s="20"/>
      <c r="GV81" s="20"/>
      <c r="GW81" s="20"/>
      <c r="GX81" s="20"/>
      <c r="GY81" s="20"/>
      <c r="GZ81" s="20"/>
      <c r="HA81" s="20"/>
      <c r="HB81" s="20"/>
      <c r="HC81" s="20"/>
      <c r="HD81" s="20"/>
      <c r="HE81" s="20"/>
      <c r="HF81" s="20"/>
      <c r="HG81" s="20"/>
      <c r="HH81" s="20"/>
      <c r="HI81" s="20"/>
      <c r="HJ81" s="20"/>
      <c r="HK81" s="20"/>
      <c r="HL81" s="20"/>
      <c r="HM81" s="20"/>
      <c r="HN81" s="20"/>
      <c r="HO81" s="20"/>
      <c r="HP81" s="20"/>
      <c r="HQ81" s="20"/>
      <c r="HR81" s="20"/>
      <c r="HS81" s="20"/>
      <c r="HT81" s="20"/>
      <c r="HU81" s="20"/>
      <c r="HV81" s="20"/>
      <c r="HW81" s="20"/>
      <c r="HX81" s="20"/>
      <c r="HY81" s="20"/>
      <c r="HZ81" s="20"/>
      <c r="IA81" s="20"/>
      <c r="IB81" s="20"/>
      <c r="IC81" s="20"/>
      <c r="ID81" s="20"/>
      <c r="IE81" s="20"/>
      <c r="IF81" s="20"/>
      <c r="IG81" s="20"/>
      <c r="IH81" s="20"/>
      <c r="II81" s="20"/>
      <c r="IJ81" s="20"/>
      <c r="IK81" s="20"/>
      <c r="IL81" s="20"/>
      <c r="IM81" s="20"/>
      <c r="IN81" s="20"/>
      <c r="IO81" s="20"/>
      <c r="IP81" s="20"/>
      <c r="IQ81" s="20"/>
      <c r="IR81" s="20"/>
      <c r="IS81" s="20"/>
      <c r="IT81" s="20"/>
      <c r="IU81" s="20"/>
      <c r="IV81" s="20"/>
      <c r="IW81" s="20"/>
      <c r="IX81" s="20"/>
      <c r="IY81" s="20"/>
      <c r="IZ81" s="20"/>
      <c r="JA81" s="20"/>
      <c r="JB81" s="20"/>
      <c r="JC81" s="20"/>
      <c r="JD81" s="20"/>
      <c r="JE81" s="20"/>
      <c r="JF81" s="20"/>
      <c r="JG81" s="20"/>
      <c r="JH81" s="20"/>
      <c r="JI81" s="20"/>
      <c r="JJ81" s="20"/>
      <c r="JK81" s="20"/>
      <c r="JL81" s="20"/>
      <c r="JM81" s="20"/>
      <c r="JN81" s="20"/>
      <c r="JO81" s="20"/>
      <c r="JP81" s="20"/>
      <c r="JQ81" s="20"/>
      <c r="JR81" s="20"/>
      <c r="JS81" s="20"/>
      <c r="JT81" s="20"/>
      <c r="JU81" s="20"/>
      <c r="JV81" s="20"/>
      <c r="JW81" s="20"/>
      <c r="JX81" s="20"/>
      <c r="JY81" s="20"/>
      <c r="JZ81" s="20"/>
      <c r="KA81" s="20"/>
      <c r="KB81" s="20"/>
      <c r="KC81" s="20"/>
      <c r="KD81" s="188"/>
      <c r="KE81" s="20"/>
      <c r="KF81" s="20"/>
      <c r="KG81" s="20"/>
      <c r="KH81" s="20"/>
      <c r="KI81" s="12"/>
      <c r="KJ81" s="12"/>
      <c r="KK81" s="12"/>
      <c r="KL81" s="12"/>
      <c r="KM81" s="12"/>
      <c r="KN81" s="12"/>
      <c r="KO81" s="12"/>
      <c r="KP81" s="12"/>
      <c r="KQ81" s="12"/>
      <c r="KR81" s="12"/>
      <c r="KS81" s="12"/>
      <c r="KT81" s="12"/>
      <c r="KU81" s="12"/>
      <c r="KV81" s="12"/>
      <c r="KW81" s="12"/>
      <c r="KX81" s="12"/>
    </row>
    <row r="82" spans="1:310" s="39" customFormat="1" x14ac:dyDescent="0.2">
      <c r="A82" s="138">
        <v>0</v>
      </c>
      <c r="B82" s="326" t="s">
        <v>638</v>
      </c>
      <c r="C82" s="50" t="str">
        <f t="shared" si="23"/>
        <v>PC_BB</v>
      </c>
      <c r="D82" s="319">
        <f t="shared" si="24"/>
        <v>0</v>
      </c>
      <c r="E82" s="50" t="str">
        <f t="shared" si="22"/>
        <v>PC_BB</v>
      </c>
      <c r="F82" s="319">
        <f t="shared" si="22"/>
        <v>0</v>
      </c>
      <c r="G82" s="50" t="str">
        <f t="shared" si="22"/>
        <v>PC_BB</v>
      </c>
      <c r="H82" s="319">
        <f t="shared" si="22"/>
        <v>0</v>
      </c>
      <c r="I82" s="50" t="str">
        <f t="shared" si="22"/>
        <v>PC_BB</v>
      </c>
      <c r="J82" s="319">
        <f t="shared" si="22"/>
        <v>0</v>
      </c>
      <c r="K82" s="50" t="str">
        <f t="shared" si="22"/>
        <v>PC_BB</v>
      </c>
      <c r="L82" s="319">
        <f t="shared" si="22"/>
        <v>0</v>
      </c>
      <c r="M82" s="50" t="str">
        <f t="shared" si="22"/>
        <v>PC_BB</v>
      </c>
      <c r="N82" s="319">
        <f t="shared" si="22"/>
        <v>0</v>
      </c>
      <c r="O82" s="50" t="str">
        <f t="shared" si="22"/>
        <v>PC_BB</v>
      </c>
      <c r="P82" s="319">
        <f t="shared" si="22"/>
        <v>0</v>
      </c>
      <c r="Q82" s="50" t="str">
        <f t="shared" si="22"/>
        <v>PC_BB</v>
      </c>
      <c r="R82" s="319">
        <f t="shared" si="22"/>
        <v>0</v>
      </c>
      <c r="S82" s="50" t="str">
        <f t="shared" si="22"/>
        <v>PC_BB</v>
      </c>
      <c r="T82" s="319">
        <f t="shared" si="22"/>
        <v>0</v>
      </c>
      <c r="U82" s="329" t="s">
        <v>622</v>
      </c>
      <c r="V82" s="330">
        <v>0</v>
      </c>
      <c r="W82" s="331" t="s">
        <v>622</v>
      </c>
      <c r="X82" s="330">
        <v>0</v>
      </c>
      <c r="Y82" s="331" t="s">
        <v>622</v>
      </c>
      <c r="Z82" s="330">
        <v>0</v>
      </c>
      <c r="AA82" s="331" t="s">
        <v>622</v>
      </c>
      <c r="AB82" s="330">
        <v>0</v>
      </c>
      <c r="AC82" s="331" t="s">
        <v>622</v>
      </c>
      <c r="AD82" s="330">
        <v>0</v>
      </c>
      <c r="AE82" s="331" t="s">
        <v>622</v>
      </c>
      <c r="AF82" s="330">
        <v>0</v>
      </c>
      <c r="AG82" s="331" t="s">
        <v>622</v>
      </c>
      <c r="AH82" s="330">
        <v>0</v>
      </c>
      <c r="AI82" s="331" t="s">
        <v>622</v>
      </c>
      <c r="AJ82" s="330">
        <v>0</v>
      </c>
      <c r="AK82" s="331" t="s">
        <v>622</v>
      </c>
      <c r="AL82" s="330">
        <v>0</v>
      </c>
      <c r="AM82" s="330" t="s">
        <v>622</v>
      </c>
      <c r="AN82" s="330">
        <v>0</v>
      </c>
      <c r="AO82" s="331" t="s">
        <v>622</v>
      </c>
      <c r="AP82" s="330">
        <v>0</v>
      </c>
      <c r="AQ82" s="331" t="s">
        <v>622</v>
      </c>
      <c r="AR82" s="330">
        <v>0</v>
      </c>
      <c r="AS82" s="331" t="s">
        <v>622</v>
      </c>
      <c r="AT82" s="330">
        <v>0</v>
      </c>
      <c r="AU82" s="331" t="s">
        <v>622</v>
      </c>
      <c r="AV82" s="330">
        <v>0</v>
      </c>
      <c r="AW82" s="331" t="s">
        <v>622</v>
      </c>
      <c r="AX82" s="330">
        <v>0</v>
      </c>
      <c r="AY82" s="331" t="s">
        <v>622</v>
      </c>
      <c r="AZ82" s="330">
        <v>0</v>
      </c>
      <c r="BA82" s="331" t="s">
        <v>622</v>
      </c>
      <c r="BB82" s="330">
        <v>0</v>
      </c>
      <c r="BC82" s="331" t="s">
        <v>622</v>
      </c>
      <c r="BD82" s="330">
        <v>0</v>
      </c>
      <c r="BE82" s="331" t="s">
        <v>622</v>
      </c>
      <c r="BF82" s="330">
        <v>0</v>
      </c>
      <c r="BG82" s="331" t="s">
        <v>622</v>
      </c>
      <c r="BH82" s="330">
        <v>0</v>
      </c>
      <c r="BI82" s="331" t="s">
        <v>622</v>
      </c>
      <c r="BJ82" s="330">
        <v>0</v>
      </c>
      <c r="BK82" s="331" t="s">
        <v>622</v>
      </c>
      <c r="BL82" s="332">
        <v>0</v>
      </c>
      <c r="BM82" s="320" t="s">
        <v>622</v>
      </c>
      <c r="BN82" s="321">
        <v>0</v>
      </c>
      <c r="BO82" s="320" t="s">
        <v>622</v>
      </c>
      <c r="BP82" s="321">
        <v>0</v>
      </c>
      <c r="BQ82" s="320" t="s">
        <v>622</v>
      </c>
      <c r="BR82" s="321">
        <v>0</v>
      </c>
      <c r="BS82" s="320" t="s">
        <v>622</v>
      </c>
      <c r="BT82" s="321">
        <v>0</v>
      </c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  <c r="EJ82" s="20"/>
      <c r="EK82" s="20"/>
      <c r="EL82" s="20"/>
      <c r="EM82" s="20"/>
      <c r="EN82" s="20"/>
      <c r="EO82" s="20"/>
      <c r="EP82" s="20"/>
      <c r="EQ82" s="20"/>
      <c r="ER82" s="20"/>
      <c r="ES82" s="20"/>
      <c r="ET82" s="20"/>
      <c r="EU82" s="20"/>
      <c r="EV82" s="20"/>
      <c r="EW82" s="20"/>
      <c r="EX82" s="20"/>
      <c r="EY82" s="20"/>
      <c r="EZ82" s="20"/>
      <c r="FA82" s="20"/>
      <c r="FB82" s="20"/>
      <c r="FC82" s="20"/>
      <c r="FD82" s="20"/>
      <c r="FE82" s="20"/>
      <c r="FF82" s="20"/>
      <c r="FG82" s="20"/>
      <c r="FH82" s="20"/>
      <c r="FI82" s="20"/>
      <c r="FJ82" s="20"/>
      <c r="FK82" s="20"/>
      <c r="FL82" s="20"/>
      <c r="FM82" s="20"/>
      <c r="FN82" s="20"/>
      <c r="FO82" s="20"/>
      <c r="FP82" s="20"/>
      <c r="FQ82" s="20"/>
      <c r="FR82" s="20"/>
      <c r="FS82" s="20"/>
      <c r="FT82" s="20"/>
      <c r="FU82" s="20"/>
      <c r="FV82" s="20"/>
      <c r="FW82" s="20"/>
      <c r="FX82" s="20"/>
      <c r="FY82" s="20"/>
      <c r="FZ82" s="20"/>
      <c r="GA82" s="20"/>
      <c r="GB82" s="20"/>
      <c r="GC82" s="20"/>
      <c r="GD82" s="20"/>
      <c r="GE82" s="20"/>
      <c r="GF82" s="20"/>
      <c r="GG82" s="20"/>
      <c r="GH82" s="20"/>
      <c r="GI82" s="20"/>
      <c r="GJ82" s="20"/>
      <c r="GK82" s="20"/>
      <c r="GL82" s="20"/>
      <c r="GM82" s="20"/>
      <c r="GN82" s="20"/>
      <c r="GO82" s="20"/>
      <c r="GP82" s="20"/>
      <c r="GQ82" s="20"/>
      <c r="GR82" s="20"/>
      <c r="GS82" s="20"/>
      <c r="GT82" s="20"/>
      <c r="GU82" s="20"/>
      <c r="GV82" s="20"/>
      <c r="GW82" s="20"/>
      <c r="GX82" s="20"/>
      <c r="GY82" s="20"/>
      <c r="GZ82" s="20"/>
      <c r="HA82" s="20"/>
      <c r="HB82" s="20"/>
      <c r="HC82" s="20"/>
      <c r="HD82" s="20"/>
      <c r="HE82" s="20"/>
      <c r="HF82" s="20"/>
      <c r="HG82" s="20"/>
      <c r="HH82" s="20"/>
      <c r="HI82" s="20"/>
      <c r="HJ82" s="20"/>
      <c r="HK82" s="20"/>
      <c r="HL82" s="20"/>
      <c r="HM82" s="20"/>
      <c r="HN82" s="20"/>
      <c r="HO82" s="20"/>
      <c r="HP82" s="20"/>
      <c r="HQ82" s="20"/>
      <c r="HR82" s="20"/>
      <c r="HS82" s="20"/>
      <c r="HT82" s="20"/>
      <c r="HU82" s="20"/>
      <c r="HV82" s="20"/>
      <c r="HW82" s="20"/>
      <c r="HX82" s="20"/>
      <c r="HY82" s="20"/>
      <c r="HZ82" s="20"/>
      <c r="IA82" s="20"/>
      <c r="IB82" s="20"/>
      <c r="IC82" s="20"/>
      <c r="ID82" s="20"/>
      <c r="IE82" s="20"/>
      <c r="IF82" s="20"/>
      <c r="IG82" s="20"/>
      <c r="IH82" s="20"/>
      <c r="II82" s="20"/>
      <c r="IJ82" s="20"/>
      <c r="IK82" s="20"/>
      <c r="IL82" s="20"/>
      <c r="IM82" s="20"/>
      <c r="IN82" s="20"/>
      <c r="IO82" s="20"/>
      <c r="IP82" s="20"/>
      <c r="IQ82" s="20"/>
      <c r="IR82" s="20"/>
      <c r="IS82" s="20"/>
      <c r="IT82" s="20"/>
      <c r="IU82" s="20"/>
      <c r="IV82" s="20"/>
      <c r="IW82" s="20"/>
      <c r="IX82" s="20"/>
      <c r="IY82" s="20"/>
      <c r="IZ82" s="20"/>
      <c r="JA82" s="20"/>
      <c r="JB82" s="20"/>
      <c r="JC82" s="20"/>
      <c r="JD82" s="20"/>
      <c r="JE82" s="20"/>
      <c r="JF82" s="20"/>
      <c r="JG82" s="20"/>
      <c r="JH82" s="20"/>
      <c r="JI82" s="20"/>
      <c r="JJ82" s="20"/>
      <c r="JK82" s="20"/>
      <c r="JL82" s="20"/>
      <c r="JM82" s="20"/>
      <c r="JN82" s="20"/>
      <c r="JO82" s="20"/>
      <c r="JP82" s="20"/>
      <c r="JQ82" s="20"/>
      <c r="JR82" s="20"/>
      <c r="JS82" s="20"/>
      <c r="JT82" s="20"/>
      <c r="JU82" s="20"/>
      <c r="JV82" s="20"/>
      <c r="JW82" s="20"/>
      <c r="JX82" s="20"/>
      <c r="JY82" s="20"/>
      <c r="JZ82" s="20"/>
      <c r="KA82" s="20"/>
      <c r="KB82" s="20"/>
      <c r="KC82" s="20"/>
      <c r="KD82" s="188"/>
      <c r="KE82" s="20"/>
      <c r="KF82" s="20"/>
      <c r="KG82" s="20"/>
      <c r="KH82" s="20"/>
      <c r="KI82" s="12"/>
      <c r="KJ82" s="12"/>
      <c r="KK82" s="12"/>
      <c r="KL82" s="12"/>
      <c r="KM82" s="12"/>
      <c r="KN82" s="12"/>
      <c r="KO82" s="12"/>
      <c r="KP82" s="12"/>
      <c r="KQ82" s="12"/>
      <c r="KR82" s="12"/>
      <c r="KS82" s="12"/>
      <c r="KT82" s="12"/>
      <c r="KU82" s="12"/>
      <c r="KV82" s="12"/>
      <c r="KW82" s="12"/>
      <c r="KX82" s="12"/>
    </row>
    <row r="83" spans="1:310" s="39" customFormat="1" x14ac:dyDescent="0.2">
      <c r="A83" s="138">
        <v>0</v>
      </c>
      <c r="B83" s="326" t="s">
        <v>639</v>
      </c>
      <c r="C83" s="50" t="str">
        <f t="shared" si="23"/>
        <v>PC_BBB</v>
      </c>
      <c r="D83" s="319">
        <f t="shared" si="24"/>
        <v>0</v>
      </c>
      <c r="E83" s="50" t="str">
        <f t="shared" si="22"/>
        <v>PC_BBB</v>
      </c>
      <c r="F83" s="319">
        <f t="shared" si="22"/>
        <v>0</v>
      </c>
      <c r="G83" s="50" t="str">
        <f t="shared" si="22"/>
        <v>PC_BBB</v>
      </c>
      <c r="H83" s="319">
        <f t="shared" si="22"/>
        <v>0.26217228464419479</v>
      </c>
      <c r="I83" s="50" t="str">
        <f t="shared" si="22"/>
        <v>PC_BBB</v>
      </c>
      <c r="J83" s="319">
        <f t="shared" si="22"/>
        <v>0.41793313069908816</v>
      </c>
      <c r="K83" s="50" t="str">
        <f t="shared" si="22"/>
        <v>PC_BBB</v>
      </c>
      <c r="L83" s="319">
        <f t="shared" si="22"/>
        <v>0.13953488372093023</v>
      </c>
      <c r="M83" s="50" t="str">
        <f t="shared" si="22"/>
        <v>PC_BBB</v>
      </c>
      <c r="N83" s="319">
        <f t="shared" si="22"/>
        <v>0.12932832707551103</v>
      </c>
      <c r="O83" s="50" t="str">
        <f t="shared" si="22"/>
        <v>PC_BBB</v>
      </c>
      <c r="P83" s="319">
        <f t="shared" si="22"/>
        <v>0</v>
      </c>
      <c r="Q83" s="50" t="str">
        <f t="shared" si="22"/>
        <v>PC_BBB</v>
      </c>
      <c r="R83" s="319">
        <f t="shared" si="22"/>
        <v>0</v>
      </c>
      <c r="S83" s="50" t="str">
        <f t="shared" si="22"/>
        <v>PC_BBB</v>
      </c>
      <c r="T83" s="319">
        <f t="shared" ref="T83:T101" si="25">AL83</f>
        <v>0</v>
      </c>
      <c r="U83" s="329" t="s">
        <v>617</v>
      </c>
      <c r="V83" s="330">
        <v>0</v>
      </c>
      <c r="W83" s="331" t="s">
        <v>617</v>
      </c>
      <c r="X83" s="330">
        <v>0</v>
      </c>
      <c r="Y83" s="331" t="s">
        <v>617</v>
      </c>
      <c r="Z83" s="330">
        <v>0.26217228464419479</v>
      </c>
      <c r="AA83" s="331" t="s">
        <v>617</v>
      </c>
      <c r="AB83" s="330">
        <v>0.41793313069908816</v>
      </c>
      <c r="AC83" s="331" t="s">
        <v>617</v>
      </c>
      <c r="AD83" s="330">
        <v>0.13953488372093023</v>
      </c>
      <c r="AE83" s="331" t="s">
        <v>617</v>
      </c>
      <c r="AF83" s="330">
        <v>0.12932832707551103</v>
      </c>
      <c r="AG83" s="331" t="s">
        <v>617</v>
      </c>
      <c r="AH83" s="330">
        <v>0</v>
      </c>
      <c r="AI83" s="331" t="s">
        <v>617</v>
      </c>
      <c r="AJ83" s="330">
        <v>0</v>
      </c>
      <c r="AK83" s="331" t="s">
        <v>617</v>
      </c>
      <c r="AL83" s="330">
        <v>0</v>
      </c>
      <c r="AM83" s="330" t="s">
        <v>617</v>
      </c>
      <c r="AN83" s="330">
        <v>4.7554347826086953E-2</v>
      </c>
      <c r="AO83" s="331" t="s">
        <v>617</v>
      </c>
      <c r="AP83" s="330">
        <v>0.15373352855051245</v>
      </c>
      <c r="AQ83" s="331" t="s">
        <v>617</v>
      </c>
      <c r="AR83" s="330">
        <v>0.32394153985234292</v>
      </c>
      <c r="AS83" s="331" t="s">
        <v>617</v>
      </c>
      <c r="AT83" s="330">
        <v>0.37072180383133496</v>
      </c>
      <c r="AU83" s="331" t="s">
        <v>617</v>
      </c>
      <c r="AV83" s="330">
        <v>0.12932832707551103</v>
      </c>
      <c r="AW83" s="331" t="s">
        <v>617</v>
      </c>
      <c r="AX83" s="330">
        <v>0</v>
      </c>
      <c r="AY83" s="331" t="s">
        <v>617</v>
      </c>
      <c r="AZ83" s="330">
        <v>0</v>
      </c>
      <c r="BA83" s="331" t="s">
        <v>617</v>
      </c>
      <c r="BB83" s="330">
        <v>0</v>
      </c>
      <c r="BC83" s="331" t="s">
        <v>617</v>
      </c>
      <c r="BD83" s="330">
        <v>0</v>
      </c>
      <c r="BE83" s="331" t="s">
        <v>617</v>
      </c>
      <c r="BF83" s="330">
        <v>0</v>
      </c>
      <c r="BG83" s="331" t="s">
        <v>617</v>
      </c>
      <c r="BH83" s="330">
        <v>0</v>
      </c>
      <c r="BI83" s="331" t="s">
        <v>617</v>
      </c>
      <c r="BJ83" s="330">
        <v>0</v>
      </c>
      <c r="BK83" s="331" t="s">
        <v>617</v>
      </c>
      <c r="BL83" s="332">
        <v>0</v>
      </c>
      <c r="BM83" s="320" t="s">
        <v>617</v>
      </c>
      <c r="BN83" s="321">
        <v>0</v>
      </c>
      <c r="BO83" s="320" t="s">
        <v>617</v>
      </c>
      <c r="BP83" s="321">
        <v>0</v>
      </c>
      <c r="BQ83" s="320" t="s">
        <v>617</v>
      </c>
      <c r="BR83" s="321">
        <v>0</v>
      </c>
      <c r="BS83" s="320" t="s">
        <v>617</v>
      </c>
      <c r="BT83" s="321">
        <v>0</v>
      </c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  <c r="CT83" s="20"/>
      <c r="CU83" s="20"/>
      <c r="CV83" s="20"/>
      <c r="CW83" s="20"/>
      <c r="CX83" s="20"/>
      <c r="CY83" s="20"/>
      <c r="CZ83" s="20"/>
      <c r="DA83" s="20"/>
      <c r="DB83" s="20"/>
      <c r="DC83" s="20"/>
      <c r="DD83" s="20"/>
      <c r="DE83" s="20"/>
      <c r="DF83" s="20"/>
      <c r="DG83" s="20"/>
      <c r="DH83" s="20"/>
      <c r="DI83" s="20"/>
      <c r="DJ83" s="20"/>
      <c r="DK83" s="20"/>
      <c r="DL83" s="20"/>
      <c r="DM83" s="20"/>
      <c r="DN83" s="20"/>
      <c r="DO83" s="20"/>
      <c r="DP83" s="20"/>
      <c r="DQ83" s="20"/>
      <c r="DR83" s="20"/>
      <c r="DS83" s="20"/>
      <c r="DT83" s="20"/>
      <c r="DU83" s="20"/>
      <c r="DV83" s="20"/>
      <c r="DW83" s="20"/>
      <c r="DX83" s="20"/>
      <c r="DY83" s="20"/>
      <c r="DZ83" s="20"/>
      <c r="EA83" s="20"/>
      <c r="EB83" s="20"/>
      <c r="EC83" s="20"/>
      <c r="ED83" s="20"/>
      <c r="EE83" s="20"/>
      <c r="EF83" s="20"/>
      <c r="EG83" s="20"/>
      <c r="EH83" s="20"/>
      <c r="EI83" s="20"/>
      <c r="EJ83" s="20"/>
      <c r="EK83" s="20"/>
      <c r="EL83" s="20"/>
      <c r="EM83" s="20"/>
      <c r="EN83" s="20"/>
      <c r="EO83" s="20"/>
      <c r="EP83" s="20"/>
      <c r="EQ83" s="20"/>
      <c r="ER83" s="20"/>
      <c r="ES83" s="20"/>
      <c r="ET83" s="20"/>
      <c r="EU83" s="20"/>
      <c r="EV83" s="20"/>
      <c r="EW83" s="20"/>
      <c r="EX83" s="20"/>
      <c r="EY83" s="20"/>
      <c r="EZ83" s="20"/>
      <c r="FA83" s="20"/>
      <c r="FB83" s="20"/>
      <c r="FC83" s="20"/>
      <c r="FD83" s="20"/>
      <c r="FE83" s="20"/>
      <c r="FF83" s="20"/>
      <c r="FG83" s="20"/>
      <c r="FH83" s="20"/>
      <c r="FI83" s="20"/>
      <c r="FJ83" s="20"/>
      <c r="FK83" s="20"/>
      <c r="FL83" s="20"/>
      <c r="FM83" s="20"/>
      <c r="FN83" s="20"/>
      <c r="FO83" s="20"/>
      <c r="FP83" s="20"/>
      <c r="FQ83" s="20"/>
      <c r="FR83" s="20"/>
      <c r="FS83" s="20"/>
      <c r="FT83" s="20"/>
      <c r="FU83" s="20"/>
      <c r="FV83" s="20"/>
      <c r="FW83" s="20"/>
      <c r="FX83" s="20"/>
      <c r="FY83" s="20"/>
      <c r="FZ83" s="20"/>
      <c r="GA83" s="20"/>
      <c r="GB83" s="20"/>
      <c r="GC83" s="20"/>
      <c r="GD83" s="20"/>
      <c r="GE83" s="20"/>
      <c r="GF83" s="20"/>
      <c r="GG83" s="20"/>
      <c r="GH83" s="20"/>
      <c r="GI83" s="20"/>
      <c r="GJ83" s="20"/>
      <c r="GK83" s="20"/>
      <c r="GL83" s="20"/>
      <c r="GM83" s="20"/>
      <c r="GN83" s="20"/>
      <c r="GO83" s="20"/>
      <c r="GP83" s="20"/>
      <c r="GQ83" s="20"/>
      <c r="GR83" s="20"/>
      <c r="GS83" s="20"/>
      <c r="GT83" s="20"/>
      <c r="GU83" s="20"/>
      <c r="GV83" s="20"/>
      <c r="GW83" s="20"/>
      <c r="GX83" s="20"/>
      <c r="GY83" s="20"/>
      <c r="GZ83" s="20"/>
      <c r="HA83" s="20"/>
      <c r="HB83" s="20"/>
      <c r="HC83" s="20"/>
      <c r="HD83" s="20"/>
      <c r="HE83" s="20"/>
      <c r="HF83" s="20"/>
      <c r="HG83" s="20"/>
      <c r="HH83" s="20"/>
      <c r="HI83" s="20"/>
      <c r="HJ83" s="20"/>
      <c r="HK83" s="20"/>
      <c r="HL83" s="20"/>
      <c r="HM83" s="20"/>
      <c r="HN83" s="20"/>
      <c r="HO83" s="20"/>
      <c r="HP83" s="20"/>
      <c r="HQ83" s="20"/>
      <c r="HR83" s="20"/>
      <c r="HS83" s="20"/>
      <c r="HT83" s="20"/>
      <c r="HU83" s="20"/>
      <c r="HV83" s="20"/>
      <c r="HW83" s="20"/>
      <c r="HX83" s="20"/>
      <c r="HY83" s="20"/>
      <c r="HZ83" s="20"/>
      <c r="IA83" s="20"/>
      <c r="IB83" s="20"/>
      <c r="IC83" s="20"/>
      <c r="ID83" s="20"/>
      <c r="IE83" s="20"/>
      <c r="IF83" s="20"/>
      <c r="IG83" s="20"/>
      <c r="IH83" s="20"/>
      <c r="II83" s="20"/>
      <c r="IJ83" s="20"/>
      <c r="IK83" s="20"/>
      <c r="IL83" s="20"/>
      <c r="IM83" s="20"/>
      <c r="IN83" s="20"/>
      <c r="IO83" s="20"/>
      <c r="IP83" s="20"/>
      <c r="IQ83" s="20"/>
      <c r="IR83" s="20"/>
      <c r="IS83" s="20"/>
      <c r="IT83" s="20"/>
      <c r="IU83" s="20"/>
      <c r="IV83" s="20"/>
      <c r="IW83" s="20"/>
      <c r="IX83" s="20"/>
      <c r="IY83" s="20"/>
      <c r="IZ83" s="20"/>
      <c r="JA83" s="20"/>
      <c r="JB83" s="20"/>
      <c r="JC83" s="20"/>
      <c r="JD83" s="20"/>
      <c r="JE83" s="20"/>
      <c r="JF83" s="20"/>
      <c r="JG83" s="20"/>
      <c r="JH83" s="20"/>
      <c r="JI83" s="20"/>
      <c r="JJ83" s="20"/>
      <c r="JK83" s="20"/>
      <c r="JL83" s="20"/>
      <c r="JM83" s="20"/>
      <c r="JN83" s="20"/>
      <c r="JO83" s="20"/>
      <c r="JP83" s="20"/>
      <c r="JQ83" s="20"/>
      <c r="JR83" s="20"/>
      <c r="JS83" s="20"/>
      <c r="JT83" s="20"/>
      <c r="JU83" s="20"/>
      <c r="JV83" s="20"/>
      <c r="JW83" s="20"/>
      <c r="JX83" s="20"/>
      <c r="JY83" s="20"/>
      <c r="JZ83" s="20"/>
      <c r="KA83" s="20"/>
      <c r="KB83" s="20"/>
      <c r="KC83" s="20"/>
      <c r="KD83" s="188"/>
      <c r="KE83" s="20"/>
      <c r="KF83" s="20"/>
      <c r="KG83" s="20"/>
      <c r="KH83" s="20"/>
      <c r="KI83" s="12"/>
      <c r="KJ83" s="12"/>
      <c r="KK83" s="12"/>
      <c r="KL83" s="12"/>
      <c r="KM83" s="12"/>
      <c r="KN83" s="12"/>
      <c r="KO83" s="12"/>
      <c r="KP83" s="12"/>
      <c r="KQ83" s="12"/>
      <c r="KR83" s="12"/>
      <c r="KS83" s="12"/>
      <c r="KT83" s="12"/>
      <c r="KU83" s="12"/>
      <c r="KV83" s="12"/>
      <c r="KW83" s="12"/>
      <c r="KX83" s="12"/>
    </row>
    <row r="84" spans="1:310" s="39" customFormat="1" x14ac:dyDescent="0.2">
      <c r="A84" s="138">
        <v>0</v>
      </c>
      <c r="B84" s="326" t="s">
        <v>640</v>
      </c>
      <c r="C84" s="50" t="str">
        <f t="shared" si="23"/>
        <v>PC_A</v>
      </c>
      <c r="D84" s="319">
        <f t="shared" si="24"/>
        <v>0</v>
      </c>
      <c r="E84" s="50" t="str">
        <f t="shared" ref="E84:E101" si="26">W84</f>
        <v>PC_A</v>
      </c>
      <c r="F84" s="319">
        <f t="shared" ref="F84:F101" si="27">X84</f>
        <v>0</v>
      </c>
      <c r="G84" s="50" t="str">
        <f t="shared" ref="G84:G101" si="28">Y84</f>
        <v>PC_A</v>
      </c>
      <c r="H84" s="319">
        <f t="shared" ref="H84:H101" si="29">Z84</f>
        <v>0</v>
      </c>
      <c r="I84" s="50" t="str">
        <f t="shared" ref="I84:I101" si="30">AA84</f>
        <v>PC_A</v>
      </c>
      <c r="J84" s="319">
        <f t="shared" ref="J84:J101" si="31">AB84</f>
        <v>2.9997600191984643E-2</v>
      </c>
      <c r="K84" s="50" t="str">
        <f t="shared" ref="K84:K101" si="32">AC84</f>
        <v>PC_A</v>
      </c>
      <c r="L84" s="319">
        <f t="shared" ref="L84:L101" si="33">AD84</f>
        <v>7.3770491803278687E-2</v>
      </c>
      <c r="M84" s="50" t="str">
        <f t="shared" ref="M84:M101" si="34">AE84</f>
        <v>PC_A</v>
      </c>
      <c r="N84" s="319">
        <f t="shared" ref="N84:N101" si="35">AF84</f>
        <v>0.14836890857833263</v>
      </c>
      <c r="O84" s="50" t="str">
        <f t="shared" ref="O84:O101" si="36">AG84</f>
        <v>PC_A</v>
      </c>
      <c r="P84" s="319">
        <f t="shared" ref="P84:P101" si="37">AH84</f>
        <v>0.3117977528089888</v>
      </c>
      <c r="Q84" s="50" t="str">
        <f t="shared" ref="Q84:Q101" si="38">AI84</f>
        <v>PC_A</v>
      </c>
      <c r="R84" s="319">
        <f t="shared" ref="R84:R101" si="39">AJ84</f>
        <v>0.33788819875776399</v>
      </c>
      <c r="S84" s="50" t="str">
        <f t="shared" ref="S84:S101" si="40">AK84</f>
        <v>PC_A</v>
      </c>
      <c r="T84" s="319">
        <f t="shared" si="25"/>
        <v>0</v>
      </c>
      <c r="U84" s="329" t="s">
        <v>616</v>
      </c>
      <c r="V84" s="330">
        <v>0</v>
      </c>
      <c r="W84" s="331" t="s">
        <v>616</v>
      </c>
      <c r="X84" s="330">
        <v>0</v>
      </c>
      <c r="Y84" s="331" t="s">
        <v>616</v>
      </c>
      <c r="Z84" s="330">
        <v>0</v>
      </c>
      <c r="AA84" s="331" t="s">
        <v>616</v>
      </c>
      <c r="AB84" s="330">
        <v>2.9997600191984643E-2</v>
      </c>
      <c r="AC84" s="331" t="s">
        <v>616</v>
      </c>
      <c r="AD84" s="330">
        <v>7.3770491803278687E-2</v>
      </c>
      <c r="AE84" s="331" t="s">
        <v>616</v>
      </c>
      <c r="AF84" s="330">
        <v>0.14836890857833263</v>
      </c>
      <c r="AG84" s="331" t="s">
        <v>616</v>
      </c>
      <c r="AH84" s="330">
        <v>0.3117977528089888</v>
      </c>
      <c r="AI84" s="331" t="s">
        <v>616</v>
      </c>
      <c r="AJ84" s="330">
        <v>0.33788819875776399</v>
      </c>
      <c r="AK84" s="331" t="s">
        <v>616</v>
      </c>
      <c r="AL84" s="330">
        <v>0</v>
      </c>
      <c r="AM84" s="330" t="s">
        <v>616</v>
      </c>
      <c r="AN84" s="330">
        <v>0</v>
      </c>
      <c r="AO84" s="331" t="s">
        <v>616</v>
      </c>
      <c r="AP84" s="330">
        <v>0</v>
      </c>
      <c r="AQ84" s="331" t="s">
        <v>616</v>
      </c>
      <c r="AR84" s="330">
        <v>1.1940155938436557E-2</v>
      </c>
      <c r="AS84" s="331" t="s">
        <v>616</v>
      </c>
      <c r="AT84" s="330">
        <v>3.8146083802323573E-2</v>
      </c>
      <c r="AU84" s="331" t="s">
        <v>616</v>
      </c>
      <c r="AV84" s="330">
        <v>0.14836890857833263</v>
      </c>
      <c r="AW84" s="331" t="s">
        <v>616</v>
      </c>
      <c r="AX84" s="330">
        <v>0.3117977528089888</v>
      </c>
      <c r="AY84" s="331" t="s">
        <v>616</v>
      </c>
      <c r="AZ84" s="330">
        <v>0.32301121195942334</v>
      </c>
      <c r="BA84" s="331" t="s">
        <v>616</v>
      </c>
      <c r="BB84" s="330">
        <v>0.33071676746879425</v>
      </c>
      <c r="BC84" s="331" t="s">
        <v>616</v>
      </c>
      <c r="BD84" s="330">
        <v>0.33788819875776399</v>
      </c>
      <c r="BE84" s="331" t="s">
        <v>616</v>
      </c>
      <c r="BF84" s="330">
        <v>0.17728531855955676</v>
      </c>
      <c r="BG84" s="331" t="s">
        <v>616</v>
      </c>
      <c r="BH84" s="330">
        <v>7.3078989790435242E-2</v>
      </c>
      <c r="BI84" s="331" t="s">
        <v>616</v>
      </c>
      <c r="BJ84" s="330">
        <v>0</v>
      </c>
      <c r="BK84" s="331" t="s">
        <v>616</v>
      </c>
      <c r="BL84" s="332">
        <v>0</v>
      </c>
      <c r="BM84" s="320" t="s">
        <v>616</v>
      </c>
      <c r="BN84" s="321">
        <v>0</v>
      </c>
      <c r="BO84" s="320" t="s">
        <v>616</v>
      </c>
      <c r="BP84" s="321">
        <v>0</v>
      </c>
      <c r="BQ84" s="320" t="s">
        <v>616</v>
      </c>
      <c r="BR84" s="321">
        <v>0.1</v>
      </c>
      <c r="BS84" s="320" t="s">
        <v>616</v>
      </c>
      <c r="BT84" s="321">
        <v>0.4</v>
      </c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  <c r="FC84" s="20"/>
      <c r="FD84" s="20"/>
      <c r="FE84" s="20"/>
      <c r="FF84" s="20"/>
      <c r="FG84" s="20"/>
      <c r="FH84" s="20"/>
      <c r="FI84" s="20"/>
      <c r="FJ84" s="20"/>
      <c r="FK84" s="20"/>
      <c r="FL84" s="20"/>
      <c r="FM84" s="20"/>
      <c r="FN84" s="20"/>
      <c r="FO84" s="20"/>
      <c r="FP84" s="20"/>
      <c r="FQ84" s="20"/>
      <c r="FR84" s="20"/>
      <c r="FS84" s="20"/>
      <c r="FT84" s="20"/>
      <c r="FU84" s="20"/>
      <c r="FV84" s="20"/>
      <c r="FW84" s="20"/>
      <c r="FX84" s="20"/>
      <c r="FY84" s="20"/>
      <c r="FZ84" s="20"/>
      <c r="GA84" s="20"/>
      <c r="GB84" s="20"/>
      <c r="GC84" s="20"/>
      <c r="GD84" s="20"/>
      <c r="GE84" s="20"/>
      <c r="GF84" s="20"/>
      <c r="GG84" s="20"/>
      <c r="GH84" s="20"/>
      <c r="GI84" s="20"/>
      <c r="GJ84" s="20"/>
      <c r="GK84" s="20"/>
      <c r="GL84" s="20"/>
      <c r="GM84" s="20"/>
      <c r="GN84" s="20"/>
      <c r="GO84" s="20"/>
      <c r="GP84" s="20"/>
      <c r="GQ84" s="20"/>
      <c r="GR84" s="20"/>
      <c r="GS84" s="20"/>
      <c r="GT84" s="20"/>
      <c r="GU84" s="20"/>
      <c r="GV84" s="20"/>
      <c r="GW84" s="20"/>
      <c r="GX84" s="20"/>
      <c r="GY84" s="20"/>
      <c r="GZ84" s="20"/>
      <c r="HA84" s="20"/>
      <c r="HB84" s="20"/>
      <c r="HC84" s="20"/>
      <c r="HD84" s="20"/>
      <c r="HE84" s="20"/>
      <c r="HF84" s="20"/>
      <c r="HG84" s="20"/>
      <c r="HH84" s="20"/>
      <c r="HI84" s="20"/>
      <c r="HJ84" s="20"/>
      <c r="HK84" s="20"/>
      <c r="HL84" s="20"/>
      <c r="HM84" s="20"/>
      <c r="HN84" s="20"/>
      <c r="HO84" s="20"/>
      <c r="HP84" s="20"/>
      <c r="HQ84" s="20"/>
      <c r="HR84" s="20"/>
      <c r="HS84" s="20"/>
      <c r="HT84" s="20"/>
      <c r="HU84" s="20"/>
      <c r="HV84" s="20"/>
      <c r="HW84" s="20"/>
      <c r="HX84" s="20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  <c r="IW84" s="20"/>
      <c r="IX84" s="20"/>
      <c r="IY84" s="20"/>
      <c r="IZ84" s="20"/>
      <c r="JA84" s="20"/>
      <c r="JB84" s="20"/>
      <c r="JC84" s="20"/>
      <c r="JD84" s="20"/>
      <c r="JE84" s="20"/>
      <c r="JF84" s="20"/>
      <c r="JG84" s="20"/>
      <c r="JH84" s="20"/>
      <c r="JI84" s="20"/>
      <c r="JJ84" s="20"/>
      <c r="JK84" s="20"/>
      <c r="JL84" s="20"/>
      <c r="JM84" s="20"/>
      <c r="JN84" s="20"/>
      <c r="JO84" s="20"/>
      <c r="JP84" s="20"/>
      <c r="JQ84" s="20"/>
      <c r="JR84" s="20"/>
      <c r="JS84" s="20"/>
      <c r="JT84" s="20"/>
      <c r="JU84" s="20"/>
      <c r="JV84" s="20"/>
      <c r="JW84" s="20"/>
      <c r="JX84" s="20"/>
      <c r="JY84" s="20"/>
      <c r="JZ84" s="20"/>
      <c r="KA84" s="20"/>
      <c r="KB84" s="20"/>
      <c r="KC84" s="20"/>
      <c r="KD84" s="188"/>
      <c r="KE84" s="20"/>
      <c r="KF84" s="20"/>
      <c r="KG84" s="20"/>
      <c r="KH84" s="20"/>
      <c r="KI84" s="12"/>
      <c r="KJ84" s="12"/>
      <c r="KK84" s="12"/>
      <c r="KL84" s="12"/>
      <c r="KM84" s="12"/>
      <c r="KN84" s="12"/>
      <c r="KO84" s="12"/>
      <c r="KP84" s="12"/>
      <c r="KQ84" s="12"/>
      <c r="KR84" s="12"/>
      <c r="KS84" s="12"/>
      <c r="KT84" s="12"/>
      <c r="KU84" s="12"/>
      <c r="KV84" s="12"/>
      <c r="KW84" s="12"/>
      <c r="KX84" s="12"/>
    </row>
    <row r="85" spans="1:310" s="39" customFormat="1" x14ac:dyDescent="0.2">
      <c r="A85" s="138">
        <v>0</v>
      </c>
      <c r="B85" s="326" t="s">
        <v>671</v>
      </c>
      <c r="C85" s="50" t="str">
        <f t="shared" si="23"/>
        <v>PC_AAA</v>
      </c>
      <c r="D85" s="319">
        <f t="shared" si="24"/>
        <v>0</v>
      </c>
      <c r="E85" s="50" t="str">
        <f t="shared" si="26"/>
        <v>PC_AAA</v>
      </c>
      <c r="F85" s="319">
        <f t="shared" si="27"/>
        <v>0</v>
      </c>
      <c r="G85" s="50" t="str">
        <f t="shared" si="28"/>
        <v>PC_AAA</v>
      </c>
      <c r="H85" s="319">
        <f t="shared" si="29"/>
        <v>0</v>
      </c>
      <c r="I85" s="50" t="str">
        <f t="shared" si="30"/>
        <v>PC_AAA</v>
      </c>
      <c r="J85" s="319">
        <f t="shared" si="31"/>
        <v>0</v>
      </c>
      <c r="K85" s="50" t="str">
        <f t="shared" si="32"/>
        <v>PC_AAA</v>
      </c>
      <c r="L85" s="319">
        <f t="shared" si="33"/>
        <v>0</v>
      </c>
      <c r="M85" s="50" t="str">
        <f t="shared" si="34"/>
        <v>PC_AAA</v>
      </c>
      <c r="N85" s="319">
        <f t="shared" si="35"/>
        <v>0</v>
      </c>
      <c r="O85" s="50" t="str">
        <f t="shared" si="36"/>
        <v>PC_AAA</v>
      </c>
      <c r="P85" s="319">
        <f t="shared" si="37"/>
        <v>0</v>
      </c>
      <c r="Q85" s="50" t="str">
        <f t="shared" si="38"/>
        <v>PC_AAA</v>
      </c>
      <c r="R85" s="319">
        <f t="shared" si="39"/>
        <v>0</v>
      </c>
      <c r="S85" s="50" t="str">
        <f t="shared" si="40"/>
        <v>PC_AAA</v>
      </c>
      <c r="T85" s="319">
        <f t="shared" si="25"/>
        <v>0</v>
      </c>
      <c r="U85" s="329" t="s">
        <v>619</v>
      </c>
      <c r="V85" s="330">
        <v>0</v>
      </c>
      <c r="W85" s="331" t="s">
        <v>619</v>
      </c>
      <c r="X85" s="330">
        <v>0</v>
      </c>
      <c r="Y85" s="331" t="s">
        <v>619</v>
      </c>
      <c r="Z85" s="330">
        <v>0</v>
      </c>
      <c r="AA85" s="331" t="s">
        <v>619</v>
      </c>
      <c r="AB85" s="330">
        <v>0</v>
      </c>
      <c r="AC85" s="331" t="s">
        <v>619</v>
      </c>
      <c r="AD85" s="330">
        <v>0</v>
      </c>
      <c r="AE85" s="331" t="s">
        <v>619</v>
      </c>
      <c r="AF85" s="330">
        <v>0</v>
      </c>
      <c r="AG85" s="331" t="s">
        <v>619</v>
      </c>
      <c r="AH85" s="330">
        <v>0</v>
      </c>
      <c r="AI85" s="331" t="s">
        <v>619</v>
      </c>
      <c r="AJ85" s="330">
        <v>0</v>
      </c>
      <c r="AK85" s="331" t="s">
        <v>619</v>
      </c>
      <c r="AL85" s="330">
        <v>0</v>
      </c>
      <c r="AM85" s="330" t="s">
        <v>619</v>
      </c>
      <c r="AN85" s="330">
        <v>0</v>
      </c>
      <c r="AO85" s="331" t="s">
        <v>619</v>
      </c>
      <c r="AP85" s="330">
        <v>0</v>
      </c>
      <c r="AQ85" s="331" t="s">
        <v>619</v>
      </c>
      <c r="AR85" s="330">
        <v>0</v>
      </c>
      <c r="AS85" s="331" t="s">
        <v>619</v>
      </c>
      <c r="AT85" s="330">
        <v>0</v>
      </c>
      <c r="AU85" s="331" t="s">
        <v>619</v>
      </c>
      <c r="AV85" s="330">
        <v>0</v>
      </c>
      <c r="AW85" s="331" t="s">
        <v>619</v>
      </c>
      <c r="AX85" s="330">
        <v>0</v>
      </c>
      <c r="AY85" s="331" t="s">
        <v>619</v>
      </c>
      <c r="AZ85" s="330">
        <v>0</v>
      </c>
      <c r="BA85" s="331" t="s">
        <v>619</v>
      </c>
      <c r="BB85" s="330">
        <v>0</v>
      </c>
      <c r="BC85" s="331" t="s">
        <v>619</v>
      </c>
      <c r="BD85" s="330">
        <v>0</v>
      </c>
      <c r="BE85" s="331" t="s">
        <v>619</v>
      </c>
      <c r="BF85" s="330">
        <v>0</v>
      </c>
      <c r="BG85" s="331" t="s">
        <v>619</v>
      </c>
      <c r="BH85" s="330">
        <v>0</v>
      </c>
      <c r="BI85" s="331" t="s">
        <v>619</v>
      </c>
      <c r="BJ85" s="330">
        <v>0</v>
      </c>
      <c r="BK85" s="331" t="s">
        <v>619</v>
      </c>
      <c r="BL85" s="332">
        <v>0</v>
      </c>
      <c r="BM85" s="320" t="s">
        <v>619</v>
      </c>
      <c r="BN85" s="321">
        <v>0</v>
      </c>
      <c r="BO85" s="320" t="s">
        <v>619</v>
      </c>
      <c r="BP85" s="321">
        <v>0</v>
      </c>
      <c r="BQ85" s="320" t="s">
        <v>619</v>
      </c>
      <c r="BR85" s="321">
        <v>0</v>
      </c>
      <c r="BS85" s="320" t="s">
        <v>619</v>
      </c>
      <c r="BT85" s="321">
        <v>0</v>
      </c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  <c r="EJ85" s="20"/>
      <c r="EK85" s="20"/>
      <c r="EL85" s="20"/>
      <c r="EM85" s="20"/>
      <c r="EN85" s="20"/>
      <c r="EO85" s="20"/>
      <c r="EP85" s="20"/>
      <c r="EQ85" s="20"/>
      <c r="ER85" s="20"/>
      <c r="ES85" s="20"/>
      <c r="ET85" s="20"/>
      <c r="EU85" s="20"/>
      <c r="EV85" s="20"/>
      <c r="EW85" s="20"/>
      <c r="EX85" s="20"/>
      <c r="EY85" s="20"/>
      <c r="EZ85" s="20"/>
      <c r="FA85" s="20"/>
      <c r="FB85" s="20"/>
      <c r="FC85" s="20"/>
      <c r="FD85" s="20"/>
      <c r="FE85" s="20"/>
      <c r="FF85" s="20"/>
      <c r="FG85" s="20"/>
      <c r="FH85" s="20"/>
      <c r="FI85" s="20"/>
      <c r="FJ85" s="20"/>
      <c r="FK85" s="20"/>
      <c r="FL85" s="20"/>
      <c r="FM85" s="20"/>
      <c r="FN85" s="20"/>
      <c r="FO85" s="20"/>
      <c r="FP85" s="20"/>
      <c r="FQ85" s="20"/>
      <c r="FR85" s="20"/>
      <c r="FS85" s="20"/>
      <c r="FT85" s="20"/>
      <c r="FU85" s="20"/>
      <c r="FV85" s="20"/>
      <c r="FW85" s="20"/>
      <c r="FX85" s="20"/>
      <c r="FY85" s="20"/>
      <c r="FZ85" s="20"/>
      <c r="GA85" s="20"/>
      <c r="GB85" s="20"/>
      <c r="GC85" s="20"/>
      <c r="GD85" s="20"/>
      <c r="GE85" s="20"/>
      <c r="GF85" s="20"/>
      <c r="GG85" s="20"/>
      <c r="GH85" s="20"/>
      <c r="GI85" s="20"/>
      <c r="GJ85" s="20"/>
      <c r="GK85" s="20"/>
      <c r="GL85" s="20"/>
      <c r="GM85" s="20"/>
      <c r="GN85" s="20"/>
      <c r="GO85" s="20"/>
      <c r="GP85" s="20"/>
      <c r="GQ85" s="20"/>
      <c r="GR85" s="20"/>
      <c r="GS85" s="20"/>
      <c r="GT85" s="20"/>
      <c r="GU85" s="20"/>
      <c r="GV85" s="20"/>
      <c r="GW85" s="20"/>
      <c r="GX85" s="20"/>
      <c r="GY85" s="20"/>
      <c r="GZ85" s="20"/>
      <c r="HA85" s="20"/>
      <c r="HB85" s="20"/>
      <c r="HC85" s="20"/>
      <c r="HD85" s="20"/>
      <c r="HE85" s="20"/>
      <c r="HF85" s="20"/>
      <c r="HG85" s="20"/>
      <c r="HH85" s="20"/>
      <c r="HI85" s="20"/>
      <c r="HJ85" s="20"/>
      <c r="HK85" s="20"/>
      <c r="HL85" s="20"/>
      <c r="HM85" s="20"/>
      <c r="HN85" s="20"/>
      <c r="HO85" s="20"/>
      <c r="HP85" s="20"/>
      <c r="HQ85" s="20"/>
      <c r="HR85" s="20"/>
      <c r="HS85" s="20"/>
      <c r="HT85" s="20"/>
      <c r="HU85" s="20"/>
      <c r="HV85" s="20"/>
      <c r="HW85" s="20"/>
      <c r="HX85" s="20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  <c r="IW85" s="20"/>
      <c r="IX85" s="20"/>
      <c r="IY85" s="20"/>
      <c r="IZ85" s="20"/>
      <c r="JA85" s="20"/>
      <c r="JB85" s="20"/>
      <c r="JC85" s="20"/>
      <c r="JD85" s="20"/>
      <c r="JE85" s="20"/>
      <c r="JF85" s="20"/>
      <c r="JG85" s="20"/>
      <c r="JH85" s="20"/>
      <c r="JI85" s="20"/>
      <c r="JJ85" s="20"/>
      <c r="JK85" s="20"/>
      <c r="JL85" s="20"/>
      <c r="JM85" s="20"/>
      <c r="JN85" s="20"/>
      <c r="JO85" s="20"/>
      <c r="JP85" s="20"/>
      <c r="JQ85" s="20"/>
      <c r="JR85" s="20"/>
      <c r="JS85" s="20"/>
      <c r="JT85" s="20"/>
      <c r="JU85" s="20"/>
      <c r="JV85" s="20"/>
      <c r="JW85" s="20"/>
      <c r="JX85" s="20"/>
      <c r="JY85" s="20"/>
      <c r="JZ85" s="20"/>
      <c r="KA85" s="20"/>
      <c r="KB85" s="20"/>
      <c r="KC85" s="20"/>
      <c r="KD85" s="188"/>
      <c r="KE85" s="20"/>
      <c r="KF85" s="20"/>
      <c r="KG85" s="20"/>
      <c r="KH85" s="20"/>
      <c r="KI85" s="12"/>
      <c r="KJ85" s="12"/>
      <c r="KK85" s="12"/>
      <c r="KL85" s="12"/>
      <c r="KM85" s="12"/>
      <c r="KN85" s="12"/>
      <c r="KO85" s="12"/>
      <c r="KP85" s="12"/>
      <c r="KQ85" s="12"/>
      <c r="KR85" s="12"/>
      <c r="KS85" s="12"/>
      <c r="KT85" s="12"/>
      <c r="KU85" s="12"/>
      <c r="KV85" s="12"/>
      <c r="KW85" s="12"/>
      <c r="KX85" s="12"/>
    </row>
    <row r="86" spans="1:310" s="39" customFormat="1" x14ac:dyDescent="0.2">
      <c r="A86" s="138">
        <v>0</v>
      </c>
      <c r="B86" s="326" t="s">
        <v>641</v>
      </c>
      <c r="C86" s="50" t="str">
        <f t="shared" si="23"/>
        <v>PC_B</v>
      </c>
      <c r="D86" s="319">
        <f t="shared" si="24"/>
        <v>0</v>
      </c>
      <c r="E86" s="50" t="str">
        <f t="shared" si="26"/>
        <v>PC_B</v>
      </c>
      <c r="F86" s="319">
        <f t="shared" si="27"/>
        <v>0</v>
      </c>
      <c r="G86" s="50" t="str">
        <f t="shared" si="28"/>
        <v>PC_B</v>
      </c>
      <c r="H86" s="319">
        <f t="shared" si="29"/>
        <v>0</v>
      </c>
      <c r="I86" s="50" t="str">
        <f t="shared" si="30"/>
        <v>PC_B</v>
      </c>
      <c r="J86" s="319">
        <f t="shared" si="31"/>
        <v>0</v>
      </c>
      <c r="K86" s="50" t="str">
        <f t="shared" si="32"/>
        <v>PC_B</v>
      </c>
      <c r="L86" s="319">
        <f t="shared" si="33"/>
        <v>0</v>
      </c>
      <c r="M86" s="50" t="str">
        <f t="shared" si="34"/>
        <v>PC_B</v>
      </c>
      <c r="N86" s="319">
        <f t="shared" si="35"/>
        <v>0</v>
      </c>
      <c r="O86" s="50" t="str">
        <f t="shared" si="36"/>
        <v>PC_B</v>
      </c>
      <c r="P86" s="319">
        <f t="shared" si="37"/>
        <v>0</v>
      </c>
      <c r="Q86" s="50" t="str">
        <f t="shared" si="38"/>
        <v>PC_B</v>
      </c>
      <c r="R86" s="319">
        <f t="shared" si="39"/>
        <v>0</v>
      </c>
      <c r="S86" s="50" t="str">
        <f t="shared" si="40"/>
        <v>PC_B</v>
      </c>
      <c r="T86" s="319">
        <f t="shared" si="25"/>
        <v>0</v>
      </c>
      <c r="U86" s="329" t="s">
        <v>623</v>
      </c>
      <c r="V86" s="330">
        <v>0</v>
      </c>
      <c r="W86" s="331" t="s">
        <v>623</v>
      </c>
      <c r="X86" s="330">
        <v>0</v>
      </c>
      <c r="Y86" s="331" t="s">
        <v>623</v>
      </c>
      <c r="Z86" s="330">
        <v>0</v>
      </c>
      <c r="AA86" s="331" t="s">
        <v>623</v>
      </c>
      <c r="AB86" s="330">
        <v>0</v>
      </c>
      <c r="AC86" s="331" t="s">
        <v>623</v>
      </c>
      <c r="AD86" s="330">
        <v>0</v>
      </c>
      <c r="AE86" s="331" t="s">
        <v>623</v>
      </c>
      <c r="AF86" s="330">
        <v>0</v>
      </c>
      <c r="AG86" s="331" t="s">
        <v>623</v>
      </c>
      <c r="AH86" s="330">
        <v>0</v>
      </c>
      <c r="AI86" s="331" t="s">
        <v>623</v>
      </c>
      <c r="AJ86" s="330">
        <v>0</v>
      </c>
      <c r="AK86" s="331" t="s">
        <v>623</v>
      </c>
      <c r="AL86" s="330">
        <v>0</v>
      </c>
      <c r="AM86" s="330" t="s">
        <v>623</v>
      </c>
      <c r="AN86" s="330">
        <v>0</v>
      </c>
      <c r="AO86" s="331" t="s">
        <v>623</v>
      </c>
      <c r="AP86" s="330">
        <v>0</v>
      </c>
      <c r="AQ86" s="331" t="s">
        <v>623</v>
      </c>
      <c r="AR86" s="330">
        <v>0</v>
      </c>
      <c r="AS86" s="331" t="s">
        <v>623</v>
      </c>
      <c r="AT86" s="330">
        <v>0</v>
      </c>
      <c r="AU86" s="331" t="s">
        <v>623</v>
      </c>
      <c r="AV86" s="330">
        <v>0</v>
      </c>
      <c r="AW86" s="331" t="s">
        <v>623</v>
      </c>
      <c r="AX86" s="330">
        <v>0</v>
      </c>
      <c r="AY86" s="331" t="s">
        <v>623</v>
      </c>
      <c r="AZ86" s="330">
        <v>0</v>
      </c>
      <c r="BA86" s="331" t="s">
        <v>623</v>
      </c>
      <c r="BB86" s="330">
        <v>0</v>
      </c>
      <c r="BC86" s="331" t="s">
        <v>623</v>
      </c>
      <c r="BD86" s="330">
        <v>0</v>
      </c>
      <c r="BE86" s="331" t="s">
        <v>623</v>
      </c>
      <c r="BF86" s="330">
        <v>0</v>
      </c>
      <c r="BG86" s="331" t="s">
        <v>623</v>
      </c>
      <c r="BH86" s="330">
        <v>0</v>
      </c>
      <c r="BI86" s="331" t="s">
        <v>623</v>
      </c>
      <c r="BJ86" s="330">
        <v>0</v>
      </c>
      <c r="BK86" s="331" t="s">
        <v>623</v>
      </c>
      <c r="BL86" s="332">
        <v>0</v>
      </c>
      <c r="BM86" s="320" t="s">
        <v>623</v>
      </c>
      <c r="BN86" s="321">
        <v>0</v>
      </c>
      <c r="BO86" s="320" t="s">
        <v>623</v>
      </c>
      <c r="BP86" s="321">
        <v>0</v>
      </c>
      <c r="BQ86" s="320" t="s">
        <v>623</v>
      </c>
      <c r="BR86" s="321">
        <v>0</v>
      </c>
      <c r="BS86" s="320" t="s">
        <v>623</v>
      </c>
      <c r="BT86" s="321">
        <v>0</v>
      </c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  <c r="FC86" s="20"/>
      <c r="FD86" s="20"/>
      <c r="FE86" s="20"/>
      <c r="FF86" s="20"/>
      <c r="FG86" s="20"/>
      <c r="FH86" s="20"/>
      <c r="FI86" s="20"/>
      <c r="FJ86" s="20"/>
      <c r="FK86" s="20"/>
      <c r="FL86" s="20"/>
      <c r="FM86" s="20"/>
      <c r="FN86" s="20"/>
      <c r="FO86" s="20"/>
      <c r="FP86" s="20"/>
      <c r="FQ86" s="20"/>
      <c r="FR86" s="20"/>
      <c r="FS86" s="20"/>
      <c r="FT86" s="20"/>
      <c r="FU86" s="20"/>
      <c r="FV86" s="20"/>
      <c r="FW86" s="20"/>
      <c r="FX86" s="20"/>
      <c r="FY86" s="20"/>
      <c r="FZ86" s="20"/>
      <c r="GA86" s="20"/>
      <c r="GB86" s="20"/>
      <c r="GC86" s="20"/>
      <c r="GD86" s="20"/>
      <c r="GE86" s="20"/>
      <c r="GF86" s="20"/>
      <c r="GG86" s="20"/>
      <c r="GH86" s="20"/>
      <c r="GI86" s="20"/>
      <c r="GJ86" s="20"/>
      <c r="GK86" s="20"/>
      <c r="GL86" s="20"/>
      <c r="GM86" s="20"/>
      <c r="GN86" s="20"/>
      <c r="GO86" s="20"/>
      <c r="GP86" s="20"/>
      <c r="GQ86" s="20"/>
      <c r="GR86" s="20"/>
      <c r="GS86" s="20"/>
      <c r="GT86" s="20"/>
      <c r="GU86" s="20"/>
      <c r="GV86" s="20"/>
      <c r="GW86" s="20"/>
      <c r="GX86" s="20"/>
      <c r="GY86" s="20"/>
      <c r="GZ86" s="20"/>
      <c r="HA86" s="20"/>
      <c r="HB86" s="20"/>
      <c r="HC86" s="20"/>
      <c r="HD86" s="20"/>
      <c r="HE86" s="20"/>
      <c r="HF86" s="20"/>
      <c r="HG86" s="20"/>
      <c r="HH86" s="20"/>
      <c r="HI86" s="20"/>
      <c r="HJ86" s="20"/>
      <c r="HK86" s="20"/>
      <c r="HL86" s="20"/>
      <c r="HM86" s="20"/>
      <c r="HN86" s="20"/>
      <c r="HO86" s="20"/>
      <c r="HP86" s="20"/>
      <c r="HQ86" s="20"/>
      <c r="HR86" s="20"/>
      <c r="HS86" s="20"/>
      <c r="HT86" s="20"/>
      <c r="HU86" s="20"/>
      <c r="HV86" s="20"/>
      <c r="HW86" s="20"/>
      <c r="HX86" s="20"/>
      <c r="HY86" s="20"/>
      <c r="HZ86" s="20"/>
      <c r="IA86" s="20"/>
      <c r="IB86" s="20"/>
      <c r="IC86" s="20"/>
      <c r="ID86" s="20"/>
      <c r="IE86" s="20"/>
      <c r="IF86" s="20"/>
      <c r="IG86" s="20"/>
      <c r="IH86" s="20"/>
      <c r="II86" s="20"/>
      <c r="IJ86" s="20"/>
      <c r="IK86" s="20"/>
      <c r="IL86" s="20"/>
      <c r="IM86" s="20"/>
      <c r="IN86" s="20"/>
      <c r="IO86" s="20"/>
      <c r="IP86" s="20"/>
      <c r="IQ86" s="20"/>
      <c r="IR86" s="20"/>
      <c r="IS86" s="20"/>
      <c r="IT86" s="20"/>
      <c r="IU86" s="20"/>
      <c r="IV86" s="20"/>
      <c r="IW86" s="20"/>
      <c r="IX86" s="20"/>
      <c r="IY86" s="20"/>
      <c r="IZ86" s="20"/>
      <c r="JA86" s="20"/>
      <c r="JB86" s="20"/>
      <c r="JC86" s="20"/>
      <c r="JD86" s="20"/>
      <c r="JE86" s="20"/>
      <c r="JF86" s="20"/>
      <c r="JG86" s="20"/>
      <c r="JH86" s="20"/>
      <c r="JI86" s="20"/>
      <c r="JJ86" s="20"/>
      <c r="JK86" s="20"/>
      <c r="JL86" s="20"/>
      <c r="JM86" s="20"/>
      <c r="JN86" s="20"/>
      <c r="JO86" s="20"/>
      <c r="JP86" s="20"/>
      <c r="JQ86" s="20"/>
      <c r="JR86" s="20"/>
      <c r="JS86" s="20"/>
      <c r="JT86" s="20"/>
      <c r="JU86" s="20"/>
      <c r="JV86" s="20"/>
      <c r="JW86" s="20"/>
      <c r="JX86" s="20"/>
      <c r="JY86" s="20"/>
      <c r="JZ86" s="20"/>
      <c r="KA86" s="20"/>
      <c r="KB86" s="20"/>
      <c r="KC86" s="20"/>
      <c r="KD86" s="188"/>
      <c r="KE86" s="20"/>
      <c r="KF86" s="20"/>
      <c r="KG86" s="20"/>
      <c r="KH86" s="20"/>
      <c r="KI86" s="12"/>
      <c r="KJ86" s="12"/>
      <c r="KK86" s="12"/>
      <c r="KL86" s="12"/>
      <c r="KM86" s="12"/>
      <c r="KN86" s="12"/>
      <c r="KO86" s="12"/>
      <c r="KP86" s="12"/>
      <c r="KQ86" s="12"/>
      <c r="KR86" s="12"/>
      <c r="KS86" s="12"/>
      <c r="KT86" s="12"/>
      <c r="KU86" s="12"/>
      <c r="KV86" s="12"/>
      <c r="KW86" s="12"/>
      <c r="KX86" s="12"/>
    </row>
    <row r="87" spans="1:310" s="39" customFormat="1" x14ac:dyDescent="0.2">
      <c r="A87" s="138">
        <v>0</v>
      </c>
      <c r="B87" s="326" t="s">
        <v>642</v>
      </c>
      <c r="C87" s="50" t="str">
        <f t="shared" si="23"/>
        <v>PC_BB</v>
      </c>
      <c r="D87" s="319">
        <f t="shared" si="24"/>
        <v>0</v>
      </c>
      <c r="E87" s="50" t="str">
        <f t="shared" si="26"/>
        <v>PC_BB</v>
      </c>
      <c r="F87" s="319">
        <f t="shared" si="27"/>
        <v>0</v>
      </c>
      <c r="G87" s="50" t="str">
        <f t="shared" si="28"/>
        <v>PC_BB</v>
      </c>
      <c r="H87" s="319">
        <f t="shared" si="29"/>
        <v>0</v>
      </c>
      <c r="I87" s="50" t="str">
        <f t="shared" si="30"/>
        <v>PC_BB</v>
      </c>
      <c r="J87" s="319">
        <f t="shared" si="31"/>
        <v>0</v>
      </c>
      <c r="K87" s="50" t="str">
        <f t="shared" si="32"/>
        <v>PC_BB</v>
      </c>
      <c r="L87" s="319">
        <f t="shared" si="33"/>
        <v>0</v>
      </c>
      <c r="M87" s="50" t="str">
        <f t="shared" si="34"/>
        <v>PC_BB</v>
      </c>
      <c r="N87" s="319">
        <f t="shared" si="35"/>
        <v>0</v>
      </c>
      <c r="O87" s="50" t="str">
        <f t="shared" si="36"/>
        <v>PC_BB</v>
      </c>
      <c r="P87" s="319">
        <f t="shared" si="37"/>
        <v>0</v>
      </c>
      <c r="Q87" s="50" t="str">
        <f t="shared" si="38"/>
        <v>PC_BB</v>
      </c>
      <c r="R87" s="319">
        <f t="shared" si="39"/>
        <v>0</v>
      </c>
      <c r="S87" s="50" t="str">
        <f t="shared" si="40"/>
        <v>PC_BB</v>
      </c>
      <c r="T87" s="319">
        <f t="shared" si="25"/>
        <v>0</v>
      </c>
      <c r="U87" s="329" t="s">
        <v>622</v>
      </c>
      <c r="V87" s="330">
        <v>0</v>
      </c>
      <c r="W87" s="331" t="s">
        <v>622</v>
      </c>
      <c r="X87" s="330">
        <v>0</v>
      </c>
      <c r="Y87" s="331" t="s">
        <v>622</v>
      </c>
      <c r="Z87" s="330">
        <v>0</v>
      </c>
      <c r="AA87" s="331" t="s">
        <v>622</v>
      </c>
      <c r="AB87" s="330">
        <v>0</v>
      </c>
      <c r="AC87" s="331" t="s">
        <v>622</v>
      </c>
      <c r="AD87" s="330">
        <v>0</v>
      </c>
      <c r="AE87" s="331" t="s">
        <v>622</v>
      </c>
      <c r="AF87" s="330">
        <v>0</v>
      </c>
      <c r="AG87" s="331" t="s">
        <v>622</v>
      </c>
      <c r="AH87" s="330">
        <v>0</v>
      </c>
      <c r="AI87" s="331" t="s">
        <v>622</v>
      </c>
      <c r="AJ87" s="330">
        <v>0</v>
      </c>
      <c r="AK87" s="331" t="s">
        <v>622</v>
      </c>
      <c r="AL87" s="330">
        <v>0</v>
      </c>
      <c r="AM87" s="330" t="s">
        <v>622</v>
      </c>
      <c r="AN87" s="330">
        <v>0</v>
      </c>
      <c r="AO87" s="331" t="s">
        <v>622</v>
      </c>
      <c r="AP87" s="330">
        <v>0</v>
      </c>
      <c r="AQ87" s="331" t="s">
        <v>622</v>
      </c>
      <c r="AR87" s="330">
        <v>0</v>
      </c>
      <c r="AS87" s="331" t="s">
        <v>622</v>
      </c>
      <c r="AT87" s="330">
        <v>0</v>
      </c>
      <c r="AU87" s="331" t="s">
        <v>622</v>
      </c>
      <c r="AV87" s="330">
        <v>0</v>
      </c>
      <c r="AW87" s="331" t="s">
        <v>622</v>
      </c>
      <c r="AX87" s="330">
        <v>0</v>
      </c>
      <c r="AY87" s="331" t="s">
        <v>622</v>
      </c>
      <c r="AZ87" s="330">
        <v>0</v>
      </c>
      <c r="BA87" s="331" t="s">
        <v>622</v>
      </c>
      <c r="BB87" s="330">
        <v>0</v>
      </c>
      <c r="BC87" s="331" t="s">
        <v>622</v>
      </c>
      <c r="BD87" s="330">
        <v>0</v>
      </c>
      <c r="BE87" s="331" t="s">
        <v>622</v>
      </c>
      <c r="BF87" s="330">
        <v>0</v>
      </c>
      <c r="BG87" s="331" t="s">
        <v>622</v>
      </c>
      <c r="BH87" s="330">
        <v>0</v>
      </c>
      <c r="BI87" s="331" t="s">
        <v>622</v>
      </c>
      <c r="BJ87" s="330">
        <v>0</v>
      </c>
      <c r="BK87" s="331" t="s">
        <v>622</v>
      </c>
      <c r="BL87" s="332">
        <v>0</v>
      </c>
      <c r="BM87" s="320" t="s">
        <v>622</v>
      </c>
      <c r="BN87" s="321">
        <v>0</v>
      </c>
      <c r="BO87" s="320" t="s">
        <v>622</v>
      </c>
      <c r="BP87" s="321">
        <v>0</v>
      </c>
      <c r="BQ87" s="320" t="s">
        <v>622</v>
      </c>
      <c r="BR87" s="321">
        <v>0</v>
      </c>
      <c r="BS87" s="320" t="s">
        <v>622</v>
      </c>
      <c r="BT87" s="321">
        <v>0</v>
      </c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  <c r="CT87" s="20"/>
      <c r="CU87" s="20"/>
      <c r="CV87" s="20"/>
      <c r="CW87" s="20"/>
      <c r="CX87" s="20"/>
      <c r="CY87" s="20"/>
      <c r="CZ87" s="20"/>
      <c r="DA87" s="20"/>
      <c r="DB87" s="20"/>
      <c r="DC87" s="20"/>
      <c r="DD87" s="20"/>
      <c r="DE87" s="20"/>
      <c r="DF87" s="20"/>
      <c r="DG87" s="20"/>
      <c r="DH87" s="20"/>
      <c r="DI87" s="20"/>
      <c r="DJ87" s="20"/>
      <c r="DK87" s="20"/>
      <c r="DL87" s="20"/>
      <c r="DM87" s="20"/>
      <c r="DN87" s="20"/>
      <c r="DO87" s="20"/>
      <c r="DP87" s="20"/>
      <c r="DQ87" s="20"/>
      <c r="DR87" s="20"/>
      <c r="DS87" s="20"/>
      <c r="DT87" s="20"/>
      <c r="DU87" s="20"/>
      <c r="DV87" s="20"/>
      <c r="DW87" s="20"/>
      <c r="DX87" s="20"/>
      <c r="DY87" s="20"/>
      <c r="DZ87" s="20"/>
      <c r="EA87" s="20"/>
      <c r="EB87" s="20"/>
      <c r="EC87" s="20"/>
      <c r="ED87" s="20"/>
      <c r="EE87" s="20"/>
      <c r="EF87" s="20"/>
      <c r="EG87" s="20"/>
      <c r="EH87" s="20"/>
      <c r="EI87" s="20"/>
      <c r="EJ87" s="20"/>
      <c r="EK87" s="20"/>
      <c r="EL87" s="20"/>
      <c r="EM87" s="20"/>
      <c r="EN87" s="20"/>
      <c r="EO87" s="20"/>
      <c r="EP87" s="20"/>
      <c r="EQ87" s="20"/>
      <c r="ER87" s="20"/>
      <c r="ES87" s="20"/>
      <c r="ET87" s="20"/>
      <c r="EU87" s="20"/>
      <c r="EV87" s="20"/>
      <c r="EW87" s="20"/>
      <c r="EX87" s="20"/>
      <c r="EY87" s="20"/>
      <c r="EZ87" s="20"/>
      <c r="FA87" s="20"/>
      <c r="FB87" s="20"/>
      <c r="FC87" s="20"/>
      <c r="FD87" s="20"/>
      <c r="FE87" s="20"/>
      <c r="FF87" s="20"/>
      <c r="FG87" s="20"/>
      <c r="FH87" s="20"/>
      <c r="FI87" s="20"/>
      <c r="FJ87" s="20"/>
      <c r="FK87" s="20"/>
      <c r="FL87" s="20"/>
      <c r="FM87" s="20"/>
      <c r="FN87" s="20"/>
      <c r="FO87" s="20"/>
      <c r="FP87" s="20"/>
      <c r="FQ87" s="20"/>
      <c r="FR87" s="20"/>
      <c r="FS87" s="20"/>
      <c r="FT87" s="20"/>
      <c r="FU87" s="20"/>
      <c r="FV87" s="20"/>
      <c r="FW87" s="20"/>
      <c r="FX87" s="20"/>
      <c r="FY87" s="20"/>
      <c r="FZ87" s="20"/>
      <c r="GA87" s="20"/>
      <c r="GB87" s="20"/>
      <c r="GC87" s="20"/>
      <c r="GD87" s="20"/>
      <c r="GE87" s="20"/>
      <c r="GF87" s="20"/>
      <c r="GG87" s="20"/>
      <c r="GH87" s="20"/>
      <c r="GI87" s="20"/>
      <c r="GJ87" s="20"/>
      <c r="GK87" s="20"/>
      <c r="GL87" s="20"/>
      <c r="GM87" s="20"/>
      <c r="GN87" s="20"/>
      <c r="GO87" s="20"/>
      <c r="GP87" s="20"/>
      <c r="GQ87" s="20"/>
      <c r="GR87" s="20"/>
      <c r="GS87" s="20"/>
      <c r="GT87" s="20"/>
      <c r="GU87" s="20"/>
      <c r="GV87" s="20"/>
      <c r="GW87" s="20"/>
      <c r="GX87" s="20"/>
      <c r="GY87" s="20"/>
      <c r="GZ87" s="20"/>
      <c r="HA87" s="20"/>
      <c r="HB87" s="20"/>
      <c r="HC87" s="20"/>
      <c r="HD87" s="20"/>
      <c r="HE87" s="20"/>
      <c r="HF87" s="20"/>
      <c r="HG87" s="20"/>
      <c r="HH87" s="20"/>
      <c r="HI87" s="20"/>
      <c r="HJ87" s="20"/>
      <c r="HK87" s="20"/>
      <c r="HL87" s="20"/>
      <c r="HM87" s="20"/>
      <c r="HN87" s="20"/>
      <c r="HO87" s="20"/>
      <c r="HP87" s="20"/>
      <c r="HQ87" s="20"/>
      <c r="HR87" s="20"/>
      <c r="HS87" s="20"/>
      <c r="HT87" s="20"/>
      <c r="HU87" s="20"/>
      <c r="HV87" s="20"/>
      <c r="HW87" s="20"/>
      <c r="HX87" s="20"/>
      <c r="HY87" s="20"/>
      <c r="HZ87" s="20"/>
      <c r="IA87" s="20"/>
      <c r="IB87" s="20"/>
      <c r="IC87" s="20"/>
      <c r="ID87" s="20"/>
      <c r="IE87" s="20"/>
      <c r="IF87" s="20"/>
      <c r="IG87" s="20"/>
      <c r="IH87" s="20"/>
      <c r="II87" s="20"/>
      <c r="IJ87" s="20"/>
      <c r="IK87" s="20"/>
      <c r="IL87" s="20"/>
      <c r="IM87" s="20"/>
      <c r="IN87" s="20"/>
      <c r="IO87" s="20"/>
      <c r="IP87" s="20"/>
      <c r="IQ87" s="20"/>
      <c r="IR87" s="20"/>
      <c r="IS87" s="20"/>
      <c r="IT87" s="20"/>
      <c r="IU87" s="20"/>
      <c r="IV87" s="20"/>
      <c r="IW87" s="20"/>
      <c r="IX87" s="20"/>
      <c r="IY87" s="20"/>
      <c r="IZ87" s="20"/>
      <c r="JA87" s="20"/>
      <c r="JB87" s="20"/>
      <c r="JC87" s="20"/>
      <c r="JD87" s="20"/>
      <c r="JE87" s="20"/>
      <c r="JF87" s="20"/>
      <c r="JG87" s="20"/>
      <c r="JH87" s="20"/>
      <c r="JI87" s="20"/>
      <c r="JJ87" s="20"/>
      <c r="JK87" s="20"/>
      <c r="JL87" s="20"/>
      <c r="JM87" s="20"/>
      <c r="JN87" s="20"/>
      <c r="JO87" s="20"/>
      <c r="JP87" s="20"/>
      <c r="JQ87" s="20"/>
      <c r="JR87" s="20"/>
      <c r="JS87" s="20"/>
      <c r="JT87" s="20"/>
      <c r="JU87" s="20"/>
      <c r="JV87" s="20"/>
      <c r="JW87" s="20"/>
      <c r="JX87" s="20"/>
      <c r="JY87" s="20"/>
      <c r="JZ87" s="20"/>
      <c r="KA87" s="20"/>
      <c r="KB87" s="20"/>
      <c r="KC87" s="20"/>
      <c r="KD87" s="188"/>
      <c r="KE87" s="20"/>
      <c r="KF87" s="20"/>
      <c r="KG87" s="20"/>
      <c r="KH87" s="20"/>
      <c r="KI87" s="12"/>
      <c r="KJ87" s="12"/>
      <c r="KK87" s="12"/>
      <c r="KL87" s="12"/>
      <c r="KM87" s="12"/>
      <c r="KN87" s="12"/>
      <c r="KO87" s="12"/>
      <c r="KP87" s="12"/>
      <c r="KQ87" s="12"/>
      <c r="KR87" s="12"/>
      <c r="KS87" s="12"/>
      <c r="KT87" s="12"/>
      <c r="KU87" s="12"/>
      <c r="KV87" s="12"/>
      <c r="KW87" s="12"/>
      <c r="KX87" s="12"/>
    </row>
    <row r="88" spans="1:310" s="39" customFormat="1" x14ac:dyDescent="0.2">
      <c r="A88" s="138">
        <v>0</v>
      </c>
      <c r="B88" s="326" t="s">
        <v>643</v>
      </c>
      <c r="C88" s="50" t="str">
        <f t="shared" si="23"/>
        <v>PC_BBB</v>
      </c>
      <c r="D88" s="319">
        <f t="shared" si="24"/>
        <v>0</v>
      </c>
      <c r="E88" s="50" t="str">
        <f t="shared" si="26"/>
        <v>PC_BBB</v>
      </c>
      <c r="F88" s="319">
        <f t="shared" si="27"/>
        <v>0</v>
      </c>
      <c r="G88" s="50" t="str">
        <f t="shared" si="28"/>
        <v>PC_BBB</v>
      </c>
      <c r="H88" s="319">
        <f t="shared" si="29"/>
        <v>0</v>
      </c>
      <c r="I88" s="50" t="str">
        <f t="shared" si="30"/>
        <v>PC_BBB</v>
      </c>
      <c r="J88" s="319">
        <f t="shared" si="31"/>
        <v>0.24696048632218848</v>
      </c>
      <c r="K88" s="50" t="str">
        <f t="shared" si="32"/>
        <v>PC_BBB</v>
      </c>
      <c r="L88" s="319">
        <f t="shared" si="33"/>
        <v>0.48837209302325585</v>
      </c>
      <c r="M88" s="50" t="str">
        <f t="shared" si="34"/>
        <v>PC_BBB</v>
      </c>
      <c r="N88" s="319">
        <f t="shared" si="35"/>
        <v>0.52649144764288691</v>
      </c>
      <c r="O88" s="50" t="str">
        <f t="shared" si="36"/>
        <v>PC_BBB</v>
      </c>
      <c r="P88" s="319">
        <f t="shared" si="37"/>
        <v>0.70260223048327131</v>
      </c>
      <c r="Q88" s="50" t="str">
        <f t="shared" si="38"/>
        <v>PC_BBB</v>
      </c>
      <c r="R88" s="319">
        <f t="shared" si="39"/>
        <v>0.48154657293497372</v>
      </c>
      <c r="S88" s="50" t="str">
        <f t="shared" si="40"/>
        <v>PC_BBB</v>
      </c>
      <c r="T88" s="319">
        <f t="shared" si="25"/>
        <v>7.5630252100840331E-2</v>
      </c>
      <c r="U88" s="329" t="s">
        <v>617</v>
      </c>
      <c r="V88" s="330">
        <v>0</v>
      </c>
      <c r="W88" s="331" t="s">
        <v>617</v>
      </c>
      <c r="X88" s="330">
        <v>0</v>
      </c>
      <c r="Y88" s="331" t="s">
        <v>617</v>
      </c>
      <c r="Z88" s="330">
        <v>0</v>
      </c>
      <c r="AA88" s="331" t="s">
        <v>617</v>
      </c>
      <c r="AB88" s="330">
        <v>0.24696048632218848</v>
      </c>
      <c r="AC88" s="331" t="s">
        <v>617</v>
      </c>
      <c r="AD88" s="330">
        <v>0.48837209302325585</v>
      </c>
      <c r="AE88" s="331" t="s">
        <v>617</v>
      </c>
      <c r="AF88" s="330">
        <v>0.52649144764288691</v>
      </c>
      <c r="AG88" s="331" t="s">
        <v>617</v>
      </c>
      <c r="AH88" s="330">
        <v>0.70260223048327131</v>
      </c>
      <c r="AI88" s="331" t="s">
        <v>617</v>
      </c>
      <c r="AJ88" s="330">
        <v>0.48154657293497372</v>
      </c>
      <c r="AK88" s="331" t="s">
        <v>617</v>
      </c>
      <c r="AL88" s="330">
        <v>7.5630252100840331E-2</v>
      </c>
      <c r="AM88" s="330" t="s">
        <v>617</v>
      </c>
      <c r="AN88" s="330">
        <v>0</v>
      </c>
      <c r="AO88" s="331" t="s">
        <v>617</v>
      </c>
      <c r="AP88" s="330">
        <v>0</v>
      </c>
      <c r="AQ88" s="331" t="s">
        <v>617</v>
      </c>
      <c r="AR88" s="330">
        <v>9.7935814373964133E-2</v>
      </c>
      <c r="AS88" s="331" t="s">
        <v>617</v>
      </c>
      <c r="AT88" s="330">
        <v>0.28790079784261996</v>
      </c>
      <c r="AU88" s="331" t="s">
        <v>617</v>
      </c>
      <c r="AV88" s="330">
        <v>0.52649144764288691</v>
      </c>
      <c r="AW88" s="331" t="s">
        <v>617</v>
      </c>
      <c r="AX88" s="330">
        <v>0.70260223048327131</v>
      </c>
      <c r="AY88" s="331" t="s">
        <v>617</v>
      </c>
      <c r="AZ88" s="330">
        <v>0.57326478149100268</v>
      </c>
      <c r="BA88" s="331" t="s">
        <v>617</v>
      </c>
      <c r="BB88" s="330">
        <v>0.51878914405010446</v>
      </c>
      <c r="BC88" s="331" t="s">
        <v>617</v>
      </c>
      <c r="BD88" s="330">
        <v>0.48154657293497372</v>
      </c>
      <c r="BE88" s="331" t="s">
        <v>617</v>
      </c>
      <c r="BF88" s="330">
        <v>0.27405498281786944</v>
      </c>
      <c r="BG88" s="331" t="s">
        <v>617</v>
      </c>
      <c r="BH88" s="330">
        <v>0.15395049169209901</v>
      </c>
      <c r="BI88" s="331" t="s">
        <v>617</v>
      </c>
      <c r="BJ88" s="330">
        <v>7.5630252100840331E-2</v>
      </c>
      <c r="BK88" s="331" t="s">
        <v>617</v>
      </c>
      <c r="BL88" s="332">
        <v>7.5630252100840331E-2</v>
      </c>
      <c r="BM88" s="320" t="s">
        <v>617</v>
      </c>
      <c r="BN88" s="321">
        <v>0</v>
      </c>
      <c r="BO88" s="320" t="s">
        <v>617</v>
      </c>
      <c r="BP88" s="321">
        <v>0</v>
      </c>
      <c r="BQ88" s="320" t="s">
        <v>617</v>
      </c>
      <c r="BR88" s="321">
        <v>0</v>
      </c>
      <c r="BS88" s="320" t="s">
        <v>617</v>
      </c>
      <c r="BT88" s="321">
        <v>0</v>
      </c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  <c r="CT88" s="20"/>
      <c r="CU88" s="20"/>
      <c r="CV88" s="20"/>
      <c r="CW88" s="20"/>
      <c r="CX88" s="20"/>
      <c r="CY88" s="20"/>
      <c r="CZ88" s="20"/>
      <c r="DA88" s="20"/>
      <c r="DB88" s="20"/>
      <c r="DC88" s="20"/>
      <c r="DD88" s="20"/>
      <c r="DE88" s="20"/>
      <c r="DF88" s="20"/>
      <c r="DG88" s="20"/>
      <c r="DH88" s="20"/>
      <c r="DI88" s="20"/>
      <c r="DJ88" s="20"/>
      <c r="DK88" s="20"/>
      <c r="DL88" s="20"/>
      <c r="DM88" s="20"/>
      <c r="DN88" s="20"/>
      <c r="DO88" s="20"/>
      <c r="DP88" s="20"/>
      <c r="DQ88" s="20"/>
      <c r="DR88" s="20"/>
      <c r="DS88" s="20"/>
      <c r="DT88" s="20"/>
      <c r="DU88" s="20"/>
      <c r="DV88" s="20"/>
      <c r="DW88" s="20"/>
      <c r="DX88" s="20"/>
      <c r="DY88" s="20"/>
      <c r="DZ88" s="20"/>
      <c r="EA88" s="20"/>
      <c r="EB88" s="20"/>
      <c r="EC88" s="20"/>
      <c r="ED88" s="20"/>
      <c r="EE88" s="20"/>
      <c r="EF88" s="20"/>
      <c r="EG88" s="20"/>
      <c r="EH88" s="20"/>
      <c r="EI88" s="20"/>
      <c r="EJ88" s="20"/>
      <c r="EK88" s="20"/>
      <c r="EL88" s="20"/>
      <c r="EM88" s="20"/>
      <c r="EN88" s="20"/>
      <c r="EO88" s="20"/>
      <c r="EP88" s="20"/>
      <c r="EQ88" s="20"/>
      <c r="ER88" s="20"/>
      <c r="ES88" s="20"/>
      <c r="ET88" s="20"/>
      <c r="EU88" s="20"/>
      <c r="EV88" s="20"/>
      <c r="EW88" s="20"/>
      <c r="EX88" s="20"/>
      <c r="EY88" s="20"/>
      <c r="EZ88" s="20"/>
      <c r="FA88" s="20"/>
      <c r="FB88" s="20"/>
      <c r="FC88" s="20"/>
      <c r="FD88" s="20"/>
      <c r="FE88" s="20"/>
      <c r="FF88" s="20"/>
      <c r="FG88" s="20"/>
      <c r="FH88" s="20"/>
      <c r="FI88" s="20"/>
      <c r="FJ88" s="20"/>
      <c r="FK88" s="20"/>
      <c r="FL88" s="20"/>
      <c r="FM88" s="20"/>
      <c r="FN88" s="20"/>
      <c r="FO88" s="20"/>
      <c r="FP88" s="20"/>
      <c r="FQ88" s="20"/>
      <c r="FR88" s="20"/>
      <c r="FS88" s="20"/>
      <c r="FT88" s="20"/>
      <c r="FU88" s="20"/>
      <c r="FV88" s="20"/>
      <c r="FW88" s="20"/>
      <c r="FX88" s="20"/>
      <c r="FY88" s="20"/>
      <c r="FZ88" s="20"/>
      <c r="GA88" s="20"/>
      <c r="GB88" s="20"/>
      <c r="GC88" s="20"/>
      <c r="GD88" s="20"/>
      <c r="GE88" s="20"/>
      <c r="GF88" s="20"/>
      <c r="GG88" s="20"/>
      <c r="GH88" s="20"/>
      <c r="GI88" s="20"/>
      <c r="GJ88" s="20"/>
      <c r="GK88" s="20"/>
      <c r="GL88" s="20"/>
      <c r="GM88" s="20"/>
      <c r="GN88" s="20"/>
      <c r="GO88" s="20"/>
      <c r="GP88" s="20"/>
      <c r="GQ88" s="20"/>
      <c r="GR88" s="20"/>
      <c r="GS88" s="20"/>
      <c r="GT88" s="20"/>
      <c r="GU88" s="20"/>
      <c r="GV88" s="20"/>
      <c r="GW88" s="20"/>
      <c r="GX88" s="20"/>
      <c r="GY88" s="20"/>
      <c r="GZ88" s="20"/>
      <c r="HA88" s="20"/>
      <c r="HB88" s="20"/>
      <c r="HC88" s="20"/>
      <c r="HD88" s="20"/>
      <c r="HE88" s="20"/>
      <c r="HF88" s="20"/>
      <c r="HG88" s="20"/>
      <c r="HH88" s="20"/>
      <c r="HI88" s="20"/>
      <c r="HJ88" s="20"/>
      <c r="HK88" s="20"/>
      <c r="HL88" s="20"/>
      <c r="HM88" s="20"/>
      <c r="HN88" s="20"/>
      <c r="HO88" s="20"/>
      <c r="HP88" s="20"/>
      <c r="HQ88" s="20"/>
      <c r="HR88" s="20"/>
      <c r="HS88" s="20"/>
      <c r="HT88" s="20"/>
      <c r="HU88" s="20"/>
      <c r="HV88" s="20"/>
      <c r="HW88" s="20"/>
      <c r="HX88" s="20"/>
      <c r="HY88" s="20"/>
      <c r="HZ88" s="20"/>
      <c r="IA88" s="20"/>
      <c r="IB88" s="20"/>
      <c r="IC88" s="20"/>
      <c r="ID88" s="20"/>
      <c r="IE88" s="20"/>
      <c r="IF88" s="20"/>
      <c r="IG88" s="20"/>
      <c r="IH88" s="20"/>
      <c r="II88" s="20"/>
      <c r="IJ88" s="20"/>
      <c r="IK88" s="20"/>
      <c r="IL88" s="20"/>
      <c r="IM88" s="20"/>
      <c r="IN88" s="20"/>
      <c r="IO88" s="20"/>
      <c r="IP88" s="20"/>
      <c r="IQ88" s="20"/>
      <c r="IR88" s="20"/>
      <c r="IS88" s="20"/>
      <c r="IT88" s="20"/>
      <c r="IU88" s="20"/>
      <c r="IV88" s="20"/>
      <c r="IW88" s="20"/>
      <c r="IX88" s="20"/>
      <c r="IY88" s="20"/>
      <c r="IZ88" s="20"/>
      <c r="JA88" s="20"/>
      <c r="JB88" s="20"/>
      <c r="JC88" s="20"/>
      <c r="JD88" s="20"/>
      <c r="JE88" s="20"/>
      <c r="JF88" s="20"/>
      <c r="JG88" s="20"/>
      <c r="JH88" s="20"/>
      <c r="JI88" s="20"/>
      <c r="JJ88" s="20"/>
      <c r="JK88" s="20"/>
      <c r="JL88" s="20"/>
      <c r="JM88" s="20"/>
      <c r="JN88" s="20"/>
      <c r="JO88" s="20"/>
      <c r="JP88" s="20"/>
      <c r="JQ88" s="20"/>
      <c r="JR88" s="20"/>
      <c r="JS88" s="20"/>
      <c r="JT88" s="20"/>
      <c r="JU88" s="20"/>
      <c r="JV88" s="20"/>
      <c r="JW88" s="20"/>
      <c r="JX88" s="20"/>
      <c r="JY88" s="20"/>
      <c r="JZ88" s="20"/>
      <c r="KA88" s="20"/>
      <c r="KB88" s="20"/>
      <c r="KC88" s="20"/>
      <c r="KD88" s="188"/>
      <c r="KE88" s="20"/>
      <c r="KF88" s="20"/>
      <c r="KG88" s="20"/>
      <c r="KH88" s="20"/>
      <c r="KI88" s="12"/>
      <c r="KJ88" s="12"/>
      <c r="KK88" s="12"/>
      <c r="KL88" s="12"/>
      <c r="KM88" s="12"/>
      <c r="KN88" s="12"/>
      <c r="KO88" s="12"/>
      <c r="KP88" s="12"/>
      <c r="KQ88" s="12"/>
      <c r="KR88" s="12"/>
      <c r="KS88" s="12"/>
      <c r="KT88" s="12"/>
      <c r="KU88" s="12"/>
      <c r="KV88" s="12"/>
      <c r="KW88" s="12"/>
      <c r="KX88" s="12"/>
    </row>
    <row r="89" spans="1:310" s="39" customFormat="1" x14ac:dyDescent="0.2">
      <c r="A89" s="138">
        <v>0</v>
      </c>
      <c r="B89" s="326" t="s">
        <v>672</v>
      </c>
      <c r="C89" s="50" t="str">
        <f t="shared" si="23"/>
        <v>PC_CCC</v>
      </c>
      <c r="D89" s="319">
        <f t="shared" si="24"/>
        <v>0</v>
      </c>
      <c r="E89" s="50" t="str">
        <f t="shared" si="26"/>
        <v>PC_CCC</v>
      </c>
      <c r="F89" s="319">
        <f t="shared" si="27"/>
        <v>0</v>
      </c>
      <c r="G89" s="50" t="str">
        <f t="shared" si="28"/>
        <v>PC_CCC</v>
      </c>
      <c r="H89" s="319">
        <f t="shared" si="29"/>
        <v>0</v>
      </c>
      <c r="I89" s="50" t="str">
        <f t="shared" si="30"/>
        <v>PC_CCC</v>
      </c>
      <c r="J89" s="319">
        <f t="shared" si="31"/>
        <v>0</v>
      </c>
      <c r="K89" s="50" t="str">
        <f t="shared" si="32"/>
        <v>PC_CCC</v>
      </c>
      <c r="L89" s="319">
        <f t="shared" si="33"/>
        <v>0</v>
      </c>
      <c r="M89" s="50" t="str">
        <f t="shared" si="34"/>
        <v>PC_CCC</v>
      </c>
      <c r="N89" s="319">
        <f t="shared" si="35"/>
        <v>0</v>
      </c>
      <c r="O89" s="50" t="str">
        <f t="shared" si="36"/>
        <v>PC_CCC</v>
      </c>
      <c r="P89" s="319">
        <f t="shared" si="37"/>
        <v>0</v>
      </c>
      <c r="Q89" s="50" t="str">
        <f t="shared" si="38"/>
        <v>PC_CCC</v>
      </c>
      <c r="R89" s="319">
        <f t="shared" si="39"/>
        <v>0</v>
      </c>
      <c r="S89" s="50" t="str">
        <f t="shared" si="40"/>
        <v>PC_CCC</v>
      </c>
      <c r="T89" s="319">
        <f t="shared" si="25"/>
        <v>0</v>
      </c>
      <c r="U89" s="329" t="s">
        <v>673</v>
      </c>
      <c r="V89" s="330">
        <v>0</v>
      </c>
      <c r="W89" s="331" t="s">
        <v>673</v>
      </c>
      <c r="X89" s="330">
        <v>0</v>
      </c>
      <c r="Y89" s="331" t="s">
        <v>673</v>
      </c>
      <c r="Z89" s="330">
        <v>0</v>
      </c>
      <c r="AA89" s="331" t="s">
        <v>673</v>
      </c>
      <c r="AB89" s="330">
        <v>0</v>
      </c>
      <c r="AC89" s="331" t="s">
        <v>673</v>
      </c>
      <c r="AD89" s="330">
        <v>0</v>
      </c>
      <c r="AE89" s="331" t="s">
        <v>673</v>
      </c>
      <c r="AF89" s="330">
        <v>0</v>
      </c>
      <c r="AG89" s="331" t="s">
        <v>673</v>
      </c>
      <c r="AH89" s="330">
        <v>0</v>
      </c>
      <c r="AI89" s="331" t="s">
        <v>673</v>
      </c>
      <c r="AJ89" s="330">
        <v>0</v>
      </c>
      <c r="AK89" s="331" t="s">
        <v>673</v>
      </c>
      <c r="AL89" s="330">
        <v>0</v>
      </c>
      <c r="AM89" s="330" t="s">
        <v>673</v>
      </c>
      <c r="AN89" s="330">
        <v>0</v>
      </c>
      <c r="AO89" s="331" t="s">
        <v>673</v>
      </c>
      <c r="AP89" s="330">
        <v>0</v>
      </c>
      <c r="AQ89" s="331" t="s">
        <v>673</v>
      </c>
      <c r="AR89" s="330">
        <v>0</v>
      </c>
      <c r="AS89" s="331" t="s">
        <v>673</v>
      </c>
      <c r="AT89" s="330">
        <v>0</v>
      </c>
      <c r="AU89" s="331" t="s">
        <v>673</v>
      </c>
      <c r="AV89" s="330">
        <v>0</v>
      </c>
      <c r="AW89" s="331" t="s">
        <v>673</v>
      </c>
      <c r="AX89" s="330">
        <v>0</v>
      </c>
      <c r="AY89" s="331" t="s">
        <v>673</v>
      </c>
      <c r="AZ89" s="330">
        <v>0</v>
      </c>
      <c r="BA89" s="331" t="s">
        <v>673</v>
      </c>
      <c r="BB89" s="330">
        <v>0</v>
      </c>
      <c r="BC89" s="331" t="s">
        <v>673</v>
      </c>
      <c r="BD89" s="330">
        <v>0</v>
      </c>
      <c r="BE89" s="331" t="s">
        <v>673</v>
      </c>
      <c r="BF89" s="330">
        <v>0</v>
      </c>
      <c r="BG89" s="331" t="s">
        <v>673</v>
      </c>
      <c r="BH89" s="330">
        <v>0</v>
      </c>
      <c r="BI89" s="331" t="s">
        <v>673</v>
      </c>
      <c r="BJ89" s="330">
        <v>0</v>
      </c>
      <c r="BK89" s="331" t="s">
        <v>673</v>
      </c>
      <c r="BL89" s="332">
        <v>0</v>
      </c>
      <c r="BM89" s="320" t="s">
        <v>673</v>
      </c>
      <c r="BN89" s="321">
        <v>0</v>
      </c>
      <c r="BO89" s="320" t="s">
        <v>673</v>
      </c>
      <c r="BP89" s="321">
        <v>0</v>
      </c>
      <c r="BQ89" s="320" t="s">
        <v>673</v>
      </c>
      <c r="BR89" s="321">
        <v>0</v>
      </c>
      <c r="BS89" s="320" t="s">
        <v>673</v>
      </c>
      <c r="BT89" s="321">
        <v>0</v>
      </c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0"/>
      <c r="DD89" s="20"/>
      <c r="DE89" s="20"/>
      <c r="DF89" s="20"/>
      <c r="DG89" s="20"/>
      <c r="DH89" s="20"/>
      <c r="DI89" s="20"/>
      <c r="DJ89" s="20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0"/>
      <c r="EF89" s="20"/>
      <c r="EG89" s="20"/>
      <c r="EH89" s="20"/>
      <c r="EI89" s="20"/>
      <c r="EJ89" s="20"/>
      <c r="EK89" s="20"/>
      <c r="EL89" s="20"/>
      <c r="EM89" s="20"/>
      <c r="EN89" s="20"/>
      <c r="EO89" s="20"/>
      <c r="EP89" s="20"/>
      <c r="EQ89" s="20"/>
      <c r="ER89" s="20"/>
      <c r="ES89" s="20"/>
      <c r="ET89" s="20"/>
      <c r="EU89" s="20"/>
      <c r="EV89" s="20"/>
      <c r="EW89" s="20"/>
      <c r="EX89" s="20"/>
      <c r="EY89" s="20"/>
      <c r="EZ89" s="20"/>
      <c r="FA89" s="20"/>
      <c r="FB89" s="20"/>
      <c r="FC89" s="20"/>
      <c r="FD89" s="20"/>
      <c r="FE89" s="20"/>
      <c r="FF89" s="20"/>
      <c r="FG89" s="20"/>
      <c r="FH89" s="20"/>
      <c r="FI89" s="20"/>
      <c r="FJ89" s="20"/>
      <c r="FK89" s="20"/>
      <c r="FL89" s="20"/>
      <c r="FM89" s="20"/>
      <c r="FN89" s="20"/>
      <c r="FO89" s="20"/>
      <c r="FP89" s="20"/>
      <c r="FQ89" s="20"/>
      <c r="FR89" s="20"/>
      <c r="FS89" s="20"/>
      <c r="FT89" s="20"/>
      <c r="FU89" s="20"/>
      <c r="FV89" s="20"/>
      <c r="FW89" s="20"/>
      <c r="FX89" s="20"/>
      <c r="FY89" s="20"/>
      <c r="FZ89" s="20"/>
      <c r="GA89" s="20"/>
      <c r="GB89" s="20"/>
      <c r="GC89" s="20"/>
      <c r="GD89" s="20"/>
      <c r="GE89" s="20"/>
      <c r="GF89" s="20"/>
      <c r="GG89" s="20"/>
      <c r="GH89" s="20"/>
      <c r="GI89" s="20"/>
      <c r="GJ89" s="20"/>
      <c r="GK89" s="20"/>
      <c r="GL89" s="20"/>
      <c r="GM89" s="20"/>
      <c r="GN89" s="20"/>
      <c r="GO89" s="20"/>
      <c r="GP89" s="20"/>
      <c r="GQ89" s="20"/>
      <c r="GR89" s="20"/>
      <c r="GS89" s="20"/>
      <c r="GT89" s="20"/>
      <c r="GU89" s="20"/>
      <c r="GV89" s="20"/>
      <c r="GW89" s="20"/>
      <c r="GX89" s="20"/>
      <c r="GY89" s="20"/>
      <c r="GZ89" s="20"/>
      <c r="HA89" s="20"/>
      <c r="HB89" s="20"/>
      <c r="HC89" s="20"/>
      <c r="HD89" s="20"/>
      <c r="HE89" s="20"/>
      <c r="HF89" s="20"/>
      <c r="HG89" s="20"/>
      <c r="HH89" s="20"/>
      <c r="HI89" s="20"/>
      <c r="HJ89" s="20"/>
      <c r="HK89" s="20"/>
      <c r="HL89" s="20"/>
      <c r="HM89" s="20"/>
      <c r="HN89" s="20"/>
      <c r="HO89" s="20"/>
      <c r="HP89" s="20"/>
      <c r="HQ89" s="20"/>
      <c r="HR89" s="20"/>
      <c r="HS89" s="20"/>
      <c r="HT89" s="20"/>
      <c r="HU89" s="20"/>
      <c r="HV89" s="20"/>
      <c r="HW89" s="20"/>
      <c r="HX89" s="20"/>
      <c r="HY89" s="20"/>
      <c r="HZ89" s="20"/>
      <c r="IA89" s="20"/>
      <c r="IB89" s="20"/>
      <c r="IC89" s="20"/>
      <c r="ID89" s="20"/>
      <c r="IE89" s="20"/>
      <c r="IF89" s="20"/>
      <c r="IG89" s="20"/>
      <c r="IH89" s="20"/>
      <c r="II89" s="20"/>
      <c r="IJ89" s="20"/>
      <c r="IK89" s="20"/>
      <c r="IL89" s="20"/>
      <c r="IM89" s="20"/>
      <c r="IN89" s="20"/>
      <c r="IO89" s="20"/>
      <c r="IP89" s="20"/>
      <c r="IQ89" s="20"/>
      <c r="IR89" s="20"/>
      <c r="IS89" s="20"/>
      <c r="IT89" s="20"/>
      <c r="IU89" s="20"/>
      <c r="IV89" s="20"/>
      <c r="IW89" s="20"/>
      <c r="IX89" s="20"/>
      <c r="IY89" s="20"/>
      <c r="IZ89" s="20"/>
      <c r="JA89" s="20"/>
      <c r="JB89" s="20"/>
      <c r="JC89" s="20"/>
      <c r="JD89" s="20"/>
      <c r="JE89" s="20"/>
      <c r="JF89" s="20"/>
      <c r="JG89" s="20"/>
      <c r="JH89" s="20"/>
      <c r="JI89" s="20"/>
      <c r="JJ89" s="20"/>
      <c r="JK89" s="20"/>
      <c r="JL89" s="20"/>
      <c r="JM89" s="20"/>
      <c r="JN89" s="20"/>
      <c r="JO89" s="20"/>
      <c r="JP89" s="20"/>
      <c r="JQ89" s="20"/>
      <c r="JR89" s="20"/>
      <c r="JS89" s="20"/>
      <c r="JT89" s="20"/>
      <c r="JU89" s="20"/>
      <c r="JV89" s="20"/>
      <c r="JW89" s="20"/>
      <c r="JX89" s="20"/>
      <c r="JY89" s="20"/>
      <c r="JZ89" s="20"/>
      <c r="KA89" s="20"/>
      <c r="KB89" s="20"/>
      <c r="KC89" s="20"/>
      <c r="KD89" s="188"/>
      <c r="KE89" s="20"/>
      <c r="KF89" s="20"/>
      <c r="KG89" s="20"/>
      <c r="KH89" s="20"/>
      <c r="KI89" s="12"/>
      <c r="KJ89" s="12"/>
      <c r="KK89" s="12"/>
      <c r="KL89" s="12"/>
      <c r="KM89" s="12"/>
      <c r="KN89" s="12"/>
      <c r="KO89" s="12"/>
      <c r="KP89" s="12"/>
      <c r="KQ89" s="12"/>
      <c r="KR89" s="12"/>
      <c r="KS89" s="12"/>
      <c r="KT89" s="12"/>
      <c r="KU89" s="12"/>
      <c r="KV89" s="12"/>
      <c r="KW89" s="12"/>
      <c r="KX89" s="12"/>
    </row>
    <row r="90" spans="1:310" s="39" customFormat="1" x14ac:dyDescent="0.2">
      <c r="A90" s="138">
        <v>0</v>
      </c>
      <c r="B90" s="326" t="s">
        <v>644</v>
      </c>
      <c r="C90" s="50" t="str">
        <f t="shared" si="23"/>
        <v>PC_A</v>
      </c>
      <c r="D90" s="319">
        <f t="shared" si="24"/>
        <v>0</v>
      </c>
      <c r="E90" s="50" t="str">
        <f t="shared" si="26"/>
        <v>PC_A</v>
      </c>
      <c r="F90" s="319">
        <f t="shared" si="27"/>
        <v>0</v>
      </c>
      <c r="G90" s="50" t="str">
        <f t="shared" si="28"/>
        <v>PC_A</v>
      </c>
      <c r="H90" s="319">
        <f t="shared" si="29"/>
        <v>0</v>
      </c>
      <c r="I90" s="50" t="str">
        <f t="shared" si="30"/>
        <v>PC_A</v>
      </c>
      <c r="J90" s="319">
        <f t="shared" si="31"/>
        <v>0.11999040076793857</v>
      </c>
      <c r="K90" s="50" t="str">
        <f t="shared" si="32"/>
        <v>PC_A</v>
      </c>
      <c r="L90" s="319">
        <f t="shared" si="33"/>
        <v>0.23770491803278687</v>
      </c>
      <c r="M90" s="50" t="str">
        <f t="shared" si="34"/>
        <v>PC_A</v>
      </c>
      <c r="N90" s="319">
        <f t="shared" si="35"/>
        <v>0.31977446637132501</v>
      </c>
      <c r="O90" s="50" t="str">
        <f t="shared" si="36"/>
        <v>PC_A</v>
      </c>
      <c r="P90" s="319">
        <f t="shared" si="37"/>
        <v>0.4213483146067416</v>
      </c>
      <c r="Q90" s="50" t="str">
        <f t="shared" si="38"/>
        <v>PC_A</v>
      </c>
      <c r="R90" s="319">
        <f t="shared" si="39"/>
        <v>0.53416149068322982</v>
      </c>
      <c r="S90" s="50" t="str">
        <f t="shared" si="40"/>
        <v>PC_A</v>
      </c>
      <c r="T90" s="319">
        <f t="shared" si="25"/>
        <v>0.99417209461775802</v>
      </c>
      <c r="U90" s="329" t="s">
        <v>616</v>
      </c>
      <c r="V90" s="330">
        <v>0</v>
      </c>
      <c r="W90" s="331" t="s">
        <v>616</v>
      </c>
      <c r="X90" s="330">
        <v>0</v>
      </c>
      <c r="Y90" s="331" t="s">
        <v>616</v>
      </c>
      <c r="Z90" s="330">
        <v>0</v>
      </c>
      <c r="AA90" s="331" t="s">
        <v>616</v>
      </c>
      <c r="AB90" s="330">
        <v>0.11999040076793857</v>
      </c>
      <c r="AC90" s="331" t="s">
        <v>616</v>
      </c>
      <c r="AD90" s="330">
        <v>0.23770491803278687</v>
      </c>
      <c r="AE90" s="331" t="s">
        <v>616</v>
      </c>
      <c r="AF90" s="330">
        <v>0.31977446637132501</v>
      </c>
      <c r="AG90" s="331" t="s">
        <v>616</v>
      </c>
      <c r="AH90" s="330">
        <v>0.4213483146067416</v>
      </c>
      <c r="AI90" s="331" t="s">
        <v>616</v>
      </c>
      <c r="AJ90" s="330">
        <v>0.53416149068322982</v>
      </c>
      <c r="AK90" s="331" t="s">
        <v>616</v>
      </c>
      <c r="AL90" s="330">
        <v>0.99417209461775802</v>
      </c>
      <c r="AM90" s="330" t="s">
        <v>616</v>
      </c>
      <c r="AN90" s="330">
        <v>0</v>
      </c>
      <c r="AO90" s="331" t="s">
        <v>616</v>
      </c>
      <c r="AP90" s="330">
        <v>0</v>
      </c>
      <c r="AQ90" s="331" t="s">
        <v>616</v>
      </c>
      <c r="AR90" s="330">
        <v>4.7760623753746227E-2</v>
      </c>
      <c r="AS90" s="331" t="s">
        <v>616</v>
      </c>
      <c r="AT90" s="330">
        <v>0.14190232550821341</v>
      </c>
      <c r="AU90" s="331" t="s">
        <v>616</v>
      </c>
      <c r="AV90" s="330">
        <v>0.31977446637132501</v>
      </c>
      <c r="AW90" s="331" t="s">
        <v>616</v>
      </c>
      <c r="AX90" s="330">
        <v>0.4213483146067416</v>
      </c>
      <c r="AY90" s="331" t="s">
        <v>616</v>
      </c>
      <c r="AZ90" s="330">
        <v>0.46983449012279765</v>
      </c>
      <c r="BA90" s="331" t="s">
        <v>616</v>
      </c>
      <c r="BB90" s="330">
        <v>0.50315274739415783</v>
      </c>
      <c r="BC90" s="331" t="s">
        <v>616</v>
      </c>
      <c r="BD90" s="330">
        <v>0.53416149068322982</v>
      </c>
      <c r="BE90" s="331" t="s">
        <v>616</v>
      </c>
      <c r="BF90" s="330">
        <v>0.75281081961870622</v>
      </c>
      <c r="BG90" s="331" t="s">
        <v>616</v>
      </c>
      <c r="BH90" s="330">
        <v>0.89468027941966688</v>
      </c>
      <c r="BI90" s="331" t="s">
        <v>616</v>
      </c>
      <c r="BJ90" s="330">
        <v>0.99417209461775802</v>
      </c>
      <c r="BK90" s="331" t="s">
        <v>616</v>
      </c>
      <c r="BL90" s="332">
        <v>0.99417209461775802</v>
      </c>
      <c r="BM90" s="320" t="s">
        <v>616</v>
      </c>
      <c r="BN90" s="321">
        <v>0</v>
      </c>
      <c r="BO90" s="320" t="s">
        <v>616</v>
      </c>
      <c r="BP90" s="321">
        <v>0</v>
      </c>
      <c r="BQ90" s="320" t="s">
        <v>616</v>
      </c>
      <c r="BR90" s="321">
        <v>0</v>
      </c>
      <c r="BS90" s="320" t="s">
        <v>616</v>
      </c>
      <c r="BT90" s="321">
        <v>0.1</v>
      </c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0"/>
      <c r="CR90" s="20"/>
      <c r="CS90" s="20"/>
      <c r="CT90" s="20"/>
      <c r="CU90" s="20"/>
      <c r="CV90" s="20"/>
      <c r="CW90" s="20"/>
      <c r="CX90" s="20"/>
      <c r="CY90" s="20"/>
      <c r="CZ90" s="20"/>
      <c r="DA90" s="20"/>
      <c r="DB90" s="20"/>
      <c r="DC90" s="20"/>
      <c r="DD90" s="20"/>
      <c r="DE90" s="20"/>
      <c r="DF90" s="20"/>
      <c r="DG90" s="20"/>
      <c r="DH90" s="20"/>
      <c r="DI90" s="20"/>
      <c r="DJ90" s="20"/>
      <c r="DK90" s="20"/>
      <c r="DL90" s="20"/>
      <c r="DM90" s="20"/>
      <c r="DN90" s="20"/>
      <c r="DO90" s="20"/>
      <c r="DP90" s="20"/>
      <c r="DQ90" s="20"/>
      <c r="DR90" s="20"/>
      <c r="DS90" s="20"/>
      <c r="DT90" s="20"/>
      <c r="DU90" s="20"/>
      <c r="DV90" s="20"/>
      <c r="DW90" s="20"/>
      <c r="DX90" s="20"/>
      <c r="DY90" s="20"/>
      <c r="DZ90" s="20"/>
      <c r="EA90" s="20"/>
      <c r="EB90" s="20"/>
      <c r="EC90" s="20"/>
      <c r="ED90" s="20"/>
      <c r="EE90" s="20"/>
      <c r="EF90" s="20"/>
      <c r="EG90" s="20"/>
      <c r="EH90" s="20"/>
      <c r="EI90" s="20"/>
      <c r="EJ90" s="20"/>
      <c r="EK90" s="20"/>
      <c r="EL90" s="20"/>
      <c r="EM90" s="20"/>
      <c r="EN90" s="20"/>
      <c r="EO90" s="20"/>
      <c r="EP90" s="20"/>
      <c r="EQ90" s="20"/>
      <c r="ER90" s="20"/>
      <c r="ES90" s="20"/>
      <c r="ET90" s="20"/>
      <c r="EU90" s="20"/>
      <c r="EV90" s="20"/>
      <c r="EW90" s="20"/>
      <c r="EX90" s="20"/>
      <c r="EY90" s="20"/>
      <c r="EZ90" s="20"/>
      <c r="FA90" s="20"/>
      <c r="FB90" s="20"/>
      <c r="FC90" s="20"/>
      <c r="FD90" s="20"/>
      <c r="FE90" s="20"/>
      <c r="FF90" s="20"/>
      <c r="FG90" s="20"/>
      <c r="FH90" s="20"/>
      <c r="FI90" s="20"/>
      <c r="FJ90" s="20"/>
      <c r="FK90" s="20"/>
      <c r="FL90" s="20"/>
      <c r="FM90" s="20"/>
      <c r="FN90" s="20"/>
      <c r="FO90" s="20"/>
      <c r="FP90" s="20"/>
      <c r="FQ90" s="20"/>
      <c r="FR90" s="20"/>
      <c r="FS90" s="20"/>
      <c r="FT90" s="20"/>
      <c r="FU90" s="20"/>
      <c r="FV90" s="20"/>
      <c r="FW90" s="20"/>
      <c r="FX90" s="20"/>
      <c r="FY90" s="20"/>
      <c r="FZ90" s="20"/>
      <c r="GA90" s="20"/>
      <c r="GB90" s="20"/>
      <c r="GC90" s="20"/>
      <c r="GD90" s="20"/>
      <c r="GE90" s="20"/>
      <c r="GF90" s="20"/>
      <c r="GG90" s="20"/>
      <c r="GH90" s="20"/>
      <c r="GI90" s="20"/>
      <c r="GJ90" s="20"/>
      <c r="GK90" s="20"/>
      <c r="GL90" s="20"/>
      <c r="GM90" s="20"/>
      <c r="GN90" s="20"/>
      <c r="GO90" s="20"/>
      <c r="GP90" s="20"/>
      <c r="GQ90" s="20"/>
      <c r="GR90" s="20"/>
      <c r="GS90" s="20"/>
      <c r="GT90" s="20"/>
      <c r="GU90" s="20"/>
      <c r="GV90" s="20"/>
      <c r="GW90" s="20"/>
      <c r="GX90" s="20"/>
      <c r="GY90" s="20"/>
      <c r="GZ90" s="20"/>
      <c r="HA90" s="20"/>
      <c r="HB90" s="20"/>
      <c r="HC90" s="20"/>
      <c r="HD90" s="20"/>
      <c r="HE90" s="20"/>
      <c r="HF90" s="20"/>
      <c r="HG90" s="20"/>
      <c r="HH90" s="20"/>
      <c r="HI90" s="20"/>
      <c r="HJ90" s="20"/>
      <c r="HK90" s="20"/>
      <c r="HL90" s="20"/>
      <c r="HM90" s="20"/>
      <c r="HN90" s="20"/>
      <c r="HO90" s="20"/>
      <c r="HP90" s="20"/>
      <c r="HQ90" s="20"/>
      <c r="HR90" s="20"/>
      <c r="HS90" s="20"/>
      <c r="HT90" s="20"/>
      <c r="HU90" s="20"/>
      <c r="HV90" s="20"/>
      <c r="HW90" s="20"/>
      <c r="HX90" s="20"/>
      <c r="HY90" s="20"/>
      <c r="HZ90" s="20"/>
      <c r="IA90" s="20"/>
      <c r="IB90" s="20"/>
      <c r="IC90" s="20"/>
      <c r="ID90" s="20"/>
      <c r="IE90" s="20"/>
      <c r="IF90" s="20"/>
      <c r="IG90" s="20"/>
      <c r="IH90" s="20"/>
      <c r="II90" s="20"/>
      <c r="IJ90" s="20"/>
      <c r="IK90" s="20"/>
      <c r="IL90" s="20"/>
      <c r="IM90" s="20"/>
      <c r="IN90" s="20"/>
      <c r="IO90" s="20"/>
      <c r="IP90" s="20"/>
      <c r="IQ90" s="20"/>
      <c r="IR90" s="20"/>
      <c r="IS90" s="20"/>
      <c r="IT90" s="20"/>
      <c r="IU90" s="20"/>
      <c r="IV90" s="20"/>
      <c r="IW90" s="20"/>
      <c r="IX90" s="20"/>
      <c r="IY90" s="20"/>
      <c r="IZ90" s="20"/>
      <c r="JA90" s="20"/>
      <c r="JB90" s="20"/>
      <c r="JC90" s="20"/>
      <c r="JD90" s="20"/>
      <c r="JE90" s="20"/>
      <c r="JF90" s="20"/>
      <c r="JG90" s="20"/>
      <c r="JH90" s="20"/>
      <c r="JI90" s="20"/>
      <c r="JJ90" s="20"/>
      <c r="JK90" s="20"/>
      <c r="JL90" s="20"/>
      <c r="JM90" s="20"/>
      <c r="JN90" s="20"/>
      <c r="JO90" s="20"/>
      <c r="JP90" s="20"/>
      <c r="JQ90" s="20"/>
      <c r="JR90" s="20"/>
      <c r="JS90" s="20"/>
      <c r="JT90" s="20"/>
      <c r="JU90" s="20"/>
      <c r="JV90" s="20"/>
      <c r="JW90" s="20"/>
      <c r="JX90" s="20"/>
      <c r="JY90" s="20"/>
      <c r="JZ90" s="20"/>
      <c r="KA90" s="20"/>
      <c r="KB90" s="20"/>
      <c r="KC90" s="20"/>
      <c r="KD90" s="188"/>
      <c r="KE90" s="20"/>
      <c r="KF90" s="20"/>
      <c r="KG90" s="20"/>
      <c r="KH90" s="20"/>
      <c r="KI90" s="12"/>
      <c r="KJ90" s="12"/>
      <c r="KK90" s="12"/>
      <c r="KL90" s="12"/>
      <c r="KM90" s="12"/>
      <c r="KN90" s="12"/>
      <c r="KO90" s="12"/>
      <c r="KP90" s="12"/>
      <c r="KQ90" s="12"/>
      <c r="KR90" s="12"/>
      <c r="KS90" s="12"/>
      <c r="KT90" s="12"/>
      <c r="KU90" s="12"/>
      <c r="KV90" s="12"/>
      <c r="KW90" s="12"/>
      <c r="KX90" s="12"/>
    </row>
    <row r="91" spans="1:310" s="39" customFormat="1" x14ac:dyDescent="0.2">
      <c r="A91" s="138">
        <v>0</v>
      </c>
      <c r="B91" s="326" t="s">
        <v>645</v>
      </c>
      <c r="C91" s="50" t="str">
        <f t="shared" si="23"/>
        <v>PC_AA</v>
      </c>
      <c r="D91" s="319">
        <f t="shared" si="24"/>
        <v>0</v>
      </c>
      <c r="E91" s="50" t="str">
        <f t="shared" si="26"/>
        <v>PC_AA</v>
      </c>
      <c r="F91" s="319">
        <f t="shared" si="27"/>
        <v>0</v>
      </c>
      <c r="G91" s="50" t="str">
        <f t="shared" si="28"/>
        <v>PC_AA</v>
      </c>
      <c r="H91" s="319">
        <f t="shared" si="29"/>
        <v>0</v>
      </c>
      <c r="I91" s="50" t="str">
        <f t="shared" si="30"/>
        <v>PC_AA</v>
      </c>
      <c r="J91" s="319">
        <f t="shared" si="31"/>
        <v>0</v>
      </c>
      <c r="K91" s="50" t="str">
        <f t="shared" si="32"/>
        <v>PC_AA</v>
      </c>
      <c r="L91" s="319">
        <f t="shared" si="33"/>
        <v>0</v>
      </c>
      <c r="M91" s="50" t="str">
        <f t="shared" si="34"/>
        <v>PC_AA</v>
      </c>
      <c r="N91" s="319">
        <f t="shared" si="35"/>
        <v>0</v>
      </c>
      <c r="O91" s="50" t="str">
        <f t="shared" si="36"/>
        <v>PC_AA</v>
      </c>
      <c r="P91" s="319">
        <f t="shared" si="37"/>
        <v>0</v>
      </c>
      <c r="Q91" s="50" t="str">
        <f t="shared" si="38"/>
        <v>PC_AA</v>
      </c>
      <c r="R91" s="319">
        <f t="shared" si="39"/>
        <v>0</v>
      </c>
      <c r="S91" s="50" t="str">
        <f t="shared" si="40"/>
        <v>PC_AA</v>
      </c>
      <c r="T91" s="319">
        <f t="shared" si="25"/>
        <v>0</v>
      </c>
      <c r="U91" s="329" t="s">
        <v>620</v>
      </c>
      <c r="V91" s="330">
        <v>0</v>
      </c>
      <c r="W91" s="331" t="s">
        <v>620</v>
      </c>
      <c r="X91" s="330">
        <v>0</v>
      </c>
      <c r="Y91" s="331" t="s">
        <v>620</v>
      </c>
      <c r="Z91" s="330">
        <v>0</v>
      </c>
      <c r="AA91" s="331" t="s">
        <v>620</v>
      </c>
      <c r="AB91" s="330">
        <v>0</v>
      </c>
      <c r="AC91" s="331" t="s">
        <v>620</v>
      </c>
      <c r="AD91" s="330">
        <v>0</v>
      </c>
      <c r="AE91" s="331" t="s">
        <v>620</v>
      </c>
      <c r="AF91" s="330">
        <v>0</v>
      </c>
      <c r="AG91" s="331" t="s">
        <v>620</v>
      </c>
      <c r="AH91" s="330">
        <v>0</v>
      </c>
      <c r="AI91" s="331" t="s">
        <v>620</v>
      </c>
      <c r="AJ91" s="330">
        <v>0</v>
      </c>
      <c r="AK91" s="331" t="s">
        <v>620</v>
      </c>
      <c r="AL91" s="330">
        <v>0</v>
      </c>
      <c r="AM91" s="330" t="s">
        <v>620</v>
      </c>
      <c r="AN91" s="330">
        <v>0</v>
      </c>
      <c r="AO91" s="331" t="s">
        <v>620</v>
      </c>
      <c r="AP91" s="330">
        <v>0</v>
      </c>
      <c r="AQ91" s="331" t="s">
        <v>620</v>
      </c>
      <c r="AR91" s="330">
        <v>0</v>
      </c>
      <c r="AS91" s="331" t="s">
        <v>620</v>
      </c>
      <c r="AT91" s="330">
        <v>0</v>
      </c>
      <c r="AU91" s="331" t="s">
        <v>620</v>
      </c>
      <c r="AV91" s="330">
        <v>0</v>
      </c>
      <c r="AW91" s="331" t="s">
        <v>620</v>
      </c>
      <c r="AX91" s="330">
        <v>0</v>
      </c>
      <c r="AY91" s="331" t="s">
        <v>620</v>
      </c>
      <c r="AZ91" s="330">
        <v>0</v>
      </c>
      <c r="BA91" s="331" t="s">
        <v>620</v>
      </c>
      <c r="BB91" s="330">
        <v>0</v>
      </c>
      <c r="BC91" s="331" t="s">
        <v>620</v>
      </c>
      <c r="BD91" s="330">
        <v>0</v>
      </c>
      <c r="BE91" s="331" t="s">
        <v>620</v>
      </c>
      <c r="BF91" s="330">
        <v>0</v>
      </c>
      <c r="BG91" s="331" t="s">
        <v>620</v>
      </c>
      <c r="BH91" s="330">
        <v>0</v>
      </c>
      <c r="BI91" s="331" t="s">
        <v>620</v>
      </c>
      <c r="BJ91" s="330">
        <v>0</v>
      </c>
      <c r="BK91" s="331" t="s">
        <v>620</v>
      </c>
      <c r="BL91" s="332">
        <v>0</v>
      </c>
      <c r="BM91" s="320" t="s">
        <v>620</v>
      </c>
      <c r="BN91" s="321">
        <v>0</v>
      </c>
      <c r="BO91" s="320" t="s">
        <v>620</v>
      </c>
      <c r="BP91" s="321">
        <v>0</v>
      </c>
      <c r="BQ91" s="320" t="s">
        <v>620</v>
      </c>
      <c r="BR91" s="321">
        <v>0</v>
      </c>
      <c r="BS91" s="320" t="s">
        <v>620</v>
      </c>
      <c r="BT91" s="321">
        <v>0</v>
      </c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  <c r="EJ91" s="20"/>
      <c r="EK91" s="20"/>
      <c r="EL91" s="20"/>
      <c r="EM91" s="20"/>
      <c r="EN91" s="20"/>
      <c r="EO91" s="20"/>
      <c r="EP91" s="20"/>
      <c r="EQ91" s="20"/>
      <c r="ER91" s="20"/>
      <c r="ES91" s="20"/>
      <c r="ET91" s="20"/>
      <c r="EU91" s="20"/>
      <c r="EV91" s="20"/>
      <c r="EW91" s="20"/>
      <c r="EX91" s="20"/>
      <c r="EY91" s="20"/>
      <c r="EZ91" s="20"/>
      <c r="FA91" s="20"/>
      <c r="FB91" s="20"/>
      <c r="FC91" s="20"/>
      <c r="FD91" s="20"/>
      <c r="FE91" s="20"/>
      <c r="FF91" s="20"/>
      <c r="FG91" s="20"/>
      <c r="FH91" s="20"/>
      <c r="FI91" s="20"/>
      <c r="FJ91" s="20"/>
      <c r="FK91" s="20"/>
      <c r="FL91" s="20"/>
      <c r="FM91" s="20"/>
      <c r="FN91" s="20"/>
      <c r="FO91" s="20"/>
      <c r="FP91" s="20"/>
      <c r="FQ91" s="20"/>
      <c r="FR91" s="20"/>
      <c r="FS91" s="20"/>
      <c r="FT91" s="20"/>
      <c r="FU91" s="20"/>
      <c r="FV91" s="20"/>
      <c r="FW91" s="20"/>
      <c r="FX91" s="20"/>
      <c r="FY91" s="20"/>
      <c r="FZ91" s="20"/>
      <c r="GA91" s="20"/>
      <c r="GB91" s="20"/>
      <c r="GC91" s="20"/>
      <c r="GD91" s="20"/>
      <c r="GE91" s="20"/>
      <c r="GF91" s="20"/>
      <c r="GG91" s="20"/>
      <c r="GH91" s="20"/>
      <c r="GI91" s="20"/>
      <c r="GJ91" s="20"/>
      <c r="GK91" s="20"/>
      <c r="GL91" s="20"/>
      <c r="GM91" s="20"/>
      <c r="GN91" s="20"/>
      <c r="GO91" s="20"/>
      <c r="GP91" s="20"/>
      <c r="GQ91" s="20"/>
      <c r="GR91" s="20"/>
      <c r="GS91" s="20"/>
      <c r="GT91" s="20"/>
      <c r="GU91" s="20"/>
      <c r="GV91" s="20"/>
      <c r="GW91" s="20"/>
      <c r="GX91" s="20"/>
      <c r="GY91" s="20"/>
      <c r="GZ91" s="20"/>
      <c r="HA91" s="20"/>
      <c r="HB91" s="20"/>
      <c r="HC91" s="20"/>
      <c r="HD91" s="20"/>
      <c r="HE91" s="20"/>
      <c r="HF91" s="20"/>
      <c r="HG91" s="20"/>
      <c r="HH91" s="20"/>
      <c r="HI91" s="20"/>
      <c r="HJ91" s="20"/>
      <c r="HK91" s="20"/>
      <c r="HL91" s="20"/>
      <c r="HM91" s="20"/>
      <c r="HN91" s="20"/>
      <c r="HO91" s="20"/>
      <c r="HP91" s="20"/>
      <c r="HQ91" s="20"/>
      <c r="HR91" s="20"/>
      <c r="HS91" s="20"/>
      <c r="HT91" s="20"/>
      <c r="HU91" s="20"/>
      <c r="HV91" s="20"/>
      <c r="HW91" s="20"/>
      <c r="HX91" s="20"/>
      <c r="HY91" s="20"/>
      <c r="HZ91" s="20"/>
      <c r="IA91" s="20"/>
      <c r="IB91" s="20"/>
      <c r="IC91" s="20"/>
      <c r="ID91" s="20"/>
      <c r="IE91" s="20"/>
      <c r="IF91" s="20"/>
      <c r="IG91" s="20"/>
      <c r="IH91" s="20"/>
      <c r="II91" s="20"/>
      <c r="IJ91" s="20"/>
      <c r="IK91" s="20"/>
      <c r="IL91" s="20"/>
      <c r="IM91" s="20"/>
      <c r="IN91" s="20"/>
      <c r="IO91" s="20"/>
      <c r="IP91" s="20"/>
      <c r="IQ91" s="20"/>
      <c r="IR91" s="20"/>
      <c r="IS91" s="20"/>
      <c r="IT91" s="20"/>
      <c r="IU91" s="20"/>
      <c r="IV91" s="20"/>
      <c r="IW91" s="20"/>
      <c r="IX91" s="20"/>
      <c r="IY91" s="20"/>
      <c r="IZ91" s="20"/>
      <c r="JA91" s="20"/>
      <c r="JB91" s="20"/>
      <c r="JC91" s="20"/>
      <c r="JD91" s="20"/>
      <c r="JE91" s="20"/>
      <c r="JF91" s="20"/>
      <c r="JG91" s="20"/>
      <c r="JH91" s="20"/>
      <c r="JI91" s="20"/>
      <c r="JJ91" s="20"/>
      <c r="JK91" s="20"/>
      <c r="JL91" s="20"/>
      <c r="JM91" s="20"/>
      <c r="JN91" s="20"/>
      <c r="JO91" s="20"/>
      <c r="JP91" s="20"/>
      <c r="JQ91" s="20"/>
      <c r="JR91" s="20"/>
      <c r="JS91" s="20"/>
      <c r="JT91" s="20"/>
      <c r="JU91" s="20"/>
      <c r="JV91" s="20"/>
      <c r="JW91" s="20"/>
      <c r="JX91" s="20"/>
      <c r="JY91" s="20"/>
      <c r="JZ91" s="20"/>
      <c r="KA91" s="20"/>
      <c r="KB91" s="20"/>
      <c r="KC91" s="20"/>
      <c r="KD91" s="188"/>
      <c r="KE91" s="20"/>
      <c r="KF91" s="20"/>
      <c r="KG91" s="20"/>
      <c r="KH91" s="20"/>
      <c r="KI91" s="12"/>
      <c r="KJ91" s="12"/>
      <c r="KK91" s="12"/>
      <c r="KL91" s="12"/>
      <c r="KM91" s="12"/>
      <c r="KN91" s="12"/>
      <c r="KO91" s="12"/>
      <c r="KP91" s="12"/>
      <c r="KQ91" s="12"/>
      <c r="KR91" s="12"/>
      <c r="KS91" s="12"/>
      <c r="KT91" s="12"/>
      <c r="KU91" s="12"/>
      <c r="KV91" s="12"/>
      <c r="KW91" s="12"/>
      <c r="KX91" s="12"/>
    </row>
    <row r="92" spans="1:310" s="39" customFormat="1" x14ac:dyDescent="0.2">
      <c r="A92" s="138">
        <v>0</v>
      </c>
      <c r="B92" s="326" t="s">
        <v>646</v>
      </c>
      <c r="C92" s="50" t="str">
        <f t="shared" si="23"/>
        <v>PC_BBB</v>
      </c>
      <c r="D92" s="319">
        <f t="shared" si="24"/>
        <v>0</v>
      </c>
      <c r="E92" s="50" t="str">
        <f t="shared" si="26"/>
        <v>PC_BBB</v>
      </c>
      <c r="F92" s="319">
        <f t="shared" si="27"/>
        <v>0</v>
      </c>
      <c r="G92" s="50" t="str">
        <f t="shared" si="28"/>
        <v>PC_BBB</v>
      </c>
      <c r="H92" s="319">
        <f t="shared" si="29"/>
        <v>0</v>
      </c>
      <c r="I92" s="50" t="str">
        <f t="shared" si="30"/>
        <v>PC_BBB</v>
      </c>
      <c r="J92" s="319">
        <f t="shared" si="31"/>
        <v>0</v>
      </c>
      <c r="K92" s="50" t="str">
        <f t="shared" si="32"/>
        <v>PC_BBB</v>
      </c>
      <c r="L92" s="319">
        <f t="shared" si="33"/>
        <v>0.13953488372093023</v>
      </c>
      <c r="M92" s="50" t="str">
        <f t="shared" si="34"/>
        <v>PC_BBB</v>
      </c>
      <c r="N92" s="319">
        <f t="shared" si="35"/>
        <v>0.1564455569461827</v>
      </c>
      <c r="O92" s="50" t="str">
        <f t="shared" si="36"/>
        <v>PC_BBB</v>
      </c>
      <c r="P92" s="319">
        <f t="shared" si="37"/>
        <v>0.16728624535315986</v>
      </c>
      <c r="Q92" s="50" t="str">
        <f t="shared" si="38"/>
        <v>PC_BBB</v>
      </c>
      <c r="R92" s="319">
        <f t="shared" si="39"/>
        <v>0.5184534270650264</v>
      </c>
      <c r="S92" s="50" t="str">
        <f t="shared" si="40"/>
        <v>PC_BBB</v>
      </c>
      <c r="T92" s="319">
        <f t="shared" si="25"/>
        <v>0.9243697478991596</v>
      </c>
      <c r="U92" s="329" t="s">
        <v>617</v>
      </c>
      <c r="V92" s="330">
        <v>0</v>
      </c>
      <c r="W92" s="331" t="s">
        <v>617</v>
      </c>
      <c r="X92" s="330">
        <v>0</v>
      </c>
      <c r="Y92" s="331" t="s">
        <v>617</v>
      </c>
      <c r="Z92" s="330">
        <v>0</v>
      </c>
      <c r="AA92" s="331" t="s">
        <v>617</v>
      </c>
      <c r="AB92" s="330">
        <v>0</v>
      </c>
      <c r="AC92" s="331" t="s">
        <v>617</v>
      </c>
      <c r="AD92" s="330">
        <v>0.13953488372093023</v>
      </c>
      <c r="AE92" s="331" t="s">
        <v>617</v>
      </c>
      <c r="AF92" s="330">
        <v>0.1564455569461827</v>
      </c>
      <c r="AG92" s="331" t="s">
        <v>617</v>
      </c>
      <c r="AH92" s="330">
        <v>0.16728624535315986</v>
      </c>
      <c r="AI92" s="331" t="s">
        <v>617</v>
      </c>
      <c r="AJ92" s="330">
        <v>0.5184534270650264</v>
      </c>
      <c r="AK92" s="331" t="s">
        <v>617</v>
      </c>
      <c r="AL92" s="330">
        <v>0.9243697478991596</v>
      </c>
      <c r="AM92" s="330" t="s">
        <v>617</v>
      </c>
      <c r="AN92" s="330">
        <v>0</v>
      </c>
      <c r="AO92" s="331" t="s">
        <v>617</v>
      </c>
      <c r="AP92" s="330">
        <v>0</v>
      </c>
      <c r="AQ92" s="331" t="s">
        <v>617</v>
      </c>
      <c r="AR92" s="330">
        <v>0</v>
      </c>
      <c r="AS92" s="331" t="s">
        <v>617</v>
      </c>
      <c r="AT92" s="330">
        <v>2.3660924744637258E-2</v>
      </c>
      <c r="AU92" s="331" t="s">
        <v>617</v>
      </c>
      <c r="AV92" s="330">
        <v>0.1564455569461827</v>
      </c>
      <c r="AW92" s="331" t="s">
        <v>617</v>
      </c>
      <c r="AX92" s="330">
        <v>0.16728624535315986</v>
      </c>
      <c r="AY92" s="331" t="s">
        <v>617</v>
      </c>
      <c r="AZ92" s="330">
        <v>0.37275064267352181</v>
      </c>
      <c r="BA92" s="331" t="s">
        <v>617</v>
      </c>
      <c r="BB92" s="330">
        <v>0.45929018789144055</v>
      </c>
      <c r="BC92" s="331" t="s">
        <v>617</v>
      </c>
      <c r="BD92" s="330">
        <v>0.5184534270650264</v>
      </c>
      <c r="BE92" s="331" t="s">
        <v>617</v>
      </c>
      <c r="BF92" s="330">
        <v>0.72594501718213056</v>
      </c>
      <c r="BG92" s="331" t="s">
        <v>617</v>
      </c>
      <c r="BH92" s="330">
        <v>0.84604950830790093</v>
      </c>
      <c r="BI92" s="331" t="s">
        <v>617</v>
      </c>
      <c r="BJ92" s="330">
        <v>0.9243697478991596</v>
      </c>
      <c r="BK92" s="331" t="s">
        <v>617</v>
      </c>
      <c r="BL92" s="332">
        <v>0.9243697478991596</v>
      </c>
      <c r="BM92" s="320" t="s">
        <v>617</v>
      </c>
      <c r="BN92" s="321">
        <v>0</v>
      </c>
      <c r="BO92" s="320" t="s">
        <v>617</v>
      </c>
      <c r="BP92" s="321">
        <v>0</v>
      </c>
      <c r="BQ92" s="320" t="s">
        <v>617</v>
      </c>
      <c r="BR92" s="321">
        <v>0</v>
      </c>
      <c r="BS92" s="320" t="s">
        <v>617</v>
      </c>
      <c r="BT92" s="321">
        <v>0</v>
      </c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  <c r="CZ92" s="20"/>
      <c r="DA92" s="20"/>
      <c r="DB92" s="20"/>
      <c r="DC92" s="20"/>
      <c r="DD92" s="20"/>
      <c r="DE92" s="20"/>
      <c r="DF92" s="20"/>
      <c r="DG92" s="20"/>
      <c r="DH92" s="20"/>
      <c r="DI92" s="20"/>
      <c r="DJ92" s="20"/>
      <c r="DK92" s="20"/>
      <c r="DL92" s="20"/>
      <c r="DM92" s="20"/>
      <c r="DN92" s="20"/>
      <c r="DO92" s="20"/>
      <c r="DP92" s="20"/>
      <c r="DQ92" s="20"/>
      <c r="DR92" s="20"/>
      <c r="DS92" s="20"/>
      <c r="DT92" s="20"/>
      <c r="DU92" s="20"/>
      <c r="DV92" s="20"/>
      <c r="DW92" s="20"/>
      <c r="DX92" s="20"/>
      <c r="DY92" s="20"/>
      <c r="DZ92" s="20"/>
      <c r="EA92" s="20"/>
      <c r="EB92" s="20"/>
      <c r="EC92" s="20"/>
      <c r="ED92" s="20"/>
      <c r="EE92" s="20"/>
      <c r="EF92" s="20"/>
      <c r="EG92" s="20"/>
      <c r="EH92" s="20"/>
      <c r="EI92" s="20"/>
      <c r="EJ92" s="20"/>
      <c r="EK92" s="20"/>
      <c r="EL92" s="20"/>
      <c r="EM92" s="20"/>
      <c r="EN92" s="20"/>
      <c r="EO92" s="20"/>
      <c r="EP92" s="20"/>
      <c r="EQ92" s="20"/>
      <c r="ER92" s="20"/>
      <c r="ES92" s="20"/>
      <c r="ET92" s="20"/>
      <c r="EU92" s="20"/>
      <c r="EV92" s="20"/>
      <c r="EW92" s="20"/>
      <c r="EX92" s="20"/>
      <c r="EY92" s="20"/>
      <c r="EZ92" s="20"/>
      <c r="FA92" s="20"/>
      <c r="FB92" s="20"/>
      <c r="FC92" s="20"/>
      <c r="FD92" s="20"/>
      <c r="FE92" s="20"/>
      <c r="FF92" s="20"/>
      <c r="FG92" s="20"/>
      <c r="FH92" s="20"/>
      <c r="FI92" s="20"/>
      <c r="FJ92" s="20"/>
      <c r="FK92" s="20"/>
      <c r="FL92" s="20"/>
      <c r="FM92" s="20"/>
      <c r="FN92" s="20"/>
      <c r="FO92" s="20"/>
      <c r="FP92" s="20"/>
      <c r="FQ92" s="20"/>
      <c r="FR92" s="20"/>
      <c r="FS92" s="20"/>
      <c r="FT92" s="20"/>
      <c r="FU92" s="20"/>
      <c r="FV92" s="20"/>
      <c r="FW92" s="20"/>
      <c r="FX92" s="20"/>
      <c r="FY92" s="20"/>
      <c r="FZ92" s="20"/>
      <c r="GA92" s="20"/>
      <c r="GB92" s="20"/>
      <c r="GC92" s="20"/>
      <c r="GD92" s="20"/>
      <c r="GE92" s="20"/>
      <c r="GF92" s="20"/>
      <c r="GG92" s="20"/>
      <c r="GH92" s="20"/>
      <c r="GI92" s="20"/>
      <c r="GJ92" s="20"/>
      <c r="GK92" s="20"/>
      <c r="GL92" s="20"/>
      <c r="GM92" s="20"/>
      <c r="GN92" s="20"/>
      <c r="GO92" s="20"/>
      <c r="GP92" s="20"/>
      <c r="GQ92" s="20"/>
      <c r="GR92" s="20"/>
      <c r="GS92" s="20"/>
      <c r="GT92" s="20"/>
      <c r="GU92" s="20"/>
      <c r="GV92" s="20"/>
      <c r="GW92" s="20"/>
      <c r="GX92" s="20"/>
      <c r="GY92" s="20"/>
      <c r="GZ92" s="20"/>
      <c r="HA92" s="20"/>
      <c r="HB92" s="20"/>
      <c r="HC92" s="20"/>
      <c r="HD92" s="20"/>
      <c r="HE92" s="20"/>
      <c r="HF92" s="20"/>
      <c r="HG92" s="20"/>
      <c r="HH92" s="20"/>
      <c r="HI92" s="20"/>
      <c r="HJ92" s="20"/>
      <c r="HK92" s="20"/>
      <c r="HL92" s="20"/>
      <c r="HM92" s="20"/>
      <c r="HN92" s="20"/>
      <c r="HO92" s="20"/>
      <c r="HP92" s="20"/>
      <c r="HQ92" s="20"/>
      <c r="HR92" s="20"/>
      <c r="HS92" s="20"/>
      <c r="HT92" s="20"/>
      <c r="HU92" s="20"/>
      <c r="HV92" s="20"/>
      <c r="HW92" s="20"/>
      <c r="HX92" s="20"/>
      <c r="HY92" s="20"/>
      <c r="HZ92" s="20"/>
      <c r="IA92" s="20"/>
      <c r="IB92" s="20"/>
      <c r="IC92" s="20"/>
      <c r="ID92" s="20"/>
      <c r="IE92" s="20"/>
      <c r="IF92" s="20"/>
      <c r="IG92" s="20"/>
      <c r="IH92" s="20"/>
      <c r="II92" s="20"/>
      <c r="IJ92" s="20"/>
      <c r="IK92" s="20"/>
      <c r="IL92" s="20"/>
      <c r="IM92" s="20"/>
      <c r="IN92" s="20"/>
      <c r="IO92" s="20"/>
      <c r="IP92" s="20"/>
      <c r="IQ92" s="20"/>
      <c r="IR92" s="20"/>
      <c r="IS92" s="20"/>
      <c r="IT92" s="20"/>
      <c r="IU92" s="20"/>
      <c r="IV92" s="20"/>
      <c r="IW92" s="20"/>
      <c r="IX92" s="20"/>
      <c r="IY92" s="20"/>
      <c r="IZ92" s="20"/>
      <c r="JA92" s="20"/>
      <c r="JB92" s="20"/>
      <c r="JC92" s="20"/>
      <c r="JD92" s="20"/>
      <c r="JE92" s="20"/>
      <c r="JF92" s="20"/>
      <c r="JG92" s="20"/>
      <c r="JH92" s="20"/>
      <c r="JI92" s="20"/>
      <c r="JJ92" s="20"/>
      <c r="JK92" s="20"/>
      <c r="JL92" s="20"/>
      <c r="JM92" s="20"/>
      <c r="JN92" s="20"/>
      <c r="JO92" s="20"/>
      <c r="JP92" s="20"/>
      <c r="JQ92" s="20"/>
      <c r="JR92" s="20"/>
      <c r="JS92" s="20"/>
      <c r="JT92" s="20"/>
      <c r="JU92" s="20"/>
      <c r="JV92" s="20"/>
      <c r="JW92" s="20"/>
      <c r="JX92" s="20"/>
      <c r="JY92" s="20"/>
      <c r="JZ92" s="20"/>
      <c r="KA92" s="20"/>
      <c r="KB92" s="20"/>
      <c r="KC92" s="20"/>
      <c r="KD92" s="188"/>
      <c r="KE92" s="20"/>
      <c r="KF92" s="20"/>
      <c r="KG92" s="20"/>
      <c r="KH92" s="20"/>
      <c r="KI92" s="12"/>
      <c r="KJ92" s="12"/>
      <c r="KK92" s="12"/>
      <c r="KL92" s="12"/>
      <c r="KM92" s="12"/>
      <c r="KN92" s="12"/>
      <c r="KO92" s="12"/>
      <c r="KP92" s="12"/>
      <c r="KQ92" s="12"/>
      <c r="KR92" s="12"/>
      <c r="KS92" s="12"/>
      <c r="KT92" s="12"/>
      <c r="KU92" s="12"/>
      <c r="KV92" s="12"/>
      <c r="KW92" s="12"/>
      <c r="KX92" s="12"/>
    </row>
    <row r="93" spans="1:310" s="39" customFormat="1" x14ac:dyDescent="0.2">
      <c r="A93" s="138">
        <v>0</v>
      </c>
      <c r="B93" s="326" t="s">
        <v>669</v>
      </c>
      <c r="C93" s="50" t="str">
        <f t="shared" si="23"/>
        <v>CML</v>
      </c>
      <c r="D93" s="319">
        <f t="shared" si="24"/>
        <v>0</v>
      </c>
      <c r="E93" s="50" t="str">
        <f t="shared" si="26"/>
        <v>CML</v>
      </c>
      <c r="F93" s="319">
        <f t="shared" si="27"/>
        <v>0</v>
      </c>
      <c r="G93" s="50" t="str">
        <f t="shared" si="28"/>
        <v>CML</v>
      </c>
      <c r="H93" s="319">
        <f t="shared" si="29"/>
        <v>0</v>
      </c>
      <c r="I93" s="50" t="str">
        <f t="shared" si="30"/>
        <v>CML</v>
      </c>
      <c r="J93" s="319">
        <f t="shared" si="31"/>
        <v>0</v>
      </c>
      <c r="K93" s="50" t="str">
        <f t="shared" si="32"/>
        <v>CML</v>
      </c>
      <c r="L93" s="319">
        <f t="shared" si="33"/>
        <v>0</v>
      </c>
      <c r="M93" s="50" t="str">
        <f t="shared" si="34"/>
        <v>CML</v>
      </c>
      <c r="N93" s="319">
        <f t="shared" si="35"/>
        <v>0</v>
      </c>
      <c r="O93" s="50" t="str">
        <f t="shared" si="36"/>
        <v>CML</v>
      </c>
      <c r="P93" s="319">
        <f t="shared" si="37"/>
        <v>0</v>
      </c>
      <c r="Q93" s="50" t="str">
        <f t="shared" si="38"/>
        <v>CML</v>
      </c>
      <c r="R93" s="319">
        <f t="shared" si="39"/>
        <v>0</v>
      </c>
      <c r="S93" s="50" t="str">
        <f t="shared" si="40"/>
        <v>CML</v>
      </c>
      <c r="T93" s="319">
        <f t="shared" si="25"/>
        <v>0</v>
      </c>
      <c r="U93" s="329" t="s">
        <v>618</v>
      </c>
      <c r="V93" s="330">
        <v>0</v>
      </c>
      <c r="W93" s="331" t="s">
        <v>618</v>
      </c>
      <c r="X93" s="330">
        <v>0</v>
      </c>
      <c r="Y93" s="331" t="s">
        <v>618</v>
      </c>
      <c r="Z93" s="330">
        <v>0</v>
      </c>
      <c r="AA93" s="331" t="s">
        <v>618</v>
      </c>
      <c r="AB93" s="330">
        <v>0</v>
      </c>
      <c r="AC93" s="331" t="s">
        <v>618</v>
      </c>
      <c r="AD93" s="330">
        <v>0</v>
      </c>
      <c r="AE93" s="331" t="s">
        <v>618</v>
      </c>
      <c r="AF93" s="330">
        <v>0</v>
      </c>
      <c r="AG93" s="331" t="s">
        <v>618</v>
      </c>
      <c r="AH93" s="330">
        <v>0</v>
      </c>
      <c r="AI93" s="331" t="s">
        <v>618</v>
      </c>
      <c r="AJ93" s="330">
        <v>0</v>
      </c>
      <c r="AK93" s="331" t="s">
        <v>618</v>
      </c>
      <c r="AL93" s="330">
        <v>0</v>
      </c>
      <c r="AM93" s="330" t="s">
        <v>618</v>
      </c>
      <c r="AN93" s="330">
        <v>0</v>
      </c>
      <c r="AO93" s="331" t="s">
        <v>618</v>
      </c>
      <c r="AP93" s="330">
        <v>0</v>
      </c>
      <c r="AQ93" s="331" t="s">
        <v>618</v>
      </c>
      <c r="AR93" s="330">
        <v>0</v>
      </c>
      <c r="AS93" s="331" t="s">
        <v>618</v>
      </c>
      <c r="AT93" s="330">
        <v>0</v>
      </c>
      <c r="AU93" s="331" t="s">
        <v>618</v>
      </c>
      <c r="AV93" s="330">
        <v>0</v>
      </c>
      <c r="AW93" s="331" t="s">
        <v>618</v>
      </c>
      <c r="AX93" s="330">
        <v>0</v>
      </c>
      <c r="AY93" s="331" t="s">
        <v>618</v>
      </c>
      <c r="AZ93" s="330">
        <v>0</v>
      </c>
      <c r="BA93" s="331" t="s">
        <v>618</v>
      </c>
      <c r="BB93" s="330">
        <v>0</v>
      </c>
      <c r="BC93" s="331" t="s">
        <v>618</v>
      </c>
      <c r="BD93" s="330">
        <v>0</v>
      </c>
      <c r="BE93" s="331" t="s">
        <v>618</v>
      </c>
      <c r="BF93" s="330">
        <v>0</v>
      </c>
      <c r="BG93" s="331" t="s">
        <v>618</v>
      </c>
      <c r="BH93" s="330">
        <v>0</v>
      </c>
      <c r="BI93" s="331" t="s">
        <v>618</v>
      </c>
      <c r="BJ93" s="330">
        <v>0</v>
      </c>
      <c r="BK93" s="331" t="s">
        <v>618</v>
      </c>
      <c r="BL93" s="332">
        <v>0</v>
      </c>
      <c r="BM93" s="320" t="s">
        <v>618</v>
      </c>
      <c r="BN93" s="321">
        <v>0</v>
      </c>
      <c r="BO93" s="320" t="s">
        <v>618</v>
      </c>
      <c r="BP93" s="321">
        <v>0</v>
      </c>
      <c r="BQ93" s="320" t="s">
        <v>618</v>
      </c>
      <c r="BR93" s="321">
        <v>0</v>
      </c>
      <c r="BS93" s="320" t="s">
        <v>618</v>
      </c>
      <c r="BT93" s="321">
        <v>0</v>
      </c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  <c r="EJ93" s="20"/>
      <c r="EK93" s="20"/>
      <c r="EL93" s="20"/>
      <c r="EM93" s="20"/>
      <c r="EN93" s="20"/>
      <c r="EO93" s="20"/>
      <c r="EP93" s="20"/>
      <c r="EQ93" s="20"/>
      <c r="ER93" s="20"/>
      <c r="ES93" s="20"/>
      <c r="ET93" s="20"/>
      <c r="EU93" s="20"/>
      <c r="EV93" s="20"/>
      <c r="EW93" s="20"/>
      <c r="EX93" s="20"/>
      <c r="EY93" s="20"/>
      <c r="EZ93" s="20"/>
      <c r="FA93" s="20"/>
      <c r="FB93" s="20"/>
      <c r="FC93" s="20"/>
      <c r="FD93" s="20"/>
      <c r="FE93" s="20"/>
      <c r="FF93" s="20"/>
      <c r="FG93" s="20"/>
      <c r="FH93" s="20"/>
      <c r="FI93" s="20"/>
      <c r="FJ93" s="20"/>
      <c r="FK93" s="20"/>
      <c r="FL93" s="20"/>
      <c r="FM93" s="20"/>
      <c r="FN93" s="20"/>
      <c r="FO93" s="20"/>
      <c r="FP93" s="20"/>
      <c r="FQ93" s="20"/>
      <c r="FR93" s="20"/>
      <c r="FS93" s="20"/>
      <c r="FT93" s="20"/>
      <c r="FU93" s="20"/>
      <c r="FV93" s="20"/>
      <c r="FW93" s="20"/>
      <c r="FX93" s="20"/>
      <c r="FY93" s="20"/>
      <c r="FZ93" s="20"/>
      <c r="GA93" s="20"/>
      <c r="GB93" s="20"/>
      <c r="GC93" s="20"/>
      <c r="GD93" s="20"/>
      <c r="GE93" s="20"/>
      <c r="GF93" s="20"/>
      <c r="GG93" s="20"/>
      <c r="GH93" s="20"/>
      <c r="GI93" s="20"/>
      <c r="GJ93" s="20"/>
      <c r="GK93" s="20"/>
      <c r="GL93" s="20"/>
      <c r="GM93" s="20"/>
      <c r="GN93" s="20"/>
      <c r="GO93" s="20"/>
      <c r="GP93" s="20"/>
      <c r="GQ93" s="20"/>
      <c r="GR93" s="20"/>
      <c r="GS93" s="20"/>
      <c r="GT93" s="20"/>
      <c r="GU93" s="20"/>
      <c r="GV93" s="20"/>
      <c r="GW93" s="20"/>
      <c r="GX93" s="20"/>
      <c r="GY93" s="20"/>
      <c r="GZ93" s="20"/>
      <c r="HA93" s="20"/>
      <c r="HB93" s="20"/>
      <c r="HC93" s="20"/>
      <c r="HD93" s="20"/>
      <c r="HE93" s="20"/>
      <c r="HF93" s="20"/>
      <c r="HG93" s="20"/>
      <c r="HH93" s="20"/>
      <c r="HI93" s="20"/>
      <c r="HJ93" s="20"/>
      <c r="HK93" s="20"/>
      <c r="HL93" s="20"/>
      <c r="HM93" s="20"/>
      <c r="HN93" s="20"/>
      <c r="HO93" s="20"/>
      <c r="HP93" s="20"/>
      <c r="HQ93" s="20"/>
      <c r="HR93" s="20"/>
      <c r="HS93" s="20"/>
      <c r="HT93" s="20"/>
      <c r="HU93" s="20"/>
      <c r="HV93" s="20"/>
      <c r="HW93" s="20"/>
      <c r="HX93" s="20"/>
      <c r="HY93" s="20"/>
      <c r="HZ93" s="20"/>
      <c r="IA93" s="20"/>
      <c r="IB93" s="20"/>
      <c r="IC93" s="20"/>
      <c r="ID93" s="20"/>
      <c r="IE93" s="20"/>
      <c r="IF93" s="20"/>
      <c r="IG93" s="20"/>
      <c r="IH93" s="20"/>
      <c r="II93" s="20"/>
      <c r="IJ93" s="20"/>
      <c r="IK93" s="20"/>
      <c r="IL93" s="20"/>
      <c r="IM93" s="20"/>
      <c r="IN93" s="20"/>
      <c r="IO93" s="20"/>
      <c r="IP93" s="20"/>
      <c r="IQ93" s="20"/>
      <c r="IR93" s="20"/>
      <c r="IS93" s="20"/>
      <c r="IT93" s="20"/>
      <c r="IU93" s="20"/>
      <c r="IV93" s="20"/>
      <c r="IW93" s="20"/>
      <c r="IX93" s="20"/>
      <c r="IY93" s="20"/>
      <c r="IZ93" s="20"/>
      <c r="JA93" s="20"/>
      <c r="JB93" s="20"/>
      <c r="JC93" s="20"/>
      <c r="JD93" s="20"/>
      <c r="JE93" s="20"/>
      <c r="JF93" s="20"/>
      <c r="JG93" s="20"/>
      <c r="JH93" s="20"/>
      <c r="JI93" s="20"/>
      <c r="JJ93" s="20"/>
      <c r="JK93" s="20"/>
      <c r="JL93" s="20"/>
      <c r="JM93" s="20"/>
      <c r="JN93" s="20"/>
      <c r="JO93" s="20"/>
      <c r="JP93" s="20"/>
      <c r="JQ93" s="20"/>
      <c r="JR93" s="20"/>
      <c r="JS93" s="20"/>
      <c r="JT93" s="20"/>
      <c r="JU93" s="20"/>
      <c r="JV93" s="20"/>
      <c r="JW93" s="20"/>
      <c r="JX93" s="20"/>
      <c r="JY93" s="20"/>
      <c r="JZ93" s="20"/>
      <c r="KA93" s="20"/>
      <c r="KB93" s="20"/>
      <c r="KC93" s="20"/>
      <c r="KD93" s="188"/>
      <c r="KE93" s="20"/>
      <c r="KF93" s="20"/>
      <c r="KG93" s="20"/>
      <c r="KH93" s="20"/>
      <c r="KI93" s="12"/>
      <c r="KJ93" s="12"/>
      <c r="KK93" s="12"/>
      <c r="KL93" s="12"/>
      <c r="KM93" s="12"/>
      <c r="KN93" s="12"/>
      <c r="KO93" s="12"/>
      <c r="KP93" s="12"/>
      <c r="KQ93" s="12"/>
      <c r="KR93" s="12"/>
      <c r="KS93" s="12"/>
      <c r="KT93" s="12"/>
      <c r="KU93" s="12"/>
      <c r="KV93" s="12"/>
      <c r="KW93" s="12"/>
      <c r="KX93" s="12"/>
    </row>
    <row r="94" spans="1:310" s="39" customFormat="1" x14ac:dyDescent="0.2">
      <c r="A94" s="138">
        <v>0</v>
      </c>
      <c r="B94" s="326" t="s">
        <v>647</v>
      </c>
      <c r="C94" s="50" t="str">
        <f t="shared" si="23"/>
        <v>CML</v>
      </c>
      <c r="D94" s="319">
        <f t="shared" si="24"/>
        <v>0</v>
      </c>
      <c r="E94" s="50" t="str">
        <f t="shared" si="26"/>
        <v>CML</v>
      </c>
      <c r="F94" s="319">
        <f t="shared" si="27"/>
        <v>0</v>
      </c>
      <c r="G94" s="50" t="str">
        <f t="shared" si="28"/>
        <v>CML</v>
      </c>
      <c r="H94" s="319">
        <f t="shared" si="29"/>
        <v>0</v>
      </c>
      <c r="I94" s="50" t="str">
        <f t="shared" si="30"/>
        <v>CML</v>
      </c>
      <c r="J94" s="319">
        <f t="shared" si="31"/>
        <v>0</v>
      </c>
      <c r="K94" s="50" t="str">
        <f t="shared" si="32"/>
        <v>CML</v>
      </c>
      <c r="L94" s="319">
        <f t="shared" si="33"/>
        <v>0</v>
      </c>
      <c r="M94" s="50" t="str">
        <f t="shared" si="34"/>
        <v>CML</v>
      </c>
      <c r="N94" s="319">
        <f t="shared" si="35"/>
        <v>0</v>
      </c>
      <c r="O94" s="50" t="str">
        <f t="shared" si="36"/>
        <v>CML</v>
      </c>
      <c r="P94" s="319">
        <f t="shared" si="37"/>
        <v>0</v>
      </c>
      <c r="Q94" s="50" t="str">
        <f t="shared" si="38"/>
        <v>CML</v>
      </c>
      <c r="R94" s="319">
        <f t="shared" si="39"/>
        <v>0</v>
      </c>
      <c r="S94" s="50" t="str">
        <f t="shared" si="40"/>
        <v>CML</v>
      </c>
      <c r="T94" s="319">
        <f t="shared" si="25"/>
        <v>0</v>
      </c>
      <c r="U94" s="329" t="s">
        <v>618</v>
      </c>
      <c r="V94" s="330">
        <v>0</v>
      </c>
      <c r="W94" s="331" t="s">
        <v>618</v>
      </c>
      <c r="X94" s="330">
        <v>0</v>
      </c>
      <c r="Y94" s="331" t="s">
        <v>618</v>
      </c>
      <c r="Z94" s="330">
        <v>0</v>
      </c>
      <c r="AA94" s="331" t="s">
        <v>618</v>
      </c>
      <c r="AB94" s="330">
        <v>0</v>
      </c>
      <c r="AC94" s="331" t="s">
        <v>618</v>
      </c>
      <c r="AD94" s="330">
        <v>0</v>
      </c>
      <c r="AE94" s="331" t="s">
        <v>618</v>
      </c>
      <c r="AF94" s="330">
        <v>0</v>
      </c>
      <c r="AG94" s="331" t="s">
        <v>618</v>
      </c>
      <c r="AH94" s="330">
        <v>0</v>
      </c>
      <c r="AI94" s="331" t="s">
        <v>618</v>
      </c>
      <c r="AJ94" s="330">
        <v>0</v>
      </c>
      <c r="AK94" s="331" t="s">
        <v>618</v>
      </c>
      <c r="AL94" s="330">
        <v>0</v>
      </c>
      <c r="AM94" s="330" t="s">
        <v>618</v>
      </c>
      <c r="AN94" s="330">
        <v>0</v>
      </c>
      <c r="AO94" s="331" t="s">
        <v>618</v>
      </c>
      <c r="AP94" s="330">
        <v>0</v>
      </c>
      <c r="AQ94" s="331" t="s">
        <v>618</v>
      </c>
      <c r="AR94" s="330">
        <v>0</v>
      </c>
      <c r="AS94" s="331" t="s">
        <v>618</v>
      </c>
      <c r="AT94" s="330">
        <v>0</v>
      </c>
      <c r="AU94" s="331" t="s">
        <v>618</v>
      </c>
      <c r="AV94" s="330">
        <v>0</v>
      </c>
      <c r="AW94" s="331" t="s">
        <v>618</v>
      </c>
      <c r="AX94" s="330">
        <v>0</v>
      </c>
      <c r="AY94" s="331" t="s">
        <v>618</v>
      </c>
      <c r="AZ94" s="330">
        <v>0</v>
      </c>
      <c r="BA94" s="331" t="s">
        <v>618</v>
      </c>
      <c r="BB94" s="330">
        <v>0</v>
      </c>
      <c r="BC94" s="331" t="s">
        <v>618</v>
      </c>
      <c r="BD94" s="330">
        <v>0</v>
      </c>
      <c r="BE94" s="331" t="s">
        <v>618</v>
      </c>
      <c r="BF94" s="330">
        <v>0</v>
      </c>
      <c r="BG94" s="331" t="s">
        <v>618</v>
      </c>
      <c r="BH94" s="330">
        <v>0</v>
      </c>
      <c r="BI94" s="331" t="s">
        <v>618</v>
      </c>
      <c r="BJ94" s="330">
        <v>0</v>
      </c>
      <c r="BK94" s="331" t="s">
        <v>618</v>
      </c>
      <c r="BL94" s="332">
        <v>0</v>
      </c>
      <c r="BM94" s="320" t="s">
        <v>618</v>
      </c>
      <c r="BN94" s="321">
        <v>0</v>
      </c>
      <c r="BO94" s="320" t="s">
        <v>618</v>
      </c>
      <c r="BP94" s="321">
        <v>0</v>
      </c>
      <c r="BQ94" s="320" t="s">
        <v>618</v>
      </c>
      <c r="BR94" s="321">
        <v>0</v>
      </c>
      <c r="BS94" s="320" t="s">
        <v>618</v>
      </c>
      <c r="BT94" s="321">
        <v>0</v>
      </c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  <c r="CZ94" s="20"/>
      <c r="DA94" s="20"/>
      <c r="DB94" s="20"/>
      <c r="DC94" s="20"/>
      <c r="DD94" s="20"/>
      <c r="DE94" s="20"/>
      <c r="DF94" s="20"/>
      <c r="DG94" s="20"/>
      <c r="DH94" s="20"/>
      <c r="DI94" s="20"/>
      <c r="DJ94" s="20"/>
      <c r="DK94" s="20"/>
      <c r="DL94" s="20"/>
      <c r="DM94" s="20"/>
      <c r="DN94" s="20"/>
      <c r="DO94" s="20"/>
      <c r="DP94" s="20"/>
      <c r="DQ94" s="20"/>
      <c r="DR94" s="20"/>
      <c r="DS94" s="20"/>
      <c r="DT94" s="20"/>
      <c r="DU94" s="20"/>
      <c r="DV94" s="20"/>
      <c r="DW94" s="20"/>
      <c r="DX94" s="20"/>
      <c r="DY94" s="20"/>
      <c r="DZ94" s="20"/>
      <c r="EA94" s="20"/>
      <c r="EB94" s="20"/>
      <c r="EC94" s="20"/>
      <c r="ED94" s="20"/>
      <c r="EE94" s="20"/>
      <c r="EF94" s="20"/>
      <c r="EG94" s="20"/>
      <c r="EH94" s="20"/>
      <c r="EI94" s="20"/>
      <c r="EJ94" s="20"/>
      <c r="EK94" s="20"/>
      <c r="EL94" s="20"/>
      <c r="EM94" s="20"/>
      <c r="EN94" s="20"/>
      <c r="EO94" s="20"/>
      <c r="EP94" s="20"/>
      <c r="EQ94" s="20"/>
      <c r="ER94" s="20"/>
      <c r="ES94" s="20"/>
      <c r="ET94" s="20"/>
      <c r="EU94" s="20"/>
      <c r="EV94" s="20"/>
      <c r="EW94" s="20"/>
      <c r="EX94" s="20"/>
      <c r="EY94" s="20"/>
      <c r="EZ94" s="20"/>
      <c r="FA94" s="20"/>
      <c r="FB94" s="20"/>
      <c r="FC94" s="20"/>
      <c r="FD94" s="20"/>
      <c r="FE94" s="20"/>
      <c r="FF94" s="20"/>
      <c r="FG94" s="20"/>
      <c r="FH94" s="20"/>
      <c r="FI94" s="20"/>
      <c r="FJ94" s="20"/>
      <c r="FK94" s="20"/>
      <c r="FL94" s="20"/>
      <c r="FM94" s="20"/>
      <c r="FN94" s="20"/>
      <c r="FO94" s="20"/>
      <c r="FP94" s="20"/>
      <c r="FQ94" s="20"/>
      <c r="FR94" s="20"/>
      <c r="FS94" s="20"/>
      <c r="FT94" s="20"/>
      <c r="FU94" s="20"/>
      <c r="FV94" s="20"/>
      <c r="FW94" s="20"/>
      <c r="FX94" s="20"/>
      <c r="FY94" s="20"/>
      <c r="FZ94" s="20"/>
      <c r="GA94" s="20"/>
      <c r="GB94" s="20"/>
      <c r="GC94" s="20"/>
      <c r="GD94" s="20"/>
      <c r="GE94" s="20"/>
      <c r="GF94" s="20"/>
      <c r="GG94" s="20"/>
      <c r="GH94" s="20"/>
      <c r="GI94" s="20"/>
      <c r="GJ94" s="20"/>
      <c r="GK94" s="20"/>
      <c r="GL94" s="20"/>
      <c r="GM94" s="20"/>
      <c r="GN94" s="20"/>
      <c r="GO94" s="20"/>
      <c r="GP94" s="20"/>
      <c r="GQ94" s="20"/>
      <c r="GR94" s="20"/>
      <c r="GS94" s="20"/>
      <c r="GT94" s="20"/>
      <c r="GU94" s="20"/>
      <c r="GV94" s="20"/>
      <c r="GW94" s="20"/>
      <c r="GX94" s="20"/>
      <c r="GY94" s="20"/>
      <c r="GZ94" s="20"/>
      <c r="HA94" s="20"/>
      <c r="HB94" s="20"/>
      <c r="HC94" s="20"/>
      <c r="HD94" s="20"/>
      <c r="HE94" s="20"/>
      <c r="HF94" s="20"/>
      <c r="HG94" s="20"/>
      <c r="HH94" s="20"/>
      <c r="HI94" s="20"/>
      <c r="HJ94" s="20"/>
      <c r="HK94" s="20"/>
      <c r="HL94" s="20"/>
      <c r="HM94" s="20"/>
      <c r="HN94" s="20"/>
      <c r="HO94" s="20"/>
      <c r="HP94" s="20"/>
      <c r="HQ94" s="20"/>
      <c r="HR94" s="20"/>
      <c r="HS94" s="20"/>
      <c r="HT94" s="20"/>
      <c r="HU94" s="20"/>
      <c r="HV94" s="20"/>
      <c r="HW94" s="20"/>
      <c r="HX94" s="20"/>
      <c r="HY94" s="20"/>
      <c r="HZ94" s="20"/>
      <c r="IA94" s="20"/>
      <c r="IB94" s="20"/>
      <c r="IC94" s="20"/>
      <c r="ID94" s="20"/>
      <c r="IE94" s="20"/>
      <c r="IF94" s="20"/>
      <c r="IG94" s="20"/>
      <c r="IH94" s="20"/>
      <c r="II94" s="20"/>
      <c r="IJ94" s="20"/>
      <c r="IK94" s="20"/>
      <c r="IL94" s="20"/>
      <c r="IM94" s="20"/>
      <c r="IN94" s="20"/>
      <c r="IO94" s="20"/>
      <c r="IP94" s="20"/>
      <c r="IQ94" s="20"/>
      <c r="IR94" s="20"/>
      <c r="IS94" s="20"/>
      <c r="IT94" s="20"/>
      <c r="IU94" s="20"/>
      <c r="IV94" s="20"/>
      <c r="IW94" s="20"/>
      <c r="IX94" s="20"/>
      <c r="IY94" s="20"/>
      <c r="IZ94" s="20"/>
      <c r="JA94" s="20"/>
      <c r="JB94" s="20"/>
      <c r="JC94" s="20"/>
      <c r="JD94" s="20"/>
      <c r="JE94" s="20"/>
      <c r="JF94" s="20"/>
      <c r="JG94" s="20"/>
      <c r="JH94" s="20"/>
      <c r="JI94" s="20"/>
      <c r="JJ94" s="20"/>
      <c r="JK94" s="20"/>
      <c r="JL94" s="20"/>
      <c r="JM94" s="20"/>
      <c r="JN94" s="20"/>
      <c r="JO94" s="20"/>
      <c r="JP94" s="20"/>
      <c r="JQ94" s="20"/>
      <c r="JR94" s="20"/>
      <c r="JS94" s="20"/>
      <c r="JT94" s="20"/>
      <c r="JU94" s="20"/>
      <c r="JV94" s="20"/>
      <c r="JW94" s="20"/>
      <c r="JX94" s="20"/>
      <c r="JY94" s="20"/>
      <c r="JZ94" s="20"/>
      <c r="KA94" s="20"/>
      <c r="KB94" s="20"/>
      <c r="KC94" s="20"/>
      <c r="KD94" s="188"/>
      <c r="KE94" s="20"/>
      <c r="KF94" s="20"/>
      <c r="KG94" s="20"/>
      <c r="KH94" s="20"/>
      <c r="KI94" s="12"/>
      <c r="KJ94" s="12"/>
      <c r="KK94" s="12"/>
      <c r="KL94" s="12"/>
      <c r="KM94" s="12"/>
      <c r="KN94" s="12"/>
      <c r="KO94" s="12"/>
      <c r="KP94" s="12"/>
      <c r="KQ94" s="12"/>
      <c r="KR94" s="12"/>
      <c r="KS94" s="12"/>
      <c r="KT94" s="12"/>
      <c r="KU94" s="12"/>
      <c r="KV94" s="12"/>
      <c r="KW94" s="12"/>
      <c r="KX94" s="12"/>
    </row>
    <row r="95" spans="1:310" s="39" customFormat="1" x14ac:dyDescent="0.2">
      <c r="A95" s="138">
        <v>0</v>
      </c>
      <c r="B95" s="326" t="s">
        <v>648</v>
      </c>
      <c r="C95" s="50" t="str">
        <f t="shared" si="23"/>
        <v>CML</v>
      </c>
      <c r="D95" s="319">
        <f t="shared" si="24"/>
        <v>1</v>
      </c>
      <c r="E95" s="50" t="str">
        <f t="shared" si="26"/>
        <v>CML</v>
      </c>
      <c r="F95" s="319">
        <f t="shared" si="27"/>
        <v>1</v>
      </c>
      <c r="G95" s="50" t="str">
        <f t="shared" si="28"/>
        <v>CML</v>
      </c>
      <c r="H95" s="319">
        <f t="shared" si="29"/>
        <v>1</v>
      </c>
      <c r="I95" s="50" t="str">
        <f t="shared" si="30"/>
        <v>CML</v>
      </c>
      <c r="J95" s="319">
        <f t="shared" si="31"/>
        <v>0.55882352941176472</v>
      </c>
      <c r="K95" s="50" t="str">
        <f t="shared" si="32"/>
        <v>CML</v>
      </c>
      <c r="L95" s="319">
        <f t="shared" si="33"/>
        <v>0.2857142857142857</v>
      </c>
      <c r="M95" s="50" t="str">
        <f t="shared" si="34"/>
        <v>CML</v>
      </c>
      <c r="N95" s="319">
        <f t="shared" si="35"/>
        <v>0.22266401590457255</v>
      </c>
      <c r="O95" s="50" t="str">
        <f t="shared" si="36"/>
        <v>CML</v>
      </c>
      <c r="P95" s="319">
        <f t="shared" si="37"/>
        <v>0</v>
      </c>
      <c r="Q95" s="50" t="str">
        <f t="shared" si="38"/>
        <v>CML</v>
      </c>
      <c r="R95" s="319">
        <f t="shared" si="39"/>
        <v>0</v>
      </c>
      <c r="S95" s="50" t="str">
        <f t="shared" si="40"/>
        <v>CML</v>
      </c>
      <c r="T95" s="319">
        <f t="shared" si="25"/>
        <v>0</v>
      </c>
      <c r="U95" s="329" t="s">
        <v>618</v>
      </c>
      <c r="V95" s="330">
        <v>1</v>
      </c>
      <c r="W95" s="331" t="s">
        <v>618</v>
      </c>
      <c r="X95" s="330">
        <v>1</v>
      </c>
      <c r="Y95" s="331" t="s">
        <v>618</v>
      </c>
      <c r="Z95" s="330">
        <v>1</v>
      </c>
      <c r="AA95" s="331" t="s">
        <v>618</v>
      </c>
      <c r="AB95" s="330">
        <v>0.55882352941176472</v>
      </c>
      <c r="AC95" s="331" t="s">
        <v>618</v>
      </c>
      <c r="AD95" s="330">
        <v>0.2857142857142857</v>
      </c>
      <c r="AE95" s="331" t="s">
        <v>618</v>
      </c>
      <c r="AF95" s="330">
        <v>0.22266401590457255</v>
      </c>
      <c r="AG95" s="331" t="s">
        <v>618</v>
      </c>
      <c r="AH95" s="330">
        <v>0</v>
      </c>
      <c r="AI95" s="331" t="s">
        <v>618</v>
      </c>
      <c r="AJ95" s="330">
        <v>0</v>
      </c>
      <c r="AK95" s="331" t="s">
        <v>618</v>
      </c>
      <c r="AL95" s="330">
        <v>0</v>
      </c>
      <c r="AM95" s="330" t="s">
        <v>618</v>
      </c>
      <c r="AN95" s="330">
        <v>1</v>
      </c>
      <c r="AO95" s="331" t="s">
        <v>618</v>
      </c>
      <c r="AP95" s="330">
        <v>1</v>
      </c>
      <c r="AQ95" s="331" t="s">
        <v>618</v>
      </c>
      <c r="AR95" s="330">
        <v>0.81873111782477348</v>
      </c>
      <c r="AS95" s="331" t="s">
        <v>618</v>
      </c>
      <c r="AT95" s="330">
        <v>0.49438211100241464</v>
      </c>
      <c r="AU95" s="331" t="s">
        <v>618</v>
      </c>
      <c r="AV95" s="330">
        <v>0.22266401590457255</v>
      </c>
      <c r="AW95" s="331" t="s">
        <v>618</v>
      </c>
      <c r="AX95" s="330">
        <v>0</v>
      </c>
      <c r="AY95" s="331" t="s">
        <v>618</v>
      </c>
      <c r="AZ95" s="330">
        <v>0</v>
      </c>
      <c r="BA95" s="331" t="s">
        <v>618</v>
      </c>
      <c r="BB95" s="330">
        <v>0</v>
      </c>
      <c r="BC95" s="331" t="s">
        <v>618</v>
      </c>
      <c r="BD95" s="330">
        <v>0</v>
      </c>
      <c r="BE95" s="331" t="s">
        <v>618</v>
      </c>
      <c r="BF95" s="330">
        <v>0</v>
      </c>
      <c r="BG95" s="331" t="s">
        <v>618</v>
      </c>
      <c r="BH95" s="330">
        <v>0</v>
      </c>
      <c r="BI95" s="331" t="s">
        <v>618</v>
      </c>
      <c r="BJ95" s="330">
        <v>0</v>
      </c>
      <c r="BK95" s="331" t="s">
        <v>618</v>
      </c>
      <c r="BL95" s="332">
        <v>0</v>
      </c>
      <c r="BM95" s="320" t="s">
        <v>618</v>
      </c>
      <c r="BN95" s="321">
        <v>0</v>
      </c>
      <c r="BO95" s="320" t="s">
        <v>618</v>
      </c>
      <c r="BP95" s="321">
        <v>0</v>
      </c>
      <c r="BQ95" s="320" t="s">
        <v>618</v>
      </c>
      <c r="BR95" s="321">
        <v>0</v>
      </c>
      <c r="BS95" s="320" t="s">
        <v>618</v>
      </c>
      <c r="BT95" s="321">
        <v>0</v>
      </c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20"/>
      <c r="EY95" s="20"/>
      <c r="EZ95" s="20"/>
      <c r="FA95" s="20"/>
      <c r="FB95" s="20"/>
      <c r="FC95" s="20"/>
      <c r="FD95" s="20"/>
      <c r="FE95" s="20"/>
      <c r="FF95" s="20"/>
      <c r="FG95" s="20"/>
      <c r="FH95" s="20"/>
      <c r="FI95" s="20"/>
      <c r="FJ95" s="20"/>
      <c r="FK95" s="20"/>
      <c r="FL95" s="20"/>
      <c r="FM95" s="20"/>
      <c r="FN95" s="20"/>
      <c r="FO95" s="20"/>
      <c r="FP95" s="20"/>
      <c r="FQ95" s="20"/>
      <c r="FR95" s="20"/>
      <c r="FS95" s="20"/>
      <c r="FT95" s="20"/>
      <c r="FU95" s="20"/>
      <c r="FV95" s="20"/>
      <c r="FW95" s="20"/>
      <c r="FX95" s="20"/>
      <c r="FY95" s="20"/>
      <c r="FZ95" s="20"/>
      <c r="GA95" s="20"/>
      <c r="GB95" s="20"/>
      <c r="GC95" s="20"/>
      <c r="GD95" s="20"/>
      <c r="GE95" s="20"/>
      <c r="GF95" s="20"/>
      <c r="GG95" s="20"/>
      <c r="GH95" s="20"/>
      <c r="GI95" s="20"/>
      <c r="GJ95" s="20"/>
      <c r="GK95" s="20"/>
      <c r="GL95" s="20"/>
      <c r="GM95" s="20"/>
      <c r="GN95" s="20"/>
      <c r="GO95" s="20"/>
      <c r="GP95" s="20"/>
      <c r="GQ95" s="20"/>
      <c r="GR95" s="20"/>
      <c r="GS95" s="20"/>
      <c r="GT95" s="20"/>
      <c r="GU95" s="20"/>
      <c r="GV95" s="20"/>
      <c r="GW95" s="20"/>
      <c r="GX95" s="20"/>
      <c r="GY95" s="20"/>
      <c r="GZ95" s="20"/>
      <c r="HA95" s="20"/>
      <c r="HB95" s="20"/>
      <c r="HC95" s="20"/>
      <c r="HD95" s="20"/>
      <c r="HE95" s="20"/>
      <c r="HF95" s="20"/>
      <c r="HG95" s="20"/>
      <c r="HH95" s="20"/>
      <c r="HI95" s="20"/>
      <c r="HJ95" s="20"/>
      <c r="HK95" s="20"/>
      <c r="HL95" s="20"/>
      <c r="HM95" s="20"/>
      <c r="HN95" s="20"/>
      <c r="HO95" s="20"/>
      <c r="HP95" s="20"/>
      <c r="HQ95" s="20"/>
      <c r="HR95" s="20"/>
      <c r="HS95" s="20"/>
      <c r="HT95" s="20"/>
      <c r="HU95" s="20"/>
      <c r="HV95" s="20"/>
      <c r="HW95" s="20"/>
      <c r="HX95" s="20"/>
      <c r="HY95" s="20"/>
      <c r="HZ95" s="20"/>
      <c r="IA95" s="20"/>
      <c r="IB95" s="20"/>
      <c r="IC95" s="20"/>
      <c r="ID95" s="20"/>
      <c r="IE95" s="20"/>
      <c r="IF95" s="20"/>
      <c r="IG95" s="20"/>
      <c r="IH95" s="20"/>
      <c r="II95" s="20"/>
      <c r="IJ95" s="20"/>
      <c r="IK95" s="20"/>
      <c r="IL95" s="20"/>
      <c r="IM95" s="20"/>
      <c r="IN95" s="20"/>
      <c r="IO95" s="20"/>
      <c r="IP95" s="20"/>
      <c r="IQ95" s="20"/>
      <c r="IR95" s="20"/>
      <c r="IS95" s="20"/>
      <c r="IT95" s="20"/>
      <c r="IU95" s="20"/>
      <c r="IV95" s="20"/>
      <c r="IW95" s="20"/>
      <c r="IX95" s="20"/>
      <c r="IY95" s="20"/>
      <c r="IZ95" s="20"/>
      <c r="JA95" s="20"/>
      <c r="JB95" s="20"/>
      <c r="JC95" s="20"/>
      <c r="JD95" s="20"/>
      <c r="JE95" s="20"/>
      <c r="JF95" s="20"/>
      <c r="JG95" s="20"/>
      <c r="JH95" s="20"/>
      <c r="JI95" s="20"/>
      <c r="JJ95" s="20"/>
      <c r="JK95" s="20"/>
      <c r="JL95" s="20"/>
      <c r="JM95" s="20"/>
      <c r="JN95" s="20"/>
      <c r="JO95" s="20"/>
      <c r="JP95" s="20"/>
      <c r="JQ95" s="20"/>
      <c r="JR95" s="20"/>
      <c r="JS95" s="20"/>
      <c r="JT95" s="20"/>
      <c r="JU95" s="20"/>
      <c r="JV95" s="20"/>
      <c r="JW95" s="20"/>
      <c r="JX95" s="20"/>
      <c r="JY95" s="20"/>
      <c r="JZ95" s="20"/>
      <c r="KA95" s="20"/>
      <c r="KB95" s="20"/>
      <c r="KC95" s="20"/>
      <c r="KD95" s="188"/>
      <c r="KE95" s="20"/>
      <c r="KF95" s="20"/>
      <c r="KG95" s="20"/>
      <c r="KH95" s="20"/>
      <c r="KI95" s="12"/>
      <c r="KJ95" s="12"/>
      <c r="KK95" s="12"/>
      <c r="KL95" s="12"/>
      <c r="KM95" s="12"/>
      <c r="KN95" s="12"/>
      <c r="KO95" s="12"/>
      <c r="KP95" s="12"/>
      <c r="KQ95" s="12"/>
      <c r="KR95" s="12"/>
      <c r="KS95" s="12"/>
      <c r="KT95" s="12"/>
      <c r="KU95" s="12"/>
      <c r="KV95" s="12"/>
      <c r="KW95" s="12"/>
      <c r="KX95" s="12"/>
    </row>
    <row r="96" spans="1:310" s="39" customFormat="1" x14ac:dyDescent="0.2">
      <c r="A96" s="138">
        <v>0</v>
      </c>
      <c r="B96" s="326" t="s">
        <v>687</v>
      </c>
      <c r="C96" s="50" t="str">
        <f t="shared" si="23"/>
        <v>RML</v>
      </c>
      <c r="D96" s="319">
        <f t="shared" si="24"/>
        <v>0</v>
      </c>
      <c r="E96" s="50" t="str">
        <f t="shared" si="26"/>
        <v>RML</v>
      </c>
      <c r="F96" s="319">
        <f t="shared" si="27"/>
        <v>1</v>
      </c>
      <c r="G96" s="50" t="str">
        <f t="shared" si="28"/>
        <v>RML</v>
      </c>
      <c r="H96" s="319">
        <f t="shared" si="29"/>
        <v>1</v>
      </c>
      <c r="I96" s="50" t="str">
        <f t="shared" si="30"/>
        <v>RML</v>
      </c>
      <c r="J96" s="319">
        <f t="shared" si="31"/>
        <v>1</v>
      </c>
      <c r="K96" s="50" t="str">
        <f t="shared" si="32"/>
        <v>RML</v>
      </c>
      <c r="L96" s="319">
        <f t="shared" si="33"/>
        <v>1</v>
      </c>
      <c r="M96" s="50" t="str">
        <f t="shared" si="34"/>
        <v>RML</v>
      </c>
      <c r="N96" s="319">
        <f t="shared" si="35"/>
        <v>1</v>
      </c>
      <c r="O96" s="50" t="str">
        <f t="shared" si="36"/>
        <v>RML</v>
      </c>
      <c r="P96" s="319">
        <f t="shared" si="37"/>
        <v>1</v>
      </c>
      <c r="Q96" s="50" t="str">
        <f t="shared" si="38"/>
        <v>RML</v>
      </c>
      <c r="R96" s="319">
        <f t="shared" si="39"/>
        <v>0</v>
      </c>
      <c r="S96" s="50" t="str">
        <f t="shared" si="40"/>
        <v>RML</v>
      </c>
      <c r="T96" s="319">
        <f t="shared" si="25"/>
        <v>0</v>
      </c>
      <c r="U96" s="329" t="s">
        <v>624</v>
      </c>
      <c r="V96" s="330">
        <v>0</v>
      </c>
      <c r="W96" s="331" t="s">
        <v>624</v>
      </c>
      <c r="X96" s="330">
        <v>1</v>
      </c>
      <c r="Y96" s="331" t="s">
        <v>624</v>
      </c>
      <c r="Z96" s="330">
        <v>1</v>
      </c>
      <c r="AA96" s="331" t="s">
        <v>624</v>
      </c>
      <c r="AB96" s="330">
        <v>1</v>
      </c>
      <c r="AC96" s="331" t="s">
        <v>624</v>
      </c>
      <c r="AD96" s="330">
        <v>1</v>
      </c>
      <c r="AE96" s="331" t="s">
        <v>624</v>
      </c>
      <c r="AF96" s="330">
        <v>1</v>
      </c>
      <c r="AG96" s="331" t="s">
        <v>624</v>
      </c>
      <c r="AH96" s="330">
        <v>1</v>
      </c>
      <c r="AI96" s="331" t="s">
        <v>624</v>
      </c>
      <c r="AJ96" s="330">
        <v>0</v>
      </c>
      <c r="AK96" s="331" t="s">
        <v>624</v>
      </c>
      <c r="AL96" s="330">
        <v>0</v>
      </c>
      <c r="AM96" s="330" t="s">
        <v>624</v>
      </c>
      <c r="AN96" s="330">
        <v>1</v>
      </c>
      <c r="AO96" s="331" t="s">
        <v>624</v>
      </c>
      <c r="AP96" s="330">
        <v>1</v>
      </c>
      <c r="AQ96" s="331" t="s">
        <v>624</v>
      </c>
      <c r="AR96" s="330">
        <v>1</v>
      </c>
      <c r="AS96" s="331" t="s">
        <v>624</v>
      </c>
      <c r="AT96" s="330">
        <v>1</v>
      </c>
      <c r="AU96" s="331" t="s">
        <v>624</v>
      </c>
      <c r="AV96" s="330">
        <v>1</v>
      </c>
      <c r="AW96" s="331" t="s">
        <v>624</v>
      </c>
      <c r="AX96" s="330">
        <v>1</v>
      </c>
      <c r="AY96" s="331" t="s">
        <v>624</v>
      </c>
      <c r="AZ96" s="330">
        <v>1</v>
      </c>
      <c r="BA96" s="331" t="s">
        <v>624</v>
      </c>
      <c r="BB96" s="330">
        <v>1</v>
      </c>
      <c r="BC96" s="331" t="s">
        <v>624</v>
      </c>
      <c r="BD96" s="330">
        <v>0</v>
      </c>
      <c r="BE96" s="331" t="s">
        <v>624</v>
      </c>
      <c r="BF96" s="330">
        <v>0</v>
      </c>
      <c r="BG96" s="331" t="s">
        <v>624</v>
      </c>
      <c r="BH96" s="330">
        <v>0</v>
      </c>
      <c r="BI96" s="331" t="s">
        <v>624</v>
      </c>
      <c r="BJ96" s="330">
        <v>0</v>
      </c>
      <c r="BK96" s="331" t="s">
        <v>624</v>
      </c>
      <c r="BL96" s="332">
        <v>0</v>
      </c>
      <c r="BM96" s="320" t="s">
        <v>624</v>
      </c>
      <c r="BN96" s="321">
        <v>0</v>
      </c>
      <c r="BO96" s="320" t="s">
        <v>624</v>
      </c>
      <c r="BP96" s="321">
        <v>0</v>
      </c>
      <c r="BQ96" s="320" t="s">
        <v>624</v>
      </c>
      <c r="BR96" s="321">
        <v>0</v>
      </c>
      <c r="BS96" s="320" t="s">
        <v>624</v>
      </c>
      <c r="BT96" s="321">
        <v>0</v>
      </c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20"/>
      <c r="CV96" s="20"/>
      <c r="CW96" s="20"/>
      <c r="CX96" s="20"/>
      <c r="CY96" s="20"/>
      <c r="CZ96" s="20"/>
      <c r="DA96" s="20"/>
      <c r="DB96" s="20"/>
      <c r="DC96" s="20"/>
      <c r="DD96" s="20"/>
      <c r="DE96" s="20"/>
      <c r="DF96" s="20"/>
      <c r="DG96" s="20"/>
      <c r="DH96" s="20"/>
      <c r="DI96" s="20"/>
      <c r="DJ96" s="20"/>
      <c r="DK96" s="20"/>
      <c r="DL96" s="20"/>
      <c r="DM96" s="20"/>
      <c r="DN96" s="20"/>
      <c r="DO96" s="20"/>
      <c r="DP96" s="20"/>
      <c r="DQ96" s="20"/>
      <c r="DR96" s="20"/>
      <c r="DS96" s="20"/>
      <c r="DT96" s="20"/>
      <c r="DU96" s="20"/>
      <c r="DV96" s="20"/>
      <c r="DW96" s="20"/>
      <c r="DX96" s="20"/>
      <c r="DY96" s="20"/>
      <c r="DZ96" s="20"/>
      <c r="EA96" s="20"/>
      <c r="EB96" s="20"/>
      <c r="EC96" s="20"/>
      <c r="ED96" s="20"/>
      <c r="EE96" s="20"/>
      <c r="EF96" s="20"/>
      <c r="EG96" s="20"/>
      <c r="EH96" s="20"/>
      <c r="EI96" s="20"/>
      <c r="EJ96" s="20"/>
      <c r="EK96" s="20"/>
      <c r="EL96" s="20"/>
      <c r="EM96" s="20"/>
      <c r="EN96" s="20"/>
      <c r="EO96" s="20"/>
      <c r="EP96" s="20"/>
      <c r="EQ96" s="20"/>
      <c r="ER96" s="20"/>
      <c r="ES96" s="20"/>
      <c r="ET96" s="20"/>
      <c r="EU96" s="20"/>
      <c r="EV96" s="20"/>
      <c r="EW96" s="20"/>
      <c r="EX96" s="20"/>
      <c r="EY96" s="20"/>
      <c r="EZ96" s="20"/>
      <c r="FA96" s="20"/>
      <c r="FB96" s="20"/>
      <c r="FC96" s="20"/>
      <c r="FD96" s="20"/>
      <c r="FE96" s="20"/>
      <c r="FF96" s="20"/>
      <c r="FG96" s="20"/>
      <c r="FH96" s="20"/>
      <c r="FI96" s="20"/>
      <c r="FJ96" s="20"/>
      <c r="FK96" s="20"/>
      <c r="FL96" s="20"/>
      <c r="FM96" s="20"/>
      <c r="FN96" s="20"/>
      <c r="FO96" s="20"/>
      <c r="FP96" s="20"/>
      <c r="FQ96" s="20"/>
      <c r="FR96" s="20"/>
      <c r="FS96" s="20"/>
      <c r="FT96" s="20"/>
      <c r="FU96" s="20"/>
      <c r="FV96" s="20"/>
      <c r="FW96" s="20"/>
      <c r="FX96" s="20"/>
      <c r="FY96" s="20"/>
      <c r="FZ96" s="20"/>
      <c r="GA96" s="20"/>
      <c r="GB96" s="20"/>
      <c r="GC96" s="20"/>
      <c r="GD96" s="20"/>
      <c r="GE96" s="20"/>
      <c r="GF96" s="20"/>
      <c r="GG96" s="20"/>
      <c r="GH96" s="20"/>
      <c r="GI96" s="20"/>
      <c r="GJ96" s="20"/>
      <c r="GK96" s="20"/>
      <c r="GL96" s="20"/>
      <c r="GM96" s="20"/>
      <c r="GN96" s="20"/>
      <c r="GO96" s="20"/>
      <c r="GP96" s="20"/>
      <c r="GQ96" s="20"/>
      <c r="GR96" s="20"/>
      <c r="GS96" s="20"/>
      <c r="GT96" s="20"/>
      <c r="GU96" s="20"/>
      <c r="GV96" s="20"/>
      <c r="GW96" s="20"/>
      <c r="GX96" s="20"/>
      <c r="GY96" s="20"/>
      <c r="GZ96" s="20"/>
      <c r="HA96" s="20"/>
      <c r="HB96" s="20"/>
      <c r="HC96" s="20"/>
      <c r="HD96" s="20"/>
      <c r="HE96" s="20"/>
      <c r="HF96" s="20"/>
      <c r="HG96" s="20"/>
      <c r="HH96" s="20"/>
      <c r="HI96" s="20"/>
      <c r="HJ96" s="20"/>
      <c r="HK96" s="20"/>
      <c r="HL96" s="20"/>
      <c r="HM96" s="20"/>
      <c r="HN96" s="20"/>
      <c r="HO96" s="20"/>
      <c r="HP96" s="20"/>
      <c r="HQ96" s="20"/>
      <c r="HR96" s="20"/>
      <c r="HS96" s="20"/>
      <c r="HT96" s="20"/>
      <c r="HU96" s="20"/>
      <c r="HV96" s="20"/>
      <c r="HW96" s="20"/>
      <c r="HX96" s="20"/>
      <c r="HY96" s="20"/>
      <c r="HZ96" s="20"/>
      <c r="IA96" s="20"/>
      <c r="IB96" s="20"/>
      <c r="IC96" s="20"/>
      <c r="ID96" s="20"/>
      <c r="IE96" s="20"/>
      <c r="IF96" s="20"/>
      <c r="IG96" s="20"/>
      <c r="IH96" s="20"/>
      <c r="II96" s="20"/>
      <c r="IJ96" s="20"/>
      <c r="IK96" s="20"/>
      <c r="IL96" s="20"/>
      <c r="IM96" s="20"/>
      <c r="IN96" s="20"/>
      <c r="IO96" s="20"/>
      <c r="IP96" s="20"/>
      <c r="IQ96" s="20"/>
      <c r="IR96" s="20"/>
      <c r="IS96" s="20"/>
      <c r="IT96" s="20"/>
      <c r="IU96" s="20"/>
      <c r="IV96" s="20"/>
      <c r="IW96" s="20"/>
      <c r="IX96" s="20"/>
      <c r="IY96" s="20"/>
      <c r="IZ96" s="20"/>
      <c r="JA96" s="20"/>
      <c r="JB96" s="20"/>
      <c r="JC96" s="20"/>
      <c r="JD96" s="20"/>
      <c r="JE96" s="20"/>
      <c r="JF96" s="20"/>
      <c r="JG96" s="20"/>
      <c r="JH96" s="20"/>
      <c r="JI96" s="20"/>
      <c r="JJ96" s="20"/>
      <c r="JK96" s="20"/>
      <c r="JL96" s="20"/>
      <c r="JM96" s="20"/>
      <c r="JN96" s="20"/>
      <c r="JO96" s="20"/>
      <c r="JP96" s="20"/>
      <c r="JQ96" s="20"/>
      <c r="JR96" s="20"/>
      <c r="JS96" s="20"/>
      <c r="JT96" s="20"/>
      <c r="JU96" s="20"/>
      <c r="JV96" s="20"/>
      <c r="JW96" s="20"/>
      <c r="JX96" s="20"/>
      <c r="JY96" s="20"/>
      <c r="JZ96" s="20"/>
      <c r="KA96" s="20"/>
      <c r="KB96" s="20"/>
      <c r="KC96" s="20"/>
      <c r="KD96" s="188"/>
      <c r="KE96" s="20"/>
      <c r="KF96" s="20"/>
      <c r="KG96" s="20"/>
      <c r="KH96" s="20"/>
      <c r="KI96" s="12"/>
      <c r="KJ96" s="12"/>
      <c r="KK96" s="12"/>
      <c r="KL96" s="12"/>
      <c r="KM96" s="12"/>
      <c r="KN96" s="12"/>
      <c r="KO96" s="12"/>
      <c r="KP96" s="12"/>
      <c r="KQ96" s="12"/>
      <c r="KR96" s="12"/>
      <c r="KS96" s="12"/>
      <c r="KT96" s="12"/>
      <c r="KU96" s="12"/>
      <c r="KV96" s="12"/>
      <c r="KW96" s="12"/>
      <c r="KX96" s="12"/>
    </row>
    <row r="97" spans="1:310" s="39" customFormat="1" x14ac:dyDescent="0.2">
      <c r="A97" s="138">
        <v>0</v>
      </c>
      <c r="B97" s="326" t="s">
        <v>649</v>
      </c>
      <c r="C97" s="50" t="str">
        <f t="shared" si="23"/>
        <v>CML</v>
      </c>
      <c r="D97" s="319">
        <f t="shared" si="24"/>
        <v>0</v>
      </c>
      <c r="E97" s="50" t="str">
        <f t="shared" si="26"/>
        <v>CML</v>
      </c>
      <c r="F97" s="319">
        <f t="shared" si="27"/>
        <v>0</v>
      </c>
      <c r="G97" s="50" t="str">
        <f t="shared" si="28"/>
        <v>CML</v>
      </c>
      <c r="H97" s="319">
        <f t="shared" si="29"/>
        <v>0</v>
      </c>
      <c r="I97" s="50" t="str">
        <f t="shared" si="30"/>
        <v>CML</v>
      </c>
      <c r="J97" s="319">
        <f t="shared" si="31"/>
        <v>0.44117647058823534</v>
      </c>
      <c r="K97" s="50" t="str">
        <f t="shared" si="32"/>
        <v>CML</v>
      </c>
      <c r="L97" s="319">
        <f t="shared" si="33"/>
        <v>0.7142857142857143</v>
      </c>
      <c r="M97" s="50" t="str">
        <f t="shared" si="34"/>
        <v>CML</v>
      </c>
      <c r="N97" s="319">
        <f t="shared" si="35"/>
        <v>0.75347912524850891</v>
      </c>
      <c r="O97" s="50" t="str">
        <f t="shared" si="36"/>
        <v>CML</v>
      </c>
      <c r="P97" s="319">
        <f t="shared" si="37"/>
        <v>0.88888888888888884</v>
      </c>
      <c r="Q97" s="50" t="str">
        <f t="shared" si="38"/>
        <v>CML</v>
      </c>
      <c r="R97" s="319">
        <f t="shared" si="39"/>
        <v>0</v>
      </c>
      <c r="S97" s="50" t="str">
        <f t="shared" si="40"/>
        <v>CML</v>
      </c>
      <c r="T97" s="319">
        <f t="shared" si="25"/>
        <v>0</v>
      </c>
      <c r="U97" s="329" t="s">
        <v>618</v>
      </c>
      <c r="V97" s="330">
        <v>0</v>
      </c>
      <c r="W97" s="331" t="s">
        <v>618</v>
      </c>
      <c r="X97" s="330">
        <v>0</v>
      </c>
      <c r="Y97" s="331" t="s">
        <v>618</v>
      </c>
      <c r="Z97" s="330">
        <v>0</v>
      </c>
      <c r="AA97" s="331" t="s">
        <v>618</v>
      </c>
      <c r="AB97" s="330">
        <v>0.44117647058823534</v>
      </c>
      <c r="AC97" s="331" t="s">
        <v>618</v>
      </c>
      <c r="AD97" s="330">
        <v>0.7142857142857143</v>
      </c>
      <c r="AE97" s="331" t="s">
        <v>618</v>
      </c>
      <c r="AF97" s="330">
        <v>0.75347912524850891</v>
      </c>
      <c r="AG97" s="331" t="s">
        <v>618</v>
      </c>
      <c r="AH97" s="330">
        <v>0.88888888888888884</v>
      </c>
      <c r="AI97" s="331" t="s">
        <v>618</v>
      </c>
      <c r="AJ97" s="330">
        <v>0</v>
      </c>
      <c r="AK97" s="331" t="s">
        <v>618</v>
      </c>
      <c r="AL97" s="330">
        <v>0</v>
      </c>
      <c r="AM97" s="330" t="s">
        <v>618</v>
      </c>
      <c r="AN97" s="330">
        <v>0</v>
      </c>
      <c r="AO97" s="331" t="s">
        <v>618</v>
      </c>
      <c r="AP97" s="330">
        <v>0</v>
      </c>
      <c r="AQ97" s="331" t="s">
        <v>618</v>
      </c>
      <c r="AR97" s="330">
        <v>0.18126888217522658</v>
      </c>
      <c r="AS97" s="331" t="s">
        <v>618</v>
      </c>
      <c r="AT97" s="330">
        <v>0.50561806807065124</v>
      </c>
      <c r="AU97" s="331" t="s">
        <v>618</v>
      </c>
      <c r="AV97" s="330">
        <v>0.75347912524850891</v>
      </c>
      <c r="AW97" s="331" t="s">
        <v>618</v>
      </c>
      <c r="AX97" s="330">
        <v>0.88888888888888884</v>
      </c>
      <c r="AY97" s="331" t="s">
        <v>618</v>
      </c>
      <c r="AZ97" s="330">
        <v>0.79999999999999993</v>
      </c>
      <c r="BA97" s="331" t="s">
        <v>618</v>
      </c>
      <c r="BB97" s="330">
        <v>0.64</v>
      </c>
      <c r="BC97" s="331" t="s">
        <v>618</v>
      </c>
      <c r="BD97" s="330">
        <v>0</v>
      </c>
      <c r="BE97" s="331" t="s">
        <v>618</v>
      </c>
      <c r="BF97" s="330">
        <v>0</v>
      </c>
      <c r="BG97" s="331" t="s">
        <v>618</v>
      </c>
      <c r="BH97" s="330">
        <v>0</v>
      </c>
      <c r="BI97" s="331" t="s">
        <v>618</v>
      </c>
      <c r="BJ97" s="330">
        <v>0</v>
      </c>
      <c r="BK97" s="331" t="s">
        <v>618</v>
      </c>
      <c r="BL97" s="332">
        <v>0</v>
      </c>
      <c r="BM97" s="320" t="s">
        <v>618</v>
      </c>
      <c r="BN97" s="321">
        <v>0</v>
      </c>
      <c r="BO97" s="320" t="s">
        <v>618</v>
      </c>
      <c r="BP97" s="321">
        <v>0</v>
      </c>
      <c r="BQ97" s="320" t="s">
        <v>618</v>
      </c>
      <c r="BR97" s="321">
        <v>0</v>
      </c>
      <c r="BS97" s="320" t="s">
        <v>618</v>
      </c>
      <c r="BT97" s="321">
        <v>0</v>
      </c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  <c r="EJ97" s="20"/>
      <c r="EK97" s="20"/>
      <c r="EL97" s="20"/>
      <c r="EM97" s="20"/>
      <c r="EN97" s="20"/>
      <c r="EO97" s="20"/>
      <c r="EP97" s="20"/>
      <c r="EQ97" s="20"/>
      <c r="ER97" s="20"/>
      <c r="ES97" s="20"/>
      <c r="ET97" s="20"/>
      <c r="EU97" s="20"/>
      <c r="EV97" s="20"/>
      <c r="EW97" s="20"/>
      <c r="EX97" s="20"/>
      <c r="EY97" s="20"/>
      <c r="EZ97" s="20"/>
      <c r="FA97" s="20"/>
      <c r="FB97" s="20"/>
      <c r="FC97" s="20"/>
      <c r="FD97" s="20"/>
      <c r="FE97" s="20"/>
      <c r="FF97" s="20"/>
      <c r="FG97" s="20"/>
      <c r="FH97" s="20"/>
      <c r="FI97" s="20"/>
      <c r="FJ97" s="20"/>
      <c r="FK97" s="20"/>
      <c r="FL97" s="20"/>
      <c r="FM97" s="20"/>
      <c r="FN97" s="20"/>
      <c r="FO97" s="20"/>
      <c r="FP97" s="20"/>
      <c r="FQ97" s="20"/>
      <c r="FR97" s="20"/>
      <c r="FS97" s="20"/>
      <c r="FT97" s="20"/>
      <c r="FU97" s="20"/>
      <c r="FV97" s="20"/>
      <c r="FW97" s="20"/>
      <c r="FX97" s="20"/>
      <c r="FY97" s="20"/>
      <c r="FZ97" s="20"/>
      <c r="GA97" s="20"/>
      <c r="GB97" s="20"/>
      <c r="GC97" s="20"/>
      <c r="GD97" s="20"/>
      <c r="GE97" s="20"/>
      <c r="GF97" s="20"/>
      <c r="GG97" s="20"/>
      <c r="GH97" s="20"/>
      <c r="GI97" s="20"/>
      <c r="GJ97" s="20"/>
      <c r="GK97" s="20"/>
      <c r="GL97" s="20"/>
      <c r="GM97" s="20"/>
      <c r="GN97" s="20"/>
      <c r="GO97" s="20"/>
      <c r="GP97" s="20"/>
      <c r="GQ97" s="20"/>
      <c r="GR97" s="20"/>
      <c r="GS97" s="20"/>
      <c r="GT97" s="20"/>
      <c r="GU97" s="20"/>
      <c r="GV97" s="20"/>
      <c r="GW97" s="20"/>
      <c r="GX97" s="20"/>
      <c r="GY97" s="20"/>
      <c r="GZ97" s="20"/>
      <c r="HA97" s="20"/>
      <c r="HB97" s="20"/>
      <c r="HC97" s="20"/>
      <c r="HD97" s="20"/>
      <c r="HE97" s="20"/>
      <c r="HF97" s="20"/>
      <c r="HG97" s="20"/>
      <c r="HH97" s="20"/>
      <c r="HI97" s="20"/>
      <c r="HJ97" s="20"/>
      <c r="HK97" s="20"/>
      <c r="HL97" s="20"/>
      <c r="HM97" s="20"/>
      <c r="HN97" s="20"/>
      <c r="HO97" s="20"/>
      <c r="HP97" s="20"/>
      <c r="HQ97" s="20"/>
      <c r="HR97" s="20"/>
      <c r="HS97" s="20"/>
      <c r="HT97" s="20"/>
      <c r="HU97" s="20"/>
      <c r="HV97" s="20"/>
      <c r="HW97" s="20"/>
      <c r="HX97" s="20"/>
      <c r="HY97" s="20"/>
      <c r="HZ97" s="20"/>
      <c r="IA97" s="20"/>
      <c r="IB97" s="20"/>
      <c r="IC97" s="20"/>
      <c r="ID97" s="20"/>
      <c r="IE97" s="20"/>
      <c r="IF97" s="20"/>
      <c r="IG97" s="20"/>
      <c r="IH97" s="20"/>
      <c r="II97" s="20"/>
      <c r="IJ97" s="20"/>
      <c r="IK97" s="20"/>
      <c r="IL97" s="20"/>
      <c r="IM97" s="20"/>
      <c r="IN97" s="20"/>
      <c r="IO97" s="20"/>
      <c r="IP97" s="20"/>
      <c r="IQ97" s="20"/>
      <c r="IR97" s="20"/>
      <c r="IS97" s="20"/>
      <c r="IT97" s="20"/>
      <c r="IU97" s="20"/>
      <c r="IV97" s="20"/>
      <c r="IW97" s="20"/>
      <c r="IX97" s="20"/>
      <c r="IY97" s="20"/>
      <c r="IZ97" s="20"/>
      <c r="JA97" s="20"/>
      <c r="JB97" s="20"/>
      <c r="JC97" s="20"/>
      <c r="JD97" s="20"/>
      <c r="JE97" s="20"/>
      <c r="JF97" s="20"/>
      <c r="JG97" s="20"/>
      <c r="JH97" s="20"/>
      <c r="JI97" s="20"/>
      <c r="JJ97" s="20"/>
      <c r="JK97" s="20"/>
      <c r="JL97" s="20"/>
      <c r="JM97" s="20"/>
      <c r="JN97" s="20"/>
      <c r="JO97" s="20"/>
      <c r="JP97" s="20"/>
      <c r="JQ97" s="20"/>
      <c r="JR97" s="20"/>
      <c r="JS97" s="20"/>
      <c r="JT97" s="20"/>
      <c r="JU97" s="20"/>
      <c r="JV97" s="20"/>
      <c r="JW97" s="20"/>
      <c r="JX97" s="20"/>
      <c r="JY97" s="20"/>
      <c r="JZ97" s="20"/>
      <c r="KA97" s="20"/>
      <c r="KB97" s="20"/>
      <c r="KC97" s="20"/>
      <c r="KD97" s="188"/>
      <c r="KE97" s="20"/>
      <c r="KF97" s="20"/>
      <c r="KG97" s="20"/>
      <c r="KH97" s="20"/>
      <c r="KI97" s="12"/>
      <c r="KJ97" s="12"/>
      <c r="KK97" s="12"/>
      <c r="KL97" s="12"/>
      <c r="KM97" s="12"/>
      <c r="KN97" s="12"/>
      <c r="KO97" s="12"/>
      <c r="KP97" s="12"/>
      <c r="KQ97" s="12"/>
      <c r="KR97" s="12"/>
      <c r="KS97" s="12"/>
      <c r="KT97" s="12"/>
      <c r="KU97" s="12"/>
      <c r="KV97" s="12"/>
      <c r="KW97" s="12"/>
      <c r="KX97" s="12"/>
    </row>
    <row r="98" spans="1:310" s="39" customFormat="1" x14ac:dyDescent="0.2">
      <c r="A98" s="138">
        <v>0</v>
      </c>
      <c r="B98" s="326" t="s">
        <v>650</v>
      </c>
      <c r="C98" s="50" t="str">
        <f t="shared" si="23"/>
        <v>CML</v>
      </c>
      <c r="D98" s="319">
        <f t="shared" si="24"/>
        <v>0</v>
      </c>
      <c r="E98" s="50" t="str">
        <f t="shared" si="26"/>
        <v>CML</v>
      </c>
      <c r="F98" s="319">
        <f t="shared" si="27"/>
        <v>0</v>
      </c>
      <c r="G98" s="50" t="str">
        <f t="shared" si="28"/>
        <v>CML</v>
      </c>
      <c r="H98" s="319">
        <f t="shared" si="29"/>
        <v>0</v>
      </c>
      <c r="I98" s="50" t="str">
        <f t="shared" si="30"/>
        <v>CML</v>
      </c>
      <c r="J98" s="319">
        <f t="shared" si="31"/>
        <v>0</v>
      </c>
      <c r="K98" s="50" t="str">
        <f t="shared" si="32"/>
        <v>CML</v>
      </c>
      <c r="L98" s="319">
        <f t="shared" si="33"/>
        <v>0</v>
      </c>
      <c r="M98" s="50" t="str">
        <f t="shared" si="34"/>
        <v>CML</v>
      </c>
      <c r="N98" s="319">
        <f t="shared" si="35"/>
        <v>0</v>
      </c>
      <c r="O98" s="50" t="str">
        <f t="shared" si="36"/>
        <v>CML</v>
      </c>
      <c r="P98" s="319">
        <f t="shared" si="37"/>
        <v>0</v>
      </c>
      <c r="Q98" s="50" t="str">
        <f t="shared" si="38"/>
        <v>CML</v>
      </c>
      <c r="R98" s="319">
        <f t="shared" si="39"/>
        <v>0</v>
      </c>
      <c r="S98" s="50" t="str">
        <f t="shared" si="40"/>
        <v>CML</v>
      </c>
      <c r="T98" s="319">
        <f t="shared" si="25"/>
        <v>0</v>
      </c>
      <c r="U98" s="329" t="s">
        <v>618</v>
      </c>
      <c r="V98" s="330">
        <v>0</v>
      </c>
      <c r="W98" s="331" t="s">
        <v>618</v>
      </c>
      <c r="X98" s="330">
        <v>0</v>
      </c>
      <c r="Y98" s="331" t="s">
        <v>618</v>
      </c>
      <c r="Z98" s="330">
        <v>0</v>
      </c>
      <c r="AA98" s="331" t="s">
        <v>618</v>
      </c>
      <c r="AB98" s="330">
        <v>0</v>
      </c>
      <c r="AC98" s="331" t="s">
        <v>618</v>
      </c>
      <c r="AD98" s="330">
        <v>0</v>
      </c>
      <c r="AE98" s="331" t="s">
        <v>618</v>
      </c>
      <c r="AF98" s="330">
        <v>0</v>
      </c>
      <c r="AG98" s="331" t="s">
        <v>618</v>
      </c>
      <c r="AH98" s="330">
        <v>0</v>
      </c>
      <c r="AI98" s="331" t="s">
        <v>618</v>
      </c>
      <c r="AJ98" s="330">
        <v>0</v>
      </c>
      <c r="AK98" s="331" t="s">
        <v>618</v>
      </c>
      <c r="AL98" s="330">
        <v>0</v>
      </c>
      <c r="AM98" s="330" t="s">
        <v>618</v>
      </c>
      <c r="AN98" s="330">
        <v>0</v>
      </c>
      <c r="AO98" s="331" t="s">
        <v>618</v>
      </c>
      <c r="AP98" s="330">
        <v>0</v>
      </c>
      <c r="AQ98" s="331" t="s">
        <v>618</v>
      </c>
      <c r="AR98" s="330">
        <v>0</v>
      </c>
      <c r="AS98" s="331" t="s">
        <v>618</v>
      </c>
      <c r="AT98" s="330">
        <v>0</v>
      </c>
      <c r="AU98" s="331" t="s">
        <v>618</v>
      </c>
      <c r="AV98" s="330">
        <v>0</v>
      </c>
      <c r="AW98" s="331" t="s">
        <v>618</v>
      </c>
      <c r="AX98" s="330">
        <v>0</v>
      </c>
      <c r="AY98" s="331" t="s">
        <v>618</v>
      </c>
      <c r="AZ98" s="330">
        <v>0</v>
      </c>
      <c r="BA98" s="331" t="s">
        <v>618</v>
      </c>
      <c r="BB98" s="330">
        <v>0</v>
      </c>
      <c r="BC98" s="331" t="s">
        <v>618</v>
      </c>
      <c r="BD98" s="330">
        <v>0</v>
      </c>
      <c r="BE98" s="331" t="s">
        <v>618</v>
      </c>
      <c r="BF98" s="330">
        <v>0</v>
      </c>
      <c r="BG98" s="331" t="s">
        <v>618</v>
      </c>
      <c r="BH98" s="330">
        <v>0</v>
      </c>
      <c r="BI98" s="331" t="s">
        <v>618</v>
      </c>
      <c r="BJ98" s="330">
        <v>0</v>
      </c>
      <c r="BK98" s="331" t="s">
        <v>618</v>
      </c>
      <c r="BL98" s="332">
        <v>0</v>
      </c>
      <c r="BM98" s="320" t="s">
        <v>618</v>
      </c>
      <c r="BN98" s="321">
        <v>0</v>
      </c>
      <c r="BO98" s="320" t="s">
        <v>618</v>
      </c>
      <c r="BP98" s="321">
        <v>0</v>
      </c>
      <c r="BQ98" s="320" t="s">
        <v>618</v>
      </c>
      <c r="BR98" s="321">
        <v>0</v>
      </c>
      <c r="BS98" s="320" t="s">
        <v>618</v>
      </c>
      <c r="BT98" s="321">
        <v>0</v>
      </c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20"/>
      <c r="DA98" s="20"/>
      <c r="DB98" s="20"/>
      <c r="DC98" s="20"/>
      <c r="DD98" s="20"/>
      <c r="DE98" s="20"/>
      <c r="DF98" s="20"/>
      <c r="DG98" s="20"/>
      <c r="DH98" s="20"/>
      <c r="DI98" s="20"/>
      <c r="DJ98" s="20"/>
      <c r="DK98" s="20"/>
      <c r="DL98" s="20"/>
      <c r="DM98" s="20"/>
      <c r="DN98" s="20"/>
      <c r="DO98" s="20"/>
      <c r="DP98" s="20"/>
      <c r="DQ98" s="20"/>
      <c r="DR98" s="20"/>
      <c r="DS98" s="20"/>
      <c r="DT98" s="20"/>
      <c r="DU98" s="20"/>
      <c r="DV98" s="20"/>
      <c r="DW98" s="20"/>
      <c r="DX98" s="20"/>
      <c r="DY98" s="20"/>
      <c r="DZ98" s="20"/>
      <c r="EA98" s="20"/>
      <c r="EB98" s="20"/>
      <c r="EC98" s="20"/>
      <c r="ED98" s="20"/>
      <c r="EE98" s="20"/>
      <c r="EF98" s="20"/>
      <c r="EG98" s="20"/>
      <c r="EH98" s="20"/>
      <c r="EI98" s="20"/>
      <c r="EJ98" s="20"/>
      <c r="EK98" s="20"/>
      <c r="EL98" s="20"/>
      <c r="EM98" s="20"/>
      <c r="EN98" s="20"/>
      <c r="EO98" s="20"/>
      <c r="EP98" s="20"/>
      <c r="EQ98" s="20"/>
      <c r="ER98" s="20"/>
      <c r="ES98" s="20"/>
      <c r="ET98" s="20"/>
      <c r="EU98" s="20"/>
      <c r="EV98" s="20"/>
      <c r="EW98" s="20"/>
      <c r="EX98" s="20"/>
      <c r="EY98" s="20"/>
      <c r="EZ98" s="20"/>
      <c r="FA98" s="20"/>
      <c r="FB98" s="20"/>
      <c r="FC98" s="20"/>
      <c r="FD98" s="20"/>
      <c r="FE98" s="20"/>
      <c r="FF98" s="20"/>
      <c r="FG98" s="20"/>
      <c r="FH98" s="20"/>
      <c r="FI98" s="20"/>
      <c r="FJ98" s="20"/>
      <c r="FK98" s="20"/>
      <c r="FL98" s="20"/>
      <c r="FM98" s="20"/>
      <c r="FN98" s="20"/>
      <c r="FO98" s="20"/>
      <c r="FP98" s="20"/>
      <c r="FQ98" s="20"/>
      <c r="FR98" s="20"/>
      <c r="FS98" s="20"/>
      <c r="FT98" s="20"/>
      <c r="FU98" s="20"/>
      <c r="FV98" s="20"/>
      <c r="FW98" s="20"/>
      <c r="FX98" s="20"/>
      <c r="FY98" s="20"/>
      <c r="FZ98" s="20"/>
      <c r="GA98" s="20"/>
      <c r="GB98" s="20"/>
      <c r="GC98" s="20"/>
      <c r="GD98" s="20"/>
      <c r="GE98" s="20"/>
      <c r="GF98" s="20"/>
      <c r="GG98" s="20"/>
      <c r="GH98" s="20"/>
      <c r="GI98" s="20"/>
      <c r="GJ98" s="20"/>
      <c r="GK98" s="20"/>
      <c r="GL98" s="20"/>
      <c r="GM98" s="20"/>
      <c r="GN98" s="20"/>
      <c r="GO98" s="20"/>
      <c r="GP98" s="20"/>
      <c r="GQ98" s="20"/>
      <c r="GR98" s="20"/>
      <c r="GS98" s="20"/>
      <c r="GT98" s="20"/>
      <c r="GU98" s="20"/>
      <c r="GV98" s="20"/>
      <c r="GW98" s="20"/>
      <c r="GX98" s="20"/>
      <c r="GY98" s="20"/>
      <c r="GZ98" s="20"/>
      <c r="HA98" s="20"/>
      <c r="HB98" s="20"/>
      <c r="HC98" s="20"/>
      <c r="HD98" s="20"/>
      <c r="HE98" s="20"/>
      <c r="HF98" s="20"/>
      <c r="HG98" s="20"/>
      <c r="HH98" s="20"/>
      <c r="HI98" s="20"/>
      <c r="HJ98" s="20"/>
      <c r="HK98" s="20"/>
      <c r="HL98" s="20"/>
      <c r="HM98" s="20"/>
      <c r="HN98" s="20"/>
      <c r="HO98" s="20"/>
      <c r="HP98" s="20"/>
      <c r="HQ98" s="20"/>
      <c r="HR98" s="20"/>
      <c r="HS98" s="20"/>
      <c r="HT98" s="20"/>
      <c r="HU98" s="20"/>
      <c r="HV98" s="20"/>
      <c r="HW98" s="20"/>
      <c r="HX98" s="20"/>
      <c r="HY98" s="20"/>
      <c r="HZ98" s="20"/>
      <c r="IA98" s="20"/>
      <c r="IB98" s="20"/>
      <c r="IC98" s="20"/>
      <c r="ID98" s="20"/>
      <c r="IE98" s="20"/>
      <c r="IF98" s="20"/>
      <c r="IG98" s="20"/>
      <c r="IH98" s="20"/>
      <c r="II98" s="20"/>
      <c r="IJ98" s="20"/>
      <c r="IK98" s="20"/>
      <c r="IL98" s="20"/>
      <c r="IM98" s="20"/>
      <c r="IN98" s="20"/>
      <c r="IO98" s="20"/>
      <c r="IP98" s="20"/>
      <c r="IQ98" s="20"/>
      <c r="IR98" s="20"/>
      <c r="IS98" s="20"/>
      <c r="IT98" s="20"/>
      <c r="IU98" s="20"/>
      <c r="IV98" s="20"/>
      <c r="IW98" s="20"/>
      <c r="IX98" s="20"/>
      <c r="IY98" s="20"/>
      <c r="IZ98" s="20"/>
      <c r="JA98" s="20"/>
      <c r="JB98" s="20"/>
      <c r="JC98" s="20"/>
      <c r="JD98" s="20"/>
      <c r="JE98" s="20"/>
      <c r="JF98" s="20"/>
      <c r="JG98" s="20"/>
      <c r="JH98" s="20"/>
      <c r="JI98" s="20"/>
      <c r="JJ98" s="20"/>
      <c r="JK98" s="20"/>
      <c r="JL98" s="20"/>
      <c r="JM98" s="20"/>
      <c r="JN98" s="20"/>
      <c r="JO98" s="20"/>
      <c r="JP98" s="20"/>
      <c r="JQ98" s="20"/>
      <c r="JR98" s="20"/>
      <c r="JS98" s="20"/>
      <c r="JT98" s="20"/>
      <c r="JU98" s="20"/>
      <c r="JV98" s="20"/>
      <c r="JW98" s="20"/>
      <c r="JX98" s="20"/>
      <c r="JY98" s="20"/>
      <c r="JZ98" s="20"/>
      <c r="KA98" s="20"/>
      <c r="KB98" s="20"/>
      <c r="KC98" s="20"/>
      <c r="KD98" s="188"/>
      <c r="KE98" s="20"/>
      <c r="KF98" s="20"/>
      <c r="KG98" s="20"/>
      <c r="KH98" s="20"/>
      <c r="KI98" s="12"/>
      <c r="KJ98" s="12"/>
      <c r="KK98" s="12"/>
      <c r="KL98" s="12"/>
      <c r="KM98" s="12"/>
      <c r="KN98" s="12"/>
      <c r="KO98" s="12"/>
      <c r="KP98" s="12"/>
      <c r="KQ98" s="12"/>
      <c r="KR98" s="12"/>
      <c r="KS98" s="12"/>
      <c r="KT98" s="12"/>
      <c r="KU98" s="12"/>
      <c r="KV98" s="12"/>
      <c r="KW98" s="12"/>
      <c r="KX98" s="12"/>
    </row>
    <row r="99" spans="1:310" s="39" customFormat="1" x14ac:dyDescent="0.2">
      <c r="A99" s="138">
        <v>0</v>
      </c>
      <c r="B99" s="326" t="s">
        <v>670</v>
      </c>
      <c r="C99" s="50" t="str">
        <f t="shared" si="23"/>
        <v>CML</v>
      </c>
      <c r="D99" s="319">
        <f t="shared" si="24"/>
        <v>0</v>
      </c>
      <c r="E99" s="50" t="str">
        <f t="shared" si="26"/>
        <v>CML</v>
      </c>
      <c r="F99" s="319">
        <f t="shared" si="27"/>
        <v>0</v>
      </c>
      <c r="G99" s="50" t="str">
        <f t="shared" si="28"/>
        <v>CML</v>
      </c>
      <c r="H99" s="319">
        <f t="shared" si="29"/>
        <v>0</v>
      </c>
      <c r="I99" s="50" t="str">
        <f t="shared" si="30"/>
        <v>CML</v>
      </c>
      <c r="J99" s="319">
        <f t="shared" si="31"/>
        <v>0</v>
      </c>
      <c r="K99" s="50" t="str">
        <f t="shared" si="32"/>
        <v>CML</v>
      </c>
      <c r="L99" s="319">
        <f t="shared" si="33"/>
        <v>0</v>
      </c>
      <c r="M99" s="50" t="str">
        <f t="shared" si="34"/>
        <v>CML</v>
      </c>
      <c r="N99" s="319">
        <f t="shared" si="35"/>
        <v>2.3856858846918488E-2</v>
      </c>
      <c r="O99" s="50" t="str">
        <f t="shared" si="36"/>
        <v>CML</v>
      </c>
      <c r="P99" s="319">
        <f t="shared" si="37"/>
        <v>0.11111111111111112</v>
      </c>
      <c r="Q99" s="50" t="str">
        <f t="shared" si="38"/>
        <v>CML</v>
      </c>
      <c r="R99" s="319">
        <f t="shared" si="39"/>
        <v>1</v>
      </c>
      <c r="S99" s="50" t="str">
        <f t="shared" si="40"/>
        <v>CML</v>
      </c>
      <c r="T99" s="319">
        <f t="shared" si="25"/>
        <v>1</v>
      </c>
      <c r="U99" s="329" t="s">
        <v>618</v>
      </c>
      <c r="V99" s="330">
        <v>0</v>
      </c>
      <c r="W99" s="331" t="s">
        <v>618</v>
      </c>
      <c r="X99" s="330">
        <v>0</v>
      </c>
      <c r="Y99" s="331" t="s">
        <v>618</v>
      </c>
      <c r="Z99" s="330">
        <v>0</v>
      </c>
      <c r="AA99" s="331" t="s">
        <v>618</v>
      </c>
      <c r="AB99" s="330">
        <v>0</v>
      </c>
      <c r="AC99" s="331" t="s">
        <v>618</v>
      </c>
      <c r="AD99" s="330">
        <v>0</v>
      </c>
      <c r="AE99" s="331" t="s">
        <v>618</v>
      </c>
      <c r="AF99" s="330">
        <v>2.3856858846918488E-2</v>
      </c>
      <c r="AG99" s="331" t="s">
        <v>618</v>
      </c>
      <c r="AH99" s="330">
        <v>0.11111111111111112</v>
      </c>
      <c r="AI99" s="331" t="s">
        <v>618</v>
      </c>
      <c r="AJ99" s="330">
        <v>1</v>
      </c>
      <c r="AK99" s="331" t="s">
        <v>618</v>
      </c>
      <c r="AL99" s="330">
        <v>1</v>
      </c>
      <c r="AM99" s="330" t="s">
        <v>618</v>
      </c>
      <c r="AN99" s="330">
        <v>0</v>
      </c>
      <c r="AO99" s="331" t="s">
        <v>618</v>
      </c>
      <c r="AP99" s="330">
        <v>0</v>
      </c>
      <c r="AQ99" s="331" t="s">
        <v>618</v>
      </c>
      <c r="AR99" s="330">
        <v>0</v>
      </c>
      <c r="AS99" s="331" t="s">
        <v>618</v>
      </c>
      <c r="AT99" s="330">
        <v>-1.7907306577489078E-7</v>
      </c>
      <c r="AU99" s="331" t="s">
        <v>618</v>
      </c>
      <c r="AV99" s="330">
        <v>2.3856858846918488E-2</v>
      </c>
      <c r="AW99" s="331" t="s">
        <v>618</v>
      </c>
      <c r="AX99" s="330">
        <v>0.11111111111111112</v>
      </c>
      <c r="AY99" s="331" t="s">
        <v>618</v>
      </c>
      <c r="AZ99" s="330">
        <v>0.20000000000000004</v>
      </c>
      <c r="BA99" s="331" t="s">
        <v>618</v>
      </c>
      <c r="BB99" s="330">
        <v>0.36000000000000004</v>
      </c>
      <c r="BC99" s="331" t="s">
        <v>618</v>
      </c>
      <c r="BD99" s="330">
        <v>1</v>
      </c>
      <c r="BE99" s="331" t="s">
        <v>618</v>
      </c>
      <c r="BF99" s="330">
        <v>1</v>
      </c>
      <c r="BG99" s="331" t="s">
        <v>618</v>
      </c>
      <c r="BH99" s="330">
        <v>1</v>
      </c>
      <c r="BI99" s="331" t="s">
        <v>618</v>
      </c>
      <c r="BJ99" s="330">
        <v>1</v>
      </c>
      <c r="BK99" s="331" t="s">
        <v>618</v>
      </c>
      <c r="BL99" s="332">
        <v>1</v>
      </c>
      <c r="BM99" s="320" t="s">
        <v>618</v>
      </c>
      <c r="BN99" s="321">
        <v>0</v>
      </c>
      <c r="BO99" s="320" t="s">
        <v>618</v>
      </c>
      <c r="BP99" s="321">
        <v>0</v>
      </c>
      <c r="BQ99" s="320" t="s">
        <v>618</v>
      </c>
      <c r="BR99" s="321">
        <v>0</v>
      </c>
      <c r="BS99" s="320" t="s">
        <v>618</v>
      </c>
      <c r="BT99" s="321">
        <v>0</v>
      </c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  <c r="EJ99" s="20"/>
      <c r="EK99" s="20"/>
      <c r="EL99" s="20"/>
      <c r="EM99" s="20"/>
      <c r="EN99" s="20"/>
      <c r="EO99" s="20"/>
      <c r="EP99" s="20"/>
      <c r="EQ99" s="20"/>
      <c r="ER99" s="20"/>
      <c r="ES99" s="20"/>
      <c r="ET99" s="20"/>
      <c r="EU99" s="20"/>
      <c r="EV99" s="20"/>
      <c r="EW99" s="20"/>
      <c r="EX99" s="20"/>
      <c r="EY99" s="20"/>
      <c r="EZ99" s="20"/>
      <c r="FA99" s="20"/>
      <c r="FB99" s="20"/>
      <c r="FC99" s="20"/>
      <c r="FD99" s="20"/>
      <c r="FE99" s="20"/>
      <c r="FF99" s="20"/>
      <c r="FG99" s="20"/>
      <c r="FH99" s="20"/>
      <c r="FI99" s="20"/>
      <c r="FJ99" s="20"/>
      <c r="FK99" s="20"/>
      <c r="FL99" s="20"/>
      <c r="FM99" s="20"/>
      <c r="FN99" s="20"/>
      <c r="FO99" s="20"/>
      <c r="FP99" s="20"/>
      <c r="FQ99" s="20"/>
      <c r="FR99" s="20"/>
      <c r="FS99" s="20"/>
      <c r="FT99" s="20"/>
      <c r="FU99" s="20"/>
      <c r="FV99" s="20"/>
      <c r="FW99" s="20"/>
      <c r="FX99" s="20"/>
      <c r="FY99" s="20"/>
      <c r="FZ99" s="20"/>
      <c r="GA99" s="20"/>
      <c r="GB99" s="20"/>
      <c r="GC99" s="20"/>
      <c r="GD99" s="20"/>
      <c r="GE99" s="20"/>
      <c r="GF99" s="20"/>
      <c r="GG99" s="20"/>
      <c r="GH99" s="20"/>
      <c r="GI99" s="20"/>
      <c r="GJ99" s="20"/>
      <c r="GK99" s="20"/>
      <c r="GL99" s="20"/>
      <c r="GM99" s="20"/>
      <c r="GN99" s="20"/>
      <c r="GO99" s="20"/>
      <c r="GP99" s="20"/>
      <c r="GQ99" s="20"/>
      <c r="GR99" s="20"/>
      <c r="GS99" s="20"/>
      <c r="GT99" s="20"/>
      <c r="GU99" s="20"/>
      <c r="GV99" s="20"/>
      <c r="GW99" s="20"/>
      <c r="GX99" s="20"/>
      <c r="GY99" s="20"/>
      <c r="GZ99" s="20"/>
      <c r="HA99" s="20"/>
      <c r="HB99" s="20"/>
      <c r="HC99" s="20"/>
      <c r="HD99" s="20"/>
      <c r="HE99" s="20"/>
      <c r="HF99" s="20"/>
      <c r="HG99" s="20"/>
      <c r="HH99" s="20"/>
      <c r="HI99" s="20"/>
      <c r="HJ99" s="20"/>
      <c r="HK99" s="20"/>
      <c r="HL99" s="20"/>
      <c r="HM99" s="20"/>
      <c r="HN99" s="20"/>
      <c r="HO99" s="20"/>
      <c r="HP99" s="20"/>
      <c r="HQ99" s="20"/>
      <c r="HR99" s="20"/>
      <c r="HS99" s="20"/>
      <c r="HT99" s="20"/>
      <c r="HU99" s="20"/>
      <c r="HV99" s="20"/>
      <c r="HW99" s="20"/>
      <c r="HX99" s="20"/>
      <c r="HY99" s="20"/>
      <c r="HZ99" s="20"/>
      <c r="IA99" s="20"/>
      <c r="IB99" s="20"/>
      <c r="IC99" s="20"/>
      <c r="ID99" s="20"/>
      <c r="IE99" s="20"/>
      <c r="IF99" s="20"/>
      <c r="IG99" s="20"/>
      <c r="IH99" s="20"/>
      <c r="II99" s="20"/>
      <c r="IJ99" s="20"/>
      <c r="IK99" s="20"/>
      <c r="IL99" s="20"/>
      <c r="IM99" s="20"/>
      <c r="IN99" s="20"/>
      <c r="IO99" s="20"/>
      <c r="IP99" s="20"/>
      <c r="IQ99" s="20"/>
      <c r="IR99" s="20"/>
      <c r="IS99" s="20"/>
      <c r="IT99" s="20"/>
      <c r="IU99" s="20"/>
      <c r="IV99" s="20"/>
      <c r="IW99" s="20"/>
      <c r="IX99" s="20"/>
      <c r="IY99" s="20"/>
      <c r="IZ99" s="20"/>
      <c r="JA99" s="20"/>
      <c r="JB99" s="20"/>
      <c r="JC99" s="20"/>
      <c r="JD99" s="20"/>
      <c r="JE99" s="20"/>
      <c r="JF99" s="20"/>
      <c r="JG99" s="20"/>
      <c r="JH99" s="20"/>
      <c r="JI99" s="20"/>
      <c r="JJ99" s="20"/>
      <c r="JK99" s="20"/>
      <c r="JL99" s="20"/>
      <c r="JM99" s="20"/>
      <c r="JN99" s="20"/>
      <c r="JO99" s="20"/>
      <c r="JP99" s="20"/>
      <c r="JQ99" s="20"/>
      <c r="JR99" s="20"/>
      <c r="JS99" s="20"/>
      <c r="JT99" s="20"/>
      <c r="JU99" s="20"/>
      <c r="JV99" s="20"/>
      <c r="JW99" s="20"/>
      <c r="JX99" s="20"/>
      <c r="JY99" s="20"/>
      <c r="JZ99" s="20"/>
      <c r="KA99" s="20"/>
      <c r="KB99" s="20"/>
      <c r="KC99" s="20"/>
      <c r="KD99" s="188"/>
      <c r="KE99" s="20"/>
      <c r="KF99" s="20"/>
      <c r="KG99" s="20"/>
      <c r="KH99" s="20"/>
      <c r="KI99" s="12"/>
      <c r="KJ99" s="12"/>
      <c r="KK99" s="12"/>
      <c r="KL99" s="12"/>
      <c r="KM99" s="12"/>
      <c r="KN99" s="12"/>
      <c r="KO99" s="12"/>
      <c r="KP99" s="12"/>
      <c r="KQ99" s="12"/>
      <c r="KR99" s="12"/>
      <c r="KS99" s="12"/>
      <c r="KT99" s="12"/>
      <c r="KU99" s="12"/>
      <c r="KV99" s="12"/>
      <c r="KW99" s="12"/>
      <c r="KX99" s="12"/>
    </row>
    <row r="100" spans="1:310" s="39" customFormat="1" x14ac:dyDescent="0.2">
      <c r="A100" s="138">
        <v>0</v>
      </c>
      <c r="B100" s="326" t="s">
        <v>702</v>
      </c>
      <c r="C100" s="50" t="str">
        <f t="shared" si="23"/>
        <v>PrivCorp_A</v>
      </c>
      <c r="D100" s="319">
        <f t="shared" si="24"/>
        <v>0</v>
      </c>
      <c r="E100" s="50" t="str">
        <f t="shared" si="26"/>
        <v>PrivCorp_A</v>
      </c>
      <c r="F100" s="319">
        <f t="shared" si="27"/>
        <v>0</v>
      </c>
      <c r="G100" s="50" t="str">
        <f t="shared" si="28"/>
        <v>PrivCorp_A</v>
      </c>
      <c r="H100" s="319">
        <f t="shared" si="29"/>
        <v>0</v>
      </c>
      <c r="I100" s="50" t="str">
        <f t="shared" si="30"/>
        <v>PrivCorp_A</v>
      </c>
      <c r="J100" s="319">
        <f t="shared" si="31"/>
        <v>0</v>
      </c>
      <c r="K100" s="50" t="str">
        <f t="shared" si="32"/>
        <v>PrivCorp_A</v>
      </c>
      <c r="L100" s="319">
        <f t="shared" si="33"/>
        <v>0</v>
      </c>
      <c r="M100" s="50" t="str">
        <f t="shared" si="34"/>
        <v>PrivCorp_A</v>
      </c>
      <c r="N100" s="319">
        <f t="shared" si="35"/>
        <v>0</v>
      </c>
      <c r="O100" s="50" t="str">
        <f t="shared" si="36"/>
        <v>PrivCorp_A</v>
      </c>
      <c r="P100" s="319">
        <f t="shared" si="37"/>
        <v>0</v>
      </c>
      <c r="Q100" s="50" t="str">
        <f t="shared" si="38"/>
        <v>PrivCorp_A</v>
      </c>
      <c r="R100" s="319">
        <f t="shared" si="39"/>
        <v>0</v>
      </c>
      <c r="S100" s="50" t="str">
        <f t="shared" si="40"/>
        <v>PrivCorp_A</v>
      </c>
      <c r="T100" s="319">
        <f t="shared" si="25"/>
        <v>0</v>
      </c>
      <c r="U100" s="329" t="s">
        <v>700</v>
      </c>
      <c r="V100" s="330">
        <v>0</v>
      </c>
      <c r="W100" s="331" t="s">
        <v>700</v>
      </c>
      <c r="X100" s="330">
        <v>0</v>
      </c>
      <c r="Y100" s="331" t="s">
        <v>700</v>
      </c>
      <c r="Z100" s="330">
        <v>0</v>
      </c>
      <c r="AA100" s="331" t="s">
        <v>700</v>
      </c>
      <c r="AB100" s="330">
        <v>0</v>
      </c>
      <c r="AC100" s="331" t="s">
        <v>700</v>
      </c>
      <c r="AD100" s="330">
        <v>0</v>
      </c>
      <c r="AE100" s="331" t="s">
        <v>700</v>
      </c>
      <c r="AF100" s="330">
        <v>0</v>
      </c>
      <c r="AG100" s="331" t="s">
        <v>700</v>
      </c>
      <c r="AH100" s="330">
        <v>0</v>
      </c>
      <c r="AI100" s="331" t="s">
        <v>700</v>
      </c>
      <c r="AJ100" s="330">
        <v>0</v>
      </c>
      <c r="AK100" s="331" t="s">
        <v>700</v>
      </c>
      <c r="AL100" s="330">
        <v>0</v>
      </c>
      <c r="AM100" s="330" t="s">
        <v>700</v>
      </c>
      <c r="AN100" s="330">
        <v>0</v>
      </c>
      <c r="AO100" s="331" t="s">
        <v>700</v>
      </c>
      <c r="AP100" s="330">
        <v>0</v>
      </c>
      <c r="AQ100" s="331" t="s">
        <v>700</v>
      </c>
      <c r="AR100" s="330">
        <v>0</v>
      </c>
      <c r="AS100" s="331" t="s">
        <v>700</v>
      </c>
      <c r="AT100" s="330">
        <v>0</v>
      </c>
      <c r="AU100" s="331" t="s">
        <v>700</v>
      </c>
      <c r="AV100" s="330">
        <v>0</v>
      </c>
      <c r="AW100" s="331" t="s">
        <v>700</v>
      </c>
      <c r="AX100" s="330">
        <v>0</v>
      </c>
      <c r="AY100" s="331" t="s">
        <v>700</v>
      </c>
      <c r="AZ100" s="330">
        <v>0</v>
      </c>
      <c r="BA100" s="331" t="s">
        <v>700</v>
      </c>
      <c r="BB100" s="330">
        <v>0</v>
      </c>
      <c r="BC100" s="331" t="s">
        <v>700</v>
      </c>
      <c r="BD100" s="330">
        <v>0</v>
      </c>
      <c r="BE100" s="331" t="s">
        <v>700</v>
      </c>
      <c r="BF100" s="330">
        <v>0</v>
      </c>
      <c r="BG100" s="331" t="s">
        <v>700</v>
      </c>
      <c r="BH100" s="330">
        <v>0</v>
      </c>
      <c r="BI100" s="331" t="s">
        <v>700</v>
      </c>
      <c r="BJ100" s="330">
        <v>0</v>
      </c>
      <c r="BK100" s="331" t="s">
        <v>700</v>
      </c>
      <c r="BL100" s="332">
        <v>0</v>
      </c>
      <c r="BM100" s="320" t="s">
        <v>700</v>
      </c>
      <c r="BN100" s="321">
        <v>0</v>
      </c>
      <c r="BO100" s="320" t="s">
        <v>700</v>
      </c>
      <c r="BP100" s="321">
        <v>0</v>
      </c>
      <c r="BQ100" s="320" t="s">
        <v>700</v>
      </c>
      <c r="BR100" s="321">
        <v>0</v>
      </c>
      <c r="BS100" s="320" t="s">
        <v>700</v>
      </c>
      <c r="BT100" s="321">
        <v>0</v>
      </c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  <c r="CZ100" s="20"/>
      <c r="DA100" s="20"/>
      <c r="DB100" s="20"/>
      <c r="DC100" s="20"/>
      <c r="DD100" s="20"/>
      <c r="DE100" s="20"/>
      <c r="DF100" s="20"/>
      <c r="DG100" s="20"/>
      <c r="DH100" s="20"/>
      <c r="DI100" s="20"/>
      <c r="DJ100" s="20"/>
      <c r="DK100" s="20"/>
      <c r="DL100" s="20"/>
      <c r="DM100" s="20"/>
      <c r="DN100" s="20"/>
      <c r="DO100" s="20"/>
      <c r="DP100" s="20"/>
      <c r="DQ100" s="20"/>
      <c r="DR100" s="20"/>
      <c r="DS100" s="20"/>
      <c r="DT100" s="20"/>
      <c r="DU100" s="20"/>
      <c r="DV100" s="20"/>
      <c r="DW100" s="20"/>
      <c r="DX100" s="20"/>
      <c r="DY100" s="20"/>
      <c r="DZ100" s="20"/>
      <c r="EA100" s="20"/>
      <c r="EB100" s="20"/>
      <c r="EC100" s="20"/>
      <c r="ED100" s="20"/>
      <c r="EE100" s="20"/>
      <c r="EF100" s="20"/>
      <c r="EG100" s="20"/>
      <c r="EH100" s="20"/>
      <c r="EI100" s="20"/>
      <c r="EJ100" s="20"/>
      <c r="EK100" s="20"/>
      <c r="EL100" s="20"/>
      <c r="EM100" s="20"/>
      <c r="EN100" s="20"/>
      <c r="EO100" s="20"/>
      <c r="EP100" s="20"/>
      <c r="EQ100" s="20"/>
      <c r="ER100" s="20"/>
      <c r="ES100" s="20"/>
      <c r="ET100" s="20"/>
      <c r="EU100" s="20"/>
      <c r="EV100" s="20"/>
      <c r="EW100" s="20"/>
      <c r="EX100" s="20"/>
      <c r="EY100" s="20"/>
      <c r="EZ100" s="20"/>
      <c r="FA100" s="20"/>
      <c r="FB100" s="20"/>
      <c r="FC100" s="20"/>
      <c r="FD100" s="20"/>
      <c r="FE100" s="20"/>
      <c r="FF100" s="20"/>
      <c r="FG100" s="20"/>
      <c r="FH100" s="20"/>
      <c r="FI100" s="20"/>
      <c r="FJ100" s="20"/>
      <c r="FK100" s="20"/>
      <c r="FL100" s="20"/>
      <c r="FM100" s="20"/>
      <c r="FN100" s="20"/>
      <c r="FO100" s="20"/>
      <c r="FP100" s="20"/>
      <c r="FQ100" s="20"/>
      <c r="FR100" s="20"/>
      <c r="FS100" s="20"/>
      <c r="FT100" s="20"/>
      <c r="FU100" s="20"/>
      <c r="FV100" s="20"/>
      <c r="FW100" s="20"/>
      <c r="FX100" s="20"/>
      <c r="FY100" s="20"/>
      <c r="FZ100" s="20"/>
      <c r="GA100" s="20"/>
      <c r="GB100" s="20"/>
      <c r="GC100" s="20"/>
      <c r="GD100" s="20"/>
      <c r="GE100" s="20"/>
      <c r="GF100" s="20"/>
      <c r="GG100" s="20"/>
      <c r="GH100" s="20"/>
      <c r="GI100" s="20"/>
      <c r="GJ100" s="20"/>
      <c r="GK100" s="20"/>
      <c r="GL100" s="20"/>
      <c r="GM100" s="20"/>
      <c r="GN100" s="20"/>
      <c r="GO100" s="20"/>
      <c r="GP100" s="20"/>
      <c r="GQ100" s="20"/>
      <c r="GR100" s="20"/>
      <c r="GS100" s="20"/>
      <c r="GT100" s="20"/>
      <c r="GU100" s="20"/>
      <c r="GV100" s="20"/>
      <c r="GW100" s="20"/>
      <c r="GX100" s="20"/>
      <c r="GY100" s="20"/>
      <c r="GZ100" s="20"/>
      <c r="HA100" s="20"/>
      <c r="HB100" s="20"/>
      <c r="HC100" s="20"/>
      <c r="HD100" s="20"/>
      <c r="HE100" s="20"/>
      <c r="HF100" s="20"/>
      <c r="HG100" s="20"/>
      <c r="HH100" s="20"/>
      <c r="HI100" s="20"/>
      <c r="HJ100" s="20"/>
      <c r="HK100" s="20"/>
      <c r="HL100" s="20"/>
      <c r="HM100" s="20"/>
      <c r="HN100" s="20"/>
      <c r="HO100" s="20"/>
      <c r="HP100" s="20"/>
      <c r="HQ100" s="20"/>
      <c r="HR100" s="20"/>
      <c r="HS100" s="20"/>
      <c r="HT100" s="20"/>
      <c r="HU100" s="20"/>
      <c r="HV100" s="20"/>
      <c r="HW100" s="20"/>
      <c r="HX100" s="20"/>
      <c r="HY100" s="20"/>
      <c r="HZ100" s="20"/>
      <c r="IA100" s="20"/>
      <c r="IB100" s="20"/>
      <c r="IC100" s="20"/>
      <c r="ID100" s="20"/>
      <c r="IE100" s="20"/>
      <c r="IF100" s="20"/>
      <c r="IG100" s="20"/>
      <c r="IH100" s="20"/>
      <c r="II100" s="20"/>
      <c r="IJ100" s="20"/>
      <c r="IK100" s="20"/>
      <c r="IL100" s="20"/>
      <c r="IM100" s="20"/>
      <c r="IN100" s="20"/>
      <c r="IO100" s="20"/>
      <c r="IP100" s="20"/>
      <c r="IQ100" s="20"/>
      <c r="IR100" s="20"/>
      <c r="IS100" s="20"/>
      <c r="IT100" s="20"/>
      <c r="IU100" s="20"/>
      <c r="IV100" s="20"/>
      <c r="IW100" s="20"/>
      <c r="IX100" s="20"/>
      <c r="IY100" s="20"/>
      <c r="IZ100" s="20"/>
      <c r="JA100" s="20"/>
      <c r="JB100" s="20"/>
      <c r="JC100" s="20"/>
      <c r="JD100" s="20"/>
      <c r="JE100" s="20"/>
      <c r="JF100" s="20"/>
      <c r="JG100" s="20"/>
      <c r="JH100" s="20"/>
      <c r="JI100" s="20"/>
      <c r="JJ100" s="20"/>
      <c r="JK100" s="20"/>
      <c r="JL100" s="20"/>
      <c r="JM100" s="20"/>
      <c r="JN100" s="20"/>
      <c r="JO100" s="20"/>
      <c r="JP100" s="20"/>
      <c r="JQ100" s="20"/>
      <c r="JR100" s="20"/>
      <c r="JS100" s="20"/>
      <c r="JT100" s="20"/>
      <c r="JU100" s="20"/>
      <c r="JV100" s="20"/>
      <c r="JW100" s="20"/>
      <c r="JX100" s="20"/>
      <c r="JY100" s="20"/>
      <c r="JZ100" s="20"/>
      <c r="KA100" s="20"/>
      <c r="KB100" s="20"/>
      <c r="KC100" s="20"/>
      <c r="KD100" s="188"/>
      <c r="KE100" s="20"/>
      <c r="KF100" s="20"/>
      <c r="KG100" s="20"/>
      <c r="KH100" s="20"/>
      <c r="KI100" s="12"/>
      <c r="KJ100" s="12"/>
      <c r="KK100" s="12"/>
      <c r="KL100" s="12"/>
      <c r="KM100" s="12"/>
      <c r="KN100" s="12"/>
      <c r="KO100" s="12"/>
      <c r="KP100" s="12"/>
      <c r="KQ100" s="12"/>
      <c r="KR100" s="12"/>
      <c r="KS100" s="12"/>
      <c r="KT100" s="12"/>
      <c r="KU100" s="12"/>
      <c r="KV100" s="12"/>
      <c r="KW100" s="12"/>
      <c r="KX100" s="12"/>
    </row>
    <row r="101" spans="1:310" s="39" customFormat="1" x14ac:dyDescent="0.2">
      <c r="A101" s="138">
        <v>0</v>
      </c>
      <c r="B101" s="326" t="s">
        <v>703</v>
      </c>
      <c r="C101" s="50" t="str">
        <f t="shared" si="23"/>
        <v>PrivCorp_BBB</v>
      </c>
      <c r="D101" s="319">
        <f t="shared" si="24"/>
        <v>0</v>
      </c>
      <c r="E101" s="50" t="str">
        <f t="shared" si="26"/>
        <v>PrivCorp_BBB</v>
      </c>
      <c r="F101" s="319">
        <f t="shared" si="27"/>
        <v>0</v>
      </c>
      <c r="G101" s="50" t="str">
        <f t="shared" si="28"/>
        <v>PrivCorp_BBB</v>
      </c>
      <c r="H101" s="319">
        <f t="shared" si="29"/>
        <v>0</v>
      </c>
      <c r="I101" s="50" t="str">
        <f t="shared" si="30"/>
        <v>PrivCorp_BBB</v>
      </c>
      <c r="J101" s="319">
        <f t="shared" si="31"/>
        <v>0</v>
      </c>
      <c r="K101" s="50" t="str">
        <f t="shared" si="32"/>
        <v>PrivCorp_BBB</v>
      </c>
      <c r="L101" s="319">
        <f t="shared" si="33"/>
        <v>0</v>
      </c>
      <c r="M101" s="50" t="str">
        <f t="shared" si="34"/>
        <v>PrivCorp_BBB</v>
      </c>
      <c r="N101" s="319">
        <f t="shared" si="35"/>
        <v>0</v>
      </c>
      <c r="O101" s="50" t="str">
        <f t="shared" si="36"/>
        <v>PrivCorp_BBB</v>
      </c>
      <c r="P101" s="319">
        <f t="shared" si="37"/>
        <v>0</v>
      </c>
      <c r="Q101" s="50" t="str">
        <f t="shared" si="38"/>
        <v>PrivCorp_BBB</v>
      </c>
      <c r="R101" s="319">
        <f t="shared" si="39"/>
        <v>0</v>
      </c>
      <c r="S101" s="50" t="str">
        <f t="shared" si="40"/>
        <v>PrivCorp_BBB</v>
      </c>
      <c r="T101" s="319">
        <f t="shared" si="25"/>
        <v>0</v>
      </c>
      <c r="U101" s="333" t="s">
        <v>701</v>
      </c>
      <c r="V101" s="334">
        <v>0</v>
      </c>
      <c r="W101" s="335" t="s">
        <v>701</v>
      </c>
      <c r="X101" s="334">
        <v>0</v>
      </c>
      <c r="Y101" s="335" t="s">
        <v>701</v>
      </c>
      <c r="Z101" s="334">
        <v>0</v>
      </c>
      <c r="AA101" s="335" t="s">
        <v>701</v>
      </c>
      <c r="AB101" s="334">
        <v>0</v>
      </c>
      <c r="AC101" s="335" t="s">
        <v>701</v>
      </c>
      <c r="AD101" s="334">
        <v>0</v>
      </c>
      <c r="AE101" s="335" t="s">
        <v>701</v>
      </c>
      <c r="AF101" s="334">
        <v>0</v>
      </c>
      <c r="AG101" s="335" t="s">
        <v>701</v>
      </c>
      <c r="AH101" s="334">
        <v>0</v>
      </c>
      <c r="AI101" s="335" t="s">
        <v>701</v>
      </c>
      <c r="AJ101" s="334">
        <v>0</v>
      </c>
      <c r="AK101" s="335" t="s">
        <v>701</v>
      </c>
      <c r="AL101" s="334">
        <v>0</v>
      </c>
      <c r="AM101" s="334" t="s">
        <v>701</v>
      </c>
      <c r="AN101" s="334">
        <v>0</v>
      </c>
      <c r="AO101" s="335" t="s">
        <v>701</v>
      </c>
      <c r="AP101" s="334">
        <v>0</v>
      </c>
      <c r="AQ101" s="335" t="s">
        <v>701</v>
      </c>
      <c r="AR101" s="334">
        <v>0</v>
      </c>
      <c r="AS101" s="335" t="s">
        <v>701</v>
      </c>
      <c r="AT101" s="334">
        <v>0</v>
      </c>
      <c r="AU101" s="335" t="s">
        <v>701</v>
      </c>
      <c r="AV101" s="334">
        <v>0</v>
      </c>
      <c r="AW101" s="335" t="s">
        <v>701</v>
      </c>
      <c r="AX101" s="334">
        <v>0</v>
      </c>
      <c r="AY101" s="335" t="s">
        <v>701</v>
      </c>
      <c r="AZ101" s="334">
        <v>0</v>
      </c>
      <c r="BA101" s="335" t="s">
        <v>701</v>
      </c>
      <c r="BB101" s="334">
        <v>0</v>
      </c>
      <c r="BC101" s="335" t="s">
        <v>701</v>
      </c>
      <c r="BD101" s="334">
        <v>0</v>
      </c>
      <c r="BE101" s="335" t="s">
        <v>701</v>
      </c>
      <c r="BF101" s="334">
        <v>0</v>
      </c>
      <c r="BG101" s="335" t="s">
        <v>701</v>
      </c>
      <c r="BH101" s="334">
        <v>0</v>
      </c>
      <c r="BI101" s="335" t="s">
        <v>701</v>
      </c>
      <c r="BJ101" s="334">
        <v>0</v>
      </c>
      <c r="BK101" s="335" t="s">
        <v>701</v>
      </c>
      <c r="BL101" s="336">
        <v>0</v>
      </c>
      <c r="BM101" s="320" t="s">
        <v>701</v>
      </c>
      <c r="BN101" s="321">
        <v>0</v>
      </c>
      <c r="BO101" s="320" t="s">
        <v>701</v>
      </c>
      <c r="BP101" s="321">
        <v>0</v>
      </c>
      <c r="BQ101" s="320" t="s">
        <v>701</v>
      </c>
      <c r="BR101" s="321">
        <v>0</v>
      </c>
      <c r="BS101" s="320" t="s">
        <v>701</v>
      </c>
      <c r="BT101" s="321">
        <v>0</v>
      </c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  <c r="HW101" s="20"/>
      <c r="HX101" s="20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20"/>
      <c r="IY101" s="20"/>
      <c r="IZ101" s="20"/>
      <c r="JA101" s="20"/>
      <c r="JB101" s="20"/>
      <c r="JC101" s="20"/>
      <c r="JD101" s="20"/>
      <c r="JE101" s="20"/>
      <c r="JF101" s="20"/>
      <c r="JG101" s="20"/>
      <c r="JH101" s="20"/>
      <c r="JI101" s="20"/>
      <c r="JJ101" s="20"/>
      <c r="JK101" s="20"/>
      <c r="JL101" s="20"/>
      <c r="JM101" s="20"/>
      <c r="JN101" s="20"/>
      <c r="JO101" s="20"/>
      <c r="JP101" s="20"/>
      <c r="JQ101" s="20"/>
      <c r="JR101" s="20"/>
      <c r="JS101" s="20"/>
      <c r="JT101" s="20"/>
      <c r="JU101" s="20"/>
      <c r="JV101" s="20"/>
      <c r="JW101" s="20"/>
      <c r="JX101" s="20"/>
      <c r="JY101" s="20"/>
      <c r="JZ101" s="20"/>
      <c r="KA101" s="20"/>
      <c r="KB101" s="20"/>
      <c r="KC101" s="20"/>
      <c r="KD101" s="188"/>
      <c r="KE101" s="20"/>
      <c r="KF101" s="20"/>
      <c r="KG101" s="20"/>
      <c r="KH101" s="20"/>
      <c r="KI101" s="12"/>
      <c r="KJ101" s="12"/>
      <c r="KK101" s="12"/>
      <c r="KL101" s="12"/>
      <c r="KM101" s="12"/>
      <c r="KN101" s="12"/>
      <c r="KO101" s="12"/>
      <c r="KP101" s="12"/>
      <c r="KQ101" s="12"/>
      <c r="KR101" s="12"/>
      <c r="KS101" s="12"/>
      <c r="KT101" s="12"/>
      <c r="KU101" s="12"/>
      <c r="KV101" s="12"/>
      <c r="KW101" s="12"/>
      <c r="KX101" s="12"/>
    </row>
    <row r="102" spans="1:310" s="39" customFormat="1" x14ac:dyDescent="0.2">
      <c r="B102" s="148" t="s">
        <v>409</v>
      </c>
      <c r="C102" s="252"/>
      <c r="D102" s="252">
        <f t="shared" ref="D102" si="41">SUM(D68:D101)</f>
        <v>5</v>
      </c>
      <c r="E102" s="252"/>
      <c r="F102" s="252">
        <f t="shared" ref="F102" si="42">SUM(F68:F101)</f>
        <v>6</v>
      </c>
      <c r="G102" s="252"/>
      <c r="H102" s="252">
        <f t="shared" ref="H102" si="43">SUM(H68:H101)</f>
        <v>7</v>
      </c>
      <c r="I102" s="252"/>
      <c r="J102" s="252">
        <f t="shared" ref="J102" si="44">SUM(J68:J101)</f>
        <v>7.0000000000000009</v>
      </c>
      <c r="K102" s="252"/>
      <c r="L102" s="252">
        <f t="shared" ref="L102" si="45">SUM(L68:L101)</f>
        <v>7</v>
      </c>
      <c r="M102" s="252"/>
      <c r="N102" s="252">
        <f t="shared" ref="N102" si="46">SUM(N68:N101)</f>
        <v>7.0000000000000009</v>
      </c>
      <c r="O102" s="252"/>
      <c r="P102" s="252">
        <f t="shared" ref="P102" si="47">SUM(P68:P101)</f>
        <v>7</v>
      </c>
      <c r="Q102" s="252"/>
      <c r="R102" s="252">
        <f t="shared" ref="R102" si="48">SUM(R68:R101)</f>
        <v>5</v>
      </c>
      <c r="S102" s="252"/>
      <c r="T102" s="252">
        <f t="shared" ref="T102" si="49">SUM(T68:T101)</f>
        <v>5</v>
      </c>
      <c r="U102" s="252"/>
      <c r="V102" s="252">
        <f t="shared" ref="V102" si="50">SUM(V68:V101)</f>
        <v>5</v>
      </c>
      <c r="W102" s="252"/>
      <c r="X102" s="252">
        <f t="shared" ref="X102" si="51">SUM(X68:X101)</f>
        <v>6</v>
      </c>
      <c r="Y102" s="252"/>
      <c r="Z102" s="252">
        <f t="shared" ref="Z102" si="52">SUM(Z68:Z101)</f>
        <v>7</v>
      </c>
      <c r="AA102" s="252"/>
      <c r="AB102" s="252">
        <f t="shared" ref="AB102" si="53">SUM(AB68:AB101)</f>
        <v>7.0000000000000009</v>
      </c>
      <c r="AC102" s="252"/>
      <c r="AD102" s="252">
        <f t="shared" ref="AD102" si="54">SUM(AD68:AD101)</f>
        <v>7</v>
      </c>
      <c r="AE102" s="252"/>
      <c r="AF102" s="252">
        <f t="shared" ref="AF102" si="55">SUM(AF68:AF101)</f>
        <v>7.0000000000000009</v>
      </c>
      <c r="AG102" s="252"/>
      <c r="AH102" s="252">
        <f t="shared" ref="AH102" si="56">SUM(AH68:AH101)</f>
        <v>7</v>
      </c>
      <c r="AI102" s="252"/>
      <c r="AJ102" s="252">
        <f t="shared" ref="AJ102" si="57">SUM(AJ68:AJ101)</f>
        <v>5</v>
      </c>
      <c r="AK102" s="252"/>
      <c r="AL102" s="252">
        <f t="shared" ref="AL102:BH102" si="58">SUM(AL68:AL101)</f>
        <v>5</v>
      </c>
      <c r="AM102" s="252"/>
      <c r="AN102" s="252">
        <f t="shared" si="58"/>
        <v>7</v>
      </c>
      <c r="AO102" s="252"/>
      <c r="AP102" s="252">
        <f t="shared" si="58"/>
        <v>7</v>
      </c>
      <c r="AQ102" s="252"/>
      <c r="AR102" s="252">
        <f t="shared" si="58"/>
        <v>7</v>
      </c>
      <c r="AS102" s="252"/>
      <c r="AT102" s="252">
        <f t="shared" si="58"/>
        <v>7</v>
      </c>
      <c r="AU102" s="252"/>
      <c r="AV102" s="252">
        <f t="shared" si="58"/>
        <v>7.0000000000000009</v>
      </c>
      <c r="AW102" s="252"/>
      <c r="AX102" s="252">
        <f t="shared" si="58"/>
        <v>7</v>
      </c>
      <c r="AY102" s="252"/>
      <c r="AZ102" s="252">
        <f t="shared" si="58"/>
        <v>7</v>
      </c>
      <c r="BA102" s="252"/>
      <c r="BB102" s="252">
        <f t="shared" si="58"/>
        <v>7</v>
      </c>
      <c r="BC102" s="252"/>
      <c r="BD102" s="252">
        <f t="shared" si="58"/>
        <v>5</v>
      </c>
      <c r="BE102" s="252"/>
      <c r="BF102" s="252">
        <f t="shared" si="58"/>
        <v>5</v>
      </c>
      <c r="BG102" s="252"/>
      <c r="BH102" s="252">
        <f t="shared" si="58"/>
        <v>5</v>
      </c>
      <c r="BI102" s="252"/>
      <c r="BJ102" s="252">
        <f t="shared" ref="BJ102:BL102" si="59">SUM(BJ68:BJ101)</f>
        <v>5</v>
      </c>
      <c r="BK102" s="252"/>
      <c r="BL102" s="252">
        <f t="shared" si="59"/>
        <v>5</v>
      </c>
      <c r="BM102" s="252"/>
      <c r="BN102" s="252">
        <f t="shared" ref="BN102:BT102" si="60">SUM(BN68:BN101)</f>
        <v>2</v>
      </c>
      <c r="BO102" s="252"/>
      <c r="BP102" s="252">
        <f t="shared" si="60"/>
        <v>2</v>
      </c>
      <c r="BQ102" s="252"/>
      <c r="BR102" s="252">
        <f t="shared" si="60"/>
        <v>2</v>
      </c>
      <c r="BS102" s="252"/>
      <c r="BT102" s="252">
        <f t="shared" si="60"/>
        <v>2</v>
      </c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  <c r="FA102" s="12"/>
      <c r="FB102" s="12"/>
      <c r="FC102" s="12"/>
      <c r="FD102" s="12"/>
      <c r="FE102" s="12"/>
      <c r="FF102" s="12"/>
      <c r="FG102" s="12"/>
      <c r="FH102" s="12"/>
      <c r="FI102" s="12"/>
      <c r="FJ102" s="12"/>
    </row>
    <row r="103" spans="1:310" s="39" customFormat="1" x14ac:dyDescent="0.2"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  <c r="FA103" s="12"/>
      <c r="FB103" s="12"/>
      <c r="FC103" s="12"/>
      <c r="FD103" s="12"/>
      <c r="FE103" s="12"/>
      <c r="FF103" s="12"/>
      <c r="FG103" s="12"/>
      <c r="FH103" s="12"/>
      <c r="FI103" s="12"/>
      <c r="FJ103" s="12"/>
      <c r="FK103" s="12"/>
      <c r="FL103" s="12"/>
      <c r="FM103" s="12"/>
      <c r="FN103" s="12"/>
      <c r="FO103" s="12"/>
      <c r="FP103" s="12"/>
      <c r="FQ103" s="12"/>
      <c r="FR103" s="12"/>
      <c r="FS103" s="12"/>
      <c r="FT103" s="12"/>
      <c r="FU103" s="12"/>
      <c r="FV103" s="12"/>
      <c r="FW103" s="12"/>
      <c r="FX103" s="12"/>
      <c r="FY103" s="12"/>
      <c r="FZ103" s="12"/>
      <c r="GA103" s="12"/>
      <c r="GB103" s="12"/>
      <c r="GC103" s="12"/>
      <c r="GD103" s="12"/>
      <c r="GE103" s="12"/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/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/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/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/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/>
      <c r="IN103" s="12"/>
      <c r="IO103" s="12"/>
      <c r="IP103" s="12"/>
      <c r="IQ103" s="12"/>
      <c r="IR103" s="12"/>
      <c r="IS103" s="12"/>
      <c r="IT103" s="12"/>
      <c r="IU103" s="12"/>
      <c r="IV103" s="12"/>
      <c r="IW103" s="12"/>
      <c r="IX103" s="12"/>
      <c r="IY103" s="12"/>
      <c r="IZ103" s="12"/>
      <c r="JA103" s="12"/>
      <c r="JB103" s="12"/>
      <c r="JC103" s="12"/>
      <c r="JD103" s="12"/>
      <c r="JE103" s="12"/>
      <c r="JF103" s="12"/>
      <c r="JG103" s="12"/>
      <c r="JH103" s="12"/>
      <c r="JI103" s="12"/>
      <c r="JJ103" s="12"/>
      <c r="JK103" s="12"/>
      <c r="JL103" s="12"/>
      <c r="JM103" s="12"/>
      <c r="JN103" s="12"/>
      <c r="JO103" s="12"/>
      <c r="JP103" s="12"/>
      <c r="JQ103" s="12"/>
      <c r="JR103" s="12"/>
      <c r="JS103" s="12"/>
      <c r="JT103" s="12"/>
    </row>
    <row r="104" spans="1:310" s="39" customFormat="1" x14ac:dyDescent="0.2">
      <c r="A104" s="14" t="s">
        <v>9</v>
      </c>
      <c r="B104" s="205" t="str">
        <f ca="1">GetNameRange(B105)</f>
        <v>InvStratEconomic</v>
      </c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</row>
    <row r="105" spans="1:310" s="39" customFormat="1" x14ac:dyDescent="0.2">
      <c r="A105" s="224" t="s">
        <v>403</v>
      </c>
      <c r="B105" s="69" t="s">
        <v>290</v>
      </c>
      <c r="C105" s="73" t="s">
        <v>8</v>
      </c>
      <c r="D105" s="12"/>
      <c r="E105" s="12"/>
      <c r="F105" s="275"/>
      <c r="G105" s="11"/>
      <c r="H105" s="11"/>
      <c r="I105" s="11"/>
      <c r="J105" s="275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65"/>
      <c r="AN105" s="65"/>
      <c r="AO105" s="65"/>
      <c r="AP105" s="65"/>
      <c r="AQ105" s="65"/>
      <c r="AR105" s="65"/>
      <c r="AS105" s="65"/>
      <c r="AT105" s="65"/>
      <c r="AU105" s="65"/>
      <c r="AV105" s="65"/>
      <c r="AW105" s="65"/>
      <c r="AX105" s="65"/>
      <c r="AY105" s="65"/>
      <c r="AZ105" s="65"/>
      <c r="BA105" s="65"/>
      <c r="BB105" s="65"/>
      <c r="BC105" s="65"/>
      <c r="BD105" s="65"/>
      <c r="BE105" s="65"/>
      <c r="BF105" s="65"/>
      <c r="BG105" s="65"/>
      <c r="BH105" s="65"/>
      <c r="BI105" s="65"/>
      <c r="BJ105" s="65"/>
      <c r="BK105" s="65"/>
      <c r="BL105" s="65"/>
      <c r="BM105" s="65"/>
      <c r="BN105" s="65"/>
      <c r="BO105" s="65"/>
      <c r="BP105" s="65"/>
      <c r="BQ105" s="65"/>
      <c r="BR105" s="65"/>
      <c r="BS105" s="65"/>
      <c r="BT105" s="65"/>
      <c r="BU105" s="65"/>
      <c r="BV105" s="65"/>
      <c r="BW105" s="65"/>
      <c r="BX105" s="65"/>
      <c r="BY105" s="65"/>
      <c r="BZ105" s="65"/>
      <c r="CA105" s="65"/>
      <c r="CB105" s="65"/>
      <c r="CC105" s="65"/>
      <c r="CD105" s="65"/>
      <c r="CE105" s="65"/>
      <c r="CF105" s="55"/>
      <c r="CG105" s="55"/>
      <c r="CH105" s="55"/>
      <c r="CI105" s="55"/>
      <c r="CJ105" s="55"/>
      <c r="CK105" s="57"/>
    </row>
    <row r="106" spans="1:310" s="39" customFormat="1" x14ac:dyDescent="0.2">
      <c r="A106" s="22"/>
      <c r="B106" s="45" t="s">
        <v>0</v>
      </c>
      <c r="C106" s="206"/>
      <c r="D106" s="12"/>
      <c r="E106" s="12"/>
      <c r="F106" s="275"/>
      <c r="G106" s="11"/>
      <c r="H106" s="11"/>
      <c r="I106" s="11"/>
      <c r="J106" s="275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7"/>
      <c r="CC106" s="57"/>
      <c r="CD106" s="57"/>
      <c r="CE106" s="57"/>
      <c r="CF106" s="57"/>
      <c r="CG106" s="57"/>
      <c r="CH106" s="57"/>
      <c r="CI106" s="57"/>
    </row>
    <row r="107" spans="1:310" s="39" customFormat="1" x14ac:dyDescent="0.2">
      <c r="A107" s="86" t="s">
        <v>303</v>
      </c>
      <c r="B107" s="187" t="s">
        <v>291</v>
      </c>
      <c r="C107" s="33" t="s">
        <v>303</v>
      </c>
      <c r="D107" s="12"/>
      <c r="E107" s="12"/>
      <c r="F107" s="275"/>
      <c r="G107" s="11"/>
      <c r="H107" s="11"/>
      <c r="I107" s="11"/>
      <c r="J107" s="275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64"/>
      <c r="CE107" s="50"/>
      <c r="CF107" s="64"/>
      <c r="CG107" s="50"/>
      <c r="CH107" s="64"/>
      <c r="CI107" s="57"/>
    </row>
    <row r="108" spans="1:310" s="39" customFormat="1" x14ac:dyDescent="0.2">
      <c r="A108" s="86">
        <v>1</v>
      </c>
      <c r="B108" s="187" t="s">
        <v>292</v>
      </c>
      <c r="C108" s="33">
        <v>1</v>
      </c>
      <c r="D108" s="12"/>
      <c r="E108" s="12"/>
      <c r="F108" s="275"/>
      <c r="G108" s="11"/>
      <c r="H108" s="11"/>
      <c r="I108" s="11"/>
      <c r="J108" s="275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64"/>
      <c r="CE108" s="50"/>
      <c r="CF108" s="64"/>
      <c r="CG108" s="50"/>
      <c r="CH108" s="64"/>
      <c r="CI108" s="57"/>
    </row>
    <row r="109" spans="1:310" s="39" customFormat="1" x14ac:dyDescent="0.2">
      <c r="A109" s="86" t="s">
        <v>304</v>
      </c>
      <c r="B109" s="187" t="s">
        <v>293</v>
      </c>
      <c r="C109" s="33" t="s">
        <v>304</v>
      </c>
      <c r="D109" s="12"/>
      <c r="E109" s="12"/>
      <c r="F109" s="275"/>
      <c r="G109" s="11"/>
      <c r="H109" s="11"/>
      <c r="I109" s="11"/>
      <c r="J109" s="275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</row>
    <row r="110" spans="1:310" s="39" customFormat="1" x14ac:dyDescent="0.2">
      <c r="A110" s="86">
        <v>0.25</v>
      </c>
      <c r="B110" s="187" t="s">
        <v>294</v>
      </c>
      <c r="C110" s="33">
        <v>0.25</v>
      </c>
      <c r="D110" s="12"/>
      <c r="E110" s="12"/>
      <c r="F110" s="275"/>
      <c r="G110" s="11"/>
      <c r="H110" s="11"/>
      <c r="I110" s="11"/>
      <c r="J110" s="275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</row>
    <row r="111" spans="1:310" s="39" customFormat="1" x14ac:dyDescent="0.2">
      <c r="A111" s="86">
        <v>0</v>
      </c>
      <c r="B111" s="187" t="s">
        <v>295</v>
      </c>
      <c r="C111" s="33">
        <v>0</v>
      </c>
      <c r="D111" s="12"/>
      <c r="E111" s="12"/>
      <c r="F111" s="275"/>
      <c r="G111" s="11"/>
      <c r="H111" s="11"/>
      <c r="I111" s="11"/>
      <c r="J111" s="275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</row>
    <row r="112" spans="1:310" s="39" customFormat="1" x14ac:dyDescent="0.2">
      <c r="A112" s="86">
        <v>0</v>
      </c>
      <c r="B112" s="187" t="s">
        <v>296</v>
      </c>
      <c r="C112" s="33">
        <v>0</v>
      </c>
      <c r="D112" s="12"/>
      <c r="E112" s="12"/>
      <c r="F112" s="275"/>
      <c r="G112" s="11"/>
      <c r="H112" s="11"/>
      <c r="I112" s="11"/>
      <c r="J112" s="275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</row>
    <row r="113" spans="1:154" s="39" customFormat="1" x14ac:dyDescent="0.2">
      <c r="A113" s="86" t="s">
        <v>305</v>
      </c>
      <c r="B113" s="187" t="s">
        <v>297</v>
      </c>
      <c r="C113" s="33" t="s">
        <v>305</v>
      </c>
      <c r="D113" s="12"/>
      <c r="E113" s="12"/>
      <c r="F113" s="275"/>
      <c r="G113" s="11"/>
      <c r="H113" s="11"/>
      <c r="I113" s="11"/>
      <c r="J113" s="275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</row>
    <row r="114" spans="1:154" s="39" customFormat="1" x14ac:dyDescent="0.2">
      <c r="A114" s="86">
        <v>1</v>
      </c>
      <c r="B114" s="187" t="s">
        <v>312</v>
      </c>
      <c r="C114" s="33">
        <v>1</v>
      </c>
      <c r="D114" s="12"/>
      <c r="E114" s="12"/>
      <c r="F114" s="275"/>
      <c r="G114" s="11"/>
      <c r="H114" s="11"/>
      <c r="I114" s="11"/>
      <c r="J114" s="275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</row>
    <row r="115" spans="1:154" s="39" customFormat="1" x14ac:dyDescent="0.2">
      <c r="A115" s="86" t="s">
        <v>6</v>
      </c>
      <c r="B115" s="187" t="s">
        <v>298</v>
      </c>
      <c r="C115" s="33" t="s">
        <v>6</v>
      </c>
      <c r="D115" s="12"/>
      <c r="E115" s="12"/>
      <c r="F115" s="275"/>
      <c r="G115" s="11"/>
      <c r="H115" s="11"/>
      <c r="I115" s="11"/>
      <c r="J115" s="275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</row>
    <row r="116" spans="1:154" s="39" customFormat="1" x14ac:dyDescent="0.2">
      <c r="A116" s="87">
        <v>0</v>
      </c>
      <c r="B116" s="187" t="s">
        <v>313</v>
      </c>
      <c r="C116" s="82">
        <v>0</v>
      </c>
      <c r="D116" s="12"/>
      <c r="E116" s="12"/>
      <c r="F116" s="275"/>
      <c r="G116" s="11"/>
      <c r="H116" s="11"/>
      <c r="I116" s="11"/>
      <c r="J116" s="275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</row>
    <row r="117" spans="1:154" s="39" customFormat="1" x14ac:dyDescent="0.2">
      <c r="A117" s="87">
        <v>0</v>
      </c>
      <c r="B117" s="187" t="s">
        <v>314</v>
      </c>
      <c r="C117" s="82">
        <v>0</v>
      </c>
      <c r="D117" s="12"/>
      <c r="E117" s="12"/>
      <c r="F117" s="275"/>
      <c r="G117" s="11"/>
      <c r="H117" s="11"/>
      <c r="I117" s="11"/>
      <c r="J117" s="275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</row>
    <row r="118" spans="1:154" s="39" customFormat="1" x14ac:dyDescent="0.2">
      <c r="A118" s="86" t="s">
        <v>6</v>
      </c>
      <c r="B118" s="187" t="s">
        <v>299</v>
      </c>
      <c r="C118" s="33" t="s">
        <v>6</v>
      </c>
      <c r="D118" s="12"/>
      <c r="E118" s="12"/>
      <c r="F118" s="275"/>
      <c r="G118" s="11"/>
      <c r="H118" s="11"/>
      <c r="I118" s="11"/>
      <c r="J118" s="275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</row>
    <row r="119" spans="1:154" s="39" customFormat="1" x14ac:dyDescent="0.2">
      <c r="A119" s="86" t="s">
        <v>6</v>
      </c>
      <c r="B119" s="187" t="s">
        <v>300</v>
      </c>
      <c r="C119" s="33" t="s">
        <v>6</v>
      </c>
      <c r="D119" s="12"/>
      <c r="E119" s="12"/>
      <c r="F119" s="275"/>
      <c r="G119" s="11"/>
      <c r="H119" s="11"/>
      <c r="I119" s="11"/>
      <c r="J119" s="275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</row>
    <row r="120" spans="1:154" s="39" customFormat="1" x14ac:dyDescent="0.2">
      <c r="A120" s="86" t="s">
        <v>6</v>
      </c>
      <c r="B120" s="187" t="s">
        <v>301</v>
      </c>
      <c r="C120" s="33" t="s">
        <v>6</v>
      </c>
      <c r="D120" s="12"/>
      <c r="E120" s="12"/>
      <c r="F120" s="275"/>
      <c r="G120" s="11"/>
      <c r="H120" s="11"/>
      <c r="I120" s="11"/>
      <c r="J120" s="275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</row>
    <row r="121" spans="1:154" s="39" customFormat="1" x14ac:dyDescent="0.2">
      <c r="A121" s="86" t="s">
        <v>6</v>
      </c>
      <c r="B121" s="207" t="s">
        <v>302</v>
      </c>
      <c r="C121" s="35" t="s">
        <v>6</v>
      </c>
      <c r="D121" s="12"/>
      <c r="E121" s="12"/>
      <c r="F121" s="275"/>
      <c r="G121" s="11"/>
      <c r="H121" s="11"/>
      <c r="I121" s="11"/>
      <c r="J121" s="275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</row>
    <row r="122" spans="1:154" s="39" customFormat="1" x14ac:dyDescent="0.2">
      <c r="B122" s="43"/>
      <c r="C122" s="43"/>
      <c r="D122" s="43"/>
      <c r="E122" s="43"/>
      <c r="F122" s="275"/>
      <c r="G122" s="276"/>
      <c r="H122" s="11"/>
      <c r="I122" s="11"/>
      <c r="J122" s="275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</row>
    <row r="123" spans="1:154" s="39" customFormat="1" x14ac:dyDescent="0.2">
      <c r="A123" s="14" t="s">
        <v>9</v>
      </c>
      <c r="B123" s="18" t="str">
        <f ca="1">GetNameRange(B124)</f>
        <v>InvStratCashPctDistribnDefnInforceMixPtp</v>
      </c>
      <c r="C123" s="63"/>
      <c r="D123" s="63"/>
      <c r="E123" s="12"/>
      <c r="F123" s="275"/>
      <c r="G123" s="11"/>
      <c r="H123" s="11"/>
      <c r="I123" s="11"/>
      <c r="J123" s="275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</row>
    <row r="124" spans="1:154" s="39" customFormat="1" x14ac:dyDescent="0.2">
      <c r="A124" s="199" t="s">
        <v>403</v>
      </c>
      <c r="B124" s="69" t="s">
        <v>281</v>
      </c>
      <c r="C124" s="253" t="s">
        <v>8</v>
      </c>
      <c r="D124" s="63"/>
      <c r="E124" s="63"/>
      <c r="F124" s="275"/>
      <c r="G124" s="277"/>
      <c r="H124" s="277"/>
      <c r="I124" s="277"/>
      <c r="J124" s="275"/>
      <c r="K124" s="63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2"/>
    </row>
    <row r="125" spans="1:154" s="39" customFormat="1" x14ac:dyDescent="0.2">
      <c r="A125" s="22"/>
      <c r="B125" s="45" t="s">
        <v>0</v>
      </c>
      <c r="C125" s="254"/>
      <c r="D125" s="63"/>
      <c r="E125" s="63"/>
      <c r="F125" s="275"/>
      <c r="G125" s="277"/>
      <c r="H125" s="277"/>
      <c r="I125" s="277"/>
      <c r="J125" s="275"/>
      <c r="K125" s="63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</row>
    <row r="126" spans="1:154" s="39" customFormat="1" x14ac:dyDescent="0.2">
      <c r="A126" s="138">
        <v>0</v>
      </c>
      <c r="B126" s="46" t="s">
        <v>282</v>
      </c>
      <c r="C126" s="85">
        <v>0</v>
      </c>
      <c r="D126" s="63"/>
      <c r="E126" s="63"/>
      <c r="F126" s="275"/>
      <c r="G126" s="277"/>
      <c r="H126" s="277"/>
      <c r="I126" s="277"/>
      <c r="J126" s="275"/>
      <c r="K126" s="63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</row>
    <row r="127" spans="1:154" s="39" customFormat="1" x14ac:dyDescent="0.2">
      <c r="A127" s="58" t="s">
        <v>284</v>
      </c>
      <c r="B127" s="47" t="s">
        <v>283</v>
      </c>
      <c r="C127" s="35" t="s">
        <v>284</v>
      </c>
      <c r="D127" s="63"/>
      <c r="E127" s="63"/>
      <c r="F127" s="275"/>
      <c r="G127" s="277"/>
      <c r="H127" s="277"/>
      <c r="I127" s="277"/>
      <c r="J127" s="275"/>
      <c r="K127" s="63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2"/>
      <c r="EX127" s="12"/>
    </row>
    <row r="128" spans="1:154" s="39" customFormat="1" x14ac:dyDescent="0.2">
      <c r="A128" s="22"/>
      <c r="B128" s="57"/>
      <c r="C128" s="136"/>
      <c r="D128" s="63"/>
      <c r="E128" s="63"/>
      <c r="F128" s="275"/>
      <c r="G128" s="277"/>
      <c r="H128" s="277"/>
      <c r="I128" s="277"/>
      <c r="J128" s="275"/>
      <c r="K128" s="63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</row>
    <row r="129" spans="1:288" s="39" customFormat="1" x14ac:dyDescent="0.2">
      <c r="A129" s="14" t="s">
        <v>9</v>
      </c>
      <c r="B129" s="18" t="str">
        <f ca="1">GetNameRange(B130)</f>
        <v>InvStratAssetSubPortInvTgtPctInforceMixPtp</v>
      </c>
      <c r="C129" s="40"/>
      <c r="D129" s="40"/>
      <c r="E129" s="40"/>
      <c r="F129" s="275"/>
      <c r="G129" s="227"/>
      <c r="H129" s="227"/>
      <c r="I129" s="11"/>
      <c r="J129" s="275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</row>
    <row r="130" spans="1:288" s="39" customFormat="1" x14ac:dyDescent="0.2">
      <c r="A130" s="199" t="s">
        <v>403</v>
      </c>
      <c r="B130" s="69" t="s">
        <v>281</v>
      </c>
      <c r="C130" s="253" t="s">
        <v>8</v>
      </c>
      <c r="D130" s="40"/>
      <c r="E130" s="40"/>
      <c r="F130" s="275"/>
      <c r="G130" s="227"/>
      <c r="H130" s="227"/>
      <c r="I130" s="227"/>
      <c r="J130" s="275"/>
      <c r="K130" s="40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</row>
    <row r="131" spans="1:288" s="39" customFormat="1" x14ac:dyDescent="0.2">
      <c r="B131" s="45" t="s">
        <v>494</v>
      </c>
      <c r="C131" s="254"/>
      <c r="D131" s="40"/>
      <c r="E131" s="40"/>
      <c r="F131" s="275"/>
      <c r="G131" s="227"/>
      <c r="H131" s="227"/>
      <c r="I131" s="227"/>
      <c r="J131" s="275"/>
      <c r="K131" s="40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</row>
    <row r="132" spans="1:288" s="39" customFormat="1" x14ac:dyDescent="0.2">
      <c r="A132" s="138">
        <v>0</v>
      </c>
      <c r="B132" s="139" t="s">
        <v>8</v>
      </c>
      <c r="C132" s="141">
        <v>0</v>
      </c>
      <c r="D132" s="40"/>
      <c r="E132" s="40"/>
      <c r="F132" s="275"/>
      <c r="G132" s="227"/>
      <c r="H132" s="227"/>
      <c r="I132" s="227"/>
      <c r="J132" s="275"/>
      <c r="K132" s="40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</row>
    <row r="133" spans="1:288" s="39" customFormat="1" x14ac:dyDescent="0.2">
      <c r="B133" s="57"/>
      <c r="C133" s="40"/>
      <c r="D133" s="40"/>
      <c r="E133" s="40"/>
      <c r="F133" s="275"/>
      <c r="G133" s="227"/>
      <c r="H133" s="227"/>
      <c r="I133" s="227"/>
      <c r="J133" s="275"/>
      <c r="K133" s="40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  <c r="GK133" s="12"/>
      <c r="GL133" s="12"/>
      <c r="GM133" s="12"/>
      <c r="GN133" s="12"/>
      <c r="GO133" s="12"/>
      <c r="GP133" s="12"/>
      <c r="GQ133" s="12"/>
      <c r="GR133" s="12"/>
      <c r="GS133" s="12"/>
      <c r="GT133" s="12"/>
      <c r="GU133" s="12"/>
      <c r="GV133" s="12"/>
      <c r="GW133" s="12"/>
      <c r="GX133" s="12"/>
      <c r="GY133" s="12"/>
      <c r="GZ133" s="12"/>
      <c r="HA133" s="12"/>
      <c r="HB133" s="12"/>
      <c r="HC133" s="12"/>
      <c r="HD133" s="12"/>
      <c r="HE133" s="12"/>
      <c r="HF133" s="12"/>
      <c r="HG133" s="12"/>
      <c r="HH133" s="12"/>
      <c r="HI133" s="12"/>
      <c r="HJ133" s="12"/>
      <c r="HK133" s="12"/>
      <c r="HL133" s="12"/>
      <c r="HM133" s="12"/>
      <c r="HN133" s="12"/>
      <c r="HO133" s="12"/>
      <c r="HP133" s="12"/>
      <c r="HQ133" s="12"/>
      <c r="HR133" s="12"/>
      <c r="HS133" s="12"/>
      <c r="HT133" s="12"/>
      <c r="HU133" s="12"/>
      <c r="HV133" s="12"/>
      <c r="HW133" s="12"/>
      <c r="HX133" s="12"/>
      <c r="HY133" s="12"/>
      <c r="HZ133" s="12"/>
      <c r="IA133" s="12"/>
      <c r="IB133" s="12"/>
      <c r="IC133" s="12"/>
      <c r="ID133" s="12"/>
      <c r="IE133" s="12"/>
      <c r="IF133" s="12"/>
      <c r="IG133" s="12"/>
      <c r="IH133" s="12"/>
      <c r="II133" s="12"/>
      <c r="IJ133" s="12"/>
      <c r="IK133" s="12"/>
      <c r="IL133" s="12"/>
      <c r="IM133" s="12"/>
      <c r="IN133" s="12"/>
      <c r="IO133" s="12"/>
      <c r="IP133" s="12"/>
      <c r="IQ133" s="12"/>
      <c r="IR133" s="12"/>
      <c r="IS133" s="12"/>
      <c r="IT133" s="12"/>
      <c r="IU133" s="12"/>
      <c r="IV133" s="12"/>
      <c r="IW133" s="12"/>
      <c r="IX133" s="12"/>
      <c r="IY133" s="12"/>
      <c r="IZ133" s="12"/>
      <c r="JA133" s="12"/>
      <c r="JB133" s="12"/>
      <c r="JC133" s="12"/>
      <c r="JD133" s="12"/>
      <c r="JE133" s="12"/>
      <c r="JF133" s="12"/>
      <c r="JG133" s="12"/>
      <c r="JH133" s="12"/>
      <c r="JI133" s="12"/>
      <c r="JJ133" s="12"/>
      <c r="JK133" s="12"/>
      <c r="JL133" s="12"/>
      <c r="JM133" s="12"/>
      <c r="JN133" s="12"/>
      <c r="JO133" s="12"/>
      <c r="JP133" s="12"/>
      <c r="JQ133" s="12"/>
      <c r="JR133" s="12"/>
      <c r="JS133" s="12"/>
      <c r="JT133" s="12"/>
    </row>
    <row r="134" spans="1:288" s="39" customFormat="1" x14ac:dyDescent="0.2">
      <c r="A134" s="14" t="s">
        <v>9</v>
      </c>
      <c r="B134" s="18" t="str">
        <f ca="1">GetNameRange(B135)</f>
        <v>InvStratPurchAssetSubPortIdAndWghtInforceMixPtp</v>
      </c>
      <c r="C134" s="12"/>
      <c r="D134" s="12"/>
      <c r="E134" s="40"/>
      <c r="F134" s="275"/>
      <c r="G134" s="227"/>
      <c r="H134" s="227"/>
      <c r="I134" s="227"/>
      <c r="J134" s="275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G134" s="12"/>
      <c r="GH134" s="12"/>
      <c r="GI134" s="12"/>
      <c r="GJ134" s="12"/>
      <c r="GK134" s="12"/>
      <c r="GL134" s="12"/>
      <c r="GM134" s="12"/>
      <c r="GN134" s="12"/>
      <c r="GO134" s="12"/>
      <c r="GP134" s="12"/>
      <c r="GQ134" s="12"/>
      <c r="GR134" s="12"/>
      <c r="GS134" s="12"/>
      <c r="GT134" s="12"/>
      <c r="GU134" s="12"/>
      <c r="GV134" s="12"/>
      <c r="GW134" s="12"/>
      <c r="GX134" s="12"/>
      <c r="GY134" s="12"/>
      <c r="GZ134" s="12"/>
      <c r="HA134" s="12"/>
      <c r="HB134" s="12"/>
      <c r="HC134" s="12"/>
      <c r="HD134" s="12"/>
      <c r="HE134" s="12"/>
      <c r="HF134" s="12"/>
      <c r="HG134" s="12"/>
      <c r="HH134" s="12"/>
      <c r="HI134" s="12"/>
      <c r="HJ134" s="12"/>
      <c r="HK134" s="12"/>
      <c r="HL134" s="12"/>
      <c r="HM134" s="12"/>
      <c r="HN134" s="12"/>
      <c r="HO134" s="12"/>
      <c r="HP134" s="12"/>
      <c r="HQ134" s="12"/>
      <c r="HR134" s="12"/>
      <c r="HS134" s="12"/>
      <c r="HT134" s="12"/>
      <c r="HU134" s="12"/>
      <c r="HV134" s="12"/>
      <c r="HW134" s="12"/>
      <c r="HX134" s="12"/>
      <c r="HY134" s="12"/>
      <c r="HZ134" s="12"/>
      <c r="IA134" s="12"/>
      <c r="IB134" s="12"/>
      <c r="IC134" s="12"/>
      <c r="ID134" s="12"/>
      <c r="IE134" s="12"/>
      <c r="IF134" s="12"/>
      <c r="IG134" s="12"/>
      <c r="IH134" s="12"/>
      <c r="II134" s="12"/>
      <c r="IJ134" s="12"/>
      <c r="IK134" s="12"/>
      <c r="IL134" s="12"/>
      <c r="IM134" s="12"/>
      <c r="IN134" s="12"/>
      <c r="IO134" s="12"/>
      <c r="IP134" s="12"/>
      <c r="IQ134" s="12"/>
      <c r="IR134" s="12"/>
      <c r="IS134" s="12"/>
      <c r="IT134" s="12"/>
      <c r="IU134" s="12"/>
      <c r="IV134" s="12"/>
      <c r="IW134" s="12"/>
      <c r="IX134" s="12"/>
      <c r="IY134" s="12"/>
      <c r="IZ134" s="12"/>
      <c r="JA134" s="12"/>
      <c r="JB134" s="12"/>
      <c r="JC134" s="12"/>
      <c r="JD134" s="12"/>
      <c r="JE134" s="12"/>
      <c r="JF134" s="12"/>
      <c r="JG134" s="12"/>
      <c r="JH134" s="12"/>
      <c r="JI134" s="12"/>
      <c r="JJ134" s="12"/>
      <c r="JK134" s="12"/>
      <c r="JL134" s="12"/>
      <c r="JM134" s="12"/>
      <c r="JN134" s="12"/>
      <c r="JO134" s="12"/>
      <c r="JP134" s="12"/>
      <c r="JQ134" s="12"/>
      <c r="JR134" s="12"/>
      <c r="JS134" s="12"/>
      <c r="JT134" s="12"/>
    </row>
    <row r="135" spans="1:288" s="39" customFormat="1" x14ac:dyDescent="0.2">
      <c r="A135" s="199" t="s">
        <v>403</v>
      </c>
      <c r="B135" s="69" t="s">
        <v>281</v>
      </c>
      <c r="C135" s="67" t="s">
        <v>8</v>
      </c>
      <c r="D135" s="253" t="s">
        <v>8</v>
      </c>
      <c r="E135" s="40"/>
      <c r="F135" s="275"/>
      <c r="G135" s="227"/>
      <c r="H135" s="227"/>
      <c r="I135" s="227"/>
      <c r="J135" s="275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G135" s="12"/>
      <c r="GH135" s="12"/>
      <c r="GI135" s="12"/>
      <c r="GJ135" s="12"/>
      <c r="GK135" s="12"/>
      <c r="GL135" s="12"/>
      <c r="GM135" s="12"/>
      <c r="GN135" s="12"/>
      <c r="GO135" s="12"/>
      <c r="GP135" s="12"/>
      <c r="GQ135" s="12"/>
      <c r="GR135" s="12"/>
      <c r="GS135" s="12"/>
      <c r="GT135" s="12"/>
      <c r="GU135" s="12"/>
      <c r="GV135" s="12"/>
      <c r="GW135" s="12"/>
      <c r="GX135" s="12"/>
      <c r="GY135" s="12"/>
      <c r="GZ135" s="12"/>
      <c r="HA135" s="12"/>
      <c r="HB135" s="12"/>
      <c r="HC135" s="12"/>
      <c r="HD135" s="12"/>
      <c r="HE135" s="12"/>
      <c r="HF135" s="12"/>
      <c r="HG135" s="12"/>
      <c r="HH135" s="12"/>
      <c r="HI135" s="12"/>
      <c r="HJ135" s="12"/>
      <c r="HK135" s="12"/>
      <c r="HL135" s="12"/>
      <c r="HM135" s="12"/>
      <c r="HN135" s="12"/>
      <c r="HO135" s="12"/>
      <c r="HP135" s="12"/>
      <c r="HQ135" s="12"/>
      <c r="HR135" s="12"/>
      <c r="HS135" s="12"/>
      <c r="HT135" s="12"/>
      <c r="HU135" s="12"/>
      <c r="HV135" s="12"/>
      <c r="HW135" s="12"/>
      <c r="HX135" s="12"/>
      <c r="HY135" s="12"/>
      <c r="HZ135" s="12"/>
      <c r="IA135" s="12"/>
      <c r="IB135" s="12"/>
      <c r="IC135" s="12"/>
      <c r="ID135" s="12"/>
      <c r="IE135" s="12"/>
      <c r="IF135" s="12"/>
      <c r="IG135" s="12"/>
      <c r="IH135" s="12"/>
      <c r="II135" s="12"/>
      <c r="IJ135" s="12"/>
      <c r="IK135" s="12"/>
      <c r="IL135" s="12"/>
      <c r="IM135" s="12"/>
      <c r="IN135" s="12"/>
      <c r="IO135" s="12"/>
      <c r="IP135" s="12"/>
      <c r="IQ135" s="12"/>
      <c r="IR135" s="12"/>
      <c r="IS135" s="12"/>
      <c r="IT135" s="12"/>
      <c r="IU135" s="12"/>
      <c r="IV135" s="12"/>
      <c r="IW135" s="12"/>
      <c r="IX135" s="12"/>
      <c r="IY135" s="12"/>
      <c r="IZ135" s="12"/>
      <c r="JA135" s="12"/>
      <c r="JB135" s="12"/>
      <c r="JC135" s="12"/>
      <c r="JD135" s="12"/>
      <c r="JE135" s="12"/>
      <c r="JF135" s="12"/>
      <c r="JG135" s="12"/>
      <c r="JH135" s="12"/>
      <c r="JI135" s="12"/>
      <c r="JJ135" s="12"/>
      <c r="JK135" s="12"/>
      <c r="JL135" s="12"/>
      <c r="JM135" s="12"/>
      <c r="JN135" s="12"/>
      <c r="JO135" s="12"/>
      <c r="JP135" s="12"/>
      <c r="JQ135" s="12"/>
      <c r="JR135" s="12"/>
      <c r="JS135" s="12"/>
      <c r="JT135" s="12"/>
      <c r="JU135" s="12"/>
      <c r="JV135" s="12"/>
      <c r="JW135" s="12"/>
      <c r="JX135" s="12"/>
      <c r="JY135" s="12"/>
      <c r="JZ135" s="12"/>
      <c r="KA135" s="12"/>
      <c r="KB135" s="12"/>
    </row>
    <row r="136" spans="1:288" s="39" customFormat="1" x14ac:dyDescent="0.2">
      <c r="B136" s="204" t="s">
        <v>404</v>
      </c>
      <c r="C136" s="61" t="s">
        <v>512</v>
      </c>
      <c r="D136" s="254" t="s">
        <v>513</v>
      </c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G136" s="12"/>
      <c r="GH136" s="12"/>
      <c r="GI136" s="12"/>
      <c r="GJ136" s="12"/>
      <c r="GK136" s="12"/>
      <c r="GL136" s="12"/>
      <c r="GM136" s="12"/>
      <c r="GN136" s="12"/>
      <c r="GO136" s="12"/>
      <c r="GP136" s="12"/>
      <c r="GQ136" s="12"/>
      <c r="GR136" s="12"/>
      <c r="GS136" s="12"/>
      <c r="GT136" s="12"/>
      <c r="GU136" s="12"/>
      <c r="GV136" s="12"/>
      <c r="GW136" s="12"/>
      <c r="GX136" s="12"/>
      <c r="GY136" s="12"/>
      <c r="GZ136" s="12"/>
      <c r="HA136" s="12"/>
      <c r="HB136" s="12"/>
      <c r="HC136" s="12"/>
      <c r="HD136" s="12"/>
      <c r="HE136" s="12"/>
      <c r="HF136" s="12"/>
      <c r="HG136" s="12"/>
      <c r="HH136" s="12"/>
      <c r="HI136" s="12"/>
      <c r="HJ136" s="12"/>
      <c r="HK136" s="12"/>
      <c r="HL136" s="12"/>
      <c r="HM136" s="12"/>
      <c r="HN136" s="12"/>
      <c r="HO136" s="12"/>
      <c r="HP136" s="12"/>
      <c r="HQ136" s="12"/>
      <c r="HR136" s="12"/>
      <c r="HS136" s="12"/>
      <c r="HT136" s="12"/>
      <c r="HU136" s="12"/>
      <c r="HV136" s="12"/>
      <c r="HW136" s="12"/>
      <c r="HX136" s="12"/>
      <c r="HY136" s="12"/>
      <c r="HZ136" s="12"/>
      <c r="IA136" s="12"/>
      <c r="IB136" s="12"/>
      <c r="IC136" s="12"/>
      <c r="ID136" s="12"/>
      <c r="IE136" s="12"/>
      <c r="IF136" s="12"/>
      <c r="IG136" s="12"/>
      <c r="IH136" s="12"/>
      <c r="II136" s="12"/>
      <c r="IJ136" s="12"/>
      <c r="IK136" s="12"/>
      <c r="IL136" s="12"/>
      <c r="IM136" s="12"/>
      <c r="IN136" s="12"/>
      <c r="IO136" s="12"/>
      <c r="IP136" s="12"/>
      <c r="IQ136" s="12"/>
      <c r="IR136" s="12"/>
      <c r="IS136" s="12"/>
      <c r="IT136" s="12"/>
      <c r="IU136" s="12"/>
      <c r="IV136" s="12"/>
      <c r="IW136" s="12"/>
      <c r="IX136" s="12"/>
      <c r="IY136" s="12"/>
      <c r="IZ136" s="12"/>
      <c r="JA136" s="12"/>
      <c r="JB136" s="12"/>
      <c r="JC136" s="12"/>
      <c r="JD136" s="12"/>
      <c r="JE136" s="12"/>
      <c r="JF136" s="12"/>
      <c r="JG136" s="12"/>
      <c r="JH136" s="12"/>
      <c r="JI136" s="12"/>
      <c r="JJ136" s="12"/>
      <c r="JK136" s="12"/>
      <c r="JL136" s="12"/>
      <c r="JM136" s="12"/>
      <c r="JN136" s="12"/>
      <c r="JO136" s="12"/>
      <c r="JP136" s="12"/>
      <c r="JQ136" s="12"/>
      <c r="JR136" s="12"/>
      <c r="JS136" s="12"/>
      <c r="JT136" s="12"/>
      <c r="JU136" s="12"/>
      <c r="JV136" s="12"/>
      <c r="JW136" s="12"/>
      <c r="JX136" s="12"/>
      <c r="JY136" s="12"/>
      <c r="JZ136" s="12"/>
      <c r="KA136" s="12"/>
      <c r="KB136" s="12"/>
    </row>
    <row r="137" spans="1:288" s="39" customFormat="1" x14ac:dyDescent="0.2">
      <c r="B137" s="208" t="s">
        <v>88</v>
      </c>
      <c r="C137" s="66"/>
      <c r="D137" s="59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G137" s="12"/>
      <c r="GH137" s="12"/>
      <c r="GI137" s="12"/>
      <c r="GJ137" s="12"/>
      <c r="GK137" s="12"/>
      <c r="GL137" s="12"/>
      <c r="GM137" s="12"/>
      <c r="GN137" s="12"/>
      <c r="GO137" s="12"/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/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/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/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/>
      <c r="IL137" s="12"/>
      <c r="IM137" s="12"/>
      <c r="IN137" s="12"/>
      <c r="IO137" s="12"/>
      <c r="IP137" s="12"/>
      <c r="IQ137" s="12"/>
      <c r="IR137" s="12"/>
      <c r="IS137" s="12"/>
      <c r="IT137" s="12"/>
      <c r="IU137" s="12"/>
      <c r="IV137" s="12"/>
      <c r="IW137" s="12"/>
      <c r="IX137" s="12"/>
      <c r="IY137" s="12"/>
      <c r="IZ137" s="12"/>
      <c r="JA137" s="12"/>
      <c r="JB137" s="12"/>
      <c r="JC137" s="12"/>
      <c r="JD137" s="12"/>
      <c r="JE137" s="12"/>
      <c r="JF137" s="12"/>
      <c r="JG137" s="12"/>
      <c r="JH137" s="12"/>
      <c r="JI137" s="12"/>
      <c r="JJ137" s="12"/>
      <c r="JK137" s="12"/>
      <c r="JL137" s="12"/>
      <c r="JM137" s="12"/>
      <c r="JN137" s="12"/>
      <c r="JO137" s="12"/>
      <c r="JP137" s="12"/>
      <c r="JQ137" s="12"/>
      <c r="JR137" s="12"/>
      <c r="JS137" s="12"/>
      <c r="JT137" s="12"/>
      <c r="JU137" s="12"/>
      <c r="JV137" s="12"/>
      <c r="JW137" s="12"/>
      <c r="JX137" s="12"/>
      <c r="JY137" s="12"/>
      <c r="JZ137" s="12"/>
      <c r="KA137" s="12"/>
      <c r="KB137" s="12"/>
    </row>
    <row r="138" spans="1:288" s="39" customFormat="1" x14ac:dyDescent="0.2">
      <c r="A138" s="138">
        <v>0</v>
      </c>
      <c r="B138" s="47" t="s">
        <v>8</v>
      </c>
      <c r="C138" s="255" t="s">
        <v>8</v>
      </c>
      <c r="D138" s="141">
        <v>0</v>
      </c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12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12"/>
      <c r="FP138" s="12"/>
      <c r="FQ138" s="12"/>
      <c r="FR138" s="12"/>
      <c r="FS138" s="12"/>
      <c r="FT138" s="12"/>
      <c r="FU138" s="12"/>
      <c r="FV138" s="12"/>
      <c r="FW138" s="12"/>
      <c r="FX138" s="12"/>
      <c r="FY138" s="12"/>
      <c r="FZ138" s="12"/>
      <c r="GA138" s="12"/>
      <c r="GB138" s="12"/>
      <c r="GC138" s="12"/>
      <c r="GD138" s="12"/>
      <c r="GE138" s="12"/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/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/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/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/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/>
      <c r="IM138" s="12"/>
      <c r="IN138" s="12"/>
      <c r="IO138" s="12"/>
      <c r="IP138" s="12"/>
      <c r="IQ138" s="12"/>
      <c r="IR138" s="12"/>
      <c r="IS138" s="12"/>
      <c r="IT138" s="12"/>
      <c r="IU138" s="12"/>
      <c r="IV138" s="12"/>
      <c r="IW138" s="12"/>
      <c r="IX138" s="12"/>
      <c r="IY138" s="12"/>
      <c r="IZ138" s="12"/>
      <c r="JA138" s="12"/>
      <c r="JB138" s="12"/>
      <c r="JC138" s="12"/>
      <c r="JD138" s="12"/>
      <c r="JE138" s="12"/>
      <c r="JF138" s="12"/>
      <c r="JG138" s="12"/>
      <c r="JH138" s="12"/>
      <c r="JI138" s="12"/>
      <c r="JJ138" s="12"/>
      <c r="JK138" s="12"/>
      <c r="JL138" s="12"/>
      <c r="JM138" s="12"/>
      <c r="JN138" s="12"/>
      <c r="JO138" s="12"/>
      <c r="JP138" s="12"/>
      <c r="JQ138" s="12"/>
      <c r="JR138" s="12"/>
      <c r="JS138" s="12"/>
      <c r="JT138" s="12"/>
      <c r="JU138" s="12"/>
      <c r="JV138" s="12"/>
      <c r="JW138" s="12"/>
      <c r="JX138" s="12"/>
      <c r="JY138" s="12"/>
      <c r="JZ138" s="12"/>
      <c r="KA138" s="12"/>
      <c r="KB138" s="12"/>
    </row>
    <row r="139" spans="1:288" s="39" customFormat="1" x14ac:dyDescent="0.2">
      <c r="B139" s="43"/>
      <c r="C139" s="43"/>
      <c r="D139" s="43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</row>
    <row r="140" spans="1:288" s="39" customFormat="1" x14ac:dyDescent="0.2">
      <c r="A140" s="14" t="s">
        <v>9</v>
      </c>
      <c r="B140" s="18" t="str">
        <f ca="1">GetNameRange(B141)</f>
        <v>InvStratPlannedInforceMixPtp</v>
      </c>
      <c r="C140" s="50" t="s">
        <v>6</v>
      </c>
      <c r="D140" s="50" t="s">
        <v>6</v>
      </c>
      <c r="E140" s="50" t="s">
        <v>6</v>
      </c>
      <c r="F140" s="50" t="s">
        <v>6</v>
      </c>
      <c r="G140" s="50" t="s">
        <v>6</v>
      </c>
      <c r="H140" s="150">
        <v>0</v>
      </c>
      <c r="I140" s="150">
        <v>999.99</v>
      </c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</row>
    <row r="141" spans="1:288" s="39" customFormat="1" x14ac:dyDescent="0.2">
      <c r="A141" s="224" t="s">
        <v>403</v>
      </c>
      <c r="B141" s="118" t="s">
        <v>0</v>
      </c>
      <c r="C141" s="74" t="s">
        <v>285</v>
      </c>
      <c r="D141" s="74" t="s">
        <v>286</v>
      </c>
      <c r="E141" s="74" t="s">
        <v>287</v>
      </c>
      <c r="F141" s="74" t="s">
        <v>288</v>
      </c>
      <c r="G141" s="74" t="s">
        <v>289</v>
      </c>
      <c r="H141" s="74" t="s">
        <v>315</v>
      </c>
      <c r="I141" s="73" t="s">
        <v>444</v>
      </c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</row>
    <row r="142" spans="1:288" s="39" customFormat="1" x14ac:dyDescent="0.2">
      <c r="B142" s="204" t="s">
        <v>238</v>
      </c>
      <c r="C142" s="66"/>
      <c r="D142" s="66"/>
      <c r="E142" s="66"/>
      <c r="F142" s="66"/>
      <c r="G142" s="66"/>
      <c r="H142" s="66"/>
      <c r="I142" s="59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</row>
    <row r="143" spans="1:288" s="39" customFormat="1" x14ac:dyDescent="0.2">
      <c r="B143" s="151">
        <v>2958101</v>
      </c>
      <c r="C143" s="256" t="s">
        <v>6</v>
      </c>
      <c r="D143" s="256" t="s">
        <v>6</v>
      </c>
      <c r="E143" s="256" t="s">
        <v>6</v>
      </c>
      <c r="F143" s="256" t="s">
        <v>6</v>
      </c>
      <c r="G143" s="256" t="s">
        <v>6</v>
      </c>
      <c r="H143" s="257">
        <v>0</v>
      </c>
      <c r="I143" s="258">
        <v>999.99</v>
      </c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</row>
    <row r="144" spans="1:288" s="39" customFormat="1" x14ac:dyDescent="0.2">
      <c r="B144" s="43"/>
      <c r="C144" s="43"/>
      <c r="D144" s="43"/>
      <c r="E144" s="43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</row>
    <row r="145" spans="1:92" s="39" customFormat="1" x14ac:dyDescent="0.2">
      <c r="A145" s="14" t="s">
        <v>9</v>
      </c>
      <c r="B145" s="205" t="str">
        <f ca="1">GetNameRange(B146)</f>
        <v>InvStratEconomicInforceMixPtp</v>
      </c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</row>
    <row r="146" spans="1:92" s="39" customFormat="1" x14ac:dyDescent="0.2">
      <c r="A146" s="224" t="s">
        <v>403</v>
      </c>
      <c r="B146" s="69" t="s">
        <v>290</v>
      </c>
      <c r="C146" s="73" t="s">
        <v>8</v>
      </c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65"/>
      <c r="AO146" s="65"/>
      <c r="AP146" s="65"/>
      <c r="AQ146" s="65"/>
      <c r="AR146" s="65"/>
      <c r="AS146" s="65"/>
      <c r="AT146" s="65"/>
      <c r="AU146" s="65"/>
      <c r="AV146" s="65"/>
      <c r="AW146" s="65"/>
      <c r="AX146" s="65"/>
      <c r="AY146" s="65"/>
      <c r="AZ146" s="65"/>
      <c r="BA146" s="65"/>
      <c r="BB146" s="65"/>
      <c r="BC146" s="65"/>
      <c r="BD146" s="65"/>
      <c r="BE146" s="65"/>
      <c r="BF146" s="65"/>
      <c r="BG146" s="6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65"/>
      <c r="CB146" s="65"/>
      <c r="CC146" s="65"/>
      <c r="CD146" s="65"/>
      <c r="CE146" s="65"/>
      <c r="CF146" s="65"/>
      <c r="CG146" s="55"/>
      <c r="CH146" s="55"/>
      <c r="CI146" s="55"/>
      <c r="CJ146" s="55"/>
      <c r="CK146" s="55"/>
      <c r="CL146" s="57"/>
    </row>
    <row r="147" spans="1:92" s="39" customFormat="1" x14ac:dyDescent="0.2">
      <c r="A147" s="22"/>
      <c r="B147" s="45" t="s">
        <v>0</v>
      </c>
      <c r="C147" s="206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7"/>
      <c r="CC147" s="57"/>
      <c r="CD147" s="57"/>
      <c r="CE147" s="57"/>
      <c r="CF147" s="57"/>
      <c r="CG147" s="57"/>
      <c r="CH147" s="57"/>
      <c r="CI147" s="57"/>
      <c r="CJ147" s="57"/>
      <c r="CK147" s="57"/>
      <c r="CL147" s="57"/>
      <c r="CM147" s="57"/>
      <c r="CN147" s="57"/>
    </row>
    <row r="148" spans="1:92" s="39" customFormat="1" x14ac:dyDescent="0.2">
      <c r="A148" s="86" t="s">
        <v>303</v>
      </c>
      <c r="B148" s="187" t="s">
        <v>291</v>
      </c>
      <c r="C148" s="33" t="s">
        <v>303</v>
      </c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50"/>
      <c r="AO148" s="50"/>
      <c r="AP148" s="50"/>
      <c r="AQ148" s="50"/>
      <c r="AR148" s="50"/>
      <c r="AS148" s="50"/>
      <c r="AT148" s="50"/>
      <c r="AU148" s="50"/>
      <c r="AV148" s="50"/>
      <c r="AW148" s="50"/>
      <c r="AX148" s="50"/>
      <c r="AY148" s="50"/>
      <c r="AZ148" s="50"/>
      <c r="BA148" s="50"/>
      <c r="BB148" s="50"/>
      <c r="BC148" s="50"/>
      <c r="BD148" s="50"/>
      <c r="BE148" s="50"/>
      <c r="BF148" s="50"/>
      <c r="BG148" s="50"/>
      <c r="BH148" s="50"/>
      <c r="BI148" s="50"/>
      <c r="BJ148" s="50"/>
      <c r="BK148" s="50"/>
      <c r="BL148" s="50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0"/>
      <c r="CF148" s="50"/>
      <c r="CG148" s="50"/>
      <c r="CH148" s="50"/>
      <c r="CI148" s="64"/>
      <c r="CJ148" s="50"/>
      <c r="CK148" s="64"/>
      <c r="CL148" s="50"/>
      <c r="CM148" s="64"/>
      <c r="CN148" s="57"/>
    </row>
    <row r="149" spans="1:92" s="39" customFormat="1" x14ac:dyDescent="0.2">
      <c r="A149" s="86">
        <v>1</v>
      </c>
      <c r="B149" s="187" t="s">
        <v>292</v>
      </c>
      <c r="C149" s="33">
        <v>1</v>
      </c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50"/>
      <c r="AO149" s="50"/>
      <c r="AP149" s="50"/>
      <c r="AQ149" s="50"/>
      <c r="AR149" s="50"/>
      <c r="AS149" s="50"/>
      <c r="AT149" s="50"/>
      <c r="AU149" s="50"/>
      <c r="AV149" s="50"/>
      <c r="AW149" s="50"/>
      <c r="AX149" s="50"/>
      <c r="AY149" s="50"/>
      <c r="AZ149" s="50"/>
      <c r="BA149" s="50"/>
      <c r="BB149" s="50"/>
      <c r="BC149" s="50"/>
      <c r="BD149" s="50"/>
      <c r="BE149" s="50"/>
      <c r="BF149" s="50"/>
      <c r="BG149" s="50"/>
      <c r="BH149" s="50"/>
      <c r="BI149" s="50"/>
      <c r="BJ149" s="50"/>
      <c r="BK149" s="50"/>
      <c r="BL149" s="50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0"/>
      <c r="CF149" s="50"/>
      <c r="CG149" s="50"/>
      <c r="CH149" s="50"/>
      <c r="CI149" s="64"/>
      <c r="CJ149" s="50"/>
      <c r="CK149" s="64"/>
      <c r="CL149" s="50"/>
      <c r="CM149" s="64"/>
      <c r="CN149" s="57"/>
    </row>
    <row r="150" spans="1:92" s="39" customFormat="1" x14ac:dyDescent="0.2">
      <c r="A150" s="86" t="s">
        <v>304</v>
      </c>
      <c r="B150" s="187" t="s">
        <v>293</v>
      </c>
      <c r="C150" s="33" t="s">
        <v>304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</row>
    <row r="151" spans="1:92" s="39" customFormat="1" x14ac:dyDescent="0.2">
      <c r="A151" s="86">
        <v>0.25</v>
      </c>
      <c r="B151" s="187" t="s">
        <v>294</v>
      </c>
      <c r="C151" s="33">
        <v>0.25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</row>
    <row r="152" spans="1:92" s="39" customFormat="1" x14ac:dyDescent="0.2">
      <c r="A152" s="86">
        <v>0</v>
      </c>
      <c r="B152" s="187" t="s">
        <v>295</v>
      </c>
      <c r="C152" s="33">
        <v>0</v>
      </c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</row>
    <row r="153" spans="1:92" s="39" customFormat="1" x14ac:dyDescent="0.2">
      <c r="A153" s="86">
        <v>0</v>
      </c>
      <c r="B153" s="187" t="s">
        <v>296</v>
      </c>
      <c r="C153" s="33">
        <v>0</v>
      </c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</row>
    <row r="154" spans="1:92" s="39" customFormat="1" x14ac:dyDescent="0.2">
      <c r="A154" s="86" t="s">
        <v>305</v>
      </c>
      <c r="B154" s="187" t="s">
        <v>297</v>
      </c>
      <c r="C154" s="33" t="s">
        <v>305</v>
      </c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</row>
    <row r="155" spans="1:92" s="39" customFormat="1" x14ac:dyDescent="0.2">
      <c r="A155" s="86">
        <v>1</v>
      </c>
      <c r="B155" s="187" t="s">
        <v>312</v>
      </c>
      <c r="C155" s="33">
        <v>1</v>
      </c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</row>
    <row r="156" spans="1:92" s="39" customFormat="1" x14ac:dyDescent="0.2">
      <c r="A156" s="86" t="s">
        <v>6</v>
      </c>
      <c r="B156" s="187" t="s">
        <v>298</v>
      </c>
      <c r="C156" s="33" t="s">
        <v>6</v>
      </c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</row>
    <row r="157" spans="1:92" s="39" customFormat="1" x14ac:dyDescent="0.2">
      <c r="A157" s="87">
        <v>0</v>
      </c>
      <c r="B157" s="187" t="s">
        <v>313</v>
      </c>
      <c r="C157" s="82">
        <v>0</v>
      </c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</row>
    <row r="158" spans="1:92" s="39" customFormat="1" x14ac:dyDescent="0.2">
      <c r="A158" s="87">
        <v>0</v>
      </c>
      <c r="B158" s="187" t="s">
        <v>314</v>
      </c>
      <c r="C158" s="82">
        <v>0</v>
      </c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</row>
    <row r="159" spans="1:92" s="39" customFormat="1" x14ac:dyDescent="0.2">
      <c r="A159" s="86" t="s">
        <v>6</v>
      </c>
      <c r="B159" s="187" t="s">
        <v>299</v>
      </c>
      <c r="C159" s="33" t="s">
        <v>6</v>
      </c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</row>
    <row r="160" spans="1:92" s="39" customFormat="1" x14ac:dyDescent="0.2">
      <c r="A160" s="86" t="s">
        <v>6</v>
      </c>
      <c r="B160" s="187" t="s">
        <v>300</v>
      </c>
      <c r="C160" s="33" t="s">
        <v>6</v>
      </c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</row>
    <row r="161" spans="1:282" s="39" customFormat="1" x14ac:dyDescent="0.2">
      <c r="A161" s="86" t="s">
        <v>6</v>
      </c>
      <c r="B161" s="187" t="s">
        <v>301</v>
      </c>
      <c r="C161" s="33" t="s">
        <v>6</v>
      </c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</row>
    <row r="162" spans="1:282" s="39" customFormat="1" x14ac:dyDescent="0.2">
      <c r="A162" s="86" t="s">
        <v>6</v>
      </c>
      <c r="B162" s="207" t="s">
        <v>302</v>
      </c>
      <c r="C162" s="35" t="s">
        <v>6</v>
      </c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</row>
    <row r="163" spans="1:282" s="39" customFormat="1" x14ac:dyDescent="0.2">
      <c r="B163" s="43"/>
      <c r="C163" s="43"/>
      <c r="D163" s="12"/>
      <c r="E163" s="43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</row>
    <row r="164" spans="1:282" s="39" customFormat="1" x14ac:dyDescent="0.2">
      <c r="A164" s="14" t="s">
        <v>9</v>
      </c>
      <c r="B164" s="18" t="str">
        <f ca="1">GetNameRange(B165)</f>
        <v>InvStratCashPctDistribnDefnPbaGaap</v>
      </c>
      <c r="C164" s="63"/>
      <c r="D164" s="63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/>
      <c r="ET164" s="12"/>
    </row>
    <row r="165" spans="1:282" s="39" customFormat="1" x14ac:dyDescent="0.2">
      <c r="A165" s="199" t="s">
        <v>403</v>
      </c>
      <c r="B165" s="69" t="s">
        <v>281</v>
      </c>
      <c r="C165" s="253" t="s">
        <v>8</v>
      </c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/>
      <c r="ET165" s="12"/>
      <c r="EU165" s="12"/>
    </row>
    <row r="166" spans="1:282" s="39" customFormat="1" x14ac:dyDescent="0.2">
      <c r="A166" s="22"/>
      <c r="B166" s="45" t="s">
        <v>0</v>
      </c>
      <c r="C166" s="254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/>
      <c r="ET166" s="12"/>
      <c r="EU166" s="12"/>
    </row>
    <row r="167" spans="1:282" s="39" customFormat="1" x14ac:dyDescent="0.2">
      <c r="A167" s="138">
        <v>0</v>
      </c>
      <c r="B167" s="46" t="s">
        <v>282</v>
      </c>
      <c r="C167" s="85">
        <v>0</v>
      </c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  <c r="EU167" s="12"/>
    </row>
    <row r="168" spans="1:282" s="39" customFormat="1" x14ac:dyDescent="0.2">
      <c r="A168" s="58" t="s">
        <v>284</v>
      </c>
      <c r="B168" s="47" t="s">
        <v>283</v>
      </c>
      <c r="C168" s="35" t="s">
        <v>284</v>
      </c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2"/>
      <c r="EM168" s="12"/>
      <c r="EN168" s="12"/>
      <c r="EO168" s="12"/>
      <c r="EP168" s="12"/>
      <c r="EQ168" s="12"/>
      <c r="ER168" s="12"/>
      <c r="ES168" s="12"/>
      <c r="ET168" s="12"/>
      <c r="EU168" s="12"/>
    </row>
    <row r="169" spans="1:282" s="39" customFormat="1" x14ac:dyDescent="0.2">
      <c r="F169" s="12"/>
      <c r="G169" s="12"/>
      <c r="H169" s="12"/>
      <c r="I169" s="12"/>
      <c r="J169" s="12"/>
    </row>
    <row r="170" spans="1:282" s="39" customFormat="1" x14ac:dyDescent="0.2">
      <c r="A170" s="14" t="s">
        <v>9</v>
      </c>
      <c r="B170" s="18" t="str">
        <f ca="1">GetNameRange(B171)</f>
        <v>InvStratPlannedPbaGaap</v>
      </c>
      <c r="C170" s="50" t="s">
        <v>6</v>
      </c>
      <c r="D170" s="50" t="s">
        <v>6</v>
      </c>
      <c r="E170" s="50" t="s">
        <v>6</v>
      </c>
      <c r="F170" s="50" t="s">
        <v>6</v>
      </c>
      <c r="G170" s="50" t="s">
        <v>6</v>
      </c>
      <c r="H170" s="150">
        <v>0</v>
      </c>
      <c r="I170" s="150">
        <v>999.99</v>
      </c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/>
      <c r="ET170" s="12"/>
      <c r="EU170" s="12"/>
      <c r="EV170" s="12"/>
      <c r="EW170" s="12"/>
      <c r="EX170" s="12"/>
      <c r="EY170" s="12"/>
      <c r="EZ170" s="12"/>
      <c r="FA170" s="12"/>
      <c r="FB170" s="12"/>
      <c r="FC170" s="12"/>
      <c r="FD170" s="12"/>
      <c r="FE170" s="12"/>
      <c r="FF170" s="12"/>
      <c r="FG170" s="12"/>
      <c r="FH170" s="12"/>
      <c r="FI170" s="12"/>
      <c r="FJ170" s="12"/>
      <c r="FK170" s="12"/>
      <c r="FL170" s="12"/>
      <c r="FM170" s="12"/>
      <c r="FN170" s="12"/>
      <c r="FO170" s="12"/>
      <c r="FP170" s="12"/>
      <c r="FQ170" s="12"/>
      <c r="FR170" s="12"/>
      <c r="FS170" s="12"/>
      <c r="FT170" s="12"/>
      <c r="FU170" s="12"/>
      <c r="FV170" s="12"/>
      <c r="FW170" s="12"/>
      <c r="FX170" s="12"/>
      <c r="FY170" s="12"/>
      <c r="FZ170" s="12"/>
      <c r="GA170" s="12"/>
      <c r="GB170" s="12"/>
      <c r="GC170" s="12"/>
      <c r="GD170" s="12"/>
      <c r="GE170" s="12"/>
      <c r="GF170" s="12"/>
      <c r="GG170" s="12"/>
      <c r="GH170" s="12"/>
      <c r="GI170" s="12"/>
      <c r="GJ170" s="12"/>
      <c r="GK170" s="12"/>
      <c r="GL170" s="12"/>
      <c r="GM170" s="12"/>
      <c r="GN170" s="12"/>
      <c r="GO170" s="12"/>
      <c r="GP170" s="12"/>
      <c r="GQ170" s="12"/>
      <c r="GR170" s="12"/>
      <c r="GS170" s="12"/>
      <c r="GT170" s="12"/>
      <c r="GU170" s="12"/>
      <c r="GV170" s="12"/>
      <c r="GW170" s="12"/>
      <c r="GX170" s="12"/>
      <c r="GY170" s="12"/>
      <c r="GZ170" s="12"/>
      <c r="HA170" s="12"/>
      <c r="HB170" s="12"/>
      <c r="HC170" s="12"/>
      <c r="HD170" s="12"/>
      <c r="HE170" s="12"/>
      <c r="HF170" s="12"/>
      <c r="HG170" s="12"/>
      <c r="HH170" s="12"/>
      <c r="HI170" s="12"/>
      <c r="HJ170" s="12"/>
      <c r="HK170" s="12"/>
      <c r="HL170" s="12"/>
      <c r="HM170" s="12"/>
      <c r="HN170" s="12"/>
      <c r="HO170" s="12"/>
      <c r="HP170" s="12"/>
      <c r="HQ170" s="12"/>
      <c r="HR170" s="12"/>
      <c r="HS170" s="12"/>
      <c r="HT170" s="12"/>
      <c r="HU170" s="12"/>
      <c r="HV170" s="12"/>
      <c r="HW170" s="12"/>
      <c r="HX170" s="12"/>
      <c r="HY170" s="12"/>
      <c r="HZ170" s="12"/>
      <c r="IA170" s="12"/>
      <c r="IB170" s="12"/>
      <c r="IC170" s="12"/>
      <c r="ID170" s="12"/>
      <c r="IE170" s="12"/>
      <c r="IF170" s="12"/>
      <c r="IG170" s="12"/>
      <c r="IH170" s="12"/>
      <c r="II170" s="12"/>
      <c r="IJ170" s="12"/>
      <c r="IK170" s="12"/>
      <c r="IL170" s="12"/>
      <c r="IM170" s="12"/>
      <c r="IN170" s="12"/>
      <c r="IO170" s="12"/>
      <c r="IP170" s="12"/>
      <c r="IQ170" s="12"/>
      <c r="IR170" s="12"/>
      <c r="IS170" s="12"/>
      <c r="IT170" s="12"/>
      <c r="IU170" s="12"/>
      <c r="IV170" s="12"/>
      <c r="IW170" s="12"/>
      <c r="IX170" s="12"/>
      <c r="IY170" s="12"/>
      <c r="IZ170" s="12"/>
      <c r="JA170" s="12"/>
      <c r="JB170" s="12"/>
      <c r="JC170" s="12"/>
      <c r="JD170" s="12"/>
      <c r="JE170" s="12"/>
      <c r="JF170" s="12"/>
      <c r="JG170" s="12"/>
      <c r="JH170" s="12"/>
      <c r="JI170" s="12"/>
      <c r="JJ170" s="12"/>
      <c r="JK170" s="12"/>
      <c r="JL170" s="12"/>
      <c r="JM170" s="12"/>
      <c r="JN170" s="12"/>
      <c r="JO170" s="12"/>
      <c r="JP170" s="12"/>
      <c r="JQ170" s="12"/>
      <c r="JR170" s="12"/>
      <c r="JS170" s="12"/>
      <c r="JT170" s="12"/>
    </row>
    <row r="171" spans="1:282" s="39" customFormat="1" x14ac:dyDescent="0.2">
      <c r="A171" s="224" t="s">
        <v>403</v>
      </c>
      <c r="B171" s="118" t="s">
        <v>0</v>
      </c>
      <c r="C171" s="74" t="s">
        <v>285</v>
      </c>
      <c r="D171" s="74" t="s">
        <v>286</v>
      </c>
      <c r="E171" s="74" t="s">
        <v>287</v>
      </c>
      <c r="F171" s="74" t="s">
        <v>288</v>
      </c>
      <c r="G171" s="74" t="s">
        <v>289</v>
      </c>
      <c r="H171" s="74" t="s">
        <v>315</v>
      </c>
      <c r="I171" s="73" t="s">
        <v>444</v>
      </c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  <c r="EU171" s="12"/>
      <c r="EV171" s="12"/>
      <c r="EW171" s="12"/>
      <c r="EX171" s="12"/>
      <c r="EY171" s="12"/>
      <c r="EZ171" s="12"/>
      <c r="FA171" s="12"/>
      <c r="FB171" s="12"/>
      <c r="FC171" s="12"/>
      <c r="FD171" s="12"/>
      <c r="FE171" s="12"/>
      <c r="FF171" s="12"/>
      <c r="FG171" s="12"/>
      <c r="FH171" s="12"/>
      <c r="FI171" s="12"/>
      <c r="FJ171" s="12"/>
      <c r="FK171" s="12"/>
      <c r="FL171" s="12"/>
      <c r="FM171" s="12"/>
      <c r="FN171" s="12"/>
      <c r="FO171" s="12"/>
      <c r="FP171" s="12"/>
      <c r="FQ171" s="12"/>
      <c r="FR171" s="12"/>
      <c r="FS171" s="12"/>
      <c r="FT171" s="12"/>
      <c r="FU171" s="12"/>
      <c r="FV171" s="12"/>
      <c r="FW171" s="12"/>
      <c r="FX171" s="12"/>
      <c r="FY171" s="12"/>
      <c r="FZ171" s="12"/>
      <c r="GA171" s="12"/>
      <c r="GB171" s="12"/>
      <c r="GC171" s="12"/>
      <c r="GD171" s="12"/>
      <c r="GE171" s="12"/>
      <c r="GF171" s="12"/>
      <c r="GG171" s="12"/>
      <c r="GH171" s="12"/>
      <c r="GI171" s="12"/>
      <c r="GJ171" s="12"/>
      <c r="GK171" s="12"/>
      <c r="GL171" s="12"/>
      <c r="GM171" s="12"/>
      <c r="GN171" s="12"/>
      <c r="GO171" s="12"/>
      <c r="GP171" s="12"/>
      <c r="GQ171" s="12"/>
      <c r="GR171" s="12"/>
      <c r="GS171" s="12"/>
      <c r="GT171" s="12"/>
      <c r="GU171" s="12"/>
      <c r="GV171" s="12"/>
      <c r="GW171" s="12"/>
      <c r="GX171" s="12"/>
      <c r="GY171" s="12"/>
      <c r="GZ171" s="12"/>
      <c r="HA171" s="12"/>
      <c r="HB171" s="12"/>
      <c r="HC171" s="12"/>
      <c r="HD171" s="12"/>
      <c r="HE171" s="12"/>
      <c r="HF171" s="12"/>
      <c r="HG171" s="12"/>
      <c r="HH171" s="12"/>
      <c r="HI171" s="12"/>
      <c r="HJ171" s="12"/>
      <c r="HK171" s="12"/>
      <c r="HL171" s="12"/>
      <c r="HM171" s="12"/>
      <c r="HN171" s="12"/>
      <c r="HO171" s="12"/>
      <c r="HP171" s="12"/>
      <c r="HQ171" s="12"/>
      <c r="HR171" s="12"/>
      <c r="HS171" s="12"/>
      <c r="HT171" s="12"/>
      <c r="HU171" s="12"/>
      <c r="HV171" s="12"/>
      <c r="HW171" s="12"/>
      <c r="HX171" s="12"/>
      <c r="HY171" s="12"/>
      <c r="HZ171" s="12"/>
      <c r="IA171" s="12"/>
      <c r="IB171" s="12"/>
      <c r="IC171" s="12"/>
      <c r="ID171" s="12"/>
      <c r="IE171" s="12"/>
      <c r="IF171" s="12"/>
      <c r="IG171" s="12"/>
      <c r="IH171" s="12"/>
      <c r="II171" s="12"/>
      <c r="IJ171" s="12"/>
      <c r="IK171" s="12"/>
      <c r="IL171" s="12"/>
      <c r="IM171" s="12"/>
      <c r="IN171" s="12"/>
      <c r="IO171" s="12"/>
      <c r="IP171" s="12"/>
      <c r="IQ171" s="12"/>
      <c r="IR171" s="12"/>
      <c r="IS171" s="12"/>
      <c r="IT171" s="12"/>
      <c r="IU171" s="12"/>
      <c r="IV171" s="12"/>
      <c r="IW171" s="12"/>
      <c r="IX171" s="12"/>
      <c r="IY171" s="12"/>
      <c r="IZ171" s="12"/>
      <c r="JA171" s="12"/>
      <c r="JB171" s="12"/>
      <c r="JC171" s="12"/>
      <c r="JD171" s="12"/>
      <c r="JE171" s="12"/>
      <c r="JF171" s="12"/>
      <c r="JG171" s="12"/>
      <c r="JH171" s="12"/>
      <c r="JI171" s="12"/>
      <c r="JJ171" s="12"/>
      <c r="JK171" s="12"/>
      <c r="JL171" s="12"/>
      <c r="JM171" s="12"/>
      <c r="JN171" s="12"/>
      <c r="JO171" s="12"/>
      <c r="JP171" s="12"/>
      <c r="JQ171" s="12"/>
      <c r="JR171" s="12"/>
      <c r="JS171" s="12"/>
      <c r="JT171" s="12"/>
    </row>
    <row r="172" spans="1:282" s="39" customFormat="1" x14ac:dyDescent="0.2">
      <c r="B172" s="204" t="s">
        <v>238</v>
      </c>
      <c r="C172" s="66"/>
      <c r="D172" s="66"/>
      <c r="E172" s="66"/>
      <c r="F172" s="66"/>
      <c r="G172" s="66"/>
      <c r="H172" s="66"/>
      <c r="I172" s="59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  <c r="EU172" s="12"/>
      <c r="EV172" s="12"/>
      <c r="EW172" s="12"/>
      <c r="EX172" s="12"/>
      <c r="EY172" s="12"/>
      <c r="EZ172" s="12"/>
      <c r="FA172" s="12"/>
      <c r="FB172" s="12"/>
      <c r="FC172" s="12"/>
      <c r="FD172" s="12"/>
      <c r="FE172" s="12"/>
      <c r="FF172" s="12"/>
      <c r="FG172" s="12"/>
      <c r="FH172" s="12"/>
      <c r="FI172" s="12"/>
      <c r="FJ172" s="12"/>
      <c r="FK172" s="12"/>
      <c r="FL172" s="12"/>
      <c r="FM172" s="12"/>
      <c r="FN172" s="12"/>
      <c r="FO172" s="12"/>
      <c r="FP172" s="12"/>
      <c r="FQ172" s="12"/>
      <c r="FR172" s="12"/>
      <c r="FS172" s="12"/>
      <c r="FT172" s="12"/>
      <c r="FU172" s="12"/>
      <c r="FV172" s="12"/>
      <c r="FW172" s="12"/>
      <c r="FX172" s="12"/>
      <c r="FY172" s="12"/>
      <c r="FZ172" s="12"/>
      <c r="GA172" s="12"/>
      <c r="GB172" s="12"/>
      <c r="GC172" s="12"/>
      <c r="GD172" s="12"/>
      <c r="GE172" s="12"/>
      <c r="GF172" s="12"/>
      <c r="GG172" s="12"/>
      <c r="GH172" s="12"/>
      <c r="GI172" s="12"/>
      <c r="GJ172" s="12"/>
      <c r="GK172" s="12"/>
      <c r="GL172" s="12"/>
      <c r="GM172" s="12"/>
      <c r="GN172" s="12"/>
      <c r="GO172" s="12"/>
      <c r="GP172" s="12"/>
      <c r="GQ172" s="12"/>
      <c r="GR172" s="12"/>
      <c r="GS172" s="12"/>
      <c r="GT172" s="12"/>
      <c r="GU172" s="12"/>
      <c r="GV172" s="12"/>
      <c r="GW172" s="12"/>
      <c r="GX172" s="12"/>
      <c r="GY172" s="12"/>
      <c r="GZ172" s="12"/>
      <c r="HA172" s="12"/>
      <c r="HB172" s="12"/>
      <c r="HC172" s="12"/>
      <c r="HD172" s="12"/>
      <c r="HE172" s="12"/>
      <c r="HF172" s="12"/>
      <c r="HG172" s="12"/>
      <c r="HH172" s="12"/>
      <c r="HI172" s="12"/>
      <c r="HJ172" s="12"/>
      <c r="HK172" s="12"/>
      <c r="HL172" s="12"/>
      <c r="HM172" s="12"/>
      <c r="HN172" s="12"/>
      <c r="HO172" s="12"/>
      <c r="HP172" s="12"/>
      <c r="HQ172" s="12"/>
      <c r="HR172" s="12"/>
      <c r="HS172" s="12"/>
      <c r="HT172" s="12"/>
      <c r="HU172" s="12"/>
      <c r="HV172" s="12"/>
      <c r="HW172" s="12"/>
      <c r="HX172" s="12"/>
      <c r="HY172" s="12"/>
      <c r="HZ172" s="12"/>
      <c r="IA172" s="12"/>
      <c r="IB172" s="12"/>
      <c r="IC172" s="12"/>
      <c r="ID172" s="12"/>
      <c r="IE172" s="12"/>
      <c r="IF172" s="12"/>
      <c r="IG172" s="12"/>
      <c r="IH172" s="12"/>
      <c r="II172" s="12"/>
      <c r="IJ172" s="12"/>
      <c r="IK172" s="12"/>
      <c r="IL172" s="12"/>
      <c r="IM172" s="12"/>
      <c r="IN172" s="12"/>
      <c r="IO172" s="12"/>
      <c r="IP172" s="12"/>
      <c r="IQ172" s="12"/>
      <c r="IR172" s="12"/>
      <c r="IS172" s="12"/>
      <c r="IT172" s="12"/>
      <c r="IU172" s="12"/>
      <c r="IV172" s="12"/>
      <c r="IW172" s="12"/>
      <c r="IX172" s="12"/>
      <c r="IY172" s="12"/>
      <c r="IZ172" s="12"/>
      <c r="JA172" s="12"/>
      <c r="JB172" s="12"/>
      <c r="JC172" s="12"/>
      <c r="JD172" s="12"/>
      <c r="JE172" s="12"/>
      <c r="JF172" s="12"/>
      <c r="JG172" s="12"/>
      <c r="JH172" s="12"/>
      <c r="JI172" s="12"/>
      <c r="JJ172" s="12"/>
      <c r="JK172" s="12"/>
      <c r="JL172" s="12"/>
      <c r="JM172" s="12"/>
      <c r="JN172" s="12"/>
      <c r="JO172" s="12"/>
      <c r="JP172" s="12"/>
      <c r="JQ172" s="12"/>
      <c r="JR172" s="12"/>
      <c r="JS172" s="12"/>
      <c r="JT172" s="12"/>
    </row>
    <row r="173" spans="1:282" s="39" customFormat="1" x14ac:dyDescent="0.2">
      <c r="B173" s="151">
        <v>2958101</v>
      </c>
      <c r="C173" s="256" t="s">
        <v>6</v>
      </c>
      <c r="D173" s="256" t="s">
        <v>6</v>
      </c>
      <c r="E173" s="256" t="s">
        <v>6</v>
      </c>
      <c r="F173" s="256" t="s">
        <v>6</v>
      </c>
      <c r="G173" s="256" t="s">
        <v>6</v>
      </c>
      <c r="H173" s="257">
        <v>0</v>
      </c>
      <c r="I173" s="258">
        <v>999.99</v>
      </c>
    </row>
    <row r="174" spans="1:282" s="39" customFormat="1" x14ac:dyDescent="0.2"/>
    <row r="175" spans="1:282" s="39" customFormat="1" x14ac:dyDescent="0.2">
      <c r="A175" s="14" t="s">
        <v>9</v>
      </c>
      <c r="B175" s="18" t="str">
        <f ca="1">GetNameRange(B176)</f>
        <v>InvStratPurchAssetSubPortIdAndWghtPbaGaap</v>
      </c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  <c r="EU175" s="12"/>
      <c r="EV175" s="12"/>
      <c r="EW175" s="12"/>
      <c r="EX175" s="12"/>
      <c r="EY175" s="12"/>
      <c r="EZ175" s="12"/>
      <c r="FA175" s="12"/>
      <c r="FB175" s="12"/>
      <c r="FC175" s="12"/>
      <c r="FD175" s="12"/>
      <c r="FE175" s="12"/>
      <c r="FF175" s="12"/>
      <c r="FG175" s="12"/>
      <c r="FH175" s="12"/>
      <c r="FI175" s="12"/>
      <c r="FJ175" s="12"/>
      <c r="FK175" s="12"/>
      <c r="FL175" s="12"/>
      <c r="FM175" s="12"/>
      <c r="FN175" s="12"/>
      <c r="FO175" s="12"/>
      <c r="FP175" s="12"/>
      <c r="FQ175" s="12"/>
      <c r="FR175" s="12"/>
      <c r="FS175" s="12"/>
      <c r="FT175" s="12"/>
      <c r="FU175" s="12"/>
      <c r="FV175" s="12"/>
      <c r="FW175" s="12"/>
      <c r="FX175" s="12"/>
      <c r="FY175" s="12"/>
      <c r="FZ175" s="12"/>
      <c r="GA175" s="12"/>
      <c r="GB175" s="12"/>
      <c r="GC175" s="12"/>
      <c r="GD175" s="12"/>
      <c r="GE175" s="12"/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/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/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/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/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/>
      <c r="IN175" s="12"/>
      <c r="IO175" s="12"/>
      <c r="IP175" s="12"/>
      <c r="IQ175" s="12"/>
      <c r="IR175" s="12"/>
      <c r="IS175" s="12"/>
      <c r="IT175" s="12"/>
      <c r="IU175" s="12"/>
      <c r="IV175" s="12"/>
      <c r="IW175" s="12"/>
      <c r="IX175" s="12"/>
      <c r="IY175" s="12"/>
      <c r="IZ175" s="12"/>
      <c r="JA175" s="12"/>
      <c r="JB175" s="12"/>
      <c r="JC175" s="12"/>
      <c r="JD175" s="12"/>
      <c r="JE175" s="12"/>
      <c r="JF175" s="12"/>
      <c r="JG175" s="12"/>
      <c r="JH175" s="12"/>
      <c r="JI175" s="12"/>
      <c r="JJ175" s="12"/>
      <c r="JK175" s="12"/>
      <c r="JL175" s="12"/>
      <c r="JM175" s="12"/>
      <c r="JN175" s="12"/>
      <c r="JO175" s="12"/>
      <c r="JP175" s="12"/>
      <c r="JQ175" s="12"/>
      <c r="JR175" s="12"/>
      <c r="JS175" s="12"/>
      <c r="JT175" s="12"/>
    </row>
    <row r="176" spans="1:282" s="39" customFormat="1" x14ac:dyDescent="0.2">
      <c r="A176" s="199" t="s">
        <v>403</v>
      </c>
      <c r="B176" s="69" t="s">
        <v>281</v>
      </c>
      <c r="C176" s="67" t="s">
        <v>8</v>
      </c>
      <c r="D176" s="253" t="s">
        <v>8</v>
      </c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  <c r="EU176" s="12"/>
      <c r="EV176" s="12"/>
      <c r="EW176" s="12"/>
      <c r="EX176" s="12"/>
      <c r="EY176" s="12"/>
      <c r="EZ176" s="12"/>
      <c r="FA176" s="12"/>
      <c r="FB176" s="12"/>
      <c r="FC176" s="12"/>
      <c r="FD176" s="12"/>
      <c r="FE176" s="12"/>
      <c r="FF176" s="12"/>
      <c r="FG176" s="12"/>
      <c r="FH176" s="12"/>
      <c r="FI176" s="12"/>
      <c r="FJ176" s="12"/>
      <c r="FK176" s="12"/>
      <c r="FL176" s="12"/>
      <c r="FM176" s="12"/>
      <c r="FN176" s="12"/>
      <c r="FO176" s="12"/>
      <c r="FP176" s="12"/>
      <c r="FQ176" s="12"/>
      <c r="FR176" s="12"/>
      <c r="FS176" s="12"/>
      <c r="FT176" s="12"/>
      <c r="FU176" s="12"/>
      <c r="FV176" s="12"/>
      <c r="FW176" s="12"/>
      <c r="FX176" s="12"/>
      <c r="FY176" s="12"/>
      <c r="FZ176" s="12"/>
      <c r="GA176" s="12"/>
      <c r="GB176" s="12"/>
      <c r="GC176" s="12"/>
      <c r="GD176" s="12"/>
      <c r="GE176" s="12"/>
      <c r="GF176" s="12"/>
      <c r="GG176" s="12"/>
      <c r="GH176" s="12"/>
      <c r="GI176" s="12"/>
      <c r="GJ176" s="12"/>
      <c r="GK176" s="12"/>
      <c r="GL176" s="12"/>
      <c r="GM176" s="12"/>
      <c r="GN176" s="12"/>
      <c r="GO176" s="12"/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/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/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/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/>
      <c r="IL176" s="12"/>
      <c r="IM176" s="12"/>
      <c r="IN176" s="12"/>
      <c r="IO176" s="12"/>
      <c r="IP176" s="12"/>
      <c r="IQ176" s="12"/>
      <c r="IR176" s="12"/>
      <c r="IS176" s="12"/>
      <c r="IT176" s="12"/>
      <c r="IU176" s="12"/>
      <c r="IV176" s="12"/>
      <c r="IW176" s="12"/>
      <c r="IX176" s="12"/>
      <c r="IY176" s="12"/>
      <c r="IZ176" s="12"/>
      <c r="JA176" s="12"/>
      <c r="JB176" s="12"/>
      <c r="JC176" s="12"/>
      <c r="JD176" s="12"/>
      <c r="JE176" s="12"/>
      <c r="JF176" s="12"/>
      <c r="JG176" s="12"/>
      <c r="JH176" s="12"/>
      <c r="JI176" s="12"/>
      <c r="JJ176" s="12"/>
      <c r="JK176" s="12"/>
      <c r="JL176" s="12"/>
      <c r="JM176" s="12"/>
      <c r="JN176" s="12"/>
      <c r="JO176" s="12"/>
      <c r="JP176" s="12"/>
      <c r="JQ176" s="12"/>
      <c r="JR176" s="12"/>
      <c r="JS176" s="12"/>
      <c r="JT176" s="12"/>
      <c r="JU176" s="12"/>
      <c r="JV176" s="12"/>
    </row>
    <row r="177" spans="1:282" s="39" customFormat="1" x14ac:dyDescent="0.2">
      <c r="B177" s="204" t="s">
        <v>404</v>
      </c>
      <c r="C177" s="61" t="s">
        <v>512</v>
      </c>
      <c r="D177" s="254" t="s">
        <v>513</v>
      </c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  <c r="EU177" s="12"/>
      <c r="EV177" s="12"/>
      <c r="EW177" s="12"/>
      <c r="EX177" s="12"/>
      <c r="EY177" s="12"/>
      <c r="EZ177" s="12"/>
      <c r="FA177" s="12"/>
      <c r="FB177" s="12"/>
      <c r="FC177" s="12"/>
      <c r="FD177" s="12"/>
      <c r="FE177" s="12"/>
      <c r="FF177" s="12"/>
      <c r="FG177" s="12"/>
      <c r="FH177" s="12"/>
      <c r="FI177" s="12"/>
      <c r="FJ177" s="12"/>
      <c r="FK177" s="12"/>
      <c r="FL177" s="12"/>
      <c r="FM177" s="12"/>
      <c r="FN177" s="12"/>
      <c r="FO177" s="12"/>
      <c r="FP177" s="12"/>
      <c r="FQ177" s="12"/>
      <c r="FR177" s="12"/>
      <c r="FS177" s="12"/>
      <c r="FT177" s="12"/>
      <c r="FU177" s="12"/>
      <c r="FV177" s="12"/>
      <c r="FW177" s="12"/>
      <c r="FX177" s="12"/>
      <c r="FY177" s="12"/>
      <c r="FZ177" s="12"/>
      <c r="GA177" s="12"/>
      <c r="GB177" s="12"/>
      <c r="GC177" s="12"/>
      <c r="GD177" s="12"/>
      <c r="GE177" s="12"/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/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/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/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/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/>
      <c r="IM177" s="12"/>
      <c r="IN177" s="12"/>
      <c r="IO177" s="12"/>
      <c r="IP177" s="12"/>
      <c r="IQ177" s="12"/>
      <c r="IR177" s="12"/>
      <c r="IS177" s="12"/>
      <c r="IT177" s="12"/>
      <c r="IU177" s="12"/>
      <c r="IV177" s="12"/>
      <c r="IW177" s="12"/>
      <c r="IX177" s="12"/>
      <c r="IY177" s="12"/>
      <c r="IZ177" s="12"/>
      <c r="JA177" s="12"/>
      <c r="JB177" s="12"/>
      <c r="JC177" s="12"/>
      <c r="JD177" s="12"/>
      <c r="JE177" s="12"/>
      <c r="JF177" s="12"/>
      <c r="JG177" s="12"/>
      <c r="JH177" s="12"/>
      <c r="JI177" s="12"/>
      <c r="JJ177" s="12"/>
      <c r="JK177" s="12"/>
      <c r="JL177" s="12"/>
      <c r="JM177" s="12"/>
      <c r="JN177" s="12"/>
      <c r="JO177" s="12"/>
      <c r="JP177" s="12"/>
      <c r="JQ177" s="12"/>
      <c r="JR177" s="12"/>
      <c r="JS177" s="12"/>
      <c r="JT177" s="12"/>
      <c r="JU177" s="12"/>
      <c r="JV177" s="12"/>
    </row>
    <row r="178" spans="1:282" s="39" customFormat="1" x14ac:dyDescent="0.2">
      <c r="B178" s="208" t="s">
        <v>88</v>
      </c>
      <c r="C178" s="66"/>
      <c r="D178" s="59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  <c r="EU178" s="12"/>
      <c r="EV178" s="12"/>
      <c r="EW178" s="12"/>
      <c r="EX178" s="12"/>
      <c r="EY178" s="12"/>
      <c r="EZ178" s="12"/>
      <c r="FA178" s="12"/>
      <c r="FB178" s="12"/>
      <c r="FC178" s="12"/>
      <c r="FD178" s="12"/>
      <c r="FE178" s="12"/>
      <c r="FF178" s="12"/>
      <c r="FG178" s="12"/>
      <c r="FH178" s="12"/>
      <c r="FI178" s="12"/>
      <c r="FJ178" s="12"/>
      <c r="FK178" s="12"/>
      <c r="FL178" s="12"/>
      <c r="FM178" s="12"/>
      <c r="FN178" s="12"/>
      <c r="FO178" s="12"/>
      <c r="FP178" s="12"/>
      <c r="FQ178" s="12"/>
      <c r="FR178" s="12"/>
      <c r="FS178" s="12"/>
      <c r="FT178" s="12"/>
      <c r="FU178" s="12"/>
      <c r="FV178" s="12"/>
      <c r="FW178" s="12"/>
      <c r="FX178" s="12"/>
      <c r="FY178" s="12"/>
      <c r="FZ178" s="12"/>
      <c r="GA178" s="12"/>
      <c r="GB178" s="12"/>
      <c r="GC178" s="12"/>
      <c r="GD178" s="12"/>
      <c r="GE178" s="12"/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/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/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/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/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/>
      <c r="IN178" s="12"/>
      <c r="IO178" s="12"/>
      <c r="IP178" s="12"/>
      <c r="IQ178" s="12"/>
      <c r="IR178" s="12"/>
      <c r="IS178" s="12"/>
      <c r="IT178" s="12"/>
      <c r="IU178" s="12"/>
      <c r="IV178" s="12"/>
      <c r="IW178" s="12"/>
      <c r="IX178" s="12"/>
      <c r="IY178" s="12"/>
      <c r="IZ178" s="12"/>
      <c r="JA178" s="12"/>
      <c r="JB178" s="12"/>
      <c r="JC178" s="12"/>
      <c r="JD178" s="12"/>
      <c r="JE178" s="12"/>
      <c r="JF178" s="12"/>
      <c r="JG178" s="12"/>
      <c r="JH178" s="12"/>
      <c r="JI178" s="12"/>
      <c r="JJ178" s="12"/>
      <c r="JK178" s="12"/>
      <c r="JL178" s="12"/>
      <c r="JM178" s="12"/>
      <c r="JN178" s="12"/>
      <c r="JO178" s="12"/>
      <c r="JP178" s="12"/>
      <c r="JQ178" s="12"/>
      <c r="JR178" s="12"/>
      <c r="JS178" s="12"/>
      <c r="JT178" s="12"/>
      <c r="JU178" s="12"/>
      <c r="JV178" s="12"/>
    </row>
    <row r="179" spans="1:282" s="39" customFormat="1" x14ac:dyDescent="0.2">
      <c r="A179" s="138">
        <v>0</v>
      </c>
      <c r="B179" s="47" t="s">
        <v>8</v>
      </c>
      <c r="C179" s="255" t="s">
        <v>483</v>
      </c>
      <c r="D179" s="141">
        <v>0</v>
      </c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  <c r="FH179" s="12"/>
      <c r="FI179" s="12"/>
      <c r="FJ179" s="12"/>
      <c r="FK179" s="12"/>
      <c r="FL179" s="12"/>
      <c r="FM179" s="12"/>
      <c r="FN179" s="12"/>
      <c r="FO179" s="12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/>
      <c r="FZ179" s="12"/>
      <c r="GA179" s="12"/>
      <c r="GB179" s="12"/>
      <c r="GC179" s="12"/>
      <c r="GD179" s="12"/>
      <c r="GE179" s="12"/>
      <c r="GF179" s="12"/>
      <c r="GG179" s="12"/>
      <c r="GH179" s="12"/>
      <c r="GI179" s="12"/>
      <c r="GJ179" s="12"/>
      <c r="GK179" s="12"/>
      <c r="GL179" s="12"/>
      <c r="GM179" s="12"/>
      <c r="GN179" s="12"/>
      <c r="GO179" s="12"/>
      <c r="GP179" s="12"/>
      <c r="GQ179" s="12"/>
      <c r="GR179" s="12"/>
      <c r="GS179" s="12"/>
      <c r="GT179" s="12"/>
      <c r="GU179" s="12"/>
      <c r="GV179" s="12"/>
      <c r="GW179" s="12"/>
      <c r="GX179" s="12"/>
      <c r="GY179" s="12"/>
      <c r="GZ179" s="12"/>
      <c r="HA179" s="12"/>
      <c r="HB179" s="12"/>
      <c r="HC179" s="12"/>
      <c r="HD179" s="12"/>
      <c r="HE179" s="12"/>
      <c r="HF179" s="12"/>
      <c r="HG179" s="12"/>
      <c r="HH179" s="12"/>
      <c r="HI179" s="12"/>
      <c r="HJ179" s="12"/>
      <c r="HK179" s="12"/>
      <c r="HL179" s="12"/>
      <c r="HM179" s="12"/>
      <c r="HN179" s="12"/>
      <c r="HO179" s="12"/>
      <c r="HP179" s="12"/>
      <c r="HQ179" s="12"/>
      <c r="HR179" s="12"/>
      <c r="HS179" s="12"/>
      <c r="HT179" s="12"/>
      <c r="HU179" s="12"/>
      <c r="HV179" s="12"/>
      <c r="HW179" s="12"/>
      <c r="HX179" s="12"/>
      <c r="HY179" s="12"/>
      <c r="HZ179" s="12"/>
      <c r="IA179" s="12"/>
      <c r="IB179" s="12"/>
      <c r="IC179" s="12"/>
      <c r="ID179" s="12"/>
      <c r="IE179" s="12"/>
      <c r="IF179" s="12"/>
      <c r="IG179" s="12"/>
      <c r="IH179" s="12"/>
      <c r="II179" s="12"/>
      <c r="IJ179" s="12"/>
      <c r="IK179" s="12"/>
      <c r="IL179" s="12"/>
      <c r="IM179" s="12"/>
      <c r="IN179" s="12"/>
      <c r="IO179" s="12"/>
      <c r="IP179" s="12"/>
      <c r="IQ179" s="12"/>
      <c r="IR179" s="12"/>
      <c r="IS179" s="12"/>
      <c r="IT179" s="12"/>
      <c r="IU179" s="12"/>
      <c r="IV179" s="12"/>
      <c r="IW179" s="12"/>
      <c r="IX179" s="12"/>
      <c r="IY179" s="12"/>
      <c r="IZ179" s="12"/>
      <c r="JA179" s="12"/>
      <c r="JB179" s="12"/>
      <c r="JC179" s="12"/>
      <c r="JD179" s="12"/>
      <c r="JE179" s="12"/>
      <c r="JF179" s="12"/>
      <c r="JG179" s="12"/>
      <c r="JH179" s="12"/>
      <c r="JI179" s="12"/>
      <c r="JJ179" s="12"/>
      <c r="JK179" s="12"/>
      <c r="JL179" s="12"/>
      <c r="JM179" s="12"/>
      <c r="JN179" s="12"/>
      <c r="JO179" s="12"/>
      <c r="JP179" s="12"/>
      <c r="JQ179" s="12"/>
      <c r="JR179" s="12"/>
      <c r="JS179" s="12"/>
      <c r="JT179" s="12"/>
      <c r="JU179" s="12"/>
      <c r="JV179" s="12"/>
    </row>
    <row r="180" spans="1:282" s="39" customFormat="1" x14ac:dyDescent="0.2"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</row>
    <row r="181" spans="1:282" s="39" customFormat="1" x14ac:dyDescent="0.2">
      <c r="A181" s="14" t="s">
        <v>9</v>
      </c>
      <c r="B181" s="18" t="str">
        <f ca="1">GetNameRange(B182)</f>
        <v>InvStratAssetSubPortInvTgtPctPbaGaap</v>
      </c>
      <c r="C181" s="40"/>
      <c r="D181" s="40"/>
      <c r="E181" s="40"/>
      <c r="F181" s="40"/>
      <c r="G181" s="40"/>
      <c r="H181" s="40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  <c r="CO181" s="12"/>
      <c r="CP181" s="12"/>
      <c r="CQ181" s="12"/>
      <c r="CR181" s="12"/>
      <c r="CS181" s="12"/>
      <c r="CT181" s="12"/>
      <c r="CU181" s="12"/>
      <c r="CV181" s="12"/>
      <c r="CW181" s="12"/>
      <c r="CX181" s="12"/>
      <c r="CY181" s="12"/>
      <c r="CZ181" s="12"/>
      <c r="DA181" s="12"/>
      <c r="DB181" s="12"/>
      <c r="DC181" s="12"/>
      <c r="DD181" s="12"/>
      <c r="DE181" s="12"/>
      <c r="DF181" s="12"/>
      <c r="DG181" s="12"/>
      <c r="DH181" s="12"/>
      <c r="DI181" s="12"/>
      <c r="DJ181" s="12"/>
      <c r="DK181" s="12"/>
      <c r="DL181" s="12"/>
      <c r="DM181" s="12"/>
      <c r="DN181" s="12"/>
      <c r="DO181" s="12"/>
      <c r="DP181" s="12"/>
      <c r="DQ181" s="12"/>
      <c r="DR181" s="12"/>
      <c r="DS181" s="12"/>
      <c r="DT181" s="12"/>
      <c r="DU181" s="12"/>
      <c r="DV181" s="12"/>
      <c r="DW181" s="12"/>
      <c r="DX181" s="12"/>
      <c r="DY181" s="12"/>
      <c r="DZ181" s="12"/>
      <c r="EA181" s="12"/>
      <c r="EB181" s="12"/>
      <c r="EC181" s="12"/>
      <c r="ED181" s="12"/>
      <c r="EE181" s="12"/>
      <c r="EF181" s="12"/>
      <c r="EG181" s="12"/>
      <c r="EH181" s="12"/>
      <c r="EI181" s="12"/>
      <c r="EJ181" s="12"/>
      <c r="EK181" s="12"/>
      <c r="EL181" s="12"/>
      <c r="EM181" s="12"/>
      <c r="EN181" s="12"/>
      <c r="EO181" s="12"/>
      <c r="EP181" s="12"/>
      <c r="EQ181" s="12"/>
      <c r="ER181" s="12"/>
      <c r="ES181" s="12"/>
      <c r="ET181" s="12"/>
      <c r="EU181" s="12"/>
      <c r="EV181" s="12"/>
      <c r="EW181" s="12"/>
      <c r="EX181" s="12"/>
    </row>
    <row r="182" spans="1:282" s="39" customFormat="1" x14ac:dyDescent="0.2">
      <c r="A182" s="199" t="s">
        <v>403</v>
      </c>
      <c r="B182" s="69" t="s">
        <v>281</v>
      </c>
      <c r="C182" s="253" t="s">
        <v>8</v>
      </c>
      <c r="D182" s="40"/>
      <c r="E182" s="40"/>
      <c r="F182" s="40"/>
      <c r="G182" s="40"/>
      <c r="H182" s="40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  <c r="CO182" s="12"/>
      <c r="CP182" s="12"/>
      <c r="CQ182" s="12"/>
      <c r="CR182" s="12"/>
      <c r="CS182" s="12"/>
      <c r="CT182" s="12"/>
      <c r="CU182" s="12"/>
      <c r="CV182" s="12"/>
      <c r="CW182" s="12"/>
      <c r="CX182" s="12"/>
      <c r="CY182" s="12"/>
      <c r="CZ182" s="12"/>
      <c r="DA182" s="12"/>
      <c r="DB182" s="12"/>
      <c r="DC182" s="12"/>
      <c r="DD182" s="12"/>
      <c r="DE182" s="12"/>
      <c r="DF182" s="12"/>
      <c r="DG182" s="12"/>
      <c r="DH182" s="12"/>
      <c r="DI182" s="12"/>
      <c r="DJ182" s="12"/>
      <c r="DK182" s="12"/>
      <c r="DL182" s="12"/>
      <c r="DM182" s="12"/>
      <c r="DN182" s="12"/>
      <c r="DO182" s="12"/>
      <c r="DP182" s="12"/>
      <c r="DQ182" s="12"/>
      <c r="DR182" s="12"/>
      <c r="DS182" s="12"/>
      <c r="DT182" s="12"/>
      <c r="DU182" s="12"/>
      <c r="DV182" s="12"/>
      <c r="DW182" s="12"/>
      <c r="DX182" s="12"/>
      <c r="DY182" s="12"/>
      <c r="DZ182" s="12"/>
      <c r="EA182" s="12"/>
      <c r="EB182" s="12"/>
      <c r="EC182" s="12"/>
      <c r="ED182" s="12"/>
      <c r="EE182" s="12"/>
      <c r="EF182" s="12"/>
      <c r="EG182" s="12"/>
      <c r="EH182" s="12"/>
      <c r="EI182" s="12"/>
      <c r="EJ182" s="12"/>
      <c r="EK182" s="12"/>
      <c r="EL182" s="12"/>
      <c r="EM182" s="12"/>
      <c r="EN182" s="12"/>
      <c r="EO182" s="12"/>
      <c r="EP182" s="12"/>
      <c r="EQ182" s="12"/>
      <c r="ER182" s="12"/>
      <c r="ES182" s="12"/>
      <c r="ET182" s="12"/>
      <c r="EU182" s="12"/>
    </row>
    <row r="183" spans="1:282" s="39" customFormat="1" x14ac:dyDescent="0.2">
      <c r="B183" s="45" t="s">
        <v>494</v>
      </c>
      <c r="C183" s="254"/>
      <c r="D183" s="40"/>
      <c r="E183" s="40"/>
      <c r="F183" s="40"/>
      <c r="G183" s="40"/>
      <c r="H183" s="40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/>
      <c r="BC183" s="1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  <c r="CO183" s="12"/>
      <c r="CP183" s="12"/>
      <c r="CQ183" s="12"/>
      <c r="CR183" s="12"/>
      <c r="CS183" s="12"/>
      <c r="CT183" s="12"/>
      <c r="CU183" s="12"/>
      <c r="CV183" s="12"/>
      <c r="CW183" s="12"/>
      <c r="CX183" s="12"/>
      <c r="CY183" s="12"/>
      <c r="CZ183" s="12"/>
      <c r="DA183" s="12"/>
      <c r="DB183" s="12"/>
      <c r="DC183" s="12"/>
      <c r="DD183" s="12"/>
      <c r="DE183" s="12"/>
      <c r="DF183" s="12"/>
      <c r="DG183" s="12"/>
      <c r="DH183" s="12"/>
      <c r="DI183" s="12"/>
      <c r="DJ183" s="12"/>
      <c r="DK183" s="12"/>
      <c r="DL183" s="12"/>
      <c r="DM183" s="12"/>
      <c r="DN183" s="12"/>
      <c r="DO183" s="12"/>
      <c r="DP183" s="12"/>
      <c r="DQ183" s="12"/>
      <c r="DR183" s="12"/>
      <c r="DS183" s="12"/>
      <c r="DT183" s="12"/>
      <c r="DU183" s="12"/>
      <c r="DV183" s="12"/>
      <c r="DW183" s="12"/>
      <c r="DX183" s="12"/>
      <c r="DY183" s="12"/>
      <c r="DZ183" s="12"/>
      <c r="EA183" s="12"/>
      <c r="EB183" s="12"/>
      <c r="EC183" s="12"/>
      <c r="ED183" s="12"/>
      <c r="EE183" s="12"/>
      <c r="EF183" s="12"/>
      <c r="EG183" s="12"/>
      <c r="EH183" s="12"/>
      <c r="EI183" s="12"/>
      <c r="EJ183" s="12"/>
      <c r="EK183" s="12"/>
      <c r="EL183" s="12"/>
      <c r="EM183" s="12"/>
      <c r="EN183" s="12"/>
      <c r="EO183" s="12"/>
      <c r="EP183" s="12"/>
      <c r="EQ183" s="12"/>
      <c r="ER183" s="12"/>
      <c r="ES183" s="12"/>
      <c r="ET183" s="12"/>
      <c r="EU183" s="12"/>
    </row>
    <row r="184" spans="1:282" s="39" customFormat="1" x14ac:dyDescent="0.2">
      <c r="A184" s="138">
        <v>0</v>
      </c>
      <c r="B184" s="47" t="s">
        <v>483</v>
      </c>
      <c r="C184" s="141">
        <v>0</v>
      </c>
      <c r="D184" s="40"/>
      <c r="E184" s="40"/>
      <c r="F184" s="40"/>
      <c r="G184" s="40"/>
      <c r="H184" s="40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  <c r="CO184" s="12"/>
      <c r="CP184" s="12"/>
      <c r="CQ184" s="12"/>
      <c r="CR184" s="12"/>
      <c r="CS184" s="12"/>
      <c r="CT184" s="12"/>
      <c r="CU184" s="12"/>
      <c r="CV184" s="12"/>
      <c r="CW184" s="12"/>
      <c r="CX184" s="12"/>
      <c r="CY184" s="12"/>
      <c r="CZ184" s="12"/>
      <c r="DA184" s="12"/>
      <c r="DB184" s="12"/>
      <c r="DC184" s="12"/>
      <c r="DD184" s="12"/>
      <c r="DE184" s="12"/>
      <c r="DF184" s="12"/>
      <c r="DG184" s="12"/>
      <c r="DH184" s="12"/>
      <c r="DI184" s="12"/>
      <c r="DJ184" s="12"/>
      <c r="DK184" s="12"/>
      <c r="DL184" s="12"/>
      <c r="DM184" s="12"/>
      <c r="DN184" s="12"/>
      <c r="DO184" s="12"/>
      <c r="DP184" s="12"/>
      <c r="DQ184" s="12"/>
      <c r="DR184" s="12"/>
      <c r="DS184" s="12"/>
      <c r="DT184" s="12"/>
      <c r="DU184" s="12"/>
      <c r="DV184" s="12"/>
      <c r="DW184" s="12"/>
      <c r="DX184" s="12"/>
      <c r="DY184" s="12"/>
      <c r="DZ184" s="12"/>
      <c r="EA184" s="12"/>
      <c r="EB184" s="12"/>
      <c r="EC184" s="12"/>
      <c r="ED184" s="12"/>
      <c r="EE184" s="12"/>
      <c r="EF184" s="12"/>
      <c r="EG184" s="12"/>
      <c r="EH184" s="12"/>
      <c r="EI184" s="12"/>
      <c r="EJ184" s="12"/>
      <c r="EK184" s="12"/>
      <c r="EL184" s="12"/>
      <c r="EM184" s="12"/>
      <c r="EN184" s="12"/>
      <c r="EO184" s="12"/>
      <c r="EP184" s="12"/>
      <c r="EQ184" s="12"/>
      <c r="ER184" s="12"/>
      <c r="ES184" s="12"/>
      <c r="ET184" s="12"/>
      <c r="EU184" s="12"/>
    </row>
    <row r="185" spans="1:282" s="39" customFormat="1" x14ac:dyDescent="0.2">
      <c r="F185" s="40"/>
      <c r="G185" s="40"/>
      <c r="H185" s="40"/>
      <c r="I185" s="40"/>
      <c r="J185" s="40"/>
    </row>
    <row r="186" spans="1:282" s="39" customFormat="1" x14ac:dyDescent="0.2">
      <c r="A186" s="14" t="s">
        <v>9</v>
      </c>
      <c r="B186" s="205" t="str">
        <f ca="1">GetNameRange(B187)</f>
        <v>InvStratEconomicPbaGaap</v>
      </c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</row>
    <row r="187" spans="1:282" s="39" customFormat="1" x14ac:dyDescent="0.2">
      <c r="A187" s="224" t="s">
        <v>403</v>
      </c>
      <c r="B187" s="69" t="s">
        <v>290</v>
      </c>
      <c r="C187" s="73" t="s">
        <v>8</v>
      </c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65"/>
      <c r="AO187" s="65"/>
      <c r="AP187" s="65"/>
      <c r="AQ187" s="65"/>
      <c r="AR187" s="65"/>
      <c r="AS187" s="65"/>
      <c r="AT187" s="65"/>
      <c r="AU187" s="65"/>
      <c r="AV187" s="65"/>
      <c r="AW187" s="65"/>
      <c r="AX187" s="65"/>
      <c r="AY187" s="65"/>
      <c r="AZ187" s="65"/>
      <c r="BA187" s="65"/>
      <c r="BB187" s="65"/>
      <c r="BC187" s="65"/>
      <c r="BD187" s="65"/>
      <c r="BE187" s="65"/>
      <c r="BF187" s="65"/>
      <c r="BG187" s="65"/>
      <c r="BH187" s="65"/>
      <c r="BI187" s="65"/>
      <c r="BJ187" s="65"/>
      <c r="BK187" s="65"/>
      <c r="BL187" s="65"/>
      <c r="BM187" s="65"/>
      <c r="BN187" s="65"/>
      <c r="BO187" s="65"/>
      <c r="BP187" s="65"/>
      <c r="BQ187" s="65"/>
      <c r="BR187" s="65"/>
      <c r="BS187" s="65"/>
      <c r="BT187" s="65"/>
      <c r="BU187" s="65"/>
      <c r="BV187" s="65"/>
      <c r="BW187" s="65"/>
      <c r="BX187" s="65"/>
      <c r="BY187" s="65"/>
      <c r="BZ187" s="65"/>
      <c r="CA187" s="65"/>
      <c r="CB187" s="65"/>
      <c r="CC187" s="65"/>
      <c r="CD187" s="65"/>
      <c r="CE187" s="65"/>
      <c r="CF187" s="65"/>
      <c r="CG187" s="55"/>
      <c r="CH187" s="55"/>
      <c r="CI187" s="55"/>
      <c r="CJ187" s="55"/>
      <c r="CK187" s="55"/>
      <c r="CL187" s="57"/>
    </row>
    <row r="188" spans="1:282" s="39" customFormat="1" x14ac:dyDescent="0.2">
      <c r="A188" s="22"/>
      <c r="B188" s="45" t="s">
        <v>0</v>
      </c>
      <c r="C188" s="206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57"/>
      <c r="AO188" s="57"/>
      <c r="AP188" s="57"/>
      <c r="AQ188" s="57"/>
      <c r="AR188" s="57"/>
      <c r="AS188" s="57"/>
      <c r="AT188" s="57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7"/>
      <c r="CC188" s="57"/>
      <c r="CD188" s="57"/>
      <c r="CE188" s="57"/>
      <c r="CF188" s="57"/>
      <c r="CG188" s="57"/>
      <c r="CH188" s="57"/>
      <c r="CI188" s="57"/>
      <c r="CJ188" s="57"/>
      <c r="CK188" s="57"/>
      <c r="CL188" s="57"/>
      <c r="CM188" s="57"/>
      <c r="CN188" s="57"/>
    </row>
    <row r="189" spans="1:282" s="39" customFormat="1" x14ac:dyDescent="0.2">
      <c r="A189" s="86" t="s">
        <v>303</v>
      </c>
      <c r="B189" s="187" t="s">
        <v>291</v>
      </c>
      <c r="C189" s="259" t="s">
        <v>303</v>
      </c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  <c r="CE189" s="50"/>
      <c r="CF189" s="50"/>
      <c r="CG189" s="50"/>
      <c r="CH189" s="50"/>
      <c r="CI189" s="64"/>
      <c r="CJ189" s="50"/>
      <c r="CK189" s="64"/>
      <c r="CL189" s="50"/>
      <c r="CM189" s="64"/>
      <c r="CN189" s="57"/>
    </row>
    <row r="190" spans="1:282" s="39" customFormat="1" x14ac:dyDescent="0.2">
      <c r="A190" s="86">
        <v>1</v>
      </c>
      <c r="B190" s="187" t="s">
        <v>292</v>
      </c>
      <c r="C190" s="259">
        <v>1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50"/>
      <c r="AO190" s="50"/>
      <c r="AP190" s="50"/>
      <c r="AQ190" s="50"/>
      <c r="AR190" s="50"/>
      <c r="AS190" s="50"/>
      <c r="AT190" s="50"/>
      <c r="AU190" s="50"/>
      <c r="AV190" s="50"/>
      <c r="AW190" s="50"/>
      <c r="AX190" s="50"/>
      <c r="AY190" s="50"/>
      <c r="AZ190" s="50"/>
      <c r="BA190" s="50"/>
      <c r="BB190" s="50"/>
      <c r="BC190" s="50"/>
      <c r="BD190" s="50"/>
      <c r="BE190" s="50"/>
      <c r="BF190" s="50"/>
      <c r="BG190" s="50"/>
      <c r="BH190" s="50"/>
      <c r="BI190" s="50"/>
      <c r="BJ190" s="50"/>
      <c r="BK190" s="50"/>
      <c r="BL190" s="50"/>
      <c r="BM190" s="50"/>
      <c r="BN190" s="50"/>
      <c r="BO190" s="50"/>
      <c r="BP190" s="50"/>
      <c r="BQ190" s="50"/>
      <c r="BR190" s="50"/>
      <c r="BS190" s="50"/>
      <c r="BT190" s="50"/>
      <c r="BU190" s="50"/>
      <c r="BV190" s="50"/>
      <c r="BW190" s="50"/>
      <c r="BX190" s="50"/>
      <c r="BY190" s="50"/>
      <c r="BZ190" s="50"/>
      <c r="CA190" s="50"/>
      <c r="CB190" s="50"/>
      <c r="CC190" s="50"/>
      <c r="CD190" s="50"/>
      <c r="CE190" s="50"/>
      <c r="CF190" s="50"/>
      <c r="CG190" s="50"/>
      <c r="CH190" s="50"/>
      <c r="CI190" s="64"/>
      <c r="CJ190" s="50"/>
      <c r="CK190" s="64"/>
      <c r="CL190" s="50"/>
      <c r="CM190" s="64"/>
      <c r="CN190" s="57"/>
    </row>
    <row r="191" spans="1:282" s="39" customFormat="1" x14ac:dyDescent="0.2">
      <c r="A191" s="86" t="s">
        <v>304</v>
      </c>
      <c r="B191" s="187" t="s">
        <v>293</v>
      </c>
      <c r="C191" s="259" t="s">
        <v>304</v>
      </c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</row>
    <row r="192" spans="1:282" s="39" customFormat="1" x14ac:dyDescent="0.2">
      <c r="A192" s="86">
        <v>0.25</v>
      </c>
      <c r="B192" s="187" t="s">
        <v>294</v>
      </c>
      <c r="C192" s="259">
        <v>0.25</v>
      </c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</row>
    <row r="193" spans="1:280" s="39" customFormat="1" x14ac:dyDescent="0.2">
      <c r="A193" s="86">
        <v>0</v>
      </c>
      <c r="B193" s="187" t="s">
        <v>295</v>
      </c>
      <c r="C193" s="259">
        <v>0</v>
      </c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</row>
    <row r="194" spans="1:280" s="39" customFormat="1" x14ac:dyDescent="0.2">
      <c r="A194" s="86">
        <v>0</v>
      </c>
      <c r="B194" s="187" t="s">
        <v>296</v>
      </c>
      <c r="C194" s="259">
        <v>0</v>
      </c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</row>
    <row r="195" spans="1:280" s="39" customFormat="1" x14ac:dyDescent="0.2">
      <c r="A195" s="86" t="s">
        <v>305</v>
      </c>
      <c r="B195" s="187" t="s">
        <v>297</v>
      </c>
      <c r="C195" s="259" t="s">
        <v>305</v>
      </c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</row>
    <row r="196" spans="1:280" s="39" customFormat="1" x14ac:dyDescent="0.2">
      <c r="A196" s="86">
        <v>1</v>
      </c>
      <c r="B196" s="187" t="s">
        <v>312</v>
      </c>
      <c r="C196" s="259">
        <v>1</v>
      </c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</row>
    <row r="197" spans="1:280" s="39" customFormat="1" x14ac:dyDescent="0.2">
      <c r="A197" s="86" t="s">
        <v>6</v>
      </c>
      <c r="B197" s="187" t="s">
        <v>298</v>
      </c>
      <c r="C197" s="259" t="s">
        <v>6</v>
      </c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</row>
    <row r="198" spans="1:280" s="39" customFormat="1" x14ac:dyDescent="0.2">
      <c r="A198" s="87">
        <v>0</v>
      </c>
      <c r="B198" s="187" t="s">
        <v>313</v>
      </c>
      <c r="C198" s="260">
        <v>0</v>
      </c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</row>
    <row r="199" spans="1:280" s="39" customFormat="1" x14ac:dyDescent="0.2">
      <c r="A199" s="87">
        <v>0</v>
      </c>
      <c r="B199" s="187" t="s">
        <v>314</v>
      </c>
      <c r="C199" s="260">
        <v>0</v>
      </c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</row>
    <row r="200" spans="1:280" s="39" customFormat="1" x14ac:dyDescent="0.2">
      <c r="A200" s="86" t="s">
        <v>6</v>
      </c>
      <c r="B200" s="187" t="s">
        <v>299</v>
      </c>
      <c r="C200" s="259" t="s">
        <v>6</v>
      </c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</row>
    <row r="201" spans="1:280" s="39" customFormat="1" x14ac:dyDescent="0.2">
      <c r="A201" s="86" t="s">
        <v>6</v>
      </c>
      <c r="B201" s="187" t="s">
        <v>300</v>
      </c>
      <c r="C201" s="259" t="s">
        <v>6</v>
      </c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</row>
    <row r="202" spans="1:280" s="39" customFormat="1" x14ac:dyDescent="0.2">
      <c r="A202" s="86" t="s">
        <v>6</v>
      </c>
      <c r="B202" s="187" t="s">
        <v>301</v>
      </c>
      <c r="C202" s="259" t="s">
        <v>6</v>
      </c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</row>
    <row r="203" spans="1:280" s="39" customFormat="1" x14ac:dyDescent="0.2">
      <c r="A203" s="86" t="s">
        <v>6</v>
      </c>
      <c r="B203" s="207" t="s">
        <v>302</v>
      </c>
      <c r="C203" s="261" t="s">
        <v>6</v>
      </c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</row>
    <row r="204" spans="1:280" s="39" customFormat="1" x14ac:dyDescent="0.2">
      <c r="D204" s="12"/>
    </row>
    <row r="205" spans="1:280" s="39" customFormat="1" x14ac:dyDescent="0.2">
      <c r="A205" s="14" t="s">
        <v>9</v>
      </c>
      <c r="B205" s="18" t="str">
        <f ca="1">GetNameRange(B206)</f>
        <v>NegCashFlowStratPlanned</v>
      </c>
      <c r="C205" s="50" t="s">
        <v>310</v>
      </c>
      <c r="D205" s="50" t="s">
        <v>311</v>
      </c>
      <c r="E205" s="226">
        <v>0</v>
      </c>
      <c r="F205" s="227">
        <v>0</v>
      </c>
      <c r="G205" s="63" t="s">
        <v>6</v>
      </c>
      <c r="H205" s="50" t="s">
        <v>308</v>
      </c>
      <c r="I205" s="228">
        <v>1</v>
      </c>
      <c r="J205" s="229">
        <v>1</v>
      </c>
      <c r="K205" s="229">
        <v>0</v>
      </c>
      <c r="L205" s="229">
        <v>1</v>
      </c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/>
      <c r="BC205" s="1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  <c r="CO205" s="12"/>
      <c r="CP205" s="12"/>
      <c r="CQ205" s="12"/>
      <c r="CR205" s="12"/>
      <c r="CS205" s="12"/>
      <c r="CT205" s="12"/>
      <c r="CU205" s="12"/>
      <c r="CV205" s="12"/>
      <c r="CW205" s="12"/>
      <c r="CX205" s="12"/>
      <c r="CY205" s="12"/>
      <c r="CZ205" s="12"/>
      <c r="DA205" s="12"/>
      <c r="DB205" s="12"/>
      <c r="DC205" s="12"/>
      <c r="DD205" s="12"/>
      <c r="DE205" s="12"/>
      <c r="DF205" s="12"/>
      <c r="DG205" s="12"/>
      <c r="DH205" s="12"/>
      <c r="DI205" s="12"/>
      <c r="DJ205" s="12"/>
      <c r="DK205" s="12"/>
      <c r="DL205" s="12"/>
      <c r="DM205" s="12"/>
      <c r="DN205" s="12"/>
      <c r="DO205" s="12"/>
      <c r="DP205" s="12"/>
      <c r="DQ205" s="12"/>
      <c r="DR205" s="12"/>
      <c r="DS205" s="12"/>
      <c r="DT205" s="12"/>
      <c r="DU205" s="12"/>
      <c r="DV205" s="12"/>
      <c r="DW205" s="12"/>
      <c r="DX205" s="12"/>
      <c r="DY205" s="12"/>
      <c r="DZ205" s="12"/>
      <c r="EA205" s="12"/>
      <c r="EB205" s="12"/>
      <c r="EC205" s="12"/>
      <c r="ED205" s="12"/>
      <c r="EE205" s="12"/>
      <c r="EF205" s="12"/>
      <c r="EG205" s="12"/>
      <c r="EH205" s="12"/>
      <c r="EI205" s="12"/>
      <c r="EJ205" s="12"/>
      <c r="EK205" s="12"/>
      <c r="EL205" s="12"/>
      <c r="EM205" s="12"/>
      <c r="EN205" s="12"/>
      <c r="EO205" s="12"/>
      <c r="EP205" s="12"/>
      <c r="EQ205" s="12"/>
      <c r="ER205" s="12"/>
      <c r="ES205" s="12"/>
      <c r="ET205" s="12"/>
      <c r="EU205" s="12"/>
      <c r="EV205" s="12"/>
      <c r="EW205" s="12"/>
      <c r="EX205" s="12"/>
      <c r="EY205" s="12"/>
      <c r="EZ205" s="12"/>
      <c r="FA205" s="12"/>
      <c r="FB205" s="12"/>
      <c r="FC205" s="12"/>
      <c r="FD205" s="12"/>
      <c r="FE205" s="12"/>
      <c r="FF205" s="12"/>
      <c r="FG205" s="12"/>
      <c r="FH205" s="12"/>
      <c r="FI205" s="12"/>
      <c r="FJ205" s="12"/>
      <c r="FK205" s="12"/>
      <c r="FL205" s="12"/>
      <c r="FM205" s="12"/>
      <c r="FN205" s="12"/>
      <c r="FO205" s="12"/>
      <c r="FP205" s="12"/>
      <c r="FQ205" s="12"/>
      <c r="FR205" s="12"/>
      <c r="FS205" s="12"/>
      <c r="FT205" s="12"/>
      <c r="FU205" s="12"/>
      <c r="FV205" s="12"/>
      <c r="FW205" s="12"/>
      <c r="FX205" s="12"/>
      <c r="FY205" s="12"/>
      <c r="FZ205" s="12"/>
      <c r="GA205" s="12"/>
      <c r="GB205" s="12"/>
      <c r="GC205" s="12"/>
      <c r="GD205" s="12"/>
      <c r="GE205" s="12"/>
      <c r="GF205" s="12"/>
      <c r="GG205" s="12"/>
      <c r="GH205" s="12"/>
      <c r="GI205" s="12"/>
      <c r="GJ205" s="12"/>
      <c r="GK205" s="12"/>
      <c r="GL205" s="12"/>
      <c r="GM205" s="12"/>
      <c r="GN205" s="12"/>
      <c r="GO205" s="12"/>
      <c r="GP205" s="12"/>
      <c r="GQ205" s="12"/>
      <c r="GR205" s="12"/>
      <c r="GS205" s="12"/>
      <c r="GT205" s="12"/>
      <c r="GU205" s="12"/>
      <c r="GV205" s="12"/>
      <c r="GW205" s="12"/>
      <c r="GX205" s="12"/>
      <c r="GY205" s="12"/>
      <c r="GZ205" s="12"/>
      <c r="HA205" s="12"/>
      <c r="HB205" s="12"/>
      <c r="HC205" s="12"/>
      <c r="HD205" s="12"/>
      <c r="HE205" s="12"/>
      <c r="HF205" s="12"/>
      <c r="HG205" s="12"/>
      <c r="HH205" s="12"/>
      <c r="HI205" s="12"/>
      <c r="HJ205" s="12"/>
      <c r="HK205" s="12"/>
      <c r="HL205" s="12"/>
      <c r="HM205" s="12"/>
      <c r="HN205" s="12"/>
      <c r="HO205" s="12"/>
      <c r="HP205" s="12"/>
      <c r="HQ205" s="12"/>
      <c r="HR205" s="12"/>
      <c r="HS205" s="12"/>
      <c r="HT205" s="12"/>
      <c r="HU205" s="12"/>
      <c r="HV205" s="12"/>
      <c r="HW205" s="12"/>
      <c r="HX205" s="12"/>
      <c r="HY205" s="12"/>
      <c r="HZ205" s="12"/>
      <c r="IA205" s="12"/>
      <c r="IB205" s="12"/>
      <c r="IC205" s="12"/>
      <c r="ID205" s="12"/>
      <c r="IE205" s="12"/>
      <c r="IF205" s="12"/>
      <c r="IG205" s="12"/>
      <c r="IH205" s="12"/>
      <c r="II205" s="12"/>
      <c r="IJ205" s="12"/>
      <c r="IK205" s="12"/>
      <c r="IL205" s="12"/>
      <c r="IM205" s="12"/>
      <c r="IN205" s="12"/>
      <c r="IO205" s="12"/>
      <c r="IP205" s="12"/>
      <c r="IQ205" s="12"/>
      <c r="IR205" s="12"/>
      <c r="IS205" s="12"/>
      <c r="IT205" s="12"/>
      <c r="IU205" s="12"/>
      <c r="IV205" s="12"/>
      <c r="IW205" s="12"/>
      <c r="IX205" s="12"/>
      <c r="IY205" s="12"/>
      <c r="IZ205" s="12"/>
      <c r="JA205" s="12"/>
      <c r="JB205" s="12"/>
      <c r="JC205" s="12"/>
      <c r="JD205" s="12"/>
      <c r="JE205" s="12"/>
      <c r="JF205" s="12"/>
      <c r="JG205" s="12"/>
      <c r="JH205" s="12"/>
      <c r="JI205" s="12"/>
      <c r="JJ205" s="12"/>
      <c r="JK205" s="12"/>
      <c r="JL205" s="12"/>
      <c r="JM205" s="12"/>
      <c r="JN205" s="12"/>
      <c r="JO205" s="12"/>
      <c r="JP205" s="12"/>
      <c r="JQ205" s="12"/>
      <c r="JR205" s="12"/>
      <c r="JS205" s="12"/>
      <c r="JT205" s="12"/>
    </row>
    <row r="206" spans="1:280" s="39" customFormat="1" x14ac:dyDescent="0.2">
      <c r="A206" s="224" t="s">
        <v>403</v>
      </c>
      <c r="B206" s="118" t="s">
        <v>0</v>
      </c>
      <c r="C206" s="74" t="s">
        <v>562</v>
      </c>
      <c r="D206" s="74" t="s">
        <v>571</v>
      </c>
      <c r="E206" s="74" t="s">
        <v>572</v>
      </c>
      <c r="F206" s="74" t="s">
        <v>573</v>
      </c>
      <c r="G206" s="74" t="s">
        <v>574</v>
      </c>
      <c r="H206" s="74" t="s">
        <v>575</v>
      </c>
      <c r="I206" s="74" t="s">
        <v>576</v>
      </c>
      <c r="J206" s="74" t="s">
        <v>577</v>
      </c>
      <c r="K206" s="74" t="s">
        <v>578</v>
      </c>
      <c r="L206" s="73" t="s">
        <v>579</v>
      </c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/>
      <c r="BC206" s="1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  <c r="CO206" s="12"/>
      <c r="CP206" s="12"/>
      <c r="CQ206" s="12"/>
      <c r="CR206" s="12"/>
      <c r="CS206" s="12"/>
      <c r="CT206" s="12"/>
      <c r="CU206" s="12"/>
      <c r="CV206" s="12"/>
      <c r="CW206" s="12"/>
      <c r="CX206" s="12"/>
      <c r="CY206" s="12"/>
      <c r="CZ206" s="12"/>
      <c r="DA206" s="12"/>
      <c r="DB206" s="12"/>
      <c r="DC206" s="12"/>
      <c r="DD206" s="12"/>
      <c r="DE206" s="12"/>
      <c r="DF206" s="12"/>
      <c r="DG206" s="12"/>
      <c r="DH206" s="12"/>
      <c r="DI206" s="12"/>
      <c r="DJ206" s="12"/>
      <c r="DK206" s="12"/>
      <c r="DL206" s="12"/>
      <c r="DM206" s="12"/>
      <c r="DN206" s="12"/>
      <c r="DO206" s="12"/>
      <c r="DP206" s="12"/>
      <c r="DQ206" s="12"/>
      <c r="DR206" s="12"/>
      <c r="DS206" s="12"/>
      <c r="DT206" s="12"/>
      <c r="DU206" s="12"/>
      <c r="DV206" s="12"/>
      <c r="DW206" s="12"/>
      <c r="DX206" s="12"/>
      <c r="DY206" s="12"/>
      <c r="DZ206" s="12"/>
      <c r="EA206" s="12"/>
      <c r="EB206" s="12"/>
      <c r="EC206" s="12"/>
      <c r="ED206" s="12"/>
      <c r="EE206" s="12"/>
      <c r="EF206" s="12"/>
      <c r="EG206" s="12"/>
      <c r="EH206" s="12"/>
      <c r="EI206" s="12"/>
      <c r="EJ206" s="12"/>
      <c r="EK206" s="12"/>
      <c r="EL206" s="12"/>
      <c r="EM206" s="12"/>
      <c r="EN206" s="12"/>
      <c r="EO206" s="12"/>
      <c r="EP206" s="12"/>
      <c r="EQ206" s="12"/>
      <c r="ER206" s="12"/>
      <c r="ES206" s="12"/>
      <c r="ET206" s="12"/>
      <c r="EU206" s="12"/>
      <c r="EV206" s="12"/>
      <c r="EW206" s="12"/>
      <c r="EX206" s="12"/>
      <c r="EY206" s="12"/>
      <c r="EZ206" s="12"/>
      <c r="FA206" s="12"/>
      <c r="FB206" s="12"/>
      <c r="FC206" s="12"/>
      <c r="FD206" s="12"/>
      <c r="FE206" s="12"/>
      <c r="FF206" s="12"/>
      <c r="FG206" s="12"/>
      <c r="FH206" s="12"/>
      <c r="FI206" s="12"/>
      <c r="FJ206" s="12"/>
      <c r="FK206" s="12"/>
      <c r="FL206" s="12"/>
      <c r="FM206" s="12"/>
      <c r="FN206" s="12"/>
      <c r="FO206" s="12"/>
      <c r="FP206" s="12"/>
      <c r="FQ206" s="12"/>
      <c r="FR206" s="12"/>
      <c r="FS206" s="12"/>
      <c r="FT206" s="12"/>
      <c r="FU206" s="12"/>
      <c r="FV206" s="12"/>
      <c r="FW206" s="12"/>
      <c r="FX206" s="12"/>
      <c r="FY206" s="12"/>
      <c r="FZ206" s="12"/>
      <c r="GA206" s="12"/>
      <c r="GB206" s="12"/>
      <c r="GC206" s="12"/>
      <c r="GD206" s="12"/>
      <c r="GE206" s="12"/>
      <c r="GF206" s="12"/>
      <c r="GG206" s="12"/>
      <c r="GH206" s="12"/>
      <c r="GI206" s="12"/>
      <c r="GJ206" s="12"/>
      <c r="GK206" s="12"/>
      <c r="GL206" s="12"/>
      <c r="GM206" s="12"/>
      <c r="GN206" s="12"/>
      <c r="GO206" s="12"/>
      <c r="GP206" s="12"/>
      <c r="GQ206" s="12"/>
      <c r="GR206" s="12"/>
      <c r="GS206" s="12"/>
      <c r="GT206" s="12"/>
      <c r="GU206" s="12"/>
      <c r="GV206" s="12"/>
      <c r="GW206" s="12"/>
      <c r="GX206" s="12"/>
      <c r="GY206" s="12"/>
      <c r="GZ206" s="12"/>
      <c r="HA206" s="12"/>
      <c r="HB206" s="12"/>
      <c r="HC206" s="12"/>
      <c r="HD206" s="12"/>
      <c r="HE206" s="12"/>
      <c r="HF206" s="12"/>
      <c r="HG206" s="12"/>
      <c r="HH206" s="12"/>
      <c r="HI206" s="12"/>
      <c r="HJ206" s="12"/>
      <c r="HK206" s="12"/>
      <c r="HL206" s="12"/>
      <c r="HM206" s="12"/>
      <c r="HN206" s="12"/>
      <c r="HO206" s="12"/>
      <c r="HP206" s="12"/>
      <c r="HQ206" s="12"/>
      <c r="HR206" s="12"/>
      <c r="HS206" s="12"/>
      <c r="HT206" s="12"/>
      <c r="HU206" s="12"/>
      <c r="HV206" s="12"/>
      <c r="HW206" s="12"/>
      <c r="HX206" s="12"/>
      <c r="HY206" s="12"/>
      <c r="HZ206" s="12"/>
      <c r="IA206" s="12"/>
      <c r="IB206" s="12"/>
      <c r="IC206" s="12"/>
      <c r="ID206" s="12"/>
      <c r="IE206" s="12"/>
      <c r="IF206" s="12"/>
      <c r="IG206" s="12"/>
      <c r="IH206" s="12"/>
      <c r="II206" s="12"/>
      <c r="IJ206" s="12"/>
      <c r="IK206" s="12"/>
      <c r="IL206" s="12"/>
      <c r="IM206" s="12"/>
      <c r="IN206" s="12"/>
      <c r="IO206" s="12"/>
      <c r="IP206" s="12"/>
      <c r="IQ206" s="12"/>
      <c r="IR206" s="12"/>
      <c r="IS206" s="12"/>
      <c r="IT206" s="12"/>
      <c r="IU206" s="12"/>
      <c r="IV206" s="12"/>
      <c r="IW206" s="12"/>
      <c r="IX206" s="12"/>
      <c r="IY206" s="12"/>
      <c r="IZ206" s="12"/>
      <c r="JA206" s="12"/>
      <c r="JB206" s="12"/>
      <c r="JC206" s="12"/>
      <c r="JD206" s="12"/>
      <c r="JE206" s="12"/>
      <c r="JF206" s="12"/>
      <c r="JG206" s="12"/>
      <c r="JH206" s="12"/>
      <c r="JI206" s="12"/>
      <c r="JJ206" s="12"/>
      <c r="JK206" s="12"/>
      <c r="JL206" s="12"/>
      <c r="JM206" s="12"/>
      <c r="JN206" s="12"/>
      <c r="JO206" s="12"/>
      <c r="JP206" s="12"/>
      <c r="JQ206" s="12"/>
      <c r="JR206" s="12"/>
      <c r="JS206" s="12"/>
      <c r="JT206" s="12"/>
    </row>
    <row r="207" spans="1:280" s="39" customFormat="1" x14ac:dyDescent="0.2">
      <c r="B207" s="45" t="s">
        <v>238</v>
      </c>
      <c r="C207" s="66"/>
      <c r="D207" s="66"/>
      <c r="E207" s="66"/>
      <c r="F207" s="66"/>
      <c r="G207" s="66"/>
      <c r="H207" s="66"/>
      <c r="I207" s="66"/>
      <c r="J207" s="66"/>
      <c r="K207" s="66"/>
      <c r="L207" s="59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/>
      <c r="BC207" s="1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  <c r="CB207" s="12"/>
      <c r="CC207" s="12"/>
      <c r="CD207" s="12"/>
      <c r="CE207" s="12"/>
      <c r="CF207" s="12"/>
      <c r="CG207" s="12"/>
      <c r="CH207" s="12"/>
      <c r="CI207" s="12"/>
      <c r="CJ207" s="12"/>
      <c r="CK207" s="12"/>
      <c r="CL207" s="12"/>
      <c r="CM207" s="12"/>
      <c r="CN207" s="12"/>
      <c r="CO207" s="12"/>
      <c r="CP207" s="12"/>
      <c r="CQ207" s="12"/>
      <c r="CR207" s="12"/>
      <c r="CS207" s="12"/>
      <c r="CT207" s="12"/>
      <c r="CU207" s="12"/>
      <c r="CV207" s="12"/>
      <c r="CW207" s="12"/>
      <c r="CX207" s="12"/>
      <c r="CY207" s="12"/>
      <c r="CZ207" s="12"/>
      <c r="DA207" s="12"/>
      <c r="DB207" s="12"/>
      <c r="DC207" s="12"/>
      <c r="DD207" s="12"/>
      <c r="DE207" s="12"/>
      <c r="DF207" s="12"/>
      <c r="DG207" s="12"/>
      <c r="DH207" s="12"/>
      <c r="DI207" s="12"/>
      <c r="DJ207" s="12"/>
      <c r="DK207" s="12"/>
      <c r="DL207" s="12"/>
      <c r="DM207" s="12"/>
      <c r="DN207" s="12"/>
      <c r="DO207" s="12"/>
      <c r="DP207" s="12"/>
      <c r="DQ207" s="12"/>
      <c r="DR207" s="12"/>
      <c r="DS207" s="12"/>
      <c r="DT207" s="12"/>
      <c r="DU207" s="12"/>
      <c r="DV207" s="12"/>
      <c r="DW207" s="12"/>
      <c r="DX207" s="12"/>
      <c r="DY207" s="12"/>
      <c r="DZ207" s="12"/>
      <c r="EA207" s="12"/>
      <c r="EB207" s="12"/>
      <c r="EC207" s="12"/>
      <c r="ED207" s="12"/>
      <c r="EE207" s="12"/>
      <c r="EF207" s="12"/>
      <c r="EG207" s="12"/>
      <c r="EH207" s="12"/>
      <c r="EI207" s="12"/>
      <c r="EJ207" s="12"/>
      <c r="EK207" s="12"/>
      <c r="EL207" s="12"/>
      <c r="EM207" s="12"/>
      <c r="EN207" s="12"/>
      <c r="EO207" s="12"/>
      <c r="EP207" s="12"/>
      <c r="EQ207" s="12"/>
      <c r="ER207" s="12"/>
      <c r="ES207" s="12"/>
      <c r="ET207" s="12"/>
      <c r="EU207" s="12"/>
      <c r="EV207" s="12"/>
      <c r="EW207" s="12"/>
      <c r="EX207" s="12"/>
      <c r="EY207" s="12"/>
      <c r="EZ207" s="12"/>
      <c r="FA207" s="12"/>
      <c r="FB207" s="12"/>
      <c r="FC207" s="12"/>
      <c r="FD207" s="12"/>
      <c r="FE207" s="12"/>
      <c r="FF207" s="12"/>
      <c r="FG207" s="12"/>
      <c r="FH207" s="12"/>
      <c r="FI207" s="12"/>
      <c r="FJ207" s="12"/>
      <c r="FK207" s="12"/>
      <c r="FL207" s="12"/>
      <c r="FM207" s="12"/>
      <c r="FN207" s="12"/>
      <c r="FO207" s="12"/>
      <c r="FP207" s="12"/>
      <c r="FQ207" s="12"/>
      <c r="FR207" s="12"/>
      <c r="FS207" s="12"/>
      <c r="FT207" s="12"/>
      <c r="FU207" s="12"/>
      <c r="FV207" s="12"/>
      <c r="FW207" s="12"/>
      <c r="FX207" s="12"/>
      <c r="FY207" s="12"/>
      <c r="FZ207" s="12"/>
      <c r="GA207" s="12"/>
      <c r="GB207" s="12"/>
      <c r="GC207" s="12"/>
      <c r="GD207" s="12"/>
      <c r="GE207" s="12"/>
      <c r="GF207" s="12"/>
      <c r="GG207" s="12"/>
      <c r="GH207" s="12"/>
      <c r="GI207" s="12"/>
      <c r="GJ207" s="12"/>
      <c r="GK207" s="12"/>
      <c r="GL207" s="12"/>
      <c r="GM207" s="12"/>
      <c r="GN207" s="12"/>
      <c r="GO207" s="12"/>
      <c r="GP207" s="12"/>
      <c r="GQ207" s="12"/>
      <c r="GR207" s="12"/>
      <c r="GS207" s="12"/>
      <c r="GT207" s="12"/>
      <c r="GU207" s="12"/>
      <c r="GV207" s="12"/>
      <c r="GW207" s="12"/>
      <c r="GX207" s="12"/>
      <c r="GY207" s="12"/>
      <c r="GZ207" s="12"/>
      <c r="HA207" s="12"/>
      <c r="HB207" s="12"/>
      <c r="HC207" s="12"/>
      <c r="HD207" s="12"/>
      <c r="HE207" s="12"/>
      <c r="HF207" s="12"/>
      <c r="HG207" s="12"/>
      <c r="HH207" s="12"/>
      <c r="HI207" s="12"/>
      <c r="HJ207" s="12"/>
      <c r="HK207" s="12"/>
      <c r="HL207" s="12"/>
      <c r="HM207" s="12"/>
      <c r="HN207" s="12"/>
      <c r="HO207" s="12"/>
      <c r="HP207" s="12"/>
      <c r="HQ207" s="12"/>
      <c r="HR207" s="12"/>
      <c r="HS207" s="12"/>
      <c r="HT207" s="12"/>
      <c r="HU207" s="12"/>
      <c r="HV207" s="12"/>
      <c r="HW207" s="12"/>
      <c r="HX207" s="12"/>
      <c r="HY207" s="12"/>
      <c r="HZ207" s="12"/>
      <c r="IA207" s="12"/>
      <c r="IB207" s="12"/>
      <c r="IC207" s="12"/>
      <c r="ID207" s="12"/>
      <c r="IE207" s="12"/>
      <c r="IF207" s="12"/>
      <c r="IG207" s="12"/>
      <c r="IH207" s="12"/>
      <c r="II207" s="12"/>
      <c r="IJ207" s="12"/>
      <c r="IK207" s="12"/>
      <c r="IL207" s="12"/>
      <c r="IM207" s="12"/>
      <c r="IN207" s="12"/>
      <c r="IO207" s="12"/>
      <c r="IP207" s="12"/>
      <c r="IQ207" s="12"/>
      <c r="IR207" s="12"/>
      <c r="IS207" s="12"/>
      <c r="IT207" s="12"/>
      <c r="IU207" s="12"/>
      <c r="IV207" s="12"/>
      <c r="IW207" s="12"/>
      <c r="IX207" s="12"/>
      <c r="IY207" s="12"/>
      <c r="IZ207" s="12"/>
      <c r="JA207" s="12"/>
      <c r="JB207" s="12"/>
      <c r="JC207" s="12"/>
      <c r="JD207" s="12"/>
      <c r="JE207" s="12"/>
      <c r="JF207" s="12"/>
      <c r="JG207" s="12"/>
      <c r="JH207" s="12"/>
      <c r="JI207" s="12"/>
      <c r="JJ207" s="12"/>
      <c r="JK207" s="12"/>
      <c r="JL207" s="12"/>
      <c r="JM207" s="12"/>
      <c r="JN207" s="12"/>
      <c r="JO207" s="12"/>
      <c r="JP207" s="12"/>
      <c r="JQ207" s="12"/>
      <c r="JR207" s="12"/>
      <c r="JS207" s="12"/>
      <c r="JT207" s="12"/>
    </row>
    <row r="208" spans="1:280" s="39" customFormat="1" x14ac:dyDescent="0.2">
      <c r="B208" s="151">
        <v>1</v>
      </c>
      <c r="C208" s="34" t="s">
        <v>686</v>
      </c>
      <c r="D208" s="301" t="s">
        <v>690</v>
      </c>
      <c r="E208" s="299">
        <v>0.01</v>
      </c>
      <c r="F208" s="152">
        <v>0</v>
      </c>
      <c r="G208" s="152" t="s">
        <v>6</v>
      </c>
      <c r="H208" s="34" t="s">
        <v>308</v>
      </c>
      <c r="I208" s="34">
        <v>1</v>
      </c>
      <c r="J208" s="34">
        <v>1</v>
      </c>
      <c r="K208" s="34">
        <v>0</v>
      </c>
      <c r="L208" s="35">
        <v>1</v>
      </c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2"/>
      <c r="BB208" s="12"/>
      <c r="BC208" s="1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/>
      <c r="CF208" s="12"/>
      <c r="CG208" s="12"/>
      <c r="CH208" s="12"/>
      <c r="CI208" s="12"/>
      <c r="CJ208" s="12"/>
      <c r="CK208" s="12"/>
      <c r="CL208" s="12"/>
      <c r="CM208" s="12"/>
      <c r="CN208" s="12"/>
      <c r="CO208" s="12"/>
      <c r="CP208" s="12"/>
      <c r="CQ208" s="12"/>
      <c r="CR208" s="12"/>
      <c r="CS208" s="12"/>
      <c r="CT208" s="12"/>
      <c r="CU208" s="12"/>
      <c r="CV208" s="12"/>
      <c r="CW208" s="12"/>
      <c r="CX208" s="12"/>
      <c r="CY208" s="12"/>
      <c r="CZ208" s="12"/>
      <c r="DA208" s="12"/>
      <c r="DB208" s="12"/>
      <c r="DC208" s="12"/>
      <c r="DD208" s="12"/>
      <c r="DE208" s="12"/>
      <c r="DF208" s="12"/>
      <c r="DG208" s="12"/>
      <c r="DH208" s="12"/>
      <c r="DI208" s="12"/>
      <c r="DJ208" s="12"/>
      <c r="DK208" s="12"/>
      <c r="DL208" s="12"/>
      <c r="DM208" s="12"/>
      <c r="DN208" s="12"/>
      <c r="DO208" s="12"/>
      <c r="DP208" s="12"/>
      <c r="DQ208" s="12"/>
      <c r="DR208" s="12"/>
      <c r="DS208" s="12"/>
      <c r="DT208" s="12"/>
      <c r="DU208" s="12"/>
      <c r="DV208" s="12"/>
      <c r="DW208" s="12"/>
      <c r="DX208" s="12"/>
      <c r="DY208" s="12"/>
      <c r="DZ208" s="12"/>
      <c r="EA208" s="12"/>
      <c r="EB208" s="12"/>
      <c r="EC208" s="12"/>
      <c r="ED208" s="12"/>
      <c r="EE208" s="12"/>
      <c r="EF208" s="12"/>
      <c r="EG208" s="12"/>
      <c r="EH208" s="12"/>
      <c r="EI208" s="12"/>
      <c r="EJ208" s="12"/>
      <c r="EK208" s="12"/>
      <c r="EL208" s="12"/>
      <c r="EM208" s="12"/>
      <c r="EN208" s="12"/>
      <c r="EO208" s="12"/>
      <c r="EP208" s="12"/>
      <c r="EQ208" s="12"/>
      <c r="ER208" s="12"/>
      <c r="ES208" s="12"/>
      <c r="ET208" s="12"/>
      <c r="EU208" s="12"/>
      <c r="EV208" s="12"/>
      <c r="EW208" s="12"/>
      <c r="EX208" s="12"/>
      <c r="EY208" s="12"/>
      <c r="EZ208" s="12"/>
      <c r="FA208" s="12"/>
      <c r="FB208" s="12"/>
      <c r="FC208" s="12"/>
      <c r="FD208" s="12"/>
      <c r="FE208" s="12"/>
      <c r="FF208" s="12"/>
      <c r="FG208" s="12"/>
      <c r="FH208" s="12"/>
      <c r="FI208" s="12"/>
      <c r="FJ208" s="12"/>
      <c r="FK208" s="12"/>
      <c r="FL208" s="12"/>
      <c r="FM208" s="12"/>
      <c r="FN208" s="12"/>
      <c r="FO208" s="12"/>
      <c r="FP208" s="12"/>
      <c r="FQ208" s="12"/>
      <c r="FR208" s="12"/>
      <c r="FS208" s="12"/>
      <c r="FT208" s="12"/>
      <c r="FU208" s="12"/>
      <c r="FV208" s="12"/>
      <c r="FW208" s="12"/>
      <c r="FX208" s="12"/>
      <c r="FY208" s="12"/>
      <c r="FZ208" s="12"/>
      <c r="GA208" s="12"/>
      <c r="GB208" s="12"/>
      <c r="GC208" s="12"/>
      <c r="GD208" s="12"/>
      <c r="GE208" s="12"/>
      <c r="GF208" s="12"/>
      <c r="GG208" s="12"/>
      <c r="GH208" s="12"/>
      <c r="GI208" s="12"/>
      <c r="GJ208" s="12"/>
      <c r="GK208" s="12"/>
      <c r="GL208" s="12"/>
      <c r="GM208" s="12"/>
      <c r="GN208" s="12"/>
      <c r="GO208" s="12"/>
      <c r="GP208" s="12"/>
      <c r="GQ208" s="12"/>
      <c r="GR208" s="12"/>
      <c r="GS208" s="12"/>
      <c r="GT208" s="12"/>
      <c r="GU208" s="12"/>
      <c r="GV208" s="12"/>
      <c r="GW208" s="12"/>
      <c r="GX208" s="12"/>
      <c r="GY208" s="12"/>
      <c r="GZ208" s="12"/>
      <c r="HA208" s="12"/>
      <c r="HB208" s="12"/>
      <c r="HC208" s="12"/>
      <c r="HD208" s="12"/>
      <c r="HE208" s="12"/>
      <c r="HF208" s="12"/>
      <c r="HG208" s="12"/>
      <c r="HH208" s="12"/>
      <c r="HI208" s="12"/>
      <c r="HJ208" s="12"/>
      <c r="HK208" s="12"/>
      <c r="HL208" s="12"/>
      <c r="HM208" s="12"/>
      <c r="HN208" s="12"/>
      <c r="HO208" s="12"/>
      <c r="HP208" s="12"/>
      <c r="HQ208" s="12"/>
      <c r="HR208" s="12"/>
      <c r="HS208" s="12"/>
      <c r="HT208" s="12"/>
      <c r="HU208" s="12"/>
      <c r="HV208" s="12"/>
      <c r="HW208" s="12"/>
      <c r="HX208" s="12"/>
      <c r="HY208" s="12"/>
      <c r="HZ208" s="12"/>
      <c r="IA208" s="12"/>
      <c r="IB208" s="12"/>
      <c r="IC208" s="12"/>
      <c r="ID208" s="12"/>
      <c r="IE208" s="12"/>
      <c r="IF208" s="12"/>
      <c r="IG208" s="12"/>
      <c r="IH208" s="12"/>
      <c r="II208" s="12"/>
      <c r="IJ208" s="12"/>
      <c r="IK208" s="12"/>
      <c r="IL208" s="12"/>
      <c r="IM208" s="12"/>
      <c r="IN208" s="12"/>
      <c r="IO208" s="12"/>
      <c r="IP208" s="12"/>
      <c r="IQ208" s="12"/>
      <c r="IR208" s="12"/>
      <c r="IS208" s="12"/>
      <c r="IT208" s="12"/>
      <c r="IU208" s="12"/>
      <c r="IV208" s="12"/>
      <c r="IW208" s="12"/>
      <c r="IX208" s="12"/>
      <c r="IY208" s="12"/>
      <c r="IZ208" s="12"/>
      <c r="JA208" s="12"/>
      <c r="JB208" s="12"/>
      <c r="JC208" s="12"/>
      <c r="JD208" s="12"/>
      <c r="JE208" s="12"/>
      <c r="JF208" s="12"/>
      <c r="JG208" s="12"/>
      <c r="JH208" s="12"/>
      <c r="JI208" s="12"/>
      <c r="JJ208" s="12"/>
      <c r="JK208" s="12"/>
      <c r="JL208" s="12"/>
      <c r="JM208" s="12"/>
      <c r="JN208" s="12"/>
      <c r="JO208" s="12"/>
      <c r="JP208" s="12"/>
      <c r="JQ208" s="12"/>
      <c r="JR208" s="12"/>
      <c r="JS208" s="12"/>
      <c r="JT208" s="12"/>
    </row>
    <row r="209" spans="1:3" s="39" customFormat="1" x14ac:dyDescent="0.2"/>
    <row r="210" spans="1:3" s="39" customFormat="1" x14ac:dyDescent="0.2">
      <c r="A210" s="14" t="s">
        <v>9</v>
      </c>
      <c r="B210" s="18" t="str">
        <f ca="1">GetNameRange(B211)</f>
        <v>NegCashFlowStratEconomic</v>
      </c>
      <c r="C210" s="12"/>
    </row>
    <row r="211" spans="1:3" s="39" customFormat="1" x14ac:dyDescent="0.2">
      <c r="A211" s="224" t="s">
        <v>403</v>
      </c>
      <c r="B211" s="69" t="s">
        <v>580</v>
      </c>
      <c r="C211" s="73" t="s">
        <v>8</v>
      </c>
    </row>
    <row r="212" spans="1:3" s="39" customFormat="1" x14ac:dyDescent="0.2">
      <c r="A212" s="22"/>
      <c r="B212" s="45" t="s">
        <v>0</v>
      </c>
      <c r="C212" s="206"/>
    </row>
    <row r="213" spans="1:3" s="39" customFormat="1" x14ac:dyDescent="0.2">
      <c r="A213" s="86" t="s">
        <v>303</v>
      </c>
      <c r="B213" s="187" t="s">
        <v>581</v>
      </c>
      <c r="C213" s="33" t="s">
        <v>303</v>
      </c>
    </row>
    <row r="214" spans="1:3" s="39" customFormat="1" x14ac:dyDescent="0.2">
      <c r="A214" s="86">
        <v>1</v>
      </c>
      <c r="B214" s="187" t="s">
        <v>582</v>
      </c>
      <c r="C214" s="33">
        <v>1</v>
      </c>
    </row>
    <row r="215" spans="1:3" s="39" customFormat="1" x14ac:dyDescent="0.2">
      <c r="A215" s="86" t="s">
        <v>304</v>
      </c>
      <c r="B215" s="187" t="s">
        <v>583</v>
      </c>
      <c r="C215" s="33" t="s">
        <v>304</v>
      </c>
    </row>
    <row r="216" spans="1:3" s="39" customFormat="1" x14ac:dyDescent="0.2">
      <c r="A216" s="86">
        <v>0.25</v>
      </c>
      <c r="B216" s="187" t="s">
        <v>584</v>
      </c>
      <c r="C216" s="33">
        <v>0.25</v>
      </c>
    </row>
    <row r="217" spans="1:3" s="39" customFormat="1" x14ac:dyDescent="0.2">
      <c r="A217" s="86">
        <v>0</v>
      </c>
      <c r="B217" s="187" t="s">
        <v>585</v>
      </c>
      <c r="C217" s="33">
        <v>0</v>
      </c>
    </row>
    <row r="218" spans="1:3" s="39" customFormat="1" x14ac:dyDescent="0.2">
      <c r="A218" s="86">
        <v>0</v>
      </c>
      <c r="B218" s="187" t="s">
        <v>586</v>
      </c>
      <c r="C218" s="33">
        <v>0</v>
      </c>
    </row>
    <row r="219" spans="1:3" s="39" customFormat="1" x14ac:dyDescent="0.2">
      <c r="A219" s="86" t="s">
        <v>305</v>
      </c>
      <c r="B219" s="187" t="s">
        <v>587</v>
      </c>
      <c r="C219" s="33" t="s">
        <v>305</v>
      </c>
    </row>
    <row r="220" spans="1:3" s="39" customFormat="1" x14ac:dyDescent="0.2">
      <c r="A220" s="86">
        <v>1</v>
      </c>
      <c r="B220" s="187" t="s">
        <v>588</v>
      </c>
      <c r="C220" s="33">
        <v>1</v>
      </c>
    </row>
    <row r="221" spans="1:3" s="39" customFormat="1" x14ac:dyDescent="0.2">
      <c r="A221" s="86" t="s">
        <v>310</v>
      </c>
      <c r="B221" s="187" t="s">
        <v>565</v>
      </c>
      <c r="C221" s="33" t="s">
        <v>310</v>
      </c>
    </row>
    <row r="222" spans="1:3" s="39" customFormat="1" x14ac:dyDescent="0.2">
      <c r="A222" s="230" t="s">
        <v>311</v>
      </c>
      <c r="B222" s="187" t="s">
        <v>589</v>
      </c>
      <c r="C222" s="302" t="s">
        <v>690</v>
      </c>
    </row>
    <row r="223" spans="1:3" s="39" customFormat="1" x14ac:dyDescent="0.2">
      <c r="A223" s="89">
        <v>0</v>
      </c>
      <c r="B223" s="187" t="s">
        <v>590</v>
      </c>
      <c r="C223" s="300">
        <v>0.01</v>
      </c>
    </row>
    <row r="224" spans="1:3" s="39" customFormat="1" x14ac:dyDescent="0.2">
      <c r="A224" s="87">
        <v>0</v>
      </c>
      <c r="B224" s="187" t="s">
        <v>591</v>
      </c>
      <c r="C224" s="82">
        <v>0</v>
      </c>
    </row>
    <row r="225" spans="1:3" s="39" customFormat="1" x14ac:dyDescent="0.2">
      <c r="A225" s="87" t="s">
        <v>6</v>
      </c>
      <c r="B225" s="187" t="s">
        <v>592</v>
      </c>
      <c r="C225" s="82" t="s">
        <v>6</v>
      </c>
    </row>
    <row r="226" spans="1:3" s="39" customFormat="1" x14ac:dyDescent="0.2">
      <c r="A226" s="87" t="s">
        <v>308</v>
      </c>
      <c r="B226" s="187" t="s">
        <v>593</v>
      </c>
      <c r="C226" s="33" t="s">
        <v>308</v>
      </c>
    </row>
    <row r="227" spans="1:3" s="39" customFormat="1" x14ac:dyDescent="0.2">
      <c r="A227" s="131">
        <v>1</v>
      </c>
      <c r="B227" s="187" t="s">
        <v>594</v>
      </c>
      <c r="C227" s="33">
        <v>1</v>
      </c>
    </row>
    <row r="228" spans="1:3" s="39" customFormat="1" x14ac:dyDescent="0.2">
      <c r="A228" s="131">
        <v>1</v>
      </c>
      <c r="B228" s="187" t="s">
        <v>595</v>
      </c>
      <c r="C228" s="33">
        <v>1</v>
      </c>
    </row>
    <row r="229" spans="1:3" s="39" customFormat="1" x14ac:dyDescent="0.2">
      <c r="A229" s="131">
        <v>0</v>
      </c>
      <c r="B229" s="187" t="s">
        <v>596</v>
      </c>
      <c r="C229" s="33">
        <v>0</v>
      </c>
    </row>
    <row r="230" spans="1:3" s="39" customFormat="1" x14ac:dyDescent="0.2">
      <c r="A230" s="131">
        <v>1</v>
      </c>
      <c r="B230" s="207" t="s">
        <v>597</v>
      </c>
      <c r="C230" s="35">
        <v>1</v>
      </c>
    </row>
  </sheetData>
  <dataConsolidate/>
  <conditionalFormatting sqref="D9:D40">
    <cfRule type="cellIs" dxfId="651" priority="1938" operator="notEqual">
      <formula>$A9</formula>
    </cfRule>
  </conditionalFormatting>
  <conditionalFormatting sqref="AI107:CC108 C106">
    <cfRule type="cellIs" dxfId="650" priority="1790" operator="equal">
      <formula>$A106</formula>
    </cfRule>
  </conditionalFormatting>
  <conditionalFormatting sqref="D122 D144 C107:C121 D138:D139 C132 C167 D179 AG45:AG46 AH51:AH61 C45:AE46">
    <cfRule type="cellIs" dxfId="649" priority="1785" operator="notEqual">
      <formula>$A45</formula>
    </cfRule>
    <cfRule type="cellIs" dxfId="648" priority="1786" operator="equal">
      <formula>"""&lt;&gt;$A6"""</formula>
    </cfRule>
    <cfRule type="cellIs" dxfId="647" priority="1787" operator="equal">
      <formula>"&lt;&gt;$A6"</formula>
    </cfRule>
    <cfRule type="cellIs" dxfId="646" priority="1788" operator="equal">
      <formula>$A45</formula>
    </cfRule>
    <cfRule type="cellIs" dxfId="645" priority="1789" operator="equal">
      <formula>$A45</formula>
    </cfRule>
  </conditionalFormatting>
  <conditionalFormatting sqref="C143:I143">
    <cfRule type="cellIs" dxfId="644" priority="1692" operator="notEqual">
      <formula>C$140</formula>
    </cfRule>
  </conditionalFormatting>
  <conditionalFormatting sqref="AN189:CH190 C188">
    <cfRule type="cellIs" dxfId="643" priority="1638" operator="equal">
      <formula>$A188</formula>
    </cfRule>
  </conditionalFormatting>
  <conditionalFormatting sqref="C188">
    <cfRule type="cellIs" dxfId="642" priority="1632" operator="equal">
      <formula>$A188</formula>
    </cfRule>
  </conditionalFormatting>
  <conditionalFormatting sqref="C126:C127">
    <cfRule type="cellIs" dxfId="641" priority="1627" operator="notEqual">
      <formula>$A126</formula>
    </cfRule>
    <cfRule type="cellIs" dxfId="640" priority="1628" operator="equal">
      <formula>"""&lt;&gt;$A6"""</formula>
    </cfRule>
    <cfRule type="cellIs" dxfId="639" priority="1629" operator="equal">
      <formula>"&lt;&gt;$A6"</formula>
    </cfRule>
    <cfRule type="cellIs" dxfId="638" priority="1630" operator="equal">
      <formula>$A126</formula>
    </cfRule>
    <cfRule type="cellIs" dxfId="637" priority="1631" operator="equal">
      <formula>$A126</formula>
    </cfRule>
  </conditionalFormatting>
  <conditionalFormatting sqref="AN148:CH149 C147">
    <cfRule type="cellIs" dxfId="636" priority="1620" operator="equal">
      <formula>$A147</formula>
    </cfRule>
  </conditionalFormatting>
  <conditionalFormatting sqref="C148:C162">
    <cfRule type="cellIs" dxfId="635" priority="1615" operator="notEqual">
      <formula>$A148</formula>
    </cfRule>
    <cfRule type="cellIs" dxfId="634" priority="1616" operator="equal">
      <formula>"""&lt;&gt;$A6"""</formula>
    </cfRule>
    <cfRule type="cellIs" dxfId="633" priority="1617" operator="equal">
      <formula>"&lt;&gt;$A6"</formula>
    </cfRule>
    <cfRule type="cellIs" dxfId="632" priority="1618" operator="equal">
      <formula>$A148</formula>
    </cfRule>
    <cfRule type="cellIs" dxfId="631" priority="1619" operator="equal">
      <formula>$A148</formula>
    </cfRule>
  </conditionalFormatting>
  <conditionalFormatting sqref="C147">
    <cfRule type="cellIs" dxfId="630" priority="1614" operator="equal">
      <formula>$A147</formula>
    </cfRule>
  </conditionalFormatting>
  <conditionalFormatting sqref="C148">
    <cfRule type="cellIs" dxfId="629" priority="1613" operator="equal">
      <formula>""""""</formula>
    </cfRule>
  </conditionalFormatting>
  <conditionalFormatting sqref="C184">
    <cfRule type="cellIs" dxfId="628" priority="1559" operator="notEqual">
      <formula>$A184</formula>
    </cfRule>
    <cfRule type="cellIs" dxfId="627" priority="1560" operator="equal">
      <formula>"""&lt;&gt;$A6"""</formula>
    </cfRule>
    <cfRule type="cellIs" dxfId="626" priority="1561" operator="equal">
      <formula>"&lt;&gt;$A6"</formula>
    </cfRule>
    <cfRule type="cellIs" dxfId="625" priority="1562" operator="equal">
      <formula>$A184</formula>
    </cfRule>
    <cfRule type="cellIs" dxfId="624" priority="1563" operator="equal">
      <formula>$A184</formula>
    </cfRule>
  </conditionalFormatting>
  <conditionalFormatting sqref="C208:L208">
    <cfRule type="cellIs" dxfId="623" priority="1494" operator="notEqual">
      <formula>C$205</formula>
    </cfRule>
  </conditionalFormatting>
  <conditionalFormatting sqref="C213:C220">
    <cfRule type="cellIs" dxfId="622" priority="1488" operator="notEqual">
      <formula>$A213</formula>
    </cfRule>
  </conditionalFormatting>
  <conditionalFormatting sqref="C221:C224 C226:C230">
    <cfRule type="cellIs" dxfId="621" priority="1487" operator="notEqual">
      <formula>$A221</formula>
    </cfRule>
  </conditionalFormatting>
  <conditionalFormatting sqref="C225">
    <cfRule type="cellIs" dxfId="620" priority="1484" operator="notEqual">
      <formula>$A225</formula>
    </cfRule>
  </conditionalFormatting>
  <conditionalFormatting sqref="C173:I173">
    <cfRule type="cellIs" dxfId="619" priority="1428" operator="notEqual">
      <formula>C$140</formula>
    </cfRule>
  </conditionalFormatting>
  <conditionalFormatting sqref="F105:F134">
    <cfRule type="cellIs" dxfId="618" priority="952" operator="notEqual">
      <formula>$A105</formula>
    </cfRule>
    <cfRule type="cellIs" dxfId="617" priority="953" operator="equal">
      <formula>"""&lt;&gt;$A6"""</formula>
    </cfRule>
    <cfRule type="cellIs" dxfId="616" priority="954" operator="equal">
      <formula>"&lt;&gt;$A6"</formula>
    </cfRule>
    <cfRule type="cellIs" dxfId="615" priority="955" operator="equal">
      <formula>$A105</formula>
    </cfRule>
    <cfRule type="cellIs" dxfId="614" priority="956" operator="equal">
      <formula>$A105</formula>
    </cfRule>
  </conditionalFormatting>
  <conditionalFormatting sqref="F135">
    <cfRule type="cellIs" dxfId="613" priority="947" operator="notEqual">
      <formula>$A135</formula>
    </cfRule>
    <cfRule type="cellIs" dxfId="612" priority="948" operator="equal">
      <formula>"""&lt;&gt;$A6"""</formula>
    </cfRule>
    <cfRule type="cellIs" dxfId="611" priority="949" operator="equal">
      <formula>"&lt;&gt;$A6"</formula>
    </cfRule>
    <cfRule type="cellIs" dxfId="610" priority="950" operator="equal">
      <formula>$A135</formula>
    </cfRule>
    <cfRule type="cellIs" dxfId="609" priority="951" operator="equal">
      <formula>$A135</formula>
    </cfRule>
  </conditionalFormatting>
  <conditionalFormatting sqref="J105:J134">
    <cfRule type="cellIs" dxfId="608" priority="942" operator="notEqual">
      <formula>$A105</formula>
    </cfRule>
    <cfRule type="cellIs" dxfId="607" priority="943" operator="equal">
      <formula>"""&lt;&gt;$A6"""</formula>
    </cfRule>
    <cfRule type="cellIs" dxfId="606" priority="944" operator="equal">
      <formula>"&lt;&gt;$A6"</formula>
    </cfRule>
    <cfRule type="cellIs" dxfId="605" priority="945" operator="equal">
      <formula>$A105</formula>
    </cfRule>
    <cfRule type="cellIs" dxfId="604" priority="946" operator="equal">
      <formula>$A105</formula>
    </cfRule>
  </conditionalFormatting>
  <conditionalFormatting sqref="J135">
    <cfRule type="cellIs" dxfId="603" priority="937" operator="notEqual">
      <formula>$A135</formula>
    </cfRule>
    <cfRule type="cellIs" dxfId="602" priority="938" operator="equal">
      <formula>"""&lt;&gt;$A6"""</formula>
    </cfRule>
    <cfRule type="cellIs" dxfId="601" priority="939" operator="equal">
      <formula>"&lt;&gt;$A6"</formula>
    </cfRule>
    <cfRule type="cellIs" dxfId="600" priority="940" operator="equal">
      <formula>$A135</formula>
    </cfRule>
    <cfRule type="cellIs" dxfId="599" priority="941" operator="equal">
      <formula>$A135</formula>
    </cfRule>
  </conditionalFormatting>
  <conditionalFormatting sqref="E31:E38">
    <cfRule type="cellIs" dxfId="598" priority="922" operator="notEqual">
      <formula>$A31</formula>
    </cfRule>
    <cfRule type="cellIs" dxfId="597" priority="923" operator="equal">
      <formula>"""&lt;&gt;$A6"""</formula>
    </cfRule>
    <cfRule type="cellIs" dxfId="596" priority="924" operator="equal">
      <formula>"&lt;&gt;$A6"</formula>
    </cfRule>
    <cfRule type="cellIs" dxfId="595" priority="925" operator="equal">
      <formula>$A31</formula>
    </cfRule>
    <cfRule type="cellIs" dxfId="594" priority="926" operator="equal">
      <formula>$A31</formula>
    </cfRule>
  </conditionalFormatting>
  <conditionalFormatting sqref="E39">
    <cfRule type="cellIs" dxfId="593" priority="917" operator="notEqual">
      <formula>$A39</formula>
    </cfRule>
    <cfRule type="cellIs" dxfId="592" priority="918" operator="equal">
      <formula>"""&lt;&gt;$A6"""</formula>
    </cfRule>
    <cfRule type="cellIs" dxfId="591" priority="919" operator="equal">
      <formula>"&lt;&gt;$A6"</formula>
    </cfRule>
    <cfRule type="cellIs" dxfId="590" priority="920" operator="equal">
      <formula>$A39</formula>
    </cfRule>
    <cfRule type="cellIs" dxfId="589" priority="921" operator="equal">
      <formula>$A39</formula>
    </cfRule>
  </conditionalFormatting>
  <conditionalFormatting sqref="G31:G38">
    <cfRule type="cellIs" dxfId="588" priority="912" operator="notEqual">
      <formula>$A31</formula>
    </cfRule>
    <cfRule type="cellIs" dxfId="587" priority="913" operator="equal">
      <formula>"""&lt;&gt;$A6"""</formula>
    </cfRule>
    <cfRule type="cellIs" dxfId="586" priority="914" operator="equal">
      <formula>"&lt;&gt;$A6"</formula>
    </cfRule>
    <cfRule type="cellIs" dxfId="585" priority="915" operator="equal">
      <formula>$A31</formula>
    </cfRule>
    <cfRule type="cellIs" dxfId="584" priority="916" operator="equal">
      <formula>$A31</formula>
    </cfRule>
  </conditionalFormatting>
  <conditionalFormatting sqref="G39">
    <cfRule type="cellIs" dxfId="583" priority="907" operator="notEqual">
      <formula>$A39</formula>
    </cfRule>
    <cfRule type="cellIs" dxfId="582" priority="908" operator="equal">
      <formula>"""&lt;&gt;$A6"""</formula>
    </cfRule>
    <cfRule type="cellIs" dxfId="581" priority="909" operator="equal">
      <formula>"&lt;&gt;$A6"</formula>
    </cfRule>
    <cfRule type="cellIs" dxfId="580" priority="910" operator="equal">
      <formula>$A39</formula>
    </cfRule>
    <cfRule type="cellIs" dxfId="579" priority="911" operator="equal">
      <formula>$A39</formula>
    </cfRule>
  </conditionalFormatting>
  <conditionalFormatting sqref="C51:K61">
    <cfRule type="cellIs" dxfId="578" priority="592" operator="notEqual">
      <formula>$A51</formula>
    </cfRule>
    <cfRule type="cellIs" dxfId="577" priority="593" operator="equal">
      <formula>"""&lt;&gt;$A6"""</formula>
    </cfRule>
    <cfRule type="cellIs" dxfId="576" priority="594" operator="equal">
      <formula>"&lt;&gt;$A6"</formula>
    </cfRule>
    <cfRule type="cellIs" dxfId="575" priority="595" operator="equal">
      <formula>$A51</formula>
    </cfRule>
    <cfRule type="cellIs" dxfId="574" priority="596" operator="equal">
      <formula>$A51</formula>
    </cfRule>
  </conditionalFormatting>
  <conditionalFormatting sqref="D68:D101 F68:F101 H68:H101 J68:J101 L68:L101 N68:N101 P68:P101 R68:R101 T68:T101">
    <cfRule type="cellIs" dxfId="573" priority="582" operator="notEqual">
      <formula>$A68</formula>
    </cfRule>
    <cfRule type="cellIs" dxfId="572" priority="583" operator="equal">
      <formula>"""&lt;&gt;$A6"""</formula>
    </cfRule>
    <cfRule type="cellIs" dxfId="571" priority="584" operator="equal">
      <formula>"&lt;&gt;$A6"</formula>
    </cfRule>
    <cfRule type="cellIs" dxfId="570" priority="585" operator="equal">
      <formula>$A68</formula>
    </cfRule>
    <cfRule type="cellIs" dxfId="569" priority="586" operator="equal">
      <formula>$A68</formula>
    </cfRule>
  </conditionalFormatting>
  <conditionalFormatting sqref="C9:C40">
    <cfRule type="cellIs" dxfId="568" priority="291" operator="notEqual">
      <formula>$A9</formula>
    </cfRule>
  </conditionalFormatting>
  <conditionalFormatting sqref="BN96:BN98 BN100:BN101">
    <cfRule type="cellIs" dxfId="567" priority="231" operator="notEqual">
      <formula>$A96</formula>
    </cfRule>
    <cfRule type="cellIs" dxfId="566" priority="232" operator="equal">
      <formula>"""&lt;&gt;$A6"""</formula>
    </cfRule>
    <cfRule type="cellIs" dxfId="565" priority="233" operator="equal">
      <formula>"&lt;&gt;$A6"</formula>
    </cfRule>
    <cfRule type="cellIs" dxfId="564" priority="234" operator="equal">
      <formula>$A96</formula>
    </cfRule>
    <cfRule type="cellIs" dxfId="563" priority="235" operator="equal">
      <formula>$A96</formula>
    </cfRule>
  </conditionalFormatting>
  <conditionalFormatting sqref="BN68:BN83 BN85:BN95">
    <cfRule type="cellIs" dxfId="562" priority="226" operator="notEqual">
      <formula>$A68</formula>
    </cfRule>
    <cfRule type="cellIs" dxfId="561" priority="227" operator="equal">
      <formula>"""&lt;&gt;$A6"""</formula>
    </cfRule>
    <cfRule type="cellIs" dxfId="560" priority="228" operator="equal">
      <formula>"&lt;&gt;$A6"</formula>
    </cfRule>
    <cfRule type="cellIs" dxfId="559" priority="229" operator="equal">
      <formula>$A68</formula>
    </cfRule>
    <cfRule type="cellIs" dxfId="558" priority="230" operator="equal">
      <formula>$A68</formula>
    </cfRule>
  </conditionalFormatting>
  <conditionalFormatting sqref="BN99">
    <cfRule type="cellIs" dxfId="557" priority="221" operator="notEqual">
      <formula>$A99</formula>
    </cfRule>
    <cfRule type="cellIs" dxfId="556" priority="222" operator="equal">
      <formula>"""&lt;&gt;$A6"""</formula>
    </cfRule>
    <cfRule type="cellIs" dxfId="555" priority="223" operator="equal">
      <formula>"&lt;&gt;$A6"</formula>
    </cfRule>
    <cfRule type="cellIs" dxfId="554" priority="224" operator="equal">
      <formula>$A99</formula>
    </cfRule>
    <cfRule type="cellIs" dxfId="553" priority="225" operator="equal">
      <formula>$A99</formula>
    </cfRule>
  </conditionalFormatting>
  <conditionalFormatting sqref="AF45:AF46">
    <cfRule type="cellIs" dxfId="552" priority="216" operator="notEqual">
      <formula>$A45</formula>
    </cfRule>
    <cfRule type="cellIs" dxfId="551" priority="217" operator="equal">
      <formula>"""&lt;&gt;$A6"""</formula>
    </cfRule>
    <cfRule type="cellIs" dxfId="550" priority="218" operator="equal">
      <formula>"&lt;&gt;$A6"</formula>
    </cfRule>
    <cfRule type="cellIs" dxfId="549" priority="219" operator="equal">
      <formula>$A45</formula>
    </cfRule>
    <cfRule type="cellIs" dxfId="548" priority="220" operator="equal">
      <formula>$A45</formula>
    </cfRule>
  </conditionalFormatting>
  <conditionalFormatting sqref="BN84">
    <cfRule type="cellIs" dxfId="547" priority="146" operator="notEqual">
      <formula>$A84</formula>
    </cfRule>
    <cfRule type="cellIs" dxfId="546" priority="147" operator="equal">
      <formula>"""&lt;&gt;$A6"""</formula>
    </cfRule>
    <cfRule type="cellIs" dxfId="545" priority="148" operator="equal">
      <formula>"&lt;&gt;$A6"</formula>
    </cfRule>
    <cfRule type="cellIs" dxfId="544" priority="149" operator="equal">
      <formula>$A84</formula>
    </cfRule>
    <cfRule type="cellIs" dxfId="543" priority="150" operator="equal">
      <formula>$A84</formula>
    </cfRule>
  </conditionalFormatting>
  <conditionalFormatting sqref="AH45:AH46">
    <cfRule type="cellIs" dxfId="542" priority="116" operator="notEqual">
      <formula>$A45</formula>
    </cfRule>
    <cfRule type="cellIs" dxfId="541" priority="117" operator="equal">
      <formula>"""&lt;&gt;$A6"""</formula>
    </cfRule>
    <cfRule type="cellIs" dxfId="540" priority="118" operator="equal">
      <formula>"&lt;&gt;$A6"</formula>
    </cfRule>
    <cfRule type="cellIs" dxfId="539" priority="119" operator="equal">
      <formula>$A45</formula>
    </cfRule>
    <cfRule type="cellIs" dxfId="538" priority="120" operator="equal">
      <formula>$A45</formula>
    </cfRule>
  </conditionalFormatting>
  <conditionalFormatting sqref="AI45:AI46">
    <cfRule type="cellIs" dxfId="537" priority="106" operator="notEqual">
      <formula>$A45</formula>
    </cfRule>
    <cfRule type="cellIs" dxfId="536" priority="107" operator="equal">
      <formula>"""&lt;&gt;$A6"""</formula>
    </cfRule>
    <cfRule type="cellIs" dxfId="535" priority="108" operator="equal">
      <formula>"&lt;&gt;$A6"</formula>
    </cfRule>
    <cfRule type="cellIs" dxfId="534" priority="109" operator="equal">
      <formula>$A45</formula>
    </cfRule>
    <cfRule type="cellIs" dxfId="533" priority="110" operator="equal">
      <formula>$A45</formula>
    </cfRule>
  </conditionalFormatting>
  <conditionalFormatting sqref="AJ45:AJ46">
    <cfRule type="cellIs" dxfId="532" priority="101" operator="notEqual">
      <formula>$A45</formula>
    </cfRule>
    <cfRule type="cellIs" dxfId="531" priority="102" operator="equal">
      <formula>"""&lt;&gt;$A6"""</formula>
    </cfRule>
    <cfRule type="cellIs" dxfId="530" priority="103" operator="equal">
      <formula>"&lt;&gt;$A6"</formula>
    </cfRule>
    <cfRule type="cellIs" dxfId="529" priority="104" operator="equal">
      <formula>$A45</formula>
    </cfRule>
    <cfRule type="cellIs" dxfId="528" priority="105" operator="equal">
      <formula>$A45</formula>
    </cfRule>
  </conditionalFormatting>
  <conditionalFormatting sqref="AI51:AI61">
    <cfRule type="cellIs" dxfId="527" priority="96" operator="notEqual">
      <formula>$A51</formula>
    </cfRule>
    <cfRule type="cellIs" dxfId="526" priority="97" operator="equal">
      <formula>"""&lt;&gt;$A6"""</formula>
    </cfRule>
    <cfRule type="cellIs" dxfId="525" priority="98" operator="equal">
      <formula>"&lt;&gt;$A6"</formula>
    </cfRule>
    <cfRule type="cellIs" dxfId="524" priority="99" operator="equal">
      <formula>$A51</formula>
    </cfRule>
    <cfRule type="cellIs" dxfId="523" priority="100" operator="equal">
      <formula>$A51</formula>
    </cfRule>
  </conditionalFormatting>
  <conditionalFormatting sqref="AJ51:AJ61">
    <cfRule type="cellIs" dxfId="522" priority="86" operator="notEqual">
      <formula>$A51</formula>
    </cfRule>
    <cfRule type="cellIs" dxfId="521" priority="87" operator="equal">
      <formula>"""&lt;&gt;$A6"""</formula>
    </cfRule>
    <cfRule type="cellIs" dxfId="520" priority="88" operator="equal">
      <formula>"&lt;&gt;$A6"</formula>
    </cfRule>
    <cfRule type="cellIs" dxfId="519" priority="89" operator="equal">
      <formula>$A51</formula>
    </cfRule>
    <cfRule type="cellIs" dxfId="518" priority="90" operator="equal">
      <formula>$A51</formula>
    </cfRule>
  </conditionalFormatting>
  <conditionalFormatting sqref="AK51:AK61">
    <cfRule type="cellIs" dxfId="517" priority="81" operator="notEqual">
      <formula>$A51</formula>
    </cfRule>
    <cfRule type="cellIs" dxfId="516" priority="82" operator="equal">
      <formula>"""&lt;&gt;$A6"""</formula>
    </cfRule>
    <cfRule type="cellIs" dxfId="515" priority="83" operator="equal">
      <formula>"&lt;&gt;$A6"</formula>
    </cfRule>
    <cfRule type="cellIs" dxfId="514" priority="84" operator="equal">
      <formula>$A51</formula>
    </cfRule>
    <cfRule type="cellIs" dxfId="513" priority="85" operator="equal">
      <formula>$A51</formula>
    </cfRule>
  </conditionalFormatting>
  <conditionalFormatting sqref="BP96:BP98 BP100:BP101">
    <cfRule type="cellIs" dxfId="512" priority="76" operator="notEqual">
      <formula>$A96</formula>
    </cfRule>
    <cfRule type="cellIs" dxfId="511" priority="77" operator="equal">
      <formula>"""&lt;&gt;$A6"""</formula>
    </cfRule>
    <cfRule type="cellIs" dxfId="510" priority="78" operator="equal">
      <formula>"&lt;&gt;$A6"</formula>
    </cfRule>
    <cfRule type="cellIs" dxfId="509" priority="79" operator="equal">
      <formula>$A96</formula>
    </cfRule>
    <cfRule type="cellIs" dxfId="508" priority="80" operator="equal">
      <formula>$A96</formula>
    </cfRule>
  </conditionalFormatting>
  <conditionalFormatting sqref="BP68:BP83 BP85:BP95">
    <cfRule type="cellIs" dxfId="507" priority="71" operator="notEqual">
      <formula>$A68</formula>
    </cfRule>
    <cfRule type="cellIs" dxfId="506" priority="72" operator="equal">
      <formula>"""&lt;&gt;$A6"""</formula>
    </cfRule>
    <cfRule type="cellIs" dxfId="505" priority="73" operator="equal">
      <formula>"&lt;&gt;$A6"</formula>
    </cfRule>
    <cfRule type="cellIs" dxfId="504" priority="74" operator="equal">
      <formula>$A68</formula>
    </cfRule>
    <cfRule type="cellIs" dxfId="503" priority="75" operator="equal">
      <formula>$A68</formula>
    </cfRule>
  </conditionalFormatting>
  <conditionalFormatting sqref="BP99">
    <cfRule type="cellIs" dxfId="502" priority="66" operator="notEqual">
      <formula>$A99</formula>
    </cfRule>
    <cfRule type="cellIs" dxfId="501" priority="67" operator="equal">
      <formula>"""&lt;&gt;$A6"""</formula>
    </cfRule>
    <cfRule type="cellIs" dxfId="500" priority="68" operator="equal">
      <formula>"&lt;&gt;$A6"</formula>
    </cfRule>
    <cfRule type="cellIs" dxfId="499" priority="69" operator="equal">
      <formula>$A99</formula>
    </cfRule>
    <cfRule type="cellIs" dxfId="498" priority="70" operator="equal">
      <formula>$A99</formula>
    </cfRule>
  </conditionalFormatting>
  <conditionalFormatting sqref="BP84">
    <cfRule type="cellIs" dxfId="497" priority="61" operator="notEqual">
      <formula>$A84</formula>
    </cfRule>
    <cfRule type="cellIs" dxfId="496" priority="62" operator="equal">
      <formula>"""&lt;&gt;$A6"""</formula>
    </cfRule>
    <cfRule type="cellIs" dxfId="495" priority="63" operator="equal">
      <formula>"&lt;&gt;$A6"</formula>
    </cfRule>
    <cfRule type="cellIs" dxfId="494" priority="64" operator="equal">
      <formula>$A84</formula>
    </cfRule>
    <cfRule type="cellIs" dxfId="493" priority="65" operator="equal">
      <formula>$A84</formula>
    </cfRule>
  </conditionalFormatting>
  <conditionalFormatting sqref="BR96:BR98 BR100:BR101">
    <cfRule type="cellIs" dxfId="492" priority="36" operator="notEqual">
      <formula>$A96</formula>
    </cfRule>
    <cfRule type="cellIs" dxfId="491" priority="37" operator="equal">
      <formula>"""&lt;&gt;$A6"""</formula>
    </cfRule>
    <cfRule type="cellIs" dxfId="490" priority="38" operator="equal">
      <formula>"&lt;&gt;$A6"</formula>
    </cfRule>
    <cfRule type="cellIs" dxfId="489" priority="39" operator="equal">
      <formula>$A96</formula>
    </cfRule>
    <cfRule type="cellIs" dxfId="488" priority="40" operator="equal">
      <formula>$A96</formula>
    </cfRule>
  </conditionalFormatting>
  <conditionalFormatting sqref="BR68:BR83 BR85:BR95">
    <cfRule type="cellIs" dxfId="487" priority="31" operator="notEqual">
      <formula>$A68</formula>
    </cfRule>
    <cfRule type="cellIs" dxfId="486" priority="32" operator="equal">
      <formula>"""&lt;&gt;$A6"""</formula>
    </cfRule>
    <cfRule type="cellIs" dxfId="485" priority="33" operator="equal">
      <formula>"&lt;&gt;$A6"</formula>
    </cfRule>
    <cfRule type="cellIs" dxfId="484" priority="34" operator="equal">
      <formula>$A68</formula>
    </cfRule>
    <cfRule type="cellIs" dxfId="483" priority="35" operator="equal">
      <formula>$A68</formula>
    </cfRule>
  </conditionalFormatting>
  <conditionalFormatting sqref="BR99">
    <cfRule type="cellIs" dxfId="482" priority="26" operator="notEqual">
      <formula>$A99</formula>
    </cfRule>
    <cfRule type="cellIs" dxfId="481" priority="27" operator="equal">
      <formula>"""&lt;&gt;$A6"""</formula>
    </cfRule>
    <cfRule type="cellIs" dxfId="480" priority="28" operator="equal">
      <formula>"&lt;&gt;$A6"</formula>
    </cfRule>
    <cfRule type="cellIs" dxfId="479" priority="29" operator="equal">
      <formula>$A99</formula>
    </cfRule>
    <cfRule type="cellIs" dxfId="478" priority="30" operator="equal">
      <formula>$A99</formula>
    </cfRule>
  </conditionalFormatting>
  <conditionalFormatting sqref="BR84">
    <cfRule type="cellIs" dxfId="477" priority="21" operator="notEqual">
      <formula>$A84</formula>
    </cfRule>
    <cfRule type="cellIs" dxfId="476" priority="22" operator="equal">
      <formula>"""&lt;&gt;$A6"""</formula>
    </cfRule>
    <cfRule type="cellIs" dxfId="475" priority="23" operator="equal">
      <formula>"&lt;&gt;$A6"</formula>
    </cfRule>
    <cfRule type="cellIs" dxfId="474" priority="24" operator="equal">
      <formula>$A84</formula>
    </cfRule>
    <cfRule type="cellIs" dxfId="473" priority="25" operator="equal">
      <formula>$A84</formula>
    </cfRule>
  </conditionalFormatting>
  <conditionalFormatting sqref="BT96:BT98 BT100:BT101">
    <cfRule type="cellIs" dxfId="472" priority="16" operator="notEqual">
      <formula>$A96</formula>
    </cfRule>
    <cfRule type="cellIs" dxfId="471" priority="17" operator="equal">
      <formula>"""&lt;&gt;$A6"""</formula>
    </cfRule>
    <cfRule type="cellIs" dxfId="470" priority="18" operator="equal">
      <formula>"&lt;&gt;$A6"</formula>
    </cfRule>
    <cfRule type="cellIs" dxfId="469" priority="19" operator="equal">
      <formula>$A96</formula>
    </cfRule>
    <cfRule type="cellIs" dxfId="468" priority="20" operator="equal">
      <formula>$A96</formula>
    </cfRule>
  </conditionalFormatting>
  <conditionalFormatting sqref="BT68:BT83 BT85:BT95">
    <cfRule type="cellIs" dxfId="467" priority="11" operator="notEqual">
      <formula>$A68</formula>
    </cfRule>
    <cfRule type="cellIs" dxfId="466" priority="12" operator="equal">
      <formula>"""&lt;&gt;$A6"""</formula>
    </cfRule>
    <cfRule type="cellIs" dxfId="465" priority="13" operator="equal">
      <formula>"&lt;&gt;$A6"</formula>
    </cfRule>
    <cfRule type="cellIs" dxfId="464" priority="14" operator="equal">
      <formula>$A68</formula>
    </cfRule>
    <cfRule type="cellIs" dxfId="463" priority="15" operator="equal">
      <formula>$A68</formula>
    </cfRule>
  </conditionalFormatting>
  <conditionalFormatting sqref="BT99">
    <cfRule type="cellIs" dxfId="462" priority="6" operator="notEqual">
      <formula>$A99</formula>
    </cfRule>
    <cfRule type="cellIs" dxfId="461" priority="7" operator="equal">
      <formula>"""&lt;&gt;$A6"""</formula>
    </cfRule>
    <cfRule type="cellIs" dxfId="460" priority="8" operator="equal">
      <formula>"&lt;&gt;$A6"</formula>
    </cfRule>
    <cfRule type="cellIs" dxfId="459" priority="9" operator="equal">
      <formula>$A99</formula>
    </cfRule>
    <cfRule type="cellIs" dxfId="458" priority="10" operator="equal">
      <formula>$A99</formula>
    </cfRule>
  </conditionalFormatting>
  <conditionalFormatting sqref="BT84">
    <cfRule type="cellIs" dxfId="457" priority="1" operator="notEqual">
      <formula>$A84</formula>
    </cfRule>
    <cfRule type="cellIs" dxfId="456" priority="2" operator="equal">
      <formula>"""&lt;&gt;$A6"""</formula>
    </cfRule>
    <cfRule type="cellIs" dxfId="455" priority="3" operator="equal">
      <formula>"&lt;&gt;$A6"</formula>
    </cfRule>
    <cfRule type="cellIs" dxfId="454" priority="4" operator="equal">
      <formula>$A84</formula>
    </cfRule>
    <cfRule type="cellIs" dxfId="453" priority="5" operator="equal">
      <formula>$A84</formula>
    </cfRule>
  </conditionalFormatting>
  <dataValidations count="9">
    <dataValidation type="list" allowBlank="1" showInputMessage="1" showErrorMessage="1" sqref="C127 C46:AJ46" xr:uid="{00000000-0002-0000-0B00-000000000000}">
      <formula1>"Cash,Book"</formula1>
    </dataValidation>
    <dataValidation type="list" allowBlank="1" showInputMessage="1" showErrorMessage="1" sqref="C148 C107 C213" xr:uid="{00000000-0002-0000-0B00-000001000000}">
      <formula1>"Average Rate,Maximum Rate,Minimum Rate"</formula1>
    </dataValidation>
    <dataValidation type="list" allowBlank="1" showInputMessage="1" showErrorMessage="1" sqref="C150 C109 C215" xr:uid="{00000000-0002-0000-0B00-000002000000}">
      <formula1>"Subtraction,Division"</formula1>
    </dataValidation>
    <dataValidation type="list" allowBlank="1" showInputMessage="1" showErrorMessage="1" sqref="C154 C113 C219" xr:uid="{00000000-0002-0000-0B00-000003000000}">
      <formula1>"Greater Than,Less Than"</formula1>
    </dataValidation>
    <dataValidation type="list" allowBlank="1" showInputMessage="1" showErrorMessage="1" sqref="C34:D34" xr:uid="{00000000-0002-0000-0B00-000004000000}">
      <formula1>"Not Applicable,Annually,Semiannually,Quarterly,Monthly,At Asset Frequency"</formula1>
    </dataValidation>
    <dataValidation type="list" allowBlank="1" showInputMessage="1" showErrorMessage="1" sqref="C35:D35 H208 C226" xr:uid="{00000000-0002-0000-0B00-000005000000}">
      <formula1>"Pro Rata,Maximize Capital Gain,Longest Duration,Shortest Duration"</formula1>
    </dataValidation>
    <dataValidation type="list" allowBlank="1" showInputMessage="1" showErrorMessage="1" sqref="C36:D36" xr:uid="{00000000-0002-0000-0B00-000006000000}">
      <formula1>"No,Yes"</formula1>
    </dataValidation>
    <dataValidation type="list" allowBlank="1" showInputMessage="1" showErrorMessage="1" sqref="D208 C222" xr:uid="{00000000-0002-0000-0B00-000007000000}">
      <formula1>"Reduce Cash Balance To Threshold,Borrow To Threshold,Targeted Cash Balance"</formula1>
    </dataValidation>
    <dataValidation type="list" allowBlank="1" showInputMessage="1" showErrorMessage="1" sqref="C208 C221" xr:uid="{00000000-0002-0000-0B00-000008000000}">
      <formula1>"Borrow,Negative Assets,Sell Assets To Cover Negative Cash Balance"</formula1>
    </dataValidation>
  </dataValidations>
  <hyperlinks>
    <hyperlink ref="A1" location="'Table of Contents'!A1" display="Go to TOC" xr:uid="{00000000-0004-0000-0B00-000000000000}"/>
    <hyperlink ref="B21" location="InvStratAssetGrpInvTgtPct" display="[See below]" xr:uid="{00000000-0004-0000-0B00-000001000000}"/>
    <hyperlink ref="B24" location="InvStratPlanned" display="inv_strat_planned" xr:uid="{00000000-0004-0000-0B00-000002000000}"/>
    <hyperlink ref="B29" location="InvStratEconomic" display="[See below]" xr:uid="{00000000-0004-0000-0B00-000003000000}"/>
    <hyperlink ref="A42" location="'Table of Contents'!A1" display="Go to TOC" xr:uid="{00000000-0004-0000-0B00-000004000000}"/>
    <hyperlink ref="A48" location="'Table of Contents'!A1" display="Go to TOC" xr:uid="{00000000-0004-0000-0B00-000005000000}"/>
    <hyperlink ref="A64" location="'Table of Contents'!A1" display="Go to TOC" xr:uid="{00000000-0004-0000-0B00-000006000000}"/>
    <hyperlink ref="A104" location="'Table of Contents'!A1" display="Go to TOC" xr:uid="{00000000-0004-0000-0B00-000007000000}"/>
    <hyperlink ref="A43" location="Strategy!B20" display="Back To Main" xr:uid="{00000000-0004-0000-0B00-000008000000}"/>
    <hyperlink ref="A49" location="Strategy!B20" display="Back To Main" xr:uid="{00000000-0004-0000-0B00-000009000000}"/>
    <hyperlink ref="A65" location="Strategy!B20" display="Back To Main" xr:uid="{00000000-0004-0000-0B00-00000A000000}"/>
    <hyperlink ref="A105" location="Strategy!B29" display="Back To Main" xr:uid="{00000000-0004-0000-0B00-00000B000000}"/>
    <hyperlink ref="A170" location="'Table of Contents'!A1" display="Go to TOC" xr:uid="{00000000-0004-0000-0B00-00000C000000}"/>
    <hyperlink ref="A171" location="Strategy!B24" display="Back To Main" xr:uid="{00000000-0004-0000-0B00-00000D000000}"/>
    <hyperlink ref="A175" location="'Table of Contents'!A1" display="Go to TOC" xr:uid="{00000000-0004-0000-0B00-00000E000000}"/>
    <hyperlink ref="A176" location="Strategy!B20" display="Back To Main" xr:uid="{00000000-0004-0000-0B00-00000F000000}"/>
    <hyperlink ref="A181" location="'Table of Contents'!A1" display="Go to TOC" xr:uid="{00000000-0004-0000-0B00-000010000000}"/>
    <hyperlink ref="A182" location="Strategy!B20" display="Back To Main" xr:uid="{00000000-0004-0000-0B00-000011000000}"/>
    <hyperlink ref="A164" location="'Table of Contents'!A1" display="Go to TOC" xr:uid="{00000000-0004-0000-0B00-000012000000}"/>
    <hyperlink ref="A165" location="Strategy!B20" display="Back To Main" xr:uid="{00000000-0004-0000-0B00-000013000000}"/>
    <hyperlink ref="A186" location="'Table of Contents'!A1" display="Go to TOC" xr:uid="{00000000-0004-0000-0B00-000014000000}"/>
    <hyperlink ref="A187" location="Strategy!B29" display="Back To Main" xr:uid="{00000000-0004-0000-0B00-000015000000}"/>
    <hyperlink ref="A123" location="'Table of Contents'!A1" display="Go to TOC" xr:uid="{00000000-0004-0000-0B00-000016000000}"/>
    <hyperlink ref="A124" location="Strategy!B20" display="Back To Main" xr:uid="{00000000-0004-0000-0B00-000017000000}"/>
    <hyperlink ref="A129" location="'Table of Contents'!A1" display="Go to TOC" xr:uid="{00000000-0004-0000-0B00-000018000000}"/>
    <hyperlink ref="A130" location="Strategy!B20" display="Back To Main" xr:uid="{00000000-0004-0000-0B00-000019000000}"/>
    <hyperlink ref="A134" location="'Table of Contents'!A1" display="Go to TOC" xr:uid="{00000000-0004-0000-0B00-00001A000000}"/>
    <hyperlink ref="A135" location="Strategy!B20" display="Back To Main" xr:uid="{00000000-0004-0000-0B00-00001B000000}"/>
    <hyperlink ref="A140" location="'Table of Contents'!A1" display="Go to TOC" xr:uid="{00000000-0004-0000-0B00-00001C000000}"/>
    <hyperlink ref="A141" location="Strategy!B24" display="Back To Main" xr:uid="{00000000-0004-0000-0B00-00001D000000}"/>
    <hyperlink ref="A145" location="'Table of Contents'!A1" display="Go to TOC" xr:uid="{00000000-0004-0000-0B00-00001E000000}"/>
    <hyperlink ref="A146" location="Strategy!B29" display="Back To Main" xr:uid="{00000000-0004-0000-0B00-00001F000000}"/>
    <hyperlink ref="B25" location="NegCashFlowStratPlanned" display="neg_cash_flow_strat_planned" xr:uid="{00000000-0004-0000-0B00-000020000000}"/>
    <hyperlink ref="B31" location="NegCashFlowStratEconomic" display="neg_cash_flow_strat_economic" xr:uid="{00000000-0004-0000-0B00-000021000000}"/>
    <hyperlink ref="A205" location="'Table of Contents'!A1" display="Go to TOC" xr:uid="{00000000-0004-0000-0B00-000022000000}"/>
    <hyperlink ref="A206" location="Strategy!B25" display="Back To Main" xr:uid="{00000000-0004-0000-0B00-000023000000}"/>
    <hyperlink ref="A210" location="'Table of Contents'!A1" display="Go to TOC" xr:uid="{00000000-0004-0000-0B00-000024000000}"/>
    <hyperlink ref="A211" location="Strategy!B31" display="Back To Main" xr:uid="{00000000-0004-0000-0B00-000025000000}"/>
  </hyperlinks>
  <pageMargins left="0.7" right="0.7" top="0.75" bottom="0.75" header="0.3" footer="0.3"/>
  <pageSetup scale="1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AE64"/>
  <sheetViews>
    <sheetView showGridLine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1" sqref="B1:B1048576"/>
    </sheetView>
  </sheetViews>
  <sheetFormatPr defaultColWidth="15.5703125" defaultRowHeight="12.75" x14ac:dyDescent="0.2"/>
  <cols>
    <col min="1" max="1" width="15.5703125" style="24"/>
    <col min="2" max="2" width="34.5703125" style="20" customWidth="1"/>
    <col min="3" max="3" width="17.42578125" style="20" bestFit="1" customWidth="1"/>
    <col min="4" max="4" width="19.5703125" style="20" bestFit="1" customWidth="1"/>
    <col min="5" max="5" width="17.42578125" style="20" bestFit="1" customWidth="1"/>
    <col min="6" max="8" width="20.42578125" style="20" bestFit="1" customWidth="1"/>
    <col min="9" max="9" width="17.42578125" style="20" bestFit="1" customWidth="1"/>
    <col min="10" max="10" width="18.5703125" style="20" customWidth="1"/>
    <col min="11" max="11" width="19.42578125" style="20" customWidth="1"/>
    <col min="12" max="12" width="17.42578125" style="20" bestFit="1" customWidth="1"/>
    <col min="13" max="13" width="18.5703125" style="20" bestFit="1" customWidth="1"/>
    <col min="14" max="15" width="16.140625" style="20" bestFit="1" customWidth="1"/>
    <col min="16" max="16" width="17.42578125" style="20" bestFit="1" customWidth="1"/>
    <col min="17" max="17" width="18.5703125" style="20" bestFit="1" customWidth="1"/>
    <col min="18" max="18" width="17.42578125" style="20" bestFit="1" customWidth="1"/>
    <col min="19" max="19" width="19.5703125" style="20" bestFit="1" customWidth="1"/>
    <col min="20" max="20" width="17.42578125" style="20" bestFit="1" customWidth="1"/>
    <col min="21" max="21" width="18.42578125" style="20" bestFit="1" customWidth="1"/>
    <col min="22" max="22" width="19.5703125" style="20" bestFit="1" customWidth="1"/>
    <col min="23" max="23" width="20" style="20" bestFit="1" customWidth="1"/>
    <col min="24" max="24" width="17.42578125" style="20" bestFit="1" customWidth="1"/>
    <col min="25" max="25" width="18.42578125" style="20" bestFit="1" customWidth="1"/>
    <col min="26" max="26" width="19.5703125" style="20" customWidth="1"/>
    <col min="27" max="27" width="15.5703125" style="20"/>
    <col min="28" max="28" width="19.28515625" style="20" bestFit="1" customWidth="1"/>
    <col min="29" max="29" width="22.42578125" style="20" bestFit="1" customWidth="1"/>
    <col min="30" max="16384" width="15.5703125" style="20"/>
  </cols>
  <sheetData>
    <row r="1" spans="1:31" ht="15.75" x14ac:dyDescent="0.2">
      <c r="A1" s="23" t="s">
        <v>9</v>
      </c>
      <c r="B1" s="19" t="s">
        <v>225</v>
      </c>
    </row>
    <row r="3" spans="1:31" x14ac:dyDescent="0.2">
      <c r="B3" s="18" t="str">
        <f ca="1">GetNameRange(B4)</f>
        <v>PurchAssetsDefnBond</v>
      </c>
      <c r="E3" s="20" t="s">
        <v>754</v>
      </c>
      <c r="H3" s="20" t="s">
        <v>754</v>
      </c>
      <c r="N3" s="20" t="s">
        <v>754</v>
      </c>
      <c r="R3" s="20" t="s">
        <v>754</v>
      </c>
      <c r="Y3" s="20" t="s">
        <v>754</v>
      </c>
      <c r="Z3" s="20" t="s">
        <v>754</v>
      </c>
    </row>
    <row r="4" spans="1:31" x14ac:dyDescent="0.2">
      <c r="A4" s="154"/>
      <c r="B4" s="125" t="s">
        <v>88</v>
      </c>
      <c r="C4" s="161" t="s">
        <v>625</v>
      </c>
      <c r="D4" s="161" t="s">
        <v>626</v>
      </c>
      <c r="E4" s="161" t="s">
        <v>627</v>
      </c>
      <c r="F4" s="161" t="s">
        <v>628</v>
      </c>
      <c r="G4" s="161" t="s">
        <v>755</v>
      </c>
      <c r="H4" s="161" t="s">
        <v>629</v>
      </c>
      <c r="I4" s="161" t="s">
        <v>630</v>
      </c>
      <c r="J4" s="161" t="s">
        <v>631</v>
      </c>
      <c r="K4" s="161" t="s">
        <v>632</v>
      </c>
      <c r="L4" s="161" t="s">
        <v>633</v>
      </c>
      <c r="M4" s="161" t="s">
        <v>634</v>
      </c>
      <c r="N4" s="161" t="s">
        <v>635</v>
      </c>
      <c r="O4" s="161" t="s">
        <v>636</v>
      </c>
      <c r="P4" s="161" t="s">
        <v>637</v>
      </c>
      <c r="Q4" s="161" t="s">
        <v>638</v>
      </c>
      <c r="R4" s="161" t="s">
        <v>639</v>
      </c>
      <c r="S4" s="161" t="s">
        <v>640</v>
      </c>
      <c r="T4" s="161" t="s">
        <v>753</v>
      </c>
      <c r="U4" s="161" t="s">
        <v>671</v>
      </c>
      <c r="V4" s="161" t="s">
        <v>641</v>
      </c>
      <c r="W4" s="161" t="s">
        <v>642</v>
      </c>
      <c r="X4" s="161" t="s">
        <v>643</v>
      </c>
      <c r="Y4" s="161" t="s">
        <v>672</v>
      </c>
      <c r="Z4" s="161" t="s">
        <v>644</v>
      </c>
      <c r="AA4" s="161" t="s">
        <v>645</v>
      </c>
      <c r="AB4" s="161" t="s">
        <v>646</v>
      </c>
      <c r="AC4" s="161" t="s">
        <v>702</v>
      </c>
      <c r="AD4" s="161" t="s">
        <v>703</v>
      </c>
    </row>
    <row r="5" spans="1:31" x14ac:dyDescent="0.2">
      <c r="A5" s="76" t="s">
        <v>8</v>
      </c>
      <c r="B5" s="127" t="s">
        <v>0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/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</row>
    <row r="6" spans="1:31" x14ac:dyDescent="0.2">
      <c r="A6" s="86" t="s">
        <v>6</v>
      </c>
      <c r="B6" s="128" t="s">
        <v>514</v>
      </c>
      <c r="C6" s="180" t="s">
        <v>616</v>
      </c>
      <c r="D6" s="180" t="s">
        <v>617</v>
      </c>
      <c r="E6" s="180" t="s">
        <v>616</v>
      </c>
      <c r="F6" s="180" t="s">
        <v>619</v>
      </c>
      <c r="G6" s="180" t="s">
        <v>623</v>
      </c>
      <c r="H6" s="180" t="s">
        <v>617</v>
      </c>
      <c r="I6" s="180" t="s">
        <v>616</v>
      </c>
      <c r="J6" s="180" t="s">
        <v>620</v>
      </c>
      <c r="K6" s="180" t="s">
        <v>619</v>
      </c>
      <c r="L6" s="180" t="s">
        <v>623</v>
      </c>
      <c r="M6" s="180" t="s">
        <v>622</v>
      </c>
      <c r="N6" s="180" t="s">
        <v>617</v>
      </c>
      <c r="O6" s="180" t="s">
        <v>616</v>
      </c>
      <c r="P6" s="180" t="s">
        <v>623</v>
      </c>
      <c r="Q6" s="180" t="s">
        <v>622</v>
      </c>
      <c r="R6" s="180" t="s">
        <v>617</v>
      </c>
      <c r="S6" s="180" t="s">
        <v>616</v>
      </c>
      <c r="T6" s="180" t="s">
        <v>620</v>
      </c>
      <c r="U6" s="180" t="s">
        <v>619</v>
      </c>
      <c r="V6" s="180" t="s">
        <v>623</v>
      </c>
      <c r="W6" s="180" t="s">
        <v>622</v>
      </c>
      <c r="X6" s="180" t="s">
        <v>617</v>
      </c>
      <c r="Y6" s="180" t="s">
        <v>673</v>
      </c>
      <c r="Z6" s="180" t="s">
        <v>616</v>
      </c>
      <c r="AA6" s="180" t="s">
        <v>620</v>
      </c>
      <c r="AB6" s="180" t="s">
        <v>617</v>
      </c>
      <c r="AC6" s="180" t="s">
        <v>700</v>
      </c>
      <c r="AD6" s="180" t="s">
        <v>701</v>
      </c>
    </row>
    <row r="7" spans="1:31" x14ac:dyDescent="0.2">
      <c r="A7" s="86" t="s">
        <v>6</v>
      </c>
      <c r="B7" s="128" t="s">
        <v>53</v>
      </c>
      <c r="C7" s="180" t="s">
        <v>456</v>
      </c>
      <c r="D7" s="180" t="s">
        <v>615</v>
      </c>
      <c r="E7" s="180" t="s">
        <v>456</v>
      </c>
      <c r="F7" s="180" t="s">
        <v>468</v>
      </c>
      <c r="G7" s="180" t="s">
        <v>469</v>
      </c>
      <c r="H7" s="180" t="s">
        <v>615</v>
      </c>
      <c r="I7" s="180" t="s">
        <v>456</v>
      </c>
      <c r="J7" s="180" t="s">
        <v>467</v>
      </c>
      <c r="K7" s="180" t="s">
        <v>468</v>
      </c>
      <c r="L7" s="180" t="s">
        <v>469</v>
      </c>
      <c r="M7" s="180" t="s">
        <v>621</v>
      </c>
      <c r="N7" s="180" t="s">
        <v>615</v>
      </c>
      <c r="O7" s="180" t="s">
        <v>456</v>
      </c>
      <c r="P7" s="180" t="s">
        <v>469</v>
      </c>
      <c r="Q7" s="180" t="s">
        <v>621</v>
      </c>
      <c r="R7" s="180" t="s">
        <v>615</v>
      </c>
      <c r="S7" s="180" t="s">
        <v>456</v>
      </c>
      <c r="T7" s="180" t="s">
        <v>467</v>
      </c>
      <c r="U7" s="180" t="s">
        <v>468</v>
      </c>
      <c r="V7" s="180" t="s">
        <v>469</v>
      </c>
      <c r="W7" s="180" t="s">
        <v>621</v>
      </c>
      <c r="X7" s="180" t="s">
        <v>615</v>
      </c>
      <c r="Y7" s="180" t="s">
        <v>674</v>
      </c>
      <c r="Z7" s="180" t="s">
        <v>456</v>
      </c>
      <c r="AA7" s="180" t="s">
        <v>467</v>
      </c>
      <c r="AB7" s="180" t="s">
        <v>615</v>
      </c>
      <c r="AC7" s="180" t="s">
        <v>456</v>
      </c>
      <c r="AD7" s="180" t="s">
        <v>615</v>
      </c>
    </row>
    <row r="8" spans="1:31" x14ac:dyDescent="0.2">
      <c r="A8" s="86" t="s">
        <v>48</v>
      </c>
      <c r="B8" s="128" t="s">
        <v>54</v>
      </c>
      <c r="C8" s="180" t="s">
        <v>48</v>
      </c>
      <c r="D8" s="180" t="s">
        <v>48</v>
      </c>
      <c r="E8" s="180" t="s">
        <v>48</v>
      </c>
      <c r="F8" s="180" t="s">
        <v>48</v>
      </c>
      <c r="G8" s="180" t="s">
        <v>48</v>
      </c>
      <c r="H8" s="180" t="s">
        <v>48</v>
      </c>
      <c r="I8" s="180" t="s">
        <v>48</v>
      </c>
      <c r="J8" s="180" t="s">
        <v>48</v>
      </c>
      <c r="K8" s="180" t="s">
        <v>48</v>
      </c>
      <c r="L8" s="180" t="s">
        <v>48</v>
      </c>
      <c r="M8" s="180" t="s">
        <v>48</v>
      </c>
      <c r="N8" s="180" t="s">
        <v>48</v>
      </c>
      <c r="O8" s="180" t="s">
        <v>48</v>
      </c>
      <c r="P8" s="180" t="s">
        <v>48</v>
      </c>
      <c r="Q8" s="180" t="s">
        <v>48</v>
      </c>
      <c r="R8" s="180" t="s">
        <v>48</v>
      </c>
      <c r="S8" s="180" t="s">
        <v>48</v>
      </c>
      <c r="T8" s="180" t="s">
        <v>48</v>
      </c>
      <c r="U8" s="180" t="s">
        <v>48</v>
      </c>
      <c r="V8" s="180" t="s">
        <v>48</v>
      </c>
      <c r="W8" s="180" t="s">
        <v>48</v>
      </c>
      <c r="X8" s="180" t="s">
        <v>48</v>
      </c>
      <c r="Y8" s="180" t="s">
        <v>48</v>
      </c>
      <c r="Z8" s="180" t="s">
        <v>48</v>
      </c>
      <c r="AA8" s="180" t="s">
        <v>48</v>
      </c>
      <c r="AB8" s="180" t="s">
        <v>48</v>
      </c>
      <c r="AC8" s="180" t="s">
        <v>48</v>
      </c>
      <c r="AD8" s="180" t="s">
        <v>48</v>
      </c>
    </row>
    <row r="9" spans="1:31" x14ac:dyDescent="0.2">
      <c r="A9" s="86" t="s">
        <v>51</v>
      </c>
      <c r="B9" s="128" t="s">
        <v>55</v>
      </c>
      <c r="C9" s="184" t="s">
        <v>51</v>
      </c>
      <c r="D9" s="184" t="s">
        <v>51</v>
      </c>
      <c r="E9" s="184" t="s">
        <v>51</v>
      </c>
      <c r="F9" s="184" t="s">
        <v>51</v>
      </c>
      <c r="G9" s="184" t="s">
        <v>51</v>
      </c>
      <c r="H9" s="184" t="s">
        <v>51</v>
      </c>
      <c r="I9" s="184" t="s">
        <v>51</v>
      </c>
      <c r="J9" s="184" t="s">
        <v>51</v>
      </c>
      <c r="K9" s="184" t="s">
        <v>51</v>
      </c>
      <c r="L9" s="184" t="s">
        <v>51</v>
      </c>
      <c r="M9" s="184" t="s">
        <v>51</v>
      </c>
      <c r="N9" s="184" t="s">
        <v>51</v>
      </c>
      <c r="O9" s="337" t="s">
        <v>51</v>
      </c>
      <c r="P9" s="337" t="s">
        <v>51</v>
      </c>
      <c r="Q9" s="337" t="s">
        <v>51</v>
      </c>
      <c r="R9" s="337" t="s">
        <v>51</v>
      </c>
      <c r="S9" s="337" t="s">
        <v>51</v>
      </c>
      <c r="T9" s="184" t="s">
        <v>51</v>
      </c>
      <c r="U9" s="184" t="s">
        <v>51</v>
      </c>
      <c r="V9" s="184" t="s">
        <v>51</v>
      </c>
      <c r="W9" s="184" t="s">
        <v>51</v>
      </c>
      <c r="X9" s="184" t="s">
        <v>51</v>
      </c>
      <c r="Y9" s="184" t="s">
        <v>51</v>
      </c>
      <c r="Z9" s="184" t="s">
        <v>51</v>
      </c>
      <c r="AA9" s="184" t="s">
        <v>51</v>
      </c>
      <c r="AB9" s="184" t="s">
        <v>51</v>
      </c>
      <c r="AC9" s="184" t="s">
        <v>51</v>
      </c>
      <c r="AD9" s="184" t="s">
        <v>51</v>
      </c>
    </row>
    <row r="10" spans="1:31" x14ac:dyDescent="0.2">
      <c r="A10" s="86">
        <v>0</v>
      </c>
      <c r="B10" s="128" t="s">
        <v>56</v>
      </c>
      <c r="C10" s="180">
        <v>2</v>
      </c>
      <c r="D10" s="180">
        <v>2</v>
      </c>
      <c r="E10" s="180">
        <v>3</v>
      </c>
      <c r="F10" s="180">
        <v>3</v>
      </c>
      <c r="G10" s="180">
        <v>3</v>
      </c>
      <c r="H10" s="180">
        <v>3</v>
      </c>
      <c r="I10" s="180">
        <v>5</v>
      </c>
      <c r="J10" s="180">
        <v>5</v>
      </c>
      <c r="K10" s="180">
        <v>5</v>
      </c>
      <c r="L10" s="180">
        <v>5</v>
      </c>
      <c r="M10" s="180">
        <v>5</v>
      </c>
      <c r="N10" s="180">
        <v>5</v>
      </c>
      <c r="O10" s="180">
        <v>7</v>
      </c>
      <c r="P10" s="180">
        <v>7</v>
      </c>
      <c r="Q10" s="180">
        <v>7</v>
      </c>
      <c r="R10" s="180">
        <v>7</v>
      </c>
      <c r="S10" s="180">
        <v>10</v>
      </c>
      <c r="T10" s="180">
        <v>10</v>
      </c>
      <c r="U10" s="180">
        <v>10</v>
      </c>
      <c r="V10" s="180">
        <v>10</v>
      </c>
      <c r="W10" s="180">
        <v>10</v>
      </c>
      <c r="X10" s="180">
        <v>10</v>
      </c>
      <c r="Y10" s="180">
        <v>10</v>
      </c>
      <c r="Z10" s="180">
        <v>30</v>
      </c>
      <c r="AA10" s="180">
        <v>30</v>
      </c>
      <c r="AB10" s="180">
        <v>30</v>
      </c>
      <c r="AC10" s="180">
        <v>20</v>
      </c>
      <c r="AD10" s="180">
        <v>20</v>
      </c>
    </row>
    <row r="11" spans="1:31" x14ac:dyDescent="0.2">
      <c r="A11" s="90">
        <v>1</v>
      </c>
      <c r="B11" s="157" t="s">
        <v>551</v>
      </c>
      <c r="C11" s="147">
        <v>1</v>
      </c>
      <c r="D11" s="147">
        <v>1</v>
      </c>
      <c r="E11" s="147">
        <v>1</v>
      </c>
      <c r="F11" s="147">
        <v>1</v>
      </c>
      <c r="G11" s="147">
        <v>1</v>
      </c>
      <c r="H11" s="147">
        <v>1</v>
      </c>
      <c r="I11" s="147">
        <v>1</v>
      </c>
      <c r="J11" s="147">
        <v>1</v>
      </c>
      <c r="K11" s="147">
        <v>1</v>
      </c>
      <c r="L11" s="147">
        <v>1</v>
      </c>
      <c r="M11" s="147">
        <v>1</v>
      </c>
      <c r="N11" s="147">
        <v>1</v>
      </c>
      <c r="O11" s="147">
        <v>1</v>
      </c>
      <c r="P11" s="147">
        <v>1</v>
      </c>
      <c r="Q11" s="147">
        <v>1</v>
      </c>
      <c r="R11" s="147">
        <v>1</v>
      </c>
      <c r="S11" s="147">
        <v>1</v>
      </c>
      <c r="T11" s="147">
        <v>1</v>
      </c>
      <c r="U11" s="147">
        <v>1</v>
      </c>
      <c r="V11" s="147">
        <v>1</v>
      </c>
      <c r="W11" s="147">
        <v>1</v>
      </c>
      <c r="X11" s="147">
        <v>1</v>
      </c>
      <c r="Y11" s="147">
        <v>1</v>
      </c>
      <c r="Z11" s="147">
        <v>1</v>
      </c>
      <c r="AA11" s="147">
        <v>1</v>
      </c>
      <c r="AB11" s="147">
        <v>1</v>
      </c>
      <c r="AC11" s="147">
        <v>1</v>
      </c>
      <c r="AD11" s="147">
        <v>1</v>
      </c>
    </row>
    <row r="12" spans="1:31" x14ac:dyDescent="0.2">
      <c r="A12" s="86" t="s">
        <v>85</v>
      </c>
      <c r="B12" s="128" t="s">
        <v>57</v>
      </c>
      <c r="C12" s="293" t="s">
        <v>150</v>
      </c>
      <c r="D12" s="293" t="s">
        <v>150</v>
      </c>
      <c r="E12" s="293" t="s">
        <v>150</v>
      </c>
      <c r="F12" s="293" t="s">
        <v>150</v>
      </c>
      <c r="G12" s="293" t="s">
        <v>150</v>
      </c>
      <c r="H12" s="293" t="s">
        <v>150</v>
      </c>
      <c r="I12" s="293" t="s">
        <v>150</v>
      </c>
      <c r="J12" s="293" t="s">
        <v>150</v>
      </c>
      <c r="K12" s="293" t="s">
        <v>150</v>
      </c>
      <c r="L12" s="293" t="s">
        <v>150</v>
      </c>
      <c r="M12" s="293" t="s">
        <v>150</v>
      </c>
      <c r="N12" s="293" t="s">
        <v>150</v>
      </c>
      <c r="O12" s="293" t="s">
        <v>150</v>
      </c>
      <c r="P12" s="293" t="s">
        <v>150</v>
      </c>
      <c r="Q12" s="293" t="s">
        <v>150</v>
      </c>
      <c r="R12" s="293" t="s">
        <v>150</v>
      </c>
      <c r="S12" s="293" t="s">
        <v>150</v>
      </c>
      <c r="T12" s="293" t="s">
        <v>150</v>
      </c>
      <c r="U12" s="293" t="s">
        <v>150</v>
      </c>
      <c r="V12" s="293" t="s">
        <v>150</v>
      </c>
      <c r="W12" s="293" t="s">
        <v>150</v>
      </c>
      <c r="X12" s="293" t="s">
        <v>150</v>
      </c>
      <c r="Y12" s="293" t="s">
        <v>150</v>
      </c>
      <c r="Z12" s="293" t="s">
        <v>150</v>
      </c>
      <c r="AA12" s="293" t="s">
        <v>150</v>
      </c>
      <c r="AB12" s="293" t="s">
        <v>150</v>
      </c>
      <c r="AC12" s="293" t="s">
        <v>150</v>
      </c>
      <c r="AD12" s="293" t="s">
        <v>150</v>
      </c>
      <c r="AE12" s="295" t="s">
        <v>85</v>
      </c>
    </row>
    <row r="13" spans="1:31" x14ac:dyDescent="0.2">
      <c r="A13" s="86" t="s">
        <v>86</v>
      </c>
      <c r="B13" s="128" t="s">
        <v>58</v>
      </c>
      <c r="C13" s="180" t="s">
        <v>86</v>
      </c>
      <c r="D13" s="180" t="s">
        <v>86</v>
      </c>
      <c r="E13" s="180" t="s">
        <v>86</v>
      </c>
      <c r="F13" s="180" t="s">
        <v>86</v>
      </c>
      <c r="G13" s="180" t="s">
        <v>86</v>
      </c>
      <c r="H13" s="180" t="s">
        <v>86</v>
      </c>
      <c r="I13" s="180" t="s">
        <v>86</v>
      </c>
      <c r="J13" s="180" t="s">
        <v>86</v>
      </c>
      <c r="K13" s="180" t="s">
        <v>86</v>
      </c>
      <c r="L13" s="180" t="s">
        <v>86</v>
      </c>
      <c r="M13" s="180" t="s">
        <v>86</v>
      </c>
      <c r="N13" s="180" t="s">
        <v>86</v>
      </c>
      <c r="O13" s="180" t="s">
        <v>86</v>
      </c>
      <c r="P13" s="180" t="s">
        <v>86</v>
      </c>
      <c r="Q13" s="180" t="s">
        <v>86</v>
      </c>
      <c r="R13" s="180" t="s">
        <v>86</v>
      </c>
      <c r="S13" s="180" t="s">
        <v>86</v>
      </c>
      <c r="T13" s="180" t="s">
        <v>86</v>
      </c>
      <c r="U13" s="180" t="s">
        <v>86</v>
      </c>
      <c r="V13" s="180" t="s">
        <v>86</v>
      </c>
      <c r="W13" s="180" t="s">
        <v>86</v>
      </c>
      <c r="X13" s="180" t="s">
        <v>86</v>
      </c>
      <c r="Y13" s="180" t="s">
        <v>86</v>
      </c>
      <c r="Z13" s="180" t="s">
        <v>86</v>
      </c>
      <c r="AA13" s="180" t="s">
        <v>86</v>
      </c>
      <c r="AB13" s="180" t="s">
        <v>86</v>
      </c>
      <c r="AC13" s="180" t="s">
        <v>86</v>
      </c>
      <c r="AD13" s="180" t="s">
        <v>86</v>
      </c>
    </row>
    <row r="14" spans="1:31" x14ac:dyDescent="0.2">
      <c r="A14" s="90">
        <v>0</v>
      </c>
      <c r="B14" s="157" t="s">
        <v>59</v>
      </c>
      <c r="C14" s="147">
        <v>0</v>
      </c>
      <c r="D14" s="147">
        <v>0</v>
      </c>
      <c r="E14" s="147">
        <v>0</v>
      </c>
      <c r="F14" s="147">
        <v>0</v>
      </c>
      <c r="G14" s="147">
        <v>0</v>
      </c>
      <c r="H14" s="147">
        <v>0</v>
      </c>
      <c r="I14" s="147">
        <v>0</v>
      </c>
      <c r="J14" s="147">
        <v>0</v>
      </c>
      <c r="K14" s="147">
        <v>0</v>
      </c>
      <c r="L14" s="147">
        <v>0</v>
      </c>
      <c r="M14" s="147">
        <v>0</v>
      </c>
      <c r="N14" s="147">
        <v>0</v>
      </c>
      <c r="O14" s="147">
        <v>0</v>
      </c>
      <c r="P14" s="147">
        <v>0</v>
      </c>
      <c r="Q14" s="147">
        <v>0</v>
      </c>
      <c r="R14" s="147">
        <v>0</v>
      </c>
      <c r="S14" s="147">
        <v>0</v>
      </c>
      <c r="T14" s="147">
        <v>0</v>
      </c>
      <c r="U14" s="147">
        <v>0</v>
      </c>
      <c r="V14" s="147">
        <v>0</v>
      </c>
      <c r="W14" s="147">
        <v>0</v>
      </c>
      <c r="X14" s="147">
        <v>0</v>
      </c>
      <c r="Y14" s="147">
        <v>0</v>
      </c>
      <c r="Z14" s="147">
        <v>0</v>
      </c>
      <c r="AA14" s="147">
        <v>0</v>
      </c>
      <c r="AB14" s="147">
        <v>0</v>
      </c>
      <c r="AC14" s="147">
        <v>0</v>
      </c>
      <c r="AD14" s="147">
        <v>0</v>
      </c>
    </row>
    <row r="15" spans="1:31" x14ac:dyDescent="0.2">
      <c r="A15" s="90" t="s">
        <v>52</v>
      </c>
      <c r="B15" s="128" t="s">
        <v>510</v>
      </c>
      <c r="C15" s="293" t="s">
        <v>456</v>
      </c>
      <c r="D15" s="293" t="s">
        <v>615</v>
      </c>
      <c r="E15" s="293" t="s">
        <v>456</v>
      </c>
      <c r="F15" s="293" t="s">
        <v>468</v>
      </c>
      <c r="G15" s="293" t="s">
        <v>469</v>
      </c>
      <c r="H15" s="293" t="s">
        <v>615</v>
      </c>
      <c r="I15" s="293" t="s">
        <v>456</v>
      </c>
      <c r="J15" s="293" t="s">
        <v>467</v>
      </c>
      <c r="K15" s="293" t="s">
        <v>468</v>
      </c>
      <c r="L15" s="293" t="s">
        <v>469</v>
      </c>
      <c r="M15" s="293" t="s">
        <v>621</v>
      </c>
      <c r="N15" s="293" t="s">
        <v>615</v>
      </c>
      <c r="O15" s="293" t="s">
        <v>456</v>
      </c>
      <c r="P15" s="293" t="s">
        <v>469</v>
      </c>
      <c r="Q15" s="293" t="s">
        <v>621</v>
      </c>
      <c r="R15" s="293" t="s">
        <v>615</v>
      </c>
      <c r="S15" s="293" t="s">
        <v>456</v>
      </c>
      <c r="T15" s="293" t="s">
        <v>467</v>
      </c>
      <c r="U15" s="293" t="s">
        <v>468</v>
      </c>
      <c r="V15" s="293" t="s">
        <v>469</v>
      </c>
      <c r="W15" s="293" t="s">
        <v>621</v>
      </c>
      <c r="X15" s="293" t="s">
        <v>615</v>
      </c>
      <c r="Y15" s="293" t="s">
        <v>674</v>
      </c>
      <c r="Z15" s="293" t="s">
        <v>456</v>
      </c>
      <c r="AA15" s="293" t="s">
        <v>467</v>
      </c>
      <c r="AB15" s="293" t="s">
        <v>615</v>
      </c>
      <c r="AC15" s="293" t="s">
        <v>456</v>
      </c>
      <c r="AD15" s="293" t="s">
        <v>615</v>
      </c>
    </row>
    <row r="16" spans="1:31" x14ac:dyDescent="0.2">
      <c r="A16" s="86">
        <v>0.25</v>
      </c>
      <c r="B16" s="128" t="s">
        <v>60</v>
      </c>
      <c r="C16" s="294">
        <f>C10</f>
        <v>2</v>
      </c>
      <c r="D16" s="294">
        <f t="shared" ref="D16:AD16" si="0">D10</f>
        <v>2</v>
      </c>
      <c r="E16" s="294">
        <f t="shared" si="0"/>
        <v>3</v>
      </c>
      <c r="F16" s="294">
        <f t="shared" si="0"/>
        <v>3</v>
      </c>
      <c r="G16" s="294">
        <v>3</v>
      </c>
      <c r="H16" s="294">
        <f t="shared" si="0"/>
        <v>3</v>
      </c>
      <c r="I16" s="294">
        <f t="shared" si="0"/>
        <v>5</v>
      </c>
      <c r="J16" s="294">
        <f t="shared" si="0"/>
        <v>5</v>
      </c>
      <c r="K16" s="294">
        <f t="shared" si="0"/>
        <v>5</v>
      </c>
      <c r="L16" s="294">
        <f t="shared" si="0"/>
        <v>5</v>
      </c>
      <c r="M16" s="294">
        <f t="shared" si="0"/>
        <v>5</v>
      </c>
      <c r="N16" s="294">
        <f t="shared" si="0"/>
        <v>5</v>
      </c>
      <c r="O16" s="294">
        <f t="shared" si="0"/>
        <v>7</v>
      </c>
      <c r="P16" s="294">
        <f t="shared" si="0"/>
        <v>7</v>
      </c>
      <c r="Q16" s="294">
        <f t="shared" si="0"/>
        <v>7</v>
      </c>
      <c r="R16" s="294">
        <f t="shared" si="0"/>
        <v>7</v>
      </c>
      <c r="S16" s="294">
        <f t="shared" si="0"/>
        <v>10</v>
      </c>
      <c r="T16" s="294">
        <f t="shared" ref="T16" si="1">T10</f>
        <v>10</v>
      </c>
      <c r="U16" s="294">
        <f t="shared" si="0"/>
        <v>10</v>
      </c>
      <c r="V16" s="294">
        <f t="shared" si="0"/>
        <v>10</v>
      </c>
      <c r="W16" s="294">
        <f t="shared" si="0"/>
        <v>10</v>
      </c>
      <c r="X16" s="294">
        <f t="shared" si="0"/>
        <v>10</v>
      </c>
      <c r="Y16" s="294">
        <f t="shared" si="0"/>
        <v>10</v>
      </c>
      <c r="Z16" s="294">
        <f t="shared" si="0"/>
        <v>30</v>
      </c>
      <c r="AA16" s="294">
        <f t="shared" si="0"/>
        <v>30</v>
      </c>
      <c r="AB16" s="294">
        <f t="shared" ref="AB16:AC16" si="2">AB10</f>
        <v>30</v>
      </c>
      <c r="AC16" s="294">
        <f t="shared" si="2"/>
        <v>20</v>
      </c>
      <c r="AD16" s="294">
        <f t="shared" si="0"/>
        <v>20</v>
      </c>
      <c r="AE16" s="186">
        <v>0.25</v>
      </c>
    </row>
    <row r="17" spans="1:30" x14ac:dyDescent="0.2">
      <c r="A17" s="88">
        <v>1</v>
      </c>
      <c r="B17" s="158" t="s">
        <v>61</v>
      </c>
      <c r="C17" s="184">
        <v>1</v>
      </c>
      <c r="D17" s="184">
        <v>1</v>
      </c>
      <c r="E17" s="184">
        <v>1</v>
      </c>
      <c r="F17" s="184">
        <v>1</v>
      </c>
      <c r="G17" s="184">
        <v>1</v>
      </c>
      <c r="H17" s="184">
        <v>1</v>
      </c>
      <c r="I17" s="184">
        <v>1</v>
      </c>
      <c r="J17" s="184">
        <v>1</v>
      </c>
      <c r="K17" s="184">
        <v>1</v>
      </c>
      <c r="L17" s="184">
        <v>1</v>
      </c>
      <c r="M17" s="184">
        <v>1</v>
      </c>
      <c r="N17" s="184">
        <v>1</v>
      </c>
      <c r="O17" s="184">
        <v>1</v>
      </c>
      <c r="P17" s="184">
        <v>1</v>
      </c>
      <c r="Q17" s="184">
        <v>1</v>
      </c>
      <c r="R17" s="184">
        <v>1</v>
      </c>
      <c r="S17" s="184">
        <v>1</v>
      </c>
      <c r="T17" s="184">
        <v>1</v>
      </c>
      <c r="U17" s="184">
        <v>1</v>
      </c>
      <c r="V17" s="184">
        <v>1</v>
      </c>
      <c r="W17" s="184">
        <v>1</v>
      </c>
      <c r="X17" s="184">
        <v>1</v>
      </c>
      <c r="Y17" s="184">
        <v>1</v>
      </c>
      <c r="Z17" s="184">
        <v>1</v>
      </c>
      <c r="AA17" s="184">
        <v>1</v>
      </c>
      <c r="AB17" s="184">
        <v>1</v>
      </c>
      <c r="AC17" s="184">
        <v>1</v>
      </c>
      <c r="AD17" s="184">
        <v>1</v>
      </c>
    </row>
    <row r="18" spans="1:30" x14ac:dyDescent="0.2">
      <c r="A18" s="90">
        <v>0</v>
      </c>
      <c r="B18" s="157" t="s">
        <v>689</v>
      </c>
      <c r="C18" s="147">
        <v>0</v>
      </c>
      <c r="D18" s="147">
        <v>0</v>
      </c>
      <c r="E18" s="147">
        <v>0</v>
      </c>
      <c r="F18" s="147">
        <v>0</v>
      </c>
      <c r="G18" s="147">
        <v>0</v>
      </c>
      <c r="H18" s="147">
        <v>0</v>
      </c>
      <c r="I18" s="147">
        <v>0</v>
      </c>
      <c r="J18" s="147">
        <v>0</v>
      </c>
      <c r="K18" s="147">
        <v>0</v>
      </c>
      <c r="L18" s="147">
        <v>0</v>
      </c>
      <c r="M18" s="147">
        <v>0</v>
      </c>
      <c r="N18" s="147">
        <v>0</v>
      </c>
      <c r="O18" s="147">
        <v>0</v>
      </c>
      <c r="P18" s="147">
        <v>0</v>
      </c>
      <c r="Q18" s="147">
        <v>0</v>
      </c>
      <c r="R18" s="147">
        <v>0</v>
      </c>
      <c r="S18" s="147">
        <v>0</v>
      </c>
      <c r="T18" s="147">
        <v>0</v>
      </c>
      <c r="U18" s="147">
        <v>0</v>
      </c>
      <c r="V18" s="147">
        <v>0</v>
      </c>
      <c r="W18" s="147">
        <v>0</v>
      </c>
      <c r="X18" s="147">
        <v>0</v>
      </c>
      <c r="Y18" s="147">
        <v>0</v>
      </c>
      <c r="Z18" s="147">
        <v>0</v>
      </c>
      <c r="AA18" s="147">
        <v>0</v>
      </c>
      <c r="AB18" s="147">
        <v>0</v>
      </c>
      <c r="AC18" s="147">
        <v>0</v>
      </c>
      <c r="AD18" s="147">
        <v>0</v>
      </c>
    </row>
    <row r="19" spans="1:30" x14ac:dyDescent="0.2">
      <c r="A19" s="90">
        <v>0</v>
      </c>
      <c r="B19" s="157" t="s">
        <v>761</v>
      </c>
      <c r="C19" s="147">
        <v>0</v>
      </c>
      <c r="D19" s="147">
        <v>0</v>
      </c>
      <c r="E19" s="147">
        <v>0</v>
      </c>
      <c r="F19" s="147">
        <v>0</v>
      </c>
      <c r="G19" s="147">
        <v>0</v>
      </c>
      <c r="H19" s="147">
        <v>0</v>
      </c>
      <c r="I19" s="147">
        <v>0</v>
      </c>
      <c r="J19" s="147">
        <v>0</v>
      </c>
      <c r="K19" s="147">
        <v>0</v>
      </c>
      <c r="L19" s="147">
        <v>0</v>
      </c>
      <c r="M19" s="147">
        <v>0</v>
      </c>
      <c r="N19" s="147">
        <v>0</v>
      </c>
      <c r="O19" s="147">
        <v>0</v>
      </c>
      <c r="P19" s="147">
        <v>0</v>
      </c>
      <c r="Q19" s="147">
        <v>0</v>
      </c>
      <c r="R19" s="147">
        <v>0</v>
      </c>
      <c r="S19" s="147">
        <v>0</v>
      </c>
      <c r="T19" s="147">
        <v>0</v>
      </c>
      <c r="U19" s="147">
        <v>0</v>
      </c>
      <c r="V19" s="147">
        <v>0</v>
      </c>
      <c r="W19" s="147">
        <v>0</v>
      </c>
      <c r="X19" s="147">
        <v>0</v>
      </c>
      <c r="Y19" s="147">
        <v>0</v>
      </c>
      <c r="Z19" s="147">
        <v>0</v>
      </c>
      <c r="AA19" s="147">
        <v>0</v>
      </c>
      <c r="AB19" s="147">
        <v>0</v>
      </c>
      <c r="AC19" s="147">
        <v>0</v>
      </c>
      <c r="AD19" s="147">
        <v>0</v>
      </c>
    </row>
    <row r="20" spans="1:30" x14ac:dyDescent="0.2">
      <c r="A20" s="86">
        <v>1</v>
      </c>
      <c r="B20" s="128" t="s">
        <v>62</v>
      </c>
      <c r="C20" s="180">
        <v>1</v>
      </c>
      <c r="D20" s="180">
        <v>1</v>
      </c>
      <c r="E20" s="180">
        <v>1</v>
      </c>
      <c r="F20" s="180">
        <v>1</v>
      </c>
      <c r="G20" s="180">
        <v>1</v>
      </c>
      <c r="H20" s="180">
        <v>1</v>
      </c>
      <c r="I20" s="180">
        <v>1</v>
      </c>
      <c r="J20" s="180">
        <v>1</v>
      </c>
      <c r="K20" s="180">
        <v>1</v>
      </c>
      <c r="L20" s="180">
        <v>1</v>
      </c>
      <c r="M20" s="180">
        <v>1</v>
      </c>
      <c r="N20" s="180">
        <v>1</v>
      </c>
      <c r="O20" s="180">
        <v>1</v>
      </c>
      <c r="P20" s="180">
        <v>1</v>
      </c>
      <c r="Q20" s="180">
        <v>1</v>
      </c>
      <c r="R20" s="180">
        <v>1</v>
      </c>
      <c r="S20" s="180">
        <v>1</v>
      </c>
      <c r="T20" s="180">
        <v>1</v>
      </c>
      <c r="U20" s="180">
        <v>1</v>
      </c>
      <c r="V20" s="180">
        <v>1</v>
      </c>
      <c r="W20" s="180">
        <v>1</v>
      </c>
      <c r="X20" s="180">
        <v>1</v>
      </c>
      <c r="Y20" s="180">
        <v>1</v>
      </c>
      <c r="Z20" s="180">
        <v>1</v>
      </c>
      <c r="AA20" s="180">
        <v>1</v>
      </c>
      <c r="AB20" s="180">
        <v>1</v>
      </c>
      <c r="AC20" s="180">
        <v>1</v>
      </c>
      <c r="AD20" s="180">
        <v>1</v>
      </c>
    </row>
    <row r="21" spans="1:30" x14ac:dyDescent="0.2">
      <c r="A21" s="90">
        <v>1</v>
      </c>
      <c r="B21" s="157" t="s">
        <v>63</v>
      </c>
      <c r="C21" s="147">
        <v>1</v>
      </c>
      <c r="D21" s="147">
        <v>1</v>
      </c>
      <c r="E21" s="147">
        <v>1</v>
      </c>
      <c r="F21" s="147">
        <v>1</v>
      </c>
      <c r="G21" s="147">
        <v>1</v>
      </c>
      <c r="H21" s="147">
        <v>1</v>
      </c>
      <c r="I21" s="147">
        <v>1</v>
      </c>
      <c r="J21" s="147">
        <v>1</v>
      </c>
      <c r="K21" s="147">
        <v>1</v>
      </c>
      <c r="L21" s="147">
        <v>1</v>
      </c>
      <c r="M21" s="147">
        <v>1</v>
      </c>
      <c r="N21" s="147">
        <v>1</v>
      </c>
      <c r="O21" s="147">
        <v>1</v>
      </c>
      <c r="P21" s="147">
        <v>1</v>
      </c>
      <c r="Q21" s="147">
        <v>1</v>
      </c>
      <c r="R21" s="147">
        <v>1</v>
      </c>
      <c r="S21" s="147">
        <v>1</v>
      </c>
      <c r="T21" s="147">
        <v>1</v>
      </c>
      <c r="U21" s="147">
        <v>1</v>
      </c>
      <c r="V21" s="147">
        <v>1</v>
      </c>
      <c r="W21" s="147">
        <v>1</v>
      </c>
      <c r="X21" s="147">
        <v>1</v>
      </c>
      <c r="Y21" s="147">
        <v>1</v>
      </c>
      <c r="Z21" s="147">
        <v>1</v>
      </c>
      <c r="AA21" s="147">
        <v>1</v>
      </c>
      <c r="AB21" s="147">
        <v>1</v>
      </c>
      <c r="AC21" s="147">
        <v>1</v>
      </c>
      <c r="AD21" s="147">
        <v>1</v>
      </c>
    </row>
    <row r="22" spans="1:30" x14ac:dyDescent="0.2">
      <c r="A22" s="90">
        <v>1</v>
      </c>
      <c r="B22" s="157" t="s">
        <v>64</v>
      </c>
      <c r="C22" s="147">
        <v>1</v>
      </c>
      <c r="D22" s="147">
        <v>1</v>
      </c>
      <c r="E22" s="147">
        <v>1</v>
      </c>
      <c r="F22" s="147">
        <v>1</v>
      </c>
      <c r="G22" s="147">
        <v>1</v>
      </c>
      <c r="H22" s="147">
        <v>1</v>
      </c>
      <c r="I22" s="147">
        <v>1</v>
      </c>
      <c r="J22" s="147">
        <v>1</v>
      </c>
      <c r="K22" s="147">
        <v>1</v>
      </c>
      <c r="L22" s="147">
        <v>1</v>
      </c>
      <c r="M22" s="147">
        <v>1</v>
      </c>
      <c r="N22" s="147">
        <v>1</v>
      </c>
      <c r="O22" s="147">
        <v>1</v>
      </c>
      <c r="P22" s="147">
        <v>1</v>
      </c>
      <c r="Q22" s="147">
        <v>1</v>
      </c>
      <c r="R22" s="147">
        <v>1</v>
      </c>
      <c r="S22" s="147">
        <v>1</v>
      </c>
      <c r="T22" s="147">
        <v>1</v>
      </c>
      <c r="U22" s="147">
        <v>1</v>
      </c>
      <c r="V22" s="147">
        <v>1</v>
      </c>
      <c r="W22" s="147">
        <v>1</v>
      </c>
      <c r="X22" s="147">
        <v>1</v>
      </c>
      <c r="Y22" s="147">
        <v>1</v>
      </c>
      <c r="Z22" s="147">
        <v>1</v>
      </c>
      <c r="AA22" s="147">
        <v>1</v>
      </c>
      <c r="AB22" s="147">
        <v>1</v>
      </c>
      <c r="AC22" s="147">
        <v>1</v>
      </c>
      <c r="AD22" s="147">
        <v>1</v>
      </c>
    </row>
    <row r="23" spans="1:30" x14ac:dyDescent="0.2">
      <c r="A23" s="90">
        <v>1</v>
      </c>
      <c r="B23" s="157" t="s">
        <v>65</v>
      </c>
      <c r="C23" s="147">
        <v>1</v>
      </c>
      <c r="D23" s="147">
        <v>1</v>
      </c>
      <c r="E23" s="147">
        <v>1</v>
      </c>
      <c r="F23" s="147">
        <v>1</v>
      </c>
      <c r="G23" s="147">
        <v>1</v>
      </c>
      <c r="H23" s="147">
        <v>1</v>
      </c>
      <c r="I23" s="147">
        <v>1</v>
      </c>
      <c r="J23" s="147">
        <v>1</v>
      </c>
      <c r="K23" s="147">
        <v>1</v>
      </c>
      <c r="L23" s="147">
        <v>1</v>
      </c>
      <c r="M23" s="147">
        <v>1</v>
      </c>
      <c r="N23" s="147">
        <v>1</v>
      </c>
      <c r="O23" s="147">
        <v>1</v>
      </c>
      <c r="P23" s="147">
        <v>1</v>
      </c>
      <c r="Q23" s="147">
        <v>1</v>
      </c>
      <c r="R23" s="147">
        <v>1</v>
      </c>
      <c r="S23" s="147">
        <v>1</v>
      </c>
      <c r="T23" s="147">
        <v>1</v>
      </c>
      <c r="U23" s="147">
        <v>1</v>
      </c>
      <c r="V23" s="147">
        <v>1</v>
      </c>
      <c r="W23" s="147">
        <v>1</v>
      </c>
      <c r="X23" s="147">
        <v>1</v>
      </c>
      <c r="Y23" s="147">
        <v>1</v>
      </c>
      <c r="Z23" s="147">
        <v>1</v>
      </c>
      <c r="AA23" s="147">
        <v>1</v>
      </c>
      <c r="AB23" s="147">
        <v>1</v>
      </c>
      <c r="AC23" s="147">
        <v>1</v>
      </c>
      <c r="AD23" s="147">
        <v>1</v>
      </c>
    </row>
    <row r="24" spans="1:30" x14ac:dyDescent="0.2">
      <c r="A24" s="90">
        <v>1</v>
      </c>
      <c r="B24" s="157" t="s">
        <v>66</v>
      </c>
      <c r="C24" s="147">
        <v>1</v>
      </c>
      <c r="D24" s="147">
        <v>1</v>
      </c>
      <c r="E24" s="147">
        <v>1</v>
      </c>
      <c r="F24" s="147">
        <v>1</v>
      </c>
      <c r="G24" s="147">
        <v>1</v>
      </c>
      <c r="H24" s="147">
        <v>1</v>
      </c>
      <c r="I24" s="147">
        <v>1</v>
      </c>
      <c r="J24" s="147">
        <v>1</v>
      </c>
      <c r="K24" s="147">
        <v>1</v>
      </c>
      <c r="L24" s="147">
        <v>1</v>
      </c>
      <c r="M24" s="147">
        <v>1</v>
      </c>
      <c r="N24" s="147">
        <v>1</v>
      </c>
      <c r="O24" s="147">
        <v>1</v>
      </c>
      <c r="P24" s="147">
        <v>1</v>
      </c>
      <c r="Q24" s="147">
        <v>1</v>
      </c>
      <c r="R24" s="147">
        <v>1</v>
      </c>
      <c r="S24" s="147">
        <v>1</v>
      </c>
      <c r="T24" s="147">
        <v>1</v>
      </c>
      <c r="U24" s="147">
        <v>1</v>
      </c>
      <c r="V24" s="147">
        <v>1</v>
      </c>
      <c r="W24" s="147">
        <v>1</v>
      </c>
      <c r="X24" s="147">
        <v>1</v>
      </c>
      <c r="Y24" s="147">
        <v>1</v>
      </c>
      <c r="Z24" s="147">
        <v>1</v>
      </c>
      <c r="AA24" s="147">
        <v>1</v>
      </c>
      <c r="AB24" s="147">
        <v>1</v>
      </c>
      <c r="AC24" s="147">
        <v>1</v>
      </c>
      <c r="AD24" s="147">
        <v>1</v>
      </c>
    </row>
    <row r="25" spans="1:30" x14ac:dyDescent="0.2">
      <c r="A25" s="86" t="s">
        <v>87</v>
      </c>
      <c r="B25" s="128" t="s">
        <v>67</v>
      </c>
      <c r="C25" s="180" t="s">
        <v>87</v>
      </c>
      <c r="D25" s="180" t="s">
        <v>87</v>
      </c>
      <c r="E25" s="180" t="s">
        <v>87</v>
      </c>
      <c r="F25" s="180" t="s">
        <v>87</v>
      </c>
      <c r="G25" s="180" t="s">
        <v>87</v>
      </c>
      <c r="H25" s="180" t="s">
        <v>87</v>
      </c>
      <c r="I25" s="180" t="s">
        <v>87</v>
      </c>
      <c r="J25" s="180" t="s">
        <v>87</v>
      </c>
      <c r="K25" s="180" t="s">
        <v>87</v>
      </c>
      <c r="L25" s="180" t="s">
        <v>87</v>
      </c>
      <c r="M25" s="180" t="s">
        <v>87</v>
      </c>
      <c r="N25" s="180" t="s">
        <v>87</v>
      </c>
      <c r="O25" s="180" t="s">
        <v>87</v>
      </c>
      <c r="P25" s="180" t="s">
        <v>87</v>
      </c>
      <c r="Q25" s="180" t="s">
        <v>87</v>
      </c>
      <c r="R25" s="180" t="s">
        <v>87</v>
      </c>
      <c r="S25" s="180" t="s">
        <v>87</v>
      </c>
      <c r="T25" s="180" t="s">
        <v>87</v>
      </c>
      <c r="U25" s="180" t="s">
        <v>87</v>
      </c>
      <c r="V25" s="180" t="s">
        <v>87</v>
      </c>
      <c r="W25" s="180" t="s">
        <v>87</v>
      </c>
      <c r="X25" s="180" t="s">
        <v>87</v>
      </c>
      <c r="Y25" s="180" t="s">
        <v>87</v>
      </c>
      <c r="Z25" s="180" t="s">
        <v>87</v>
      </c>
      <c r="AA25" s="180" t="s">
        <v>87</v>
      </c>
      <c r="AB25" s="180" t="s">
        <v>87</v>
      </c>
      <c r="AC25" s="180" t="s">
        <v>87</v>
      </c>
      <c r="AD25" s="180" t="s">
        <v>87</v>
      </c>
    </row>
    <row r="26" spans="1:30" x14ac:dyDescent="0.2">
      <c r="A26" s="86">
        <v>999</v>
      </c>
      <c r="B26" s="128" t="s">
        <v>68</v>
      </c>
      <c r="C26" s="180">
        <v>999</v>
      </c>
      <c r="D26" s="180">
        <v>999</v>
      </c>
      <c r="E26" s="180">
        <v>999</v>
      </c>
      <c r="F26" s="180">
        <v>999</v>
      </c>
      <c r="G26" s="180">
        <v>999</v>
      </c>
      <c r="H26" s="180">
        <v>999</v>
      </c>
      <c r="I26" s="180">
        <v>999</v>
      </c>
      <c r="J26" s="180">
        <v>999</v>
      </c>
      <c r="K26" s="180">
        <v>999</v>
      </c>
      <c r="L26" s="180">
        <v>999</v>
      </c>
      <c r="M26" s="180">
        <v>999</v>
      </c>
      <c r="N26" s="180">
        <v>999</v>
      </c>
      <c r="O26" s="180">
        <v>999</v>
      </c>
      <c r="P26" s="180">
        <v>999</v>
      </c>
      <c r="Q26" s="180">
        <v>999</v>
      </c>
      <c r="R26" s="180">
        <v>999</v>
      </c>
      <c r="S26" s="180">
        <v>999</v>
      </c>
      <c r="T26" s="180">
        <v>999</v>
      </c>
      <c r="U26" s="180">
        <v>999</v>
      </c>
      <c r="V26" s="180">
        <v>999</v>
      </c>
      <c r="W26" s="180">
        <v>999</v>
      </c>
      <c r="X26" s="180">
        <v>999</v>
      </c>
      <c r="Y26" s="180">
        <v>999</v>
      </c>
      <c r="Z26" s="180">
        <v>999</v>
      </c>
      <c r="AA26" s="180">
        <v>999</v>
      </c>
      <c r="AB26" s="180">
        <v>999</v>
      </c>
      <c r="AC26" s="180">
        <v>999</v>
      </c>
      <c r="AD26" s="180">
        <v>999</v>
      </c>
    </row>
    <row r="27" spans="1:30" x14ac:dyDescent="0.2">
      <c r="A27" s="86" t="s">
        <v>39</v>
      </c>
      <c r="B27" s="128" t="s">
        <v>69</v>
      </c>
      <c r="C27" s="180" t="s">
        <v>39</v>
      </c>
      <c r="D27" s="180" t="s">
        <v>39</v>
      </c>
      <c r="E27" s="180" t="s">
        <v>39</v>
      </c>
      <c r="F27" s="180" t="s">
        <v>39</v>
      </c>
      <c r="G27" s="180" t="s">
        <v>39</v>
      </c>
      <c r="H27" s="180" t="s">
        <v>39</v>
      </c>
      <c r="I27" s="180" t="s">
        <v>39</v>
      </c>
      <c r="J27" s="180" t="s">
        <v>39</v>
      </c>
      <c r="K27" s="180" t="s">
        <v>39</v>
      </c>
      <c r="L27" s="180" t="s">
        <v>39</v>
      </c>
      <c r="M27" s="180" t="s">
        <v>39</v>
      </c>
      <c r="N27" s="180" t="s">
        <v>39</v>
      </c>
      <c r="O27" s="180" t="s">
        <v>39</v>
      </c>
      <c r="P27" s="180" t="s">
        <v>39</v>
      </c>
      <c r="Q27" s="180" t="s">
        <v>39</v>
      </c>
      <c r="R27" s="180" t="s">
        <v>39</v>
      </c>
      <c r="S27" s="180" t="s">
        <v>39</v>
      </c>
      <c r="T27" s="180" t="s">
        <v>39</v>
      </c>
      <c r="U27" s="180" t="s">
        <v>39</v>
      </c>
      <c r="V27" s="180" t="s">
        <v>39</v>
      </c>
      <c r="W27" s="180" t="s">
        <v>39</v>
      </c>
      <c r="X27" s="180" t="s">
        <v>39</v>
      </c>
      <c r="Y27" s="180" t="s">
        <v>39</v>
      </c>
      <c r="Z27" s="180" t="s">
        <v>39</v>
      </c>
      <c r="AA27" s="180" t="s">
        <v>39</v>
      </c>
      <c r="AB27" s="180" t="s">
        <v>39</v>
      </c>
      <c r="AC27" s="180" t="s">
        <v>39</v>
      </c>
      <c r="AD27" s="180" t="s">
        <v>39</v>
      </c>
    </row>
    <row r="28" spans="1:30" x14ac:dyDescent="0.2">
      <c r="A28" s="90">
        <v>1</v>
      </c>
      <c r="B28" s="159" t="s">
        <v>429</v>
      </c>
      <c r="C28" s="147">
        <v>1</v>
      </c>
      <c r="D28" s="147">
        <v>1</v>
      </c>
      <c r="E28" s="147">
        <v>1</v>
      </c>
      <c r="F28" s="147">
        <v>1</v>
      </c>
      <c r="G28" s="147">
        <v>1</v>
      </c>
      <c r="H28" s="147">
        <v>1</v>
      </c>
      <c r="I28" s="147">
        <v>1</v>
      </c>
      <c r="J28" s="147">
        <v>1</v>
      </c>
      <c r="K28" s="147">
        <v>1</v>
      </c>
      <c r="L28" s="147">
        <v>1</v>
      </c>
      <c r="M28" s="147">
        <v>1</v>
      </c>
      <c r="N28" s="147">
        <v>1</v>
      </c>
      <c r="O28" s="147">
        <v>1</v>
      </c>
      <c r="P28" s="147">
        <v>1</v>
      </c>
      <c r="Q28" s="147">
        <v>1</v>
      </c>
      <c r="R28" s="147">
        <v>1</v>
      </c>
      <c r="S28" s="147">
        <v>1</v>
      </c>
      <c r="T28" s="147">
        <v>1</v>
      </c>
      <c r="U28" s="147">
        <v>1</v>
      </c>
      <c r="V28" s="147">
        <v>1</v>
      </c>
      <c r="W28" s="147">
        <v>1</v>
      </c>
      <c r="X28" s="147">
        <v>1</v>
      </c>
      <c r="Y28" s="147">
        <v>1</v>
      </c>
      <c r="Z28" s="147">
        <v>1</v>
      </c>
      <c r="AA28" s="147">
        <v>1</v>
      </c>
      <c r="AB28" s="147">
        <v>1</v>
      </c>
      <c r="AC28" s="147">
        <v>1</v>
      </c>
      <c r="AD28" s="147">
        <v>1</v>
      </c>
    </row>
    <row r="29" spans="1:30" x14ac:dyDescent="0.2">
      <c r="A29" s="90">
        <v>0</v>
      </c>
      <c r="B29" s="157" t="s">
        <v>70</v>
      </c>
      <c r="C29" s="147">
        <v>0</v>
      </c>
      <c r="D29" s="147">
        <v>0</v>
      </c>
      <c r="E29" s="147">
        <v>0</v>
      </c>
      <c r="F29" s="147">
        <v>0</v>
      </c>
      <c r="G29" s="147">
        <v>0</v>
      </c>
      <c r="H29" s="147">
        <v>0</v>
      </c>
      <c r="I29" s="147">
        <v>0</v>
      </c>
      <c r="J29" s="147">
        <v>0</v>
      </c>
      <c r="K29" s="147">
        <v>0</v>
      </c>
      <c r="L29" s="147">
        <v>0</v>
      </c>
      <c r="M29" s="147">
        <v>0</v>
      </c>
      <c r="N29" s="147">
        <v>0</v>
      </c>
      <c r="O29" s="147">
        <v>0</v>
      </c>
      <c r="P29" s="147">
        <v>0</v>
      </c>
      <c r="Q29" s="147">
        <v>0</v>
      </c>
      <c r="R29" s="147">
        <v>0</v>
      </c>
      <c r="S29" s="147">
        <v>0</v>
      </c>
      <c r="T29" s="147">
        <v>0</v>
      </c>
      <c r="U29" s="147">
        <v>0</v>
      </c>
      <c r="V29" s="147">
        <v>0</v>
      </c>
      <c r="W29" s="147">
        <v>0</v>
      </c>
      <c r="X29" s="147">
        <v>0</v>
      </c>
      <c r="Y29" s="147">
        <v>0</v>
      </c>
      <c r="Z29" s="147">
        <v>0</v>
      </c>
      <c r="AA29" s="147">
        <v>0</v>
      </c>
      <c r="AB29" s="147">
        <v>0</v>
      </c>
      <c r="AC29" s="147">
        <v>0</v>
      </c>
      <c r="AD29" s="147">
        <v>0</v>
      </c>
    </row>
    <row r="30" spans="1:30" x14ac:dyDescent="0.2">
      <c r="A30" s="88">
        <v>1</v>
      </c>
      <c r="B30" s="158" t="s">
        <v>71</v>
      </c>
      <c r="C30" s="184">
        <v>1</v>
      </c>
      <c r="D30" s="184">
        <v>1</v>
      </c>
      <c r="E30" s="184">
        <v>1</v>
      </c>
      <c r="F30" s="184">
        <v>1</v>
      </c>
      <c r="G30" s="184">
        <v>1</v>
      </c>
      <c r="H30" s="184">
        <v>1</v>
      </c>
      <c r="I30" s="184">
        <v>1</v>
      </c>
      <c r="J30" s="184">
        <v>1</v>
      </c>
      <c r="K30" s="184">
        <v>1</v>
      </c>
      <c r="L30" s="184">
        <v>1</v>
      </c>
      <c r="M30" s="184">
        <v>1</v>
      </c>
      <c r="N30" s="184">
        <v>1</v>
      </c>
      <c r="O30" s="184">
        <v>1</v>
      </c>
      <c r="P30" s="184">
        <v>1</v>
      </c>
      <c r="Q30" s="184">
        <v>1</v>
      </c>
      <c r="R30" s="184">
        <v>1</v>
      </c>
      <c r="S30" s="184">
        <v>1</v>
      </c>
      <c r="T30" s="184">
        <v>1</v>
      </c>
      <c r="U30" s="184">
        <v>1</v>
      </c>
      <c r="V30" s="184">
        <v>1</v>
      </c>
      <c r="W30" s="184">
        <v>1</v>
      </c>
      <c r="X30" s="184">
        <v>1</v>
      </c>
      <c r="Y30" s="184">
        <v>1</v>
      </c>
      <c r="Z30" s="184">
        <v>1</v>
      </c>
      <c r="AA30" s="184">
        <v>1</v>
      </c>
      <c r="AB30" s="184">
        <v>1</v>
      </c>
      <c r="AC30" s="184">
        <v>1</v>
      </c>
      <c r="AD30" s="184">
        <v>1</v>
      </c>
    </row>
    <row r="31" spans="1:30" x14ac:dyDescent="0.2">
      <c r="A31" s="90">
        <v>0</v>
      </c>
      <c r="B31" s="157" t="s">
        <v>72</v>
      </c>
      <c r="C31" s="147">
        <v>0</v>
      </c>
      <c r="D31" s="147">
        <v>0</v>
      </c>
      <c r="E31" s="147">
        <v>0</v>
      </c>
      <c r="F31" s="147">
        <v>0</v>
      </c>
      <c r="G31" s="147">
        <v>0</v>
      </c>
      <c r="H31" s="147">
        <v>0</v>
      </c>
      <c r="I31" s="147">
        <v>0</v>
      </c>
      <c r="J31" s="147">
        <v>0</v>
      </c>
      <c r="K31" s="147">
        <v>0</v>
      </c>
      <c r="L31" s="147">
        <v>0</v>
      </c>
      <c r="M31" s="147">
        <v>0</v>
      </c>
      <c r="N31" s="147">
        <v>0</v>
      </c>
      <c r="O31" s="147">
        <v>0</v>
      </c>
      <c r="P31" s="147">
        <v>0</v>
      </c>
      <c r="Q31" s="147">
        <v>0</v>
      </c>
      <c r="R31" s="147">
        <v>0</v>
      </c>
      <c r="S31" s="147">
        <v>0</v>
      </c>
      <c r="T31" s="147">
        <v>0</v>
      </c>
      <c r="U31" s="147">
        <v>0</v>
      </c>
      <c r="V31" s="147">
        <v>0</v>
      </c>
      <c r="W31" s="147">
        <v>0</v>
      </c>
      <c r="X31" s="147">
        <v>0</v>
      </c>
      <c r="Y31" s="147">
        <v>0</v>
      </c>
      <c r="Z31" s="147">
        <v>0</v>
      </c>
      <c r="AA31" s="147">
        <v>0</v>
      </c>
      <c r="AB31" s="147">
        <v>0</v>
      </c>
      <c r="AC31" s="147">
        <v>0</v>
      </c>
      <c r="AD31" s="147">
        <v>0</v>
      </c>
    </row>
    <row r="32" spans="1:30" x14ac:dyDescent="0.2">
      <c r="A32" s="86">
        <v>999</v>
      </c>
      <c r="B32" s="128" t="s">
        <v>73</v>
      </c>
      <c r="C32" s="180">
        <v>999</v>
      </c>
      <c r="D32" s="180">
        <v>999</v>
      </c>
      <c r="E32" s="180">
        <v>999</v>
      </c>
      <c r="F32" s="180">
        <v>999</v>
      </c>
      <c r="G32" s="180">
        <v>999</v>
      </c>
      <c r="H32" s="180">
        <v>999</v>
      </c>
      <c r="I32" s="180">
        <v>999</v>
      </c>
      <c r="J32" s="180">
        <v>999</v>
      </c>
      <c r="K32" s="180">
        <v>999</v>
      </c>
      <c r="L32" s="180">
        <v>999</v>
      </c>
      <c r="M32" s="180">
        <v>999</v>
      </c>
      <c r="N32" s="180">
        <v>999</v>
      </c>
      <c r="O32" s="180">
        <v>999</v>
      </c>
      <c r="P32" s="180">
        <v>999</v>
      </c>
      <c r="Q32" s="180">
        <v>999</v>
      </c>
      <c r="R32" s="180">
        <v>999</v>
      </c>
      <c r="S32" s="180">
        <v>999</v>
      </c>
      <c r="T32" s="180">
        <v>999</v>
      </c>
      <c r="U32" s="180">
        <v>999</v>
      </c>
      <c r="V32" s="180">
        <v>999</v>
      </c>
      <c r="W32" s="180">
        <v>999</v>
      </c>
      <c r="X32" s="180">
        <v>999</v>
      </c>
      <c r="Y32" s="180">
        <v>999</v>
      </c>
      <c r="Z32" s="180">
        <v>999</v>
      </c>
      <c r="AA32" s="180">
        <v>999</v>
      </c>
      <c r="AB32" s="180">
        <v>999</v>
      </c>
      <c r="AC32" s="180">
        <v>999</v>
      </c>
      <c r="AD32" s="180">
        <v>999</v>
      </c>
    </row>
    <row r="33" spans="1:30" x14ac:dyDescent="0.2">
      <c r="A33" s="86" t="s">
        <v>87</v>
      </c>
      <c r="B33" s="128" t="s">
        <v>74</v>
      </c>
      <c r="C33" s="180" t="s">
        <v>87</v>
      </c>
      <c r="D33" s="180" t="s">
        <v>87</v>
      </c>
      <c r="E33" s="180" t="s">
        <v>87</v>
      </c>
      <c r="F33" s="180" t="s">
        <v>87</v>
      </c>
      <c r="G33" s="180" t="s">
        <v>87</v>
      </c>
      <c r="H33" s="180" t="s">
        <v>87</v>
      </c>
      <c r="I33" s="180" t="s">
        <v>87</v>
      </c>
      <c r="J33" s="180" t="s">
        <v>87</v>
      </c>
      <c r="K33" s="180" t="s">
        <v>87</v>
      </c>
      <c r="L33" s="180" t="s">
        <v>87</v>
      </c>
      <c r="M33" s="180" t="s">
        <v>87</v>
      </c>
      <c r="N33" s="180" t="s">
        <v>87</v>
      </c>
      <c r="O33" s="180" t="s">
        <v>87</v>
      </c>
      <c r="P33" s="180" t="s">
        <v>87</v>
      </c>
      <c r="Q33" s="180" t="s">
        <v>87</v>
      </c>
      <c r="R33" s="180" t="s">
        <v>87</v>
      </c>
      <c r="S33" s="180" t="s">
        <v>87</v>
      </c>
      <c r="T33" s="180" t="s">
        <v>87</v>
      </c>
      <c r="U33" s="180" t="s">
        <v>87</v>
      </c>
      <c r="V33" s="180" t="s">
        <v>87</v>
      </c>
      <c r="W33" s="180" t="s">
        <v>87</v>
      </c>
      <c r="X33" s="180" t="s">
        <v>87</v>
      </c>
      <c r="Y33" s="180" t="s">
        <v>87</v>
      </c>
      <c r="Z33" s="180" t="s">
        <v>87</v>
      </c>
      <c r="AA33" s="180" t="s">
        <v>87</v>
      </c>
      <c r="AB33" s="180" t="s">
        <v>87</v>
      </c>
      <c r="AC33" s="180" t="s">
        <v>87</v>
      </c>
      <c r="AD33" s="180" t="s">
        <v>87</v>
      </c>
    </row>
    <row r="34" spans="1:30" x14ac:dyDescent="0.2">
      <c r="A34" s="86">
        <v>999</v>
      </c>
      <c r="B34" s="128" t="s">
        <v>75</v>
      </c>
      <c r="C34" s="180">
        <v>999</v>
      </c>
      <c r="D34" s="180">
        <v>999</v>
      </c>
      <c r="E34" s="180">
        <v>999</v>
      </c>
      <c r="F34" s="180">
        <v>999</v>
      </c>
      <c r="G34" s="180">
        <v>999</v>
      </c>
      <c r="H34" s="180">
        <v>999</v>
      </c>
      <c r="I34" s="180">
        <v>999</v>
      </c>
      <c r="J34" s="180">
        <v>999</v>
      </c>
      <c r="K34" s="180">
        <v>999</v>
      </c>
      <c r="L34" s="180">
        <v>999</v>
      </c>
      <c r="M34" s="180">
        <v>999</v>
      </c>
      <c r="N34" s="180">
        <v>999</v>
      </c>
      <c r="O34" s="180">
        <v>999</v>
      </c>
      <c r="P34" s="180">
        <v>999</v>
      </c>
      <c r="Q34" s="180">
        <v>999</v>
      </c>
      <c r="R34" s="180">
        <v>999</v>
      </c>
      <c r="S34" s="180">
        <v>999</v>
      </c>
      <c r="T34" s="180">
        <v>999</v>
      </c>
      <c r="U34" s="180">
        <v>999</v>
      </c>
      <c r="V34" s="180">
        <v>999</v>
      </c>
      <c r="W34" s="180">
        <v>999</v>
      </c>
      <c r="X34" s="180">
        <v>999</v>
      </c>
      <c r="Y34" s="180">
        <v>999</v>
      </c>
      <c r="Z34" s="180">
        <v>999</v>
      </c>
      <c r="AA34" s="180">
        <v>999</v>
      </c>
      <c r="AB34" s="180">
        <v>999</v>
      </c>
      <c r="AC34" s="180">
        <v>999</v>
      </c>
      <c r="AD34" s="180">
        <v>999</v>
      </c>
    </row>
    <row r="35" spans="1:30" x14ac:dyDescent="0.2">
      <c r="A35" s="86" t="s">
        <v>39</v>
      </c>
      <c r="B35" s="128" t="s">
        <v>76</v>
      </c>
      <c r="C35" s="180" t="s">
        <v>39</v>
      </c>
      <c r="D35" s="180" t="s">
        <v>39</v>
      </c>
      <c r="E35" s="180" t="s">
        <v>39</v>
      </c>
      <c r="F35" s="180" t="s">
        <v>39</v>
      </c>
      <c r="G35" s="180" t="s">
        <v>39</v>
      </c>
      <c r="H35" s="180" t="s">
        <v>39</v>
      </c>
      <c r="I35" s="180" t="s">
        <v>39</v>
      </c>
      <c r="J35" s="180" t="s">
        <v>39</v>
      </c>
      <c r="K35" s="180" t="s">
        <v>39</v>
      </c>
      <c r="L35" s="180" t="s">
        <v>39</v>
      </c>
      <c r="M35" s="180" t="s">
        <v>39</v>
      </c>
      <c r="N35" s="180" t="s">
        <v>39</v>
      </c>
      <c r="O35" s="180" t="s">
        <v>39</v>
      </c>
      <c r="P35" s="180" t="s">
        <v>39</v>
      </c>
      <c r="Q35" s="180" t="s">
        <v>39</v>
      </c>
      <c r="R35" s="180" t="s">
        <v>39</v>
      </c>
      <c r="S35" s="180" t="s">
        <v>39</v>
      </c>
      <c r="T35" s="180" t="s">
        <v>39</v>
      </c>
      <c r="U35" s="180" t="s">
        <v>39</v>
      </c>
      <c r="V35" s="180" t="s">
        <v>39</v>
      </c>
      <c r="W35" s="180" t="s">
        <v>39</v>
      </c>
      <c r="X35" s="180" t="s">
        <v>39</v>
      </c>
      <c r="Y35" s="180" t="s">
        <v>39</v>
      </c>
      <c r="Z35" s="180" t="s">
        <v>39</v>
      </c>
      <c r="AA35" s="180" t="s">
        <v>39</v>
      </c>
      <c r="AB35" s="180" t="s">
        <v>39</v>
      </c>
      <c r="AC35" s="180" t="s">
        <v>39</v>
      </c>
      <c r="AD35" s="180" t="s">
        <v>39</v>
      </c>
    </row>
    <row r="36" spans="1:30" x14ac:dyDescent="0.2">
      <c r="A36" s="90">
        <v>1</v>
      </c>
      <c r="B36" s="159" t="s">
        <v>431</v>
      </c>
      <c r="C36" s="147">
        <v>1</v>
      </c>
      <c r="D36" s="147">
        <v>1</v>
      </c>
      <c r="E36" s="147">
        <v>1</v>
      </c>
      <c r="F36" s="147">
        <v>1</v>
      </c>
      <c r="G36" s="147">
        <v>1</v>
      </c>
      <c r="H36" s="147">
        <v>1</v>
      </c>
      <c r="I36" s="147">
        <v>1</v>
      </c>
      <c r="J36" s="147">
        <v>1</v>
      </c>
      <c r="K36" s="147">
        <v>1</v>
      </c>
      <c r="L36" s="147">
        <v>1</v>
      </c>
      <c r="M36" s="147">
        <v>1</v>
      </c>
      <c r="N36" s="147">
        <v>1</v>
      </c>
      <c r="O36" s="147">
        <v>1</v>
      </c>
      <c r="P36" s="147">
        <v>1</v>
      </c>
      <c r="Q36" s="147">
        <v>1</v>
      </c>
      <c r="R36" s="147">
        <v>1</v>
      </c>
      <c r="S36" s="147">
        <v>1</v>
      </c>
      <c r="T36" s="147">
        <v>1</v>
      </c>
      <c r="U36" s="147">
        <v>1</v>
      </c>
      <c r="V36" s="147">
        <v>1</v>
      </c>
      <c r="W36" s="147">
        <v>1</v>
      </c>
      <c r="X36" s="147">
        <v>1</v>
      </c>
      <c r="Y36" s="147">
        <v>1</v>
      </c>
      <c r="Z36" s="147">
        <v>1</v>
      </c>
      <c r="AA36" s="147">
        <v>1</v>
      </c>
      <c r="AB36" s="147">
        <v>1</v>
      </c>
      <c r="AC36" s="147">
        <v>1</v>
      </c>
      <c r="AD36" s="147">
        <v>1</v>
      </c>
    </row>
    <row r="37" spans="1:30" x14ac:dyDescent="0.2">
      <c r="A37" s="88">
        <v>1</v>
      </c>
      <c r="B37" s="158" t="s">
        <v>77</v>
      </c>
      <c r="C37" s="184">
        <v>1</v>
      </c>
      <c r="D37" s="184">
        <v>1</v>
      </c>
      <c r="E37" s="184">
        <v>1</v>
      </c>
      <c r="F37" s="184">
        <v>1</v>
      </c>
      <c r="G37" s="184">
        <v>1</v>
      </c>
      <c r="H37" s="184">
        <v>1</v>
      </c>
      <c r="I37" s="184">
        <v>1</v>
      </c>
      <c r="J37" s="184">
        <v>1</v>
      </c>
      <c r="K37" s="184">
        <v>1</v>
      </c>
      <c r="L37" s="184">
        <v>1</v>
      </c>
      <c r="M37" s="184">
        <v>1</v>
      </c>
      <c r="N37" s="184">
        <v>1</v>
      </c>
      <c r="O37" s="184">
        <v>1</v>
      </c>
      <c r="P37" s="184">
        <v>1</v>
      </c>
      <c r="Q37" s="184">
        <v>1</v>
      </c>
      <c r="R37" s="184">
        <v>1</v>
      </c>
      <c r="S37" s="184">
        <v>1</v>
      </c>
      <c r="T37" s="184">
        <v>1</v>
      </c>
      <c r="U37" s="184">
        <v>1</v>
      </c>
      <c r="V37" s="184">
        <v>1</v>
      </c>
      <c r="W37" s="184">
        <v>1</v>
      </c>
      <c r="X37" s="184">
        <v>1</v>
      </c>
      <c r="Y37" s="184">
        <v>1</v>
      </c>
      <c r="Z37" s="184">
        <v>1</v>
      </c>
      <c r="AA37" s="184">
        <v>1</v>
      </c>
      <c r="AB37" s="184">
        <v>1</v>
      </c>
      <c r="AC37" s="184">
        <v>1</v>
      </c>
      <c r="AD37" s="184">
        <v>1</v>
      </c>
    </row>
    <row r="38" spans="1:30" x14ac:dyDescent="0.2">
      <c r="A38" s="90">
        <v>0</v>
      </c>
      <c r="B38" s="157" t="s">
        <v>78</v>
      </c>
      <c r="C38" s="147">
        <v>0</v>
      </c>
      <c r="D38" s="147">
        <v>0</v>
      </c>
      <c r="E38" s="147">
        <v>0</v>
      </c>
      <c r="F38" s="147">
        <v>0</v>
      </c>
      <c r="G38" s="147">
        <v>0</v>
      </c>
      <c r="H38" s="147">
        <v>0</v>
      </c>
      <c r="I38" s="147">
        <v>0</v>
      </c>
      <c r="J38" s="147">
        <v>0</v>
      </c>
      <c r="K38" s="147">
        <v>0</v>
      </c>
      <c r="L38" s="147">
        <v>0</v>
      </c>
      <c r="M38" s="147">
        <v>0</v>
      </c>
      <c r="N38" s="147">
        <v>0</v>
      </c>
      <c r="O38" s="147">
        <v>0</v>
      </c>
      <c r="P38" s="147">
        <v>0</v>
      </c>
      <c r="Q38" s="147">
        <v>0</v>
      </c>
      <c r="R38" s="147">
        <v>0</v>
      </c>
      <c r="S38" s="147">
        <v>0</v>
      </c>
      <c r="T38" s="147">
        <v>0</v>
      </c>
      <c r="U38" s="147">
        <v>0</v>
      </c>
      <c r="V38" s="147">
        <v>0</v>
      </c>
      <c r="W38" s="147">
        <v>0</v>
      </c>
      <c r="X38" s="147">
        <v>0</v>
      </c>
      <c r="Y38" s="147">
        <v>0</v>
      </c>
      <c r="Z38" s="147">
        <v>0</v>
      </c>
      <c r="AA38" s="147">
        <v>0</v>
      </c>
      <c r="AB38" s="147">
        <v>0</v>
      </c>
      <c r="AC38" s="147">
        <v>0</v>
      </c>
      <c r="AD38" s="147">
        <v>0</v>
      </c>
    </row>
    <row r="39" spans="1:30" x14ac:dyDescent="0.2">
      <c r="A39" s="86">
        <v>999</v>
      </c>
      <c r="B39" s="128" t="s">
        <v>79</v>
      </c>
      <c r="C39" s="180">
        <v>999</v>
      </c>
      <c r="D39" s="180">
        <v>999</v>
      </c>
      <c r="E39" s="180">
        <v>999</v>
      </c>
      <c r="F39" s="180">
        <v>999</v>
      </c>
      <c r="G39" s="180">
        <v>999</v>
      </c>
      <c r="H39" s="180">
        <v>999</v>
      </c>
      <c r="I39" s="180">
        <v>999</v>
      </c>
      <c r="J39" s="180">
        <v>999</v>
      </c>
      <c r="K39" s="180">
        <v>999</v>
      </c>
      <c r="L39" s="180">
        <v>999</v>
      </c>
      <c r="M39" s="180">
        <v>999</v>
      </c>
      <c r="N39" s="180">
        <v>999</v>
      </c>
      <c r="O39" s="180">
        <v>999</v>
      </c>
      <c r="P39" s="180">
        <v>999</v>
      </c>
      <c r="Q39" s="180">
        <v>999</v>
      </c>
      <c r="R39" s="180">
        <v>999</v>
      </c>
      <c r="S39" s="180">
        <v>999</v>
      </c>
      <c r="T39" s="180">
        <v>999</v>
      </c>
      <c r="U39" s="180">
        <v>999</v>
      </c>
      <c r="V39" s="180">
        <v>999</v>
      </c>
      <c r="W39" s="180">
        <v>999</v>
      </c>
      <c r="X39" s="180">
        <v>999</v>
      </c>
      <c r="Y39" s="180">
        <v>999</v>
      </c>
      <c r="Z39" s="180">
        <v>999</v>
      </c>
      <c r="AA39" s="180">
        <v>999</v>
      </c>
      <c r="AB39" s="180">
        <v>999</v>
      </c>
      <c r="AC39" s="180">
        <v>999</v>
      </c>
      <c r="AD39" s="180">
        <v>999</v>
      </c>
    </row>
    <row r="40" spans="1:30" x14ac:dyDescent="0.2">
      <c r="A40" s="86" t="s">
        <v>5</v>
      </c>
      <c r="B40" s="128" t="s">
        <v>80</v>
      </c>
      <c r="C40" s="180" t="s">
        <v>5</v>
      </c>
      <c r="D40" s="180" t="s">
        <v>5</v>
      </c>
      <c r="E40" s="180" t="s">
        <v>5</v>
      </c>
      <c r="F40" s="180" t="s">
        <v>5</v>
      </c>
      <c r="G40" s="180" t="s">
        <v>5</v>
      </c>
      <c r="H40" s="180" t="s">
        <v>5</v>
      </c>
      <c r="I40" s="180" t="s">
        <v>5</v>
      </c>
      <c r="J40" s="180" t="s">
        <v>5</v>
      </c>
      <c r="K40" s="180" t="s">
        <v>5</v>
      </c>
      <c r="L40" s="180" t="s">
        <v>5</v>
      </c>
      <c r="M40" s="180" t="s">
        <v>5</v>
      </c>
      <c r="N40" s="180" t="s">
        <v>5</v>
      </c>
      <c r="O40" s="180" t="s">
        <v>5</v>
      </c>
      <c r="P40" s="180" t="s">
        <v>5</v>
      </c>
      <c r="Q40" s="180" t="s">
        <v>5</v>
      </c>
      <c r="R40" s="180" t="s">
        <v>5</v>
      </c>
      <c r="S40" s="180" t="s">
        <v>5</v>
      </c>
      <c r="T40" s="180" t="s">
        <v>5</v>
      </c>
      <c r="U40" s="180" t="s">
        <v>5</v>
      </c>
      <c r="V40" s="180" t="s">
        <v>5</v>
      </c>
      <c r="W40" s="180" t="s">
        <v>5</v>
      </c>
      <c r="X40" s="180" t="s">
        <v>5</v>
      </c>
      <c r="Y40" s="180" t="s">
        <v>5</v>
      </c>
      <c r="Z40" s="180" t="s">
        <v>5</v>
      </c>
      <c r="AA40" s="180" t="s">
        <v>5</v>
      </c>
      <c r="AB40" s="180" t="s">
        <v>5</v>
      </c>
      <c r="AC40" s="180" t="s">
        <v>5</v>
      </c>
      <c r="AD40" s="180" t="s">
        <v>5</v>
      </c>
    </row>
    <row r="41" spans="1:30" x14ac:dyDescent="0.2">
      <c r="A41" s="90">
        <v>0</v>
      </c>
      <c r="B41" s="159" t="s">
        <v>430</v>
      </c>
      <c r="C41" s="147">
        <v>0</v>
      </c>
      <c r="D41" s="147">
        <v>0</v>
      </c>
      <c r="E41" s="147">
        <v>0</v>
      </c>
      <c r="F41" s="147">
        <v>0</v>
      </c>
      <c r="G41" s="147">
        <v>0</v>
      </c>
      <c r="H41" s="147">
        <v>0</v>
      </c>
      <c r="I41" s="147">
        <v>0</v>
      </c>
      <c r="J41" s="147">
        <v>0</v>
      </c>
      <c r="K41" s="147">
        <v>0</v>
      </c>
      <c r="L41" s="147">
        <v>0</v>
      </c>
      <c r="M41" s="147">
        <v>0</v>
      </c>
      <c r="N41" s="147">
        <v>0</v>
      </c>
      <c r="O41" s="147">
        <v>0</v>
      </c>
      <c r="P41" s="147">
        <v>0</v>
      </c>
      <c r="Q41" s="147">
        <v>0</v>
      </c>
      <c r="R41" s="147">
        <v>0</v>
      </c>
      <c r="S41" s="147">
        <v>0</v>
      </c>
      <c r="T41" s="147">
        <v>0</v>
      </c>
      <c r="U41" s="147">
        <v>0</v>
      </c>
      <c r="V41" s="147">
        <v>0</v>
      </c>
      <c r="W41" s="147">
        <v>0</v>
      </c>
      <c r="X41" s="147">
        <v>0</v>
      </c>
      <c r="Y41" s="147">
        <v>0</v>
      </c>
      <c r="Z41" s="147">
        <v>0</v>
      </c>
      <c r="AA41" s="147">
        <v>0</v>
      </c>
      <c r="AB41" s="147">
        <v>0</v>
      </c>
      <c r="AC41" s="147">
        <v>0</v>
      </c>
      <c r="AD41" s="147">
        <v>0</v>
      </c>
    </row>
    <row r="42" spans="1:30" x14ac:dyDescent="0.2">
      <c r="A42" s="90">
        <v>0</v>
      </c>
      <c r="B42" s="157" t="s">
        <v>81</v>
      </c>
      <c r="C42" s="147">
        <v>0</v>
      </c>
      <c r="D42" s="147">
        <v>0</v>
      </c>
      <c r="E42" s="147">
        <v>0</v>
      </c>
      <c r="F42" s="147">
        <v>0</v>
      </c>
      <c r="G42" s="147">
        <v>0</v>
      </c>
      <c r="H42" s="147">
        <v>0</v>
      </c>
      <c r="I42" s="147">
        <v>0</v>
      </c>
      <c r="J42" s="147">
        <v>0</v>
      </c>
      <c r="K42" s="147">
        <v>0</v>
      </c>
      <c r="L42" s="147">
        <v>0</v>
      </c>
      <c r="M42" s="147">
        <v>0</v>
      </c>
      <c r="N42" s="147">
        <v>0</v>
      </c>
      <c r="O42" s="147">
        <v>0</v>
      </c>
      <c r="P42" s="147">
        <v>0</v>
      </c>
      <c r="Q42" s="147">
        <v>0</v>
      </c>
      <c r="R42" s="147">
        <v>0</v>
      </c>
      <c r="S42" s="147">
        <v>0</v>
      </c>
      <c r="T42" s="147">
        <v>0</v>
      </c>
      <c r="U42" s="147">
        <v>0</v>
      </c>
      <c r="V42" s="147">
        <v>0</v>
      </c>
      <c r="W42" s="147">
        <v>0</v>
      </c>
      <c r="X42" s="147">
        <v>0</v>
      </c>
      <c r="Y42" s="147">
        <v>0</v>
      </c>
      <c r="Z42" s="147">
        <v>0</v>
      </c>
      <c r="AA42" s="147">
        <v>0</v>
      </c>
      <c r="AB42" s="147">
        <v>0</v>
      </c>
      <c r="AC42" s="147">
        <v>0</v>
      </c>
      <c r="AD42" s="147">
        <v>0</v>
      </c>
    </row>
    <row r="43" spans="1:30" x14ac:dyDescent="0.2">
      <c r="A43" s="90">
        <v>0</v>
      </c>
      <c r="B43" s="157" t="s">
        <v>82</v>
      </c>
      <c r="C43" s="147">
        <v>0</v>
      </c>
      <c r="D43" s="147">
        <v>0</v>
      </c>
      <c r="E43" s="147">
        <v>0</v>
      </c>
      <c r="F43" s="147">
        <v>0</v>
      </c>
      <c r="G43" s="147">
        <v>0</v>
      </c>
      <c r="H43" s="147">
        <v>0</v>
      </c>
      <c r="I43" s="147">
        <v>0</v>
      </c>
      <c r="J43" s="147">
        <v>0</v>
      </c>
      <c r="K43" s="147">
        <v>0</v>
      </c>
      <c r="L43" s="147">
        <v>0</v>
      </c>
      <c r="M43" s="147">
        <v>0</v>
      </c>
      <c r="N43" s="147">
        <v>0</v>
      </c>
      <c r="O43" s="147">
        <v>0</v>
      </c>
      <c r="P43" s="147">
        <v>0</v>
      </c>
      <c r="Q43" s="147">
        <v>0</v>
      </c>
      <c r="R43" s="147">
        <v>0</v>
      </c>
      <c r="S43" s="147">
        <v>0</v>
      </c>
      <c r="T43" s="147">
        <v>0</v>
      </c>
      <c r="U43" s="147">
        <v>0</v>
      </c>
      <c r="V43" s="147">
        <v>0</v>
      </c>
      <c r="W43" s="147">
        <v>0</v>
      </c>
      <c r="X43" s="147">
        <v>0</v>
      </c>
      <c r="Y43" s="147">
        <v>0</v>
      </c>
      <c r="Z43" s="147">
        <v>0</v>
      </c>
      <c r="AA43" s="147">
        <v>0</v>
      </c>
      <c r="AB43" s="147">
        <v>0</v>
      </c>
      <c r="AC43" s="147">
        <v>0</v>
      </c>
      <c r="AD43" s="147">
        <v>0</v>
      </c>
    </row>
    <row r="44" spans="1:30" x14ac:dyDescent="0.2">
      <c r="A44" s="90">
        <v>0</v>
      </c>
      <c r="B44" s="157" t="s">
        <v>83</v>
      </c>
      <c r="C44" s="147">
        <v>0</v>
      </c>
      <c r="D44" s="147">
        <v>0</v>
      </c>
      <c r="E44" s="147">
        <v>0</v>
      </c>
      <c r="F44" s="147">
        <v>0</v>
      </c>
      <c r="G44" s="147">
        <v>0</v>
      </c>
      <c r="H44" s="147">
        <v>0</v>
      </c>
      <c r="I44" s="147">
        <v>0</v>
      </c>
      <c r="J44" s="147">
        <v>0</v>
      </c>
      <c r="K44" s="147">
        <v>0</v>
      </c>
      <c r="L44" s="147">
        <v>0</v>
      </c>
      <c r="M44" s="147">
        <v>0</v>
      </c>
      <c r="N44" s="147">
        <v>0</v>
      </c>
      <c r="O44" s="147">
        <v>0</v>
      </c>
      <c r="P44" s="147">
        <v>0</v>
      </c>
      <c r="Q44" s="147">
        <v>0</v>
      </c>
      <c r="R44" s="147">
        <v>0</v>
      </c>
      <c r="S44" s="147">
        <v>0</v>
      </c>
      <c r="T44" s="147">
        <v>0</v>
      </c>
      <c r="U44" s="147">
        <v>0</v>
      </c>
      <c r="V44" s="147">
        <v>0</v>
      </c>
      <c r="W44" s="147">
        <v>0</v>
      </c>
      <c r="X44" s="147">
        <v>0</v>
      </c>
      <c r="Y44" s="147">
        <v>0</v>
      </c>
      <c r="Z44" s="147">
        <v>0</v>
      </c>
      <c r="AA44" s="147">
        <v>0</v>
      </c>
      <c r="AB44" s="147">
        <v>0</v>
      </c>
      <c r="AC44" s="147">
        <v>0</v>
      </c>
      <c r="AD44" s="147">
        <v>0</v>
      </c>
    </row>
    <row r="45" spans="1:30" x14ac:dyDescent="0.2">
      <c r="A45" s="90">
        <v>0</v>
      </c>
      <c r="B45" s="160" t="s">
        <v>84</v>
      </c>
      <c r="C45" s="327">
        <v>5.4474545189367764E-3</v>
      </c>
      <c r="D45" s="327">
        <v>1.0167246608260674E-2</v>
      </c>
      <c r="E45" s="328">
        <f>$C45</f>
        <v>5.4474545189367764E-3</v>
      </c>
      <c r="F45" s="327">
        <v>1.0547767328333462E-3</v>
      </c>
      <c r="G45" s="327">
        <v>6.3653773085860496E-2</v>
      </c>
      <c r="H45" s="328">
        <f>$D45</f>
        <v>1.0167246608260674E-2</v>
      </c>
      <c r="I45" s="328">
        <f>$C45</f>
        <v>5.4474545189367764E-3</v>
      </c>
      <c r="J45" s="327">
        <v>2.7971610826403297E-3</v>
      </c>
      <c r="K45" s="328">
        <f>$F45</f>
        <v>1.0547767328333462E-3</v>
      </c>
      <c r="L45" s="327">
        <v>6.3653773085860496E-2</v>
      </c>
      <c r="M45" s="327">
        <v>3.0288114157372734E-2</v>
      </c>
      <c r="N45" s="328">
        <f>$D45</f>
        <v>1.0167246608260674E-2</v>
      </c>
      <c r="O45" s="328">
        <f>$C45</f>
        <v>5.4474545189367764E-3</v>
      </c>
      <c r="P45" s="328">
        <f>$L45</f>
        <v>6.3653773085860496E-2</v>
      </c>
      <c r="Q45" s="328">
        <f>$M45</f>
        <v>3.0288114157372734E-2</v>
      </c>
      <c r="R45" s="328">
        <f>$D45</f>
        <v>1.0167246608260674E-2</v>
      </c>
      <c r="S45" s="328">
        <f>$C45</f>
        <v>5.4474545189367764E-3</v>
      </c>
      <c r="T45" s="327">
        <v>2.7971610826403297E-3</v>
      </c>
      <c r="U45" s="328">
        <f>$F45</f>
        <v>1.0547767328333462E-3</v>
      </c>
      <c r="V45" s="328">
        <f>$L45</f>
        <v>6.3653773085860496E-2</v>
      </c>
      <c r="W45" s="328">
        <f>$M45</f>
        <v>3.0288114157372734E-2</v>
      </c>
      <c r="X45" s="328">
        <f>$D45</f>
        <v>1.0167246608260674E-2</v>
      </c>
      <c r="Y45" s="327">
        <v>0.15887073853144287</v>
      </c>
      <c r="Z45" s="328">
        <f>$C45</f>
        <v>5.4474545189367764E-3</v>
      </c>
      <c r="AA45" s="328">
        <f>$J45</f>
        <v>2.7971610826403297E-3</v>
      </c>
      <c r="AB45" s="328">
        <f>$D45</f>
        <v>1.0167246608260674E-2</v>
      </c>
      <c r="AC45" s="328">
        <f>$C45</f>
        <v>5.4474545189367764E-3</v>
      </c>
      <c r="AD45" s="328">
        <f>$D45</f>
        <v>1.0167246608260674E-2</v>
      </c>
    </row>
    <row r="46" spans="1:30" x14ac:dyDescent="0.2">
      <c r="A46" s="37"/>
      <c r="C46" s="94">
        <f>30.8%*C45+34.3%*D45+31%*'Purch Mtg Defn'!C39+4%*'Purch Mtg Defn'!F39</f>
        <v>9.573092947014741E-3</v>
      </c>
    </row>
    <row r="47" spans="1:30" x14ac:dyDescent="0.2">
      <c r="A47" s="14" t="s">
        <v>9</v>
      </c>
      <c r="B47" s="18" t="str">
        <f ca="1">GetNameRange(B48)</f>
        <v>PurchAssetsDefnBondCallPutPricePct</v>
      </c>
      <c r="C47" s="94">
        <f>Strategy!P51*C45+Strategy!P56*D45+Strategy!P58*'Purch Mtg Defn'!C39+Strategy!P60*AC45+Strategy!P54*L45</f>
        <v>8.6004842447198783E-3</v>
      </c>
      <c r="D47" s="313">
        <f>C47/C46</f>
        <v>0.89840183233589521</v>
      </c>
    </row>
    <row r="48" spans="1:30" s="72" customFormat="1" x14ac:dyDescent="0.2">
      <c r="A48" s="119" t="s">
        <v>403</v>
      </c>
      <c r="B48" s="69" t="s">
        <v>88</v>
      </c>
      <c r="C48" s="215" t="s">
        <v>481</v>
      </c>
      <c r="D48" s="215" t="s">
        <v>481</v>
      </c>
      <c r="E48" s="215" t="s">
        <v>481</v>
      </c>
      <c r="F48" s="215" t="s">
        <v>481</v>
      </c>
      <c r="G48" s="215" t="s">
        <v>481</v>
      </c>
      <c r="H48" s="215" t="s">
        <v>481</v>
      </c>
      <c r="I48" s="215" t="s">
        <v>481</v>
      </c>
      <c r="J48" s="215" t="s">
        <v>481</v>
      </c>
      <c r="K48" s="215" t="s">
        <v>481</v>
      </c>
      <c r="L48" s="215" t="s">
        <v>481</v>
      </c>
      <c r="M48" s="215" t="s">
        <v>481</v>
      </c>
      <c r="N48" s="215" t="s">
        <v>481</v>
      </c>
      <c r="O48" s="215" t="s">
        <v>481</v>
      </c>
      <c r="P48" s="215" t="s">
        <v>481</v>
      </c>
      <c r="Q48" s="215" t="s">
        <v>481</v>
      </c>
      <c r="R48" s="215" t="s">
        <v>481</v>
      </c>
      <c r="S48" s="215" t="s">
        <v>481</v>
      </c>
      <c r="T48" s="215" t="s">
        <v>481</v>
      </c>
      <c r="U48" s="215" t="s">
        <v>481</v>
      </c>
      <c r="V48" s="215" t="s">
        <v>481</v>
      </c>
      <c r="W48" s="215" t="s">
        <v>481</v>
      </c>
      <c r="X48" s="215" t="s">
        <v>481</v>
      </c>
      <c r="Y48" s="215" t="s">
        <v>481</v>
      </c>
      <c r="Z48" s="215" t="s">
        <v>482</v>
      </c>
      <c r="AA48" s="215" t="s">
        <v>482</v>
      </c>
    </row>
    <row r="49" spans="1:27" s="72" customFormat="1" x14ac:dyDescent="0.2">
      <c r="A49" s="70"/>
      <c r="B49" s="68" t="s">
        <v>365</v>
      </c>
      <c r="C49" s="32" t="s">
        <v>432</v>
      </c>
      <c r="D49" s="29" t="s">
        <v>89</v>
      </c>
      <c r="E49" s="32" t="s">
        <v>432</v>
      </c>
      <c r="F49" s="29" t="s">
        <v>89</v>
      </c>
      <c r="G49" s="29" t="s">
        <v>432</v>
      </c>
      <c r="H49" s="32" t="s">
        <v>432</v>
      </c>
      <c r="I49" s="29" t="s">
        <v>89</v>
      </c>
      <c r="J49" s="29" t="s">
        <v>89</v>
      </c>
      <c r="K49" s="29" t="s">
        <v>89</v>
      </c>
      <c r="L49" s="29" t="s">
        <v>89</v>
      </c>
      <c r="M49" s="29" t="s">
        <v>89</v>
      </c>
      <c r="N49" s="29" t="s">
        <v>89</v>
      </c>
      <c r="O49" s="29" t="s">
        <v>89</v>
      </c>
      <c r="P49" s="29" t="s">
        <v>89</v>
      </c>
      <c r="Q49" s="29" t="s">
        <v>89</v>
      </c>
      <c r="R49" s="29" t="s">
        <v>89</v>
      </c>
      <c r="S49" s="29" t="s">
        <v>89</v>
      </c>
      <c r="T49" s="29" t="s">
        <v>89</v>
      </c>
      <c r="U49" s="29" t="s">
        <v>89</v>
      </c>
      <c r="V49" s="29" t="s">
        <v>89</v>
      </c>
      <c r="W49" s="29" t="s">
        <v>89</v>
      </c>
      <c r="X49" s="29" t="s">
        <v>89</v>
      </c>
      <c r="Y49" s="29" t="s">
        <v>89</v>
      </c>
      <c r="Z49" s="32" t="s">
        <v>432</v>
      </c>
      <c r="AA49" s="29" t="s">
        <v>89</v>
      </c>
    </row>
    <row r="50" spans="1:27" x14ac:dyDescent="0.2">
      <c r="B50" s="45" t="s">
        <v>90</v>
      </c>
      <c r="C50" s="42"/>
      <c r="D50" s="44"/>
      <c r="E50" s="42"/>
      <c r="F50" s="44"/>
      <c r="G50" s="44"/>
      <c r="H50" s="42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2"/>
      <c r="AA50" s="44"/>
    </row>
    <row r="51" spans="1:27" x14ac:dyDescent="0.2">
      <c r="A51" s="90">
        <v>1</v>
      </c>
      <c r="B51" s="137">
        <v>1</v>
      </c>
      <c r="C51" s="97">
        <v>1</v>
      </c>
      <c r="D51" s="85">
        <v>1</v>
      </c>
      <c r="E51" s="97">
        <v>1</v>
      </c>
      <c r="F51" s="85">
        <v>1</v>
      </c>
      <c r="G51" s="85">
        <v>1</v>
      </c>
      <c r="H51" s="97">
        <v>1</v>
      </c>
      <c r="I51" s="85">
        <v>1</v>
      </c>
      <c r="J51" s="85">
        <v>1</v>
      </c>
      <c r="K51" s="85">
        <v>1</v>
      </c>
      <c r="L51" s="85">
        <v>1</v>
      </c>
      <c r="M51" s="85">
        <v>1</v>
      </c>
      <c r="N51" s="85">
        <v>1</v>
      </c>
      <c r="O51" s="85">
        <v>1</v>
      </c>
      <c r="P51" s="85">
        <v>1</v>
      </c>
      <c r="Q51" s="85">
        <v>1</v>
      </c>
      <c r="R51" s="85">
        <v>1</v>
      </c>
      <c r="S51" s="85">
        <v>1</v>
      </c>
      <c r="T51" s="85">
        <v>1</v>
      </c>
      <c r="U51" s="85">
        <v>1</v>
      </c>
      <c r="V51" s="85">
        <v>1</v>
      </c>
      <c r="W51" s="85">
        <v>1</v>
      </c>
      <c r="X51" s="85">
        <v>1</v>
      </c>
      <c r="Y51" s="85">
        <v>1</v>
      </c>
      <c r="Z51" s="97">
        <v>1</v>
      </c>
      <c r="AA51" s="85">
        <v>1</v>
      </c>
    </row>
    <row r="52" spans="1:27" x14ac:dyDescent="0.2">
      <c r="A52" s="90">
        <v>1</v>
      </c>
      <c r="B52" s="137">
        <v>12</v>
      </c>
      <c r="C52" s="97">
        <v>1</v>
      </c>
      <c r="D52" s="85">
        <v>1</v>
      </c>
      <c r="E52" s="97">
        <v>1</v>
      </c>
      <c r="F52" s="85">
        <v>1</v>
      </c>
      <c r="G52" s="85">
        <v>1</v>
      </c>
      <c r="H52" s="97">
        <v>1</v>
      </c>
      <c r="I52" s="85">
        <v>1</v>
      </c>
      <c r="J52" s="85">
        <v>1</v>
      </c>
      <c r="K52" s="85">
        <v>1</v>
      </c>
      <c r="L52" s="85">
        <v>1</v>
      </c>
      <c r="M52" s="85">
        <v>1</v>
      </c>
      <c r="N52" s="85">
        <v>1</v>
      </c>
      <c r="O52" s="85">
        <v>1</v>
      </c>
      <c r="P52" s="85">
        <v>1</v>
      </c>
      <c r="Q52" s="85">
        <v>1</v>
      </c>
      <c r="R52" s="85">
        <v>1</v>
      </c>
      <c r="S52" s="85">
        <v>1</v>
      </c>
      <c r="T52" s="85">
        <v>1</v>
      </c>
      <c r="U52" s="85">
        <v>1</v>
      </c>
      <c r="V52" s="85">
        <v>1</v>
      </c>
      <c r="W52" s="85">
        <v>1</v>
      </c>
      <c r="X52" s="85">
        <v>1</v>
      </c>
      <c r="Y52" s="85">
        <v>1</v>
      </c>
      <c r="Z52" s="97">
        <v>1</v>
      </c>
      <c r="AA52" s="85">
        <v>1</v>
      </c>
    </row>
    <row r="53" spans="1:27" x14ac:dyDescent="0.2">
      <c r="A53" s="90">
        <v>1</v>
      </c>
      <c r="B53" s="137">
        <v>60</v>
      </c>
      <c r="C53" s="97">
        <v>1</v>
      </c>
      <c r="D53" s="85">
        <v>1</v>
      </c>
      <c r="E53" s="97">
        <v>1</v>
      </c>
      <c r="F53" s="85">
        <v>1</v>
      </c>
      <c r="G53" s="85">
        <v>1</v>
      </c>
      <c r="H53" s="97">
        <v>1</v>
      </c>
      <c r="I53" s="85">
        <v>1</v>
      </c>
      <c r="J53" s="85">
        <v>1</v>
      </c>
      <c r="K53" s="85">
        <v>1</v>
      </c>
      <c r="L53" s="85">
        <v>1</v>
      </c>
      <c r="M53" s="85">
        <v>1</v>
      </c>
      <c r="N53" s="85">
        <v>1</v>
      </c>
      <c r="O53" s="85">
        <v>1</v>
      </c>
      <c r="P53" s="85">
        <v>1</v>
      </c>
      <c r="Q53" s="85">
        <v>1</v>
      </c>
      <c r="R53" s="85">
        <v>1</v>
      </c>
      <c r="S53" s="85">
        <v>1</v>
      </c>
      <c r="T53" s="85">
        <v>1</v>
      </c>
      <c r="U53" s="85">
        <v>1</v>
      </c>
      <c r="V53" s="85">
        <v>1</v>
      </c>
      <c r="W53" s="85">
        <v>1</v>
      </c>
      <c r="X53" s="85">
        <v>1</v>
      </c>
      <c r="Y53" s="85">
        <v>1</v>
      </c>
      <c r="Z53" s="97">
        <v>1</v>
      </c>
      <c r="AA53" s="85">
        <v>1</v>
      </c>
    </row>
    <row r="54" spans="1:27" x14ac:dyDescent="0.2">
      <c r="A54" s="90">
        <v>1</v>
      </c>
      <c r="B54" s="137">
        <v>120</v>
      </c>
      <c r="C54" s="97">
        <v>1</v>
      </c>
      <c r="D54" s="85">
        <v>1</v>
      </c>
      <c r="E54" s="97">
        <v>1</v>
      </c>
      <c r="F54" s="85">
        <v>1</v>
      </c>
      <c r="G54" s="85">
        <v>1</v>
      </c>
      <c r="H54" s="97">
        <v>1</v>
      </c>
      <c r="I54" s="85">
        <v>1</v>
      </c>
      <c r="J54" s="85">
        <v>1</v>
      </c>
      <c r="K54" s="85">
        <v>1</v>
      </c>
      <c r="L54" s="85">
        <v>1</v>
      </c>
      <c r="M54" s="85">
        <v>1</v>
      </c>
      <c r="N54" s="85">
        <v>1</v>
      </c>
      <c r="O54" s="85">
        <v>1</v>
      </c>
      <c r="P54" s="85">
        <v>1</v>
      </c>
      <c r="Q54" s="85">
        <v>1</v>
      </c>
      <c r="R54" s="85">
        <v>1</v>
      </c>
      <c r="S54" s="85">
        <v>1</v>
      </c>
      <c r="T54" s="85">
        <v>1</v>
      </c>
      <c r="U54" s="85">
        <v>1</v>
      </c>
      <c r="V54" s="85">
        <v>1</v>
      </c>
      <c r="W54" s="85">
        <v>1</v>
      </c>
      <c r="X54" s="85">
        <v>1</v>
      </c>
      <c r="Y54" s="85">
        <v>1</v>
      </c>
      <c r="Z54" s="97">
        <v>1</v>
      </c>
      <c r="AA54" s="85">
        <v>1</v>
      </c>
    </row>
    <row r="55" spans="1:27" x14ac:dyDescent="0.2">
      <c r="A55" s="90">
        <v>1</v>
      </c>
      <c r="B55" s="139">
        <v>999</v>
      </c>
      <c r="C55" s="140">
        <v>1</v>
      </c>
      <c r="D55" s="141">
        <v>1</v>
      </c>
      <c r="E55" s="140">
        <v>1</v>
      </c>
      <c r="F55" s="141">
        <v>1</v>
      </c>
      <c r="G55" s="141">
        <v>1</v>
      </c>
      <c r="H55" s="140">
        <v>1</v>
      </c>
      <c r="I55" s="141">
        <v>1</v>
      </c>
      <c r="J55" s="141">
        <v>1</v>
      </c>
      <c r="K55" s="141">
        <v>1</v>
      </c>
      <c r="L55" s="141">
        <v>1</v>
      </c>
      <c r="M55" s="141">
        <v>1</v>
      </c>
      <c r="N55" s="141">
        <v>1</v>
      </c>
      <c r="O55" s="141">
        <v>1</v>
      </c>
      <c r="P55" s="141">
        <v>1</v>
      </c>
      <c r="Q55" s="141">
        <v>1</v>
      </c>
      <c r="R55" s="141">
        <v>1</v>
      </c>
      <c r="S55" s="141">
        <v>1</v>
      </c>
      <c r="T55" s="141">
        <v>1</v>
      </c>
      <c r="U55" s="141">
        <v>1</v>
      </c>
      <c r="V55" s="141">
        <v>1</v>
      </c>
      <c r="W55" s="141">
        <v>1</v>
      </c>
      <c r="X55" s="141">
        <v>1</v>
      </c>
      <c r="Y55" s="141">
        <v>1</v>
      </c>
      <c r="Z55" s="140">
        <v>1</v>
      </c>
      <c r="AA55" s="141">
        <v>1</v>
      </c>
    </row>
    <row r="57" spans="1:27" x14ac:dyDescent="0.2">
      <c r="A57" s="14" t="s">
        <v>9</v>
      </c>
      <c r="B57" s="18" t="str">
        <f ca="1">GetNameRange(B58)</f>
        <v>PurchAssetsDefnBondSinkFundPrinPmtPct</v>
      </c>
    </row>
    <row r="58" spans="1:27" x14ac:dyDescent="0.2">
      <c r="A58" s="119" t="s">
        <v>403</v>
      </c>
      <c r="B58" s="142" t="s">
        <v>88</v>
      </c>
      <c r="C58" s="215" t="s">
        <v>481</v>
      </c>
      <c r="D58" s="215" t="s">
        <v>482</v>
      </c>
      <c r="E58" s="215" t="s">
        <v>481</v>
      </c>
      <c r="F58" s="215" t="s">
        <v>482</v>
      </c>
      <c r="G58" s="215" t="s">
        <v>481</v>
      </c>
      <c r="H58" s="215" t="s">
        <v>481</v>
      </c>
      <c r="I58" s="215" t="s">
        <v>482</v>
      </c>
      <c r="J58" s="215" t="s">
        <v>482</v>
      </c>
      <c r="K58" s="215" t="s">
        <v>482</v>
      </c>
      <c r="L58" s="215" t="s">
        <v>482</v>
      </c>
      <c r="M58" s="215" t="s">
        <v>482</v>
      </c>
      <c r="N58" s="215" t="s">
        <v>482</v>
      </c>
      <c r="O58" s="215" t="s">
        <v>482</v>
      </c>
      <c r="P58" s="215" t="s">
        <v>482</v>
      </c>
      <c r="Q58" s="215" t="s">
        <v>482</v>
      </c>
      <c r="R58" s="215" t="s">
        <v>482</v>
      </c>
      <c r="S58" s="215" t="s">
        <v>482</v>
      </c>
      <c r="T58" s="215" t="s">
        <v>482</v>
      </c>
      <c r="U58" s="215" t="s">
        <v>482</v>
      </c>
      <c r="V58" s="215" t="s">
        <v>482</v>
      </c>
      <c r="W58" s="215" t="s">
        <v>482</v>
      </c>
      <c r="X58" s="215" t="s">
        <v>482</v>
      </c>
      <c r="Y58" s="215" t="s">
        <v>482</v>
      </c>
    </row>
    <row r="59" spans="1:27" x14ac:dyDescent="0.2">
      <c r="B59" s="144" t="s">
        <v>90</v>
      </c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AA59" s="292"/>
    </row>
    <row r="60" spans="1:27" x14ac:dyDescent="0.2">
      <c r="A60" s="90">
        <v>0</v>
      </c>
      <c r="B60" s="146">
        <v>1</v>
      </c>
      <c r="C60" s="97">
        <v>0</v>
      </c>
      <c r="D60" s="97">
        <v>0</v>
      </c>
      <c r="E60" s="97">
        <v>0</v>
      </c>
      <c r="F60" s="97">
        <v>0</v>
      </c>
      <c r="G60" s="97">
        <v>0</v>
      </c>
      <c r="H60" s="97">
        <v>0</v>
      </c>
      <c r="I60" s="97">
        <v>0</v>
      </c>
      <c r="J60" s="97">
        <v>0</v>
      </c>
      <c r="K60" s="97">
        <v>0</v>
      </c>
      <c r="L60" s="97">
        <v>0</v>
      </c>
      <c r="M60" s="97">
        <v>0</v>
      </c>
      <c r="N60" s="97">
        <v>0</v>
      </c>
      <c r="O60" s="97">
        <v>0</v>
      </c>
      <c r="P60" s="97">
        <v>0</v>
      </c>
      <c r="Q60" s="97">
        <v>0</v>
      </c>
      <c r="R60" s="97">
        <v>0</v>
      </c>
      <c r="S60" s="97">
        <v>0</v>
      </c>
      <c r="T60" s="97">
        <v>0</v>
      </c>
      <c r="U60" s="97">
        <v>0</v>
      </c>
      <c r="V60" s="97">
        <v>0</v>
      </c>
      <c r="W60" s="97">
        <v>0</v>
      </c>
      <c r="X60" s="97">
        <v>0</v>
      </c>
      <c r="Y60" s="97">
        <v>0</v>
      </c>
      <c r="AA60" s="292"/>
    </row>
    <row r="61" spans="1:27" x14ac:dyDescent="0.2">
      <c r="A61" s="90">
        <v>0</v>
      </c>
      <c r="B61" s="146">
        <v>60</v>
      </c>
      <c r="C61" s="97">
        <v>0</v>
      </c>
      <c r="D61" s="97">
        <v>0</v>
      </c>
      <c r="E61" s="97">
        <v>0</v>
      </c>
      <c r="F61" s="97">
        <v>0</v>
      </c>
      <c r="G61" s="97">
        <v>0</v>
      </c>
      <c r="H61" s="97">
        <v>0</v>
      </c>
      <c r="I61" s="97">
        <v>0</v>
      </c>
      <c r="J61" s="97">
        <v>0</v>
      </c>
      <c r="K61" s="97">
        <v>0</v>
      </c>
      <c r="L61" s="97">
        <v>0</v>
      </c>
      <c r="M61" s="97">
        <v>0</v>
      </c>
      <c r="N61" s="97">
        <v>0</v>
      </c>
      <c r="O61" s="97">
        <v>0</v>
      </c>
      <c r="P61" s="97">
        <v>0</v>
      </c>
      <c r="Q61" s="97">
        <v>0</v>
      </c>
      <c r="R61" s="97">
        <v>0</v>
      </c>
      <c r="S61" s="97">
        <v>0</v>
      </c>
      <c r="T61" s="97">
        <v>0</v>
      </c>
      <c r="U61" s="97">
        <v>0</v>
      </c>
      <c r="V61" s="97">
        <v>0</v>
      </c>
      <c r="W61" s="97">
        <v>0</v>
      </c>
      <c r="X61" s="97">
        <v>0</v>
      </c>
      <c r="Y61" s="97">
        <v>0</v>
      </c>
      <c r="AA61" s="292"/>
    </row>
    <row r="62" spans="1:27" x14ac:dyDescent="0.2">
      <c r="A62" s="90">
        <v>0</v>
      </c>
      <c r="B62" s="146">
        <v>120</v>
      </c>
      <c r="C62" s="97">
        <v>0</v>
      </c>
      <c r="D62" s="97">
        <v>0</v>
      </c>
      <c r="E62" s="97">
        <v>0</v>
      </c>
      <c r="F62" s="97">
        <v>0</v>
      </c>
      <c r="G62" s="97">
        <v>0</v>
      </c>
      <c r="H62" s="97">
        <v>0</v>
      </c>
      <c r="I62" s="97">
        <v>0</v>
      </c>
      <c r="J62" s="97">
        <v>0</v>
      </c>
      <c r="K62" s="97">
        <v>0</v>
      </c>
      <c r="L62" s="97">
        <v>0</v>
      </c>
      <c r="M62" s="97">
        <v>0</v>
      </c>
      <c r="N62" s="97">
        <v>0</v>
      </c>
      <c r="O62" s="97">
        <v>0</v>
      </c>
      <c r="P62" s="97">
        <v>0</v>
      </c>
      <c r="Q62" s="97">
        <v>0</v>
      </c>
      <c r="R62" s="97">
        <v>0</v>
      </c>
      <c r="S62" s="97">
        <v>0</v>
      </c>
      <c r="T62" s="97">
        <v>0</v>
      </c>
      <c r="U62" s="97">
        <v>0</v>
      </c>
      <c r="V62" s="97">
        <v>0</v>
      </c>
      <c r="W62" s="97">
        <v>0</v>
      </c>
      <c r="X62" s="97">
        <v>0</v>
      </c>
      <c r="Y62" s="97">
        <v>0</v>
      </c>
      <c r="AA62" s="292"/>
    </row>
    <row r="63" spans="1:27" x14ac:dyDescent="0.2">
      <c r="A63" s="90">
        <v>0</v>
      </c>
      <c r="B63" s="146">
        <v>180</v>
      </c>
      <c r="C63" s="97">
        <v>0</v>
      </c>
      <c r="D63" s="97">
        <v>0</v>
      </c>
      <c r="E63" s="97">
        <v>0</v>
      </c>
      <c r="F63" s="97">
        <v>0</v>
      </c>
      <c r="G63" s="97">
        <v>0</v>
      </c>
      <c r="H63" s="97">
        <v>0</v>
      </c>
      <c r="I63" s="97">
        <v>0</v>
      </c>
      <c r="J63" s="97">
        <v>0</v>
      </c>
      <c r="K63" s="97">
        <v>0</v>
      </c>
      <c r="L63" s="97">
        <v>0</v>
      </c>
      <c r="M63" s="97">
        <v>0</v>
      </c>
      <c r="N63" s="97">
        <v>0</v>
      </c>
      <c r="O63" s="97">
        <v>0</v>
      </c>
      <c r="P63" s="97">
        <v>0</v>
      </c>
      <c r="Q63" s="97">
        <v>0</v>
      </c>
      <c r="R63" s="97">
        <v>0</v>
      </c>
      <c r="S63" s="97">
        <v>0</v>
      </c>
      <c r="T63" s="97">
        <v>0</v>
      </c>
      <c r="U63" s="97">
        <v>0</v>
      </c>
      <c r="V63" s="97">
        <v>0</v>
      </c>
      <c r="W63" s="97">
        <v>0</v>
      </c>
      <c r="X63" s="97">
        <v>0</v>
      </c>
      <c r="Y63" s="97">
        <v>0</v>
      </c>
      <c r="AA63" s="292"/>
    </row>
    <row r="64" spans="1:27" x14ac:dyDescent="0.2">
      <c r="A64" s="90">
        <v>0</v>
      </c>
      <c r="B64" s="146">
        <v>240</v>
      </c>
      <c r="C64" s="97">
        <v>0</v>
      </c>
      <c r="D64" s="97">
        <v>0</v>
      </c>
      <c r="E64" s="97">
        <v>0</v>
      </c>
      <c r="F64" s="97">
        <v>0</v>
      </c>
      <c r="G64" s="97">
        <v>0</v>
      </c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7">
        <v>0</v>
      </c>
      <c r="P64" s="97">
        <v>0</v>
      </c>
      <c r="Q64" s="97">
        <v>0</v>
      </c>
      <c r="R64" s="97">
        <v>0</v>
      </c>
      <c r="S64" s="97">
        <v>0</v>
      </c>
      <c r="T64" s="97">
        <v>0</v>
      </c>
      <c r="U64" s="97">
        <v>0</v>
      </c>
      <c r="V64" s="97">
        <v>0</v>
      </c>
      <c r="W64" s="97">
        <v>0</v>
      </c>
      <c r="X64" s="97">
        <v>0</v>
      </c>
      <c r="Y64" s="97">
        <v>0</v>
      </c>
    </row>
  </sheetData>
  <conditionalFormatting sqref="C6 C12:C14 I51:L55 I60:L64 C8:C10 D51:D55 D60:D64 C16:C44 AD12 AD16 C12:F12 U12:AA12 C16:F16 U16:AA16 H16:S16 H12:S12">
    <cfRule type="cellIs" dxfId="452" priority="423" operator="notEqual">
      <formula>$A6</formula>
    </cfRule>
  </conditionalFormatting>
  <conditionalFormatting sqref="C51:C55 Y51:Y55">
    <cfRule type="cellIs" dxfId="451" priority="417" operator="notEqual">
      <formula>$A51</formula>
    </cfRule>
  </conditionalFormatting>
  <conditionalFormatting sqref="C60:C64">
    <cfRule type="cellIs" dxfId="450" priority="416" operator="notEqual">
      <formula>$A60</formula>
    </cfRule>
  </conditionalFormatting>
  <conditionalFormatting sqref="C11">
    <cfRule type="cellIs" dxfId="449" priority="415" operator="notEqual">
      <formula>$A11</formula>
    </cfRule>
  </conditionalFormatting>
  <conditionalFormatting sqref="AD6 AD12:AD14 AD8:AD10 AD16:AD19">
    <cfRule type="cellIs" dxfId="448" priority="414" operator="notEqual">
      <formula>$A6</formula>
    </cfRule>
  </conditionalFormatting>
  <conditionalFormatting sqref="AD11">
    <cfRule type="cellIs" dxfId="447" priority="413" operator="notEqual">
      <formula>$A11</formula>
    </cfRule>
  </conditionalFormatting>
  <conditionalFormatting sqref="Z51:AA55">
    <cfRule type="cellIs" dxfId="446" priority="412" operator="notEqual">
      <formula>$A51</formula>
    </cfRule>
  </conditionalFormatting>
  <conditionalFormatting sqref="Y60:Y64">
    <cfRule type="cellIs" dxfId="445" priority="411" operator="notEqual">
      <formula>$A60</formula>
    </cfRule>
  </conditionalFormatting>
  <conditionalFormatting sqref="AD20:AD44">
    <cfRule type="cellIs" dxfId="444" priority="407" operator="notEqual">
      <formula>$A20</formula>
    </cfRule>
  </conditionalFormatting>
  <conditionalFormatting sqref="E8:F8 E12:F14 E16:F44 E10:F10">
    <cfRule type="cellIs" dxfId="443" priority="405" operator="notEqual">
      <formula>$A8</formula>
    </cfRule>
  </conditionalFormatting>
  <conditionalFormatting sqref="E11:F11">
    <cfRule type="cellIs" dxfId="442" priority="402" operator="notEqual">
      <formula>$A11</formula>
    </cfRule>
  </conditionalFormatting>
  <conditionalFormatting sqref="D8:F8 D12:F14 D6 D16:F19 D10:F10">
    <cfRule type="cellIs" dxfId="441" priority="399" operator="notEqual">
      <formula>$A6</formula>
    </cfRule>
  </conditionalFormatting>
  <conditionalFormatting sqref="D11:F11">
    <cfRule type="cellIs" dxfId="440" priority="398" operator="notEqual">
      <formula>$A11</formula>
    </cfRule>
  </conditionalFormatting>
  <conditionalFormatting sqref="D20:F44">
    <cfRule type="cellIs" dxfId="439" priority="396" operator="notEqual">
      <formula>$A20</formula>
    </cfRule>
  </conditionalFormatting>
  <conditionalFormatting sqref="J6 J12:J14 J8 J16:J44 J10">
    <cfRule type="cellIs" dxfId="438" priority="394" operator="notEqual">
      <formula>$A6</formula>
    </cfRule>
  </conditionalFormatting>
  <conditionalFormatting sqref="H51:H55">
    <cfRule type="cellIs" dxfId="437" priority="393" operator="notEqual">
      <formula>$A51</formula>
    </cfRule>
  </conditionalFormatting>
  <conditionalFormatting sqref="H60:H64">
    <cfRule type="cellIs" dxfId="436" priority="392" operator="notEqual">
      <formula>$A60</formula>
    </cfRule>
  </conditionalFormatting>
  <conditionalFormatting sqref="J11">
    <cfRule type="cellIs" dxfId="435" priority="391" operator="notEqual">
      <formula>$A11</formula>
    </cfRule>
  </conditionalFormatting>
  <conditionalFormatting sqref="H51:H55">
    <cfRule type="cellIs" dxfId="434" priority="389" operator="notEqual">
      <formula>$A51</formula>
    </cfRule>
  </conditionalFormatting>
  <conditionalFormatting sqref="J6 J12:J14 J8 J16:J19 J10">
    <cfRule type="cellIs" dxfId="433" priority="388" operator="notEqual">
      <formula>$A6</formula>
    </cfRule>
  </conditionalFormatting>
  <conditionalFormatting sqref="J11">
    <cfRule type="cellIs" dxfId="432" priority="387" operator="notEqual">
      <formula>$A11</formula>
    </cfRule>
  </conditionalFormatting>
  <conditionalFormatting sqref="H60:H64">
    <cfRule type="cellIs" dxfId="431" priority="386" operator="notEqual">
      <formula>$A60</formula>
    </cfRule>
  </conditionalFormatting>
  <conditionalFormatting sqref="J20:J44">
    <cfRule type="cellIs" dxfId="430" priority="385" operator="notEqual">
      <formula>$A20</formula>
    </cfRule>
  </conditionalFormatting>
  <conditionalFormatting sqref="D51:D55">
    <cfRule type="cellIs" dxfId="429" priority="383" operator="notEqual">
      <formula>$A51</formula>
    </cfRule>
  </conditionalFormatting>
  <conditionalFormatting sqref="F8 F12:F14 F16:F19 F10">
    <cfRule type="cellIs" dxfId="428" priority="382" operator="notEqual">
      <formula>$A8</formula>
    </cfRule>
  </conditionalFormatting>
  <conditionalFormatting sqref="F11">
    <cfRule type="cellIs" dxfId="427" priority="381" operator="notEqual">
      <formula>$A11</formula>
    </cfRule>
  </conditionalFormatting>
  <conditionalFormatting sqref="D60:D64">
    <cfRule type="cellIs" dxfId="426" priority="380" operator="notEqual">
      <formula>$A60</formula>
    </cfRule>
  </conditionalFormatting>
  <conditionalFormatting sqref="F20:F44">
    <cfRule type="cellIs" dxfId="425" priority="379" operator="notEqual">
      <formula>$A20</formula>
    </cfRule>
  </conditionalFormatting>
  <conditionalFormatting sqref="E6:F6">
    <cfRule type="cellIs" dxfId="424" priority="377" operator="notEqual">
      <formula>$A6</formula>
    </cfRule>
  </conditionalFormatting>
  <conditionalFormatting sqref="F6">
    <cfRule type="cellIs" dxfId="423" priority="376" operator="notEqual">
      <formula>$A6</formula>
    </cfRule>
  </conditionalFormatting>
  <conditionalFormatting sqref="K12:N14 K6:N6 K8:N8 K16:N19 K10:N10">
    <cfRule type="cellIs" dxfId="422" priority="374" operator="notEqual">
      <formula>$A6</formula>
    </cfRule>
  </conditionalFormatting>
  <conditionalFormatting sqref="K11:N11">
    <cfRule type="cellIs" dxfId="421" priority="373" operator="notEqual">
      <formula>$A11</formula>
    </cfRule>
  </conditionalFormatting>
  <conditionalFormatting sqref="K20:N44">
    <cfRule type="cellIs" dxfId="420" priority="371" operator="notEqual">
      <formula>$A20</formula>
    </cfRule>
  </conditionalFormatting>
  <conditionalFormatting sqref="M51:M55">
    <cfRule type="cellIs" dxfId="419" priority="369" operator="notEqual">
      <formula>$A51</formula>
    </cfRule>
  </conditionalFormatting>
  <conditionalFormatting sqref="O6 O12:O14 O8 O16:O19 O10">
    <cfRule type="cellIs" dxfId="418" priority="368" operator="notEqual">
      <formula>$A6</formula>
    </cfRule>
  </conditionalFormatting>
  <conditionalFormatting sqref="O11">
    <cfRule type="cellIs" dxfId="417" priority="367" operator="notEqual">
      <formula>$A11</formula>
    </cfRule>
  </conditionalFormatting>
  <conditionalFormatting sqref="M60:M64">
    <cfRule type="cellIs" dxfId="416" priority="366" operator="notEqual">
      <formula>$A60</formula>
    </cfRule>
  </conditionalFormatting>
  <conditionalFormatting sqref="O20:O44">
    <cfRule type="cellIs" dxfId="415" priority="365" operator="notEqual">
      <formula>$A20</formula>
    </cfRule>
  </conditionalFormatting>
  <conditionalFormatting sqref="R51:S55 W51:W55">
    <cfRule type="cellIs" dxfId="414" priority="363" operator="notEqual">
      <formula>$A51</formula>
    </cfRule>
  </conditionalFormatting>
  <conditionalFormatting sqref="U6:V6 U12:V14 Z12:Z14 Z6 Z8 U8:V10 Z16:Z19 U16:V19 Z10">
    <cfRule type="cellIs" dxfId="413" priority="362" operator="notEqual">
      <formula>$A6</formula>
    </cfRule>
  </conditionalFormatting>
  <conditionalFormatting sqref="U11:V11 Z11">
    <cfRule type="cellIs" dxfId="412" priority="361" operator="notEqual">
      <formula>$A11</formula>
    </cfRule>
  </conditionalFormatting>
  <conditionalFormatting sqref="R60:S64 W60:W64">
    <cfRule type="cellIs" dxfId="411" priority="360" operator="notEqual">
      <formula>$A60</formula>
    </cfRule>
  </conditionalFormatting>
  <conditionalFormatting sqref="U20:V44 Z20:Z44">
    <cfRule type="cellIs" dxfId="410" priority="359" operator="notEqual">
      <formula>$A20</formula>
    </cfRule>
  </conditionalFormatting>
  <conditionalFormatting sqref="Q51:Q55">
    <cfRule type="cellIs" dxfId="409" priority="357" operator="notEqual">
      <formula>$A51</formula>
    </cfRule>
  </conditionalFormatting>
  <conditionalFormatting sqref="S6 S12:S14 S8 S16:S19 S10">
    <cfRule type="cellIs" dxfId="408" priority="356" operator="notEqual">
      <formula>$A6</formula>
    </cfRule>
  </conditionalFormatting>
  <conditionalFormatting sqref="S11">
    <cfRule type="cellIs" dxfId="407" priority="355" operator="notEqual">
      <formula>$A11</formula>
    </cfRule>
  </conditionalFormatting>
  <conditionalFormatting sqref="Q60:Q64">
    <cfRule type="cellIs" dxfId="406" priority="354" operator="notEqual">
      <formula>$A60</formula>
    </cfRule>
  </conditionalFormatting>
  <conditionalFormatting sqref="S20:S44">
    <cfRule type="cellIs" dxfId="405" priority="353" operator="notEqual">
      <formula>$A20</formula>
    </cfRule>
  </conditionalFormatting>
  <conditionalFormatting sqref="N51:P55">
    <cfRule type="cellIs" dxfId="404" priority="351" operator="notEqual">
      <formula>$A51</formula>
    </cfRule>
  </conditionalFormatting>
  <conditionalFormatting sqref="P6:R6 P12:R14 P8:R8 P16:R19 P10:R10">
    <cfRule type="cellIs" dxfId="403" priority="350" operator="notEqual">
      <formula>$A6</formula>
    </cfRule>
  </conditionalFormatting>
  <conditionalFormatting sqref="P11:R11">
    <cfRule type="cellIs" dxfId="402" priority="349" operator="notEqual">
      <formula>$A11</formula>
    </cfRule>
  </conditionalFormatting>
  <conditionalFormatting sqref="N60:P64">
    <cfRule type="cellIs" dxfId="401" priority="348" operator="notEqual">
      <formula>$A60</formula>
    </cfRule>
  </conditionalFormatting>
  <conditionalFormatting sqref="P20:R44">
    <cfRule type="cellIs" dxfId="400" priority="347" operator="notEqual">
      <formula>$A20</formula>
    </cfRule>
  </conditionalFormatting>
  <conditionalFormatting sqref="X51:X55">
    <cfRule type="cellIs" dxfId="399" priority="345" operator="notEqual">
      <formula>$A51</formula>
    </cfRule>
  </conditionalFormatting>
  <conditionalFormatting sqref="AA6 AA12:AA14 AA8:AA10 AA16:AA19">
    <cfRule type="cellIs" dxfId="398" priority="344" operator="notEqual">
      <formula>$A6</formula>
    </cfRule>
  </conditionalFormatting>
  <conditionalFormatting sqref="AA11">
    <cfRule type="cellIs" dxfId="397" priority="343" operator="notEqual">
      <formula>$A11</formula>
    </cfRule>
  </conditionalFormatting>
  <conditionalFormatting sqref="X60:X64">
    <cfRule type="cellIs" dxfId="396" priority="342" operator="notEqual">
      <formula>$A60</formula>
    </cfRule>
  </conditionalFormatting>
  <conditionalFormatting sqref="AA20:AA44">
    <cfRule type="cellIs" dxfId="395" priority="341" operator="notEqual">
      <formula>$A20</formula>
    </cfRule>
  </conditionalFormatting>
  <conditionalFormatting sqref="V51:V55">
    <cfRule type="cellIs" dxfId="394" priority="339" operator="notEqual">
      <formula>$A51</formula>
    </cfRule>
  </conditionalFormatting>
  <conditionalFormatting sqref="Y6 Y12:Y14 Y8:Y10 Y16:Y19">
    <cfRule type="cellIs" dxfId="393" priority="338" operator="notEqual">
      <formula>$A6</formula>
    </cfRule>
  </conditionalFormatting>
  <conditionalFormatting sqref="Y11">
    <cfRule type="cellIs" dxfId="392" priority="337" operator="notEqual">
      <formula>$A11</formula>
    </cfRule>
  </conditionalFormatting>
  <conditionalFormatting sqref="V60:V64">
    <cfRule type="cellIs" dxfId="391" priority="336" operator="notEqual">
      <formula>$A60</formula>
    </cfRule>
  </conditionalFormatting>
  <conditionalFormatting sqref="Y20:Y44">
    <cfRule type="cellIs" dxfId="390" priority="335" operator="notEqual">
      <formula>$A20</formula>
    </cfRule>
  </conditionalFormatting>
  <conditionalFormatting sqref="T51:T55">
    <cfRule type="cellIs" dxfId="389" priority="333" operator="notEqual">
      <formula>$A51</formula>
    </cfRule>
  </conditionalFormatting>
  <conditionalFormatting sqref="W12:W14 W6 W8:W10 W16:W19">
    <cfRule type="cellIs" dxfId="388" priority="332" operator="notEqual">
      <formula>$A6</formula>
    </cfRule>
  </conditionalFormatting>
  <conditionalFormatting sqref="W11">
    <cfRule type="cellIs" dxfId="387" priority="331" operator="notEqual">
      <formula>$A11</formula>
    </cfRule>
  </conditionalFormatting>
  <conditionalFormatting sqref="T60:T64">
    <cfRule type="cellIs" dxfId="386" priority="330" operator="notEqual">
      <formula>$A60</formula>
    </cfRule>
  </conditionalFormatting>
  <conditionalFormatting sqref="W20:W44">
    <cfRule type="cellIs" dxfId="385" priority="329" operator="notEqual">
      <formula>$A20</formula>
    </cfRule>
  </conditionalFormatting>
  <conditionalFormatting sqref="U51:U55">
    <cfRule type="cellIs" dxfId="384" priority="327" operator="notEqual">
      <formula>$A51</formula>
    </cfRule>
  </conditionalFormatting>
  <conditionalFormatting sqref="X6 X12:X14 X8:X10 X16:X19">
    <cfRule type="cellIs" dxfId="383" priority="326" operator="notEqual">
      <formula>$A6</formula>
    </cfRule>
  </conditionalFormatting>
  <conditionalFormatting sqref="X11">
    <cfRule type="cellIs" dxfId="382" priority="325" operator="notEqual">
      <formula>$A11</formula>
    </cfRule>
  </conditionalFormatting>
  <conditionalFormatting sqref="U60:U64">
    <cfRule type="cellIs" dxfId="381" priority="324" operator="notEqual">
      <formula>$A60</formula>
    </cfRule>
  </conditionalFormatting>
  <conditionalFormatting sqref="X20:X44">
    <cfRule type="cellIs" dxfId="380" priority="323" operator="notEqual">
      <formula>$A20</formula>
    </cfRule>
  </conditionalFormatting>
  <conditionalFormatting sqref="H6 H12:H14 H8 H16:H44 H10">
    <cfRule type="cellIs" dxfId="379" priority="321" operator="notEqual">
      <formula>$A6</formula>
    </cfRule>
  </conditionalFormatting>
  <conditionalFormatting sqref="E51:E55">
    <cfRule type="cellIs" dxfId="378" priority="320" operator="notEqual">
      <formula>$A51</formula>
    </cfRule>
  </conditionalFormatting>
  <conditionalFormatting sqref="E60:E64">
    <cfRule type="cellIs" dxfId="377" priority="319" operator="notEqual">
      <formula>$A60</formula>
    </cfRule>
  </conditionalFormatting>
  <conditionalFormatting sqref="H11">
    <cfRule type="cellIs" dxfId="376" priority="318" operator="notEqual">
      <formula>$A11</formula>
    </cfRule>
  </conditionalFormatting>
  <conditionalFormatting sqref="E51:E55">
    <cfRule type="cellIs" dxfId="375" priority="316" operator="notEqual">
      <formula>$A51</formula>
    </cfRule>
  </conditionalFormatting>
  <conditionalFormatting sqref="H6 H12:H14 H8 H16:H19 H10">
    <cfRule type="cellIs" dxfId="374" priority="315" operator="notEqual">
      <formula>$A6</formula>
    </cfRule>
  </conditionalFormatting>
  <conditionalFormatting sqref="H11">
    <cfRule type="cellIs" dxfId="373" priority="314" operator="notEqual">
      <formula>$A11</formula>
    </cfRule>
  </conditionalFormatting>
  <conditionalFormatting sqref="E60:E64">
    <cfRule type="cellIs" dxfId="372" priority="313" operator="notEqual">
      <formula>$A60</formula>
    </cfRule>
  </conditionalFormatting>
  <conditionalFormatting sqref="H20:H44">
    <cfRule type="cellIs" dxfId="371" priority="312" operator="notEqual">
      <formula>$A20</formula>
    </cfRule>
  </conditionalFormatting>
  <conditionalFormatting sqref="F51:F55">
    <cfRule type="cellIs" dxfId="370" priority="310" operator="notEqual">
      <formula>$A51</formula>
    </cfRule>
  </conditionalFormatting>
  <conditionalFormatting sqref="I6 I12:I14 I8 I16:I19 I10">
    <cfRule type="cellIs" dxfId="369" priority="309" operator="notEqual">
      <formula>$A6</formula>
    </cfRule>
  </conditionalFormatting>
  <conditionalFormatting sqref="I11">
    <cfRule type="cellIs" dxfId="368" priority="308" operator="notEqual">
      <formula>$A11</formula>
    </cfRule>
  </conditionalFormatting>
  <conditionalFormatting sqref="F60:F64">
    <cfRule type="cellIs" dxfId="367" priority="307" operator="notEqual">
      <formula>$A60</formula>
    </cfRule>
  </conditionalFormatting>
  <conditionalFormatting sqref="I20:I44">
    <cfRule type="cellIs" dxfId="366" priority="306" operator="notEqual">
      <formula>$A20</formula>
    </cfRule>
  </conditionalFormatting>
  <conditionalFormatting sqref="C7">
    <cfRule type="cellIs" dxfId="365" priority="243" operator="notEqual">
      <formula>$A7</formula>
    </cfRule>
  </conditionalFormatting>
  <conditionalFormatting sqref="AD7">
    <cfRule type="cellIs" dxfId="364" priority="242" operator="notEqual">
      <formula>$A7</formula>
    </cfRule>
  </conditionalFormatting>
  <conditionalFormatting sqref="E7:F7">
    <cfRule type="cellIs" dxfId="363" priority="241" operator="notEqual">
      <formula>$A7</formula>
    </cfRule>
  </conditionalFormatting>
  <conditionalFormatting sqref="D7:F7">
    <cfRule type="cellIs" dxfId="362" priority="240" operator="notEqual">
      <formula>$A7</formula>
    </cfRule>
  </conditionalFormatting>
  <conditionalFormatting sqref="J7">
    <cfRule type="cellIs" dxfId="361" priority="239" operator="notEqual">
      <formula>$A7</formula>
    </cfRule>
  </conditionalFormatting>
  <conditionalFormatting sqref="J7">
    <cfRule type="cellIs" dxfId="360" priority="238" operator="notEqual">
      <formula>$A7</formula>
    </cfRule>
  </conditionalFormatting>
  <conditionalFormatting sqref="F7">
    <cfRule type="cellIs" dxfId="359" priority="237" operator="notEqual">
      <formula>$A7</formula>
    </cfRule>
  </conditionalFormatting>
  <conditionalFormatting sqref="K7:N7">
    <cfRule type="cellIs" dxfId="358" priority="236" operator="notEqual">
      <formula>$A7</formula>
    </cfRule>
  </conditionalFormatting>
  <conditionalFormatting sqref="O7">
    <cfRule type="cellIs" dxfId="357" priority="235" operator="notEqual">
      <formula>$A7</formula>
    </cfRule>
  </conditionalFormatting>
  <conditionalFormatting sqref="U7:V7 Z7">
    <cfRule type="cellIs" dxfId="356" priority="234" operator="notEqual">
      <formula>$A7</formula>
    </cfRule>
  </conditionalFormatting>
  <conditionalFormatting sqref="S7">
    <cfRule type="cellIs" dxfId="355" priority="233" operator="notEqual">
      <formula>$A7</formula>
    </cfRule>
  </conditionalFormatting>
  <conditionalFormatting sqref="P7:R7">
    <cfRule type="cellIs" dxfId="354" priority="232" operator="notEqual">
      <formula>$A7</formula>
    </cfRule>
  </conditionalFormatting>
  <conditionalFormatting sqref="AA7">
    <cfRule type="cellIs" dxfId="353" priority="231" operator="notEqual">
      <formula>$A7</formula>
    </cfRule>
  </conditionalFormatting>
  <conditionalFormatting sqref="Y7">
    <cfRule type="cellIs" dxfId="352" priority="230" operator="notEqual">
      <formula>$A7</formula>
    </cfRule>
  </conditionalFormatting>
  <conditionalFormatting sqref="W7">
    <cfRule type="cellIs" dxfId="351" priority="229" operator="notEqual">
      <formula>$A7</formula>
    </cfRule>
  </conditionalFormatting>
  <conditionalFormatting sqref="X7">
    <cfRule type="cellIs" dxfId="350" priority="228" operator="notEqual">
      <formula>$A7</formula>
    </cfRule>
  </conditionalFormatting>
  <conditionalFormatting sqref="H7">
    <cfRule type="cellIs" dxfId="349" priority="227" operator="notEqual">
      <formula>$A7</formula>
    </cfRule>
  </conditionalFormatting>
  <conditionalFormatting sqref="H7">
    <cfRule type="cellIs" dxfId="348" priority="226" operator="notEqual">
      <formula>$A7</formula>
    </cfRule>
  </conditionalFormatting>
  <conditionalFormatting sqref="I7">
    <cfRule type="cellIs" dxfId="347" priority="225" operator="notEqual">
      <formula>$A7</formula>
    </cfRule>
  </conditionalFormatting>
  <conditionalFormatting sqref="AE16">
    <cfRule type="cellIs" dxfId="346" priority="182" operator="notEqual">
      <formula>$A16</formula>
    </cfRule>
  </conditionalFormatting>
  <conditionalFormatting sqref="AE12">
    <cfRule type="cellIs" dxfId="345" priority="181" operator="notEqual">
      <formula>$A12</formula>
    </cfRule>
  </conditionalFormatting>
  <conditionalFormatting sqref="AE12">
    <cfRule type="cellIs" dxfId="344" priority="180" operator="notEqual">
      <formula>$A12</formula>
    </cfRule>
  </conditionalFormatting>
  <conditionalFormatting sqref="C15">
    <cfRule type="cellIs" dxfId="343" priority="179" operator="notEqual">
      <formula>$A15</formula>
    </cfRule>
  </conditionalFormatting>
  <conditionalFormatting sqref="AD15">
    <cfRule type="cellIs" dxfId="342" priority="178" operator="notEqual">
      <formula>$A15</formula>
    </cfRule>
  </conditionalFormatting>
  <conditionalFormatting sqref="E15:F15">
    <cfRule type="cellIs" dxfId="341" priority="177" operator="notEqual">
      <formula>$A15</formula>
    </cfRule>
  </conditionalFormatting>
  <conditionalFormatting sqref="D15:F15">
    <cfRule type="cellIs" dxfId="340" priority="176" operator="notEqual">
      <formula>$A15</formula>
    </cfRule>
  </conditionalFormatting>
  <conditionalFormatting sqref="J15">
    <cfRule type="cellIs" dxfId="339" priority="175" operator="notEqual">
      <formula>$A15</formula>
    </cfRule>
  </conditionalFormatting>
  <conditionalFormatting sqref="J15">
    <cfRule type="cellIs" dxfId="338" priority="174" operator="notEqual">
      <formula>$A15</formula>
    </cfRule>
  </conditionalFormatting>
  <conditionalFormatting sqref="F15">
    <cfRule type="cellIs" dxfId="337" priority="173" operator="notEqual">
      <formula>$A15</formula>
    </cfRule>
  </conditionalFormatting>
  <conditionalFormatting sqref="K15:N15">
    <cfRule type="cellIs" dxfId="336" priority="172" operator="notEqual">
      <formula>$A15</formula>
    </cfRule>
  </conditionalFormatting>
  <conditionalFormatting sqref="O15">
    <cfRule type="cellIs" dxfId="335" priority="171" operator="notEqual">
      <formula>$A15</formula>
    </cfRule>
  </conditionalFormatting>
  <conditionalFormatting sqref="U15:V15 Z15">
    <cfRule type="cellIs" dxfId="334" priority="170" operator="notEqual">
      <formula>$A15</formula>
    </cfRule>
  </conditionalFormatting>
  <conditionalFormatting sqref="S15">
    <cfRule type="cellIs" dxfId="333" priority="169" operator="notEqual">
      <formula>$A15</formula>
    </cfRule>
  </conditionalFormatting>
  <conditionalFormatting sqref="P15:R15">
    <cfRule type="cellIs" dxfId="332" priority="168" operator="notEqual">
      <formula>$A15</formula>
    </cfRule>
  </conditionalFormatting>
  <conditionalFormatting sqref="AA15">
    <cfRule type="cellIs" dxfId="331" priority="167" operator="notEqual">
      <formula>$A15</formula>
    </cfRule>
  </conditionalFormatting>
  <conditionalFormatting sqref="Y15">
    <cfRule type="cellIs" dxfId="330" priority="166" operator="notEqual">
      <formula>$A15</formula>
    </cfRule>
  </conditionalFormatting>
  <conditionalFormatting sqref="W15">
    <cfRule type="cellIs" dxfId="329" priority="165" operator="notEqual">
      <formula>$A15</formula>
    </cfRule>
  </conditionalFormatting>
  <conditionalFormatting sqref="X15">
    <cfRule type="cellIs" dxfId="328" priority="164" operator="notEqual">
      <formula>$A15</formula>
    </cfRule>
  </conditionalFormatting>
  <conditionalFormatting sqref="H15">
    <cfRule type="cellIs" dxfId="327" priority="163" operator="notEqual">
      <formula>$A15</formula>
    </cfRule>
  </conditionalFormatting>
  <conditionalFormatting sqref="H15">
    <cfRule type="cellIs" dxfId="326" priority="162" operator="notEqual">
      <formula>$A15</formula>
    </cfRule>
  </conditionalFormatting>
  <conditionalFormatting sqref="I15">
    <cfRule type="cellIs" dxfId="325" priority="161" operator="notEqual">
      <formula>$A15</formula>
    </cfRule>
  </conditionalFormatting>
  <conditionalFormatting sqref="AB12 AB16">
    <cfRule type="cellIs" dxfId="324" priority="90" operator="notEqual">
      <formula>$A12</formula>
    </cfRule>
  </conditionalFormatting>
  <conditionalFormatting sqref="AB6 AB12:AB14 AB8:AB10 AB16:AB19">
    <cfRule type="cellIs" dxfId="323" priority="89" operator="notEqual">
      <formula>$A6</formula>
    </cfRule>
  </conditionalFormatting>
  <conditionalFormatting sqref="AB11">
    <cfRule type="cellIs" dxfId="322" priority="88" operator="notEqual">
      <formula>$A11</formula>
    </cfRule>
  </conditionalFormatting>
  <conditionalFormatting sqref="AB20:AB44">
    <cfRule type="cellIs" dxfId="321" priority="87" operator="notEqual">
      <formula>$A20</formula>
    </cfRule>
  </conditionalFormatting>
  <conditionalFormatting sqref="AB7">
    <cfRule type="cellIs" dxfId="320" priority="85" operator="notEqual">
      <formula>$A7</formula>
    </cfRule>
  </conditionalFormatting>
  <conditionalFormatting sqref="AB15">
    <cfRule type="cellIs" dxfId="319" priority="83" operator="notEqual">
      <formula>$A15</formula>
    </cfRule>
  </conditionalFormatting>
  <conditionalFormatting sqref="AC12 AC16">
    <cfRule type="cellIs" dxfId="318" priority="77" operator="notEqual">
      <formula>$A12</formula>
    </cfRule>
  </conditionalFormatting>
  <conditionalFormatting sqref="AC6 AC12:AC14 AC8 AC16:AC19 AC10">
    <cfRule type="cellIs" dxfId="317" priority="76" operator="notEqual">
      <formula>$A6</formula>
    </cfRule>
  </conditionalFormatting>
  <conditionalFormatting sqref="AC11">
    <cfRule type="cellIs" dxfId="316" priority="75" operator="notEqual">
      <formula>$A11</formula>
    </cfRule>
  </conditionalFormatting>
  <conditionalFormatting sqref="AC20:AC44">
    <cfRule type="cellIs" dxfId="315" priority="74" operator="notEqual">
      <formula>$A20</formula>
    </cfRule>
  </conditionalFormatting>
  <conditionalFormatting sqref="AC7">
    <cfRule type="cellIs" dxfId="314" priority="72" operator="notEqual">
      <formula>$A7</formula>
    </cfRule>
  </conditionalFormatting>
  <conditionalFormatting sqref="AC15">
    <cfRule type="cellIs" dxfId="313" priority="70" operator="notEqual">
      <formula>$A15</formula>
    </cfRule>
  </conditionalFormatting>
  <conditionalFormatting sqref="T12 T16">
    <cfRule type="cellIs" dxfId="312" priority="58" operator="notEqual">
      <formula>$A12</formula>
    </cfRule>
  </conditionalFormatting>
  <conditionalFormatting sqref="T6 T12:T14 T8:T10 T16:T19 T9:Y9 AA9">
    <cfRule type="cellIs" dxfId="311" priority="57" operator="notEqual">
      <formula>$A6</formula>
    </cfRule>
  </conditionalFormatting>
  <conditionalFormatting sqref="T11">
    <cfRule type="cellIs" dxfId="310" priority="56" operator="notEqual">
      <formula>$A11</formula>
    </cfRule>
  </conditionalFormatting>
  <conditionalFormatting sqref="T20:T44">
    <cfRule type="cellIs" dxfId="309" priority="55" operator="notEqual">
      <formula>$A20</formula>
    </cfRule>
  </conditionalFormatting>
  <conditionalFormatting sqref="T7">
    <cfRule type="cellIs" dxfId="308" priority="53" operator="notEqual">
      <formula>$A7</formula>
    </cfRule>
  </conditionalFormatting>
  <conditionalFormatting sqref="T15">
    <cfRule type="cellIs" dxfId="307" priority="51" operator="notEqual">
      <formula>$A15</formula>
    </cfRule>
  </conditionalFormatting>
  <conditionalFormatting sqref="AC9">
    <cfRule type="cellIs" dxfId="306" priority="36" operator="notEqual">
      <formula>$A9</formula>
    </cfRule>
  </conditionalFormatting>
  <conditionalFormatting sqref="D9:F9 H9:S9">
    <cfRule type="cellIs" dxfId="305" priority="35" operator="notEqual">
      <formula>$A9</formula>
    </cfRule>
  </conditionalFormatting>
  <conditionalFormatting sqref="D9:F9 H9:S9">
    <cfRule type="cellIs" dxfId="304" priority="34" operator="notEqual">
      <formula>$A9</formula>
    </cfRule>
  </conditionalFormatting>
  <conditionalFormatting sqref="Z9">
    <cfRule type="cellIs" dxfId="303" priority="27" operator="notEqual">
      <formula>$A9</formula>
    </cfRule>
  </conditionalFormatting>
  <conditionalFormatting sqref="Z9">
    <cfRule type="cellIs" dxfId="302" priority="26" operator="notEqual">
      <formula>$A9</formula>
    </cfRule>
  </conditionalFormatting>
  <conditionalFormatting sqref="G12 G16">
    <cfRule type="cellIs" dxfId="301" priority="25" operator="notEqual">
      <formula>$A12</formula>
    </cfRule>
  </conditionalFormatting>
  <conditionalFormatting sqref="G8 G12:G14 G16:G44 G10">
    <cfRule type="cellIs" dxfId="300" priority="24" operator="notEqual">
      <formula>$A8</formula>
    </cfRule>
  </conditionalFormatting>
  <conditionalFormatting sqref="G11">
    <cfRule type="cellIs" dxfId="299" priority="23" operator="notEqual">
      <formula>$A11</formula>
    </cfRule>
  </conditionalFormatting>
  <conditionalFormatting sqref="G8 G12:G14 G16:G19 G10">
    <cfRule type="cellIs" dxfId="298" priority="21" operator="notEqual">
      <formula>$A8</formula>
    </cfRule>
  </conditionalFormatting>
  <conditionalFormatting sqref="G11">
    <cfRule type="cellIs" dxfId="297" priority="20" operator="notEqual">
      <formula>$A11</formula>
    </cfRule>
  </conditionalFormatting>
  <conditionalFormatting sqref="G20:G44">
    <cfRule type="cellIs" dxfId="296" priority="19" operator="notEqual">
      <formula>$A20</formula>
    </cfRule>
  </conditionalFormatting>
  <conditionalFormatting sqref="G8 G12:G14 G16:G19 G10">
    <cfRule type="cellIs" dxfId="295" priority="17" operator="notEqual">
      <formula>$A8</formula>
    </cfRule>
  </conditionalFormatting>
  <conditionalFormatting sqref="G11">
    <cfRule type="cellIs" dxfId="294" priority="16" operator="notEqual">
      <formula>$A11</formula>
    </cfRule>
  </conditionalFormatting>
  <conditionalFormatting sqref="G20:G44">
    <cfRule type="cellIs" dxfId="293" priority="15" operator="notEqual">
      <formula>$A20</formula>
    </cfRule>
  </conditionalFormatting>
  <conditionalFormatting sqref="G6">
    <cfRule type="cellIs" dxfId="292" priority="13" operator="notEqual">
      <formula>$A6</formula>
    </cfRule>
  </conditionalFormatting>
  <conditionalFormatting sqref="G6">
    <cfRule type="cellIs" dxfId="291" priority="12" operator="notEqual">
      <formula>$A6</formula>
    </cfRule>
  </conditionalFormatting>
  <conditionalFormatting sqref="G51:G55">
    <cfRule type="cellIs" dxfId="290" priority="11" operator="notEqual">
      <formula>$A51</formula>
    </cfRule>
  </conditionalFormatting>
  <conditionalFormatting sqref="G60:G64">
    <cfRule type="cellIs" dxfId="289" priority="10" operator="notEqual">
      <formula>$A60</formula>
    </cfRule>
  </conditionalFormatting>
  <conditionalFormatting sqref="G7">
    <cfRule type="cellIs" dxfId="288" priority="9" operator="notEqual">
      <formula>$A7</formula>
    </cfRule>
  </conditionalFormatting>
  <conditionalFormatting sqref="G7">
    <cfRule type="cellIs" dxfId="287" priority="8" operator="notEqual">
      <formula>$A7</formula>
    </cfRule>
  </conditionalFormatting>
  <conditionalFormatting sqref="G7">
    <cfRule type="cellIs" dxfId="286" priority="7" operator="notEqual">
      <formula>$A7</formula>
    </cfRule>
  </conditionalFormatting>
  <conditionalFormatting sqref="G15">
    <cfRule type="cellIs" dxfId="285" priority="5" operator="notEqual">
      <formula>$A15</formula>
    </cfRule>
  </conditionalFormatting>
  <conditionalFormatting sqref="G15">
    <cfRule type="cellIs" dxfId="284" priority="4" operator="notEqual">
      <formula>$A15</formula>
    </cfRule>
  </conditionalFormatting>
  <conditionalFormatting sqref="G15">
    <cfRule type="cellIs" dxfId="283" priority="3" operator="notEqual">
      <formula>$A15</formula>
    </cfRule>
  </conditionalFormatting>
  <conditionalFormatting sqref="G9">
    <cfRule type="cellIs" dxfId="282" priority="2" operator="notEqual">
      <formula>$A9</formula>
    </cfRule>
  </conditionalFormatting>
  <conditionalFormatting sqref="G9">
    <cfRule type="cellIs" dxfId="281" priority="1" operator="notEqual">
      <formula>$A9</formula>
    </cfRule>
  </conditionalFormatting>
  <dataValidations count="6">
    <dataValidation type="list" allowBlank="1" showInputMessage="1" showErrorMessage="1" sqref="C12:F12 H12:AE12" xr:uid="{00000000-0002-0000-0C00-000000000000}">
      <formula1>"Refinancing Rate,Fixed Rate,Floating Rate"</formula1>
    </dataValidation>
    <dataValidation type="list" allowBlank="1" showInputMessage="1" showErrorMessage="1" sqref="C13:F13 H13:AD13" xr:uid="{00000000-0002-0000-0C00-000001000000}">
      <formula1>"Semi-Annual,Monthly,Quarterly,Annual"</formula1>
    </dataValidation>
    <dataValidation type="list" allowBlank="1" showInputMessage="1" showErrorMessage="1" sqref="C25:F25 H25:AD25" xr:uid="{00000000-0002-0000-0C00-000002000000}">
      <formula1>"Price Schedule,Yield Maintenance,Cash Flow Maintenance,Related to Coupon"</formula1>
    </dataValidation>
    <dataValidation type="list" allowBlank="1" showInputMessage="1" showErrorMessage="1" sqref="H35:AD35 C35:F35 C27:F27 H27:AD27" xr:uid="{00000000-0002-0000-0C00-000003000000}">
      <formula1>"Not Applicable,American,European"</formula1>
    </dataValidation>
    <dataValidation type="list" allowBlank="1" showInputMessage="1" showErrorMessage="1" sqref="C33:F33 H33:AD33" xr:uid="{00000000-0002-0000-0C00-000004000000}">
      <formula1>"Price Schedule,Related to Coupon"</formula1>
    </dataValidation>
    <dataValidation type="list" allowBlank="1" showInputMessage="1" showErrorMessage="1" sqref="C40:F40 H40:AD40" xr:uid="{00000000-0002-0000-0C00-000005000000}">
      <formula1>"Yes,No"</formula1>
    </dataValidation>
  </dataValidations>
  <hyperlinks>
    <hyperlink ref="A1" location="'Table of Contents'!A1" display="Go to TOC" xr:uid="{00000000-0004-0000-0C00-000000000000}"/>
    <hyperlink ref="A47" location="'Table of Contents'!A1" display="Go to TOC" xr:uid="{00000000-0004-0000-0C00-000001000000}"/>
    <hyperlink ref="A48" location="'Purch Bond Defn'!B26" display="Back To Main" xr:uid="{00000000-0004-0000-0C00-000002000000}"/>
    <hyperlink ref="A57" location="'Table of Contents'!A1" display="Go to TOC" xr:uid="{00000000-0004-0000-0C00-000003000000}"/>
    <hyperlink ref="A58" location="'Purch Bond Defn'!B39" display="Back To Main" xr:uid="{00000000-0004-0000-0C00-000004000000}"/>
    <hyperlink ref="B28" location="PurchAssetsDefnBondCallPutPricePct" display="purch_bond_call_price_pct" xr:uid="{00000000-0004-0000-0C00-000005000000}"/>
    <hyperlink ref="B36" location="PurchAssetsDefnBondCallPutPricePct" display="purch_bond_put_price_pct" xr:uid="{00000000-0004-0000-0C00-000006000000}"/>
    <hyperlink ref="B41" location="PurchAssetsDefnBondSinkFundPrinPmtPct" display="purch_bond_sinking_fund_prin_pmt_pct" xr:uid="{00000000-0004-0000-0C00-000007000000}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M57"/>
  <sheetViews>
    <sheetView showGridLines="0" zoomScale="80" zoomScaleNormal="80" workbookViewId="0">
      <selection activeCell="B1" sqref="B1:B1048576"/>
    </sheetView>
  </sheetViews>
  <sheetFormatPr defaultColWidth="15.5703125" defaultRowHeight="12.75" x14ac:dyDescent="0.2"/>
  <cols>
    <col min="1" max="1" width="15.5703125" style="24"/>
    <col min="2" max="2" width="32.42578125" style="20" customWidth="1"/>
    <col min="3" max="16384" width="15.5703125" style="20"/>
  </cols>
  <sheetData>
    <row r="1" spans="1:13" ht="15.75" x14ac:dyDescent="0.2">
      <c r="A1" s="23" t="s">
        <v>9</v>
      </c>
      <c r="B1" s="19" t="s">
        <v>428</v>
      </c>
    </row>
    <row r="3" spans="1:13" x14ac:dyDescent="0.2">
      <c r="B3" s="18" t="str">
        <f ca="1">GetNameRange(B4)</f>
        <v>PurchAssetsDefnMtg</v>
      </c>
    </row>
    <row r="4" spans="1:13" s="72" customFormat="1" x14ac:dyDescent="0.2">
      <c r="A4" s="123"/>
      <c r="B4" s="125" t="s">
        <v>88</v>
      </c>
      <c r="C4" s="161" t="s">
        <v>669</v>
      </c>
      <c r="D4" s="161" t="s">
        <v>647</v>
      </c>
      <c r="E4" s="161" t="s">
        <v>648</v>
      </c>
      <c r="F4" s="161" t="s">
        <v>687</v>
      </c>
      <c r="G4" s="161" t="s">
        <v>649</v>
      </c>
      <c r="H4" s="161" t="s">
        <v>650</v>
      </c>
      <c r="I4" s="161" t="s">
        <v>670</v>
      </c>
      <c r="J4" s="20"/>
      <c r="K4" s="20"/>
      <c r="L4" s="20"/>
      <c r="M4" s="20"/>
    </row>
    <row r="5" spans="1:13" x14ac:dyDescent="0.2">
      <c r="A5" s="76" t="s">
        <v>8</v>
      </c>
      <c r="B5" s="127" t="s">
        <v>0</v>
      </c>
      <c r="C5" s="173"/>
      <c r="D5" s="173"/>
      <c r="E5" s="173"/>
      <c r="F5" s="173"/>
      <c r="G5" s="173"/>
      <c r="H5" s="173"/>
      <c r="I5" s="173"/>
    </row>
    <row r="6" spans="1:13" x14ac:dyDescent="0.2">
      <c r="A6" s="86" t="s">
        <v>6</v>
      </c>
      <c r="B6" s="128" t="s">
        <v>515</v>
      </c>
      <c r="C6" s="180" t="s">
        <v>618</v>
      </c>
      <c r="D6" s="180" t="s">
        <v>618</v>
      </c>
      <c r="E6" s="180" t="s">
        <v>618</v>
      </c>
      <c r="F6" s="180" t="s">
        <v>624</v>
      </c>
      <c r="G6" s="180" t="s">
        <v>618</v>
      </c>
      <c r="H6" s="180" t="s">
        <v>618</v>
      </c>
      <c r="I6" s="180" t="s">
        <v>618</v>
      </c>
    </row>
    <row r="7" spans="1:13" x14ac:dyDescent="0.2">
      <c r="A7" s="86" t="s">
        <v>6</v>
      </c>
      <c r="B7" s="128" t="s">
        <v>91</v>
      </c>
      <c r="C7" s="180" t="s">
        <v>618</v>
      </c>
      <c r="D7" s="180" t="s">
        <v>618</v>
      </c>
      <c r="E7" s="180" t="s">
        <v>618</v>
      </c>
      <c r="F7" s="180" t="s">
        <v>624</v>
      </c>
      <c r="G7" s="180" t="s">
        <v>618</v>
      </c>
      <c r="H7" s="180" t="s">
        <v>618</v>
      </c>
      <c r="I7" s="180" t="s">
        <v>618</v>
      </c>
    </row>
    <row r="8" spans="1:13" x14ac:dyDescent="0.2">
      <c r="A8" s="86" t="s">
        <v>48</v>
      </c>
      <c r="B8" s="128" t="s">
        <v>92</v>
      </c>
      <c r="C8" s="180" t="s">
        <v>48</v>
      </c>
      <c r="D8" s="180" t="s">
        <v>48</v>
      </c>
      <c r="E8" s="180" t="s">
        <v>48</v>
      </c>
      <c r="F8" s="180" t="s">
        <v>48</v>
      </c>
      <c r="G8" s="180" t="s">
        <v>48</v>
      </c>
      <c r="H8" s="180" t="s">
        <v>48</v>
      </c>
      <c r="I8" s="180" t="s">
        <v>48</v>
      </c>
    </row>
    <row r="9" spans="1:13" x14ac:dyDescent="0.2">
      <c r="A9" s="86" t="s">
        <v>51</v>
      </c>
      <c r="B9" s="128" t="s">
        <v>93</v>
      </c>
      <c r="C9" s="337" t="s">
        <v>51</v>
      </c>
      <c r="D9" s="337" t="s">
        <v>51</v>
      </c>
      <c r="E9" s="337" t="s">
        <v>51</v>
      </c>
      <c r="F9" s="337" t="s">
        <v>51</v>
      </c>
      <c r="G9" s="337" t="s">
        <v>51</v>
      </c>
      <c r="H9" s="337" t="s">
        <v>51</v>
      </c>
      <c r="I9" s="337" t="s">
        <v>51</v>
      </c>
    </row>
    <row r="10" spans="1:13" x14ac:dyDescent="0.2">
      <c r="A10" s="86">
        <v>0</v>
      </c>
      <c r="B10" s="128" t="s">
        <v>94</v>
      </c>
      <c r="C10" s="180">
        <v>30</v>
      </c>
      <c r="D10" s="180">
        <v>30</v>
      </c>
      <c r="E10" s="180">
        <v>30</v>
      </c>
      <c r="F10" s="295">
        <v>5</v>
      </c>
      <c r="G10" s="180">
        <v>30</v>
      </c>
      <c r="H10" s="180">
        <v>30</v>
      </c>
      <c r="I10" s="180">
        <v>30</v>
      </c>
    </row>
    <row r="11" spans="1:13" x14ac:dyDescent="0.2">
      <c r="A11" s="86">
        <v>0</v>
      </c>
      <c r="B11" s="128" t="s">
        <v>95</v>
      </c>
      <c r="C11" s="180">
        <v>0</v>
      </c>
      <c r="D11" s="180">
        <v>0</v>
      </c>
      <c r="E11" s="180">
        <v>0</v>
      </c>
      <c r="F11" s="180">
        <v>0</v>
      </c>
      <c r="G11" s="180">
        <v>0</v>
      </c>
      <c r="H11" s="180">
        <v>0</v>
      </c>
      <c r="I11" s="180">
        <v>0</v>
      </c>
    </row>
    <row r="12" spans="1:13" x14ac:dyDescent="0.2">
      <c r="A12" s="86" t="s">
        <v>85</v>
      </c>
      <c r="B12" s="128" t="s">
        <v>96</v>
      </c>
      <c r="C12" s="293" t="s">
        <v>150</v>
      </c>
      <c r="D12" s="293" t="s">
        <v>150</v>
      </c>
      <c r="E12" s="293" t="s">
        <v>150</v>
      </c>
      <c r="F12" s="293" t="s">
        <v>150</v>
      </c>
      <c r="G12" s="293" t="s">
        <v>150</v>
      </c>
      <c r="H12" s="293" t="s">
        <v>150</v>
      </c>
      <c r="I12" s="293" t="s">
        <v>150</v>
      </c>
      <c r="J12"/>
    </row>
    <row r="13" spans="1:13" x14ac:dyDescent="0.2">
      <c r="A13" s="86" t="s">
        <v>120</v>
      </c>
      <c r="B13" s="128" t="s">
        <v>97</v>
      </c>
      <c r="C13" s="180" t="s">
        <v>120</v>
      </c>
      <c r="D13" s="180" t="s">
        <v>120</v>
      </c>
      <c r="E13" s="180" t="s">
        <v>120</v>
      </c>
      <c r="F13" s="180" t="s">
        <v>120</v>
      </c>
      <c r="G13" s="180" t="s">
        <v>120</v>
      </c>
      <c r="H13" s="180" t="s">
        <v>120</v>
      </c>
      <c r="I13" s="180" t="s">
        <v>120</v>
      </c>
      <c r="J13"/>
    </row>
    <row r="14" spans="1:13" x14ac:dyDescent="0.2">
      <c r="A14" s="90">
        <v>0</v>
      </c>
      <c r="B14" s="128" t="s">
        <v>98</v>
      </c>
      <c r="C14" s="147">
        <v>0</v>
      </c>
      <c r="D14" s="147">
        <v>0</v>
      </c>
      <c r="E14" s="147">
        <v>0</v>
      </c>
      <c r="F14" s="147">
        <v>0</v>
      </c>
      <c r="G14" s="147">
        <v>0</v>
      </c>
      <c r="H14" s="147">
        <v>0</v>
      </c>
      <c r="I14" s="147">
        <v>0</v>
      </c>
      <c r="J14"/>
    </row>
    <row r="15" spans="1:13" x14ac:dyDescent="0.2">
      <c r="A15" s="90">
        <v>0</v>
      </c>
      <c r="B15" s="128" t="s">
        <v>99</v>
      </c>
      <c r="C15" s="147">
        <v>0</v>
      </c>
      <c r="D15" s="147">
        <v>0</v>
      </c>
      <c r="E15" s="147">
        <v>0</v>
      </c>
      <c r="F15" s="147">
        <v>0</v>
      </c>
      <c r="G15" s="147">
        <v>0</v>
      </c>
      <c r="H15" s="147">
        <v>0</v>
      </c>
      <c r="I15" s="147">
        <v>0</v>
      </c>
      <c r="J15"/>
    </row>
    <row r="16" spans="1:13" x14ac:dyDescent="0.2">
      <c r="A16" s="90" t="s">
        <v>52</v>
      </c>
      <c r="B16" s="128" t="s">
        <v>511</v>
      </c>
      <c r="C16" s="293" t="s">
        <v>618</v>
      </c>
      <c r="D16" s="293" t="s">
        <v>618</v>
      </c>
      <c r="E16" s="293" t="s">
        <v>618</v>
      </c>
      <c r="F16" s="293" t="s">
        <v>624</v>
      </c>
      <c r="G16" s="293" t="s">
        <v>618</v>
      </c>
      <c r="H16" s="293" t="s">
        <v>618</v>
      </c>
      <c r="I16" s="293" t="s">
        <v>618</v>
      </c>
      <c r="J16"/>
    </row>
    <row r="17" spans="1:11" x14ac:dyDescent="0.2">
      <c r="A17" s="86">
        <v>0.25</v>
      </c>
      <c r="B17" s="128" t="s">
        <v>100</v>
      </c>
      <c r="C17" s="293">
        <f>C34</f>
        <v>2</v>
      </c>
      <c r="D17" s="293">
        <f t="shared" ref="D17:I17" si="0">D34</f>
        <v>3</v>
      </c>
      <c r="E17" s="293">
        <f t="shared" si="0"/>
        <v>5</v>
      </c>
      <c r="F17" s="293">
        <v>5</v>
      </c>
      <c r="G17" s="293">
        <f t="shared" si="0"/>
        <v>10</v>
      </c>
      <c r="H17" s="293">
        <f t="shared" si="0"/>
        <v>15</v>
      </c>
      <c r="I17" s="293">
        <f t="shared" si="0"/>
        <v>20</v>
      </c>
      <c r="J17"/>
    </row>
    <row r="18" spans="1:11" x14ac:dyDescent="0.2">
      <c r="A18" s="88">
        <v>1</v>
      </c>
      <c r="B18" s="128" t="s">
        <v>101</v>
      </c>
      <c r="C18" s="184">
        <v>1</v>
      </c>
      <c r="D18" s="184">
        <v>1</v>
      </c>
      <c r="E18" s="184">
        <v>1</v>
      </c>
      <c r="F18" s="184">
        <v>1</v>
      </c>
      <c r="G18" s="184">
        <v>1</v>
      </c>
      <c r="H18" s="184">
        <v>1</v>
      </c>
      <c r="I18" s="184">
        <v>1</v>
      </c>
    </row>
    <row r="19" spans="1:11" x14ac:dyDescent="0.2">
      <c r="A19" s="90">
        <v>0</v>
      </c>
      <c r="B19" s="128" t="s">
        <v>102</v>
      </c>
      <c r="C19" s="147">
        <v>0</v>
      </c>
      <c r="D19" s="147">
        <v>0</v>
      </c>
      <c r="E19" s="147">
        <v>0</v>
      </c>
      <c r="F19" s="147">
        <v>0</v>
      </c>
      <c r="G19" s="147">
        <v>0</v>
      </c>
      <c r="H19" s="147">
        <v>0</v>
      </c>
      <c r="I19" s="147">
        <v>0</v>
      </c>
    </row>
    <row r="20" spans="1:11" x14ac:dyDescent="0.2">
      <c r="A20" s="90">
        <v>0</v>
      </c>
      <c r="B20" s="128" t="s">
        <v>103</v>
      </c>
      <c r="C20" s="147">
        <v>0</v>
      </c>
      <c r="D20" s="147">
        <v>0</v>
      </c>
      <c r="E20" s="147">
        <v>0</v>
      </c>
      <c r="F20" s="147">
        <v>0</v>
      </c>
      <c r="G20" s="147">
        <v>0</v>
      </c>
      <c r="H20" s="147">
        <v>0</v>
      </c>
      <c r="I20" s="147">
        <v>0</v>
      </c>
    </row>
    <row r="21" spans="1:11" x14ac:dyDescent="0.2">
      <c r="A21" s="86">
        <v>12</v>
      </c>
      <c r="B21" s="128" t="s">
        <v>104</v>
      </c>
      <c r="C21" s="263">
        <v>12</v>
      </c>
      <c r="D21" s="263">
        <v>12</v>
      </c>
      <c r="E21" s="263">
        <v>12</v>
      </c>
      <c r="F21" s="263">
        <v>12</v>
      </c>
      <c r="G21" s="263">
        <v>12</v>
      </c>
      <c r="H21" s="263">
        <v>12</v>
      </c>
      <c r="I21" s="263">
        <v>12</v>
      </c>
    </row>
    <row r="22" spans="1:11" x14ac:dyDescent="0.2">
      <c r="A22" s="90">
        <v>1</v>
      </c>
      <c r="B22" s="128" t="s">
        <v>105</v>
      </c>
      <c r="C22" s="264">
        <v>1</v>
      </c>
      <c r="D22" s="264">
        <v>1</v>
      </c>
      <c r="E22" s="264">
        <v>1</v>
      </c>
      <c r="F22" s="264">
        <v>1</v>
      </c>
      <c r="G22" s="264">
        <v>1</v>
      </c>
      <c r="H22" s="264">
        <v>1</v>
      </c>
      <c r="I22" s="264">
        <v>1</v>
      </c>
    </row>
    <row r="23" spans="1:11" x14ac:dyDescent="0.2">
      <c r="A23" s="90">
        <v>1</v>
      </c>
      <c r="B23" s="128" t="s">
        <v>106</v>
      </c>
      <c r="C23" s="264">
        <v>1</v>
      </c>
      <c r="D23" s="264">
        <v>1</v>
      </c>
      <c r="E23" s="264">
        <v>1</v>
      </c>
      <c r="F23" s="264">
        <v>1</v>
      </c>
      <c r="G23" s="264">
        <v>1</v>
      </c>
      <c r="H23" s="264">
        <v>1</v>
      </c>
      <c r="I23" s="264">
        <v>1</v>
      </c>
    </row>
    <row r="24" spans="1:11" x14ac:dyDescent="0.2">
      <c r="A24" s="90">
        <v>1</v>
      </c>
      <c r="B24" s="128" t="s">
        <v>107</v>
      </c>
      <c r="C24" s="264">
        <v>1</v>
      </c>
      <c r="D24" s="264">
        <v>1</v>
      </c>
      <c r="E24" s="264">
        <v>1</v>
      </c>
      <c r="F24" s="264">
        <v>1</v>
      </c>
      <c r="G24" s="264">
        <v>1</v>
      </c>
      <c r="H24" s="264">
        <v>1</v>
      </c>
      <c r="I24" s="264">
        <v>1</v>
      </c>
    </row>
    <row r="25" spans="1:11" x14ac:dyDescent="0.2">
      <c r="A25" s="90">
        <v>1</v>
      </c>
      <c r="B25" s="128" t="s">
        <v>108</v>
      </c>
      <c r="C25" s="264">
        <v>1</v>
      </c>
      <c r="D25" s="264">
        <v>1</v>
      </c>
      <c r="E25" s="264">
        <v>1</v>
      </c>
      <c r="F25" s="264">
        <v>1</v>
      </c>
      <c r="G25" s="264">
        <v>1</v>
      </c>
      <c r="H25" s="264">
        <v>1</v>
      </c>
      <c r="I25" s="264">
        <v>1</v>
      </c>
    </row>
    <row r="26" spans="1:11" x14ac:dyDescent="0.2">
      <c r="A26" s="86" t="s">
        <v>39</v>
      </c>
      <c r="B26" s="128" t="s">
        <v>109</v>
      </c>
      <c r="C26" s="263" t="s">
        <v>39</v>
      </c>
      <c r="D26" s="263" t="s">
        <v>39</v>
      </c>
      <c r="E26" s="263" t="s">
        <v>39</v>
      </c>
      <c r="F26" s="263" t="s">
        <v>39</v>
      </c>
      <c r="G26" s="263" t="s">
        <v>39</v>
      </c>
      <c r="H26" s="263" t="s">
        <v>39</v>
      </c>
      <c r="I26" s="263" t="s">
        <v>39</v>
      </c>
      <c r="K26" s="292"/>
    </row>
    <row r="27" spans="1:11" x14ac:dyDescent="0.2">
      <c r="A27" s="86">
        <v>999</v>
      </c>
      <c r="B27" s="128" t="s">
        <v>110</v>
      </c>
      <c r="C27" s="263">
        <v>999</v>
      </c>
      <c r="D27" s="263">
        <v>999</v>
      </c>
      <c r="E27" s="263">
        <v>999</v>
      </c>
      <c r="F27" s="263">
        <v>999</v>
      </c>
      <c r="G27" s="263">
        <v>999</v>
      </c>
      <c r="H27" s="263">
        <v>999</v>
      </c>
      <c r="I27" s="263">
        <v>999</v>
      </c>
      <c r="K27" s="292"/>
    </row>
    <row r="28" spans="1:11" x14ac:dyDescent="0.2">
      <c r="A28" s="90">
        <v>0</v>
      </c>
      <c r="B28" s="156" t="s">
        <v>427</v>
      </c>
      <c r="C28" s="264">
        <v>0</v>
      </c>
      <c r="D28" s="264">
        <v>0</v>
      </c>
      <c r="E28" s="264">
        <v>0</v>
      </c>
      <c r="F28" s="264">
        <v>0</v>
      </c>
      <c r="G28" s="264">
        <v>0</v>
      </c>
      <c r="H28" s="264">
        <v>0</v>
      </c>
      <c r="I28" s="264">
        <v>0</v>
      </c>
    </row>
    <row r="29" spans="1:11" x14ac:dyDescent="0.2">
      <c r="A29" s="90">
        <v>0</v>
      </c>
      <c r="B29" s="128" t="s">
        <v>111</v>
      </c>
      <c r="C29" s="264">
        <v>0</v>
      </c>
      <c r="D29" s="264">
        <v>0</v>
      </c>
      <c r="E29" s="264">
        <v>0</v>
      </c>
      <c r="F29" s="264">
        <v>0</v>
      </c>
      <c r="G29" s="264">
        <v>0</v>
      </c>
      <c r="H29" s="264">
        <v>0</v>
      </c>
      <c r="I29" s="264">
        <v>0</v>
      </c>
    </row>
    <row r="30" spans="1:11" x14ac:dyDescent="0.2">
      <c r="A30" s="88">
        <v>1</v>
      </c>
      <c r="B30" s="128" t="s">
        <v>112</v>
      </c>
      <c r="C30" s="265">
        <v>1</v>
      </c>
      <c r="D30" s="265">
        <v>1</v>
      </c>
      <c r="E30" s="265">
        <v>1</v>
      </c>
      <c r="F30" s="265">
        <v>1</v>
      </c>
      <c r="G30" s="265">
        <v>1</v>
      </c>
      <c r="H30" s="265">
        <v>1</v>
      </c>
      <c r="I30" s="265">
        <v>1</v>
      </c>
    </row>
    <row r="31" spans="1:11" x14ac:dyDescent="0.2">
      <c r="A31" s="90">
        <v>0</v>
      </c>
      <c r="B31" s="128" t="s">
        <v>113</v>
      </c>
      <c r="C31" s="264">
        <v>0</v>
      </c>
      <c r="D31" s="264">
        <v>0</v>
      </c>
      <c r="E31" s="264">
        <v>0</v>
      </c>
      <c r="F31" s="264">
        <v>0</v>
      </c>
      <c r="G31" s="264">
        <v>0</v>
      </c>
      <c r="H31" s="264">
        <v>0</v>
      </c>
      <c r="I31" s="264">
        <v>0</v>
      </c>
    </row>
    <row r="32" spans="1:11" x14ac:dyDescent="0.2">
      <c r="A32" s="86">
        <v>999</v>
      </c>
      <c r="B32" s="128" t="s">
        <v>114</v>
      </c>
      <c r="C32" s="263">
        <v>999</v>
      </c>
      <c r="D32" s="263">
        <v>999</v>
      </c>
      <c r="E32" s="263">
        <v>999</v>
      </c>
      <c r="F32" s="263">
        <v>999</v>
      </c>
      <c r="G32" s="263">
        <v>999</v>
      </c>
      <c r="H32" s="263">
        <v>999</v>
      </c>
      <c r="I32" s="263">
        <v>999</v>
      </c>
    </row>
    <row r="33" spans="1:9" ht="25.5" x14ac:dyDescent="0.2">
      <c r="A33" s="86" t="s">
        <v>5</v>
      </c>
      <c r="B33" s="128" t="s">
        <v>559</v>
      </c>
      <c r="C33" s="263" t="s">
        <v>688</v>
      </c>
      <c r="D33" s="263" t="s">
        <v>688</v>
      </c>
      <c r="E33" s="263" t="s">
        <v>688</v>
      </c>
      <c r="F33" s="311" t="s">
        <v>5</v>
      </c>
      <c r="G33" s="263" t="s">
        <v>688</v>
      </c>
      <c r="H33" s="263" t="s">
        <v>688</v>
      </c>
      <c r="I33" s="263" t="s">
        <v>688</v>
      </c>
    </row>
    <row r="34" spans="1:9" x14ac:dyDescent="0.2">
      <c r="A34" s="86">
        <v>999.99</v>
      </c>
      <c r="B34" s="128" t="s">
        <v>115</v>
      </c>
      <c r="C34" s="180">
        <v>2</v>
      </c>
      <c r="D34" s="180">
        <v>3</v>
      </c>
      <c r="E34" s="180">
        <v>5</v>
      </c>
      <c r="F34" s="293">
        <v>5</v>
      </c>
      <c r="G34" s="180">
        <v>10</v>
      </c>
      <c r="H34" s="180">
        <v>15</v>
      </c>
      <c r="I34" s="180">
        <v>20</v>
      </c>
    </row>
    <row r="35" spans="1:9" x14ac:dyDescent="0.2">
      <c r="A35" s="90">
        <v>0</v>
      </c>
      <c r="B35" s="156" t="s">
        <v>560</v>
      </c>
      <c r="C35" s="264">
        <v>0</v>
      </c>
      <c r="D35" s="264">
        <v>0</v>
      </c>
      <c r="E35" s="264">
        <v>0</v>
      </c>
      <c r="F35" s="264">
        <v>0</v>
      </c>
      <c r="G35" s="264">
        <v>0</v>
      </c>
      <c r="H35" s="264">
        <v>0</v>
      </c>
      <c r="I35" s="264">
        <v>0</v>
      </c>
    </row>
    <row r="36" spans="1:9" x14ac:dyDescent="0.2">
      <c r="A36" s="90">
        <v>0</v>
      </c>
      <c r="B36" s="128" t="s">
        <v>116</v>
      </c>
      <c r="C36" s="264">
        <v>0</v>
      </c>
      <c r="D36" s="264">
        <v>0</v>
      </c>
      <c r="E36" s="264">
        <v>0</v>
      </c>
      <c r="F36" s="264">
        <v>0</v>
      </c>
      <c r="G36" s="264">
        <v>0</v>
      </c>
      <c r="H36" s="264">
        <v>0</v>
      </c>
      <c r="I36" s="264">
        <v>0</v>
      </c>
    </row>
    <row r="37" spans="1:9" x14ac:dyDescent="0.2">
      <c r="A37" s="90">
        <v>0</v>
      </c>
      <c r="B37" s="128" t="s">
        <v>117</v>
      </c>
      <c r="C37" s="264">
        <v>0</v>
      </c>
      <c r="D37" s="264">
        <v>0</v>
      </c>
      <c r="E37" s="264">
        <v>0</v>
      </c>
      <c r="F37" s="264">
        <v>0</v>
      </c>
      <c r="G37" s="264">
        <v>0</v>
      </c>
      <c r="H37" s="264">
        <v>0</v>
      </c>
      <c r="I37" s="264">
        <v>0</v>
      </c>
    </row>
    <row r="38" spans="1:9" x14ac:dyDescent="0.2">
      <c r="A38" s="90">
        <v>0</v>
      </c>
      <c r="B38" s="128" t="s">
        <v>118</v>
      </c>
      <c r="C38" s="264">
        <v>0</v>
      </c>
      <c r="D38" s="264">
        <v>0</v>
      </c>
      <c r="E38" s="264">
        <v>0</v>
      </c>
      <c r="F38" s="264">
        <v>0</v>
      </c>
      <c r="G38" s="264">
        <v>0</v>
      </c>
      <c r="H38" s="264">
        <v>0</v>
      </c>
      <c r="I38" s="264">
        <v>0</v>
      </c>
    </row>
    <row r="39" spans="1:9" x14ac:dyDescent="0.2">
      <c r="A39" s="90">
        <v>0</v>
      </c>
      <c r="B39" s="155" t="s">
        <v>119</v>
      </c>
      <c r="C39" s="327">
        <v>1.3540187633772871E-2</v>
      </c>
      <c r="D39" s="328">
        <f>$C39</f>
        <v>1.3540187633772871E-2</v>
      </c>
      <c r="E39" s="328">
        <f>$C39</f>
        <v>1.3540187633772871E-2</v>
      </c>
      <c r="F39" s="327">
        <v>5.2613300519803148E-3</v>
      </c>
      <c r="G39" s="328">
        <f>$C39</f>
        <v>1.3540187633772871E-2</v>
      </c>
      <c r="H39" s="328">
        <f>$C39</f>
        <v>1.3540187633772871E-2</v>
      </c>
      <c r="I39" s="328">
        <f>$C39</f>
        <v>1.3540187633772871E-2</v>
      </c>
    </row>
    <row r="41" spans="1:9" x14ac:dyDescent="0.2">
      <c r="A41" s="14" t="s">
        <v>9</v>
      </c>
      <c r="B41" s="18" t="str">
        <f ca="1">GetNameRange(B42)</f>
        <v>PurchAssetsDefnMtgPrepmtPenaltyPct</v>
      </c>
    </row>
    <row r="42" spans="1:9" x14ac:dyDescent="0.2">
      <c r="A42" s="119" t="s">
        <v>403</v>
      </c>
      <c r="B42" s="142" t="s">
        <v>88</v>
      </c>
      <c r="C42" s="161" t="s">
        <v>148</v>
      </c>
    </row>
    <row r="43" spans="1:9" x14ac:dyDescent="0.2">
      <c r="B43" s="144" t="s">
        <v>90</v>
      </c>
      <c r="C43" s="162"/>
    </row>
    <row r="44" spans="1:9" x14ac:dyDescent="0.2">
      <c r="A44" s="91">
        <v>0</v>
      </c>
      <c r="B44" s="146">
        <v>1</v>
      </c>
      <c r="C44" s="147">
        <v>0</v>
      </c>
    </row>
    <row r="45" spans="1:9" x14ac:dyDescent="0.2">
      <c r="A45" s="91">
        <v>0</v>
      </c>
      <c r="B45" s="146">
        <v>24</v>
      </c>
      <c r="C45" s="147">
        <v>0</v>
      </c>
    </row>
    <row r="46" spans="1:9" x14ac:dyDescent="0.2">
      <c r="A46" s="91">
        <v>0</v>
      </c>
      <c r="B46" s="146">
        <v>60</v>
      </c>
      <c r="C46" s="147">
        <v>0</v>
      </c>
    </row>
    <row r="47" spans="1:9" x14ac:dyDescent="0.2">
      <c r="A47" s="91">
        <v>0</v>
      </c>
      <c r="B47" s="146">
        <v>120</v>
      </c>
      <c r="C47" s="147">
        <v>0</v>
      </c>
    </row>
    <row r="48" spans="1:9" x14ac:dyDescent="0.2">
      <c r="A48" s="91">
        <v>0</v>
      </c>
      <c r="B48" s="146">
        <v>999</v>
      </c>
      <c r="C48" s="147">
        <v>0</v>
      </c>
    </row>
    <row r="50" spans="1:9" x14ac:dyDescent="0.2">
      <c r="A50" s="14" t="s">
        <v>9</v>
      </c>
      <c r="B50" s="18" t="str">
        <f ca="1">GetNameRange(B51)</f>
        <v>PurchAssetsDefnMtgBalloonPrinPmtPct</v>
      </c>
    </row>
    <row r="51" spans="1:9" x14ac:dyDescent="0.2">
      <c r="A51" s="224" t="s">
        <v>403</v>
      </c>
      <c r="B51" s="142" t="s">
        <v>88</v>
      </c>
      <c r="C51" s="161" t="s">
        <v>561</v>
      </c>
      <c r="D51" s="161" t="s">
        <v>561</v>
      </c>
      <c r="E51" s="161" t="s">
        <v>561</v>
      </c>
      <c r="F51" s="161" t="s">
        <v>561</v>
      </c>
      <c r="G51" s="161" t="s">
        <v>561</v>
      </c>
      <c r="H51" s="161" t="s">
        <v>561</v>
      </c>
      <c r="I51" s="161" t="s">
        <v>561</v>
      </c>
    </row>
    <row r="52" spans="1:9" x14ac:dyDescent="0.2">
      <c r="B52" s="144" t="s">
        <v>90</v>
      </c>
      <c r="C52" s="162"/>
      <c r="D52" s="162"/>
      <c r="E52" s="162"/>
      <c r="F52" s="162"/>
      <c r="G52" s="162"/>
      <c r="H52" s="162"/>
      <c r="I52" s="162"/>
    </row>
    <row r="53" spans="1:9" x14ac:dyDescent="0.2">
      <c r="A53" s="91">
        <v>0</v>
      </c>
      <c r="B53" s="146">
        <v>1</v>
      </c>
      <c r="C53" s="147">
        <v>0</v>
      </c>
      <c r="D53" s="147">
        <v>0</v>
      </c>
      <c r="E53" s="147">
        <v>0</v>
      </c>
      <c r="F53" s="147">
        <v>0</v>
      </c>
      <c r="G53" s="147">
        <v>0</v>
      </c>
      <c r="H53" s="147">
        <v>0</v>
      </c>
      <c r="I53" s="147">
        <v>0</v>
      </c>
    </row>
    <row r="54" spans="1:9" x14ac:dyDescent="0.2">
      <c r="A54" s="91">
        <v>0</v>
      </c>
      <c r="B54" s="146">
        <v>24</v>
      </c>
      <c r="C54" s="147">
        <v>0</v>
      </c>
      <c r="D54" s="147">
        <v>0</v>
      </c>
      <c r="E54" s="147">
        <v>0</v>
      </c>
      <c r="F54" s="147">
        <v>0</v>
      </c>
      <c r="G54" s="147">
        <v>0</v>
      </c>
      <c r="H54" s="147">
        <v>0</v>
      </c>
      <c r="I54" s="147">
        <v>0</v>
      </c>
    </row>
    <row r="55" spans="1:9" x14ac:dyDescent="0.2">
      <c r="A55" s="91">
        <v>0</v>
      </c>
      <c r="B55" s="146">
        <v>60</v>
      </c>
      <c r="C55" s="147">
        <v>0</v>
      </c>
      <c r="D55" s="147">
        <v>0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</row>
    <row r="56" spans="1:9" x14ac:dyDescent="0.2">
      <c r="A56" s="91">
        <v>0</v>
      </c>
      <c r="B56" s="146">
        <v>120</v>
      </c>
      <c r="C56" s="147">
        <v>0</v>
      </c>
      <c r="D56" s="147">
        <v>0</v>
      </c>
      <c r="E56" s="147">
        <v>0</v>
      </c>
      <c r="F56" s="147">
        <v>0</v>
      </c>
      <c r="G56" s="147">
        <v>0</v>
      </c>
      <c r="H56" s="147">
        <v>0</v>
      </c>
      <c r="I56" s="147">
        <v>0</v>
      </c>
    </row>
    <row r="57" spans="1:9" x14ac:dyDescent="0.2">
      <c r="A57" s="91">
        <v>0</v>
      </c>
      <c r="B57" s="225">
        <v>999</v>
      </c>
      <c r="C57" s="163">
        <v>0</v>
      </c>
      <c r="D57" s="163">
        <v>0</v>
      </c>
      <c r="E57" s="163">
        <v>0</v>
      </c>
      <c r="F57" s="163">
        <v>0</v>
      </c>
      <c r="G57" s="163">
        <v>0</v>
      </c>
      <c r="H57" s="163">
        <v>0</v>
      </c>
      <c r="I57" s="163">
        <v>0</v>
      </c>
    </row>
  </sheetData>
  <conditionalFormatting sqref="I6 I8:I15 I17:I20">
    <cfRule type="cellIs" dxfId="280" priority="83" operator="notEqual">
      <formula>$A6</formula>
    </cfRule>
  </conditionalFormatting>
  <conditionalFormatting sqref="C44:C48">
    <cfRule type="cellIs" dxfId="279" priority="82" operator="notEqual">
      <formula>$A44</formula>
    </cfRule>
  </conditionalFormatting>
  <conditionalFormatting sqref="C6 C8:C15 C10:I10 C12:I12 C17:I17 C17:C20">
    <cfRule type="cellIs" dxfId="278" priority="78" operator="notEqual">
      <formula>$A6</formula>
    </cfRule>
  </conditionalFormatting>
  <conditionalFormatting sqref="I53:I57">
    <cfRule type="cellIs" dxfId="277" priority="79" operator="notEqual">
      <formula>$A53</formula>
    </cfRule>
  </conditionalFormatting>
  <conditionalFormatting sqref="D6 D8:D15 D17:D20">
    <cfRule type="cellIs" dxfId="276" priority="75" operator="notEqual">
      <formula>$A6</formula>
    </cfRule>
  </conditionalFormatting>
  <conditionalFormatting sqref="C53:C57">
    <cfRule type="cellIs" dxfId="275" priority="76" operator="notEqual">
      <formula>$A53</formula>
    </cfRule>
  </conditionalFormatting>
  <conditionalFormatting sqref="F6 F8:F15 F17:F20">
    <cfRule type="cellIs" dxfId="274" priority="72" operator="notEqual">
      <formula>$A6</formula>
    </cfRule>
  </conditionalFormatting>
  <conditionalFormatting sqref="D53:D57">
    <cfRule type="cellIs" dxfId="273" priority="73" operator="notEqual">
      <formula>$A53</formula>
    </cfRule>
  </conditionalFormatting>
  <conditionalFormatting sqref="H6 H8 H17:H20 H10:H15">
    <cfRule type="cellIs" dxfId="272" priority="69" operator="notEqual">
      <formula>$A6</formula>
    </cfRule>
  </conditionalFormatting>
  <conditionalFormatting sqref="F53:F57">
    <cfRule type="cellIs" dxfId="271" priority="70" operator="notEqual">
      <formula>$A53</formula>
    </cfRule>
  </conditionalFormatting>
  <conditionalFormatting sqref="H53:H57">
    <cfRule type="cellIs" dxfId="270" priority="67" operator="notEqual">
      <formula>$A53</formula>
    </cfRule>
  </conditionalFormatting>
  <conditionalFormatting sqref="G6 G8:G15 G17:G20">
    <cfRule type="cellIs" dxfId="269" priority="66" operator="notEqual">
      <formula>$A6</formula>
    </cfRule>
  </conditionalFormatting>
  <conditionalFormatting sqref="G53:G57">
    <cfRule type="cellIs" dxfId="268" priority="64" operator="notEqual">
      <formula>$A53</formula>
    </cfRule>
  </conditionalFormatting>
  <conditionalFormatting sqref="E6 E8 E17:E20 E10:E15">
    <cfRule type="cellIs" dxfId="267" priority="63" operator="notEqual">
      <formula>$A6</formula>
    </cfRule>
  </conditionalFormatting>
  <conditionalFormatting sqref="E53:E57">
    <cfRule type="cellIs" dxfId="266" priority="61" operator="notEqual">
      <formula>$A53</formula>
    </cfRule>
  </conditionalFormatting>
  <conditionalFormatting sqref="H7">
    <cfRule type="cellIs" dxfId="265" priority="20" operator="notEqual">
      <formula>$A7</formula>
    </cfRule>
  </conditionalFormatting>
  <conditionalFormatting sqref="F7">
    <cfRule type="cellIs" dxfId="264" priority="21" operator="notEqual">
      <formula>$A7</formula>
    </cfRule>
  </conditionalFormatting>
  <conditionalFormatting sqref="C7:E7 G7">
    <cfRule type="cellIs" dxfId="263" priority="25" operator="notEqual">
      <formula>$A7</formula>
    </cfRule>
  </conditionalFormatting>
  <conditionalFormatting sqref="I7">
    <cfRule type="cellIs" dxfId="262" priority="24" operator="notEqual">
      <formula>$A7</formula>
    </cfRule>
  </conditionalFormatting>
  <conditionalFormatting sqref="I7">
    <cfRule type="cellIs" dxfId="261" priority="23" operator="notEqual">
      <formula>$A7</formula>
    </cfRule>
  </conditionalFormatting>
  <conditionalFormatting sqref="F7">
    <cfRule type="cellIs" dxfId="260" priority="22" operator="notEqual">
      <formula>$A7</formula>
    </cfRule>
  </conditionalFormatting>
  <conditionalFormatting sqref="I34">
    <cfRule type="cellIs" dxfId="259" priority="19" operator="notEqual">
      <formula>$A34</formula>
    </cfRule>
  </conditionalFormatting>
  <conditionalFormatting sqref="C34">
    <cfRule type="cellIs" dxfId="258" priority="18" operator="notEqual">
      <formula>$A34</formula>
    </cfRule>
  </conditionalFormatting>
  <conditionalFormatting sqref="D34">
    <cfRule type="cellIs" dxfId="257" priority="17" operator="notEqual">
      <formula>$A34</formula>
    </cfRule>
  </conditionalFormatting>
  <conditionalFormatting sqref="F34">
    <cfRule type="cellIs" dxfId="256" priority="16" operator="notEqual">
      <formula>$A34</formula>
    </cfRule>
  </conditionalFormatting>
  <conditionalFormatting sqref="H34">
    <cfRule type="cellIs" dxfId="255" priority="15" operator="notEqual">
      <formula>$A34</formula>
    </cfRule>
  </conditionalFormatting>
  <conditionalFormatting sqref="G34">
    <cfRule type="cellIs" dxfId="254" priority="14" operator="notEqual">
      <formula>$A34</formula>
    </cfRule>
  </conditionalFormatting>
  <conditionalFormatting sqref="E34">
    <cfRule type="cellIs" dxfId="253" priority="13" operator="notEqual">
      <formula>$A34</formula>
    </cfRule>
  </conditionalFormatting>
  <conditionalFormatting sqref="H16">
    <cfRule type="cellIs" dxfId="252" priority="3" operator="notEqual">
      <formula>$A16</formula>
    </cfRule>
  </conditionalFormatting>
  <conditionalFormatting sqref="F16">
    <cfRule type="cellIs" dxfId="251" priority="4" operator="notEqual">
      <formula>$A16</formula>
    </cfRule>
  </conditionalFormatting>
  <conditionalFormatting sqref="C16:E16 G16">
    <cfRule type="cellIs" dxfId="250" priority="8" operator="notEqual">
      <formula>$A16</formula>
    </cfRule>
  </conditionalFormatting>
  <conditionalFormatting sqref="I16">
    <cfRule type="cellIs" dxfId="249" priority="7" operator="notEqual">
      <formula>$A16</formula>
    </cfRule>
  </conditionalFormatting>
  <conditionalFormatting sqref="I16">
    <cfRule type="cellIs" dxfId="248" priority="6" operator="notEqual">
      <formula>$A16</formula>
    </cfRule>
  </conditionalFormatting>
  <conditionalFormatting sqref="F16">
    <cfRule type="cellIs" dxfId="247" priority="5" operator="notEqual">
      <formula>$A16</formula>
    </cfRule>
  </conditionalFormatting>
  <conditionalFormatting sqref="H9">
    <cfRule type="cellIs" dxfId="246" priority="2" operator="notEqual">
      <formula>$A9</formula>
    </cfRule>
  </conditionalFormatting>
  <conditionalFormatting sqref="E9">
    <cfRule type="cellIs" dxfId="245" priority="1" operator="notEqual">
      <formula>$A9</formula>
    </cfRule>
  </conditionalFormatting>
  <dataValidations count="4">
    <dataValidation type="list" allowBlank="1" showInputMessage="1" showErrorMessage="1" sqref="C8:I8" xr:uid="{00000000-0002-0000-0D00-000000000000}">
      <formula1>"Investment,Collateral Pool"</formula1>
    </dataValidation>
    <dataValidation type="list" allowBlank="1" showInputMessage="1" showErrorMessage="1" sqref="C12:I12" xr:uid="{00000000-0002-0000-0D00-000001000000}">
      <formula1>"Refinancing Rate,Fixed Rate,Floating Rate"</formula1>
    </dataValidation>
    <dataValidation type="list" allowBlank="1" showInputMessage="1" showErrorMessage="1" sqref="C13:I13" xr:uid="{00000000-0002-0000-0D00-000002000000}">
      <formula1>"Monthly,Quarterly,Semi-Annual,Annual"</formula1>
    </dataValidation>
    <dataValidation type="list" allowBlank="1" showInputMessage="1" showErrorMessage="1" sqref="C33:I33" xr:uid="{00000000-0002-0000-0D00-000003000000}">
      <formula1>"No,Yes On Single Period,Yes Per Schedule"</formula1>
    </dataValidation>
  </dataValidations>
  <hyperlinks>
    <hyperlink ref="A1" location="'Table of Contents'!A1" display="Go to TOC" xr:uid="{00000000-0004-0000-0D00-000000000000}"/>
    <hyperlink ref="A41" location="'Table of Contents'!A1" display="Go to TOC" xr:uid="{00000000-0004-0000-0D00-000001000000}"/>
    <hyperlink ref="A42" location="'Purch Mtg Defn'!B27" display="Back To Main" xr:uid="{00000000-0004-0000-0D00-000002000000}"/>
    <hyperlink ref="B28" location="PurchAssetsDefnMtgPrepmtPenaltyPct" display="purch_mtg_prepmt_penalty_pct" xr:uid="{00000000-0004-0000-0D00-000003000000}"/>
    <hyperlink ref="B35" location="PurchAssetsDefnMtgBalloonPrinPmtPct" display="purch_mtg_balloon_prin_pmt_pct" xr:uid="{00000000-0004-0000-0D00-000004000000}"/>
    <hyperlink ref="A50" location="'Table of Contents'!A1" display="Go to TOC" xr:uid="{00000000-0004-0000-0D00-000005000000}"/>
    <hyperlink ref="A51" location="'Purch Mtg Defn'!B35" display="Back To Main" xr:uid="{00000000-0004-0000-0D00-000006000000}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L90"/>
  <sheetViews>
    <sheetView showGridLines="0" zoomScale="85" zoomScaleNormal="85" workbookViewId="0">
      <selection activeCell="B4" sqref="B4"/>
    </sheetView>
  </sheetViews>
  <sheetFormatPr defaultColWidth="15.5703125" defaultRowHeight="12.75" x14ac:dyDescent="0.2"/>
  <cols>
    <col min="1" max="1" width="15.5703125" style="24"/>
    <col min="2" max="2" width="36.140625" style="20" customWidth="1"/>
    <col min="3" max="3" width="55.42578125" style="20" bestFit="1" customWidth="1"/>
    <col min="4" max="16384" width="15.5703125" style="20"/>
  </cols>
  <sheetData>
    <row r="1" spans="1:11" ht="15.75" x14ac:dyDescent="0.2">
      <c r="A1" s="23" t="s">
        <v>9</v>
      </c>
      <c r="B1" s="19" t="s">
        <v>610</v>
      </c>
    </row>
    <row r="3" spans="1:11" x14ac:dyDescent="0.2">
      <c r="B3" s="18" t="str">
        <f ca="1">GetNameRange(B4)</f>
        <v>PurchAssetsDefnAIGBond</v>
      </c>
    </row>
    <row r="4" spans="1:11" x14ac:dyDescent="0.2">
      <c r="A4" s="76" t="s">
        <v>8</v>
      </c>
      <c r="B4" s="238" t="s">
        <v>0</v>
      </c>
      <c r="C4" s="176"/>
    </row>
    <row r="5" spans="1:11" x14ac:dyDescent="0.2">
      <c r="A5" s="86" t="s">
        <v>5</v>
      </c>
      <c r="B5" s="128" t="s">
        <v>609</v>
      </c>
      <c r="C5" s="180" t="s">
        <v>5</v>
      </c>
    </row>
    <row r="6" spans="1:11" x14ac:dyDescent="0.2">
      <c r="A6" s="86">
        <v>1</v>
      </c>
      <c r="B6" s="128" t="s">
        <v>600</v>
      </c>
      <c r="C6" s="180">
        <v>1</v>
      </c>
    </row>
    <row r="7" spans="1:11" x14ac:dyDescent="0.2">
      <c r="A7" s="86" t="s">
        <v>604</v>
      </c>
      <c r="B7" s="128" t="s">
        <v>605</v>
      </c>
      <c r="C7" s="180" t="s">
        <v>604</v>
      </c>
    </row>
    <row r="8" spans="1:11" x14ac:dyDescent="0.2">
      <c r="A8" s="241" t="s">
        <v>607</v>
      </c>
      <c r="B8" s="128" t="s">
        <v>606</v>
      </c>
      <c r="C8" s="180" t="s">
        <v>607</v>
      </c>
    </row>
    <row r="9" spans="1:11" x14ac:dyDescent="0.2">
      <c r="A9" s="241" t="s">
        <v>224</v>
      </c>
      <c r="B9" s="128" t="s">
        <v>612</v>
      </c>
      <c r="C9" s="180" t="s">
        <v>224</v>
      </c>
    </row>
    <row r="10" spans="1:11" x14ac:dyDescent="0.2">
      <c r="A10" s="241">
        <v>0.01</v>
      </c>
      <c r="B10" s="128" t="s">
        <v>611</v>
      </c>
      <c r="C10" s="180">
        <v>0.01</v>
      </c>
    </row>
    <row r="11" spans="1:11" x14ac:dyDescent="0.2">
      <c r="A11" s="243" t="s">
        <v>120</v>
      </c>
      <c r="B11" s="157" t="s">
        <v>601</v>
      </c>
      <c r="C11" s="147" t="s">
        <v>120</v>
      </c>
    </row>
    <row r="12" spans="1:11" ht="15" x14ac:dyDescent="0.25">
      <c r="C12" s="245"/>
    </row>
    <row r="13" spans="1:11" x14ac:dyDescent="0.2">
      <c r="B13" s="18" t="str">
        <f ca="1">GetNameRange(B14)</f>
        <v>AIGBondTargetAssetDuration</v>
      </c>
      <c r="C13" s="176" t="s">
        <v>603</v>
      </c>
    </row>
    <row r="14" spans="1:11" x14ac:dyDescent="0.2">
      <c r="A14" s="76" t="s">
        <v>8</v>
      </c>
      <c r="B14" s="238" t="s">
        <v>602</v>
      </c>
      <c r="C14" s="176" t="s">
        <v>613</v>
      </c>
      <c r="D14" s="20">
        <v>0</v>
      </c>
      <c r="E14" s="20">
        <v>0</v>
      </c>
      <c r="F14" s="20">
        <v>0</v>
      </c>
      <c r="G14" s="20">
        <v>0</v>
      </c>
      <c r="H14" s="20">
        <v>1</v>
      </c>
      <c r="I14" s="20">
        <v>1</v>
      </c>
      <c r="J14" s="20">
        <v>1</v>
      </c>
      <c r="K14" s="20">
        <v>2</v>
      </c>
    </row>
    <row r="15" spans="1:11" x14ac:dyDescent="0.2">
      <c r="A15" s="76"/>
      <c r="B15" s="127"/>
      <c r="C15" s="32" t="s">
        <v>614</v>
      </c>
      <c r="D15" s="20">
        <v>5</v>
      </c>
      <c r="E15" s="20">
        <v>7</v>
      </c>
      <c r="F15" s="20">
        <v>8</v>
      </c>
      <c r="G15" s="20">
        <v>10</v>
      </c>
      <c r="H15" s="20">
        <v>5</v>
      </c>
      <c r="I15" s="20">
        <v>7</v>
      </c>
      <c r="J15" s="20">
        <v>10</v>
      </c>
      <c r="K15" s="20">
        <f>J15</f>
        <v>10</v>
      </c>
    </row>
    <row r="16" spans="1:11" x14ac:dyDescent="0.2">
      <c r="A16" s="92">
        <v>11.62</v>
      </c>
      <c r="B16" s="240">
        <v>1</v>
      </c>
      <c r="D16" s="20">
        <v>6.02</v>
      </c>
      <c r="E16" s="20">
        <v>6.49</v>
      </c>
      <c r="F16" s="20">
        <v>6.49</v>
      </c>
      <c r="G16" s="20">
        <v>7.39</v>
      </c>
      <c r="H16" s="20">
        <f>(I16*(K$15-H$15)+K16*(H$15-I$15))/(K$15-I$15)</f>
        <v>11.173333333333332</v>
      </c>
      <c r="I16" s="20">
        <v>11.62</v>
      </c>
      <c r="J16" s="20">
        <v>12.29</v>
      </c>
      <c r="K16" s="20">
        <f t="shared" ref="K16:K45" si="0">J16</f>
        <v>12.29</v>
      </c>
    </row>
    <row r="17" spans="1:11" x14ac:dyDescent="0.2">
      <c r="A17" s="92">
        <v>10.953333333333333</v>
      </c>
      <c r="B17" s="240">
        <v>2</v>
      </c>
      <c r="D17" s="20">
        <f t="shared" ref="D17:D23" si="1">D16-1/2</f>
        <v>5.52</v>
      </c>
      <c r="E17" s="20">
        <f t="shared" ref="E17:F23" si="2">E16-1/2</f>
        <v>5.99</v>
      </c>
      <c r="F17" s="20">
        <f t="shared" si="2"/>
        <v>5.99</v>
      </c>
      <c r="G17" s="20">
        <f>G16-1/2</f>
        <v>6.89</v>
      </c>
      <c r="H17" s="20">
        <f>(I17*(K$15-H$15)+K17*(H$15-I$15))/(K$15-I$15)</f>
        <v>10.506666666666666</v>
      </c>
      <c r="I17" s="20">
        <f>I16-2/3</f>
        <v>10.953333333333333</v>
      </c>
      <c r="J17" s="20">
        <f>J16-2/3</f>
        <v>11.623333333333333</v>
      </c>
      <c r="K17" s="20">
        <f t="shared" si="0"/>
        <v>11.623333333333333</v>
      </c>
    </row>
    <row r="18" spans="1:11" x14ac:dyDescent="0.2">
      <c r="A18" s="92">
        <v>10.286666666666667</v>
      </c>
      <c r="B18" s="240">
        <v>3</v>
      </c>
      <c r="D18" s="20">
        <f t="shared" si="1"/>
        <v>5.0199999999999996</v>
      </c>
      <c r="E18" s="20">
        <f t="shared" si="2"/>
        <v>5.49</v>
      </c>
      <c r="F18" s="20">
        <f t="shared" si="2"/>
        <v>5.49</v>
      </c>
      <c r="G18" s="20">
        <f t="shared" ref="G18:G25" si="3">G17-1/2</f>
        <v>6.39</v>
      </c>
      <c r="H18" s="20">
        <f t="shared" ref="H18:H45" si="4">(I18*(K$15-H$15)+K18*(H$15-I$15))/(K$15-I$15)</f>
        <v>9.8400000000000016</v>
      </c>
      <c r="I18" s="20">
        <f t="shared" ref="I18:I25" si="5">I17-2/3</f>
        <v>10.286666666666667</v>
      </c>
      <c r="J18" s="20">
        <f t="shared" ref="J18:J26" si="6">J17-2/3</f>
        <v>10.956666666666667</v>
      </c>
      <c r="K18" s="20">
        <f t="shared" si="0"/>
        <v>10.956666666666667</v>
      </c>
    </row>
    <row r="19" spans="1:11" x14ac:dyDescent="0.2">
      <c r="A19" s="92">
        <v>9.620000000000001</v>
      </c>
      <c r="B19" s="240">
        <v>4</v>
      </c>
      <c r="D19" s="20">
        <f t="shared" si="1"/>
        <v>4.5199999999999996</v>
      </c>
      <c r="E19" s="20">
        <f t="shared" si="2"/>
        <v>4.99</v>
      </c>
      <c r="F19" s="20">
        <f t="shared" si="2"/>
        <v>4.99</v>
      </c>
      <c r="G19" s="20">
        <f t="shared" si="3"/>
        <v>5.89</v>
      </c>
      <c r="H19" s="20">
        <f t="shared" si="4"/>
        <v>9.1733333333333356</v>
      </c>
      <c r="I19" s="20">
        <f t="shared" si="5"/>
        <v>9.620000000000001</v>
      </c>
      <c r="J19" s="20">
        <f t="shared" si="6"/>
        <v>10.290000000000001</v>
      </c>
      <c r="K19" s="20">
        <f t="shared" si="0"/>
        <v>10.290000000000001</v>
      </c>
    </row>
    <row r="20" spans="1:11" x14ac:dyDescent="0.2">
      <c r="A20" s="92">
        <v>8.9533333333333349</v>
      </c>
      <c r="B20" s="240">
        <v>5</v>
      </c>
      <c r="D20" s="20">
        <f t="shared" si="1"/>
        <v>4.0199999999999996</v>
      </c>
      <c r="E20" s="20">
        <f t="shared" si="2"/>
        <v>4.49</v>
      </c>
      <c r="F20" s="20">
        <f t="shared" si="2"/>
        <v>4.49</v>
      </c>
      <c r="G20" s="20">
        <f t="shared" si="3"/>
        <v>5.39</v>
      </c>
      <c r="H20" s="20">
        <f t="shared" si="4"/>
        <v>8.5066666666666677</v>
      </c>
      <c r="I20" s="20">
        <f t="shared" si="5"/>
        <v>8.9533333333333349</v>
      </c>
      <c r="J20" s="20">
        <f t="shared" si="6"/>
        <v>9.6233333333333348</v>
      </c>
      <c r="K20" s="20">
        <f t="shared" si="0"/>
        <v>9.6233333333333348</v>
      </c>
    </row>
    <row r="21" spans="1:11" x14ac:dyDescent="0.2">
      <c r="A21" s="92">
        <v>8.2866666666666688</v>
      </c>
      <c r="B21" s="240">
        <v>6</v>
      </c>
      <c r="D21" s="20">
        <f t="shared" si="1"/>
        <v>3.5199999999999996</v>
      </c>
      <c r="E21" s="20">
        <f t="shared" si="2"/>
        <v>3.99</v>
      </c>
      <c r="F21" s="20">
        <f t="shared" si="2"/>
        <v>3.99</v>
      </c>
      <c r="G21" s="20">
        <f t="shared" si="3"/>
        <v>4.8899999999999997</v>
      </c>
      <c r="H21" s="20">
        <f t="shared" si="4"/>
        <v>7.8400000000000025</v>
      </c>
      <c r="I21" s="20">
        <f t="shared" si="5"/>
        <v>8.2866666666666688</v>
      </c>
      <c r="J21" s="20">
        <f t="shared" si="6"/>
        <v>8.9566666666666688</v>
      </c>
      <c r="K21" s="20">
        <f t="shared" si="0"/>
        <v>8.9566666666666688</v>
      </c>
    </row>
    <row r="22" spans="1:11" x14ac:dyDescent="0.2">
      <c r="A22" s="92">
        <v>7.6200000000000019</v>
      </c>
      <c r="B22" s="240">
        <v>7</v>
      </c>
      <c r="D22" s="20">
        <f t="shared" si="1"/>
        <v>3.0199999999999996</v>
      </c>
      <c r="E22" s="20">
        <f t="shared" si="2"/>
        <v>3.49</v>
      </c>
      <c r="F22" s="20">
        <f t="shared" si="2"/>
        <v>3.49</v>
      </c>
      <c r="G22" s="20">
        <f t="shared" si="3"/>
        <v>4.3899999999999997</v>
      </c>
      <c r="H22" s="20">
        <f t="shared" si="4"/>
        <v>7.1733333333333347</v>
      </c>
      <c r="I22" s="20">
        <f t="shared" si="5"/>
        <v>7.6200000000000019</v>
      </c>
      <c r="J22" s="20">
        <f t="shared" si="6"/>
        <v>8.2900000000000027</v>
      </c>
      <c r="K22" s="20">
        <f t="shared" si="0"/>
        <v>8.2900000000000027</v>
      </c>
    </row>
    <row r="23" spans="1:11" x14ac:dyDescent="0.2">
      <c r="A23" s="92">
        <v>6.9533333333333349</v>
      </c>
      <c r="B23" s="240">
        <v>8</v>
      </c>
      <c r="D23" s="20">
        <f t="shared" si="1"/>
        <v>2.5199999999999996</v>
      </c>
      <c r="E23" s="20">
        <f t="shared" si="2"/>
        <v>2.99</v>
      </c>
      <c r="F23" s="20">
        <f t="shared" si="2"/>
        <v>2.99</v>
      </c>
      <c r="G23" s="20">
        <f t="shared" si="3"/>
        <v>3.8899999999999997</v>
      </c>
      <c r="H23" s="20">
        <f t="shared" si="4"/>
        <v>6.5066666666666677</v>
      </c>
      <c r="I23" s="20">
        <f t="shared" si="5"/>
        <v>6.9533333333333349</v>
      </c>
      <c r="J23" s="20">
        <f t="shared" si="6"/>
        <v>7.6233333333333357</v>
      </c>
      <c r="K23" s="20">
        <f t="shared" si="0"/>
        <v>7.6233333333333357</v>
      </c>
    </row>
    <row r="24" spans="1:11" x14ac:dyDescent="0.2">
      <c r="A24" s="92">
        <v>6.286666666666668</v>
      </c>
      <c r="B24" s="240">
        <v>9</v>
      </c>
      <c r="D24" s="20">
        <v>2.5</v>
      </c>
      <c r="E24" s="20">
        <v>2.5</v>
      </c>
      <c r="F24" s="20">
        <v>2.5</v>
      </c>
      <c r="G24" s="20">
        <f t="shared" si="3"/>
        <v>3.3899999999999997</v>
      </c>
      <c r="H24" s="20">
        <f t="shared" si="4"/>
        <v>5.8400000000000007</v>
      </c>
      <c r="I24" s="20">
        <f t="shared" si="5"/>
        <v>6.286666666666668</v>
      </c>
      <c r="J24" s="20">
        <f t="shared" si="6"/>
        <v>6.9566666666666688</v>
      </c>
      <c r="K24" s="20">
        <f t="shared" si="0"/>
        <v>6.9566666666666688</v>
      </c>
    </row>
    <row r="25" spans="1:11" x14ac:dyDescent="0.2">
      <c r="A25" s="92">
        <v>5.620000000000001</v>
      </c>
      <c r="B25" s="240">
        <v>10</v>
      </c>
      <c r="D25" s="20">
        <v>2.5</v>
      </c>
      <c r="E25" s="20">
        <v>2.5</v>
      </c>
      <c r="F25" s="20">
        <v>2.5</v>
      </c>
      <c r="G25" s="20">
        <f t="shared" si="3"/>
        <v>2.8899999999999997</v>
      </c>
      <c r="H25" s="20">
        <f t="shared" si="4"/>
        <v>5.1733333333333338</v>
      </c>
      <c r="I25" s="20">
        <f t="shared" si="5"/>
        <v>5.620000000000001</v>
      </c>
      <c r="J25" s="20">
        <f t="shared" si="6"/>
        <v>6.2900000000000018</v>
      </c>
      <c r="K25" s="20">
        <f t="shared" si="0"/>
        <v>6.2900000000000018</v>
      </c>
    </row>
    <row r="26" spans="1:11" x14ac:dyDescent="0.2">
      <c r="A26" s="92">
        <v>5.620000000000001</v>
      </c>
      <c r="B26" s="240">
        <v>11</v>
      </c>
      <c r="D26" s="20">
        <v>2.5</v>
      </c>
      <c r="E26" s="20">
        <v>2.5</v>
      </c>
      <c r="F26" s="20">
        <v>2.5</v>
      </c>
      <c r="G26" s="20">
        <v>2.5</v>
      </c>
      <c r="H26" s="20">
        <f t="shared" si="4"/>
        <v>5.6177777777777784</v>
      </c>
      <c r="I26" s="20">
        <v>5.620000000000001</v>
      </c>
      <c r="J26" s="20">
        <f t="shared" si="6"/>
        <v>5.6233333333333348</v>
      </c>
      <c r="K26" s="20">
        <f t="shared" si="0"/>
        <v>5.6233333333333348</v>
      </c>
    </row>
    <row r="27" spans="1:11" x14ac:dyDescent="0.2">
      <c r="A27" s="92">
        <v>5.620000000000001</v>
      </c>
      <c r="B27" s="240">
        <v>12</v>
      </c>
      <c r="D27" s="20">
        <v>2.5</v>
      </c>
      <c r="E27" s="20">
        <v>2.5</v>
      </c>
      <c r="F27" s="20">
        <v>2.5</v>
      </c>
      <c r="G27" s="20">
        <v>2.5</v>
      </c>
      <c r="H27" s="20">
        <f t="shared" si="4"/>
        <v>5.620000000000001</v>
      </c>
      <c r="I27" s="20">
        <v>5.620000000000001</v>
      </c>
      <c r="J27" s="20">
        <v>5.620000000000001</v>
      </c>
      <c r="K27" s="20">
        <f t="shared" si="0"/>
        <v>5.620000000000001</v>
      </c>
    </row>
    <row r="28" spans="1:11" x14ac:dyDescent="0.2">
      <c r="A28" s="92">
        <v>5.620000000000001</v>
      </c>
      <c r="B28" s="240">
        <v>13</v>
      </c>
      <c r="D28" s="20">
        <v>2.5</v>
      </c>
      <c r="E28" s="20">
        <v>2.5</v>
      </c>
      <c r="F28" s="20">
        <v>2.5</v>
      </c>
      <c r="G28" s="20">
        <v>2.5</v>
      </c>
      <c r="H28" s="20">
        <f t="shared" si="4"/>
        <v>5.620000000000001</v>
      </c>
      <c r="I28" s="20">
        <v>5.620000000000001</v>
      </c>
      <c r="J28" s="20">
        <v>5.620000000000001</v>
      </c>
      <c r="K28" s="20">
        <f t="shared" si="0"/>
        <v>5.620000000000001</v>
      </c>
    </row>
    <row r="29" spans="1:11" x14ac:dyDescent="0.2">
      <c r="A29" s="92">
        <v>5.620000000000001</v>
      </c>
      <c r="B29" s="240">
        <v>14</v>
      </c>
      <c r="D29" s="20">
        <v>2.5</v>
      </c>
      <c r="E29" s="20">
        <v>2.5</v>
      </c>
      <c r="F29" s="20">
        <v>2.5</v>
      </c>
      <c r="G29" s="20">
        <v>2.5</v>
      </c>
      <c r="H29" s="20">
        <f t="shared" si="4"/>
        <v>5.620000000000001</v>
      </c>
      <c r="I29" s="20">
        <v>5.620000000000001</v>
      </c>
      <c r="J29" s="20">
        <v>5.620000000000001</v>
      </c>
      <c r="K29" s="20">
        <f t="shared" si="0"/>
        <v>5.620000000000001</v>
      </c>
    </row>
    <row r="30" spans="1:11" x14ac:dyDescent="0.2">
      <c r="A30" s="92">
        <v>5.620000000000001</v>
      </c>
      <c r="B30" s="240">
        <v>15</v>
      </c>
      <c r="D30" s="20">
        <v>2.5</v>
      </c>
      <c r="E30" s="20">
        <v>2.5</v>
      </c>
      <c r="F30" s="20">
        <v>2.5</v>
      </c>
      <c r="G30" s="20">
        <v>2.5</v>
      </c>
      <c r="H30" s="20">
        <f t="shared" si="4"/>
        <v>5.620000000000001</v>
      </c>
      <c r="I30" s="20">
        <v>5.620000000000001</v>
      </c>
      <c r="J30" s="20">
        <v>5.620000000000001</v>
      </c>
      <c r="K30" s="20">
        <f t="shared" si="0"/>
        <v>5.620000000000001</v>
      </c>
    </row>
    <row r="31" spans="1:11" x14ac:dyDescent="0.2">
      <c r="A31" s="92">
        <v>5.620000000000001</v>
      </c>
      <c r="B31" s="240">
        <v>16</v>
      </c>
      <c r="D31" s="20">
        <v>2.5</v>
      </c>
      <c r="E31" s="20">
        <v>2.5</v>
      </c>
      <c r="F31" s="20">
        <v>2.5</v>
      </c>
      <c r="G31" s="20">
        <v>2.5</v>
      </c>
      <c r="H31" s="20">
        <f t="shared" si="4"/>
        <v>5.620000000000001</v>
      </c>
      <c r="I31" s="20">
        <v>5.620000000000001</v>
      </c>
      <c r="J31" s="20">
        <v>5.620000000000001</v>
      </c>
      <c r="K31" s="20">
        <f t="shared" si="0"/>
        <v>5.620000000000001</v>
      </c>
    </row>
    <row r="32" spans="1:11" x14ac:dyDescent="0.2">
      <c r="A32" s="92">
        <v>5.620000000000001</v>
      </c>
      <c r="B32" s="240">
        <v>17</v>
      </c>
      <c r="D32" s="20">
        <v>2.5</v>
      </c>
      <c r="E32" s="20">
        <v>2.5</v>
      </c>
      <c r="F32" s="20">
        <v>2.5</v>
      </c>
      <c r="G32" s="20">
        <v>2.5</v>
      </c>
      <c r="H32" s="20">
        <f t="shared" si="4"/>
        <v>5.620000000000001</v>
      </c>
      <c r="I32" s="20">
        <v>5.620000000000001</v>
      </c>
      <c r="J32" s="20">
        <v>5.620000000000001</v>
      </c>
      <c r="K32" s="20">
        <f t="shared" si="0"/>
        <v>5.620000000000001</v>
      </c>
    </row>
    <row r="33" spans="1:12" x14ac:dyDescent="0.2">
      <c r="A33" s="92">
        <v>5.620000000000001</v>
      </c>
      <c r="B33" s="240">
        <v>18</v>
      </c>
      <c r="D33" s="20">
        <v>2.5</v>
      </c>
      <c r="E33" s="20">
        <v>2.5</v>
      </c>
      <c r="F33" s="20">
        <v>2.5</v>
      </c>
      <c r="G33" s="20">
        <v>2.5</v>
      </c>
      <c r="H33" s="20">
        <f t="shared" si="4"/>
        <v>5.620000000000001</v>
      </c>
      <c r="I33" s="20">
        <v>5.620000000000001</v>
      </c>
      <c r="J33" s="20">
        <v>5.620000000000001</v>
      </c>
      <c r="K33" s="20">
        <f t="shared" si="0"/>
        <v>5.620000000000001</v>
      </c>
    </row>
    <row r="34" spans="1:12" x14ac:dyDescent="0.2">
      <c r="A34" s="92">
        <v>5.620000000000001</v>
      </c>
      <c r="B34" s="240">
        <v>19</v>
      </c>
      <c r="D34" s="20">
        <v>2.5</v>
      </c>
      <c r="E34" s="20">
        <v>2.5</v>
      </c>
      <c r="F34" s="20">
        <v>2.5</v>
      </c>
      <c r="G34" s="20">
        <v>2.5</v>
      </c>
      <c r="H34" s="20">
        <f t="shared" si="4"/>
        <v>5.620000000000001</v>
      </c>
      <c r="I34" s="20">
        <v>5.620000000000001</v>
      </c>
      <c r="J34" s="20">
        <v>5.620000000000001</v>
      </c>
      <c r="K34" s="20">
        <f t="shared" si="0"/>
        <v>5.620000000000001</v>
      </c>
    </row>
    <row r="35" spans="1:12" x14ac:dyDescent="0.2">
      <c r="A35" s="92">
        <v>5.620000000000001</v>
      </c>
      <c r="B35" s="240">
        <v>20</v>
      </c>
      <c r="D35" s="20">
        <v>2.5</v>
      </c>
      <c r="E35" s="20">
        <v>2.5</v>
      </c>
      <c r="F35" s="20">
        <v>2.5</v>
      </c>
      <c r="G35" s="20">
        <v>2.5</v>
      </c>
      <c r="H35" s="20">
        <f t="shared" si="4"/>
        <v>5.620000000000001</v>
      </c>
      <c r="I35" s="20">
        <v>5.620000000000001</v>
      </c>
      <c r="J35" s="20">
        <v>5.620000000000001</v>
      </c>
      <c r="K35" s="20">
        <f t="shared" si="0"/>
        <v>5.620000000000001</v>
      </c>
    </row>
    <row r="36" spans="1:12" x14ac:dyDescent="0.2">
      <c r="A36" s="92">
        <v>5.620000000000001</v>
      </c>
      <c r="B36" s="240">
        <v>21</v>
      </c>
      <c r="D36" s="20">
        <v>2.5</v>
      </c>
      <c r="E36" s="20">
        <v>2.5</v>
      </c>
      <c r="F36" s="20">
        <v>2.5</v>
      </c>
      <c r="G36" s="20">
        <v>2.5</v>
      </c>
      <c r="H36" s="20">
        <f t="shared" si="4"/>
        <v>5.620000000000001</v>
      </c>
      <c r="I36" s="20">
        <v>5.620000000000001</v>
      </c>
      <c r="J36" s="20">
        <v>5.620000000000001</v>
      </c>
      <c r="K36" s="20">
        <f t="shared" si="0"/>
        <v>5.620000000000001</v>
      </c>
    </row>
    <row r="37" spans="1:12" x14ac:dyDescent="0.2">
      <c r="A37" s="92">
        <v>5.620000000000001</v>
      </c>
      <c r="B37" s="240">
        <v>22</v>
      </c>
      <c r="D37" s="20">
        <v>2.5</v>
      </c>
      <c r="E37" s="20">
        <v>2.5</v>
      </c>
      <c r="F37" s="20">
        <v>2.5</v>
      </c>
      <c r="G37" s="20">
        <v>2.5</v>
      </c>
      <c r="H37" s="20">
        <f t="shared" si="4"/>
        <v>5.620000000000001</v>
      </c>
      <c r="I37" s="20">
        <v>5.620000000000001</v>
      </c>
      <c r="J37" s="20">
        <v>5.620000000000001</v>
      </c>
      <c r="K37" s="20">
        <f t="shared" si="0"/>
        <v>5.620000000000001</v>
      </c>
    </row>
    <row r="38" spans="1:12" x14ac:dyDescent="0.2">
      <c r="A38" s="92">
        <v>5.620000000000001</v>
      </c>
      <c r="B38" s="240">
        <v>23</v>
      </c>
      <c r="D38" s="20">
        <v>2.5</v>
      </c>
      <c r="E38" s="20">
        <v>2.5</v>
      </c>
      <c r="F38" s="20">
        <v>2.5</v>
      </c>
      <c r="G38" s="20">
        <v>2.5</v>
      </c>
      <c r="H38" s="20">
        <f t="shared" si="4"/>
        <v>5.620000000000001</v>
      </c>
      <c r="I38" s="20">
        <v>5.620000000000001</v>
      </c>
      <c r="J38" s="20">
        <v>5.620000000000001</v>
      </c>
      <c r="K38" s="20">
        <f t="shared" si="0"/>
        <v>5.620000000000001</v>
      </c>
    </row>
    <row r="39" spans="1:12" x14ac:dyDescent="0.2">
      <c r="A39" s="92">
        <v>5.620000000000001</v>
      </c>
      <c r="B39" s="240">
        <v>24</v>
      </c>
      <c r="D39" s="20">
        <v>2.5</v>
      </c>
      <c r="E39" s="20">
        <v>2.5</v>
      </c>
      <c r="F39" s="20">
        <v>2.5</v>
      </c>
      <c r="G39" s="20">
        <v>2.5</v>
      </c>
      <c r="H39" s="20">
        <f t="shared" si="4"/>
        <v>5.620000000000001</v>
      </c>
      <c r="I39" s="20">
        <v>5.620000000000001</v>
      </c>
      <c r="J39" s="20">
        <v>5.620000000000001</v>
      </c>
      <c r="K39" s="20">
        <f t="shared" si="0"/>
        <v>5.620000000000001</v>
      </c>
    </row>
    <row r="40" spans="1:12" x14ac:dyDescent="0.2">
      <c r="A40" s="92">
        <v>5.620000000000001</v>
      </c>
      <c r="B40" s="240">
        <v>25</v>
      </c>
      <c r="D40" s="20">
        <v>2.5</v>
      </c>
      <c r="E40" s="20">
        <v>2.5</v>
      </c>
      <c r="F40" s="20">
        <v>2.5</v>
      </c>
      <c r="G40" s="20">
        <v>2.5</v>
      </c>
      <c r="H40" s="20">
        <f t="shared" si="4"/>
        <v>5.620000000000001</v>
      </c>
      <c r="I40" s="20">
        <v>5.620000000000001</v>
      </c>
      <c r="J40" s="20">
        <v>5.620000000000001</v>
      </c>
      <c r="K40" s="20">
        <f t="shared" si="0"/>
        <v>5.620000000000001</v>
      </c>
    </row>
    <row r="41" spans="1:12" x14ac:dyDescent="0.2">
      <c r="A41" s="92">
        <v>5.620000000000001</v>
      </c>
      <c r="B41" s="240">
        <v>26</v>
      </c>
      <c r="D41" s="20">
        <v>2.5</v>
      </c>
      <c r="E41" s="20">
        <v>2.5</v>
      </c>
      <c r="F41" s="20">
        <v>2.5</v>
      </c>
      <c r="G41" s="20">
        <v>2.5</v>
      </c>
      <c r="H41" s="20">
        <f t="shared" si="4"/>
        <v>5.620000000000001</v>
      </c>
      <c r="I41" s="20">
        <v>5.620000000000001</v>
      </c>
      <c r="J41" s="20">
        <v>5.620000000000001</v>
      </c>
      <c r="K41" s="20">
        <f t="shared" si="0"/>
        <v>5.620000000000001</v>
      </c>
    </row>
    <row r="42" spans="1:12" x14ac:dyDescent="0.2">
      <c r="A42" s="92">
        <v>5.620000000000001</v>
      </c>
      <c r="B42" s="240">
        <v>27</v>
      </c>
      <c r="D42" s="20">
        <v>2.5</v>
      </c>
      <c r="E42" s="20">
        <v>2.5</v>
      </c>
      <c r="F42" s="20">
        <v>2.5</v>
      </c>
      <c r="G42" s="20">
        <v>2.5</v>
      </c>
      <c r="H42" s="20">
        <f t="shared" si="4"/>
        <v>5.620000000000001</v>
      </c>
      <c r="I42" s="20">
        <v>5.620000000000001</v>
      </c>
      <c r="J42" s="20">
        <v>5.620000000000001</v>
      </c>
      <c r="K42" s="20">
        <f t="shared" si="0"/>
        <v>5.620000000000001</v>
      </c>
    </row>
    <row r="43" spans="1:12" x14ac:dyDescent="0.2">
      <c r="A43" s="92">
        <v>5.620000000000001</v>
      </c>
      <c r="B43" s="240">
        <v>28</v>
      </c>
      <c r="D43" s="20">
        <v>2.5</v>
      </c>
      <c r="E43" s="20">
        <v>2.5</v>
      </c>
      <c r="F43" s="20">
        <v>2.5</v>
      </c>
      <c r="G43" s="20">
        <v>2.5</v>
      </c>
      <c r="H43" s="20">
        <f t="shared" si="4"/>
        <v>5.620000000000001</v>
      </c>
      <c r="I43" s="20">
        <v>5.620000000000001</v>
      </c>
      <c r="J43" s="20">
        <v>5.620000000000001</v>
      </c>
      <c r="K43" s="20">
        <f t="shared" si="0"/>
        <v>5.620000000000001</v>
      </c>
    </row>
    <row r="44" spans="1:12" x14ac:dyDescent="0.2">
      <c r="A44" s="92">
        <v>5.620000000000001</v>
      </c>
      <c r="B44" s="240">
        <v>29</v>
      </c>
      <c r="D44" s="20">
        <v>2.5</v>
      </c>
      <c r="E44" s="20">
        <v>2.5</v>
      </c>
      <c r="F44" s="20">
        <v>2.5</v>
      </c>
      <c r="G44" s="20">
        <v>2.5</v>
      </c>
      <c r="H44" s="20">
        <f t="shared" si="4"/>
        <v>5.620000000000001</v>
      </c>
      <c r="I44" s="20">
        <v>5.620000000000001</v>
      </c>
      <c r="J44" s="20">
        <v>5.620000000000001</v>
      </c>
      <c r="K44" s="20">
        <f t="shared" si="0"/>
        <v>5.620000000000001</v>
      </c>
    </row>
    <row r="45" spans="1:12" x14ac:dyDescent="0.2">
      <c r="A45" s="92">
        <v>5.620000000000001</v>
      </c>
      <c r="B45" s="239">
        <v>30</v>
      </c>
      <c r="D45" s="20">
        <v>2.5</v>
      </c>
      <c r="E45" s="20">
        <v>2.5</v>
      </c>
      <c r="F45" s="20">
        <v>2.5</v>
      </c>
      <c r="G45" s="20">
        <v>2.5</v>
      </c>
      <c r="H45" s="20">
        <f t="shared" si="4"/>
        <v>5.620000000000001</v>
      </c>
      <c r="I45" s="20">
        <v>5.620000000000001</v>
      </c>
      <c r="J45" s="20">
        <v>5.620000000000001</v>
      </c>
      <c r="K45" s="20">
        <f t="shared" si="0"/>
        <v>5.620000000000001</v>
      </c>
    </row>
    <row r="47" spans="1:12" x14ac:dyDescent="0.2">
      <c r="B47" s="18" t="str">
        <f ca="1">GetNameRange(B48)</f>
        <v>AIGBondCashFlowPctInputVector</v>
      </c>
      <c r="C47" s="176" t="s">
        <v>608</v>
      </c>
    </row>
    <row r="48" spans="1:12" x14ac:dyDescent="0.2">
      <c r="A48" s="76" t="s">
        <v>8</v>
      </c>
      <c r="B48" s="238" t="s">
        <v>602</v>
      </c>
      <c r="C48" s="176" t="s">
        <v>613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1</v>
      </c>
      <c r="J48" s="20">
        <v>1</v>
      </c>
      <c r="K48" s="20">
        <v>1</v>
      </c>
      <c r="L48" s="20">
        <v>2</v>
      </c>
    </row>
    <row r="49" spans="1:12" x14ac:dyDescent="0.2">
      <c r="A49" s="76"/>
      <c r="B49" s="127"/>
      <c r="C49" s="32" t="s">
        <v>614</v>
      </c>
      <c r="D49" s="20">
        <v>5</v>
      </c>
      <c r="E49" s="20">
        <v>6</v>
      </c>
      <c r="F49" s="20">
        <v>7</v>
      </c>
      <c r="G49" s="20">
        <v>8</v>
      </c>
      <c r="H49" s="20">
        <v>10</v>
      </c>
      <c r="I49" s="20">
        <v>5</v>
      </c>
      <c r="J49" s="20">
        <v>7</v>
      </c>
      <c r="K49" s="20">
        <v>10</v>
      </c>
      <c r="L49" s="20">
        <v>10</v>
      </c>
    </row>
    <row r="50" spans="1:12" ht="15" x14ac:dyDescent="0.25">
      <c r="A50" s="242">
        <v>5.3917905705351342E-2</v>
      </c>
      <c r="B50" s="240">
        <v>1</v>
      </c>
      <c r="C50" s="244"/>
      <c r="D50" s="246">
        <v>1.5E-3</v>
      </c>
      <c r="E50" s="246">
        <v>1.5E-3</v>
      </c>
      <c r="F50" s="246">
        <v>0</v>
      </c>
      <c r="G50" s="246">
        <v>0</v>
      </c>
      <c r="H50" s="246">
        <v>0</v>
      </c>
      <c r="I50" s="98">
        <v>3.15E-2</v>
      </c>
      <c r="J50" s="98">
        <v>8.2500000000000004E-2</v>
      </c>
      <c r="K50" s="244">
        <v>4.5999999999999999E-2</v>
      </c>
      <c r="L50" s="246">
        <v>4.5999999999999999E-2</v>
      </c>
    </row>
    <row r="51" spans="1:12" ht="15" x14ac:dyDescent="0.25">
      <c r="A51" s="242">
        <v>5.8776596268576224E-2</v>
      </c>
      <c r="B51" s="240">
        <v>2</v>
      </c>
      <c r="C51" s="244"/>
      <c r="D51" s="246">
        <v>7.3999999999999996E-2</v>
      </c>
      <c r="E51" s="246">
        <v>7.3999999999999996E-2</v>
      </c>
      <c r="F51" s="246">
        <v>7.3800000000000004E-2</v>
      </c>
      <c r="G51" s="246">
        <v>2.1299999999999999E-2</v>
      </c>
      <c r="H51" s="246">
        <v>5.9499999999999997E-2</v>
      </c>
      <c r="I51" s="98">
        <v>6.7599999999999993E-2</v>
      </c>
      <c r="J51" s="98">
        <v>5.2900000000000003E-2</v>
      </c>
      <c r="K51" s="244">
        <v>7.9899999999999999E-2</v>
      </c>
      <c r="L51" s="246">
        <v>7.9899999999999999E-2</v>
      </c>
    </row>
    <row r="52" spans="1:12" ht="15" x14ac:dyDescent="0.25">
      <c r="A52" s="242">
        <v>5.8120777278601883E-2</v>
      </c>
      <c r="B52" s="240">
        <v>3</v>
      </c>
      <c r="C52" s="244"/>
      <c r="D52" s="246">
        <v>6.7799999999999999E-2</v>
      </c>
      <c r="E52" s="246">
        <v>6.7799999999999999E-2</v>
      </c>
      <c r="F52" s="246">
        <v>6.9599999999999995E-2</v>
      </c>
      <c r="G52" s="246">
        <v>2.5600000000000001E-2</v>
      </c>
      <c r="H52" s="246">
        <v>6.1699999999999998E-2</v>
      </c>
      <c r="I52" s="98">
        <v>5.5899999999999998E-2</v>
      </c>
      <c r="J52" s="98">
        <v>4.8300000000000003E-2</v>
      </c>
      <c r="K52" s="244">
        <v>6.88E-2</v>
      </c>
      <c r="L52" s="246">
        <v>6.88E-2</v>
      </c>
    </row>
    <row r="53" spans="1:12" ht="15" x14ac:dyDescent="0.25">
      <c r="A53" s="242">
        <v>5.7631996490012806E-2</v>
      </c>
      <c r="B53" s="240">
        <v>4</v>
      </c>
      <c r="C53" s="244"/>
      <c r="D53" s="246">
        <v>6.4500000000000002E-2</v>
      </c>
      <c r="E53" s="246">
        <v>6.4500000000000002E-2</v>
      </c>
      <c r="F53" s="246">
        <v>7.4899999999999994E-2</v>
      </c>
      <c r="G53" s="246">
        <v>3.09E-2</v>
      </c>
      <c r="H53" s="246">
        <v>7.2700000000000001E-2</v>
      </c>
      <c r="I53" s="98">
        <v>5.0799999999999998E-2</v>
      </c>
      <c r="J53" s="98">
        <v>4.48E-2</v>
      </c>
      <c r="K53" s="244">
        <v>6.0600000000000001E-2</v>
      </c>
      <c r="L53" s="246">
        <v>6.0600000000000001E-2</v>
      </c>
    </row>
    <row r="54" spans="1:12" ht="15" x14ac:dyDescent="0.25">
      <c r="A54" s="242">
        <v>5.7026151618516312E-2</v>
      </c>
      <c r="B54" s="240">
        <v>5</v>
      </c>
      <c r="C54" s="244"/>
      <c r="D54" s="246">
        <v>6.4000000000000001E-2</v>
      </c>
      <c r="E54" s="246">
        <v>6.4000000000000001E-2</v>
      </c>
      <c r="F54" s="246">
        <v>7.3999999999999996E-2</v>
      </c>
      <c r="G54" s="246">
        <v>2.9100000000000001E-2</v>
      </c>
      <c r="H54" s="246">
        <v>7.4099999999999999E-2</v>
      </c>
      <c r="I54" s="98">
        <v>4.8099999999999997E-2</v>
      </c>
      <c r="J54" s="98">
        <v>4.4400000000000002E-2</v>
      </c>
      <c r="K54" s="244">
        <v>5.5899999999999998E-2</v>
      </c>
      <c r="L54" s="246">
        <v>5.5899999999999998E-2</v>
      </c>
    </row>
    <row r="55" spans="1:12" ht="15" x14ac:dyDescent="0.25">
      <c r="A55" s="242">
        <v>5.5953331551952673E-2</v>
      </c>
      <c r="B55" s="240">
        <v>6</v>
      </c>
      <c r="C55" s="244"/>
      <c r="D55" s="246">
        <v>0</v>
      </c>
      <c r="E55" s="246">
        <v>0</v>
      </c>
      <c r="F55" s="246">
        <v>5.7700000000000001E-2</v>
      </c>
      <c r="G55" s="246">
        <v>3.5400000000000001E-2</v>
      </c>
      <c r="H55" s="246">
        <v>6.1199999999999997E-2</v>
      </c>
      <c r="I55" s="98">
        <v>2.4299999999999999E-2</v>
      </c>
      <c r="J55" s="98">
        <v>3.6499999999999998E-2</v>
      </c>
      <c r="K55" s="244">
        <v>5.3900000000000003E-2</v>
      </c>
      <c r="L55" s="246">
        <v>5.3900000000000003E-2</v>
      </c>
    </row>
    <row r="56" spans="1:12" ht="15" x14ac:dyDescent="0.25">
      <c r="A56" s="242">
        <v>5.4460170220140242E-2</v>
      </c>
      <c r="B56" s="240">
        <v>7</v>
      </c>
      <c r="C56" s="244"/>
      <c r="D56" s="246">
        <v>3.85E-2</v>
      </c>
      <c r="E56" s="246">
        <v>3.85E-2</v>
      </c>
      <c r="F56" s="246">
        <v>5.74E-2</v>
      </c>
      <c r="G56" s="246">
        <v>2.0799999999999999E-2</v>
      </c>
      <c r="H56" s="246">
        <v>6.2700000000000006E-2</v>
      </c>
      <c r="I56" s="98">
        <v>1.83E-2</v>
      </c>
      <c r="J56" s="98">
        <v>2.3099999999999999E-2</v>
      </c>
      <c r="K56" s="244">
        <v>3.5299999999999998E-2</v>
      </c>
      <c r="L56" s="246">
        <v>3.5299999999999998E-2</v>
      </c>
    </row>
    <row r="57" spans="1:12" ht="15" x14ac:dyDescent="0.25">
      <c r="A57" s="242">
        <v>5.3431835806988411E-2</v>
      </c>
      <c r="B57" s="240">
        <v>8</v>
      </c>
      <c r="C57" s="244"/>
      <c r="D57" s="246">
        <v>1.2699999999999999E-2</v>
      </c>
      <c r="E57" s="246">
        <v>1.2699999999999999E-2</v>
      </c>
      <c r="F57" s="246">
        <v>0</v>
      </c>
      <c r="G57" s="246">
        <v>1.9699999999999999E-2</v>
      </c>
      <c r="H57" s="246">
        <v>5.3800000000000001E-2</v>
      </c>
      <c r="I57" s="98">
        <v>2.1100000000000001E-2</v>
      </c>
      <c r="J57" s="98">
        <v>1.47E-2</v>
      </c>
      <c r="K57" s="244">
        <v>3.9800000000000002E-2</v>
      </c>
      <c r="L57" s="246">
        <v>3.9800000000000002E-2</v>
      </c>
    </row>
    <row r="58" spans="1:12" ht="15" x14ac:dyDescent="0.25">
      <c r="A58" s="242">
        <v>5.3455775476621212E-2</v>
      </c>
      <c r="B58" s="240">
        <v>9</v>
      </c>
      <c r="C58" s="244"/>
      <c r="D58" s="246">
        <v>1.3899999999999999E-2</v>
      </c>
      <c r="E58" s="246">
        <v>1.3899999999999999E-2</v>
      </c>
      <c r="F58" s="246">
        <v>4.5499999999999999E-2</v>
      </c>
      <c r="G58" s="246">
        <v>0</v>
      </c>
      <c r="H58" s="246">
        <v>5.5E-2</v>
      </c>
      <c r="I58" s="98">
        <v>1.67E-2</v>
      </c>
      <c r="J58" s="98">
        <v>1.3299999999999999E-2</v>
      </c>
      <c r="K58" s="244">
        <v>3.0800000000000001E-2</v>
      </c>
      <c r="L58" s="246">
        <v>3.0800000000000001E-2</v>
      </c>
    </row>
    <row r="59" spans="1:12" ht="15" x14ac:dyDescent="0.25">
      <c r="A59" s="242">
        <v>0.290992198743802</v>
      </c>
      <c r="B59" s="240">
        <v>10</v>
      </c>
      <c r="C59" s="244"/>
      <c r="D59" s="246">
        <v>1.26E-2</v>
      </c>
      <c r="E59" s="246">
        <v>1.26E-2</v>
      </c>
      <c r="F59" s="246">
        <v>1.78E-2</v>
      </c>
      <c r="G59" s="246">
        <v>4.9799999999999997E-2</v>
      </c>
      <c r="H59" s="246">
        <v>4.6600000000000003E-2</v>
      </c>
      <c r="I59" s="98">
        <v>1.41E-2</v>
      </c>
      <c r="J59" s="98">
        <v>1.0699999999999999E-2</v>
      </c>
      <c r="K59" s="244">
        <v>2.4799999999999999E-2</v>
      </c>
      <c r="L59" s="246">
        <v>2.4799999999999999E-2</v>
      </c>
    </row>
    <row r="60" spans="1:12" ht="15" x14ac:dyDescent="0.25">
      <c r="A60" s="242">
        <v>0.26012464917419748</v>
      </c>
      <c r="B60" s="240">
        <v>11</v>
      </c>
      <c r="C60" s="244"/>
      <c r="D60" s="246">
        <v>2.2100000000000002E-2</v>
      </c>
      <c r="E60" s="246">
        <v>2.2100000000000002E-2</v>
      </c>
      <c r="F60" s="246">
        <v>2.1499999999999998E-2</v>
      </c>
      <c r="G60" s="246">
        <v>2.1100000000000001E-2</v>
      </c>
      <c r="H60" s="246">
        <v>0</v>
      </c>
      <c r="I60" s="98">
        <v>8.2000000000000007E-3</v>
      </c>
      <c r="J60" s="98">
        <v>1.1900000000000001E-2</v>
      </c>
      <c r="K60" s="244">
        <v>9.7000000000000003E-3</v>
      </c>
      <c r="L60" s="246">
        <v>9.7000000000000003E-3</v>
      </c>
    </row>
    <row r="61" spans="1:12" ht="15" x14ac:dyDescent="0.25">
      <c r="A61" s="242">
        <v>9.2760637115809494E-2</v>
      </c>
      <c r="B61" s="240">
        <v>12</v>
      </c>
      <c r="C61" s="244"/>
      <c r="D61" s="246">
        <v>7.7000000000000002E-3</v>
      </c>
      <c r="E61" s="246">
        <v>7.7000000000000002E-3</v>
      </c>
      <c r="F61" s="246">
        <v>7.0000000000000001E-3</v>
      </c>
      <c r="G61" s="246">
        <v>1.3100000000000001E-2</v>
      </c>
      <c r="H61" s="246">
        <v>4.8300000000000003E-2</v>
      </c>
      <c r="I61" s="98">
        <v>2.2000000000000001E-3</v>
      </c>
      <c r="J61" s="98">
        <v>6.6E-3</v>
      </c>
      <c r="K61" s="244">
        <v>2.5999999999999999E-3</v>
      </c>
      <c r="L61" s="246">
        <v>2.5999999999999999E-3</v>
      </c>
    </row>
    <row r="62" spans="1:12" ht="15" x14ac:dyDescent="0.25">
      <c r="A62" s="242">
        <v>8.65560283024151E-2</v>
      </c>
      <c r="B62" s="240">
        <v>13</v>
      </c>
      <c r="C62" s="244"/>
      <c r="D62" s="246">
        <v>2.4500000000000001E-2</v>
      </c>
      <c r="E62" s="246">
        <v>2.4500000000000001E-2</v>
      </c>
      <c r="F62" s="246">
        <v>2.4400000000000002E-2</v>
      </c>
      <c r="G62" s="246">
        <v>1.35E-2</v>
      </c>
      <c r="H62" s="246">
        <v>1.41E-2</v>
      </c>
      <c r="I62" s="98">
        <v>5.0000000000000001E-4</v>
      </c>
      <c r="J62" s="98">
        <v>7.0000000000000001E-3</v>
      </c>
      <c r="K62" s="244">
        <v>1.8E-3</v>
      </c>
      <c r="L62" s="246">
        <v>1.8E-3</v>
      </c>
    </row>
    <row r="63" spans="1:12" ht="15" x14ac:dyDescent="0.25">
      <c r="A63" s="242">
        <v>8.2777086855078591E-2</v>
      </c>
      <c r="B63" s="240">
        <v>14</v>
      </c>
      <c r="C63" s="244"/>
      <c r="D63" s="246">
        <v>1.43E-2</v>
      </c>
      <c r="E63" s="246">
        <v>1.43E-2</v>
      </c>
      <c r="F63" s="246">
        <v>1.6299999999999999E-2</v>
      </c>
      <c r="G63" s="246">
        <v>1.2999999999999999E-2</v>
      </c>
      <c r="H63" s="246">
        <v>1.2500000000000001E-2</v>
      </c>
      <c r="I63" s="98">
        <v>1.5E-3</v>
      </c>
      <c r="J63" s="98">
        <v>9.1999999999999998E-3</v>
      </c>
      <c r="K63" s="244">
        <v>3.3999999999999998E-3</v>
      </c>
      <c r="L63" s="246">
        <v>3.3999999999999998E-3</v>
      </c>
    </row>
    <row r="64" spans="1:12" ht="15" x14ac:dyDescent="0.25">
      <c r="A64" s="242">
        <v>0.15631420827650058</v>
      </c>
      <c r="B64" s="240">
        <v>15</v>
      </c>
      <c r="C64" s="244"/>
      <c r="D64" s="246">
        <v>1.5800000000000002E-2</v>
      </c>
      <c r="E64" s="246">
        <v>1.5800000000000002E-2</v>
      </c>
      <c r="F64" s="246">
        <v>1.3599999999999999E-2</v>
      </c>
      <c r="G64" s="246">
        <v>1.5299999999999999E-2</v>
      </c>
      <c r="H64" s="246">
        <v>1.44E-2</v>
      </c>
      <c r="I64" s="98">
        <v>2E-3</v>
      </c>
      <c r="J64" s="98">
        <v>1.0200000000000001E-2</v>
      </c>
      <c r="K64" s="244">
        <v>5.3E-3</v>
      </c>
      <c r="L64" s="246">
        <v>5.3E-3</v>
      </c>
    </row>
    <row r="65" spans="1:12" ht="15" x14ac:dyDescent="0.25">
      <c r="A65" s="242">
        <v>0.10011654849894415</v>
      </c>
      <c r="B65" s="240">
        <v>16</v>
      </c>
      <c r="C65" s="244"/>
      <c r="D65" s="246">
        <v>1.5299999999999999E-2</v>
      </c>
      <c r="E65" s="246">
        <v>1.5299999999999999E-2</v>
      </c>
      <c r="F65" s="246">
        <v>1.5599999999999999E-2</v>
      </c>
      <c r="G65" s="246">
        <v>1.4200000000000001E-2</v>
      </c>
      <c r="H65" s="246">
        <v>1.4500000000000001E-2</v>
      </c>
      <c r="I65" s="98">
        <v>3.8999999999999998E-3</v>
      </c>
      <c r="J65" s="98">
        <v>9.9000000000000008E-3</v>
      </c>
      <c r="K65" s="244">
        <v>8.0000000000000002E-3</v>
      </c>
      <c r="L65" s="246">
        <v>8.0000000000000002E-3</v>
      </c>
    </row>
    <row r="66" spans="1:12" ht="15" x14ac:dyDescent="0.25">
      <c r="A66" s="242">
        <v>7.4822414879991681E-2</v>
      </c>
      <c r="B66" s="240">
        <v>17</v>
      </c>
      <c r="C66" s="244"/>
      <c r="D66" s="246">
        <v>0</v>
      </c>
      <c r="E66" s="246">
        <v>0</v>
      </c>
      <c r="F66" s="246">
        <v>0</v>
      </c>
      <c r="G66" s="246">
        <v>3.3E-3</v>
      </c>
      <c r="H66" s="246">
        <v>8.2000000000000007E-3</v>
      </c>
      <c r="I66" s="98">
        <v>5.0000000000000001E-3</v>
      </c>
      <c r="J66" s="98">
        <v>1.21E-2</v>
      </c>
      <c r="K66" s="244">
        <v>9.1999999999999998E-3</v>
      </c>
      <c r="L66" s="246">
        <v>9.1999999999999998E-3</v>
      </c>
    </row>
    <row r="67" spans="1:12" ht="15" x14ac:dyDescent="0.25">
      <c r="A67" s="242">
        <v>6.9202258383078419E-2</v>
      </c>
      <c r="B67" s="240">
        <v>18</v>
      </c>
      <c r="C67" s="244"/>
      <c r="D67" s="246">
        <v>5.16E-2</v>
      </c>
      <c r="E67" s="246">
        <v>5.16E-2</v>
      </c>
      <c r="F67" s="246">
        <v>4.5400000000000003E-2</v>
      </c>
      <c r="G67" s="246">
        <v>3.2099999999999997E-2</v>
      </c>
      <c r="H67" s="246">
        <v>2.6200000000000001E-2</v>
      </c>
      <c r="I67" s="98">
        <v>6.4999999999999997E-3</v>
      </c>
      <c r="J67" s="98">
        <v>1.2999999999999999E-2</v>
      </c>
      <c r="K67" s="244">
        <v>1.03E-2</v>
      </c>
      <c r="L67" s="246">
        <v>1.03E-2</v>
      </c>
    </row>
    <row r="68" spans="1:12" ht="15" x14ac:dyDescent="0.25">
      <c r="A68" s="242">
        <v>6.3105511128603492E-2</v>
      </c>
      <c r="B68" s="240">
        <v>19</v>
      </c>
      <c r="C68" s="244"/>
      <c r="D68" s="246">
        <v>1.5100000000000001E-2</v>
      </c>
      <c r="E68" s="246">
        <v>1.5100000000000001E-2</v>
      </c>
      <c r="F68" s="246">
        <v>1.49E-2</v>
      </c>
      <c r="G68" s="246">
        <v>1.46E-2</v>
      </c>
      <c r="H68" s="246">
        <v>1.4999999999999999E-2</v>
      </c>
      <c r="I68" s="98">
        <v>1.0999999999999999E-2</v>
      </c>
      <c r="J68" s="98">
        <v>1.55E-2</v>
      </c>
      <c r="K68" s="244">
        <v>1.23E-2</v>
      </c>
      <c r="L68" s="246">
        <v>1.23E-2</v>
      </c>
    </row>
    <row r="69" spans="1:12" ht="15" x14ac:dyDescent="0.25">
      <c r="A69" s="242">
        <v>0.1639568586692858</v>
      </c>
      <c r="B69" s="240">
        <v>20</v>
      </c>
      <c r="C69" s="244"/>
      <c r="D69" s="246">
        <v>1.49E-2</v>
      </c>
      <c r="E69" s="246">
        <v>1.49E-2</v>
      </c>
      <c r="F69" s="246">
        <v>1.46E-2</v>
      </c>
      <c r="G69" s="246">
        <v>1.4E-2</v>
      </c>
      <c r="H69" s="246">
        <v>1.37E-2</v>
      </c>
      <c r="I69" s="98">
        <v>1.0699999999999999E-2</v>
      </c>
      <c r="J69" s="98">
        <v>1.6299999999999999E-2</v>
      </c>
      <c r="K69" s="244">
        <v>1.23E-2</v>
      </c>
      <c r="L69" s="246">
        <v>1.23E-2</v>
      </c>
    </row>
    <row r="70" spans="1:12" ht="15" x14ac:dyDescent="0.25">
      <c r="A70" s="242">
        <v>9.4998101249802153E-2</v>
      </c>
      <c r="B70" s="240">
        <v>21</v>
      </c>
      <c r="C70" s="244"/>
      <c r="D70" s="246">
        <v>1.3599999999999999E-2</v>
      </c>
      <c r="E70" s="246">
        <v>1.3599999999999999E-2</v>
      </c>
      <c r="F70" s="246">
        <v>1.43E-2</v>
      </c>
      <c r="G70" s="246">
        <v>1.52E-2</v>
      </c>
      <c r="H70" s="246">
        <v>1.44E-2</v>
      </c>
      <c r="I70" s="98">
        <v>1.6199999999999999E-2</v>
      </c>
      <c r="J70" s="98">
        <v>1.6400000000000001E-2</v>
      </c>
      <c r="K70" s="244">
        <v>1.41E-2</v>
      </c>
      <c r="L70" s="246">
        <v>1.41E-2</v>
      </c>
    </row>
    <row r="71" spans="1:12" ht="15" x14ac:dyDescent="0.25">
      <c r="A71" s="242">
        <v>5.8986548903383652E-2</v>
      </c>
      <c r="B71" s="240">
        <v>22</v>
      </c>
      <c r="C71" s="244"/>
      <c r="D71" s="246">
        <v>0</v>
      </c>
      <c r="E71" s="246">
        <v>0</v>
      </c>
      <c r="F71" s="246">
        <v>1.1999999999999999E-3</v>
      </c>
      <c r="G71" s="246">
        <v>0</v>
      </c>
      <c r="H71" s="246">
        <v>0</v>
      </c>
      <c r="I71" s="98">
        <v>0.10050000000000001</v>
      </c>
      <c r="J71" s="98">
        <v>5.1400000000000001E-2</v>
      </c>
      <c r="K71" s="244">
        <v>0.10630000000000001</v>
      </c>
      <c r="L71" s="246">
        <v>0.10630000000000001</v>
      </c>
    </row>
    <row r="72" spans="1:12" ht="15" x14ac:dyDescent="0.25">
      <c r="A72" s="242">
        <v>5.4039580425847424E-2</v>
      </c>
      <c r="B72" s="240">
        <v>23</v>
      </c>
      <c r="C72" s="244"/>
      <c r="D72" s="246">
        <v>5.2200000000000003E-2</v>
      </c>
      <c r="E72" s="246">
        <v>5.2200000000000003E-2</v>
      </c>
      <c r="F72" s="246">
        <v>5.6599999999999998E-2</v>
      </c>
      <c r="G72" s="246">
        <v>4.1200000000000001E-2</v>
      </c>
      <c r="H72" s="246">
        <v>4.9099999999999998E-2</v>
      </c>
      <c r="I72" s="98">
        <v>2.2000000000000001E-3</v>
      </c>
      <c r="J72" s="98">
        <v>1.2999999999999999E-2</v>
      </c>
      <c r="K72" s="244">
        <v>2.3999999999999998E-3</v>
      </c>
      <c r="L72" s="246">
        <v>2.3999999999999998E-3</v>
      </c>
    </row>
    <row r="73" spans="1:12" ht="15" x14ac:dyDescent="0.25">
      <c r="A73" s="242">
        <v>5.0979633725336405E-2</v>
      </c>
      <c r="B73" s="240">
        <v>24</v>
      </c>
      <c r="C73" s="244"/>
      <c r="D73" s="246">
        <v>1.5599999999999999E-2</v>
      </c>
      <c r="E73" s="246">
        <v>1.5599999999999999E-2</v>
      </c>
      <c r="F73" s="246">
        <v>1.5900000000000001E-2</v>
      </c>
      <c r="G73" s="246">
        <v>1.6799999999999999E-2</v>
      </c>
      <c r="H73" s="246">
        <v>1.8700000000000001E-2</v>
      </c>
      <c r="I73" s="98">
        <v>1.4999999999999999E-2</v>
      </c>
      <c r="J73" s="98">
        <v>1.9800000000000002E-2</v>
      </c>
      <c r="K73" s="244">
        <v>1.54E-2</v>
      </c>
      <c r="L73" s="246">
        <v>1.54E-2</v>
      </c>
    </row>
    <row r="74" spans="1:12" ht="15" x14ac:dyDescent="0.25">
      <c r="A74" s="242">
        <v>4.8958390628411612E-2</v>
      </c>
      <c r="B74" s="240">
        <v>25</v>
      </c>
      <c r="C74" s="244"/>
      <c r="D74" s="246">
        <v>1.2999999999999999E-2</v>
      </c>
      <c r="E74" s="246">
        <v>1.2999999999999999E-2</v>
      </c>
      <c r="F74" s="246">
        <v>1.44E-2</v>
      </c>
      <c r="G74" s="246">
        <v>1.4999999999999999E-2</v>
      </c>
      <c r="H74" s="246">
        <v>1.6E-2</v>
      </c>
      <c r="I74" s="98">
        <v>1.0699999999999999E-2</v>
      </c>
      <c r="J74" s="98">
        <v>1.83E-2</v>
      </c>
      <c r="K74" s="244">
        <v>1.12E-2</v>
      </c>
      <c r="L74" s="246">
        <v>1.12E-2</v>
      </c>
    </row>
    <row r="75" spans="1:12" ht="15" x14ac:dyDescent="0.25">
      <c r="A75" s="242">
        <v>4.8006423536861596E-2</v>
      </c>
      <c r="B75" s="240">
        <v>26</v>
      </c>
      <c r="C75" s="244"/>
      <c r="D75" s="246">
        <v>1.47E-2</v>
      </c>
      <c r="E75" s="246">
        <v>1.47E-2</v>
      </c>
      <c r="F75" s="246">
        <v>1.5800000000000002E-2</v>
      </c>
      <c r="G75" s="246">
        <v>1.66E-2</v>
      </c>
      <c r="H75" s="246">
        <v>1.7100000000000001E-2</v>
      </c>
      <c r="I75" s="98">
        <v>1.6199999999999999E-2</v>
      </c>
      <c r="J75" s="98">
        <v>1.8700000000000001E-2</v>
      </c>
      <c r="K75" s="244">
        <v>1.46E-2</v>
      </c>
      <c r="L75" s="246">
        <v>1.46E-2</v>
      </c>
    </row>
    <row r="76" spans="1:12" ht="15" x14ac:dyDescent="0.25">
      <c r="A76" s="242">
        <v>4.7207286374477804E-2</v>
      </c>
      <c r="B76" s="240">
        <v>27</v>
      </c>
      <c r="C76" s="244"/>
      <c r="D76" s="246">
        <v>0</v>
      </c>
      <c r="E76" s="246">
        <v>0</v>
      </c>
      <c r="F76" s="246">
        <v>2.5000000000000001E-3</v>
      </c>
      <c r="G76" s="246">
        <v>6.0000000000000001E-3</v>
      </c>
      <c r="H76" s="246">
        <v>4.0000000000000002E-4</v>
      </c>
      <c r="I76" s="98">
        <v>1.7299999999999999E-2</v>
      </c>
      <c r="J76" s="98">
        <v>1.72E-2</v>
      </c>
      <c r="K76" s="244">
        <v>1.15E-2</v>
      </c>
      <c r="L76" s="246">
        <v>1.15E-2</v>
      </c>
    </row>
    <row r="77" spans="1:12" ht="15" x14ac:dyDescent="0.25">
      <c r="A77" s="242">
        <v>4.6774209409942112E-2</v>
      </c>
      <c r="B77" s="240">
        <v>28</v>
      </c>
      <c r="C77" s="244"/>
      <c r="D77" s="246">
        <v>4.7699999999999999E-2</v>
      </c>
      <c r="E77" s="246">
        <v>4.7699999999999999E-2</v>
      </c>
      <c r="F77" s="246">
        <v>5.57E-2</v>
      </c>
      <c r="G77" s="246">
        <v>3.9699999999999999E-2</v>
      </c>
      <c r="H77" s="246">
        <v>4.7800000000000002E-2</v>
      </c>
      <c r="I77" s="98">
        <v>6.4000000000000003E-3</v>
      </c>
      <c r="J77" s="98">
        <v>2.18E-2</v>
      </c>
      <c r="K77" s="244">
        <v>1.83E-2</v>
      </c>
      <c r="L77" s="246">
        <v>1.83E-2</v>
      </c>
    </row>
    <row r="78" spans="1:12" ht="15" x14ac:dyDescent="0.25">
      <c r="A78" s="242">
        <v>4.6540189194022148E-2</v>
      </c>
      <c r="B78" s="240">
        <v>29</v>
      </c>
      <c r="C78" s="244"/>
      <c r="D78" s="246">
        <v>1.61E-2</v>
      </c>
      <c r="E78" s="246">
        <v>1.61E-2</v>
      </c>
      <c r="F78" s="246">
        <v>1.67E-2</v>
      </c>
      <c r="G78" s="246">
        <v>1.7299999999999999E-2</v>
      </c>
      <c r="H78" s="246">
        <v>1.83E-2</v>
      </c>
      <c r="I78" s="98">
        <v>1.55E-2</v>
      </c>
      <c r="J78" s="98">
        <v>1.8499999999999999E-2</v>
      </c>
      <c r="K78" s="244">
        <v>1.5299999999999999E-2</v>
      </c>
      <c r="L78" s="246">
        <v>1.5299999999999999E-2</v>
      </c>
    </row>
    <row r="79" spans="1:12" ht="15" x14ac:dyDescent="0.25">
      <c r="A79" s="242">
        <v>0.44335907063382624</v>
      </c>
      <c r="B79" s="240">
        <v>30</v>
      </c>
      <c r="C79" s="244"/>
      <c r="D79" s="246">
        <v>0</v>
      </c>
      <c r="E79" s="246">
        <v>0</v>
      </c>
      <c r="F79" s="246">
        <v>0</v>
      </c>
      <c r="G79" s="246">
        <v>0</v>
      </c>
      <c r="H79" s="246">
        <v>0</v>
      </c>
      <c r="I79" s="98">
        <v>0</v>
      </c>
      <c r="J79" s="98">
        <v>2.2000000000000001E-3</v>
      </c>
      <c r="K79" s="244">
        <v>0</v>
      </c>
      <c r="L79" s="246">
        <v>0</v>
      </c>
    </row>
    <row r="80" spans="1:12" ht="15" x14ac:dyDescent="0.25">
      <c r="A80" s="242">
        <v>0.93684116964646202</v>
      </c>
      <c r="B80" s="240">
        <v>31</v>
      </c>
      <c r="C80" s="244"/>
      <c r="D80" s="246">
        <v>0</v>
      </c>
      <c r="E80" s="246">
        <v>0</v>
      </c>
      <c r="F80" s="246">
        <v>0</v>
      </c>
      <c r="G80" s="246">
        <v>0</v>
      </c>
      <c r="H80" s="246">
        <v>0</v>
      </c>
      <c r="I80" s="98">
        <v>0</v>
      </c>
      <c r="J80" s="98">
        <v>2.2000000000000001E-3</v>
      </c>
      <c r="K80" s="244">
        <v>0</v>
      </c>
      <c r="L80" s="246">
        <v>0</v>
      </c>
    </row>
    <row r="81" spans="1:12" ht="15" x14ac:dyDescent="0.25">
      <c r="A81" s="242">
        <v>0.99790502651903301</v>
      </c>
      <c r="B81" s="240">
        <v>32</v>
      </c>
      <c r="C81" s="244"/>
      <c r="D81" s="246">
        <v>0</v>
      </c>
      <c r="E81" s="246">
        <v>0</v>
      </c>
      <c r="F81" s="246">
        <v>0</v>
      </c>
      <c r="G81" s="246">
        <v>0</v>
      </c>
      <c r="H81" s="246">
        <v>0</v>
      </c>
      <c r="I81" s="98">
        <v>0</v>
      </c>
      <c r="J81" s="98">
        <v>2.2000000000000001E-3</v>
      </c>
      <c r="K81" s="244">
        <v>0</v>
      </c>
      <c r="L81" s="246">
        <v>0</v>
      </c>
    </row>
    <row r="82" spans="1:12" ht="15" x14ac:dyDescent="0.25">
      <c r="A82" s="242">
        <v>0.99757108092162394</v>
      </c>
      <c r="B82" s="240">
        <v>33</v>
      </c>
      <c r="C82" s="244"/>
      <c r="D82" s="246">
        <v>0</v>
      </c>
      <c r="E82" s="246">
        <v>0</v>
      </c>
      <c r="F82" s="246">
        <v>0</v>
      </c>
      <c r="G82" s="246">
        <v>0</v>
      </c>
      <c r="H82" s="246">
        <v>0</v>
      </c>
      <c r="I82" s="98">
        <v>0</v>
      </c>
      <c r="J82" s="98">
        <v>2.2000000000000001E-3</v>
      </c>
      <c r="K82" s="244">
        <v>0</v>
      </c>
      <c r="L82" s="246">
        <v>0</v>
      </c>
    </row>
    <row r="83" spans="1:12" ht="15" x14ac:dyDescent="0.25">
      <c r="A83" s="242">
        <v>0.99716066488364941</v>
      </c>
      <c r="B83" s="240">
        <v>34</v>
      </c>
      <c r="C83" s="244"/>
      <c r="D83" s="246">
        <v>0</v>
      </c>
      <c r="E83" s="246">
        <v>0</v>
      </c>
      <c r="F83" s="246">
        <v>0</v>
      </c>
      <c r="G83" s="246">
        <v>0</v>
      </c>
      <c r="H83" s="246">
        <v>0</v>
      </c>
      <c r="I83" s="98">
        <v>0</v>
      </c>
      <c r="J83" s="98">
        <v>2.2000000000000001E-3</v>
      </c>
      <c r="K83" s="244">
        <v>0</v>
      </c>
      <c r="L83" s="246">
        <v>0</v>
      </c>
    </row>
    <row r="84" spans="1:12" ht="15" x14ac:dyDescent="0.25">
      <c r="A84" s="242">
        <v>0.99662795286795325</v>
      </c>
      <c r="B84" s="240">
        <v>35</v>
      </c>
      <c r="C84" s="244"/>
      <c r="D84" s="246">
        <v>0</v>
      </c>
      <c r="E84" s="246">
        <v>0</v>
      </c>
      <c r="F84" s="246">
        <v>0</v>
      </c>
      <c r="G84" s="246">
        <v>0</v>
      </c>
      <c r="H84" s="246">
        <v>0</v>
      </c>
      <c r="I84" s="98">
        <v>0</v>
      </c>
      <c r="J84" s="98">
        <v>2.2000000000000001E-3</v>
      </c>
      <c r="K84" s="244">
        <v>0</v>
      </c>
      <c r="L84" s="246">
        <v>0</v>
      </c>
    </row>
    <row r="85" spans="1:12" ht="15" x14ac:dyDescent="0.25">
      <c r="A85" s="242">
        <v>0.99593734579848747</v>
      </c>
      <c r="B85" s="240">
        <v>36</v>
      </c>
      <c r="C85" s="244"/>
      <c r="D85" s="246">
        <v>0</v>
      </c>
      <c r="E85" s="246">
        <v>0</v>
      </c>
      <c r="F85" s="246">
        <v>0</v>
      </c>
      <c r="G85" s="246">
        <v>0</v>
      </c>
      <c r="H85" s="246">
        <v>0</v>
      </c>
      <c r="I85" s="98">
        <v>0</v>
      </c>
      <c r="J85" s="98">
        <v>2.2000000000000001E-3</v>
      </c>
      <c r="K85" s="244">
        <v>0</v>
      </c>
      <c r="L85" s="246">
        <v>0</v>
      </c>
    </row>
    <row r="86" spans="1:12" ht="15" x14ac:dyDescent="0.25">
      <c r="A86" s="242">
        <v>0.99509736982899843</v>
      </c>
      <c r="B86" s="240">
        <v>37</v>
      </c>
      <c r="C86" s="244"/>
      <c r="D86" s="246">
        <v>0</v>
      </c>
      <c r="E86" s="246">
        <v>0</v>
      </c>
      <c r="F86" s="246">
        <v>0</v>
      </c>
      <c r="G86" s="246">
        <v>0</v>
      </c>
      <c r="H86" s="246">
        <v>0</v>
      </c>
      <c r="I86" s="98">
        <v>0</v>
      </c>
      <c r="J86" s="98">
        <v>2.2000000000000001E-3</v>
      </c>
      <c r="K86" s="244">
        <v>0</v>
      </c>
      <c r="L86" s="246">
        <v>0</v>
      </c>
    </row>
    <row r="87" spans="1:12" ht="15" x14ac:dyDescent="0.25">
      <c r="A87" s="242">
        <v>0.99401627679841997</v>
      </c>
      <c r="B87" s="240">
        <v>38</v>
      </c>
      <c r="C87" s="244"/>
      <c r="D87" s="246">
        <v>0</v>
      </c>
      <c r="E87" s="246">
        <v>0</v>
      </c>
      <c r="F87" s="246">
        <v>0</v>
      </c>
      <c r="G87" s="246">
        <v>0</v>
      </c>
      <c r="H87" s="246">
        <v>0</v>
      </c>
      <c r="I87" s="98">
        <v>0</v>
      </c>
      <c r="J87" s="98">
        <v>2.2000000000000001E-3</v>
      </c>
      <c r="K87" s="244">
        <v>0</v>
      </c>
      <c r="L87" s="246">
        <v>0</v>
      </c>
    </row>
    <row r="88" spans="1:12" ht="15" x14ac:dyDescent="0.25">
      <c r="A88" s="242">
        <v>0.9926792887140965</v>
      </c>
      <c r="B88" s="240">
        <v>39</v>
      </c>
      <c r="C88" s="244"/>
      <c r="D88" s="246">
        <v>0</v>
      </c>
      <c r="E88" s="246">
        <v>0</v>
      </c>
      <c r="F88" s="246">
        <v>0</v>
      </c>
      <c r="G88" s="246">
        <v>0</v>
      </c>
      <c r="H88" s="246">
        <v>0</v>
      </c>
      <c r="I88" s="98">
        <v>0</v>
      </c>
      <c r="J88" s="98">
        <v>2.2000000000000001E-3</v>
      </c>
      <c r="K88" s="244">
        <v>0</v>
      </c>
      <c r="L88" s="246">
        <v>0</v>
      </c>
    </row>
    <row r="89" spans="1:12" ht="15" x14ac:dyDescent="0.25">
      <c r="A89" s="242">
        <v>0.99178448656389351</v>
      </c>
      <c r="B89" s="240">
        <v>40</v>
      </c>
      <c r="C89" s="244"/>
      <c r="D89" s="246">
        <v>0</v>
      </c>
      <c r="E89" s="246">
        <v>0</v>
      </c>
      <c r="F89" s="246">
        <v>0</v>
      </c>
      <c r="G89" s="246">
        <v>0</v>
      </c>
      <c r="H89" s="246">
        <v>0</v>
      </c>
      <c r="I89" s="98">
        <v>0</v>
      </c>
      <c r="J89" s="98">
        <v>2.2000000000000001E-3</v>
      </c>
      <c r="K89" s="244">
        <v>0</v>
      </c>
      <c r="L89" s="246">
        <v>0</v>
      </c>
    </row>
    <row r="90" spans="1:12" ht="15" x14ac:dyDescent="0.25">
      <c r="A90" s="242">
        <v>5.7032114878819262E-2</v>
      </c>
      <c r="B90" s="239">
        <v>41</v>
      </c>
      <c r="C90" s="244"/>
      <c r="D90" s="246">
        <v>0</v>
      </c>
      <c r="E90" s="246">
        <v>0</v>
      </c>
      <c r="F90" s="246">
        <v>0</v>
      </c>
      <c r="G90" s="246">
        <v>0</v>
      </c>
      <c r="H90" s="246">
        <v>0</v>
      </c>
      <c r="I90" s="244">
        <v>0</v>
      </c>
      <c r="J90" s="244">
        <v>2.2000000000000001E-3</v>
      </c>
      <c r="K90" s="244">
        <v>0</v>
      </c>
      <c r="L90" s="246">
        <v>0</v>
      </c>
    </row>
  </sheetData>
  <dataConsolidate/>
  <conditionalFormatting sqref="C5 I27:I45 C7:C10">
    <cfRule type="cellIs" dxfId="244" priority="32" operator="notEqual">
      <formula>$A5</formula>
    </cfRule>
  </conditionalFormatting>
  <conditionalFormatting sqref="C6">
    <cfRule type="cellIs" dxfId="243" priority="18" operator="notEqual">
      <formula>$A6</formula>
    </cfRule>
  </conditionalFormatting>
  <conditionalFormatting sqref="C11">
    <cfRule type="cellIs" dxfId="242" priority="17" operator="notEqual">
      <formula>$A11</formula>
    </cfRule>
  </conditionalFormatting>
  <conditionalFormatting sqref="I50:I89">
    <cfRule type="cellIs" dxfId="241" priority="16" operator="notEqual">
      <formula>$A50</formula>
    </cfRule>
  </conditionalFormatting>
  <conditionalFormatting sqref="I18:I45">
    <cfRule type="cellIs" dxfId="240" priority="14" operator="notEqual">
      <formula>$A18</formula>
    </cfRule>
  </conditionalFormatting>
  <conditionalFormatting sqref="I26">
    <cfRule type="cellIs" dxfId="239" priority="12" operator="notEqual">
      <formula>$A26</formula>
    </cfRule>
  </conditionalFormatting>
  <conditionalFormatting sqref="C27:C45">
    <cfRule type="cellIs" dxfId="238" priority="9" operator="notEqual">
      <formula>$A27</formula>
    </cfRule>
  </conditionalFormatting>
  <conditionalFormatting sqref="C27:C45">
    <cfRule type="cellIs" dxfId="237" priority="8" operator="notEqual">
      <formula>$A27</formula>
    </cfRule>
  </conditionalFormatting>
  <conditionalFormatting sqref="H50:H89">
    <cfRule type="cellIs" dxfId="236" priority="6" operator="notEqual">
      <formula>$A50</formula>
    </cfRule>
  </conditionalFormatting>
  <conditionalFormatting sqref="J27:J45">
    <cfRule type="cellIs" dxfId="235" priority="3" operator="notEqual">
      <formula>$A27</formula>
    </cfRule>
  </conditionalFormatting>
  <conditionalFormatting sqref="J50:J89">
    <cfRule type="cellIs" dxfId="234" priority="2" operator="notEqual">
      <formula>$A50</formula>
    </cfRule>
  </conditionalFormatting>
  <conditionalFormatting sqref="I50:I89">
    <cfRule type="cellIs" dxfId="233" priority="1" operator="notEqual">
      <formula>$A50</formula>
    </cfRule>
  </conditionalFormatting>
  <dataValidations count="3">
    <dataValidation type="list" allowBlank="1" showInputMessage="1" showErrorMessage="1" sqref="C11" xr:uid="{00000000-0002-0000-0E00-000000000000}">
      <formula1>"Monthly, Annually"</formula1>
    </dataValidation>
    <dataValidation type="list" allowBlank="1" showInputMessage="1" showErrorMessage="1" sqref="C5" xr:uid="{00000000-0002-0000-0E00-000001000000}">
      <formula1>"Yes, No"</formula1>
    </dataValidation>
    <dataValidation type="list" allowBlank="1" showInputMessage="1" showErrorMessage="1" sqref="C9" xr:uid="{00000000-0002-0000-0E00-000002000000}">
      <formula1>"Use coupon_freq_defn_aig,Annual"</formula1>
    </dataValidation>
  </dataValidations>
  <hyperlinks>
    <hyperlink ref="A1" location="'Table of Contents'!A1" display="Go to TOC" xr:uid="{00000000-0004-0000-0E00-000000000000}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G85"/>
  <sheetViews>
    <sheetView showGridLines="0" workbookViewId="0">
      <selection activeCell="B1" sqref="B1:B1048576"/>
    </sheetView>
  </sheetViews>
  <sheetFormatPr defaultColWidth="15.5703125" defaultRowHeight="12.75" x14ac:dyDescent="0.2"/>
  <cols>
    <col min="1" max="1" width="15.5703125" style="24"/>
    <col min="2" max="2" width="42" style="20" customWidth="1"/>
    <col min="3" max="3" width="18.140625" style="20" customWidth="1"/>
    <col min="4" max="16384" width="15.5703125" style="20"/>
  </cols>
  <sheetData>
    <row r="1" spans="1:3" ht="15.75" x14ac:dyDescent="0.2">
      <c r="A1" s="23" t="s">
        <v>9</v>
      </c>
      <c r="B1" s="19" t="s">
        <v>414</v>
      </c>
    </row>
    <row r="2" spans="1:3" ht="15.75" x14ac:dyDescent="0.2">
      <c r="A2" s="23"/>
      <c r="B2" s="19"/>
    </row>
    <row r="3" spans="1:3" x14ac:dyDescent="0.2">
      <c r="B3" s="18" t="str">
        <f ca="1">GetNameRange(B4)</f>
        <v>PurchAssetsDefnSec</v>
      </c>
    </row>
    <row r="4" spans="1:3" x14ac:dyDescent="0.2">
      <c r="A4" s="154"/>
      <c r="B4" s="69" t="s">
        <v>88</v>
      </c>
      <c r="C4" s="71" t="s">
        <v>405</v>
      </c>
    </row>
    <row r="5" spans="1:3" x14ac:dyDescent="0.2">
      <c r="A5" s="76" t="s">
        <v>8</v>
      </c>
      <c r="B5" s="21" t="s">
        <v>0</v>
      </c>
      <c r="C5" s="29"/>
    </row>
    <row r="6" spans="1:3" x14ac:dyDescent="0.2">
      <c r="A6" s="86" t="s">
        <v>6</v>
      </c>
      <c r="B6" s="48" t="s">
        <v>516</v>
      </c>
      <c r="C6" s="83" t="s">
        <v>6</v>
      </c>
    </row>
    <row r="7" spans="1:3" x14ac:dyDescent="0.2">
      <c r="A7" s="86" t="s">
        <v>148</v>
      </c>
      <c r="B7" s="48" t="s">
        <v>122</v>
      </c>
      <c r="C7" s="83" t="s">
        <v>148</v>
      </c>
    </row>
    <row r="8" spans="1:3" x14ac:dyDescent="0.2">
      <c r="A8" s="90" t="s">
        <v>523</v>
      </c>
      <c r="B8" s="48" t="s">
        <v>524</v>
      </c>
      <c r="C8" s="83" t="s">
        <v>523</v>
      </c>
    </row>
    <row r="9" spans="1:3" x14ac:dyDescent="0.2">
      <c r="A9" s="217" t="s">
        <v>148</v>
      </c>
      <c r="B9" s="48" t="s">
        <v>525</v>
      </c>
      <c r="C9" s="83" t="s">
        <v>148</v>
      </c>
    </row>
    <row r="10" spans="1:3" x14ac:dyDescent="0.2">
      <c r="A10" s="86" t="s">
        <v>51</v>
      </c>
      <c r="B10" s="48" t="s">
        <v>123</v>
      </c>
      <c r="C10" s="184" t="s">
        <v>51</v>
      </c>
    </row>
    <row r="11" spans="1:3" x14ac:dyDescent="0.2">
      <c r="A11" s="86" t="s">
        <v>149</v>
      </c>
      <c r="B11" s="48" t="s">
        <v>124</v>
      </c>
      <c r="C11" s="83" t="s">
        <v>149</v>
      </c>
    </row>
    <row r="12" spans="1:3" x14ac:dyDescent="0.2">
      <c r="A12" s="86" t="s">
        <v>50</v>
      </c>
      <c r="B12" s="48" t="s">
        <v>125</v>
      </c>
      <c r="C12" s="83" t="s">
        <v>50</v>
      </c>
    </row>
    <row r="13" spans="1:3" x14ac:dyDescent="0.2">
      <c r="A13" s="86" t="s">
        <v>150</v>
      </c>
      <c r="B13" s="48" t="s">
        <v>126</v>
      </c>
      <c r="C13" s="83" t="s">
        <v>150</v>
      </c>
    </row>
    <row r="14" spans="1:3" x14ac:dyDescent="0.2">
      <c r="A14" s="86" t="s">
        <v>52</v>
      </c>
      <c r="B14" s="128" t="s">
        <v>526</v>
      </c>
      <c r="C14" s="218" t="s">
        <v>52</v>
      </c>
    </row>
    <row r="15" spans="1:3" x14ac:dyDescent="0.2">
      <c r="A15" s="86">
        <v>0.25</v>
      </c>
      <c r="B15" s="48" t="s">
        <v>127</v>
      </c>
      <c r="C15" s="82">
        <v>0.25</v>
      </c>
    </row>
    <row r="16" spans="1:3" x14ac:dyDescent="0.2">
      <c r="A16" s="88">
        <v>1</v>
      </c>
      <c r="B16" s="48" t="s">
        <v>128</v>
      </c>
      <c r="C16" s="83">
        <v>1</v>
      </c>
    </row>
    <row r="17" spans="1:3" x14ac:dyDescent="0.2">
      <c r="A17" s="90">
        <v>0</v>
      </c>
      <c r="B17" s="48" t="s">
        <v>129</v>
      </c>
      <c r="C17" s="85">
        <v>0</v>
      </c>
    </row>
    <row r="18" spans="1:3" x14ac:dyDescent="0.2">
      <c r="A18" s="87">
        <v>100</v>
      </c>
      <c r="B18" s="48" t="s">
        <v>130</v>
      </c>
      <c r="C18" s="82">
        <v>100</v>
      </c>
    </row>
    <row r="19" spans="1:3" x14ac:dyDescent="0.2">
      <c r="A19" s="87">
        <v>100</v>
      </c>
      <c r="B19" s="48" t="s">
        <v>131</v>
      </c>
      <c r="C19" s="82">
        <v>100</v>
      </c>
    </row>
    <row r="20" spans="1:3" x14ac:dyDescent="0.2">
      <c r="A20" s="90">
        <v>0</v>
      </c>
      <c r="B20" s="48" t="s">
        <v>132</v>
      </c>
      <c r="C20" s="85">
        <v>0</v>
      </c>
    </row>
    <row r="21" spans="1:3" x14ac:dyDescent="0.2">
      <c r="A21" s="90">
        <v>0</v>
      </c>
      <c r="B21" s="48" t="s">
        <v>133</v>
      </c>
      <c r="C21" s="85">
        <v>0</v>
      </c>
    </row>
    <row r="22" spans="1:3" x14ac:dyDescent="0.2">
      <c r="A22" s="90">
        <v>0</v>
      </c>
      <c r="B22" s="48" t="s">
        <v>134</v>
      </c>
      <c r="C22" s="85">
        <v>0</v>
      </c>
    </row>
    <row r="23" spans="1:3" x14ac:dyDescent="0.2">
      <c r="A23" s="90">
        <v>0</v>
      </c>
      <c r="B23" s="48" t="s">
        <v>135</v>
      </c>
      <c r="C23" s="85">
        <v>0</v>
      </c>
    </row>
    <row r="24" spans="1:3" x14ac:dyDescent="0.2">
      <c r="A24" s="86" t="s">
        <v>151</v>
      </c>
      <c r="B24" s="48" t="s">
        <v>136</v>
      </c>
      <c r="C24" s="83" t="s">
        <v>151</v>
      </c>
    </row>
    <row r="25" spans="1:3" x14ac:dyDescent="0.2">
      <c r="A25" s="87">
        <v>100</v>
      </c>
      <c r="B25" s="48" t="s">
        <v>137</v>
      </c>
      <c r="C25" s="82">
        <v>100</v>
      </c>
    </row>
    <row r="26" spans="1:3" x14ac:dyDescent="0.2">
      <c r="A26" s="86" t="s">
        <v>152</v>
      </c>
      <c r="B26" s="48" t="s">
        <v>138</v>
      </c>
      <c r="C26" s="83" t="s">
        <v>152</v>
      </c>
    </row>
    <row r="27" spans="1:3" x14ac:dyDescent="0.2">
      <c r="A27" s="90">
        <v>0</v>
      </c>
      <c r="B27" s="48" t="s">
        <v>139</v>
      </c>
      <c r="C27" s="85">
        <v>0</v>
      </c>
    </row>
    <row r="28" spans="1:3" x14ac:dyDescent="0.2">
      <c r="A28" s="90">
        <v>0</v>
      </c>
      <c r="B28" s="116" t="s">
        <v>415</v>
      </c>
      <c r="C28" s="85" t="s">
        <v>368</v>
      </c>
    </row>
    <row r="29" spans="1:3" x14ac:dyDescent="0.2">
      <c r="A29" s="90">
        <v>0</v>
      </c>
      <c r="B29" s="116" t="s">
        <v>416</v>
      </c>
      <c r="C29" s="85" t="s">
        <v>368</v>
      </c>
    </row>
    <row r="30" spans="1:3" x14ac:dyDescent="0.2">
      <c r="A30" s="90">
        <v>0</v>
      </c>
      <c r="B30" s="48" t="s">
        <v>140</v>
      </c>
      <c r="C30" s="85">
        <v>0</v>
      </c>
    </row>
    <row r="31" spans="1:3" x14ac:dyDescent="0.2">
      <c r="A31" s="86" t="s">
        <v>153</v>
      </c>
      <c r="B31" s="48" t="s">
        <v>141</v>
      </c>
      <c r="C31" s="83" t="s">
        <v>153</v>
      </c>
    </row>
    <row r="32" spans="1:3" x14ac:dyDescent="0.2">
      <c r="A32" s="90">
        <v>0</v>
      </c>
      <c r="B32" s="116" t="s">
        <v>417</v>
      </c>
      <c r="C32" s="85" t="s">
        <v>368</v>
      </c>
    </row>
    <row r="33" spans="1:3" x14ac:dyDescent="0.2">
      <c r="A33" s="90">
        <v>0</v>
      </c>
      <c r="B33" s="116" t="s">
        <v>418</v>
      </c>
      <c r="C33" s="85" t="s">
        <v>368</v>
      </c>
    </row>
    <row r="34" spans="1:3" x14ac:dyDescent="0.2">
      <c r="A34" s="90">
        <v>0</v>
      </c>
      <c r="B34" s="48" t="s">
        <v>142</v>
      </c>
      <c r="C34" s="85">
        <v>0</v>
      </c>
    </row>
    <row r="35" spans="1:3" x14ac:dyDescent="0.2">
      <c r="A35" s="90">
        <v>0</v>
      </c>
      <c r="B35" s="116" t="s">
        <v>419</v>
      </c>
      <c r="C35" s="85" t="s">
        <v>368</v>
      </c>
    </row>
    <row r="36" spans="1:3" x14ac:dyDescent="0.2">
      <c r="A36" s="90">
        <v>0</v>
      </c>
      <c r="B36" s="48" t="s">
        <v>143</v>
      </c>
      <c r="C36" s="85">
        <v>0</v>
      </c>
    </row>
    <row r="37" spans="1:3" x14ac:dyDescent="0.2">
      <c r="A37" s="90">
        <v>0</v>
      </c>
      <c r="B37" s="48" t="s">
        <v>144</v>
      </c>
      <c r="C37" s="85">
        <v>0</v>
      </c>
    </row>
    <row r="38" spans="1:3" x14ac:dyDescent="0.2">
      <c r="A38" s="90">
        <v>0</v>
      </c>
      <c r="B38" s="48" t="s">
        <v>145</v>
      </c>
      <c r="C38" s="85">
        <v>0</v>
      </c>
    </row>
    <row r="39" spans="1:3" x14ac:dyDescent="0.2">
      <c r="A39" s="90">
        <v>0</v>
      </c>
      <c r="B39" s="48" t="s">
        <v>146</v>
      </c>
      <c r="C39" s="85">
        <v>0</v>
      </c>
    </row>
    <row r="40" spans="1:3" x14ac:dyDescent="0.2">
      <c r="A40" s="90">
        <v>0</v>
      </c>
      <c r="B40" s="48" t="s">
        <v>147</v>
      </c>
      <c r="C40" s="85">
        <v>0</v>
      </c>
    </row>
    <row r="41" spans="1:3" x14ac:dyDescent="0.2">
      <c r="A41" s="217">
        <v>0</v>
      </c>
      <c r="B41" s="48" t="s">
        <v>527</v>
      </c>
      <c r="C41" s="218">
        <v>0</v>
      </c>
    </row>
    <row r="42" spans="1:3" x14ac:dyDescent="0.2">
      <c r="A42" s="217">
        <v>0</v>
      </c>
      <c r="B42" s="48" t="s">
        <v>528</v>
      </c>
      <c r="C42" s="218">
        <v>0</v>
      </c>
    </row>
    <row r="43" spans="1:3" x14ac:dyDescent="0.2">
      <c r="A43" s="217" t="s">
        <v>85</v>
      </c>
      <c r="B43" s="48" t="s">
        <v>529</v>
      </c>
      <c r="C43" s="218" t="s">
        <v>85</v>
      </c>
    </row>
    <row r="44" spans="1:3" x14ac:dyDescent="0.2">
      <c r="A44" s="90">
        <v>0</v>
      </c>
      <c r="B44" s="48" t="s">
        <v>530</v>
      </c>
      <c r="C44" s="85">
        <v>0</v>
      </c>
    </row>
    <row r="45" spans="1:3" x14ac:dyDescent="0.2">
      <c r="A45" s="217" t="s">
        <v>120</v>
      </c>
      <c r="B45" s="48" t="s">
        <v>531</v>
      </c>
      <c r="C45" s="218" t="s">
        <v>120</v>
      </c>
    </row>
    <row r="46" spans="1:3" x14ac:dyDescent="0.2">
      <c r="A46" s="90">
        <v>0</v>
      </c>
      <c r="B46" s="48" t="s">
        <v>532</v>
      </c>
      <c r="C46" s="85">
        <v>0</v>
      </c>
    </row>
    <row r="47" spans="1:3" x14ac:dyDescent="0.2">
      <c r="A47" s="217" t="s">
        <v>52</v>
      </c>
      <c r="B47" s="48" t="s">
        <v>533</v>
      </c>
      <c r="C47" s="218" t="s">
        <v>52</v>
      </c>
    </row>
    <row r="48" spans="1:3" x14ac:dyDescent="0.2">
      <c r="A48" s="217">
        <v>0.25</v>
      </c>
      <c r="B48" s="48" t="s">
        <v>534</v>
      </c>
      <c r="C48" s="218">
        <v>0.25</v>
      </c>
    </row>
    <row r="49" spans="1:3" x14ac:dyDescent="0.2">
      <c r="A49" s="107">
        <v>1</v>
      </c>
      <c r="B49" s="48" t="s">
        <v>535</v>
      </c>
      <c r="C49" s="219">
        <v>1</v>
      </c>
    </row>
    <row r="50" spans="1:3" x14ac:dyDescent="0.2">
      <c r="A50" s="90">
        <v>0</v>
      </c>
      <c r="B50" s="48" t="s">
        <v>536</v>
      </c>
      <c r="C50" s="85">
        <v>0</v>
      </c>
    </row>
    <row r="51" spans="1:3" x14ac:dyDescent="0.2">
      <c r="A51" s="90">
        <v>0</v>
      </c>
      <c r="B51" s="48" t="s">
        <v>537</v>
      </c>
      <c r="C51" s="85">
        <v>0</v>
      </c>
    </row>
    <row r="52" spans="1:3" x14ac:dyDescent="0.2">
      <c r="A52" s="217">
        <v>12</v>
      </c>
      <c r="B52" s="48" t="s">
        <v>538</v>
      </c>
      <c r="C52" s="218">
        <v>12</v>
      </c>
    </row>
    <row r="53" spans="1:3" x14ac:dyDescent="0.2">
      <c r="A53" s="90">
        <v>1</v>
      </c>
      <c r="B53" s="48" t="s">
        <v>539</v>
      </c>
      <c r="C53" s="85">
        <v>1</v>
      </c>
    </row>
    <row r="54" spans="1:3" x14ac:dyDescent="0.2">
      <c r="A54" s="90">
        <v>1</v>
      </c>
      <c r="B54" s="48" t="s">
        <v>540</v>
      </c>
      <c r="C54" s="85">
        <v>1</v>
      </c>
    </row>
    <row r="55" spans="1:3" x14ac:dyDescent="0.2">
      <c r="A55" s="90">
        <v>1</v>
      </c>
      <c r="B55" s="48" t="s">
        <v>541</v>
      </c>
      <c r="C55" s="85">
        <v>1</v>
      </c>
    </row>
    <row r="56" spans="1:3" x14ac:dyDescent="0.2">
      <c r="A56" s="90">
        <v>1</v>
      </c>
      <c r="B56" s="48" t="s">
        <v>542</v>
      </c>
      <c r="C56" s="85">
        <v>1</v>
      </c>
    </row>
    <row r="57" spans="1:3" x14ac:dyDescent="0.2">
      <c r="A57" s="217" t="s">
        <v>39</v>
      </c>
      <c r="B57" s="48" t="s">
        <v>543</v>
      </c>
      <c r="C57" s="218" t="s">
        <v>39</v>
      </c>
    </row>
    <row r="58" spans="1:3" x14ac:dyDescent="0.2">
      <c r="A58" s="217">
        <v>999</v>
      </c>
      <c r="B58" s="48" t="s">
        <v>544</v>
      </c>
      <c r="C58" s="218">
        <v>999</v>
      </c>
    </row>
    <row r="59" spans="1:3" x14ac:dyDescent="0.2">
      <c r="A59" s="90">
        <v>0</v>
      </c>
      <c r="B59" s="220" t="s">
        <v>545</v>
      </c>
      <c r="C59" s="85" t="s">
        <v>368</v>
      </c>
    </row>
    <row r="60" spans="1:3" x14ac:dyDescent="0.2">
      <c r="A60" s="90">
        <v>0</v>
      </c>
      <c r="B60" s="48" t="s">
        <v>546</v>
      </c>
      <c r="C60" s="85">
        <v>0</v>
      </c>
    </row>
    <row r="61" spans="1:3" x14ac:dyDescent="0.2">
      <c r="A61" s="107">
        <v>1</v>
      </c>
      <c r="B61" s="48" t="s">
        <v>547</v>
      </c>
      <c r="C61" s="219">
        <v>1</v>
      </c>
    </row>
    <row r="62" spans="1:3" x14ac:dyDescent="0.2">
      <c r="A62" s="90">
        <v>0</v>
      </c>
      <c r="B62" s="48" t="s">
        <v>548</v>
      </c>
      <c r="C62" s="85">
        <v>0</v>
      </c>
    </row>
    <row r="63" spans="1:3" x14ac:dyDescent="0.2">
      <c r="A63" s="217">
        <v>999</v>
      </c>
      <c r="B63" s="48" t="s">
        <v>549</v>
      </c>
      <c r="C63" s="218">
        <v>999</v>
      </c>
    </row>
    <row r="64" spans="1:3" x14ac:dyDescent="0.2">
      <c r="A64" s="221">
        <v>999.99</v>
      </c>
      <c r="B64" s="49" t="s">
        <v>550</v>
      </c>
      <c r="C64" s="222">
        <v>999.99</v>
      </c>
    </row>
    <row r="65" spans="1:7" x14ac:dyDescent="0.2">
      <c r="A65" s="37"/>
    </row>
    <row r="66" spans="1:7" x14ac:dyDescent="0.2">
      <c r="A66" s="14" t="s">
        <v>9</v>
      </c>
      <c r="B66" s="18" t="str">
        <f ca="1">GetNameRange(B67)</f>
        <v>PurchAssetsDefnSecSchedules</v>
      </c>
    </row>
    <row r="67" spans="1:7" x14ac:dyDescent="0.2">
      <c r="A67" s="119" t="s">
        <v>403</v>
      </c>
      <c r="B67" s="142" t="s">
        <v>88</v>
      </c>
      <c r="C67" s="126" t="s">
        <v>405</v>
      </c>
      <c r="D67" s="126" t="s">
        <v>405</v>
      </c>
      <c r="E67" s="126" t="s">
        <v>405</v>
      </c>
      <c r="F67" s="126" t="s">
        <v>405</v>
      </c>
      <c r="G67" s="161" t="s">
        <v>405</v>
      </c>
    </row>
    <row r="68" spans="1:7" x14ac:dyDescent="0.2">
      <c r="B68" s="171" t="s">
        <v>421</v>
      </c>
      <c r="C68" s="124" t="s">
        <v>422</v>
      </c>
      <c r="D68" s="124" t="s">
        <v>423</v>
      </c>
      <c r="E68" s="53" t="s">
        <v>424</v>
      </c>
      <c r="F68" s="53" t="s">
        <v>425</v>
      </c>
      <c r="G68" s="172" t="s">
        <v>426</v>
      </c>
    </row>
    <row r="69" spans="1:7" x14ac:dyDescent="0.2">
      <c r="B69" s="127" t="s">
        <v>90</v>
      </c>
      <c r="C69" s="32"/>
      <c r="D69" s="32"/>
      <c r="E69" s="32"/>
      <c r="F69" s="32"/>
      <c r="G69" s="173"/>
    </row>
    <row r="70" spans="1:7" x14ac:dyDescent="0.2">
      <c r="A70" s="90">
        <v>0</v>
      </c>
      <c r="B70" s="128">
        <v>1</v>
      </c>
      <c r="C70" s="97">
        <v>0</v>
      </c>
      <c r="D70" s="97">
        <v>0</v>
      </c>
      <c r="E70" s="97">
        <v>0</v>
      </c>
      <c r="F70" s="97">
        <v>0</v>
      </c>
      <c r="G70" s="97">
        <v>0</v>
      </c>
    </row>
    <row r="71" spans="1:7" x14ac:dyDescent="0.2">
      <c r="A71" s="90">
        <v>0</v>
      </c>
      <c r="B71" s="128">
        <v>60</v>
      </c>
      <c r="C71" s="97">
        <v>0</v>
      </c>
      <c r="D71" s="97">
        <v>0</v>
      </c>
      <c r="E71" s="97">
        <v>0</v>
      </c>
      <c r="F71" s="97">
        <v>0</v>
      </c>
      <c r="G71" s="97">
        <v>0</v>
      </c>
    </row>
    <row r="72" spans="1:7" x14ac:dyDescent="0.2">
      <c r="A72" s="90">
        <v>0</v>
      </c>
      <c r="B72" s="128">
        <v>120</v>
      </c>
      <c r="C72" s="97">
        <v>0</v>
      </c>
      <c r="D72" s="97">
        <v>0</v>
      </c>
      <c r="E72" s="97">
        <v>0</v>
      </c>
      <c r="F72" s="97">
        <v>0</v>
      </c>
      <c r="G72" s="97">
        <v>0</v>
      </c>
    </row>
    <row r="73" spans="1:7" x14ac:dyDescent="0.2">
      <c r="A73" s="90">
        <v>0</v>
      </c>
      <c r="B73" s="128">
        <v>180</v>
      </c>
      <c r="C73" s="97">
        <v>0</v>
      </c>
      <c r="D73" s="97">
        <v>0</v>
      </c>
      <c r="E73" s="97">
        <v>0</v>
      </c>
      <c r="F73" s="97">
        <v>0</v>
      </c>
      <c r="G73" s="97">
        <v>0</v>
      </c>
    </row>
    <row r="74" spans="1:7" x14ac:dyDescent="0.2">
      <c r="A74" s="90">
        <v>0</v>
      </c>
      <c r="B74" s="128">
        <v>240</v>
      </c>
      <c r="C74" s="97">
        <v>0</v>
      </c>
      <c r="D74" s="97">
        <v>0</v>
      </c>
      <c r="E74" s="97">
        <v>0</v>
      </c>
      <c r="F74" s="97">
        <v>0</v>
      </c>
      <c r="G74" s="97">
        <v>0</v>
      </c>
    </row>
    <row r="75" spans="1:7" x14ac:dyDescent="0.2">
      <c r="A75" s="90">
        <v>0</v>
      </c>
      <c r="B75" s="155">
        <v>360</v>
      </c>
      <c r="C75" s="97">
        <v>0</v>
      </c>
      <c r="D75" s="97">
        <v>0</v>
      </c>
      <c r="E75" s="97">
        <v>0</v>
      </c>
      <c r="F75" s="97">
        <v>0</v>
      </c>
      <c r="G75" s="97">
        <v>0</v>
      </c>
    </row>
    <row r="77" spans="1:7" x14ac:dyDescent="0.2">
      <c r="A77" s="14" t="s">
        <v>9</v>
      </c>
      <c r="B77" s="18" t="str">
        <f ca="1">GetNameRange(B78)</f>
        <v>PurchAssetsDefnSecCpPrepmtPenaltyPct</v>
      </c>
    </row>
    <row r="78" spans="1:7" x14ac:dyDescent="0.2">
      <c r="A78" s="216" t="s">
        <v>403</v>
      </c>
      <c r="B78" s="142" t="s">
        <v>524</v>
      </c>
      <c r="C78" s="161" t="s">
        <v>523</v>
      </c>
    </row>
    <row r="79" spans="1:7" x14ac:dyDescent="0.2">
      <c r="B79" s="127" t="s">
        <v>90</v>
      </c>
      <c r="C79" s="173"/>
    </row>
    <row r="80" spans="1:7" x14ac:dyDescent="0.2">
      <c r="A80" s="90">
        <v>0</v>
      </c>
      <c r="B80" s="128">
        <v>1</v>
      </c>
      <c r="C80" s="147">
        <v>0</v>
      </c>
    </row>
    <row r="81" spans="1:3" x14ac:dyDescent="0.2">
      <c r="A81" s="90">
        <v>0</v>
      </c>
      <c r="B81" s="128">
        <v>60</v>
      </c>
      <c r="C81" s="147">
        <v>0</v>
      </c>
    </row>
    <row r="82" spans="1:3" x14ac:dyDescent="0.2">
      <c r="A82" s="90">
        <v>0</v>
      </c>
      <c r="B82" s="128">
        <v>120</v>
      </c>
      <c r="C82" s="147">
        <v>0</v>
      </c>
    </row>
    <row r="83" spans="1:3" x14ac:dyDescent="0.2">
      <c r="A83" s="90">
        <v>0</v>
      </c>
      <c r="B83" s="128">
        <v>180</v>
      </c>
      <c r="C83" s="147">
        <v>0</v>
      </c>
    </row>
    <row r="84" spans="1:3" x14ac:dyDescent="0.2">
      <c r="A84" s="90">
        <v>0</v>
      </c>
      <c r="B84" s="128">
        <v>240</v>
      </c>
      <c r="C84" s="147">
        <v>0</v>
      </c>
    </row>
    <row r="85" spans="1:3" x14ac:dyDescent="0.2">
      <c r="A85" s="90">
        <v>0</v>
      </c>
      <c r="B85" s="155">
        <v>360</v>
      </c>
      <c r="C85" s="163">
        <v>0</v>
      </c>
    </row>
  </sheetData>
  <conditionalFormatting sqref="C70:G75">
    <cfRule type="cellIs" dxfId="232" priority="35" operator="notEqual">
      <formula>$A70</formula>
    </cfRule>
  </conditionalFormatting>
  <conditionalFormatting sqref="C41:C42 C15:C39 C6:C9 C11:C13">
    <cfRule type="cellIs" dxfId="231" priority="34" operator="notEqual">
      <formula>$A6</formula>
    </cfRule>
  </conditionalFormatting>
  <conditionalFormatting sqref="C40">
    <cfRule type="cellIs" dxfId="230" priority="33" operator="notEqual">
      <formula>$A40</formula>
    </cfRule>
  </conditionalFormatting>
  <conditionalFormatting sqref="C43:C58 C60:C64">
    <cfRule type="cellIs" dxfId="229" priority="28" operator="notEqual">
      <formula>$A43</formula>
    </cfRule>
    <cfRule type="cellIs" dxfId="228" priority="29" operator="equal">
      <formula>"""&lt;&gt;$A6"""</formula>
    </cfRule>
    <cfRule type="cellIs" dxfId="227" priority="30" operator="equal">
      <formula>"&lt;&gt;$A6"</formula>
    </cfRule>
    <cfRule type="cellIs" dxfId="226" priority="31" operator="equal">
      <formula>$A43</formula>
    </cfRule>
    <cfRule type="cellIs" dxfId="225" priority="32" operator="equal">
      <formula>$A43</formula>
    </cfRule>
  </conditionalFormatting>
  <conditionalFormatting sqref="C14">
    <cfRule type="cellIs" dxfId="224" priority="23" operator="notEqual">
      <formula>$A14</formula>
    </cfRule>
    <cfRule type="cellIs" dxfId="223" priority="24" operator="equal">
      <formula>"""&lt;&gt;$A6"""</formula>
    </cfRule>
    <cfRule type="cellIs" dxfId="222" priority="25" operator="equal">
      <formula>"&lt;&gt;$A6"</formula>
    </cfRule>
    <cfRule type="cellIs" dxfId="221" priority="26" operator="equal">
      <formula>$A14</formula>
    </cfRule>
    <cfRule type="cellIs" dxfId="220" priority="27" operator="equal">
      <formula>$A14</formula>
    </cfRule>
  </conditionalFormatting>
  <conditionalFormatting sqref="C59">
    <cfRule type="cellIs" dxfId="219" priority="22" operator="notEqual">
      <formula>$A59</formula>
    </cfRule>
  </conditionalFormatting>
  <conditionalFormatting sqref="C10">
    <cfRule type="cellIs" dxfId="218" priority="21" operator="notEqual">
      <formula>$A10</formula>
    </cfRule>
  </conditionalFormatting>
  <conditionalFormatting sqref="C80">
    <cfRule type="cellIs" dxfId="217" priority="16" operator="notEqual">
      <formula>$A80</formula>
    </cfRule>
    <cfRule type="cellIs" dxfId="216" priority="17" operator="equal">
      <formula>"""&lt;&gt;$A6"""</formula>
    </cfRule>
    <cfRule type="cellIs" dxfId="215" priority="18" operator="equal">
      <formula>"&lt;&gt;$A6"</formula>
    </cfRule>
    <cfRule type="cellIs" dxfId="214" priority="19" operator="equal">
      <formula>$A80</formula>
    </cfRule>
    <cfRule type="cellIs" dxfId="213" priority="20" operator="equal">
      <formula>$A80</formula>
    </cfRule>
  </conditionalFormatting>
  <conditionalFormatting sqref="C84">
    <cfRule type="cellIs" dxfId="212" priority="11" operator="notEqual">
      <formula>$A84</formula>
    </cfRule>
    <cfRule type="cellIs" dxfId="211" priority="12" operator="equal">
      <formula>"""&lt;&gt;$A6"""</formula>
    </cfRule>
    <cfRule type="cellIs" dxfId="210" priority="13" operator="equal">
      <formula>"&lt;&gt;$A6"</formula>
    </cfRule>
    <cfRule type="cellIs" dxfId="209" priority="14" operator="equal">
      <formula>$A84</formula>
    </cfRule>
    <cfRule type="cellIs" dxfId="208" priority="15" operator="equal">
      <formula>$A84</formula>
    </cfRule>
  </conditionalFormatting>
  <conditionalFormatting sqref="C85">
    <cfRule type="cellIs" dxfId="207" priority="6" operator="notEqual">
      <formula>$A85</formula>
    </cfRule>
    <cfRule type="cellIs" dxfId="206" priority="7" operator="equal">
      <formula>"""&lt;&gt;$A6"""</formula>
    </cfRule>
    <cfRule type="cellIs" dxfId="205" priority="8" operator="equal">
      <formula>"&lt;&gt;$A6"</formula>
    </cfRule>
    <cfRule type="cellIs" dxfId="204" priority="9" operator="equal">
      <formula>$A85</formula>
    </cfRule>
    <cfRule type="cellIs" dxfId="203" priority="10" operator="equal">
      <formula>$A85</formula>
    </cfRule>
  </conditionalFormatting>
  <conditionalFormatting sqref="C81:C83">
    <cfRule type="cellIs" dxfId="202" priority="1" operator="notEqual">
      <formula>$A81</formula>
    </cfRule>
    <cfRule type="cellIs" dxfId="201" priority="2" operator="equal">
      <formula>"""&lt;&gt;$A6"""</formula>
    </cfRule>
    <cfRule type="cellIs" dxfId="200" priority="3" operator="equal">
      <formula>"&lt;&gt;$A6"</formula>
    </cfRule>
    <cfRule type="cellIs" dxfId="199" priority="4" operator="equal">
      <formula>$A81</formula>
    </cfRule>
    <cfRule type="cellIs" dxfId="198" priority="5" operator="equal">
      <formula>$A81</formula>
    </cfRule>
  </conditionalFormatting>
  <dataValidations disablePrompts="1" count="10">
    <dataValidation type="list" allowBlank="1" showInputMessage="1" showErrorMessage="1" sqref="C11" xr:uid="{00000000-0002-0000-0F00-000000000000}">
      <formula1>"Tranche B,Tranche Z, PAC2A"</formula1>
    </dataValidation>
    <dataValidation type="list" allowBlank="1" showInputMessage="1" showErrorMessage="1" sqref="C12" xr:uid="{00000000-0002-0000-0F00-000001000000}">
      <formula1>"Both,IO,PO"</formula1>
    </dataValidation>
    <dataValidation type="list" allowBlank="1" showInputMessage="1" showErrorMessage="1" sqref="C13" xr:uid="{00000000-0002-0000-0F00-000002000000}">
      <formula1>"Fixed Rate,Floating Rate"</formula1>
    </dataValidation>
    <dataValidation type="list" allowBlank="1" showInputMessage="1" showErrorMessage="1" sqref="C24" xr:uid="{00000000-0002-0000-0F00-000003000000}">
      <formula1>"Accrual Only,Jump,Jump/Stick"</formula1>
    </dataValidation>
    <dataValidation type="list" allowBlank="1" showInputMessage="1" showErrorMessage="1" sqref="C26" xr:uid="{00000000-0002-0000-0F00-000004000000}">
      <formula1>"Before PAC2,After PAC2"</formula1>
    </dataValidation>
    <dataValidation type="list" allowBlank="1" showInputMessage="1" showErrorMessage="1" sqref="C31" xr:uid="{00000000-0002-0000-0F00-000005000000}">
      <formula1>"Non Accrual,Z PAC"</formula1>
    </dataValidation>
    <dataValidation type="list" allowBlank="1" showInputMessage="1" showErrorMessage="1" sqref="C10" xr:uid="{00000000-0002-0000-0F00-000006000000}">
      <formula1>"Not Assigned,Available for Sale,Trading,Held to Maturity"</formula1>
    </dataValidation>
    <dataValidation type="list" allowBlank="1" showInputMessage="1" showErrorMessage="1" sqref="C57" xr:uid="{00000000-0002-0000-0F00-000007000000}">
      <formula1>"Not Applicable,Penalty Percent,Yield Maintenance,Cash Flow Maintenance,Related to Payment Rate"</formula1>
    </dataValidation>
    <dataValidation type="list" allowBlank="1" showInputMessage="1" showErrorMessage="1" sqref="C43" xr:uid="{00000000-0002-0000-0F00-000008000000}">
      <formula1>"Refinancing Rate,Fixed Rate,Floating Rate"</formula1>
    </dataValidation>
    <dataValidation type="list" allowBlank="1" showInputMessage="1" showErrorMessage="1" sqref="C45" xr:uid="{00000000-0002-0000-0F00-000009000000}">
      <formula1>"Monthly,Quarterly,Semi-Annual,Annual"</formula1>
    </dataValidation>
  </dataValidations>
  <hyperlinks>
    <hyperlink ref="A1" location="'Table of Contents'!A1" display="Go to TOC" xr:uid="{00000000-0004-0000-0F00-000000000000}"/>
    <hyperlink ref="A66" location="'Table of Contents'!A1" display="Go to TOC" xr:uid="{00000000-0004-0000-0F00-000001000000}"/>
    <hyperlink ref="A67" location="'Purch Sec Defn'!B26" display="Back To Main" xr:uid="{00000000-0004-0000-0F00-000002000000}"/>
    <hyperlink ref="B28" location="PurchAssetsDefnSecSchedules" display="purch_sec_pac1_std_sch" xr:uid="{00000000-0004-0000-0F00-000003000000}"/>
    <hyperlink ref="B29" location="PurchAssetsDefnSecSchedules" display="purch_sec_pac1z_sch" xr:uid="{00000000-0004-0000-0F00-000004000000}"/>
    <hyperlink ref="B32" location="PurchAssetsDefnSecSchedules" display="purch_sec_pac2a_sch" xr:uid="{00000000-0004-0000-0F00-000005000000}"/>
    <hyperlink ref="B33" location="PurchAssetsDefnSecSchedules" display="purch_sec_pac2b_sch" xr:uid="{00000000-0004-0000-0F00-000006000000}"/>
    <hyperlink ref="B35" location="PurchAssetsDefnSecSchedules" display="purch_sec_pac3_sch" xr:uid="{00000000-0004-0000-0F00-000007000000}"/>
    <hyperlink ref="B59" location="PurchAssetsDefnSecCpPrepmtPenaltyPct" display="purch_sec_cp_prepmt_penalty_pct" xr:uid="{00000000-0004-0000-0F00-000008000000}"/>
    <hyperlink ref="A77" location="'Table of Contents'!A1" display="Go to TOC" xr:uid="{00000000-0004-0000-0F00-000009000000}"/>
    <hyperlink ref="A78" location="'Purch Sec Defn'!B59" display="Back To Main" xr:uid="{00000000-0004-0000-0F00-00000A000000}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D28"/>
  <sheetViews>
    <sheetView showGridLines="0" workbookViewId="0">
      <selection activeCell="B1" sqref="B1:B1048576"/>
    </sheetView>
  </sheetViews>
  <sheetFormatPr defaultColWidth="15.5703125" defaultRowHeight="12.75" x14ac:dyDescent="0.2"/>
  <cols>
    <col min="1" max="1" width="15.5703125" style="24"/>
    <col min="2" max="2" width="30.42578125" style="20" customWidth="1"/>
    <col min="3" max="16384" width="15.5703125" style="20"/>
  </cols>
  <sheetData>
    <row r="1" spans="1:4" ht="15.75" x14ac:dyDescent="0.2">
      <c r="A1" s="23" t="s">
        <v>9</v>
      </c>
      <c r="B1" s="19" t="s">
        <v>413</v>
      </c>
    </row>
    <row r="2" spans="1:4" ht="15.75" x14ac:dyDescent="0.2">
      <c r="A2" s="23"/>
      <c r="B2" s="19"/>
    </row>
    <row r="3" spans="1:4" x14ac:dyDescent="0.2">
      <c r="B3" s="18" t="str">
        <f ca="1">GetNameRange(B4)</f>
        <v>PurchAssetsDefnIrd</v>
      </c>
    </row>
    <row r="4" spans="1:4" x14ac:dyDescent="0.2">
      <c r="A4" s="154"/>
      <c r="B4" s="69" t="s">
        <v>88</v>
      </c>
      <c r="C4" s="71" t="s">
        <v>406</v>
      </c>
    </row>
    <row r="5" spans="1:4" x14ac:dyDescent="0.2">
      <c r="A5" s="76" t="s">
        <v>8</v>
      </c>
      <c r="B5" s="21" t="s">
        <v>0</v>
      </c>
      <c r="C5" s="29"/>
    </row>
    <row r="6" spans="1:4" x14ac:dyDescent="0.2">
      <c r="A6" s="86" t="s">
        <v>6</v>
      </c>
      <c r="B6" s="48" t="s">
        <v>517</v>
      </c>
      <c r="C6" s="83" t="s">
        <v>6</v>
      </c>
    </row>
    <row r="7" spans="1:4" x14ac:dyDescent="0.2">
      <c r="A7" s="86" t="s">
        <v>148</v>
      </c>
      <c r="B7" s="48" t="s">
        <v>154</v>
      </c>
      <c r="C7" s="83" t="s">
        <v>148</v>
      </c>
    </row>
    <row r="8" spans="1:4" x14ac:dyDescent="0.2">
      <c r="A8" s="86" t="s">
        <v>48</v>
      </c>
      <c r="B8" s="48" t="s">
        <v>155</v>
      </c>
      <c r="C8" s="83" t="s">
        <v>48</v>
      </c>
    </row>
    <row r="9" spans="1:4" x14ac:dyDescent="0.2">
      <c r="A9" s="86" t="s">
        <v>51</v>
      </c>
      <c r="B9" s="48" t="s">
        <v>156</v>
      </c>
      <c r="C9" s="83" t="s">
        <v>51</v>
      </c>
    </row>
    <row r="10" spans="1:4" x14ac:dyDescent="0.2">
      <c r="A10" s="86" t="s">
        <v>174</v>
      </c>
      <c r="B10" s="48" t="s">
        <v>157</v>
      </c>
      <c r="C10" s="83" t="s">
        <v>174</v>
      </c>
    </row>
    <row r="11" spans="1:4" x14ac:dyDescent="0.2">
      <c r="A11" s="86" t="s">
        <v>121</v>
      </c>
      <c r="B11" s="48" t="s">
        <v>158</v>
      </c>
      <c r="C11" s="83" t="s">
        <v>121</v>
      </c>
    </row>
    <row r="12" spans="1:4" x14ac:dyDescent="0.2">
      <c r="A12" s="86" t="s">
        <v>121</v>
      </c>
      <c r="B12" s="48" t="s">
        <v>159</v>
      </c>
      <c r="C12" s="83" t="s">
        <v>121</v>
      </c>
    </row>
    <row r="13" spans="1:4" x14ac:dyDescent="0.2">
      <c r="A13" s="86">
        <v>0</v>
      </c>
      <c r="B13" s="48" t="s">
        <v>160</v>
      </c>
      <c r="C13" s="132">
        <v>0</v>
      </c>
    </row>
    <row r="14" spans="1:4" x14ac:dyDescent="0.2">
      <c r="A14" s="86">
        <v>0.25</v>
      </c>
      <c r="B14" s="48" t="s">
        <v>161</v>
      </c>
      <c r="C14" s="82">
        <v>0.25</v>
      </c>
      <c r="D14" s="78"/>
    </row>
    <row r="15" spans="1:4" x14ac:dyDescent="0.2">
      <c r="A15" s="86" t="s">
        <v>150</v>
      </c>
      <c r="B15" s="48" t="s">
        <v>162</v>
      </c>
      <c r="C15" s="83" t="s">
        <v>150</v>
      </c>
    </row>
    <row r="16" spans="1:4" x14ac:dyDescent="0.2">
      <c r="A16" s="86" t="s">
        <v>52</v>
      </c>
      <c r="B16" s="48" t="s">
        <v>521</v>
      </c>
      <c r="C16" s="20" t="s">
        <v>52</v>
      </c>
    </row>
    <row r="17" spans="1:3" x14ac:dyDescent="0.2">
      <c r="A17" s="86">
        <v>0.25</v>
      </c>
      <c r="B17" s="48" t="s">
        <v>163</v>
      </c>
      <c r="C17" s="82">
        <v>0.25</v>
      </c>
    </row>
    <row r="18" spans="1:3" x14ac:dyDescent="0.2">
      <c r="A18" s="88">
        <v>1</v>
      </c>
      <c r="B18" s="48" t="s">
        <v>164</v>
      </c>
      <c r="C18" s="83">
        <v>1</v>
      </c>
    </row>
    <row r="19" spans="1:3" x14ac:dyDescent="0.2">
      <c r="A19" s="90">
        <v>0</v>
      </c>
      <c r="B19" s="48" t="s">
        <v>165</v>
      </c>
      <c r="C19" s="85">
        <v>0</v>
      </c>
    </row>
    <row r="20" spans="1:3" x14ac:dyDescent="0.2">
      <c r="A20" s="86" t="s">
        <v>150</v>
      </c>
      <c r="B20" s="48" t="s">
        <v>166</v>
      </c>
      <c r="C20" s="83" t="s">
        <v>150</v>
      </c>
    </row>
    <row r="21" spans="1:3" x14ac:dyDescent="0.2">
      <c r="A21" s="86" t="s">
        <v>52</v>
      </c>
      <c r="B21" s="48" t="s">
        <v>522</v>
      </c>
      <c r="C21" s="20" t="s">
        <v>52</v>
      </c>
    </row>
    <row r="22" spans="1:3" x14ac:dyDescent="0.2">
      <c r="A22" s="86">
        <v>0.25</v>
      </c>
      <c r="B22" s="48" t="s">
        <v>167</v>
      </c>
      <c r="C22" s="82">
        <v>0.25</v>
      </c>
    </row>
    <row r="23" spans="1:3" x14ac:dyDescent="0.2">
      <c r="A23" s="88">
        <v>1</v>
      </c>
      <c r="B23" s="48" t="s">
        <v>168</v>
      </c>
      <c r="C23" s="83">
        <v>1</v>
      </c>
    </row>
    <row r="24" spans="1:3" x14ac:dyDescent="0.2">
      <c r="A24" s="90">
        <v>0</v>
      </c>
      <c r="B24" s="48" t="s">
        <v>169</v>
      </c>
      <c r="C24" s="85">
        <v>0</v>
      </c>
    </row>
    <row r="25" spans="1:3" x14ac:dyDescent="0.2">
      <c r="A25" s="90">
        <v>0</v>
      </c>
      <c r="B25" s="48" t="s">
        <v>170</v>
      </c>
      <c r="C25" s="85">
        <v>0</v>
      </c>
    </row>
    <row r="26" spans="1:3" x14ac:dyDescent="0.2">
      <c r="A26" s="90">
        <v>0</v>
      </c>
      <c r="B26" s="48" t="s">
        <v>171</v>
      </c>
      <c r="C26" s="85">
        <v>0</v>
      </c>
    </row>
    <row r="27" spans="1:3" x14ac:dyDescent="0.2">
      <c r="A27" s="90">
        <v>0</v>
      </c>
      <c r="B27" s="48" t="s">
        <v>172</v>
      </c>
      <c r="C27" s="85">
        <v>0</v>
      </c>
    </row>
    <row r="28" spans="1:3" x14ac:dyDescent="0.2">
      <c r="A28" s="90">
        <v>0</v>
      </c>
      <c r="B28" s="49" t="s">
        <v>173</v>
      </c>
      <c r="C28" s="141">
        <v>0</v>
      </c>
    </row>
  </sheetData>
  <conditionalFormatting sqref="C6:C15 C17:C20 C22:C28">
    <cfRule type="cellIs" dxfId="197" priority="1" operator="notEqual">
      <formula>$A6</formula>
    </cfRule>
  </conditionalFormatting>
  <dataValidations count="4">
    <dataValidation type="list" allowBlank="1" showInputMessage="1" showErrorMessage="1" sqref="C8" xr:uid="{00000000-0002-0000-1000-000000000000}">
      <formula1>"Investment,Hedging"</formula1>
    </dataValidation>
    <dataValidation type="list" allowBlank="1" showInputMessage="1" showErrorMessage="1" sqref="C11:C12" xr:uid="{00000000-0002-0000-1000-000001000000}">
      <formula1>"Monthly,Quarterly,Semi-Annual,Annual"</formula1>
    </dataValidation>
    <dataValidation type="list" allowBlank="1" showInputMessage="1" showErrorMessage="1" sqref="C10" xr:uid="{00000000-0002-0000-1000-000002000000}">
      <formula1>"Always,If Positive"</formula1>
    </dataValidation>
    <dataValidation type="list" allowBlank="1" showInputMessage="1" showErrorMessage="1" sqref="C15 C20" xr:uid="{00000000-0002-0000-1000-000003000000}">
      <formula1>"Fixed Rate,Floating Rate"</formula1>
    </dataValidation>
  </dataValidations>
  <hyperlinks>
    <hyperlink ref="A1" location="'Table of Contents'!A1" display="Go to TOC" xr:uid="{00000000-0004-0000-1000-000000000000}"/>
  </hyperlink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/>
  <dimension ref="A1:C21"/>
  <sheetViews>
    <sheetView showGridLines="0" workbookViewId="0">
      <selection activeCell="B1" sqref="B1:B1048576"/>
    </sheetView>
  </sheetViews>
  <sheetFormatPr defaultColWidth="15.5703125" defaultRowHeight="12.75" x14ac:dyDescent="0.2"/>
  <cols>
    <col min="1" max="1" width="15.5703125" style="24"/>
    <col min="2" max="2" width="34" style="20" customWidth="1"/>
    <col min="3" max="16384" width="15.5703125" style="20"/>
  </cols>
  <sheetData>
    <row r="1" spans="1:3" ht="15.75" x14ac:dyDescent="0.2">
      <c r="A1" s="23" t="s">
        <v>9</v>
      </c>
      <c r="B1" s="19" t="s">
        <v>412</v>
      </c>
    </row>
    <row r="3" spans="1:3" x14ac:dyDescent="0.2">
      <c r="B3" s="18" t="str">
        <f ca="1">GetNameRange(B4)</f>
        <v>PurchAssetsDefnRe</v>
      </c>
    </row>
    <row r="4" spans="1:3" x14ac:dyDescent="0.2">
      <c r="A4" s="154"/>
      <c r="B4" s="69" t="s">
        <v>88</v>
      </c>
      <c r="C4" s="71" t="s">
        <v>408</v>
      </c>
    </row>
    <row r="5" spans="1:3" x14ac:dyDescent="0.2">
      <c r="A5" s="76" t="s">
        <v>8</v>
      </c>
      <c r="B5" s="21" t="s">
        <v>0</v>
      </c>
      <c r="C5" s="29"/>
    </row>
    <row r="6" spans="1:3" x14ac:dyDescent="0.2">
      <c r="A6" s="86" t="s">
        <v>6</v>
      </c>
      <c r="B6" s="48" t="s">
        <v>518</v>
      </c>
      <c r="C6" s="83" t="s">
        <v>6</v>
      </c>
    </row>
    <row r="7" spans="1:3" x14ac:dyDescent="0.2">
      <c r="A7" s="86" t="s">
        <v>189</v>
      </c>
      <c r="B7" s="48" t="s">
        <v>175</v>
      </c>
      <c r="C7" s="83" t="s">
        <v>189</v>
      </c>
    </row>
    <row r="8" spans="1:3" x14ac:dyDescent="0.2">
      <c r="A8" s="86" t="s">
        <v>148</v>
      </c>
      <c r="B8" s="48" t="s">
        <v>176</v>
      </c>
      <c r="C8" s="83" t="s">
        <v>148</v>
      </c>
    </row>
    <row r="9" spans="1:3" x14ac:dyDescent="0.2">
      <c r="A9" s="86" t="s">
        <v>51</v>
      </c>
      <c r="B9" s="48" t="s">
        <v>177</v>
      </c>
      <c r="C9" s="83" t="s">
        <v>51</v>
      </c>
    </row>
    <row r="10" spans="1:3" x14ac:dyDescent="0.2">
      <c r="A10" s="88">
        <v>1</v>
      </c>
      <c r="B10" s="48" t="s">
        <v>178</v>
      </c>
      <c r="C10" s="83">
        <v>1</v>
      </c>
    </row>
    <row r="11" spans="1:3" x14ac:dyDescent="0.2">
      <c r="A11" s="90">
        <v>0</v>
      </c>
      <c r="B11" s="48" t="s">
        <v>179</v>
      </c>
      <c r="C11" s="85">
        <v>0</v>
      </c>
    </row>
    <row r="12" spans="1:3" x14ac:dyDescent="0.2">
      <c r="A12" s="86">
        <v>0</v>
      </c>
      <c r="B12" s="48" t="s">
        <v>180</v>
      </c>
      <c r="C12" s="132">
        <v>0</v>
      </c>
    </row>
    <row r="13" spans="1:3" x14ac:dyDescent="0.2">
      <c r="A13" s="86" t="s">
        <v>121</v>
      </c>
      <c r="B13" s="48" t="s">
        <v>181</v>
      </c>
      <c r="C13" s="83" t="s">
        <v>121</v>
      </c>
    </row>
    <row r="14" spans="1:3" x14ac:dyDescent="0.2">
      <c r="A14" s="88">
        <v>1</v>
      </c>
      <c r="B14" s="48" t="s">
        <v>182</v>
      </c>
      <c r="C14" s="83">
        <v>1</v>
      </c>
    </row>
    <row r="15" spans="1:3" x14ac:dyDescent="0.2">
      <c r="A15" s="90">
        <v>0</v>
      </c>
      <c r="B15" s="48" t="s">
        <v>183</v>
      </c>
      <c r="C15" s="85">
        <v>0</v>
      </c>
    </row>
    <row r="16" spans="1:3" x14ac:dyDescent="0.2">
      <c r="A16" s="86" t="s">
        <v>41</v>
      </c>
      <c r="B16" s="48" t="s">
        <v>184</v>
      </c>
      <c r="C16" s="83" t="s">
        <v>41</v>
      </c>
    </row>
    <row r="17" spans="1:3" x14ac:dyDescent="0.2">
      <c r="A17" s="90">
        <v>0</v>
      </c>
      <c r="B17" s="48" t="s">
        <v>185</v>
      </c>
      <c r="C17" s="85">
        <v>0</v>
      </c>
    </row>
    <row r="18" spans="1:3" x14ac:dyDescent="0.2">
      <c r="A18" s="90">
        <v>0</v>
      </c>
      <c r="B18" s="48" t="s">
        <v>186</v>
      </c>
      <c r="C18" s="85">
        <v>0</v>
      </c>
    </row>
    <row r="19" spans="1:3" x14ac:dyDescent="0.2">
      <c r="A19" s="90">
        <v>0</v>
      </c>
      <c r="B19" s="48" t="s">
        <v>187</v>
      </c>
      <c r="C19" s="85">
        <v>0</v>
      </c>
    </row>
    <row r="20" spans="1:3" x14ac:dyDescent="0.2">
      <c r="A20" s="90">
        <v>0</v>
      </c>
      <c r="B20" s="49" t="s">
        <v>188</v>
      </c>
      <c r="C20" s="141">
        <v>0</v>
      </c>
    </row>
    <row r="21" spans="1:3" x14ac:dyDescent="0.2">
      <c r="A21" s="37"/>
      <c r="B21" s="30"/>
      <c r="C21" s="50"/>
    </row>
  </sheetData>
  <conditionalFormatting sqref="C6:C20">
    <cfRule type="cellIs" dxfId="196" priority="1" operator="notEqual">
      <formula>$A6</formula>
    </cfRule>
  </conditionalFormatting>
  <dataValidations count="2">
    <dataValidation type="list" allowBlank="1" showInputMessage="1" showErrorMessage="1" sqref="C13" xr:uid="{00000000-0002-0000-1100-000000000000}">
      <formula1>"Monthly,Quarterly,Semi-Annual,Annual"</formula1>
    </dataValidation>
    <dataValidation type="list" allowBlank="1" showInputMessage="1" showErrorMessage="1" sqref="C16" xr:uid="{00000000-0002-0000-1100-000001000000}">
      <formula1>"Yes,No"</formula1>
    </dataValidation>
  </dataValidations>
  <hyperlinks>
    <hyperlink ref="A1" location="'Table of Contents'!A1" display="Go to TOC" xr:uid="{00000000-0004-0000-1100-000000000000}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1:C18"/>
  <sheetViews>
    <sheetView showGridLines="0" workbookViewId="0">
      <selection activeCell="B1" sqref="B1:B1048576"/>
    </sheetView>
  </sheetViews>
  <sheetFormatPr defaultColWidth="15.5703125" defaultRowHeight="12.75" x14ac:dyDescent="0.2"/>
  <cols>
    <col min="1" max="1" width="15.42578125" style="24" customWidth="1"/>
    <col min="2" max="2" width="32.42578125" style="20" customWidth="1"/>
    <col min="3" max="3" width="18.42578125" style="20" customWidth="1"/>
    <col min="4" max="16384" width="15.5703125" style="20"/>
  </cols>
  <sheetData>
    <row r="1" spans="1:3" ht="15.75" x14ac:dyDescent="0.2">
      <c r="A1" s="23" t="s">
        <v>9</v>
      </c>
      <c r="B1" s="19" t="s">
        <v>411</v>
      </c>
    </row>
    <row r="3" spans="1:3" x14ac:dyDescent="0.2">
      <c r="B3" s="18" t="str">
        <f ca="1">GetNameRange(B4)</f>
        <v>PurchAssetsDefnEqt</v>
      </c>
    </row>
    <row r="4" spans="1:3" s="72" customFormat="1" x14ac:dyDescent="0.2">
      <c r="A4" s="123"/>
      <c r="B4" s="69" t="s">
        <v>88</v>
      </c>
      <c r="C4" s="71" t="s">
        <v>407</v>
      </c>
    </row>
    <row r="5" spans="1:3" x14ac:dyDescent="0.2">
      <c r="A5" s="76" t="s">
        <v>8</v>
      </c>
      <c r="B5" s="21" t="s">
        <v>0</v>
      </c>
      <c r="C5" s="29"/>
    </row>
    <row r="6" spans="1:3" x14ac:dyDescent="0.2">
      <c r="A6" s="86" t="s">
        <v>6</v>
      </c>
      <c r="B6" s="48" t="s">
        <v>519</v>
      </c>
      <c r="C6" s="83" t="s">
        <v>6</v>
      </c>
    </row>
    <row r="7" spans="1:3" x14ac:dyDescent="0.2">
      <c r="A7" s="86" t="s">
        <v>47</v>
      </c>
      <c r="B7" s="48" t="s">
        <v>190</v>
      </c>
      <c r="C7" s="83" t="s">
        <v>47</v>
      </c>
    </row>
    <row r="8" spans="1:3" x14ac:dyDescent="0.2">
      <c r="A8" s="86" t="s">
        <v>148</v>
      </c>
      <c r="B8" s="48" t="s">
        <v>191</v>
      </c>
      <c r="C8" s="83" t="s">
        <v>148</v>
      </c>
    </row>
    <row r="9" spans="1:3" x14ac:dyDescent="0.2">
      <c r="A9" s="86" t="s">
        <v>51</v>
      </c>
      <c r="B9" s="48" t="s">
        <v>192</v>
      </c>
      <c r="C9" s="83" t="s">
        <v>51</v>
      </c>
    </row>
    <row r="10" spans="1:3" x14ac:dyDescent="0.2">
      <c r="A10" s="86" t="s">
        <v>121</v>
      </c>
      <c r="B10" s="48" t="s">
        <v>193</v>
      </c>
      <c r="C10" s="83" t="s">
        <v>121</v>
      </c>
    </row>
    <row r="11" spans="1:3" x14ac:dyDescent="0.2">
      <c r="A11" s="88">
        <v>1</v>
      </c>
      <c r="B11" s="48" t="s">
        <v>194</v>
      </c>
      <c r="C11" s="83">
        <v>1</v>
      </c>
    </row>
    <row r="12" spans="1:3" x14ac:dyDescent="0.2">
      <c r="A12" s="90">
        <v>0</v>
      </c>
      <c r="B12" s="48" t="s">
        <v>195</v>
      </c>
      <c r="C12" s="85">
        <v>0</v>
      </c>
    </row>
    <row r="13" spans="1:3" x14ac:dyDescent="0.2">
      <c r="A13" s="88">
        <v>1</v>
      </c>
      <c r="B13" s="48" t="s">
        <v>196</v>
      </c>
      <c r="C13" s="83">
        <v>1</v>
      </c>
    </row>
    <row r="14" spans="1:3" x14ac:dyDescent="0.2">
      <c r="A14" s="90">
        <v>0</v>
      </c>
      <c r="B14" s="48" t="s">
        <v>197</v>
      </c>
      <c r="C14" s="85">
        <v>0</v>
      </c>
    </row>
    <row r="15" spans="1:3" x14ac:dyDescent="0.2">
      <c r="A15" s="90">
        <v>0</v>
      </c>
      <c r="B15" s="48" t="s">
        <v>198</v>
      </c>
      <c r="C15" s="85">
        <v>0</v>
      </c>
    </row>
    <row r="16" spans="1:3" x14ac:dyDescent="0.2">
      <c r="A16" s="90">
        <v>0</v>
      </c>
      <c r="B16" s="48" t="s">
        <v>199</v>
      </c>
      <c r="C16" s="85">
        <v>0</v>
      </c>
    </row>
    <row r="17" spans="1:3" x14ac:dyDescent="0.2">
      <c r="A17" s="90">
        <v>0</v>
      </c>
      <c r="B17" s="48" t="s">
        <v>200</v>
      </c>
      <c r="C17" s="85">
        <v>0</v>
      </c>
    </row>
    <row r="18" spans="1:3" x14ac:dyDescent="0.2">
      <c r="A18" s="90">
        <v>0</v>
      </c>
      <c r="B18" s="49" t="s">
        <v>201</v>
      </c>
      <c r="C18" s="141">
        <v>0</v>
      </c>
    </row>
  </sheetData>
  <conditionalFormatting sqref="C6:C18">
    <cfRule type="cellIs" dxfId="195" priority="1" operator="notEqual">
      <formula>$A6</formula>
    </cfRule>
  </conditionalFormatting>
  <dataValidations count="2">
    <dataValidation type="list" allowBlank="1" showInputMessage="1" showErrorMessage="1" sqref="C9" xr:uid="{00000000-0002-0000-1200-000000000000}">
      <formula1>"Not Assigned,Available for Sale,Trading,Held to Maturity"</formula1>
    </dataValidation>
    <dataValidation type="list" allowBlank="1" showInputMessage="1" showErrorMessage="1" sqref="C10" xr:uid="{00000000-0002-0000-1200-000001000000}">
      <formula1>"Monthly,Quarterly,Semi-Annual,Annual"</formula1>
    </dataValidation>
  </dataValidations>
  <hyperlinks>
    <hyperlink ref="A1" location="'Table of Contents'!A1" display="Go to TOC" xr:uid="{00000000-0004-0000-1200-000000000000}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1:I25"/>
  <sheetViews>
    <sheetView showGridLines="0" tabSelected="1" workbookViewId="0">
      <selection activeCell="K30" sqref="K30"/>
    </sheetView>
  </sheetViews>
  <sheetFormatPr defaultColWidth="15.5703125" defaultRowHeight="12.75" x14ac:dyDescent="0.2"/>
  <cols>
    <col min="1" max="1" width="18.140625" style="24" customWidth="1"/>
    <col min="2" max="2" width="36" style="20" customWidth="1"/>
    <col min="3" max="16384" width="15.5703125" style="20"/>
  </cols>
  <sheetData>
    <row r="1" spans="1:9" ht="15.75" x14ac:dyDescent="0.2">
      <c r="A1" s="23" t="s">
        <v>9</v>
      </c>
      <c r="B1" s="19" t="s">
        <v>410</v>
      </c>
    </row>
    <row r="3" spans="1:9" x14ac:dyDescent="0.2">
      <c r="B3" s="18" t="str">
        <f ca="1">GetNameRange(B4)</f>
        <v>PurchAssetsDefnEio</v>
      </c>
    </row>
    <row r="4" spans="1:9" s="72" customFormat="1" x14ac:dyDescent="0.2">
      <c r="A4" s="123"/>
      <c r="B4" s="69" t="s">
        <v>88</v>
      </c>
      <c r="C4" s="211" t="s">
        <v>457</v>
      </c>
      <c r="D4" s="211" t="s">
        <v>458</v>
      </c>
      <c r="E4" s="211" t="s">
        <v>459</v>
      </c>
      <c r="F4" s="211" t="s">
        <v>460</v>
      </c>
      <c r="G4" s="211" t="s">
        <v>461</v>
      </c>
      <c r="H4" s="211" t="s">
        <v>462</v>
      </c>
      <c r="I4" s="212" t="s">
        <v>463</v>
      </c>
    </row>
    <row r="5" spans="1:9" x14ac:dyDescent="0.2">
      <c r="A5" s="76" t="s">
        <v>8</v>
      </c>
      <c r="B5" s="21" t="s">
        <v>0</v>
      </c>
      <c r="C5" s="32"/>
      <c r="D5" s="32"/>
      <c r="E5" s="32"/>
      <c r="F5" s="32"/>
      <c r="G5" s="32"/>
      <c r="H5" s="32"/>
      <c r="I5" s="173"/>
    </row>
    <row r="6" spans="1:9" x14ac:dyDescent="0.2">
      <c r="A6" s="86" t="s">
        <v>6</v>
      </c>
      <c r="B6" s="48" t="s">
        <v>520</v>
      </c>
      <c r="C6" s="96" t="s">
        <v>464</v>
      </c>
      <c r="D6" s="96" t="s">
        <v>464</v>
      </c>
      <c r="E6" s="96" t="s">
        <v>464</v>
      </c>
      <c r="F6" s="96" t="s">
        <v>464</v>
      </c>
      <c r="G6" s="96" t="s">
        <v>464</v>
      </c>
      <c r="H6" s="96" t="s">
        <v>464</v>
      </c>
      <c r="I6" s="184" t="s">
        <v>464</v>
      </c>
    </row>
    <row r="7" spans="1:9" x14ac:dyDescent="0.2">
      <c r="A7" s="86" t="s">
        <v>47</v>
      </c>
      <c r="B7" s="48" t="s">
        <v>202</v>
      </c>
      <c r="C7" s="96" t="s">
        <v>221</v>
      </c>
      <c r="D7" s="96" t="s">
        <v>221</v>
      </c>
      <c r="E7" s="96" t="s">
        <v>221</v>
      </c>
      <c r="F7" s="96" t="s">
        <v>221</v>
      </c>
      <c r="G7" s="96" t="s">
        <v>221</v>
      </c>
      <c r="H7" s="96" t="s">
        <v>221</v>
      </c>
      <c r="I7" s="184" t="s">
        <v>221</v>
      </c>
    </row>
    <row r="8" spans="1:9" x14ac:dyDescent="0.2">
      <c r="A8" s="86" t="s">
        <v>6</v>
      </c>
      <c r="B8" s="48" t="s">
        <v>203</v>
      </c>
      <c r="C8" s="96" t="s">
        <v>221</v>
      </c>
      <c r="D8" s="96" t="s">
        <v>221</v>
      </c>
      <c r="E8" s="96" t="s">
        <v>221</v>
      </c>
      <c r="F8" s="96" t="s">
        <v>221</v>
      </c>
      <c r="G8" s="96" t="s">
        <v>221</v>
      </c>
      <c r="H8" s="96" t="s">
        <v>221</v>
      </c>
      <c r="I8" s="184" t="s">
        <v>221</v>
      </c>
    </row>
    <row r="9" spans="1:9" x14ac:dyDescent="0.2">
      <c r="A9" s="86" t="s">
        <v>48</v>
      </c>
      <c r="B9" s="48" t="s">
        <v>204</v>
      </c>
      <c r="C9" s="96" t="s">
        <v>465</v>
      </c>
      <c r="D9" s="96" t="s">
        <v>465</v>
      </c>
      <c r="E9" s="96" t="s">
        <v>465</v>
      </c>
      <c r="F9" s="96" t="s">
        <v>465</v>
      </c>
      <c r="G9" s="96" t="s">
        <v>465</v>
      </c>
      <c r="H9" s="96" t="s">
        <v>465</v>
      </c>
      <c r="I9" s="184" t="s">
        <v>465</v>
      </c>
    </row>
    <row r="10" spans="1:9" x14ac:dyDescent="0.2">
      <c r="A10" s="86" t="s">
        <v>51</v>
      </c>
      <c r="B10" s="48" t="s">
        <v>205</v>
      </c>
      <c r="C10" s="96" t="s">
        <v>51</v>
      </c>
      <c r="D10" s="96" t="s">
        <v>51</v>
      </c>
      <c r="E10" s="96" t="s">
        <v>51</v>
      </c>
      <c r="F10" s="96" t="s">
        <v>51</v>
      </c>
      <c r="G10" s="96" t="s">
        <v>51</v>
      </c>
      <c r="H10" s="96" t="s">
        <v>51</v>
      </c>
      <c r="I10" s="184" t="s">
        <v>51</v>
      </c>
    </row>
    <row r="11" spans="1:9" x14ac:dyDescent="0.2">
      <c r="A11" s="86" t="s">
        <v>222</v>
      </c>
      <c r="B11" s="48" t="s">
        <v>206</v>
      </c>
      <c r="C11" s="96" t="s">
        <v>222</v>
      </c>
      <c r="D11" s="96" t="s">
        <v>222</v>
      </c>
      <c r="E11" s="96" t="s">
        <v>222</v>
      </c>
      <c r="F11" s="96" t="s">
        <v>222</v>
      </c>
      <c r="G11" s="96" t="s">
        <v>222</v>
      </c>
      <c r="H11" s="96" t="s">
        <v>222</v>
      </c>
      <c r="I11" s="96" t="s">
        <v>222</v>
      </c>
    </row>
    <row r="12" spans="1:9" x14ac:dyDescent="0.2">
      <c r="A12" s="87">
        <v>0</v>
      </c>
      <c r="B12" s="48" t="s">
        <v>207</v>
      </c>
      <c r="C12" s="40">
        <v>1</v>
      </c>
      <c r="D12" s="40">
        <v>1</v>
      </c>
      <c r="E12" s="40">
        <v>1</v>
      </c>
      <c r="F12" s="40">
        <v>1</v>
      </c>
      <c r="G12" s="40">
        <v>1</v>
      </c>
      <c r="H12" s="40">
        <v>1</v>
      </c>
      <c r="I12" s="186">
        <v>1</v>
      </c>
    </row>
    <row r="13" spans="1:9" x14ac:dyDescent="0.2">
      <c r="A13" s="86">
        <v>999.99</v>
      </c>
      <c r="B13" s="48" t="s">
        <v>208</v>
      </c>
      <c r="C13" s="40">
        <v>100</v>
      </c>
      <c r="D13" s="40">
        <v>100</v>
      </c>
      <c r="E13" s="40">
        <v>100</v>
      </c>
      <c r="F13" s="40">
        <v>100</v>
      </c>
      <c r="G13" s="40">
        <v>100</v>
      </c>
      <c r="H13" s="40">
        <v>100</v>
      </c>
      <c r="I13" s="186">
        <v>100</v>
      </c>
    </row>
    <row r="14" spans="1:9" x14ac:dyDescent="0.2">
      <c r="A14" s="86">
        <v>0</v>
      </c>
      <c r="B14" s="48" t="s">
        <v>209</v>
      </c>
      <c r="C14" s="135">
        <v>1</v>
      </c>
      <c r="D14" s="135">
        <v>1</v>
      </c>
      <c r="E14" s="135">
        <v>1</v>
      </c>
      <c r="F14" s="135">
        <v>1</v>
      </c>
      <c r="G14" s="135">
        <v>1</v>
      </c>
      <c r="H14" s="135">
        <v>1</v>
      </c>
      <c r="I14" s="200">
        <v>1</v>
      </c>
    </row>
    <row r="15" spans="1:9" x14ac:dyDescent="0.2">
      <c r="A15" s="88">
        <v>1</v>
      </c>
      <c r="B15" s="48" t="s">
        <v>210</v>
      </c>
      <c r="C15" s="96">
        <v>1</v>
      </c>
      <c r="D15" s="96">
        <v>1</v>
      </c>
      <c r="E15" s="96">
        <v>1</v>
      </c>
      <c r="F15" s="96">
        <v>1</v>
      </c>
      <c r="G15" s="96">
        <v>1</v>
      </c>
      <c r="H15" s="96">
        <v>1</v>
      </c>
      <c r="I15" s="184">
        <v>1</v>
      </c>
    </row>
    <row r="16" spans="1:9" x14ac:dyDescent="0.2">
      <c r="A16" s="90">
        <v>0</v>
      </c>
      <c r="B16" s="48" t="s">
        <v>211</v>
      </c>
      <c r="C16" s="97">
        <v>0</v>
      </c>
      <c r="D16" s="97">
        <v>0</v>
      </c>
      <c r="E16" s="97">
        <v>0</v>
      </c>
      <c r="F16" s="97">
        <v>0</v>
      </c>
      <c r="G16" s="97">
        <v>0</v>
      </c>
      <c r="H16" s="97">
        <v>0</v>
      </c>
      <c r="I16" s="147">
        <v>0</v>
      </c>
    </row>
    <row r="17" spans="1:9" x14ac:dyDescent="0.2">
      <c r="A17" s="86" t="s">
        <v>223</v>
      </c>
      <c r="B17" s="48" t="s">
        <v>212</v>
      </c>
      <c r="C17" s="96" t="s">
        <v>223</v>
      </c>
      <c r="D17" s="96" t="s">
        <v>223</v>
      </c>
      <c r="E17" s="96" t="s">
        <v>223</v>
      </c>
      <c r="F17" s="96" t="s">
        <v>223</v>
      </c>
      <c r="G17" s="96" t="s">
        <v>223</v>
      </c>
      <c r="H17" s="96" t="s">
        <v>466</v>
      </c>
      <c r="I17" s="96" t="s">
        <v>466</v>
      </c>
    </row>
    <row r="18" spans="1:9" x14ac:dyDescent="0.2">
      <c r="A18" s="86" t="s">
        <v>224</v>
      </c>
      <c r="B18" s="48" t="s">
        <v>213</v>
      </c>
      <c r="C18" s="96" t="s">
        <v>224</v>
      </c>
      <c r="D18" s="96" t="s">
        <v>224</v>
      </c>
      <c r="E18" s="96" t="s">
        <v>224</v>
      </c>
      <c r="F18" s="96" t="s">
        <v>224</v>
      </c>
      <c r="G18" s="96" t="s">
        <v>224</v>
      </c>
      <c r="H18" s="96" t="s">
        <v>224</v>
      </c>
      <c r="I18" s="184" t="s">
        <v>224</v>
      </c>
    </row>
    <row r="19" spans="1:9" x14ac:dyDescent="0.2">
      <c r="A19" s="86">
        <v>0</v>
      </c>
      <c r="B19" s="48" t="s">
        <v>214</v>
      </c>
      <c r="C19" s="135">
        <v>0</v>
      </c>
      <c r="D19" s="135">
        <v>0</v>
      </c>
      <c r="E19" s="135">
        <v>0</v>
      </c>
      <c r="F19" s="135">
        <v>0</v>
      </c>
      <c r="G19" s="135">
        <v>0</v>
      </c>
      <c r="H19" s="135">
        <v>1</v>
      </c>
      <c r="I19" s="200">
        <v>1</v>
      </c>
    </row>
    <row r="20" spans="1:9" x14ac:dyDescent="0.2">
      <c r="A20" s="88">
        <v>1</v>
      </c>
      <c r="B20" s="48" t="s">
        <v>215</v>
      </c>
      <c r="C20" s="96">
        <v>1</v>
      </c>
      <c r="D20" s="96">
        <v>1</v>
      </c>
      <c r="E20" s="96">
        <v>1</v>
      </c>
      <c r="F20" s="96">
        <v>1</v>
      </c>
      <c r="G20" s="96">
        <v>1</v>
      </c>
      <c r="H20" s="96">
        <v>1</v>
      </c>
      <c r="I20" s="184">
        <v>1</v>
      </c>
    </row>
    <row r="21" spans="1:9" x14ac:dyDescent="0.2">
      <c r="A21" s="90">
        <v>0</v>
      </c>
      <c r="B21" s="48" t="s">
        <v>216</v>
      </c>
      <c r="C21" s="97">
        <v>0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147">
        <v>0</v>
      </c>
    </row>
    <row r="22" spans="1:9" x14ac:dyDescent="0.2">
      <c r="A22" s="90">
        <v>0</v>
      </c>
      <c r="B22" s="48" t="s">
        <v>217</v>
      </c>
      <c r="C22" s="97">
        <v>0.01</v>
      </c>
      <c r="D22" s="97">
        <v>0.01</v>
      </c>
      <c r="E22" s="97">
        <v>0</v>
      </c>
      <c r="F22" s="97">
        <v>0.01</v>
      </c>
      <c r="G22" s="97">
        <v>0.01</v>
      </c>
      <c r="H22" s="97">
        <v>0.01</v>
      </c>
      <c r="I22" s="147">
        <v>0.01</v>
      </c>
    </row>
    <row r="23" spans="1:9" x14ac:dyDescent="0.2">
      <c r="A23" s="90">
        <v>0</v>
      </c>
      <c r="B23" s="48" t="s">
        <v>218</v>
      </c>
      <c r="C23" s="97">
        <v>0.02</v>
      </c>
      <c r="D23" s="97">
        <v>0.02</v>
      </c>
      <c r="E23" s="97">
        <v>0</v>
      </c>
      <c r="F23" s="97">
        <v>0.02</v>
      </c>
      <c r="G23" s="97">
        <v>0.02</v>
      </c>
      <c r="H23" s="97">
        <v>0.02</v>
      </c>
      <c r="I23" s="147">
        <v>0.02</v>
      </c>
    </row>
    <row r="24" spans="1:9" x14ac:dyDescent="0.2">
      <c r="A24" s="90">
        <v>0</v>
      </c>
      <c r="B24" s="48" t="s">
        <v>219</v>
      </c>
      <c r="C24" s="97">
        <v>0.01</v>
      </c>
      <c r="D24" s="97">
        <v>0.01</v>
      </c>
      <c r="E24" s="97">
        <v>0</v>
      </c>
      <c r="F24" s="97">
        <v>0.01</v>
      </c>
      <c r="G24" s="97">
        <v>0.01</v>
      </c>
      <c r="H24" s="97">
        <v>0.01</v>
      </c>
      <c r="I24" s="147">
        <v>0.01</v>
      </c>
    </row>
    <row r="25" spans="1:9" x14ac:dyDescent="0.2">
      <c r="A25" s="90">
        <v>0</v>
      </c>
      <c r="B25" s="49" t="s">
        <v>220</v>
      </c>
      <c r="C25" s="149">
        <v>0.03</v>
      </c>
      <c r="D25" s="149">
        <v>0.03</v>
      </c>
      <c r="E25" s="149">
        <v>0.01</v>
      </c>
      <c r="F25" s="149">
        <v>0.03</v>
      </c>
      <c r="G25" s="149">
        <v>0.03</v>
      </c>
      <c r="H25" s="149">
        <v>0.03</v>
      </c>
      <c r="I25" s="163">
        <v>0.03</v>
      </c>
    </row>
  </sheetData>
  <conditionalFormatting sqref="C6:D6">
    <cfRule type="cellIs" dxfId="194" priority="216" operator="notEqual">
      <formula>$A6</formula>
    </cfRule>
    <cfRule type="cellIs" dxfId="193" priority="217" operator="equal">
      <formula>"""&lt;&gt;$A6"""</formula>
    </cfRule>
    <cfRule type="cellIs" dxfId="192" priority="218" operator="equal">
      <formula>"&lt;&gt;$A6"</formula>
    </cfRule>
    <cfRule type="cellIs" dxfId="191" priority="219" operator="equal">
      <formula>$A6</formula>
    </cfRule>
    <cfRule type="cellIs" dxfId="190" priority="220" operator="equal">
      <formula>$A6</formula>
    </cfRule>
  </conditionalFormatting>
  <conditionalFormatting sqref="C7:D25">
    <cfRule type="cellIs" dxfId="189" priority="211" operator="notEqual">
      <formula>$A7</formula>
    </cfRule>
    <cfRule type="cellIs" dxfId="188" priority="212" operator="equal">
      <formula>"""&lt;&gt;$A6"""</formula>
    </cfRule>
    <cfRule type="cellIs" dxfId="187" priority="213" operator="equal">
      <formula>"&lt;&gt;$A6"</formula>
    </cfRule>
    <cfRule type="cellIs" dxfId="186" priority="214" operator="equal">
      <formula>$A7</formula>
    </cfRule>
    <cfRule type="cellIs" dxfId="185" priority="215" operator="equal">
      <formula>$A7</formula>
    </cfRule>
  </conditionalFormatting>
  <conditionalFormatting sqref="F7:F8 F12:F16 F19:F25">
    <cfRule type="cellIs" dxfId="184" priority="196" operator="notEqual">
      <formula>$A7</formula>
    </cfRule>
    <cfRule type="cellIs" dxfId="183" priority="197" operator="equal">
      <formula>"""&lt;&gt;$A6"""</formula>
    </cfRule>
    <cfRule type="cellIs" dxfId="182" priority="198" operator="equal">
      <formula>"&lt;&gt;$A6"</formula>
    </cfRule>
    <cfRule type="cellIs" dxfId="181" priority="199" operator="equal">
      <formula>$A7</formula>
    </cfRule>
    <cfRule type="cellIs" dxfId="180" priority="200" operator="equal">
      <formula>$A7</formula>
    </cfRule>
  </conditionalFormatting>
  <conditionalFormatting sqref="E6">
    <cfRule type="cellIs" dxfId="179" priority="206" operator="notEqual">
      <formula>$A6</formula>
    </cfRule>
    <cfRule type="cellIs" dxfId="178" priority="207" operator="equal">
      <formula>"""&lt;&gt;$A6"""</formula>
    </cfRule>
    <cfRule type="cellIs" dxfId="177" priority="208" operator="equal">
      <formula>"&lt;&gt;$A6"</formula>
    </cfRule>
    <cfRule type="cellIs" dxfId="176" priority="209" operator="equal">
      <formula>$A6</formula>
    </cfRule>
    <cfRule type="cellIs" dxfId="175" priority="210" operator="equal">
      <formula>$A6</formula>
    </cfRule>
  </conditionalFormatting>
  <conditionalFormatting sqref="E7 E12:E16">
    <cfRule type="cellIs" dxfId="174" priority="201" operator="notEqual">
      <formula>$A7</formula>
    </cfRule>
    <cfRule type="cellIs" dxfId="173" priority="202" operator="equal">
      <formula>"""&lt;&gt;$A6"""</formula>
    </cfRule>
    <cfRule type="cellIs" dxfId="172" priority="203" operator="equal">
      <formula>"&lt;&gt;$A6"</formula>
    </cfRule>
    <cfRule type="cellIs" dxfId="171" priority="204" operator="equal">
      <formula>$A7</formula>
    </cfRule>
    <cfRule type="cellIs" dxfId="170" priority="205" operator="equal">
      <formula>$A7</formula>
    </cfRule>
  </conditionalFormatting>
  <conditionalFormatting sqref="G7:G8 G12:G16 G19:G25">
    <cfRule type="cellIs" dxfId="169" priority="191" operator="notEqual">
      <formula>$A7</formula>
    </cfRule>
    <cfRule type="cellIs" dxfId="168" priority="192" operator="equal">
      <formula>"""&lt;&gt;$A6"""</formula>
    </cfRule>
    <cfRule type="cellIs" dxfId="167" priority="193" operator="equal">
      <formula>"&lt;&gt;$A6"</formula>
    </cfRule>
    <cfRule type="cellIs" dxfId="166" priority="194" operator="equal">
      <formula>$A7</formula>
    </cfRule>
    <cfRule type="cellIs" dxfId="165" priority="195" operator="equal">
      <formula>$A7</formula>
    </cfRule>
  </conditionalFormatting>
  <conditionalFormatting sqref="H7:H8 H12:H16 H19:H25">
    <cfRule type="cellIs" dxfId="164" priority="186" operator="notEqual">
      <formula>$A7</formula>
    </cfRule>
    <cfRule type="cellIs" dxfId="163" priority="187" operator="equal">
      <formula>"""&lt;&gt;$A6"""</formula>
    </cfRule>
    <cfRule type="cellIs" dxfId="162" priority="188" operator="equal">
      <formula>"&lt;&gt;$A6"</formula>
    </cfRule>
    <cfRule type="cellIs" dxfId="161" priority="189" operator="equal">
      <formula>$A7</formula>
    </cfRule>
    <cfRule type="cellIs" dxfId="160" priority="190" operator="equal">
      <formula>$A7</formula>
    </cfRule>
  </conditionalFormatting>
  <conditionalFormatting sqref="I7:I8 I12:I16 I19:I25">
    <cfRule type="cellIs" dxfId="159" priority="181" operator="notEqual">
      <formula>$A7</formula>
    </cfRule>
    <cfRule type="cellIs" dxfId="158" priority="182" operator="equal">
      <formula>"""&lt;&gt;$A6"""</formula>
    </cfRule>
    <cfRule type="cellIs" dxfId="157" priority="183" operator="equal">
      <formula>"&lt;&gt;$A6"</formula>
    </cfRule>
    <cfRule type="cellIs" dxfId="156" priority="184" operator="equal">
      <formula>$A7</formula>
    </cfRule>
    <cfRule type="cellIs" dxfId="155" priority="185" operator="equal">
      <formula>$A7</formula>
    </cfRule>
  </conditionalFormatting>
  <conditionalFormatting sqref="E8">
    <cfRule type="cellIs" dxfId="154" priority="176" operator="notEqual">
      <formula>$A8</formula>
    </cfRule>
    <cfRule type="cellIs" dxfId="153" priority="177" operator="equal">
      <formula>"""&lt;&gt;$A6"""</formula>
    </cfRule>
    <cfRule type="cellIs" dxfId="152" priority="178" operator="equal">
      <formula>"&lt;&gt;$A6"</formula>
    </cfRule>
    <cfRule type="cellIs" dxfId="151" priority="179" operator="equal">
      <formula>$A8</formula>
    </cfRule>
    <cfRule type="cellIs" dxfId="150" priority="180" operator="equal">
      <formula>$A8</formula>
    </cfRule>
  </conditionalFormatting>
  <conditionalFormatting sqref="E10">
    <cfRule type="cellIs" dxfId="149" priority="171" operator="notEqual">
      <formula>$A10</formula>
    </cfRule>
    <cfRule type="cellIs" dxfId="148" priority="172" operator="equal">
      <formula>"""&lt;&gt;$A6"""</formula>
    </cfRule>
    <cfRule type="cellIs" dxfId="147" priority="173" operator="equal">
      <formula>"&lt;&gt;$A6"</formula>
    </cfRule>
    <cfRule type="cellIs" dxfId="146" priority="174" operator="equal">
      <formula>$A10</formula>
    </cfRule>
    <cfRule type="cellIs" dxfId="145" priority="175" operator="equal">
      <formula>$A10</formula>
    </cfRule>
  </conditionalFormatting>
  <conditionalFormatting sqref="E19:E25">
    <cfRule type="cellIs" dxfId="144" priority="161" operator="notEqual">
      <formula>$A19</formula>
    </cfRule>
    <cfRule type="cellIs" dxfId="143" priority="162" operator="equal">
      <formula>"""&lt;&gt;$A6"""</formula>
    </cfRule>
    <cfRule type="cellIs" dxfId="142" priority="163" operator="equal">
      <formula>"&lt;&gt;$A6"</formula>
    </cfRule>
    <cfRule type="cellIs" dxfId="141" priority="164" operator="equal">
      <formula>$A19</formula>
    </cfRule>
    <cfRule type="cellIs" dxfId="140" priority="165" operator="equal">
      <formula>$A19</formula>
    </cfRule>
  </conditionalFormatting>
  <conditionalFormatting sqref="E9">
    <cfRule type="cellIs" dxfId="139" priority="156" operator="notEqual">
      <formula>$A9</formula>
    </cfRule>
    <cfRule type="cellIs" dxfId="138" priority="157" operator="equal">
      <formula>"""&lt;&gt;$A6"""</formula>
    </cfRule>
    <cfRule type="cellIs" dxfId="137" priority="158" operator="equal">
      <formula>"&lt;&gt;$A6"</formula>
    </cfRule>
    <cfRule type="cellIs" dxfId="136" priority="159" operator="equal">
      <formula>$A9</formula>
    </cfRule>
    <cfRule type="cellIs" dxfId="135" priority="160" operator="equal">
      <formula>$A9</formula>
    </cfRule>
  </conditionalFormatting>
  <conditionalFormatting sqref="F9">
    <cfRule type="cellIs" dxfId="134" priority="151" operator="notEqual">
      <formula>$A9</formula>
    </cfRule>
    <cfRule type="cellIs" dxfId="133" priority="152" operator="equal">
      <formula>"""&lt;&gt;$A6"""</formula>
    </cfRule>
    <cfRule type="cellIs" dxfId="132" priority="153" operator="equal">
      <formula>"&lt;&gt;$A6"</formula>
    </cfRule>
    <cfRule type="cellIs" dxfId="131" priority="154" operator="equal">
      <formula>$A9</formula>
    </cfRule>
    <cfRule type="cellIs" dxfId="130" priority="155" operator="equal">
      <formula>$A9</formula>
    </cfRule>
  </conditionalFormatting>
  <conditionalFormatting sqref="G9">
    <cfRule type="cellIs" dxfId="129" priority="146" operator="notEqual">
      <formula>$A9</formula>
    </cfRule>
    <cfRule type="cellIs" dxfId="128" priority="147" operator="equal">
      <formula>"""&lt;&gt;$A6"""</formula>
    </cfRule>
    <cfRule type="cellIs" dxfId="127" priority="148" operator="equal">
      <formula>"&lt;&gt;$A6"</formula>
    </cfRule>
    <cfRule type="cellIs" dxfId="126" priority="149" operator="equal">
      <formula>$A9</formula>
    </cfRule>
    <cfRule type="cellIs" dxfId="125" priority="150" operator="equal">
      <formula>$A9</formula>
    </cfRule>
  </conditionalFormatting>
  <conditionalFormatting sqref="H9">
    <cfRule type="cellIs" dxfId="124" priority="141" operator="notEqual">
      <formula>$A9</formula>
    </cfRule>
    <cfRule type="cellIs" dxfId="123" priority="142" operator="equal">
      <formula>"""&lt;&gt;$A6"""</formula>
    </cfRule>
    <cfRule type="cellIs" dxfId="122" priority="143" operator="equal">
      <formula>"&lt;&gt;$A6"</formula>
    </cfRule>
    <cfRule type="cellIs" dxfId="121" priority="144" operator="equal">
      <formula>$A9</formula>
    </cfRule>
    <cfRule type="cellIs" dxfId="120" priority="145" operator="equal">
      <formula>$A9</formula>
    </cfRule>
  </conditionalFormatting>
  <conditionalFormatting sqref="I9">
    <cfRule type="cellIs" dxfId="119" priority="136" operator="notEqual">
      <formula>$A9</formula>
    </cfRule>
    <cfRule type="cellIs" dxfId="118" priority="137" operator="equal">
      <formula>"""&lt;&gt;$A6"""</formula>
    </cfRule>
    <cfRule type="cellIs" dxfId="117" priority="138" operator="equal">
      <formula>"&lt;&gt;$A6"</formula>
    </cfRule>
    <cfRule type="cellIs" dxfId="116" priority="139" operator="equal">
      <formula>$A9</formula>
    </cfRule>
    <cfRule type="cellIs" dxfId="115" priority="140" operator="equal">
      <formula>$A9</formula>
    </cfRule>
  </conditionalFormatting>
  <conditionalFormatting sqref="E18">
    <cfRule type="cellIs" dxfId="114" priority="111" operator="notEqual">
      <formula>$A18</formula>
    </cfRule>
    <cfRule type="cellIs" dxfId="113" priority="112" operator="equal">
      <formula>"""&lt;&gt;$A6"""</formula>
    </cfRule>
    <cfRule type="cellIs" dxfId="112" priority="113" operator="equal">
      <formula>"&lt;&gt;$A6"</formula>
    </cfRule>
    <cfRule type="cellIs" dxfId="111" priority="114" operator="equal">
      <formula>$A18</formula>
    </cfRule>
    <cfRule type="cellIs" dxfId="110" priority="115" operator="equal">
      <formula>$A18</formula>
    </cfRule>
  </conditionalFormatting>
  <conditionalFormatting sqref="F18">
    <cfRule type="cellIs" dxfId="109" priority="106" operator="notEqual">
      <formula>$A18</formula>
    </cfRule>
    <cfRule type="cellIs" dxfId="108" priority="107" operator="equal">
      <formula>"""&lt;&gt;$A6"""</formula>
    </cfRule>
    <cfRule type="cellIs" dxfId="107" priority="108" operator="equal">
      <formula>"&lt;&gt;$A6"</formula>
    </cfRule>
    <cfRule type="cellIs" dxfId="106" priority="109" operator="equal">
      <formula>$A18</formula>
    </cfRule>
    <cfRule type="cellIs" dxfId="105" priority="110" operator="equal">
      <formula>$A18</formula>
    </cfRule>
  </conditionalFormatting>
  <conditionalFormatting sqref="G18">
    <cfRule type="cellIs" dxfId="104" priority="101" operator="notEqual">
      <formula>$A18</formula>
    </cfRule>
    <cfRule type="cellIs" dxfId="103" priority="102" operator="equal">
      <formula>"""&lt;&gt;$A6"""</formula>
    </cfRule>
    <cfRule type="cellIs" dxfId="102" priority="103" operator="equal">
      <formula>"&lt;&gt;$A6"</formula>
    </cfRule>
    <cfRule type="cellIs" dxfId="101" priority="104" operator="equal">
      <formula>$A18</formula>
    </cfRule>
    <cfRule type="cellIs" dxfId="100" priority="105" operator="equal">
      <formula>$A18</formula>
    </cfRule>
  </conditionalFormatting>
  <conditionalFormatting sqref="H18">
    <cfRule type="cellIs" dxfId="99" priority="96" operator="notEqual">
      <formula>$A18</formula>
    </cfRule>
    <cfRule type="cellIs" dxfId="98" priority="97" operator="equal">
      <formula>"""&lt;&gt;$A6"""</formula>
    </cfRule>
    <cfRule type="cellIs" dxfId="97" priority="98" operator="equal">
      <formula>"&lt;&gt;$A6"</formula>
    </cfRule>
    <cfRule type="cellIs" dxfId="96" priority="99" operator="equal">
      <formula>$A18</formula>
    </cfRule>
    <cfRule type="cellIs" dxfId="95" priority="100" operator="equal">
      <formula>$A18</formula>
    </cfRule>
  </conditionalFormatting>
  <conditionalFormatting sqref="I18">
    <cfRule type="cellIs" dxfId="94" priority="91" operator="notEqual">
      <formula>$A18</formula>
    </cfRule>
    <cfRule type="cellIs" dxfId="93" priority="92" operator="equal">
      <formula>"""&lt;&gt;$A6"""</formula>
    </cfRule>
    <cfRule type="cellIs" dxfId="92" priority="93" operator="equal">
      <formula>"&lt;&gt;$A6"</formula>
    </cfRule>
    <cfRule type="cellIs" dxfId="91" priority="94" operator="equal">
      <formula>$A18</formula>
    </cfRule>
    <cfRule type="cellIs" dxfId="90" priority="95" operator="equal">
      <formula>$A18</formula>
    </cfRule>
  </conditionalFormatting>
  <conditionalFormatting sqref="F10">
    <cfRule type="cellIs" dxfId="89" priority="86" operator="notEqual">
      <formula>$A10</formula>
    </cfRule>
    <cfRule type="cellIs" dxfId="88" priority="87" operator="equal">
      <formula>"""&lt;&gt;$A6"""</formula>
    </cfRule>
    <cfRule type="cellIs" dxfId="87" priority="88" operator="equal">
      <formula>"&lt;&gt;$A6"</formula>
    </cfRule>
    <cfRule type="cellIs" dxfId="86" priority="89" operator="equal">
      <formula>$A10</formula>
    </cfRule>
    <cfRule type="cellIs" dxfId="85" priority="90" operator="equal">
      <formula>$A10</formula>
    </cfRule>
  </conditionalFormatting>
  <conditionalFormatting sqref="G10">
    <cfRule type="cellIs" dxfId="84" priority="81" operator="notEqual">
      <formula>$A10</formula>
    </cfRule>
    <cfRule type="cellIs" dxfId="83" priority="82" operator="equal">
      <formula>"""&lt;&gt;$A6"""</formula>
    </cfRule>
    <cfRule type="cellIs" dxfId="82" priority="83" operator="equal">
      <formula>"&lt;&gt;$A6"</formula>
    </cfRule>
    <cfRule type="cellIs" dxfId="81" priority="84" operator="equal">
      <formula>$A10</formula>
    </cfRule>
    <cfRule type="cellIs" dxfId="80" priority="85" operator="equal">
      <formula>$A10</formula>
    </cfRule>
  </conditionalFormatting>
  <conditionalFormatting sqref="H10">
    <cfRule type="cellIs" dxfId="79" priority="76" operator="notEqual">
      <formula>$A10</formula>
    </cfRule>
    <cfRule type="cellIs" dxfId="78" priority="77" operator="equal">
      <formula>"""&lt;&gt;$A6"""</formula>
    </cfRule>
    <cfRule type="cellIs" dxfId="77" priority="78" operator="equal">
      <formula>"&lt;&gt;$A6"</formula>
    </cfRule>
    <cfRule type="cellIs" dxfId="76" priority="79" operator="equal">
      <formula>$A10</formula>
    </cfRule>
    <cfRule type="cellIs" dxfId="75" priority="80" operator="equal">
      <formula>$A10</formula>
    </cfRule>
  </conditionalFormatting>
  <conditionalFormatting sqref="I10">
    <cfRule type="cellIs" dxfId="74" priority="71" operator="notEqual">
      <formula>$A10</formula>
    </cfRule>
    <cfRule type="cellIs" dxfId="73" priority="72" operator="equal">
      <formula>"""&lt;&gt;$A6"""</formula>
    </cfRule>
    <cfRule type="cellIs" dxfId="72" priority="73" operator="equal">
      <formula>"&lt;&gt;$A6"</formula>
    </cfRule>
    <cfRule type="cellIs" dxfId="71" priority="74" operator="equal">
      <formula>$A10</formula>
    </cfRule>
    <cfRule type="cellIs" dxfId="70" priority="75" operator="equal">
      <formula>$A10</formula>
    </cfRule>
  </conditionalFormatting>
  <conditionalFormatting sqref="F6">
    <cfRule type="cellIs" dxfId="69" priority="66" operator="notEqual">
      <formula>$A6</formula>
    </cfRule>
    <cfRule type="cellIs" dxfId="68" priority="67" operator="equal">
      <formula>"""&lt;&gt;$A6"""</formula>
    </cfRule>
    <cfRule type="cellIs" dxfId="67" priority="68" operator="equal">
      <formula>"&lt;&gt;$A6"</formula>
    </cfRule>
    <cfRule type="cellIs" dxfId="66" priority="69" operator="equal">
      <formula>$A6</formula>
    </cfRule>
    <cfRule type="cellIs" dxfId="65" priority="70" operator="equal">
      <formula>$A6</formula>
    </cfRule>
  </conditionalFormatting>
  <conditionalFormatting sqref="G6">
    <cfRule type="cellIs" dxfId="64" priority="61" operator="notEqual">
      <formula>$A6</formula>
    </cfRule>
    <cfRule type="cellIs" dxfId="63" priority="62" operator="equal">
      <formula>"""&lt;&gt;$A6"""</formula>
    </cfRule>
    <cfRule type="cellIs" dxfId="62" priority="63" operator="equal">
      <formula>"&lt;&gt;$A6"</formula>
    </cfRule>
    <cfRule type="cellIs" dxfId="61" priority="64" operator="equal">
      <formula>$A6</formula>
    </cfRule>
    <cfRule type="cellIs" dxfId="60" priority="65" operator="equal">
      <formula>$A6</formula>
    </cfRule>
  </conditionalFormatting>
  <conditionalFormatting sqref="H6">
    <cfRule type="cellIs" dxfId="59" priority="56" operator="notEqual">
      <formula>$A6</formula>
    </cfRule>
    <cfRule type="cellIs" dxfId="58" priority="57" operator="equal">
      <formula>"""&lt;&gt;$A6"""</formula>
    </cfRule>
    <cfRule type="cellIs" dxfId="57" priority="58" operator="equal">
      <formula>"&lt;&gt;$A6"</formula>
    </cfRule>
    <cfRule type="cellIs" dxfId="56" priority="59" operator="equal">
      <formula>$A6</formula>
    </cfRule>
    <cfRule type="cellIs" dxfId="55" priority="60" operator="equal">
      <formula>$A6</formula>
    </cfRule>
  </conditionalFormatting>
  <conditionalFormatting sqref="I6">
    <cfRule type="cellIs" dxfId="54" priority="51" operator="notEqual">
      <formula>$A6</formula>
    </cfRule>
    <cfRule type="cellIs" dxfId="53" priority="52" operator="equal">
      <formula>"""&lt;&gt;$A6"""</formula>
    </cfRule>
    <cfRule type="cellIs" dxfId="52" priority="53" operator="equal">
      <formula>"&lt;&gt;$A6"</formula>
    </cfRule>
    <cfRule type="cellIs" dxfId="51" priority="54" operator="equal">
      <formula>$A6</formula>
    </cfRule>
    <cfRule type="cellIs" dxfId="50" priority="55" operator="equal">
      <formula>$A6</formula>
    </cfRule>
  </conditionalFormatting>
  <conditionalFormatting sqref="E17">
    <cfRule type="cellIs" dxfId="49" priority="46" operator="notEqual">
      <formula>$A17</formula>
    </cfRule>
    <cfRule type="cellIs" dxfId="48" priority="47" operator="equal">
      <formula>"""&lt;&gt;$A6"""</formula>
    </cfRule>
    <cfRule type="cellIs" dxfId="47" priority="48" operator="equal">
      <formula>"&lt;&gt;$A6"</formula>
    </cfRule>
    <cfRule type="cellIs" dxfId="46" priority="49" operator="equal">
      <formula>$A17</formula>
    </cfRule>
    <cfRule type="cellIs" dxfId="45" priority="50" operator="equal">
      <formula>$A17</formula>
    </cfRule>
  </conditionalFormatting>
  <conditionalFormatting sqref="F17">
    <cfRule type="cellIs" dxfId="44" priority="41" operator="notEqual">
      <formula>$A17</formula>
    </cfRule>
    <cfRule type="cellIs" dxfId="43" priority="42" operator="equal">
      <formula>"""&lt;&gt;$A6"""</formula>
    </cfRule>
    <cfRule type="cellIs" dxfId="42" priority="43" operator="equal">
      <formula>"&lt;&gt;$A6"</formula>
    </cfRule>
    <cfRule type="cellIs" dxfId="41" priority="44" operator="equal">
      <formula>$A17</formula>
    </cfRule>
    <cfRule type="cellIs" dxfId="40" priority="45" operator="equal">
      <formula>$A17</formula>
    </cfRule>
  </conditionalFormatting>
  <conditionalFormatting sqref="G17">
    <cfRule type="cellIs" dxfId="39" priority="36" operator="notEqual">
      <formula>$A17</formula>
    </cfRule>
    <cfRule type="cellIs" dxfId="38" priority="37" operator="equal">
      <formula>"""&lt;&gt;$A6"""</formula>
    </cfRule>
    <cfRule type="cellIs" dxfId="37" priority="38" operator="equal">
      <formula>"&lt;&gt;$A6"</formula>
    </cfRule>
    <cfRule type="cellIs" dxfId="36" priority="39" operator="equal">
      <formula>$A17</formula>
    </cfRule>
    <cfRule type="cellIs" dxfId="35" priority="40" operator="equal">
      <formula>$A17</formula>
    </cfRule>
  </conditionalFormatting>
  <conditionalFormatting sqref="H17">
    <cfRule type="cellIs" dxfId="34" priority="31" operator="notEqual">
      <formula>$A17</formula>
    </cfRule>
    <cfRule type="cellIs" dxfId="33" priority="32" operator="equal">
      <formula>"""&lt;&gt;$A6"""</formula>
    </cfRule>
    <cfRule type="cellIs" dxfId="32" priority="33" operator="equal">
      <formula>"&lt;&gt;$A6"</formula>
    </cfRule>
    <cfRule type="cellIs" dxfId="31" priority="34" operator="equal">
      <formula>$A17</formula>
    </cfRule>
    <cfRule type="cellIs" dxfId="30" priority="35" operator="equal">
      <formula>$A17</formula>
    </cfRule>
  </conditionalFormatting>
  <conditionalFormatting sqref="I17">
    <cfRule type="cellIs" dxfId="29" priority="26" operator="notEqual">
      <formula>$A17</formula>
    </cfRule>
    <cfRule type="cellIs" dxfId="28" priority="27" operator="equal">
      <formula>"""&lt;&gt;$A6"""</formula>
    </cfRule>
    <cfRule type="cellIs" dxfId="27" priority="28" operator="equal">
      <formula>"&lt;&gt;$A6"</formula>
    </cfRule>
    <cfRule type="cellIs" dxfId="26" priority="29" operator="equal">
      <formula>$A17</formula>
    </cfRule>
    <cfRule type="cellIs" dxfId="25" priority="30" operator="equal">
      <formula>$A17</formula>
    </cfRule>
  </conditionalFormatting>
  <conditionalFormatting sqref="E11">
    <cfRule type="cellIs" dxfId="24" priority="21" operator="notEqual">
      <formula>$A11</formula>
    </cfRule>
    <cfRule type="cellIs" dxfId="23" priority="22" operator="equal">
      <formula>"""&lt;&gt;$A6"""</formula>
    </cfRule>
    <cfRule type="cellIs" dxfId="22" priority="23" operator="equal">
      <formula>"&lt;&gt;$A6"</formula>
    </cfRule>
    <cfRule type="cellIs" dxfId="21" priority="24" operator="equal">
      <formula>$A11</formula>
    </cfRule>
    <cfRule type="cellIs" dxfId="20" priority="25" operator="equal">
      <formula>$A11</formula>
    </cfRule>
  </conditionalFormatting>
  <conditionalFormatting sqref="F11">
    <cfRule type="cellIs" dxfId="19" priority="16" operator="notEqual">
      <formula>$A11</formula>
    </cfRule>
    <cfRule type="cellIs" dxfId="18" priority="17" operator="equal">
      <formula>"""&lt;&gt;$A6"""</formula>
    </cfRule>
    <cfRule type="cellIs" dxfId="17" priority="18" operator="equal">
      <formula>"&lt;&gt;$A6"</formula>
    </cfRule>
    <cfRule type="cellIs" dxfId="16" priority="19" operator="equal">
      <formula>$A11</formula>
    </cfRule>
    <cfRule type="cellIs" dxfId="15" priority="20" operator="equal">
      <formula>$A11</formula>
    </cfRule>
  </conditionalFormatting>
  <conditionalFormatting sqref="G11">
    <cfRule type="cellIs" dxfId="14" priority="11" operator="notEqual">
      <formula>$A11</formula>
    </cfRule>
    <cfRule type="cellIs" dxfId="13" priority="12" operator="equal">
      <formula>"""&lt;&gt;$A6"""</formula>
    </cfRule>
    <cfRule type="cellIs" dxfId="12" priority="13" operator="equal">
      <formula>"&lt;&gt;$A6"</formula>
    </cfRule>
    <cfRule type="cellIs" dxfId="11" priority="14" operator="equal">
      <formula>$A11</formula>
    </cfRule>
    <cfRule type="cellIs" dxfId="10" priority="15" operator="equal">
      <formula>$A11</formula>
    </cfRule>
  </conditionalFormatting>
  <conditionalFormatting sqref="H11">
    <cfRule type="cellIs" dxfId="9" priority="6" operator="notEqual">
      <formula>$A11</formula>
    </cfRule>
    <cfRule type="cellIs" dxfId="8" priority="7" operator="equal">
      <formula>"""&lt;&gt;$A6"""</formula>
    </cfRule>
    <cfRule type="cellIs" dxfId="7" priority="8" operator="equal">
      <formula>"&lt;&gt;$A6"</formula>
    </cfRule>
    <cfRule type="cellIs" dxfId="6" priority="9" operator="equal">
      <formula>$A11</formula>
    </cfRule>
    <cfRule type="cellIs" dxfId="5" priority="10" operator="equal">
      <formula>$A11</formula>
    </cfRule>
  </conditionalFormatting>
  <conditionalFormatting sqref="I11">
    <cfRule type="cellIs" dxfId="4" priority="1" operator="notEqual">
      <formula>$A11</formula>
    </cfRule>
    <cfRule type="cellIs" dxfId="3" priority="2" operator="equal">
      <formula>"""&lt;&gt;$A6"""</formula>
    </cfRule>
    <cfRule type="cellIs" dxfId="2" priority="3" operator="equal">
      <formula>"&lt;&gt;$A6"</formula>
    </cfRule>
    <cfRule type="cellIs" dxfId="1" priority="4" operator="equal">
      <formula>$A11</formula>
    </cfRule>
    <cfRule type="cellIs" dxfId="0" priority="5" operator="equal">
      <formula>$A11</formula>
    </cfRule>
  </conditionalFormatting>
  <dataValidations count="5">
    <dataValidation type="list" allowBlank="1" showInputMessage="1" showErrorMessage="1" sqref="C9:I9" xr:uid="{00000000-0002-0000-1300-000000000000}">
      <formula1>"Investment,Hedging"</formula1>
    </dataValidation>
    <dataValidation type="list" allowBlank="1" showInputMessage="1" showErrorMessage="1" sqref="D10:I10" xr:uid="{00000000-0002-0000-1300-000001000000}">
      <formula1>"Not Assigned,Available for Sale,Trading,Held to Maturity"</formula1>
    </dataValidation>
    <dataValidation type="list" allowBlank="1" showInputMessage="1" showErrorMessage="1" sqref="C17:I17" xr:uid="{00000000-0002-0000-1300-000002000000}">
      <formula1>"None,Asian,Highest Gain"</formula1>
    </dataValidation>
    <dataValidation type="list" allowBlank="1" showInputMessage="1" showErrorMessage="1" sqref="C18:I18" xr:uid="{00000000-0002-0000-1300-000003000000}">
      <formula1>"Annual,Semiannual,Quarterly,Monthly"</formula1>
    </dataValidation>
    <dataValidation type="list" allowBlank="1" showInputMessage="1" showErrorMessage="1" sqref="C11:I11" xr:uid="{00000000-0002-0000-1300-000004000000}">
      <formula1>"Call,Put,Futures"</formula1>
    </dataValidation>
  </dataValidations>
  <hyperlinks>
    <hyperlink ref="A1" location="'Table of Contents'!A1" display="Go to TOC" xr:uid="{00000000-0004-0000-1300-000000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84D6E80-2345-45FA-BD69-575C46F8AC22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60</vt:i4>
      </vt:variant>
    </vt:vector>
  </HeadingPairs>
  <TitlesOfParts>
    <vt:vector size="80" baseType="lpstr">
      <vt:lpstr>Change Log</vt:lpstr>
      <vt:lpstr>Table of Contents</vt:lpstr>
      <vt:lpstr>Asset Run Control</vt:lpstr>
      <vt:lpstr>Cash</vt:lpstr>
      <vt:lpstr>Decrements</vt:lpstr>
      <vt:lpstr>RefinanceForeclosureRestructure</vt:lpstr>
      <vt:lpstr>Sec Cash Flows</vt:lpstr>
      <vt:lpstr>Balance Sheet</vt:lpstr>
      <vt:lpstr>Asset Sub Portfolios</vt:lpstr>
      <vt:lpstr>DurationMatchStrategy</vt:lpstr>
      <vt:lpstr>DurationMatchStrategy_old</vt:lpstr>
      <vt:lpstr>Strategy</vt:lpstr>
      <vt:lpstr>Purch Bond Defn</vt:lpstr>
      <vt:lpstr>Purch Mtg Defn</vt:lpstr>
      <vt:lpstr>Purch AIG Bond Defn</vt:lpstr>
      <vt:lpstr>Purch Sec Defn</vt:lpstr>
      <vt:lpstr>Purch Ird Defn</vt:lpstr>
      <vt:lpstr>Purch Re Defn</vt:lpstr>
      <vt:lpstr>Purch Eqt Defn</vt:lpstr>
      <vt:lpstr>Purch Eio Defn</vt:lpstr>
      <vt:lpstr>AIGBondCashFlowPctInputVector</vt:lpstr>
      <vt:lpstr>AIGBondTargetAssetDuration</vt:lpstr>
      <vt:lpstr>AssetRunControl</vt:lpstr>
      <vt:lpstr>AssetSubPortDefn</vt:lpstr>
      <vt:lpstr>AssetSubPorts</vt:lpstr>
      <vt:lpstr>BalanceSheet</vt:lpstr>
      <vt:lpstr>BalloonPrinPmtPct</vt:lpstr>
      <vt:lpstr>CallPutExercisePct</vt:lpstr>
      <vt:lpstr>CallPutPricePct</vt:lpstr>
      <vt:lpstr>Cash</vt:lpstr>
      <vt:lpstr>Decrements</vt:lpstr>
      <vt:lpstr>ForeclosureRateMultMthsBefMaturity</vt:lpstr>
      <vt:lpstr>ForeclosureRateMultMthsSinceIssue</vt:lpstr>
      <vt:lpstr>ForeclosureRatePct</vt:lpstr>
      <vt:lpstr>InvStratAssetSubPortInvTgtPct</vt:lpstr>
      <vt:lpstr>InvStratAssetSubPortInvTgtPctInforceMixPtp</vt:lpstr>
      <vt:lpstr>InvStratAssetSubPortInvTgtPctPbaGaap</vt:lpstr>
      <vt:lpstr>InvStratCashPctDistribnDefn</vt:lpstr>
      <vt:lpstr>InvStratCashPctDistribnDefnInforceMixPtp</vt:lpstr>
      <vt:lpstr>InvStratCashPctDistribnDefnPbaGaap</vt:lpstr>
      <vt:lpstr>InvStratEconomic</vt:lpstr>
      <vt:lpstr>InvStratEconomicInforceMixPtp</vt:lpstr>
      <vt:lpstr>InvStratEconomicPbaGaap</vt:lpstr>
      <vt:lpstr>InvStratPlanned</vt:lpstr>
      <vt:lpstr>InvStratPlannedInforceMixPtp</vt:lpstr>
      <vt:lpstr>InvStratPlannedPbaGaap</vt:lpstr>
      <vt:lpstr>InvStratPurchAssetSubPortIdAndWght</vt:lpstr>
      <vt:lpstr>InvStratPurchAssetSubPortIdAndWghtInforceMixPtp</vt:lpstr>
      <vt:lpstr>InvStratPurchAssetSubPortIdAndWghtPbaGaap</vt:lpstr>
      <vt:lpstr>NegCashFlowStratEconomic</vt:lpstr>
      <vt:lpstr>NegCashFlowStratPlanned</vt:lpstr>
      <vt:lpstr>PrepmtExercisePct</vt:lpstr>
      <vt:lpstr>PrepmtNonfinancialAdj</vt:lpstr>
      <vt:lpstr>PrepmtNonfinancialSeasonalityAddn</vt:lpstr>
      <vt:lpstr>PrepmtPenaltyPct</vt:lpstr>
      <vt:lpstr>PrepmtSeasoningSinceIssueMult</vt:lpstr>
      <vt:lpstr>PurchAssetsDefnAIGBond</vt:lpstr>
      <vt:lpstr>PurchAssetsDefnBond</vt:lpstr>
      <vt:lpstr>PurchAssetsDefnBondCallPutPricePct</vt:lpstr>
      <vt:lpstr>PurchAssetsDefnBondSinkFundPrinPmtPct</vt:lpstr>
      <vt:lpstr>PurchAssetsDefnEio</vt:lpstr>
      <vt:lpstr>PurchAssetsDefnEqt</vt:lpstr>
      <vt:lpstr>PurchAssetsDefnIrd</vt:lpstr>
      <vt:lpstr>PurchAssetsDefnMtg</vt:lpstr>
      <vt:lpstr>PurchAssetsDefnMtgBalloonPrinPmtPct</vt:lpstr>
      <vt:lpstr>PurchAssetsDefnMtgPrepmtPenaltyPct</vt:lpstr>
      <vt:lpstr>PurchAssetsDefnRe</vt:lpstr>
      <vt:lpstr>PurchAssetsDefnSec</vt:lpstr>
      <vt:lpstr>PurchAssetsDefnSecCpPrepmtPenaltyPct</vt:lpstr>
      <vt:lpstr>PurchAssetsDefnSecSchedules</vt:lpstr>
      <vt:lpstr>RefinanceForeclosureRestructureInvestments</vt:lpstr>
      <vt:lpstr>RefinanceRateMultBefMaturity</vt:lpstr>
      <vt:lpstr>RefinanceRateMultSinceIssue</vt:lpstr>
      <vt:lpstr>RefinanceRatePct</vt:lpstr>
      <vt:lpstr>RestructureRateMultMthsBefMaturity</vt:lpstr>
      <vt:lpstr>RestructureRateMultMthsSinceIssue</vt:lpstr>
      <vt:lpstr>RestructureRatePct</vt:lpstr>
      <vt:lpstr>SecuritizedAssetCashFlows</vt:lpstr>
      <vt:lpstr>SinkingFundPrinPmtPct</vt:lpstr>
      <vt:lpstr>Strategy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Qin, Michelle</cp:lastModifiedBy>
  <cp:lastPrinted>2013-09-20T19:15:27Z</cp:lastPrinted>
  <dcterms:created xsi:type="dcterms:W3CDTF">2013-06-26T20:08:07Z</dcterms:created>
  <dcterms:modified xsi:type="dcterms:W3CDTF">2024-11-05T19:07:56Z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  <property fmtid="{D5CDD505-2E9C-101B-9397-08002B2CF9AE}" pid="3" name="MSIP_Label_d347b247-e90e-43a3-9d7b-004f14ae6873_Enabled">
    <vt:lpwstr>true</vt:lpwstr>
  </property>
  <property fmtid="{D5CDD505-2E9C-101B-9397-08002B2CF9AE}" pid="4" name="MSIP_Label_d347b247-e90e-43a3-9d7b-004f14ae6873_SetDate">
    <vt:lpwstr>2023-03-26T19:17:39Z</vt:lpwstr>
  </property>
  <property fmtid="{D5CDD505-2E9C-101B-9397-08002B2CF9AE}" pid="5" name="MSIP_Label_d347b247-e90e-43a3-9d7b-004f14ae6873_Method">
    <vt:lpwstr>Standard</vt:lpwstr>
  </property>
  <property fmtid="{D5CDD505-2E9C-101B-9397-08002B2CF9AE}" pid="6" name="MSIP_Label_d347b247-e90e-43a3-9d7b-004f14ae6873_Name">
    <vt:lpwstr>d347b247-e90e-43a3-9d7b-004f14ae6873</vt:lpwstr>
  </property>
  <property fmtid="{D5CDD505-2E9C-101B-9397-08002B2CF9AE}" pid="7" name="MSIP_Label_d347b247-e90e-43a3-9d7b-004f14ae6873_SiteId">
    <vt:lpwstr>76e3921f-489b-4b7e-9547-9ea297add9b5</vt:lpwstr>
  </property>
  <property fmtid="{D5CDD505-2E9C-101B-9397-08002B2CF9AE}" pid="8" name="MSIP_Label_d347b247-e90e-43a3-9d7b-004f14ae6873_ActionId">
    <vt:lpwstr>8d6b44fe-b490-472f-b73e-6b6b807270cd</vt:lpwstr>
  </property>
  <property fmtid="{D5CDD505-2E9C-101B-9397-08002B2CF9AE}" pid="9" name="MSIP_Label_d347b247-e90e-43a3-9d7b-004f14ae6873_ContentBits">
    <vt:lpwstr>0</vt:lpwstr>
  </property>
</Properties>
</file>