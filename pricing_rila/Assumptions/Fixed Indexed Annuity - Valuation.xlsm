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AFM\rila_research_rsd_1.5_phase_2.2_0327\Projects\Fixed Indexed Annuity\ProjectData\2013YearEnd\Assumptions\"/>
    </mc:Choice>
  </mc:AlternateContent>
  <xr:revisionPtr revIDLastSave="0" documentId="13_ncr:1_{A3DADB1B-B0D4-486A-9AA9-C557D893C6E8}" xr6:coauthVersionLast="47" xr6:coauthVersionMax="47" xr10:uidLastSave="{00000000-0000-0000-0000-000000000000}"/>
  <bookViews>
    <workbookView xWindow="-120" yWindow="-120" windowWidth="29040" windowHeight="15840" tabRatio="820" activeTab="3" xr2:uid="{00000000-000D-0000-FFFF-FFFF00000000}"/>
  </bookViews>
  <sheets>
    <sheet name="Change Log" sheetId="6" r:id="rId1"/>
    <sheet name="Design Details" sheetId="8" state="hidden" r:id="rId2"/>
    <sheet name="Table of Contents" sheetId="7" r:id="rId3"/>
    <sheet name="Valuation" sheetId="16" r:id="rId4"/>
  </sheets>
  <functionGroups builtInGroupCount="19"/>
  <definedNames>
    <definedName name="CarvmAnnuitiznTests">Valuation!$B$61:$F$64</definedName>
    <definedName name="cashflow_timing_weights_aig">Valuation!$B$55:$G$58</definedName>
    <definedName name="FIAValuation">Valuation!$B$4:$D$45</definedName>
    <definedName name="FIAValuation_Table_Two">Valuation!$B$48:$D$52</definedName>
    <definedName name="NursingHomeIncidRate">Valuation!$B$67:$F$180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1" i="16" l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60" i="16"/>
  <c r="B47" i="16"/>
  <c r="B54" i="16"/>
  <c r="B3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tc={2F2B8C94-F0A2-41EA-8722-769879B54899}</author>
  </authors>
  <commentList>
    <comment ref="B55" authorId="0" shapeId="0" xr:uid="{00000000-0006-0000-03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We added these inputs so we could experiment with different timing approximations here and there in the CARVM calculator.</t>
      </text>
    </comment>
  </commentList>
</comments>
</file>

<file path=xl/sharedStrings.xml><?xml version="1.0" encoding="utf-8"?>
<sst xmlns="http://schemas.openxmlformats.org/spreadsheetml/2006/main" count="191" uniqueCount="130">
  <si>
    <t>Reserve : Reports</t>
  </si>
  <si>
    <t>VarID</t>
  </si>
  <si>
    <t>#</t>
  </si>
  <si>
    <t>Date</t>
  </si>
  <si>
    <t>Name</t>
  </si>
  <si>
    <t>Comments</t>
  </si>
  <si>
    <t>No</t>
  </si>
  <si>
    <t>Percent Cash Value</t>
  </si>
  <si>
    <t>Table of Contents</t>
  </si>
  <si>
    <t>Default</t>
  </si>
  <si>
    <t>Value</t>
  </si>
  <si>
    <t>linked assumption set name combined with variable name</t>
  </si>
  <si>
    <t>New range name on same worksheet as base assumption</t>
  </si>
  <si>
    <t>Linked Assumption Set</t>
  </si>
  <si>
    <t>Overlays</t>
  </si>
  <si>
    <t>Workbook with worksheets and range names</t>
  </si>
  <si>
    <t>Assumption set</t>
  </si>
  <si>
    <t>Product feature set/assumption set</t>
  </si>
  <si>
    <t>Input variable name</t>
  </si>
  <si>
    <t>Single range name with appropriate structure</t>
  </si>
  <si>
    <t>Floating point variables</t>
  </si>
  <si>
    <t>Variants</t>
  </si>
  <si>
    <t>Subheader name as appropriate</t>
  </si>
  <si>
    <t>Combined into single range name using variable name as lookup</t>
  </si>
  <si>
    <t>Character variables</t>
  </si>
  <si>
    <t>Subheader name</t>
  </si>
  <si>
    <t>Range name (for combining items)</t>
  </si>
  <si>
    <t>Subheader</t>
  </si>
  <si>
    <t>Third level category</t>
  </si>
  <si>
    <t>Header name</t>
  </si>
  <si>
    <t>Worksheet</t>
  </si>
  <si>
    <t>Header</t>
  </si>
  <si>
    <t>Second level category</t>
  </si>
  <si>
    <t>&lt;*xxx_input*&gt; wildcard location</t>
  </si>
  <si>
    <t>[Project] - [Page Name] - [Assumption Set Name].xlsx</t>
  </si>
  <si>
    <t>Workbook</t>
  </si>
  <si>
    <t>Input page</t>
  </si>
  <si>
    <t>First level category</t>
  </si>
  <si>
    <t>Storage location</t>
  </si>
  <si>
    <t>Naming convention</t>
  </si>
  <si>
    <t>External Source Structure</t>
  </si>
  <si>
    <t>MoSes Item</t>
  </si>
  <si>
    <t>Risk Agility FM Item</t>
  </si>
  <si>
    <t>Go to TOC</t>
  </si>
  <si>
    <t>Plan C</t>
  </si>
  <si>
    <t>Plan A</t>
  </si>
  <si>
    <t>valn_rate_plan_type_non_elective</t>
  </si>
  <si>
    <t>NONE</t>
  </si>
  <si>
    <t>valn_code</t>
  </si>
  <si>
    <t>AttainedAge</t>
  </si>
  <si>
    <t>1994USMgdbAlb</t>
  </si>
  <si>
    <t>&lt;*assump*&gt;Fixed Indexed Annuity - Mortality Tables Adjustments.xlsm</t>
  </si>
  <si>
    <t>&lt;*assump*&gt;Fixed Indexed Annuity - Mortality Tables [Type].xlsx</t>
  </si>
  <si>
    <t>&lt;*global*&gt;Valuation Interest Rates.xlsm</t>
  </si>
  <si>
    <t>Valuation</t>
  </si>
  <si>
    <t xml:space="preserve">Reserve </t>
  </si>
  <si>
    <t>res_defn</t>
  </si>
  <si>
    <t>res_pct</t>
  </si>
  <si>
    <t>carvm_max_dur</t>
  </si>
  <si>
    <t>carvm_cont_defn</t>
  </si>
  <si>
    <t>carvm_mort_base_tbl_id</t>
  </si>
  <si>
    <t>carvm_mort_base_tbl_style</t>
  </si>
  <si>
    <t>carvm_mort_base</t>
  </si>
  <si>
    <t>carvm_mort_mult</t>
  </si>
  <si>
    <t>carvm_detail_rpt_defn</t>
  </si>
  <si>
    <t>Reserve</t>
  </si>
  <si>
    <t>Valuation input page</t>
  </si>
  <si>
    <t>carvm_int_rate</t>
  </si>
  <si>
    <t>audit_rpt_defn</t>
  </si>
  <si>
    <t>include_nh_defn</t>
  </si>
  <si>
    <t>nh_incid_base</t>
  </si>
  <si>
    <t>[See Below]</t>
  </si>
  <si>
    <t>Back to Main</t>
  </si>
  <si>
    <t>gender</t>
  </si>
  <si>
    <t>Male</t>
  </si>
  <si>
    <t>Female</t>
  </si>
  <si>
    <t>attained_age</t>
  </si>
  <si>
    <t>NursingHomeIncidRate</t>
  </si>
  <si>
    <t>With Cash Settlements</t>
  </si>
  <si>
    <t>valn_rate_cash_settle_defn</t>
  </si>
  <si>
    <t>With Guarantees</t>
  </si>
  <si>
    <t>valn_rate_int_guar_defn</t>
  </si>
  <si>
    <t>Without Guarantees</t>
  </si>
  <si>
    <t>valn_rate_plan_type_elective_cash_val</t>
  </si>
  <si>
    <t>valn_rate_plan_type_elective_annuitzn</t>
  </si>
  <si>
    <t>Issue Year</t>
  </si>
  <si>
    <t>carvm_defn</t>
  </si>
  <si>
    <t>carvm_life_int_rate</t>
  </si>
  <si>
    <t>Not Applicable</t>
  </si>
  <si>
    <t>carvm_calc_annuitzn_defn</t>
  </si>
  <si>
    <t>carvm_annuitzn_tests</t>
  </si>
  <si>
    <t>Certain And Life Annuity</t>
  </si>
  <si>
    <t>carvm_annuitzn_ann_type</t>
  </si>
  <si>
    <t>carvm_annuitzn_certain_yrs</t>
  </si>
  <si>
    <t>carvm_annuitzn_min_fund_val_pct</t>
  </si>
  <si>
    <t>1,3,4</t>
  </si>
  <si>
    <t>[See below]</t>
  </si>
  <si>
    <t>carvm_annuitzn_test_num</t>
  </si>
  <si>
    <t>Certain Only Annuity</t>
  </si>
  <si>
    <t>carvm_gmwb_mort_base_tbl_id</t>
  </si>
  <si>
    <t>carvm_gmwb_mort_base_tbl_style</t>
  </si>
  <si>
    <t>carvm_gmwb_mort_base</t>
  </si>
  <si>
    <t>carvm_annuitzn_mort_base_tbl_id</t>
  </si>
  <si>
    <t>carvm_annuitzn_mort_base_tbl_style</t>
  </si>
  <si>
    <t>carvm_annuitzn_mort_base</t>
  </si>
  <si>
    <t>carvm_annuitzn_mort_mult</t>
  </si>
  <si>
    <t>carvm_gmwb_exercise_points</t>
  </si>
  <si>
    <t>Yes</t>
  </si>
  <si>
    <t>valn_rate_plan_type_non_elective_gmwb_before_exhaust_aig</t>
  </si>
  <si>
    <t>Plan B</t>
  </si>
  <si>
    <t>valn_rate_plan_type_non_elective_gmwb_after_exhaust_aig</t>
  </si>
  <si>
    <t>mva_defn_lookup_aig</t>
  </si>
  <si>
    <t>cash_val_weight_aig</t>
  </si>
  <si>
    <t>dth_benefits_weight_aig</t>
  </si>
  <si>
    <t>nh_benefits_weight_aig</t>
  </si>
  <si>
    <t>gmwb_ann_benefits_weight_aig</t>
  </si>
  <si>
    <t>pfwd_surr_weight_aig</t>
  </si>
  <si>
    <t>continuous</t>
  </si>
  <si>
    <t>nh_incid_base_tbl_id</t>
  </si>
  <si>
    <t>USL</t>
  </si>
  <si>
    <t>carvm_mort_improve_base_date_aig</t>
  </si>
  <si>
    <t>curtate</t>
  </si>
  <si>
    <t>SOA1985NNH</t>
  </si>
  <si>
    <t>SOA2012IAM</t>
  </si>
  <si>
    <t>[See Product XLS]</t>
  </si>
  <si>
    <t>0,2,4,6,8,10,12</t>
  </si>
  <si>
    <t>0,1,2,3,4,5,6,7,8,9,10</t>
  </si>
  <si>
    <t>0,1,2,3,4,5,6,7,8,9,10,11,12,13,14,15,16,17,18,19,20</t>
  </si>
  <si>
    <t>carvm_res_floor_pct_aig</t>
  </si>
  <si>
    <t>CARVM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</si>
</sst>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%"/>
    <numFmt numFmtId="165" formatCode="0.000000"/>
    <numFmt numFmtId="166" formatCode="0.000000000"/>
    <numFmt numFmtId="167" formatCode="0.00000"/>
  </numFmts>
  <fonts count="21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8"/>
      <color indexed="64"/>
      <name val="Tahoma"/>
      <family val="2"/>
    </font>
    <font>
      <sz val="8"/>
      <color indexed="12"/>
      <name val="Tahoma"/>
      <family val="2"/>
    </font>
    <font>
      <sz val="8"/>
      <color indexed="64"/>
      <name val="Tahoma"/>
      <family val="2"/>
    </font>
    <font>
      <sz val="8"/>
      <color indexed="17"/>
      <name val="Tahoma"/>
      <family val="2"/>
    </font>
    <font>
      <sz val="8"/>
      <color indexed="17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b/>
      <sz val="10"/>
      <name val="Arial"/>
      <family val="2"/>
    </font>
    <font>
      <i/>
      <sz val="10"/>
      <color theme="1"/>
      <name val="Arial"/>
      <family val="2"/>
    </font>
    <font>
      <u/>
      <sz val="10"/>
      <color theme="1"/>
      <name val="Arial"/>
      <family val="2"/>
    </font>
    <font>
      <sz val="8"/>
      <color indexed="14"/>
      <name val="Tahoma"/>
      <family val="2"/>
    </font>
    <font>
      <sz val="8"/>
      <color indexed="23"/>
      <name val="Tahoma"/>
      <family val="2"/>
    </font>
    <font>
      <sz val="10"/>
      <name val="Tahoma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sz val="10"/>
      <color rgb="FF0000FF"/>
      <name val="Arial"/>
      <family val="2"/>
    </font>
    <font>
      <b/>
      <sz val="10"/>
      <color rgb="FF0000FF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/>
      <top/>
      <bottom style="medium">
        <color indexed="64"/>
      </bottom>
      <diagonal/>
    </border>
    <border>
      <left/>
      <right style="thin">
        <color rgb="FFA6A6A6"/>
      </right>
      <top/>
      <bottom/>
      <diagonal/>
    </border>
    <border>
      <left style="thin">
        <color rgb="FFA6A6A6"/>
      </left>
      <right/>
      <top/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/>
      <right style="thin">
        <color rgb="FFA6A6A6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BFBFBF"/>
      </left>
      <right/>
      <top style="thin">
        <color rgb="FFA6A6A6"/>
      </top>
      <bottom/>
      <diagonal/>
    </border>
    <border>
      <left style="thin">
        <color rgb="FFBFBFBF"/>
      </left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/>
      <top style="thin">
        <color rgb="FFBFBFBF"/>
      </top>
      <bottom/>
      <diagonal/>
    </border>
    <border>
      <left/>
      <right style="thin">
        <color rgb="FFA6A6A6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63">
    <xf numFmtId="0" fontId="0" fillId="0" borderId="0"/>
    <xf numFmtId="0" fontId="2" fillId="2" borderId="0">
      <alignment horizontal="left" vertical="top" wrapText="1"/>
    </xf>
    <xf numFmtId="0" fontId="2" fillId="2" borderId="0">
      <alignment horizontal="left" vertical="top" wrapText="1"/>
    </xf>
    <xf numFmtId="0" fontId="3" fillId="3" borderId="0">
      <alignment horizontal="left" vertical="top" wrapText="1"/>
    </xf>
    <xf numFmtId="0" fontId="4" fillId="3" borderId="0">
      <alignment horizontal="left" vertical="top" wrapText="1"/>
    </xf>
    <xf numFmtId="0" fontId="3" fillId="3" borderId="0">
      <alignment horizontal="left" vertical="top" wrapText="1"/>
    </xf>
    <xf numFmtId="0" fontId="5" fillId="3" borderId="0">
      <alignment horizontal="left" vertical="top" wrapText="1"/>
    </xf>
    <xf numFmtId="0" fontId="5" fillId="3" borderId="0">
      <alignment horizontal="left" vertical="top" wrapText="1"/>
    </xf>
    <xf numFmtId="0" fontId="3" fillId="3" borderId="0">
      <alignment horizontal="left" vertical="top" wrapText="1"/>
    </xf>
    <xf numFmtId="0" fontId="5" fillId="3" borderId="0">
      <alignment horizontal="left" vertical="top" wrapText="1"/>
    </xf>
    <xf numFmtId="0" fontId="5" fillId="3" borderId="0">
      <alignment horizontal="left" vertical="top" wrapText="1"/>
    </xf>
    <xf numFmtId="0" fontId="5" fillId="3" borderId="0">
      <alignment horizontal="left" vertical="top" wrapText="1"/>
    </xf>
    <xf numFmtId="0" fontId="6" fillId="3" borderId="0">
      <alignment horizontal="left" vertical="top" wrapText="1"/>
    </xf>
    <xf numFmtId="0" fontId="5" fillId="3" borderId="0">
      <alignment horizontal="left" vertical="top" wrapText="1"/>
    </xf>
    <xf numFmtId="0" fontId="3" fillId="3" borderId="0">
      <alignment horizontal="right" vertical="top" wrapText="1"/>
    </xf>
    <xf numFmtId="0" fontId="3" fillId="3" borderId="0">
      <alignment horizontal="right" vertical="top" wrapText="1"/>
    </xf>
    <xf numFmtId="0" fontId="3" fillId="3" borderId="0">
      <alignment horizontal="left" vertical="top" wrapText="1"/>
    </xf>
    <xf numFmtId="0" fontId="4" fillId="3" borderId="0">
      <alignment horizontal="left" vertical="top" wrapText="1"/>
    </xf>
    <xf numFmtId="0" fontId="7" fillId="0" borderId="0" applyNumberFormat="0" applyFill="0" applyBorder="0" applyAlignment="0" applyProtection="0"/>
    <xf numFmtId="0" fontId="2" fillId="2" borderId="0">
      <alignment horizontal="left" vertical="top" wrapText="1"/>
    </xf>
    <xf numFmtId="0" fontId="2" fillId="2" borderId="0">
      <alignment horizontal="left" vertical="top" wrapText="1"/>
    </xf>
    <xf numFmtId="0" fontId="4" fillId="3" borderId="0">
      <alignment horizontal="left" vertical="top" wrapText="1"/>
    </xf>
    <xf numFmtId="0" fontId="4" fillId="4" borderId="0">
      <alignment horizontal="left" vertical="top" wrapText="1"/>
    </xf>
    <xf numFmtId="0" fontId="14" fillId="3" borderId="0">
      <alignment horizontal="left" vertical="top" wrapText="1"/>
    </xf>
    <xf numFmtId="0" fontId="5" fillId="3" borderId="0">
      <alignment horizontal="left" vertical="top" wrapText="1"/>
    </xf>
    <xf numFmtId="0" fontId="4" fillId="3" borderId="0">
      <alignment horizontal="left" vertical="top" wrapText="1"/>
    </xf>
    <xf numFmtId="0" fontId="14" fillId="3" borderId="0">
      <alignment horizontal="left" vertical="top" wrapText="1"/>
    </xf>
    <xf numFmtId="0" fontId="5" fillId="3" borderId="0">
      <alignment horizontal="left" vertical="top" wrapText="1"/>
    </xf>
    <xf numFmtId="0" fontId="3" fillId="3" borderId="0">
      <alignment horizontal="left" vertical="top" wrapText="1"/>
    </xf>
    <xf numFmtId="0" fontId="14" fillId="3" borderId="0">
      <alignment horizontal="left" vertical="top" wrapText="1"/>
    </xf>
    <xf numFmtId="0" fontId="5" fillId="3" borderId="0">
      <alignment horizontal="left" vertical="top" wrapText="1"/>
    </xf>
    <xf numFmtId="0" fontId="3" fillId="3" borderId="0">
      <alignment horizontal="left" vertical="top" wrapText="1"/>
    </xf>
    <xf numFmtId="0" fontId="5" fillId="3" borderId="0">
      <alignment horizontal="left" vertical="top" wrapText="1"/>
    </xf>
    <xf numFmtId="0" fontId="15" fillId="3" borderId="0">
      <alignment horizontal="right" vertical="top" wrapText="1"/>
    </xf>
    <xf numFmtId="0" fontId="14" fillId="3" borderId="0">
      <alignment horizontal="left" vertical="top" wrapText="1"/>
    </xf>
    <xf numFmtId="0" fontId="14" fillId="3" borderId="0">
      <alignment horizontal="left" vertical="top" wrapText="1"/>
    </xf>
    <xf numFmtId="0" fontId="5" fillId="3" borderId="0">
      <alignment horizontal="left" vertical="top" wrapText="1"/>
    </xf>
    <xf numFmtId="0" fontId="14" fillId="3" borderId="0">
      <alignment horizontal="left" vertical="top" wrapText="1"/>
    </xf>
    <xf numFmtId="0" fontId="5" fillId="3" borderId="0">
      <alignment horizontal="left" vertical="top" wrapText="1"/>
    </xf>
    <xf numFmtId="0" fontId="14" fillId="3" borderId="0">
      <alignment horizontal="left" vertical="top" wrapText="1"/>
    </xf>
    <xf numFmtId="0" fontId="3" fillId="3" borderId="0">
      <alignment horizontal="right" vertical="top" wrapText="1"/>
    </xf>
    <xf numFmtId="0" fontId="3" fillId="3" borderId="0">
      <alignment horizontal="right" vertical="top" wrapText="1"/>
    </xf>
    <xf numFmtId="0" fontId="14" fillId="3" borderId="0">
      <alignment horizontal="left" vertical="top" wrapText="1"/>
    </xf>
    <xf numFmtId="0" fontId="3" fillId="3" borderId="0">
      <alignment horizontal="left" vertical="top" wrapText="1"/>
    </xf>
    <xf numFmtId="0" fontId="4" fillId="3" borderId="0">
      <alignment horizontal="left" vertical="top" wrapText="1"/>
    </xf>
    <xf numFmtId="0" fontId="3" fillId="3" borderId="0">
      <alignment horizontal="left" vertical="top" wrapText="1"/>
    </xf>
    <xf numFmtId="0" fontId="4" fillId="3" borderId="0">
      <alignment horizontal="left" vertical="top" wrapText="1"/>
    </xf>
    <xf numFmtId="0" fontId="15" fillId="3" borderId="0">
      <alignment horizontal="right" vertical="top" wrapText="1"/>
    </xf>
    <xf numFmtId="0" fontId="4" fillId="4" borderId="0">
      <alignment horizontal="left" vertical="top" wrapText="1"/>
    </xf>
    <xf numFmtId="0" fontId="4" fillId="4" borderId="0">
      <alignment horizontal="left" vertical="top" wrapText="1"/>
    </xf>
    <xf numFmtId="0" fontId="15" fillId="3" borderId="0">
      <alignment horizontal="left" vertical="top" wrapText="1"/>
    </xf>
    <xf numFmtId="0" fontId="3" fillId="3" borderId="0">
      <alignment horizontal="left" vertical="top" wrapText="1"/>
    </xf>
    <xf numFmtId="0" fontId="3" fillId="3" borderId="0">
      <alignment horizontal="left" vertical="top" wrapText="1"/>
    </xf>
    <xf numFmtId="0" fontId="5" fillId="3" borderId="0">
      <alignment horizontal="left" vertical="top" wrapText="1"/>
    </xf>
    <xf numFmtId="0" fontId="4" fillId="3" borderId="0">
      <alignment horizontal="left" vertical="top" wrapText="1"/>
    </xf>
    <xf numFmtId="0" fontId="5" fillId="3" borderId="0">
      <alignment horizontal="left" vertical="top" wrapText="1"/>
    </xf>
    <xf numFmtId="0" fontId="3" fillId="3" borderId="0">
      <alignment horizontal="left" vertical="top" wrapText="1"/>
    </xf>
    <xf numFmtId="0" fontId="5" fillId="3" borderId="0">
      <alignment horizontal="left" vertical="top" wrapText="1"/>
    </xf>
    <xf numFmtId="0" fontId="4" fillId="3" borderId="0">
      <alignment horizontal="right" vertical="top" wrapText="1"/>
    </xf>
    <xf numFmtId="0" fontId="16" fillId="0" borderId="0"/>
    <xf numFmtId="0" fontId="16" fillId="0" borderId="0"/>
    <xf numFmtId="0" fontId="16" fillId="0" borderId="0"/>
    <xf numFmtId="9" fontId="18" fillId="0" borderId="0" applyFont="0" applyFill="0" applyBorder="0" applyAlignment="0" applyProtection="0"/>
  </cellStyleXfs>
  <cellXfs count="108">
    <xf numFmtId="0" fontId="0" fillId="0" borderId="0" xfId="0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top" wrapText="1"/>
    </xf>
    <xf numFmtId="0" fontId="9" fillId="0" borderId="0" xfId="0" applyFont="1" applyAlignment="1">
      <alignment horizontal="centerContinuous" vertical="center"/>
    </xf>
    <xf numFmtId="0" fontId="7" fillId="0" borderId="0" xfId="18"/>
    <xf numFmtId="0" fontId="9" fillId="0" borderId="0" xfId="0" applyFont="1" applyAlignment="1">
      <alignment vertical="center"/>
    </xf>
    <xf numFmtId="0" fontId="8" fillId="0" borderId="0" xfId="0" applyFont="1" applyBorder="1" applyAlignment="1">
      <alignment horizontal="right"/>
    </xf>
    <xf numFmtId="0" fontId="10" fillId="0" borderId="0" xfId="0" applyFont="1" applyBorder="1" applyAlignment="1">
      <alignment horizontal="left" vertical="top"/>
    </xf>
    <xf numFmtId="0" fontId="0" fillId="0" borderId="0" xfId="0" applyBorder="1" applyAlignment="1">
      <alignment horizontal="right"/>
    </xf>
    <xf numFmtId="0" fontId="0" fillId="0" borderId="0" xfId="0" applyBorder="1"/>
    <xf numFmtId="0" fontId="10" fillId="0" borderId="0" xfId="0" applyFont="1" applyBorder="1" applyAlignment="1">
      <alignment vertical="top"/>
    </xf>
    <xf numFmtId="0" fontId="0" fillId="0" borderId="7" xfId="0" applyBorder="1" applyAlignment="1">
      <alignment horizontal="right"/>
    </xf>
    <xf numFmtId="0" fontId="0" fillId="0" borderId="0" xfId="0" applyFill="1" applyBorder="1"/>
    <xf numFmtId="0" fontId="13" fillId="0" borderId="0" xfId="0" applyFont="1" applyBorder="1"/>
    <xf numFmtId="0" fontId="8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8" fillId="0" borderId="7" xfId="0" applyFont="1" applyBorder="1" applyAlignment="1">
      <alignment horizontal="right"/>
    </xf>
    <xf numFmtId="0" fontId="0" fillId="0" borderId="0" xfId="0" applyAlignment="1">
      <alignment horizontal="left"/>
    </xf>
    <xf numFmtId="165" fontId="8" fillId="0" borderId="0" xfId="0" applyNumberFormat="1" applyFont="1" applyBorder="1" applyAlignment="1">
      <alignment horizontal="left"/>
    </xf>
    <xf numFmtId="164" fontId="8" fillId="0" borderId="0" xfId="0" applyNumberFormat="1" applyFont="1" applyBorder="1" applyAlignment="1">
      <alignment horizontal="left"/>
    </xf>
    <xf numFmtId="164" fontId="8" fillId="0" borderId="7" xfId="0" applyNumberFormat="1" applyFont="1" applyBorder="1" applyAlignment="1">
      <alignment horizontal="right"/>
    </xf>
    <xf numFmtId="0" fontId="7" fillId="0" borderId="0" xfId="18" applyFill="1" applyAlignment="1"/>
    <xf numFmtId="0" fontId="0" fillId="0" borderId="0" xfId="0" applyAlignment="1"/>
    <xf numFmtId="0" fontId="12" fillId="0" borderId="0" xfId="0" applyFont="1" applyAlignment="1"/>
    <xf numFmtId="0" fontId="0" fillId="0" borderId="0" xfId="0" applyFill="1" applyAlignment="1"/>
    <xf numFmtId="0" fontId="0" fillId="0" borderId="0" xfId="0" applyBorder="1" applyAlignment="1"/>
    <xf numFmtId="0" fontId="0" fillId="0" borderId="8" xfId="0" applyFill="1" applyBorder="1" applyAlignment="1"/>
    <xf numFmtId="0" fontId="8" fillId="0" borderId="8" xfId="0" applyFont="1" applyBorder="1" applyAlignment="1"/>
    <xf numFmtId="0" fontId="11" fillId="0" borderId="8" xfId="0" applyFont="1" applyBorder="1" applyAlignment="1"/>
    <xf numFmtId="0" fontId="0" fillId="0" borderId="0" xfId="48" applyFont="1" applyFill="1" applyAlignment="1">
      <alignment horizontal="left" vertical="top"/>
    </xf>
    <xf numFmtId="0" fontId="1" fillId="5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top" wrapText="1"/>
    </xf>
    <xf numFmtId="0" fontId="1" fillId="5" borderId="1" xfId="0" applyFont="1" applyFill="1" applyBorder="1" applyAlignment="1">
      <alignment horizontal="left" vertical="top" wrapText="1"/>
    </xf>
    <xf numFmtId="0" fontId="1" fillId="5" borderId="4" xfId="0" applyFont="1" applyFill="1" applyBorder="1" applyAlignment="1">
      <alignment horizontal="left"/>
    </xf>
    <xf numFmtId="0" fontId="1" fillId="5" borderId="3" xfId="0" applyFont="1" applyFill="1" applyBorder="1" applyAlignment="1">
      <alignment horizontal="right"/>
    </xf>
    <xf numFmtId="0" fontId="0" fillId="5" borderId="4" xfId="0" applyFont="1" applyFill="1" applyBorder="1" applyAlignment="1">
      <alignment horizontal="right"/>
    </xf>
    <xf numFmtId="0" fontId="0" fillId="5" borderId="5" xfId="0" applyFont="1" applyFill="1" applyBorder="1" applyAlignment="1">
      <alignment horizontal="right"/>
    </xf>
    <xf numFmtId="0" fontId="1" fillId="5" borderId="2" xfId="0" applyFont="1" applyFill="1" applyBorder="1" applyAlignment="1">
      <alignment horizontal="right"/>
    </xf>
    <xf numFmtId="0" fontId="1" fillId="5" borderId="6" xfId="0" applyFont="1" applyFill="1" applyBorder="1" applyAlignment="1"/>
    <xf numFmtId="0" fontId="1" fillId="5" borderId="12" xfId="0" applyFont="1" applyFill="1" applyBorder="1" applyAlignment="1">
      <alignment horizontal="right"/>
    </xf>
    <xf numFmtId="0" fontId="8" fillId="5" borderId="8" xfId="0" applyFont="1" applyFill="1" applyBorder="1" applyAlignment="1">
      <alignment vertical="center"/>
    </xf>
    <xf numFmtId="0" fontId="17" fillId="5" borderId="8" xfId="0" applyFont="1" applyFill="1" applyBorder="1" applyAlignment="1">
      <alignment vertical="center"/>
    </xf>
    <xf numFmtId="0" fontId="8" fillId="0" borderId="10" xfId="0" applyFont="1" applyBorder="1" applyAlignment="1">
      <alignment horizontal="right"/>
    </xf>
    <xf numFmtId="0" fontId="0" fillId="0" borderId="9" xfId="0" applyBorder="1" applyAlignment="1"/>
    <xf numFmtId="0" fontId="0" fillId="0" borderId="11" xfId="0" applyBorder="1" applyAlignment="1"/>
    <xf numFmtId="0" fontId="0" fillId="0" borderId="13" xfId="0" applyBorder="1" applyAlignment="1">
      <alignment horizontal="left"/>
    </xf>
    <xf numFmtId="0" fontId="12" fillId="0" borderId="0" xfId="0" applyFont="1" applyBorder="1" applyAlignment="1">
      <alignment vertical="top"/>
    </xf>
    <xf numFmtId="0" fontId="0" fillId="0" borderId="0" xfId="0" applyAlignment="1">
      <alignment horizontal="right"/>
    </xf>
    <xf numFmtId="0" fontId="1" fillId="6" borderId="13" xfId="0" applyFont="1" applyFill="1" applyBorder="1" applyAlignment="1">
      <alignment wrapText="1"/>
    </xf>
    <xf numFmtId="166" fontId="8" fillId="0" borderId="0" xfId="62" applyNumberFormat="1" applyFont="1" applyFill="1" applyBorder="1" applyAlignment="1">
      <alignment horizontal="left" vertical="top" wrapText="1"/>
    </xf>
    <xf numFmtId="0" fontId="0" fillId="6" borderId="8" xfId="0" applyFill="1" applyBorder="1" applyAlignment="1">
      <alignment horizontal="left"/>
    </xf>
    <xf numFmtId="166" fontId="8" fillId="0" borderId="0" xfId="62" applyNumberFormat="1" applyFont="1" applyFill="1" applyBorder="1" applyAlignment="1">
      <alignment horizontal="right" vertical="top" wrapText="1"/>
    </xf>
    <xf numFmtId="0" fontId="0" fillId="6" borderId="9" xfId="0" applyFill="1" applyBorder="1" applyAlignment="1">
      <alignment horizontal="left"/>
    </xf>
    <xf numFmtId="0" fontId="7" fillId="5" borderId="8" xfId="18" applyFill="1" applyBorder="1" applyAlignment="1">
      <alignment vertical="center"/>
    </xf>
    <xf numFmtId="0" fontId="0" fillId="0" borderId="0" xfId="53" applyFont="1" applyFill="1" applyAlignment="1">
      <alignment horizontal="left" vertical="top"/>
    </xf>
    <xf numFmtId="0" fontId="8" fillId="5" borderId="8" xfId="0" applyFont="1" applyFill="1" applyBorder="1" applyAlignment="1">
      <alignment vertical="top"/>
    </xf>
    <xf numFmtId="0" fontId="0" fillId="0" borderId="0" xfId="48" applyFont="1" applyFill="1" applyAlignment="1">
      <alignment horizontal="left" vertical="top" wrapText="1"/>
    </xf>
    <xf numFmtId="0" fontId="18" fillId="0" borderId="0" xfId="48" applyFont="1" applyFill="1" applyAlignment="1">
      <alignment horizontal="left" vertical="top" wrapText="1"/>
    </xf>
    <xf numFmtId="9" fontId="18" fillId="0" borderId="0" xfId="48" applyNumberFormat="1" applyFont="1" applyFill="1" applyAlignment="1">
      <alignment horizontal="left" vertical="top" wrapText="1"/>
    </xf>
    <xf numFmtId="0" fontId="8" fillId="0" borderId="7" xfId="0" applyFont="1" applyBorder="1" applyAlignment="1">
      <alignment horizontal="right" wrapText="1"/>
    </xf>
    <xf numFmtId="9" fontId="8" fillId="0" borderId="7" xfId="0" applyNumberFormat="1" applyFont="1" applyBorder="1" applyAlignment="1">
      <alignment horizontal="right" wrapText="1"/>
    </xf>
    <xf numFmtId="0" fontId="7" fillId="0" borderId="0" xfId="18" applyFill="1"/>
    <xf numFmtId="0" fontId="12" fillId="0" borderId="0" xfId="0" applyFont="1"/>
    <xf numFmtId="0" fontId="1" fillId="6" borderId="3" xfId="0" applyFont="1" applyFill="1" applyBorder="1" applyAlignment="1">
      <alignment horizontal="right"/>
    </xf>
    <xf numFmtId="0" fontId="0" fillId="6" borderId="14" xfId="0" applyFont="1" applyFill="1" applyBorder="1" applyAlignment="1"/>
    <xf numFmtId="0" fontId="0" fillId="6" borderId="15" xfId="0" applyFont="1" applyFill="1" applyBorder="1" applyAlignment="1"/>
    <xf numFmtId="0" fontId="8" fillId="0" borderId="0" xfId="0" applyFont="1" applyBorder="1" applyAlignment="1">
      <alignment vertical="top"/>
    </xf>
    <xf numFmtId="0" fontId="1" fillId="6" borderId="16" xfId="0" applyFont="1" applyFill="1" applyBorder="1" applyAlignment="1">
      <alignment wrapText="1"/>
    </xf>
    <xf numFmtId="0" fontId="1" fillId="6" borderId="17" xfId="0" applyFont="1" applyFill="1" applyBorder="1" applyAlignment="1">
      <alignment wrapText="1"/>
    </xf>
    <xf numFmtId="0" fontId="8" fillId="0" borderId="0" xfId="0" applyFont="1" applyBorder="1" applyAlignment="1">
      <alignment horizontal="left" vertical="top"/>
    </xf>
    <xf numFmtId="10" fontId="8" fillId="0" borderId="0" xfId="62" applyNumberFormat="1" applyFont="1" applyBorder="1" applyAlignment="1">
      <alignment horizontal="right"/>
    </xf>
    <xf numFmtId="10" fontId="8" fillId="0" borderId="7" xfId="62" applyNumberFormat="1" applyFont="1" applyBorder="1" applyAlignment="1">
      <alignment horizontal="right"/>
    </xf>
    <xf numFmtId="0" fontId="8" fillId="6" borderId="9" xfId="0" applyFont="1" applyFill="1" applyBorder="1" applyAlignment="1">
      <alignment vertical="top"/>
    </xf>
    <xf numFmtId="1" fontId="8" fillId="0" borderId="10" xfId="62" applyNumberFormat="1" applyFont="1" applyBorder="1" applyAlignment="1">
      <alignment horizontal="right"/>
    </xf>
    <xf numFmtId="1" fontId="8" fillId="0" borderId="11" xfId="62" applyNumberFormat="1" applyFont="1" applyBorder="1" applyAlignment="1">
      <alignment horizontal="right"/>
    </xf>
    <xf numFmtId="0" fontId="8" fillId="0" borderId="18" xfId="62" applyNumberFormat="1" applyFont="1" applyBorder="1" applyAlignment="1">
      <alignment horizontal="right" wrapText="1"/>
    </xf>
    <xf numFmtId="165" fontId="8" fillId="0" borderId="0" xfId="0" applyNumberFormat="1" applyFont="1" applyFill="1" applyBorder="1" applyAlignment="1">
      <alignment horizontal="left" wrapText="1"/>
    </xf>
    <xf numFmtId="0" fontId="17" fillId="5" borderId="8" xfId="0" applyFont="1" applyFill="1" applyBorder="1" applyAlignment="1">
      <alignment vertical="top"/>
    </xf>
    <xf numFmtId="2" fontId="8" fillId="0" borderId="0" xfId="0" applyNumberFormat="1" applyFont="1" applyFill="1" applyBorder="1" applyAlignment="1">
      <alignment horizontal="left" wrapText="1"/>
    </xf>
    <xf numFmtId="2" fontId="8" fillId="0" borderId="18" xfId="0" applyNumberFormat="1" applyFont="1" applyBorder="1" applyAlignment="1">
      <alignment horizontal="right" wrapText="1"/>
    </xf>
    <xf numFmtId="0" fontId="1" fillId="6" borderId="0" xfId="0" applyFont="1" applyFill="1" applyAlignment="1">
      <alignment horizontal="right"/>
    </xf>
    <xf numFmtId="0" fontId="8" fillId="6" borderId="0" xfId="0" applyFont="1" applyFill="1" applyBorder="1" applyAlignment="1">
      <alignment horizontal="right"/>
    </xf>
    <xf numFmtId="0" fontId="0" fillId="6" borderId="0" xfId="0" applyFill="1" applyBorder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0" fontId="8" fillId="0" borderId="7" xfId="0" applyFont="1" applyFill="1" applyBorder="1" applyAlignment="1">
      <alignment horizontal="right"/>
    </xf>
    <xf numFmtId="0" fontId="8" fillId="5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10" fontId="19" fillId="7" borderId="0" xfId="62" applyNumberFormat="1" applyFont="1" applyFill="1" applyBorder="1" applyAlignment="1">
      <alignment horizontal="right"/>
    </xf>
    <xf numFmtId="0" fontId="19" fillId="7" borderId="7" xfId="0" applyFont="1" applyFill="1" applyBorder="1" applyAlignment="1">
      <alignment horizontal="right"/>
    </xf>
    <xf numFmtId="0" fontId="8" fillId="8" borderId="0" xfId="0" applyFont="1" applyFill="1" applyBorder="1" applyAlignment="1">
      <alignment horizontal="right"/>
    </xf>
    <xf numFmtId="167" fontId="19" fillId="7" borderId="0" xfId="0" applyNumberFormat="1" applyFont="1" applyFill="1" applyBorder="1" applyAlignment="1">
      <alignment horizontal="right"/>
    </xf>
    <xf numFmtId="2" fontId="19" fillId="7" borderId="0" xfId="0" applyNumberFormat="1" applyFont="1" applyFill="1" applyBorder="1" applyAlignment="1">
      <alignment horizontal="right" wrapText="1"/>
    </xf>
    <xf numFmtId="0" fontId="1" fillId="6" borderId="0" xfId="0" applyFont="1" applyFill="1" applyBorder="1" applyAlignment="1">
      <alignment horizontal="right" wrapText="1"/>
    </xf>
    <xf numFmtId="0" fontId="1" fillId="6" borderId="0" xfId="0" applyFont="1" applyFill="1" applyBorder="1" applyAlignment="1">
      <alignment wrapText="1"/>
    </xf>
    <xf numFmtId="0" fontId="20" fillId="7" borderId="0" xfId="0" applyFont="1" applyFill="1" applyBorder="1" applyAlignment="1">
      <alignment wrapText="1"/>
    </xf>
    <xf numFmtId="166" fontId="19" fillId="7" borderId="0" xfId="62" applyNumberFormat="1" applyFont="1" applyFill="1" applyBorder="1" applyAlignment="1">
      <alignment horizontal="right" vertical="top" wrapText="1"/>
    </xf>
    <xf numFmtId="0" fontId="19" fillId="7" borderId="8" xfId="0" applyFont="1" applyFill="1" applyBorder="1" applyAlignment="1">
      <alignment vertical="center"/>
    </xf>
    <xf numFmtId="14" fontId="19" fillId="7" borderId="7" xfId="0" applyNumberFormat="1" applyFont="1" applyFill="1" applyBorder="1" applyAlignment="1">
      <alignment horizontal="right"/>
    </xf>
    <xf numFmtId="14" fontId="8" fillId="0" borderId="0" xfId="0" applyNumberFormat="1" applyFont="1" applyBorder="1" applyAlignment="1">
      <alignment horizontal="left"/>
    </xf>
    <xf numFmtId="0" fontId="1" fillId="6" borderId="0" xfId="0" applyFont="1" applyFill="1" applyBorder="1" applyAlignment="1">
      <alignment horizontal="center"/>
    </xf>
    <xf numFmtId="0" fontId="20" fillId="7" borderId="0" xfId="0" applyFont="1" applyFill="1" applyBorder="1" applyAlignment="1">
      <alignment horizontal="center"/>
    </xf>
    <xf numFmtId="0" fontId="19" fillId="0" borderId="7" xfId="0" applyFont="1" applyFill="1" applyBorder="1" applyAlignment="1">
      <alignment horizontal="right"/>
    </xf>
    <xf numFmtId="0" fontId="8" fillId="7" borderId="7" xfId="0" applyFont="1" applyFill="1" applyBorder="1" applyAlignment="1">
      <alignment horizontal="right"/>
    </xf>
    <xf numFmtId="9" fontId="8" fillId="0" borderId="0" xfId="62" applyFont="1" applyBorder="1" applyAlignment="1">
      <alignment horizontal="right" wrapText="1"/>
    </xf>
  </cellXfs>
  <cellStyles count="63">
    <cellStyle name="BodyStyle00" xfId="1" xr:uid="{00000000-0005-0000-0000-000000000000}"/>
    <cellStyle name="BodyStyle00 2" xfId="19" xr:uid="{00000000-0005-0000-0000-000001000000}"/>
    <cellStyle name="BodyStyle01" xfId="2" xr:uid="{00000000-0005-0000-0000-000002000000}"/>
    <cellStyle name="BodyStyle01 2" xfId="20" xr:uid="{00000000-0005-0000-0000-000003000000}"/>
    <cellStyle name="BodyStyle010" xfId="15" xr:uid="{00000000-0005-0000-0000-000004000000}"/>
    <cellStyle name="BodyStyle010 2" xfId="21" xr:uid="{00000000-0005-0000-0000-000005000000}"/>
    <cellStyle name="BodyStyle010 3" xfId="22" xr:uid="{00000000-0005-0000-0000-000006000000}"/>
    <cellStyle name="BodyStyle011" xfId="23" xr:uid="{00000000-0005-0000-0000-000007000000}"/>
    <cellStyle name="BodyStyle011 2" xfId="24" xr:uid="{00000000-0005-0000-0000-000008000000}"/>
    <cellStyle name="BodyStyle011 3" xfId="25" xr:uid="{00000000-0005-0000-0000-000009000000}"/>
    <cellStyle name="BodyStyle011_aa_1" xfId="3" xr:uid="{00000000-0005-0000-0000-00000A000000}"/>
    <cellStyle name="BodyStyle012" xfId="26" xr:uid="{00000000-0005-0000-0000-00000B000000}"/>
    <cellStyle name="BodyStyle012 2" xfId="27" xr:uid="{00000000-0005-0000-0000-00000C000000}"/>
    <cellStyle name="BodyStyle012 3" xfId="28" xr:uid="{00000000-0005-0000-0000-00000D000000}"/>
    <cellStyle name="BodyStyle013" xfId="29" xr:uid="{00000000-0005-0000-0000-00000E000000}"/>
    <cellStyle name="BodyStyle013 2" xfId="30" xr:uid="{00000000-0005-0000-0000-00000F000000}"/>
    <cellStyle name="BodyStyle014" xfId="31" xr:uid="{00000000-0005-0000-0000-000010000000}"/>
    <cellStyle name="BodyStyle014 2" xfId="32" xr:uid="{00000000-0005-0000-0000-000011000000}"/>
    <cellStyle name="BodyStyle014_aa" xfId="4" xr:uid="{00000000-0005-0000-0000-000012000000}"/>
    <cellStyle name="BodyStyle015" xfId="33" xr:uid="{00000000-0005-0000-0000-000013000000}"/>
    <cellStyle name="BodyStyle015 2" xfId="34" xr:uid="{00000000-0005-0000-0000-000014000000}"/>
    <cellStyle name="BodyStyle015 3" xfId="35" xr:uid="{00000000-0005-0000-0000-000015000000}"/>
    <cellStyle name="BodyStyle015_aa" xfId="5" xr:uid="{00000000-0005-0000-0000-000016000000}"/>
    <cellStyle name="BodyStyle016" xfId="36" xr:uid="{00000000-0005-0000-0000-000017000000}"/>
    <cellStyle name="BodyStyle016 2" xfId="37" xr:uid="{00000000-0005-0000-0000-000018000000}"/>
    <cellStyle name="BodyStyle017" xfId="38" xr:uid="{00000000-0005-0000-0000-000019000000}"/>
    <cellStyle name="BodyStyle017 2" xfId="39" xr:uid="{00000000-0005-0000-0000-00001A000000}"/>
    <cellStyle name="BodyStyle018" xfId="40" xr:uid="{00000000-0005-0000-0000-00001B000000}"/>
    <cellStyle name="BodyStyle018 2" xfId="41" xr:uid="{00000000-0005-0000-0000-00001C000000}"/>
    <cellStyle name="BodyStyle019" xfId="42" xr:uid="{00000000-0005-0000-0000-00001D000000}"/>
    <cellStyle name="BodyStyle02" xfId="43" xr:uid="{00000000-0005-0000-0000-00001E000000}"/>
    <cellStyle name="BodyStyle02 2" xfId="44" xr:uid="{00000000-0005-0000-0000-00001F000000}"/>
    <cellStyle name="BodyStyle02_aa" xfId="6" xr:uid="{00000000-0005-0000-0000-000020000000}"/>
    <cellStyle name="BodyStyle03" xfId="45" xr:uid="{00000000-0005-0000-0000-000021000000}"/>
    <cellStyle name="BodyStyle03 2" xfId="46" xr:uid="{00000000-0005-0000-0000-000022000000}"/>
    <cellStyle name="BodyStyle03_aa" xfId="7" xr:uid="{00000000-0005-0000-0000-000023000000}"/>
    <cellStyle name="BodyStyle04" xfId="16" xr:uid="{00000000-0005-0000-0000-000024000000}"/>
    <cellStyle name="BodyStyle04 2" xfId="47" xr:uid="{00000000-0005-0000-0000-000025000000}"/>
    <cellStyle name="BodyStyle05" xfId="48" xr:uid="{00000000-0005-0000-0000-000026000000}"/>
    <cellStyle name="BodyStyle05 2" xfId="49" xr:uid="{00000000-0005-0000-0000-000027000000}"/>
    <cellStyle name="BodyStyle05_aa_1" xfId="8" xr:uid="{00000000-0005-0000-0000-000028000000}"/>
    <cellStyle name="BodyStyle06" xfId="9" xr:uid="{00000000-0005-0000-0000-000029000000}"/>
    <cellStyle name="BodyStyle06 2" xfId="10" xr:uid="{00000000-0005-0000-0000-00002A000000}"/>
    <cellStyle name="BodyStyle06 3" xfId="11" xr:uid="{00000000-0005-0000-0000-00002B000000}"/>
    <cellStyle name="BodyStyle06 4" xfId="12" xr:uid="{00000000-0005-0000-0000-00002C000000}"/>
    <cellStyle name="BodyStyle06 4 2" xfId="13" xr:uid="{00000000-0005-0000-0000-00002D000000}"/>
    <cellStyle name="BodyStyle06 5" xfId="50" xr:uid="{00000000-0005-0000-0000-00002E000000}"/>
    <cellStyle name="BodyStyle07" xfId="17" xr:uid="{00000000-0005-0000-0000-00002F000000}"/>
    <cellStyle name="BodyStyle07 2" xfId="51" xr:uid="{00000000-0005-0000-0000-000030000000}"/>
    <cellStyle name="BodyStyle07_aa_1" xfId="52" xr:uid="{00000000-0005-0000-0000-000031000000}"/>
    <cellStyle name="BodyStyle08" xfId="53" xr:uid="{00000000-0005-0000-0000-000032000000}"/>
    <cellStyle name="BodyStyle08 2" xfId="54" xr:uid="{00000000-0005-0000-0000-000033000000}"/>
    <cellStyle name="BodyStyle08 3" xfId="55" xr:uid="{00000000-0005-0000-0000-000034000000}"/>
    <cellStyle name="BodyStyle08 4" xfId="56" xr:uid="{00000000-0005-0000-0000-000035000000}"/>
    <cellStyle name="BodyStyle08_aa_1" xfId="14" xr:uid="{00000000-0005-0000-0000-000036000000}"/>
    <cellStyle name="BodyStyle09" xfId="57" xr:uid="{00000000-0005-0000-0000-000037000000}"/>
    <cellStyle name="BodyStyle09 2" xfId="58" xr:uid="{00000000-0005-0000-0000-000038000000}"/>
    <cellStyle name="Hyperlink" xfId="18" builtinId="8"/>
    <cellStyle name="Normal" xfId="0" builtinId="0"/>
    <cellStyle name="Normal 2" xfId="59" xr:uid="{00000000-0005-0000-0000-00003B000000}"/>
    <cellStyle name="Normal 3" xfId="60" xr:uid="{00000000-0005-0000-0000-00003C000000}"/>
    <cellStyle name="Normal 4" xfId="61" xr:uid="{00000000-0005-0000-0000-00003D000000}"/>
    <cellStyle name="Percent" xfId="62" builtinId="5"/>
  </cellStyles>
  <dxfs count="78"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00FF"/>
      <color rgb="FF0033CC"/>
      <color rgb="FFBFBFBF"/>
      <color rgb="FFA7A7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alimo, Daniel" id="{DF905993-461F-408F-B9EA-6C0E31240C98}" userId="S::Daniel.Lalimo@aig.com::becd7096-440b-4181-af8c-b169bf4d437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5" dT="2020-06-25T21:24:34.22" personId="{DF905993-461F-408F-B9EA-6C0E31240C98}" id="{2F2B8C94-F0A2-41EA-8722-769879B54899}">
    <text>We added these inputs so we could experiment with different timing approximations here and there in the CARVM calculator.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workbookViewId="0"/>
  </sheetViews>
  <sheetFormatPr defaultRowHeight="12.75" x14ac:dyDescent="0.2"/>
  <cols>
    <col min="1" max="1" width="3.28515625" customWidth="1"/>
    <col min="2" max="2" width="11.85546875" customWidth="1"/>
    <col min="3" max="3" width="26" customWidth="1"/>
    <col min="4" max="4" width="80" customWidth="1"/>
  </cols>
  <sheetData>
    <row r="1" spans="1:4" ht="20.25" customHeight="1" x14ac:dyDescent="0.2">
      <c r="A1" s="32" t="s">
        <v>2</v>
      </c>
      <c r="B1" s="33" t="s">
        <v>3</v>
      </c>
      <c r="C1" s="33" t="s">
        <v>4</v>
      </c>
      <c r="D1" s="34" t="s">
        <v>5</v>
      </c>
    </row>
    <row r="2" spans="1:4" x14ac:dyDescent="0.2">
      <c r="A2" s="1"/>
      <c r="B2" s="2"/>
      <c r="C2" s="2"/>
      <c r="D2" s="3"/>
    </row>
    <row r="3" spans="1:4" x14ac:dyDescent="0.2">
      <c r="A3" s="1"/>
      <c r="B3" s="2"/>
      <c r="C3" s="2"/>
      <c r="D3" s="3"/>
    </row>
    <row r="4" spans="1:4" x14ac:dyDescent="0.2">
      <c r="A4" s="1"/>
      <c r="B4" s="2"/>
      <c r="C4" s="2"/>
      <c r="D4" s="3"/>
    </row>
    <row r="5" spans="1:4" x14ac:dyDescent="0.2">
      <c r="A5" s="1"/>
      <c r="B5" s="2"/>
      <c r="C5" s="2"/>
      <c r="D5" s="3"/>
    </row>
    <row r="6" spans="1:4" x14ac:dyDescent="0.2">
      <c r="A6" s="1"/>
      <c r="B6" s="2"/>
      <c r="C6" s="2"/>
      <c r="D6" s="3"/>
    </row>
    <row r="7" spans="1:4" x14ac:dyDescent="0.2">
      <c r="A7" s="1"/>
      <c r="B7" s="2"/>
      <c r="C7" s="2"/>
      <c r="D7" s="3"/>
    </row>
    <row r="8" spans="1:4" x14ac:dyDescent="0.2">
      <c r="A8" s="1"/>
      <c r="B8" s="4"/>
      <c r="C8" s="4"/>
      <c r="D8" s="3"/>
    </row>
    <row r="9" spans="1:4" x14ac:dyDescent="0.2">
      <c r="A9" s="1"/>
      <c r="B9" s="4"/>
      <c r="C9" s="4"/>
      <c r="D9" s="3"/>
    </row>
    <row r="10" spans="1:4" x14ac:dyDescent="0.2">
      <c r="A10" s="1"/>
      <c r="B10" s="4"/>
      <c r="C10" s="4"/>
      <c r="D10" s="3"/>
    </row>
    <row r="11" spans="1:4" x14ac:dyDescent="0.2">
      <c r="A11" s="1"/>
      <c r="B11" s="4"/>
      <c r="C11" s="4"/>
      <c r="D11" s="3"/>
    </row>
    <row r="12" spans="1:4" x14ac:dyDescent="0.2">
      <c r="A12" s="1"/>
      <c r="B12" s="4"/>
      <c r="C12" s="4"/>
      <c r="D12" s="3"/>
    </row>
    <row r="13" spans="1:4" x14ac:dyDescent="0.2">
      <c r="A13" s="1"/>
      <c r="B13" s="4"/>
      <c r="C13" s="4"/>
      <c r="D13" s="3"/>
    </row>
    <row r="14" spans="1:4" x14ac:dyDescent="0.2">
      <c r="A14" s="1"/>
      <c r="B14" s="4"/>
      <c r="C14" s="4"/>
      <c r="D14" s="3"/>
    </row>
    <row r="15" spans="1:4" x14ac:dyDescent="0.2">
      <c r="A15" s="1"/>
      <c r="B15" s="4"/>
      <c r="C15" s="4"/>
      <c r="D15" s="3"/>
    </row>
    <row r="16" spans="1:4" x14ac:dyDescent="0.2">
      <c r="A16" s="1"/>
      <c r="B16" s="4"/>
      <c r="C16" s="4"/>
      <c r="D16" s="3"/>
    </row>
    <row r="17" spans="1:4" x14ac:dyDescent="0.2">
      <c r="A17" s="1"/>
      <c r="B17" s="4"/>
      <c r="C17" s="4"/>
      <c r="D17" s="3"/>
    </row>
    <row r="18" spans="1:4" x14ac:dyDescent="0.2">
      <c r="A18" s="1"/>
      <c r="B18" s="4"/>
      <c r="C18" s="4"/>
      <c r="D18" s="3"/>
    </row>
    <row r="19" spans="1:4" x14ac:dyDescent="0.2">
      <c r="A19" s="1"/>
      <c r="B19" s="4"/>
      <c r="C19" s="4"/>
      <c r="D19" s="3"/>
    </row>
    <row r="20" spans="1:4" x14ac:dyDescent="0.2">
      <c r="A20" s="1"/>
      <c r="B20" s="4"/>
      <c r="C20" s="4"/>
      <c r="D20" s="3"/>
    </row>
    <row r="21" spans="1:4" x14ac:dyDescent="0.2">
      <c r="A21" s="1"/>
      <c r="B21" s="4"/>
      <c r="C21" s="4"/>
      <c r="D21" s="3"/>
    </row>
    <row r="22" spans="1:4" x14ac:dyDescent="0.2">
      <c r="A22" s="1"/>
      <c r="B22" s="4"/>
      <c r="C22" s="4"/>
      <c r="D22" s="3"/>
    </row>
    <row r="23" spans="1:4" x14ac:dyDescent="0.2">
      <c r="A23" s="1"/>
      <c r="B23" s="4"/>
      <c r="C23" s="4"/>
      <c r="D23" s="3"/>
    </row>
    <row r="24" spans="1:4" x14ac:dyDescent="0.2">
      <c r="A24" s="1"/>
      <c r="B24" s="4"/>
      <c r="C24" s="4"/>
      <c r="D24" s="3"/>
    </row>
    <row r="25" spans="1:4" x14ac:dyDescent="0.2">
      <c r="A25" s="1"/>
      <c r="B25" s="4"/>
      <c r="C25" s="4"/>
      <c r="D25" s="3"/>
    </row>
    <row r="26" spans="1:4" x14ac:dyDescent="0.2">
      <c r="A26" s="1"/>
      <c r="B26" s="4"/>
      <c r="C26" s="4"/>
      <c r="D26" s="3"/>
    </row>
    <row r="27" spans="1:4" x14ac:dyDescent="0.2">
      <c r="A27" s="1"/>
      <c r="B27" s="4"/>
      <c r="C27" s="4"/>
      <c r="D27" s="3"/>
    </row>
    <row r="28" spans="1:4" x14ac:dyDescent="0.2">
      <c r="A28" s="1"/>
      <c r="B28" s="4"/>
      <c r="C28" s="4"/>
      <c r="D28" s="3"/>
    </row>
    <row r="29" spans="1:4" x14ac:dyDescent="0.2">
      <c r="A29" s="1"/>
      <c r="B29" s="4"/>
      <c r="C29" s="4"/>
      <c r="D29" s="3"/>
    </row>
    <row r="30" spans="1:4" x14ac:dyDescent="0.2">
      <c r="A30" s="1"/>
      <c r="B30" s="4"/>
      <c r="C30" s="4"/>
      <c r="D30" s="3"/>
    </row>
    <row r="31" spans="1:4" x14ac:dyDescent="0.2">
      <c r="A31" s="1"/>
      <c r="B31" s="4"/>
      <c r="C31" s="4"/>
      <c r="D31" s="3"/>
    </row>
    <row r="32" spans="1:4" x14ac:dyDescent="0.2">
      <c r="A32" s="1"/>
      <c r="B32" s="4"/>
      <c r="C32" s="4"/>
      <c r="D32" s="3"/>
    </row>
    <row r="33" spans="1:4" x14ac:dyDescent="0.2">
      <c r="A33" s="1"/>
      <c r="B33" s="4"/>
      <c r="C33" s="4"/>
      <c r="D33" s="3"/>
    </row>
    <row r="34" spans="1:4" x14ac:dyDescent="0.2">
      <c r="A34" s="1"/>
      <c r="B34" s="4"/>
      <c r="C34" s="4"/>
      <c r="D34" s="3"/>
    </row>
    <row r="35" spans="1:4" x14ac:dyDescent="0.2">
      <c r="A35" s="1"/>
      <c r="B35" s="4"/>
      <c r="C35" s="4"/>
      <c r="D35" s="3"/>
    </row>
    <row r="36" spans="1:4" x14ac:dyDescent="0.2">
      <c r="A36" s="1"/>
      <c r="B36" s="4"/>
      <c r="C36" s="4"/>
      <c r="D36" s="3"/>
    </row>
    <row r="37" spans="1:4" x14ac:dyDescent="0.2">
      <c r="A37" s="1"/>
      <c r="B37" s="4"/>
      <c r="C37" s="4"/>
      <c r="D37" s="3"/>
    </row>
    <row r="38" spans="1:4" x14ac:dyDescent="0.2">
      <c r="A38" s="1"/>
      <c r="B38" s="4"/>
      <c r="C38" s="4"/>
      <c r="D38" s="3"/>
    </row>
    <row r="39" spans="1:4" x14ac:dyDescent="0.2">
      <c r="A39" s="1"/>
      <c r="B39" s="4"/>
      <c r="C39" s="4"/>
      <c r="D39" s="3"/>
    </row>
    <row r="40" spans="1:4" x14ac:dyDescent="0.2">
      <c r="A40" s="1"/>
      <c r="B40" s="4"/>
      <c r="C40" s="4"/>
      <c r="D40" s="3"/>
    </row>
    <row r="41" spans="1:4" x14ac:dyDescent="0.2">
      <c r="A41" s="1"/>
      <c r="B41" s="4"/>
      <c r="C41" s="4"/>
      <c r="D41" s="3"/>
    </row>
    <row r="42" spans="1:4" x14ac:dyDescent="0.2">
      <c r="A42" s="1"/>
      <c r="B42" s="4"/>
      <c r="C42" s="4"/>
      <c r="D42" s="3"/>
    </row>
    <row r="43" spans="1:4" x14ac:dyDescent="0.2">
      <c r="A43" s="1"/>
      <c r="B43" s="4"/>
      <c r="C43" s="4"/>
      <c r="D43" s="3"/>
    </row>
    <row r="44" spans="1:4" x14ac:dyDescent="0.2">
      <c r="A44" s="1"/>
      <c r="B44" s="4"/>
      <c r="C44" s="4"/>
      <c r="D44" s="3"/>
    </row>
    <row r="45" spans="1:4" x14ac:dyDescent="0.2">
      <c r="A45" s="1"/>
      <c r="B45" s="4"/>
      <c r="C45" s="4"/>
      <c r="D45" s="3"/>
    </row>
    <row r="46" spans="1:4" x14ac:dyDescent="0.2">
      <c r="A46" s="1"/>
      <c r="B46" s="4"/>
      <c r="C46" s="4"/>
      <c r="D46" s="3"/>
    </row>
    <row r="47" spans="1:4" x14ac:dyDescent="0.2">
      <c r="A47" s="1"/>
      <c r="B47" s="4"/>
      <c r="C47" s="4"/>
      <c r="D47" s="3"/>
    </row>
    <row r="48" spans="1:4" x14ac:dyDescent="0.2">
      <c r="A48" s="1"/>
      <c r="B48" s="4"/>
      <c r="C48" s="4"/>
      <c r="D48" s="3"/>
    </row>
    <row r="49" spans="1:4" x14ac:dyDescent="0.2">
      <c r="A49" s="1"/>
      <c r="B49" s="4"/>
      <c r="C49" s="4"/>
      <c r="D49" s="3"/>
    </row>
    <row r="50" spans="1:4" x14ac:dyDescent="0.2">
      <c r="A50" s="1"/>
      <c r="B50" s="4"/>
      <c r="C50" s="4"/>
      <c r="D50" s="3"/>
    </row>
    <row r="51" spans="1:4" x14ac:dyDescent="0.2">
      <c r="A51" s="1"/>
      <c r="B51" s="4"/>
      <c r="C51" s="4"/>
      <c r="D51" s="3"/>
    </row>
    <row r="52" spans="1:4" x14ac:dyDescent="0.2">
      <c r="A52" s="1"/>
      <c r="B52" s="4"/>
      <c r="C52" s="4"/>
      <c r="D52" s="3"/>
    </row>
    <row r="53" spans="1:4" x14ac:dyDescent="0.2">
      <c r="A53" s="1"/>
      <c r="B53" s="4"/>
      <c r="C53" s="4"/>
      <c r="D53" s="3"/>
    </row>
    <row r="54" spans="1:4" x14ac:dyDescent="0.2">
      <c r="A54" s="1"/>
      <c r="B54" s="4"/>
      <c r="C54" s="4"/>
      <c r="D54" s="3"/>
    </row>
    <row r="55" spans="1:4" x14ac:dyDescent="0.2">
      <c r="A55" s="1"/>
      <c r="B55" s="4"/>
      <c r="C55" s="4"/>
      <c r="D55" s="3"/>
    </row>
    <row r="56" spans="1:4" x14ac:dyDescent="0.2">
      <c r="A56" s="1"/>
      <c r="B56" s="4"/>
      <c r="C56" s="4"/>
      <c r="D56" s="3"/>
    </row>
    <row r="57" spans="1:4" x14ac:dyDescent="0.2">
      <c r="A57" s="1"/>
      <c r="B57" s="4"/>
      <c r="C57" s="4"/>
      <c r="D57" s="3"/>
    </row>
    <row r="58" spans="1:4" x14ac:dyDescent="0.2">
      <c r="A58" s="1"/>
      <c r="B58" s="4"/>
      <c r="C58" s="4"/>
      <c r="D58" s="3"/>
    </row>
    <row r="59" spans="1:4" x14ac:dyDescent="0.2">
      <c r="A59" s="1"/>
      <c r="B59" s="4"/>
      <c r="C59" s="4"/>
      <c r="D59" s="3"/>
    </row>
    <row r="60" spans="1:4" x14ac:dyDescent="0.2">
      <c r="A60" s="1"/>
      <c r="B60" s="4"/>
      <c r="C60" s="4"/>
      <c r="D60" s="3"/>
    </row>
    <row r="61" spans="1:4" x14ac:dyDescent="0.2">
      <c r="A61" s="1"/>
      <c r="B61" s="4"/>
      <c r="C61" s="4"/>
      <c r="D61" s="3"/>
    </row>
    <row r="62" spans="1:4" x14ac:dyDescent="0.2">
      <c r="A62" s="1"/>
      <c r="B62" s="4"/>
      <c r="C62" s="4"/>
      <c r="D62" s="3"/>
    </row>
    <row r="63" spans="1:4" x14ac:dyDescent="0.2">
      <c r="A63" s="1"/>
      <c r="B63" s="4"/>
      <c r="C63" s="4"/>
      <c r="D63" s="3"/>
    </row>
    <row r="64" spans="1:4" x14ac:dyDescent="0.2">
      <c r="A64" s="1"/>
      <c r="B64" s="4"/>
      <c r="C64" s="4"/>
      <c r="D64" s="3"/>
    </row>
    <row r="65" spans="1:4" x14ac:dyDescent="0.2">
      <c r="A65" s="1"/>
      <c r="B65" s="4"/>
      <c r="C65" s="4"/>
      <c r="D65" s="3"/>
    </row>
    <row r="66" spans="1:4" x14ac:dyDescent="0.2">
      <c r="A66" s="1"/>
      <c r="B66" s="4"/>
      <c r="C66" s="4"/>
      <c r="D66" s="3"/>
    </row>
    <row r="67" spans="1:4" x14ac:dyDescent="0.2">
      <c r="A67" s="1"/>
      <c r="B67" s="4"/>
      <c r="C67" s="4"/>
      <c r="D67" s="3"/>
    </row>
    <row r="68" spans="1:4" x14ac:dyDescent="0.2">
      <c r="A68" s="1"/>
      <c r="B68" s="4"/>
      <c r="C68" s="4"/>
      <c r="D68" s="3"/>
    </row>
    <row r="69" spans="1:4" x14ac:dyDescent="0.2">
      <c r="A69" s="1"/>
      <c r="B69" s="4"/>
      <c r="C69" s="4"/>
      <c r="D69" s="3"/>
    </row>
    <row r="70" spans="1:4" x14ac:dyDescent="0.2">
      <c r="A70" s="1"/>
      <c r="B70" s="4"/>
      <c r="C70" s="4"/>
      <c r="D70" s="3"/>
    </row>
    <row r="71" spans="1:4" x14ac:dyDescent="0.2">
      <c r="A71" s="1"/>
      <c r="B71" s="4"/>
      <c r="C71" s="4"/>
      <c r="D71" s="3"/>
    </row>
    <row r="72" spans="1:4" x14ac:dyDescent="0.2">
      <c r="A72" s="1"/>
      <c r="B72" s="4"/>
      <c r="C72" s="4"/>
      <c r="D72" s="3"/>
    </row>
    <row r="73" spans="1:4" x14ac:dyDescent="0.2">
      <c r="A73" s="1"/>
      <c r="B73" s="4"/>
      <c r="C73" s="4"/>
      <c r="D73" s="3"/>
    </row>
    <row r="74" spans="1:4" x14ac:dyDescent="0.2">
      <c r="A74" s="1"/>
      <c r="B74" s="4"/>
      <c r="C74" s="4"/>
      <c r="D74" s="3"/>
    </row>
    <row r="75" spans="1:4" x14ac:dyDescent="0.2">
      <c r="A75" s="1"/>
      <c r="B75" s="4"/>
      <c r="C75" s="4"/>
      <c r="D75" s="3"/>
    </row>
    <row r="76" spans="1:4" x14ac:dyDescent="0.2">
      <c r="A76" s="1"/>
      <c r="B76" s="4"/>
      <c r="C76" s="4"/>
      <c r="D76" s="3"/>
    </row>
    <row r="77" spans="1:4" x14ac:dyDescent="0.2">
      <c r="A77" s="1"/>
      <c r="B77" s="4"/>
      <c r="C77" s="4"/>
      <c r="D77" s="3"/>
    </row>
    <row r="78" spans="1:4" x14ac:dyDescent="0.2">
      <c r="A78" s="1"/>
      <c r="B78" s="4"/>
      <c r="C78" s="4"/>
      <c r="D78" s="3"/>
    </row>
    <row r="79" spans="1:4" x14ac:dyDescent="0.2">
      <c r="A79" s="1"/>
      <c r="B79" s="4"/>
      <c r="C79" s="4"/>
      <c r="D79" s="3"/>
    </row>
    <row r="80" spans="1:4" x14ac:dyDescent="0.2">
      <c r="A80" s="1"/>
      <c r="B80" s="4"/>
      <c r="C80" s="4"/>
      <c r="D80" s="3"/>
    </row>
    <row r="81" spans="1:4" x14ac:dyDescent="0.2">
      <c r="A81" s="1"/>
      <c r="B81" s="4"/>
      <c r="C81" s="4"/>
      <c r="D81" s="3"/>
    </row>
    <row r="82" spans="1:4" x14ac:dyDescent="0.2">
      <c r="A82" s="1"/>
      <c r="B82" s="4"/>
      <c r="C82" s="4"/>
      <c r="D82" s="3"/>
    </row>
    <row r="83" spans="1:4" x14ac:dyDescent="0.2">
      <c r="A83" s="1"/>
      <c r="B83" s="4"/>
      <c r="C83" s="4"/>
      <c r="D83" s="3"/>
    </row>
    <row r="84" spans="1:4" x14ac:dyDescent="0.2">
      <c r="A84" s="1"/>
      <c r="B84" s="4"/>
      <c r="C84" s="4"/>
      <c r="D84" s="3"/>
    </row>
    <row r="85" spans="1:4" x14ac:dyDescent="0.2">
      <c r="A85" s="1"/>
      <c r="B85" s="4"/>
      <c r="C85" s="4"/>
      <c r="D85" s="3"/>
    </row>
    <row r="86" spans="1:4" x14ac:dyDescent="0.2">
      <c r="A86" s="1"/>
      <c r="B86" s="4"/>
      <c r="C86" s="4"/>
      <c r="D86" s="3"/>
    </row>
    <row r="87" spans="1:4" x14ac:dyDescent="0.2">
      <c r="A87" s="1"/>
      <c r="B87" s="4"/>
      <c r="C87" s="4"/>
      <c r="D87" s="3"/>
    </row>
    <row r="88" spans="1:4" x14ac:dyDescent="0.2">
      <c r="A88" s="1"/>
      <c r="B88" s="4"/>
      <c r="C88" s="4"/>
      <c r="D88" s="3"/>
    </row>
    <row r="89" spans="1:4" x14ac:dyDescent="0.2">
      <c r="A89" s="1"/>
      <c r="B89" s="4"/>
      <c r="C89" s="4"/>
      <c r="D89" s="3"/>
    </row>
    <row r="90" spans="1:4" x14ac:dyDescent="0.2">
      <c r="A90" s="1"/>
      <c r="B90" s="4"/>
      <c r="C90" s="4"/>
      <c r="D90" s="3"/>
    </row>
    <row r="91" spans="1:4" x14ac:dyDescent="0.2">
      <c r="A91" s="1"/>
      <c r="B91" s="4"/>
      <c r="C91" s="4"/>
      <c r="D91" s="3"/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pageSetUpPr fitToPage="1"/>
  </sheetPr>
  <dimension ref="A1:E35"/>
  <sheetViews>
    <sheetView workbookViewId="0"/>
  </sheetViews>
  <sheetFormatPr defaultColWidth="9.140625" defaultRowHeight="12.75" x14ac:dyDescent="0.2"/>
  <cols>
    <col min="1" max="1" width="32.140625" style="11" customWidth="1"/>
    <col min="2" max="2" width="25.85546875" style="11" customWidth="1"/>
    <col min="3" max="3" width="54.85546875" style="11" customWidth="1"/>
    <col min="4" max="4" width="61.140625" style="11" customWidth="1"/>
    <col min="5" max="5" width="39.140625" style="11" customWidth="1"/>
    <col min="6" max="16384" width="9.140625" style="11"/>
  </cols>
  <sheetData>
    <row r="1" spans="1:5" s="15" customFormat="1" x14ac:dyDescent="0.2">
      <c r="A1" s="15" t="s">
        <v>41</v>
      </c>
      <c r="B1" s="15" t="s">
        <v>42</v>
      </c>
      <c r="C1" s="15" t="s">
        <v>40</v>
      </c>
      <c r="D1" s="15" t="s">
        <v>39</v>
      </c>
      <c r="E1" s="15" t="s">
        <v>38</v>
      </c>
    </row>
    <row r="2" spans="1:5" x14ac:dyDescent="0.2">
      <c r="A2" t="s">
        <v>37</v>
      </c>
      <c r="B2" t="s">
        <v>36</v>
      </c>
      <c r="C2" s="11" t="s">
        <v>35</v>
      </c>
      <c r="D2" s="14" t="s">
        <v>34</v>
      </c>
      <c r="E2" s="14" t="s">
        <v>33</v>
      </c>
    </row>
    <row r="3" spans="1:5" x14ac:dyDescent="0.2">
      <c r="A3" t="s">
        <v>32</v>
      </c>
      <c r="B3" t="s">
        <v>31</v>
      </c>
      <c r="C3" s="11" t="s">
        <v>30</v>
      </c>
      <c r="D3" s="14" t="s">
        <v>29</v>
      </c>
    </row>
    <row r="4" spans="1:5" x14ac:dyDescent="0.2">
      <c r="A4" t="s">
        <v>28</v>
      </c>
      <c r="B4" t="s">
        <v>27</v>
      </c>
      <c r="C4" s="11" t="s">
        <v>26</v>
      </c>
      <c r="D4" s="14" t="s">
        <v>25</v>
      </c>
    </row>
    <row r="5" spans="1:5" x14ac:dyDescent="0.2">
      <c r="A5" t="s">
        <v>24</v>
      </c>
      <c r="B5" t="s">
        <v>24</v>
      </c>
      <c r="C5" s="14" t="s">
        <v>23</v>
      </c>
      <c r="D5" s="14" t="s">
        <v>22</v>
      </c>
    </row>
    <row r="6" spans="1:5" x14ac:dyDescent="0.2">
      <c r="A6" t="s">
        <v>20</v>
      </c>
      <c r="B6" t="s">
        <v>20</v>
      </c>
      <c r="C6" s="14" t="s">
        <v>23</v>
      </c>
      <c r="D6" s="14" t="s">
        <v>22</v>
      </c>
    </row>
    <row r="7" spans="1:5" x14ac:dyDescent="0.2">
      <c r="A7" t="s">
        <v>21</v>
      </c>
      <c r="B7" t="s">
        <v>20</v>
      </c>
      <c r="C7" s="14" t="s">
        <v>19</v>
      </c>
      <c r="D7" s="14" t="s">
        <v>18</v>
      </c>
    </row>
    <row r="8" spans="1:5" x14ac:dyDescent="0.2">
      <c r="A8"/>
      <c r="B8"/>
      <c r="C8" s="14"/>
    </row>
    <row r="9" spans="1:5" x14ac:dyDescent="0.2">
      <c r="A9" t="s">
        <v>17</v>
      </c>
      <c r="B9" t="s">
        <v>16</v>
      </c>
      <c r="C9" s="11" t="s">
        <v>15</v>
      </c>
    </row>
    <row r="10" spans="1:5" x14ac:dyDescent="0.2">
      <c r="A10" s="11" t="s">
        <v>14</v>
      </c>
      <c r="B10" s="11" t="s">
        <v>13</v>
      </c>
      <c r="C10" s="11" t="s">
        <v>12</v>
      </c>
      <c r="D10" s="14" t="s">
        <v>11</v>
      </c>
    </row>
    <row r="35" spans="1:3" x14ac:dyDescent="0.2">
      <c r="A35" s="14"/>
      <c r="B35" s="14"/>
      <c r="C35" s="14"/>
    </row>
  </sheetData>
  <pageMargins left="0.25" right="0.1" top="0.75" bottom="0.75" header="0.3" footer="0.3"/>
  <pageSetup scale="64" fitToHeight="30" orientation="landscape" r:id="rId1"/>
  <headerFooter>
    <oddHeader>&amp;CUSLMS - External Source Design Details</oddHeader>
    <oddFooter>&amp;L&amp;D&amp;C&amp;F&amp;RPage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5"/>
  <sheetViews>
    <sheetView showGridLines="0" workbookViewId="0"/>
  </sheetViews>
  <sheetFormatPr defaultColWidth="15.7109375" defaultRowHeight="12.75" x14ac:dyDescent="0.2"/>
  <cols>
    <col min="1" max="1" width="15.7109375" customWidth="1"/>
    <col min="2" max="2" width="30.7109375" customWidth="1"/>
  </cols>
  <sheetData>
    <row r="1" spans="1:4" ht="15.75" customHeight="1" x14ac:dyDescent="0.2">
      <c r="B1" s="5" t="s">
        <v>8</v>
      </c>
    </row>
    <row r="2" spans="1:4" ht="12.75" customHeight="1" x14ac:dyDescent="0.2">
      <c r="A2" s="7"/>
      <c r="B2" s="7"/>
    </row>
    <row r="3" spans="1:4" x14ac:dyDescent="0.2">
      <c r="A3" s="6" t="s">
        <v>54</v>
      </c>
    </row>
    <row r="4" spans="1:4" x14ac:dyDescent="0.2">
      <c r="B4" s="6" t="s">
        <v>55</v>
      </c>
      <c r="D4" s="6"/>
    </row>
    <row r="5" spans="1:4" x14ac:dyDescent="0.2">
      <c r="B5" s="6" t="s">
        <v>0</v>
      </c>
    </row>
  </sheetData>
  <hyperlinks>
    <hyperlink ref="A3" location="Valuation!B1" display="Valuation" xr:uid="{00000000-0004-0000-0200-000000000000}"/>
    <hyperlink ref="B4" location="Valuation!B7" display="Reserve " xr:uid="{00000000-0004-0000-0200-000001000000}"/>
    <hyperlink ref="B5" location="Valuation!B40" display="Reserve : Reports" xr:uid="{00000000-0004-0000-0200-000002000000}"/>
  </hyperlinks>
  <pageMargins left="0.7" right="0.7" top="0.75" bottom="0.75" header="0.3" footer="0.3"/>
  <pageSetup orientation="portrait" r:id="rId1"/>
  <customProperties>
    <customPr name="watsonwyatt_sheetdata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O180"/>
  <sheetViews>
    <sheetView showGridLines="0" tabSelected="1" zoomScaleNormal="100" workbookViewId="0">
      <pane xSplit="2" ySplit="5" topLeftCell="C6" activePane="bottomRight" state="frozen"/>
      <selection activeCell="C6" sqref="C6"/>
      <selection pane="topRight" activeCell="C6" sqref="C6"/>
      <selection pane="bottomLeft" activeCell="C6" sqref="C6"/>
      <selection pane="bottomRight" activeCell="K16" sqref="K16"/>
    </sheetView>
  </sheetViews>
  <sheetFormatPr defaultColWidth="15.7109375" defaultRowHeight="12.75" customHeight="1" x14ac:dyDescent="0.2"/>
  <cols>
    <col min="1" max="1" width="21.42578125" style="24" bestFit="1" customWidth="1"/>
    <col min="2" max="2" width="32.5703125" style="24" customWidth="1"/>
    <col min="3" max="3" width="15.7109375" style="24"/>
    <col min="4" max="4" width="21.140625" style="24" customWidth="1"/>
    <col min="5" max="16384" width="15.7109375" style="24"/>
  </cols>
  <sheetData>
    <row r="1" spans="1:15" s="26" customFormat="1" ht="15.75" x14ac:dyDescent="0.2">
      <c r="A1" s="23" t="s">
        <v>43</v>
      </c>
      <c r="B1" s="12" t="s">
        <v>66</v>
      </c>
      <c r="C1" s="24"/>
      <c r="D1" s="24"/>
      <c r="E1" s="25"/>
      <c r="F1" s="24"/>
      <c r="G1" s="24"/>
      <c r="H1" s="24"/>
      <c r="I1" s="24"/>
      <c r="J1" s="24"/>
      <c r="K1" s="24"/>
      <c r="L1" s="24"/>
      <c r="M1" s="24"/>
      <c r="N1" s="24"/>
      <c r="O1" s="24"/>
    </row>
    <row r="2" spans="1:15" s="26" customFormat="1" ht="12.75" customHeight="1" x14ac:dyDescent="0.2">
      <c r="A2" s="9"/>
      <c r="B2" s="9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</row>
    <row r="3" spans="1:15" s="26" customFormat="1" ht="12.75" customHeight="1" x14ac:dyDescent="0.2">
      <c r="A3" s="24"/>
      <c r="B3" s="25" t="str">
        <f ca="1">GetNameRange(B5)</f>
        <v>FIAValuation</v>
      </c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</row>
    <row r="4" spans="1:15" ht="12.75" customHeight="1" x14ac:dyDescent="0.2">
      <c r="A4" s="35" t="s">
        <v>9</v>
      </c>
      <c r="B4" s="36" t="s">
        <v>48</v>
      </c>
      <c r="C4" s="37" t="s">
        <v>10</v>
      </c>
      <c r="D4" s="38" t="s">
        <v>50</v>
      </c>
      <c r="E4" s="27"/>
    </row>
    <row r="5" spans="1:15" ht="12.75" customHeight="1" thickBot="1" x14ac:dyDescent="0.25">
      <c r="A5" s="39"/>
      <c r="B5" s="40" t="s">
        <v>1</v>
      </c>
      <c r="C5" s="39"/>
      <c r="D5" s="41"/>
      <c r="E5" s="27"/>
    </row>
    <row r="6" spans="1:15" ht="12.75" customHeight="1" x14ac:dyDescent="0.2">
      <c r="A6" s="17"/>
      <c r="B6" s="28"/>
      <c r="C6" s="10"/>
      <c r="D6" s="13"/>
      <c r="E6" s="27"/>
    </row>
    <row r="7" spans="1:15" ht="12.75" customHeight="1" x14ac:dyDescent="0.2">
      <c r="A7" s="16"/>
      <c r="B7" s="30" t="s">
        <v>65</v>
      </c>
      <c r="C7" s="8"/>
      <c r="D7" s="18"/>
      <c r="E7" s="27"/>
    </row>
    <row r="8" spans="1:15" ht="12.75" customHeight="1" x14ac:dyDescent="0.2">
      <c r="A8" s="16" t="s">
        <v>7</v>
      </c>
      <c r="B8" s="42" t="s">
        <v>56</v>
      </c>
      <c r="C8" s="8"/>
      <c r="D8" s="18" t="s">
        <v>129</v>
      </c>
      <c r="E8" s="27"/>
    </row>
    <row r="9" spans="1:15" ht="12.75" customHeight="1" x14ac:dyDescent="0.2">
      <c r="A9" s="21">
        <v>1</v>
      </c>
      <c r="B9" s="42" t="s">
        <v>57</v>
      </c>
      <c r="C9" s="8"/>
      <c r="D9" s="22">
        <v>1</v>
      </c>
      <c r="E9" s="27"/>
    </row>
    <row r="10" spans="1:15" ht="12.75" customHeight="1" x14ac:dyDescent="0.2">
      <c r="A10" s="31" t="s">
        <v>85</v>
      </c>
      <c r="B10" s="57" t="s">
        <v>86</v>
      </c>
      <c r="C10" s="8"/>
      <c r="D10" s="18" t="s">
        <v>85</v>
      </c>
      <c r="E10" s="10"/>
    </row>
    <row r="11" spans="1:15" ht="12.75" customHeight="1" x14ac:dyDescent="0.2">
      <c r="A11" s="16" t="s">
        <v>6</v>
      </c>
      <c r="B11" s="42" t="s">
        <v>59</v>
      </c>
      <c r="C11" s="8"/>
      <c r="D11" s="105" t="s">
        <v>124</v>
      </c>
      <c r="E11" s="10"/>
    </row>
    <row r="12" spans="1:15" ht="12.75" customHeight="1" x14ac:dyDescent="0.2">
      <c r="A12" s="16">
        <v>10</v>
      </c>
      <c r="B12" s="42" t="s">
        <v>58</v>
      </c>
      <c r="C12" s="8"/>
      <c r="D12" s="18">
        <v>20</v>
      </c>
      <c r="E12" s="10"/>
    </row>
    <row r="13" spans="1:15" ht="12.75" customHeight="1" x14ac:dyDescent="0.2">
      <c r="A13" s="16">
        <v>10</v>
      </c>
      <c r="B13" s="42" t="s">
        <v>106</v>
      </c>
      <c r="C13" s="8"/>
      <c r="D13" s="18" t="s">
        <v>127</v>
      </c>
      <c r="E13" s="18" t="s">
        <v>125</v>
      </c>
      <c r="F13" s="18" t="s">
        <v>126</v>
      </c>
    </row>
    <row r="14" spans="1:15" ht="12.75" customHeight="1" x14ac:dyDescent="0.2">
      <c r="A14" s="58" t="s">
        <v>88</v>
      </c>
      <c r="B14" s="57" t="s">
        <v>89</v>
      </c>
      <c r="C14" s="8"/>
      <c r="D14" s="61" t="s">
        <v>88</v>
      </c>
      <c r="E14" s="27"/>
    </row>
    <row r="15" spans="1:15" ht="12.75" customHeight="1" x14ac:dyDescent="0.2">
      <c r="A15" s="58">
        <v>1</v>
      </c>
      <c r="B15" s="57" t="s">
        <v>90</v>
      </c>
      <c r="C15" s="8"/>
      <c r="D15" s="61" t="s">
        <v>95</v>
      </c>
      <c r="E15" s="27"/>
    </row>
    <row r="16" spans="1:15" ht="12.75" customHeight="1" x14ac:dyDescent="0.2">
      <c r="A16" s="31" t="s">
        <v>91</v>
      </c>
      <c r="B16" s="55" t="s">
        <v>92</v>
      </c>
      <c r="C16" s="8"/>
      <c r="D16" s="61" t="s">
        <v>96</v>
      </c>
      <c r="E16" s="27"/>
    </row>
    <row r="17" spans="1:6" ht="12.75" customHeight="1" x14ac:dyDescent="0.2">
      <c r="A17" s="59">
        <v>0</v>
      </c>
      <c r="B17" s="55" t="s">
        <v>93</v>
      </c>
      <c r="C17" s="8"/>
      <c r="D17" s="61" t="s">
        <v>96</v>
      </c>
      <c r="E17" s="27"/>
    </row>
    <row r="18" spans="1:6" ht="12.75" customHeight="1" x14ac:dyDescent="0.2">
      <c r="A18" s="60">
        <v>0</v>
      </c>
      <c r="B18" s="57" t="s">
        <v>94</v>
      </c>
      <c r="C18" s="8"/>
      <c r="D18" s="62">
        <v>0</v>
      </c>
      <c r="E18" s="27"/>
    </row>
    <row r="19" spans="1:6" ht="12.75" customHeight="1" x14ac:dyDescent="0.2">
      <c r="A19" s="20" t="s">
        <v>6</v>
      </c>
      <c r="B19" s="42" t="s">
        <v>69</v>
      </c>
      <c r="C19" s="8"/>
      <c r="D19" s="92" t="s">
        <v>107</v>
      </c>
      <c r="E19" s="27"/>
    </row>
    <row r="20" spans="1:6" ht="12.75" customHeight="1" x14ac:dyDescent="0.2">
      <c r="A20" s="56" t="s">
        <v>78</v>
      </c>
      <c r="B20" s="57" t="s">
        <v>79</v>
      </c>
      <c r="C20" s="8"/>
      <c r="D20" s="18" t="s">
        <v>78</v>
      </c>
      <c r="E20" s="27"/>
    </row>
    <row r="21" spans="1:6" ht="12.75" customHeight="1" x14ac:dyDescent="0.2">
      <c r="A21" s="56" t="s">
        <v>80</v>
      </c>
      <c r="B21" s="57" t="s">
        <v>81</v>
      </c>
      <c r="C21" s="8"/>
      <c r="D21" s="18" t="s">
        <v>82</v>
      </c>
      <c r="E21" s="27"/>
    </row>
    <row r="22" spans="1:6" ht="12.75" customHeight="1" x14ac:dyDescent="0.2">
      <c r="A22" s="31" t="s">
        <v>44</v>
      </c>
      <c r="B22" s="42" t="s">
        <v>110</v>
      </c>
      <c r="C22" s="89"/>
      <c r="D22" s="106" t="s">
        <v>45</v>
      </c>
      <c r="E22" s="27"/>
    </row>
    <row r="23" spans="1:6" ht="12.75" customHeight="1" x14ac:dyDescent="0.2">
      <c r="A23" s="31" t="s">
        <v>45</v>
      </c>
      <c r="B23" s="57" t="s">
        <v>84</v>
      </c>
      <c r="C23" s="8"/>
      <c r="D23" s="106" t="s">
        <v>44</v>
      </c>
      <c r="E23" s="27"/>
    </row>
    <row r="24" spans="1:6" ht="12.75" customHeight="1" x14ac:dyDescent="0.2">
      <c r="A24" s="31" t="s">
        <v>45</v>
      </c>
      <c r="B24" s="42" t="s">
        <v>46</v>
      </c>
      <c r="C24" s="8"/>
      <c r="D24" s="18" t="s">
        <v>45</v>
      </c>
      <c r="E24" s="27"/>
    </row>
    <row r="25" spans="1:6" ht="12.75" customHeight="1" x14ac:dyDescent="0.2">
      <c r="A25" s="20">
        <v>0</v>
      </c>
      <c r="B25" s="43" t="s">
        <v>67</v>
      </c>
      <c r="C25" s="8"/>
      <c r="D25" s="18" t="s">
        <v>53</v>
      </c>
      <c r="E25" s="27"/>
    </row>
    <row r="26" spans="1:6" ht="12.75" customHeight="1" x14ac:dyDescent="0.2">
      <c r="A26" s="20">
        <v>0</v>
      </c>
      <c r="B26" s="43" t="s">
        <v>87</v>
      </c>
      <c r="C26" s="8"/>
      <c r="D26" s="18" t="s">
        <v>53</v>
      </c>
      <c r="E26" s="27"/>
    </row>
    <row r="27" spans="1:6" ht="12.75" customHeight="1" x14ac:dyDescent="0.2">
      <c r="A27" s="16" t="s">
        <v>47</v>
      </c>
      <c r="B27" s="42" t="s">
        <v>60</v>
      </c>
      <c r="C27" s="8"/>
      <c r="D27" s="94" t="s">
        <v>123</v>
      </c>
    </row>
    <row r="28" spans="1:6" ht="12.75" customHeight="1" x14ac:dyDescent="0.2">
      <c r="A28" s="16" t="s">
        <v>49</v>
      </c>
      <c r="B28" s="42" t="s">
        <v>61</v>
      </c>
      <c r="C28" s="8"/>
      <c r="D28" s="18" t="s">
        <v>49</v>
      </c>
      <c r="E28" s="27"/>
      <c r="F28" s="27"/>
    </row>
    <row r="29" spans="1:6" ht="12.75" customHeight="1" x14ac:dyDescent="0.2">
      <c r="A29" s="20">
        <v>0</v>
      </c>
      <c r="B29" s="43" t="s">
        <v>62</v>
      </c>
      <c r="C29" s="8"/>
      <c r="D29" s="18" t="s">
        <v>52</v>
      </c>
      <c r="E29" s="27"/>
    </row>
    <row r="30" spans="1:6" ht="12.75" customHeight="1" x14ac:dyDescent="0.2">
      <c r="A30" s="102">
        <v>40909</v>
      </c>
      <c r="B30" s="100" t="s">
        <v>120</v>
      </c>
      <c r="C30" s="8"/>
      <c r="D30" s="101">
        <v>40909</v>
      </c>
      <c r="E30" s="27"/>
    </row>
    <row r="31" spans="1:6" ht="12.75" customHeight="1" x14ac:dyDescent="0.2">
      <c r="A31" s="20">
        <v>1</v>
      </c>
      <c r="B31" s="43" t="s">
        <v>63</v>
      </c>
      <c r="C31" s="8"/>
      <c r="D31" s="18" t="s">
        <v>51</v>
      </c>
      <c r="E31" s="27"/>
    </row>
    <row r="32" spans="1:6" ht="12.75" customHeight="1" x14ac:dyDescent="0.2">
      <c r="A32" s="16" t="s">
        <v>47</v>
      </c>
      <c r="B32" s="42" t="s">
        <v>99</v>
      </c>
      <c r="C32" s="8"/>
      <c r="D32" s="92" t="s">
        <v>123</v>
      </c>
      <c r="E32" s="27"/>
    </row>
    <row r="33" spans="1:5" ht="12.75" customHeight="1" x14ac:dyDescent="0.2">
      <c r="A33" s="16" t="s">
        <v>49</v>
      </c>
      <c r="B33" s="42" t="s">
        <v>100</v>
      </c>
      <c r="C33" s="8"/>
      <c r="D33" s="18" t="s">
        <v>49</v>
      </c>
      <c r="E33" s="27"/>
    </row>
    <row r="34" spans="1:5" ht="12.75" customHeight="1" x14ac:dyDescent="0.2">
      <c r="A34" s="20">
        <v>0</v>
      </c>
      <c r="B34" s="43" t="s">
        <v>101</v>
      </c>
      <c r="C34" s="8"/>
      <c r="D34" s="18" t="s">
        <v>52</v>
      </c>
      <c r="E34" s="27"/>
    </row>
    <row r="35" spans="1:5" ht="12.75" customHeight="1" x14ac:dyDescent="0.2">
      <c r="A35" s="16" t="s">
        <v>47</v>
      </c>
      <c r="B35" s="57" t="s">
        <v>102</v>
      </c>
      <c r="C35" s="8"/>
      <c r="D35" s="77" t="s">
        <v>47</v>
      </c>
      <c r="E35" s="27"/>
    </row>
    <row r="36" spans="1:5" ht="12.75" customHeight="1" x14ac:dyDescent="0.2">
      <c r="A36" s="31" t="s">
        <v>49</v>
      </c>
      <c r="B36" s="57" t="s">
        <v>103</v>
      </c>
      <c r="C36" s="8"/>
      <c r="D36" s="77" t="s">
        <v>49</v>
      </c>
      <c r="E36" s="27"/>
    </row>
    <row r="37" spans="1:5" ht="12.75" customHeight="1" x14ac:dyDescent="0.2">
      <c r="A37" s="78">
        <v>0</v>
      </c>
      <c r="B37" s="79" t="s">
        <v>104</v>
      </c>
      <c r="C37" s="8"/>
      <c r="D37" s="18" t="s">
        <v>52</v>
      </c>
      <c r="E37" s="27"/>
    </row>
    <row r="38" spans="1:5" ht="12.75" customHeight="1" x14ac:dyDescent="0.2">
      <c r="A38" s="80">
        <v>1</v>
      </c>
      <c r="B38" s="57" t="s">
        <v>105</v>
      </c>
      <c r="C38" s="8"/>
      <c r="D38" s="81">
        <v>1</v>
      </c>
      <c r="E38" s="27"/>
    </row>
    <row r="39" spans="1:5" ht="12.75" customHeight="1" x14ac:dyDescent="0.2">
      <c r="A39" s="80">
        <v>0.93</v>
      </c>
      <c r="B39" s="57" t="s">
        <v>128</v>
      </c>
      <c r="C39" s="8"/>
      <c r="D39" s="107">
        <v>0.93</v>
      </c>
      <c r="E39" s="27"/>
    </row>
    <row r="40" spans="1:5" ht="12.75" customHeight="1" x14ac:dyDescent="0.2">
      <c r="A40" s="80"/>
      <c r="B40" s="57" t="s">
        <v>118</v>
      </c>
      <c r="C40" s="8"/>
      <c r="D40" s="95" t="s">
        <v>122</v>
      </c>
      <c r="E40" s="27"/>
    </row>
    <row r="41" spans="1:5" ht="12.75" customHeight="1" x14ac:dyDescent="0.2">
      <c r="A41" s="20">
        <v>0</v>
      </c>
      <c r="B41" s="55" t="s">
        <v>70</v>
      </c>
      <c r="C41" s="8"/>
      <c r="D41" s="18" t="s">
        <v>71</v>
      </c>
      <c r="E41" s="27"/>
    </row>
    <row r="42" spans="1:5" ht="12.75" customHeight="1" x14ac:dyDescent="0.2">
      <c r="A42" s="16"/>
      <c r="B42" s="29"/>
      <c r="C42" s="8"/>
      <c r="D42" s="18"/>
      <c r="E42" s="27"/>
    </row>
    <row r="43" spans="1:5" ht="12.75" customHeight="1" x14ac:dyDescent="0.2">
      <c r="A43" s="16"/>
      <c r="B43" s="30" t="s">
        <v>0</v>
      </c>
      <c r="C43" s="8"/>
      <c r="D43" s="18"/>
      <c r="E43" s="27"/>
    </row>
    <row r="44" spans="1:5" ht="12.75" customHeight="1" x14ac:dyDescent="0.2">
      <c r="A44" s="16" t="s">
        <v>6</v>
      </c>
      <c r="B44" s="42" t="s">
        <v>64</v>
      </c>
      <c r="C44" s="8"/>
      <c r="D44" s="18" t="s">
        <v>107</v>
      </c>
      <c r="E44" s="27"/>
    </row>
    <row r="45" spans="1:5" ht="12.75" customHeight="1" x14ac:dyDescent="0.2">
      <c r="A45" s="47" t="s">
        <v>47</v>
      </c>
      <c r="B45" s="45" t="s">
        <v>68</v>
      </c>
      <c r="C45" s="44" t="s">
        <v>47</v>
      </c>
      <c r="D45" s="46"/>
      <c r="E45" s="27"/>
    </row>
    <row r="46" spans="1:5" ht="12.75" customHeight="1" x14ac:dyDescent="0.2">
      <c r="A46" s="17"/>
      <c r="B46" s="27"/>
      <c r="C46" s="8"/>
      <c r="D46" s="27"/>
      <c r="E46" s="27"/>
    </row>
    <row r="47" spans="1:5" ht="12.75" customHeight="1" x14ac:dyDescent="0.2">
      <c r="A47" s="17"/>
      <c r="B47" s="27" t="str">
        <f ca="1">GetNameRange(B48)</f>
        <v>FIAValuation_Table_Two</v>
      </c>
      <c r="C47" s="8"/>
      <c r="D47" s="27"/>
      <c r="E47" s="27"/>
    </row>
    <row r="48" spans="1:5" ht="12.75" customHeight="1" x14ac:dyDescent="0.2">
      <c r="A48" s="86" t="s">
        <v>9</v>
      </c>
      <c r="B48" s="36" t="s">
        <v>48</v>
      </c>
      <c r="C48" s="83" t="s">
        <v>50</v>
      </c>
      <c r="D48" s="83" t="s">
        <v>50</v>
      </c>
      <c r="E48" s="27"/>
    </row>
    <row r="49" spans="1:7" ht="12.75" customHeight="1" x14ac:dyDescent="0.2">
      <c r="A49" s="86"/>
      <c r="B49" s="82" t="s">
        <v>111</v>
      </c>
      <c r="C49" s="83" t="s">
        <v>107</v>
      </c>
      <c r="D49" s="83" t="s">
        <v>6</v>
      </c>
      <c r="E49" s="27"/>
    </row>
    <row r="50" spans="1:7" ht="12.75" customHeight="1" x14ac:dyDescent="0.2">
      <c r="A50" s="84"/>
      <c r="B50" s="85" t="s">
        <v>1</v>
      </c>
      <c r="C50" s="93"/>
      <c r="D50" s="83"/>
      <c r="E50" s="27"/>
    </row>
    <row r="51" spans="1:7" ht="12.75" customHeight="1" x14ac:dyDescent="0.2">
      <c r="A51" s="17" t="s">
        <v>109</v>
      </c>
      <c r="B51" s="87" t="s">
        <v>108</v>
      </c>
      <c r="C51" s="88" t="s">
        <v>109</v>
      </c>
      <c r="D51" s="88" t="s">
        <v>44</v>
      </c>
      <c r="E51" s="27"/>
    </row>
    <row r="52" spans="1:7" ht="12.75" customHeight="1" x14ac:dyDescent="0.2">
      <c r="A52" s="17" t="s">
        <v>109</v>
      </c>
      <c r="B52" s="87" t="s">
        <v>83</v>
      </c>
      <c r="C52" s="88" t="s">
        <v>109</v>
      </c>
      <c r="D52" s="88" t="s">
        <v>44</v>
      </c>
      <c r="E52" s="27"/>
    </row>
    <row r="53" spans="1:7" ht="12.75" customHeight="1" x14ac:dyDescent="0.2">
      <c r="A53" s="17"/>
      <c r="B53" s="87"/>
      <c r="C53" s="27"/>
    </row>
    <row r="54" spans="1:7" ht="12.75" customHeight="1" x14ac:dyDescent="0.2">
      <c r="A54" s="63" t="s">
        <v>43</v>
      </c>
      <c r="B54" s="64" t="str">
        <f ca="1">GetNameRange(B55)</f>
        <v>cashflow_timing_weights_aig</v>
      </c>
      <c r="C54" s="49"/>
      <c r="D54" s="49"/>
      <c r="E54" s="49"/>
      <c r="F54" s="49"/>
    </row>
    <row r="55" spans="1:7" ht="12.75" customHeight="1" x14ac:dyDescent="0.2">
      <c r="A55" s="63" t="s">
        <v>72</v>
      </c>
      <c r="B55" s="65"/>
      <c r="C55" s="66" t="s">
        <v>112</v>
      </c>
      <c r="D55" s="66" t="s">
        <v>113</v>
      </c>
      <c r="E55" s="66" t="s">
        <v>114</v>
      </c>
      <c r="F55" s="66" t="s">
        <v>115</v>
      </c>
      <c r="G55" s="67" t="s">
        <v>116</v>
      </c>
    </row>
    <row r="56" spans="1:7" ht="12.75" customHeight="1" x14ac:dyDescent="0.2">
      <c r="A56" s="63"/>
      <c r="B56" s="65" t="s">
        <v>59</v>
      </c>
      <c r="C56" s="90"/>
      <c r="D56" s="90"/>
      <c r="E56" s="90"/>
      <c r="F56" s="90"/>
      <c r="G56" s="90"/>
    </row>
    <row r="57" spans="1:7" ht="12.75" customHeight="1" x14ac:dyDescent="0.2">
      <c r="A57" s="63"/>
      <c r="B57" s="52" t="s">
        <v>117</v>
      </c>
      <c r="C57" s="91">
        <v>1</v>
      </c>
      <c r="D57" s="91">
        <v>1</v>
      </c>
      <c r="E57" s="91">
        <v>1</v>
      </c>
      <c r="F57" s="91">
        <v>1</v>
      </c>
      <c r="G57" s="91">
        <v>1</v>
      </c>
    </row>
    <row r="58" spans="1:7" ht="12.75" customHeight="1" x14ac:dyDescent="0.2">
      <c r="A58" s="71"/>
      <c r="B58" s="52" t="s">
        <v>121</v>
      </c>
      <c r="C58" s="91">
        <v>0</v>
      </c>
      <c r="D58" s="91">
        <v>0.5</v>
      </c>
      <c r="E58" s="91">
        <v>0.5</v>
      </c>
      <c r="F58" s="91">
        <v>0.25</v>
      </c>
      <c r="G58" s="91">
        <v>0.5</v>
      </c>
    </row>
    <row r="59" spans="1:7" ht="12.75" customHeight="1" x14ac:dyDescent="0.2">
      <c r="A59" s="19"/>
      <c r="B59" s="27"/>
      <c r="C59" s="27"/>
      <c r="D59" s="27"/>
      <c r="E59" s="27"/>
    </row>
    <row r="60" spans="1:7" ht="12.75" customHeight="1" x14ac:dyDescent="0.2">
      <c r="A60" s="63" t="s">
        <v>43</v>
      </c>
      <c r="B60" s="64" t="str">
        <f ca="1">GetNameRange(B61)</f>
        <v>CarvmAnnuitiznTests</v>
      </c>
      <c r="C60" s="49"/>
      <c r="D60" s="49"/>
      <c r="E60" s="49"/>
      <c r="F60" s="49"/>
    </row>
    <row r="61" spans="1:7" ht="12.75" customHeight="1" x14ac:dyDescent="0.2">
      <c r="A61" s="63" t="s">
        <v>72</v>
      </c>
      <c r="B61" s="65" t="s">
        <v>97</v>
      </c>
      <c r="C61" s="66">
        <v>1</v>
      </c>
      <c r="D61" s="66">
        <v>2</v>
      </c>
      <c r="E61" s="66">
        <v>3</v>
      </c>
      <c r="F61" s="67">
        <v>4</v>
      </c>
    </row>
    <row r="62" spans="1:7" ht="12.75" customHeight="1" x14ac:dyDescent="0.2">
      <c r="A62" s="68"/>
      <c r="B62" s="69"/>
      <c r="C62" s="50"/>
      <c r="D62" s="50"/>
      <c r="E62" s="50"/>
      <c r="F62" s="70"/>
    </row>
    <row r="63" spans="1:7" ht="12.75" customHeight="1" x14ac:dyDescent="0.2">
      <c r="A63" s="71" t="s">
        <v>91</v>
      </c>
      <c r="B63" s="52" t="s">
        <v>92</v>
      </c>
      <c r="C63" s="72" t="s">
        <v>98</v>
      </c>
      <c r="D63" s="72" t="s">
        <v>91</v>
      </c>
      <c r="E63" s="72" t="s">
        <v>98</v>
      </c>
      <c r="F63" s="73" t="s">
        <v>91</v>
      </c>
    </row>
    <row r="64" spans="1:7" ht="12.75" customHeight="1" x14ac:dyDescent="0.2">
      <c r="A64" s="71">
        <v>0</v>
      </c>
      <c r="B64" s="74" t="s">
        <v>93</v>
      </c>
      <c r="C64" s="75">
        <v>5</v>
      </c>
      <c r="D64" s="75">
        <v>0</v>
      </c>
      <c r="E64" s="75">
        <v>10</v>
      </c>
      <c r="F64" s="76">
        <v>10</v>
      </c>
    </row>
    <row r="65" spans="1:6" ht="12.75" customHeight="1" x14ac:dyDescent="0.2">
      <c r="A65" s="71"/>
      <c r="B65"/>
      <c r="C65"/>
      <c r="D65"/>
      <c r="E65"/>
      <c r="F65"/>
    </row>
    <row r="66" spans="1:6" ht="12.75" customHeight="1" x14ac:dyDescent="0.2">
      <c r="A66" s="23" t="s">
        <v>43</v>
      </c>
      <c r="B66" s="48" t="s">
        <v>77</v>
      </c>
      <c r="C66" s="49"/>
      <c r="D66" s="49"/>
    </row>
    <row r="67" spans="1:6" ht="12.75" customHeight="1" x14ac:dyDescent="0.2">
      <c r="A67" s="6" t="s">
        <v>72</v>
      </c>
      <c r="B67" s="96" t="s">
        <v>73</v>
      </c>
      <c r="C67" s="103" t="s">
        <v>74</v>
      </c>
      <c r="D67" s="103" t="s">
        <v>75</v>
      </c>
      <c r="E67" s="104" t="s">
        <v>74</v>
      </c>
      <c r="F67" s="104" t="s">
        <v>75</v>
      </c>
    </row>
    <row r="68" spans="1:6" ht="12.75" customHeight="1" x14ac:dyDescent="0.2">
      <c r="A68"/>
      <c r="B68" s="96" t="s">
        <v>118</v>
      </c>
      <c r="C68" s="103" t="s">
        <v>119</v>
      </c>
      <c r="D68" s="103" t="s">
        <v>119</v>
      </c>
      <c r="E68" s="104" t="s">
        <v>122</v>
      </c>
      <c r="F68" s="104" t="s">
        <v>122</v>
      </c>
    </row>
    <row r="69" spans="1:6" ht="12.75" customHeight="1" x14ac:dyDescent="0.2">
      <c r="A69"/>
      <c r="B69" s="86" t="s">
        <v>76</v>
      </c>
      <c r="C69" s="97"/>
      <c r="D69" s="97"/>
      <c r="E69" s="98"/>
      <c r="F69" s="98"/>
    </row>
    <row r="70" spans="1:6" ht="12.75" customHeight="1" x14ac:dyDescent="0.2">
      <c r="A70" s="51">
        <v>0</v>
      </c>
      <c r="B70" s="52">
        <v>0</v>
      </c>
      <c r="C70" s="53">
        <v>4.9987756882162753E-5</v>
      </c>
      <c r="D70" s="53">
        <v>8.5121250445280441E-5</v>
      </c>
      <c r="E70" s="99">
        <v>1E-4</v>
      </c>
      <c r="F70" s="99">
        <v>0</v>
      </c>
    </row>
    <row r="71" spans="1:6" ht="12.75" customHeight="1" x14ac:dyDescent="0.2">
      <c r="A71" s="51">
        <v>0</v>
      </c>
      <c r="B71" s="52">
        <f>B70+1</f>
        <v>1</v>
      </c>
      <c r="C71" s="99">
        <v>4.9987756882162753E-5</v>
      </c>
      <c r="D71" s="99">
        <v>8.5121250445280441E-5</v>
      </c>
      <c r="E71" s="99">
        <v>1E-4</v>
      </c>
      <c r="F71" s="99">
        <v>0</v>
      </c>
    </row>
    <row r="72" spans="1:6" ht="12.75" customHeight="1" x14ac:dyDescent="0.2">
      <c r="A72" s="51">
        <v>0</v>
      </c>
      <c r="B72" s="52">
        <f>B71+1</f>
        <v>2</v>
      </c>
      <c r="C72" s="99">
        <v>4.9987756882162753E-5</v>
      </c>
      <c r="D72" s="99">
        <v>8.5121250445280441E-5</v>
      </c>
      <c r="E72" s="99">
        <v>1E-4</v>
      </c>
      <c r="F72" s="99">
        <v>0</v>
      </c>
    </row>
    <row r="73" spans="1:6" ht="12.75" customHeight="1" x14ac:dyDescent="0.2">
      <c r="A73" s="51">
        <v>0</v>
      </c>
      <c r="B73" s="52">
        <f>B72+1</f>
        <v>3</v>
      </c>
      <c r="C73" s="99">
        <v>4.9987756882162753E-5</v>
      </c>
      <c r="D73" s="99">
        <v>8.5121250445280441E-5</v>
      </c>
      <c r="E73" s="99">
        <v>1E-4</v>
      </c>
      <c r="F73" s="99">
        <v>0</v>
      </c>
    </row>
    <row r="74" spans="1:6" ht="12.75" customHeight="1" x14ac:dyDescent="0.2">
      <c r="A74" s="51">
        <v>0</v>
      </c>
      <c r="B74" s="52">
        <f>B73+1</f>
        <v>4</v>
      </c>
      <c r="C74" s="99">
        <v>4.9987756882162753E-5</v>
      </c>
      <c r="D74" s="99">
        <v>8.5121250445280441E-5</v>
      </c>
      <c r="E74" s="99">
        <v>1E-4</v>
      </c>
      <c r="F74" s="99">
        <v>0</v>
      </c>
    </row>
    <row r="75" spans="1:6" ht="12.75" customHeight="1" x14ac:dyDescent="0.2">
      <c r="A75" s="51">
        <v>0</v>
      </c>
      <c r="B75" s="52">
        <f>B74+1</f>
        <v>5</v>
      </c>
      <c r="C75" s="99">
        <v>4.9987756882162753E-5</v>
      </c>
      <c r="D75" s="99">
        <v>8.5121250445280441E-5</v>
      </c>
      <c r="E75" s="99">
        <v>1E-4</v>
      </c>
      <c r="F75" s="99">
        <v>0</v>
      </c>
    </row>
    <row r="76" spans="1:6" ht="12.75" customHeight="1" x14ac:dyDescent="0.2">
      <c r="A76" s="51">
        <v>0</v>
      </c>
      <c r="B76" s="52">
        <f>B75+1</f>
        <v>6</v>
      </c>
      <c r="C76" s="99">
        <v>4.9987756882162753E-5</v>
      </c>
      <c r="D76" s="99">
        <v>8.5121250445280441E-5</v>
      </c>
      <c r="E76" s="99">
        <v>1E-4</v>
      </c>
      <c r="F76" s="99">
        <v>0</v>
      </c>
    </row>
    <row r="77" spans="1:6" ht="12.75" customHeight="1" x14ac:dyDescent="0.2">
      <c r="A77" s="51">
        <v>0</v>
      </c>
      <c r="B77" s="52">
        <f>B76+1</f>
        <v>7</v>
      </c>
      <c r="C77" s="99">
        <v>4.9987756882162753E-5</v>
      </c>
      <c r="D77" s="99">
        <v>8.5121250445280441E-5</v>
      </c>
      <c r="E77" s="99">
        <v>1E-4</v>
      </c>
      <c r="F77" s="99">
        <v>0</v>
      </c>
    </row>
    <row r="78" spans="1:6" ht="12.75" customHeight="1" x14ac:dyDescent="0.2">
      <c r="A78" s="51">
        <v>0</v>
      </c>
      <c r="B78" s="52">
        <f>B77+1</f>
        <v>8</v>
      </c>
      <c r="C78" s="99">
        <v>4.9987756882162753E-5</v>
      </c>
      <c r="D78" s="99">
        <v>8.5121250445280441E-5</v>
      </c>
      <c r="E78" s="99">
        <v>1E-4</v>
      </c>
      <c r="F78" s="99">
        <v>0</v>
      </c>
    </row>
    <row r="79" spans="1:6" ht="12.75" customHeight="1" x14ac:dyDescent="0.2">
      <c r="A79" s="51">
        <v>0</v>
      </c>
      <c r="B79" s="52">
        <f>B78+1</f>
        <v>9</v>
      </c>
      <c r="C79" s="99">
        <v>4.9987756882162753E-5</v>
      </c>
      <c r="D79" s="99">
        <v>8.5121250445280441E-5</v>
      </c>
      <c r="E79" s="99">
        <v>1E-4</v>
      </c>
      <c r="F79" s="99">
        <v>0</v>
      </c>
    </row>
    <row r="80" spans="1:6" ht="12.75" customHeight="1" x14ac:dyDescent="0.2">
      <c r="A80" s="51">
        <v>0</v>
      </c>
      <c r="B80" s="52">
        <f>B79+1</f>
        <v>10</v>
      </c>
      <c r="C80" s="99">
        <v>4.9987756882162753E-5</v>
      </c>
      <c r="D80" s="99">
        <v>8.5121250445280441E-5</v>
      </c>
      <c r="E80" s="99">
        <v>1E-4</v>
      </c>
      <c r="F80" s="99">
        <v>0</v>
      </c>
    </row>
    <row r="81" spans="1:6" ht="12.75" customHeight="1" x14ac:dyDescent="0.2">
      <c r="A81" s="51">
        <v>0</v>
      </c>
      <c r="B81" s="52">
        <f>B80+1</f>
        <v>11</v>
      </c>
      <c r="C81" s="99">
        <v>4.9987756882162753E-5</v>
      </c>
      <c r="D81" s="99">
        <v>8.5121250445280441E-5</v>
      </c>
      <c r="E81" s="99">
        <v>1E-4</v>
      </c>
      <c r="F81" s="99">
        <v>0</v>
      </c>
    </row>
    <row r="82" spans="1:6" ht="12.75" customHeight="1" x14ac:dyDescent="0.2">
      <c r="A82" s="51">
        <v>0</v>
      </c>
      <c r="B82" s="52">
        <f>B81+1</f>
        <v>12</v>
      </c>
      <c r="C82" s="99">
        <v>4.9987756882162753E-5</v>
      </c>
      <c r="D82" s="99">
        <v>8.5121250445280441E-5</v>
      </c>
      <c r="E82" s="99">
        <v>1E-4</v>
      </c>
      <c r="F82" s="99">
        <v>0</v>
      </c>
    </row>
    <row r="83" spans="1:6" ht="12.75" customHeight="1" x14ac:dyDescent="0.2">
      <c r="A83" s="51">
        <v>0</v>
      </c>
      <c r="B83" s="52">
        <f>B82+1</f>
        <v>13</v>
      </c>
      <c r="C83" s="99">
        <v>4.9987756882162753E-5</v>
      </c>
      <c r="D83" s="99">
        <v>8.5121250445280441E-5</v>
      </c>
      <c r="E83" s="99">
        <v>1E-4</v>
      </c>
      <c r="F83" s="99">
        <v>0</v>
      </c>
    </row>
    <row r="84" spans="1:6" ht="12.75" customHeight="1" x14ac:dyDescent="0.2">
      <c r="A84" s="51">
        <v>0</v>
      </c>
      <c r="B84" s="52">
        <f>B83+1</f>
        <v>14</v>
      </c>
      <c r="C84" s="99">
        <v>4.9987756882162753E-5</v>
      </c>
      <c r="D84" s="99">
        <v>8.5121250445280441E-5</v>
      </c>
      <c r="E84" s="99">
        <v>1E-4</v>
      </c>
      <c r="F84" s="99">
        <v>0</v>
      </c>
    </row>
    <row r="85" spans="1:6" ht="12.75" customHeight="1" x14ac:dyDescent="0.2">
      <c r="A85" s="51">
        <v>0</v>
      </c>
      <c r="B85" s="52">
        <f>B84+1</f>
        <v>15</v>
      </c>
      <c r="C85" s="99">
        <v>4.9987756882162753E-5</v>
      </c>
      <c r="D85" s="99">
        <v>8.5121250445280441E-5</v>
      </c>
      <c r="E85" s="99">
        <v>1E-4</v>
      </c>
      <c r="F85" s="99">
        <v>0</v>
      </c>
    </row>
    <row r="86" spans="1:6" ht="12.75" customHeight="1" x14ac:dyDescent="0.2">
      <c r="A86" s="51">
        <v>0</v>
      </c>
      <c r="B86" s="52">
        <f>B85+1</f>
        <v>16</v>
      </c>
      <c r="C86" s="99">
        <v>4.9987756882162753E-5</v>
      </c>
      <c r="D86" s="99">
        <v>8.5121250445280441E-5</v>
      </c>
      <c r="E86" s="99">
        <v>1E-4</v>
      </c>
      <c r="F86" s="99">
        <v>0</v>
      </c>
    </row>
    <row r="87" spans="1:6" ht="12.75" customHeight="1" x14ac:dyDescent="0.2">
      <c r="A87" s="51">
        <v>0</v>
      </c>
      <c r="B87" s="52">
        <f>B86+1</f>
        <v>17</v>
      </c>
      <c r="C87" s="99">
        <v>4.9987756882162753E-5</v>
      </c>
      <c r="D87" s="99">
        <v>8.5121250445280441E-5</v>
      </c>
      <c r="E87" s="99">
        <v>1E-4</v>
      </c>
      <c r="F87" s="99">
        <v>0</v>
      </c>
    </row>
    <row r="88" spans="1:6" ht="12.75" customHeight="1" x14ac:dyDescent="0.2">
      <c r="A88" s="51">
        <v>0</v>
      </c>
      <c r="B88" s="52">
        <v>18</v>
      </c>
      <c r="C88" s="53">
        <v>4.9987800000000003E-5</v>
      </c>
      <c r="D88" s="53">
        <v>8.5121299999999994E-5</v>
      </c>
      <c r="E88" s="99">
        <v>1E-4</v>
      </c>
      <c r="F88" s="99">
        <v>0</v>
      </c>
    </row>
    <row r="89" spans="1:6" ht="12.75" customHeight="1" x14ac:dyDescent="0.2">
      <c r="A89" s="51">
        <v>0</v>
      </c>
      <c r="B89" s="52">
        <v>19</v>
      </c>
      <c r="C89" s="53">
        <v>4.9987800000000003E-5</v>
      </c>
      <c r="D89" s="53">
        <v>8.5121299999999994E-5</v>
      </c>
      <c r="E89" s="99">
        <v>1E-4</v>
      </c>
      <c r="F89" s="99">
        <v>0</v>
      </c>
    </row>
    <row r="90" spans="1:6" ht="12.75" customHeight="1" x14ac:dyDescent="0.2">
      <c r="A90" s="51">
        <v>0</v>
      </c>
      <c r="B90" s="52">
        <v>20</v>
      </c>
      <c r="C90" s="53">
        <v>4.9987800000000003E-5</v>
      </c>
      <c r="D90" s="53">
        <v>8.5121299999999994E-5</v>
      </c>
      <c r="E90" s="99">
        <v>1E-4</v>
      </c>
      <c r="F90" s="99">
        <v>0</v>
      </c>
    </row>
    <row r="91" spans="1:6" ht="12.75" customHeight="1" x14ac:dyDescent="0.2">
      <c r="A91" s="51">
        <v>0</v>
      </c>
      <c r="B91" s="52">
        <v>21</v>
      </c>
      <c r="C91" s="53">
        <v>4.9987800000000003E-5</v>
      </c>
      <c r="D91" s="53">
        <v>8.5121299999999994E-5</v>
      </c>
      <c r="E91" s="99">
        <v>1E-4</v>
      </c>
      <c r="F91" s="99">
        <v>0</v>
      </c>
    </row>
    <row r="92" spans="1:6" ht="12.75" customHeight="1" x14ac:dyDescent="0.2">
      <c r="A92" s="51">
        <v>0</v>
      </c>
      <c r="B92" s="52">
        <v>22</v>
      </c>
      <c r="C92" s="53">
        <v>4.9987800000000003E-5</v>
      </c>
      <c r="D92" s="53">
        <v>8.5121299999999994E-5</v>
      </c>
      <c r="E92" s="99">
        <v>1E-4</v>
      </c>
      <c r="F92" s="99">
        <v>0</v>
      </c>
    </row>
    <row r="93" spans="1:6" ht="12.75" customHeight="1" x14ac:dyDescent="0.2">
      <c r="A93" s="51">
        <v>0</v>
      </c>
      <c r="B93" s="52">
        <v>23</v>
      </c>
      <c r="C93" s="53">
        <v>4.9987800000000003E-5</v>
      </c>
      <c r="D93" s="53">
        <v>8.5121299999999994E-5</v>
      </c>
      <c r="E93" s="99">
        <v>1E-4</v>
      </c>
      <c r="F93" s="99">
        <v>0</v>
      </c>
    </row>
    <row r="94" spans="1:6" ht="12.75" customHeight="1" x14ac:dyDescent="0.2">
      <c r="A94" s="51">
        <v>0</v>
      </c>
      <c r="B94" s="52">
        <v>24</v>
      </c>
      <c r="C94" s="53">
        <v>4.9987800000000003E-5</v>
      </c>
      <c r="D94" s="53">
        <v>8.5121299999999994E-5</v>
      </c>
      <c r="E94" s="99">
        <v>1E-4</v>
      </c>
      <c r="F94" s="99">
        <v>0</v>
      </c>
    </row>
    <row r="95" spans="1:6" ht="12.75" customHeight="1" x14ac:dyDescent="0.2">
      <c r="A95" s="51">
        <v>0</v>
      </c>
      <c r="B95" s="52">
        <v>25</v>
      </c>
      <c r="C95" s="53">
        <v>4.9987800000000003E-5</v>
      </c>
      <c r="D95" s="53">
        <v>8.5121299999999994E-5</v>
      </c>
      <c r="E95" s="99">
        <v>1E-4</v>
      </c>
      <c r="F95" s="99">
        <v>0</v>
      </c>
    </row>
    <row r="96" spans="1:6" ht="12.75" customHeight="1" x14ac:dyDescent="0.2">
      <c r="A96" s="51">
        <v>0</v>
      </c>
      <c r="B96" s="52">
        <v>26</v>
      </c>
      <c r="C96" s="53">
        <v>4.9987800000000003E-5</v>
      </c>
      <c r="D96" s="53">
        <v>8.5121299999999994E-5</v>
      </c>
      <c r="E96" s="99">
        <v>1E-4</v>
      </c>
      <c r="F96" s="99">
        <v>0</v>
      </c>
    </row>
    <row r="97" spans="1:6" ht="12.75" customHeight="1" x14ac:dyDescent="0.2">
      <c r="A97" s="51">
        <v>0</v>
      </c>
      <c r="B97" s="52">
        <v>27</v>
      </c>
      <c r="C97" s="53">
        <v>4.9987800000000003E-5</v>
      </c>
      <c r="D97" s="53">
        <v>8.5121299999999994E-5</v>
      </c>
      <c r="E97" s="99">
        <v>1E-4</v>
      </c>
      <c r="F97" s="99">
        <v>0</v>
      </c>
    </row>
    <row r="98" spans="1:6" ht="12.75" customHeight="1" x14ac:dyDescent="0.2">
      <c r="A98" s="51">
        <v>0</v>
      </c>
      <c r="B98" s="52">
        <v>28</v>
      </c>
      <c r="C98" s="53">
        <v>4.9987800000000003E-5</v>
      </c>
      <c r="D98" s="53">
        <v>8.5121299999999994E-5</v>
      </c>
      <c r="E98" s="99">
        <v>1E-4</v>
      </c>
      <c r="F98" s="99">
        <v>0</v>
      </c>
    </row>
    <row r="99" spans="1:6" ht="12.75" customHeight="1" x14ac:dyDescent="0.2">
      <c r="A99" s="51">
        <v>0</v>
      </c>
      <c r="B99" s="52">
        <v>29</v>
      </c>
      <c r="C99" s="53">
        <v>4.9987800000000003E-5</v>
      </c>
      <c r="D99" s="53">
        <v>8.5121299999999994E-5</v>
      </c>
      <c r="E99" s="99">
        <v>1E-4</v>
      </c>
      <c r="F99" s="99">
        <v>0</v>
      </c>
    </row>
    <row r="100" spans="1:6" ht="12.75" customHeight="1" x14ac:dyDescent="0.2">
      <c r="A100" s="51">
        <v>0</v>
      </c>
      <c r="B100" s="52">
        <v>30</v>
      </c>
      <c r="C100" s="53">
        <v>4.9987800000000003E-5</v>
      </c>
      <c r="D100" s="53">
        <v>8.5121299999999994E-5</v>
      </c>
      <c r="E100" s="99">
        <v>5.9999999999999995E-4</v>
      </c>
      <c r="F100" s="99">
        <v>2.0000000000000001E-4</v>
      </c>
    </row>
    <row r="101" spans="1:6" ht="12.75" customHeight="1" x14ac:dyDescent="0.2">
      <c r="A101" s="51">
        <v>0</v>
      </c>
      <c r="B101" s="52">
        <v>31</v>
      </c>
      <c r="C101" s="53">
        <v>4.9987800000000003E-5</v>
      </c>
      <c r="D101" s="53">
        <v>8.5121299999999994E-5</v>
      </c>
      <c r="E101" s="99">
        <v>5.9999999999999995E-4</v>
      </c>
      <c r="F101" s="99">
        <v>2.0000000000000001E-4</v>
      </c>
    </row>
    <row r="102" spans="1:6" ht="12.75" customHeight="1" x14ac:dyDescent="0.2">
      <c r="A102" s="51">
        <v>0</v>
      </c>
      <c r="B102" s="52">
        <v>32</v>
      </c>
      <c r="C102" s="53">
        <v>4.9987800000000003E-5</v>
      </c>
      <c r="D102" s="53">
        <v>8.5121299999999994E-5</v>
      </c>
      <c r="E102" s="99">
        <v>5.9999999999999995E-4</v>
      </c>
      <c r="F102" s="99">
        <v>2.0000000000000001E-4</v>
      </c>
    </row>
    <row r="103" spans="1:6" ht="12.75" customHeight="1" x14ac:dyDescent="0.2">
      <c r="A103" s="51">
        <v>0</v>
      </c>
      <c r="B103" s="52">
        <v>33</v>
      </c>
      <c r="C103" s="53">
        <v>5.3387400000000003E-5</v>
      </c>
      <c r="D103" s="53">
        <v>8.8399999999999994E-5</v>
      </c>
      <c r="E103" s="99">
        <v>5.0000000000000001E-4</v>
      </c>
      <c r="F103" s="99">
        <v>2.0000000000000001E-4</v>
      </c>
    </row>
    <row r="104" spans="1:6" ht="12.75" customHeight="1" x14ac:dyDescent="0.2">
      <c r="A104" s="51">
        <v>0</v>
      </c>
      <c r="B104" s="52">
        <v>34</v>
      </c>
      <c r="C104" s="53">
        <v>5.7018200000000002E-5</v>
      </c>
      <c r="D104" s="53">
        <v>9.18051E-5</v>
      </c>
      <c r="E104" s="99">
        <v>5.0000000000000001E-4</v>
      </c>
      <c r="F104" s="99">
        <v>2.0000000000000001E-4</v>
      </c>
    </row>
    <row r="105" spans="1:6" ht="12.75" customHeight="1" x14ac:dyDescent="0.2">
      <c r="A105" s="51">
        <v>0</v>
      </c>
      <c r="B105" s="52">
        <v>35</v>
      </c>
      <c r="C105" s="53">
        <v>6.0896000000000001E-5</v>
      </c>
      <c r="D105" s="53">
        <v>9.5341300000000001E-5</v>
      </c>
      <c r="E105" s="99">
        <v>5.0000000000000001E-4</v>
      </c>
      <c r="F105" s="99">
        <v>2.9999999999999997E-4</v>
      </c>
    </row>
    <row r="106" spans="1:6" ht="12.75" customHeight="1" x14ac:dyDescent="0.2">
      <c r="A106" s="51">
        <v>0</v>
      </c>
      <c r="B106" s="52">
        <v>36</v>
      </c>
      <c r="C106" s="53">
        <v>6.5037500000000002E-5</v>
      </c>
      <c r="D106" s="53">
        <v>9.9013700000000004E-5</v>
      </c>
      <c r="E106" s="99">
        <v>5.0000000000000001E-4</v>
      </c>
      <c r="F106" s="99">
        <v>2.9999999999999997E-4</v>
      </c>
    </row>
    <row r="107" spans="1:6" ht="12.75" customHeight="1" x14ac:dyDescent="0.2">
      <c r="A107" s="51">
        <v>0</v>
      </c>
      <c r="B107" s="52">
        <v>37</v>
      </c>
      <c r="C107" s="53">
        <v>6.9460699999999997E-5</v>
      </c>
      <c r="D107" s="53">
        <v>1.02828E-4</v>
      </c>
      <c r="E107" s="99">
        <v>5.9999999999999995E-4</v>
      </c>
      <c r="F107" s="99">
        <v>2.9999999999999997E-4</v>
      </c>
    </row>
    <row r="108" spans="1:6" ht="12.75" customHeight="1" x14ac:dyDescent="0.2">
      <c r="A108" s="51">
        <v>0</v>
      </c>
      <c r="B108" s="52">
        <v>38</v>
      </c>
      <c r="C108" s="53">
        <v>7.4427900000000006E-5</v>
      </c>
      <c r="D108" s="53">
        <v>1.3837800000000001E-4</v>
      </c>
      <c r="E108" s="99">
        <v>5.9999999999999995E-4</v>
      </c>
      <c r="F108" s="99">
        <v>2.9999999999999997E-4</v>
      </c>
    </row>
    <row r="109" spans="1:6" ht="12.75" customHeight="1" x14ac:dyDescent="0.2">
      <c r="A109" s="51">
        <v>0</v>
      </c>
      <c r="B109" s="52">
        <v>39</v>
      </c>
      <c r="C109" s="53">
        <v>7.9750299999999994E-5</v>
      </c>
      <c r="D109" s="53">
        <v>1.8621999999999999E-4</v>
      </c>
      <c r="E109" s="99">
        <v>6.9999999999999999E-4</v>
      </c>
      <c r="F109" s="99">
        <v>2.9999999999999997E-4</v>
      </c>
    </row>
    <row r="110" spans="1:6" ht="12.75" customHeight="1" x14ac:dyDescent="0.2">
      <c r="A110" s="51">
        <v>0</v>
      </c>
      <c r="B110" s="52">
        <v>40</v>
      </c>
      <c r="C110" s="53">
        <v>8.5453399999999997E-5</v>
      </c>
      <c r="D110" s="53">
        <v>2.5060099999999998E-4</v>
      </c>
      <c r="E110" s="99">
        <v>8.0000000000000004E-4</v>
      </c>
      <c r="F110" s="99">
        <v>2.9999999999999997E-4</v>
      </c>
    </row>
    <row r="111" spans="1:6" ht="12.75" customHeight="1" x14ac:dyDescent="0.2">
      <c r="A111" s="51">
        <v>0</v>
      </c>
      <c r="B111" s="52">
        <v>41</v>
      </c>
      <c r="C111" s="53">
        <v>9.15643E-5</v>
      </c>
      <c r="D111" s="53">
        <v>3.3724200000000002E-4</v>
      </c>
      <c r="E111" s="99">
        <v>8.9999999999999998E-4</v>
      </c>
      <c r="F111" s="99">
        <v>2.9999999999999997E-4</v>
      </c>
    </row>
    <row r="112" spans="1:6" ht="12.75" customHeight="1" x14ac:dyDescent="0.2">
      <c r="A112" s="51">
        <v>0</v>
      </c>
      <c r="B112" s="52">
        <v>42</v>
      </c>
      <c r="C112" s="53">
        <v>9.8112199999999999E-5</v>
      </c>
      <c r="D112" s="53">
        <v>4.5383700000000001E-4</v>
      </c>
      <c r="E112" s="99">
        <v>1E-3</v>
      </c>
      <c r="F112" s="99">
        <v>4.0000000000000002E-4</v>
      </c>
    </row>
    <row r="113" spans="1:6" ht="12.75" customHeight="1" x14ac:dyDescent="0.2">
      <c r="A113" s="51">
        <v>0</v>
      </c>
      <c r="B113" s="52">
        <v>43</v>
      </c>
      <c r="C113" s="53">
        <v>1.1604600000000001E-4</v>
      </c>
      <c r="D113" s="53">
        <v>4.6356099999999998E-4</v>
      </c>
      <c r="E113" s="99">
        <v>1.1999999999999999E-3</v>
      </c>
      <c r="F113" s="99">
        <v>4.0000000000000002E-4</v>
      </c>
    </row>
    <row r="114" spans="1:6" ht="12.75" customHeight="1" x14ac:dyDescent="0.2">
      <c r="A114" s="51">
        <v>0</v>
      </c>
      <c r="B114" s="52">
        <v>44</v>
      </c>
      <c r="C114" s="53">
        <v>1.37257E-4</v>
      </c>
      <c r="D114" s="53">
        <v>4.7349399999999998E-4</v>
      </c>
      <c r="E114" s="99">
        <v>1.2999999999999999E-3</v>
      </c>
      <c r="F114" s="99">
        <v>5.0000000000000001E-4</v>
      </c>
    </row>
    <row r="115" spans="1:6" ht="12.75" customHeight="1" x14ac:dyDescent="0.2">
      <c r="A115" s="51">
        <v>0</v>
      </c>
      <c r="B115" s="52">
        <v>45</v>
      </c>
      <c r="C115" s="53">
        <v>1.6234499999999999E-4</v>
      </c>
      <c r="D115" s="53">
        <v>4.8364000000000002E-4</v>
      </c>
      <c r="E115" s="99">
        <v>1.5E-3</v>
      </c>
      <c r="F115" s="99">
        <v>5.9999999999999995E-4</v>
      </c>
    </row>
    <row r="116" spans="1:6" ht="12.75" customHeight="1" x14ac:dyDescent="0.2">
      <c r="A116" s="51">
        <v>0</v>
      </c>
      <c r="B116" s="52">
        <v>46</v>
      </c>
      <c r="C116" s="53">
        <v>1.9201999999999999E-4</v>
      </c>
      <c r="D116" s="53">
        <v>4.9400300000000002E-4</v>
      </c>
      <c r="E116" s="99">
        <v>1.6000000000000001E-3</v>
      </c>
      <c r="F116" s="99">
        <v>6.9999999999999999E-4</v>
      </c>
    </row>
    <row r="117" spans="1:6" ht="12.75" customHeight="1" x14ac:dyDescent="0.2">
      <c r="A117" s="51">
        <v>0</v>
      </c>
      <c r="B117" s="52">
        <v>47</v>
      </c>
      <c r="C117" s="53">
        <v>2.27118E-4</v>
      </c>
      <c r="D117" s="53">
        <v>5.0458800000000004E-4</v>
      </c>
      <c r="E117" s="99">
        <v>1.6999999999999999E-3</v>
      </c>
      <c r="F117" s="99">
        <v>8.0000000000000004E-4</v>
      </c>
    </row>
    <row r="118" spans="1:6" ht="12.75" customHeight="1" x14ac:dyDescent="0.2">
      <c r="A118" s="51">
        <v>0</v>
      </c>
      <c r="B118" s="52">
        <v>48</v>
      </c>
      <c r="C118" s="53">
        <v>2.3315E-4</v>
      </c>
      <c r="D118" s="53">
        <v>6.7787299999999995E-4</v>
      </c>
      <c r="E118" s="99">
        <v>1.6999999999999999E-3</v>
      </c>
      <c r="F118" s="99">
        <v>8.9999999999999998E-4</v>
      </c>
    </row>
    <row r="119" spans="1:6" ht="12.75" customHeight="1" x14ac:dyDescent="0.2">
      <c r="A119" s="51">
        <v>0</v>
      </c>
      <c r="B119" s="52">
        <v>49</v>
      </c>
      <c r="C119" s="53">
        <v>2.39342E-4</v>
      </c>
      <c r="D119" s="53">
        <v>9.10668E-4</v>
      </c>
      <c r="E119" s="99">
        <v>1.6999999999999999E-3</v>
      </c>
      <c r="F119" s="99">
        <v>8.9999999999999998E-4</v>
      </c>
    </row>
    <row r="120" spans="1:6" ht="12.75" customHeight="1" x14ac:dyDescent="0.2">
      <c r="A120" s="51">
        <v>0</v>
      </c>
      <c r="B120" s="52">
        <v>50</v>
      </c>
      <c r="C120" s="53">
        <v>2.4569899999999999E-4</v>
      </c>
      <c r="D120" s="53">
        <v>1.223409E-3</v>
      </c>
      <c r="E120" s="99">
        <v>1.6999999999999999E-3</v>
      </c>
      <c r="F120" s="99">
        <v>1E-3</v>
      </c>
    </row>
    <row r="121" spans="1:6" ht="12.75" customHeight="1" x14ac:dyDescent="0.2">
      <c r="A121" s="51">
        <v>0</v>
      </c>
      <c r="B121" s="52">
        <v>51</v>
      </c>
      <c r="C121" s="53">
        <v>2.52224E-4</v>
      </c>
      <c r="D121" s="53">
        <v>1.643551E-3</v>
      </c>
      <c r="E121" s="99">
        <v>1.8E-3</v>
      </c>
      <c r="F121" s="99">
        <v>1E-3</v>
      </c>
    </row>
    <row r="122" spans="1:6" ht="12.75" customHeight="1" x14ac:dyDescent="0.2">
      <c r="A122" s="51">
        <v>0</v>
      </c>
      <c r="B122" s="52">
        <v>52</v>
      </c>
      <c r="C122" s="53">
        <v>2.5892299999999999E-4</v>
      </c>
      <c r="D122" s="53">
        <v>2.2079780000000002E-3</v>
      </c>
      <c r="E122" s="99">
        <v>1.9E-3</v>
      </c>
      <c r="F122" s="99">
        <v>1.1000000000000001E-3</v>
      </c>
    </row>
    <row r="123" spans="1:6" ht="12.75" customHeight="1" x14ac:dyDescent="0.2">
      <c r="A123" s="51">
        <v>0</v>
      </c>
      <c r="B123" s="52">
        <v>53</v>
      </c>
      <c r="C123" s="53">
        <v>3.0496499999999998E-4</v>
      </c>
      <c r="D123" s="53">
        <v>2.3591789999999999E-3</v>
      </c>
      <c r="E123" s="99">
        <v>2E-3</v>
      </c>
      <c r="F123" s="99">
        <v>1.1999999999999999E-3</v>
      </c>
    </row>
    <row r="124" spans="1:6" ht="12.75" customHeight="1" x14ac:dyDescent="0.2">
      <c r="A124" s="51">
        <v>0</v>
      </c>
      <c r="B124" s="52">
        <v>54</v>
      </c>
      <c r="C124" s="53">
        <v>3.5919400000000002E-4</v>
      </c>
      <c r="D124" s="53">
        <v>2.5207350000000001E-3</v>
      </c>
      <c r="E124" s="99">
        <v>2.2000000000000001E-3</v>
      </c>
      <c r="F124" s="99">
        <v>1.2999999999999999E-3</v>
      </c>
    </row>
    <row r="125" spans="1:6" ht="12.75" customHeight="1" x14ac:dyDescent="0.2">
      <c r="A125" s="51">
        <v>0</v>
      </c>
      <c r="B125" s="52">
        <v>55</v>
      </c>
      <c r="C125" s="53">
        <v>4.2306599999999999E-4</v>
      </c>
      <c r="D125" s="53">
        <v>2.6933539999999998E-3</v>
      </c>
      <c r="E125" s="99">
        <v>2.3999999999999998E-3</v>
      </c>
      <c r="F125" s="99">
        <v>1.4E-3</v>
      </c>
    </row>
    <row r="126" spans="1:6" ht="12.75" customHeight="1" x14ac:dyDescent="0.2">
      <c r="A126" s="51">
        <v>0</v>
      </c>
      <c r="B126" s="52">
        <v>56</v>
      </c>
      <c r="C126" s="53">
        <v>4.9829500000000005E-4</v>
      </c>
      <c r="D126" s="53">
        <v>2.8777939999999999E-3</v>
      </c>
      <c r="E126" s="99">
        <v>2.7000000000000001E-3</v>
      </c>
      <c r="F126" s="99">
        <v>1.5E-3</v>
      </c>
    </row>
    <row r="127" spans="1:6" ht="12.75" customHeight="1" x14ac:dyDescent="0.2">
      <c r="A127" s="51">
        <v>0</v>
      </c>
      <c r="B127" s="52">
        <v>57</v>
      </c>
      <c r="C127" s="53">
        <v>5.8690200000000004E-4</v>
      </c>
      <c r="D127" s="53">
        <v>3.0748640000000001E-3</v>
      </c>
      <c r="E127" s="99">
        <v>3.0000000000000001E-3</v>
      </c>
      <c r="F127" s="99">
        <v>1.8E-3</v>
      </c>
    </row>
    <row r="128" spans="1:6" ht="12.75" customHeight="1" x14ac:dyDescent="0.2">
      <c r="A128" s="51">
        <v>0</v>
      </c>
      <c r="B128" s="52">
        <v>58</v>
      </c>
      <c r="C128" s="53">
        <v>6.4760000000000002E-4</v>
      </c>
      <c r="D128" s="53">
        <v>3.224584E-3</v>
      </c>
      <c r="E128" s="99">
        <v>3.3E-3</v>
      </c>
      <c r="F128" s="99">
        <v>2E-3</v>
      </c>
    </row>
    <row r="129" spans="1:6" ht="12.75" customHeight="1" x14ac:dyDescent="0.2">
      <c r="A129" s="51">
        <v>0</v>
      </c>
      <c r="B129" s="52">
        <v>59</v>
      </c>
      <c r="C129" s="53">
        <v>7.1457499999999995E-4</v>
      </c>
      <c r="D129" s="53">
        <v>3.3815939999999999E-3</v>
      </c>
      <c r="E129" s="99">
        <v>3.5999999999999999E-3</v>
      </c>
      <c r="F129" s="99">
        <v>2.3999999999999998E-3</v>
      </c>
    </row>
    <row r="130" spans="1:6" ht="12.75" customHeight="1" x14ac:dyDescent="0.2">
      <c r="A130" s="51">
        <v>0</v>
      </c>
      <c r="B130" s="52">
        <v>60</v>
      </c>
      <c r="C130" s="53">
        <v>7.8847699999999999E-4</v>
      </c>
      <c r="D130" s="53">
        <v>3.5462480000000001E-3</v>
      </c>
      <c r="E130" s="99">
        <v>3.8999999999999998E-3</v>
      </c>
      <c r="F130" s="99">
        <v>2.8E-3</v>
      </c>
    </row>
    <row r="131" spans="1:6" ht="12.75" customHeight="1" x14ac:dyDescent="0.2">
      <c r="A131" s="51">
        <v>0</v>
      </c>
      <c r="B131" s="52">
        <v>61</v>
      </c>
      <c r="C131" s="53">
        <v>8.7002200000000003E-4</v>
      </c>
      <c r="D131" s="53">
        <v>3.7189200000000001E-3</v>
      </c>
      <c r="E131" s="99">
        <v>4.1999999999999997E-3</v>
      </c>
      <c r="F131" s="99">
        <v>3.3999999999999998E-3</v>
      </c>
    </row>
    <row r="132" spans="1:6" ht="12.75" customHeight="1" x14ac:dyDescent="0.2">
      <c r="A132" s="51">
        <v>0</v>
      </c>
      <c r="B132" s="52">
        <v>62</v>
      </c>
      <c r="C132" s="53">
        <v>9.6000000000000002E-4</v>
      </c>
      <c r="D132" s="53">
        <v>3.8999999999999998E-3</v>
      </c>
      <c r="E132" s="99">
        <v>4.4000000000000003E-3</v>
      </c>
      <c r="F132" s="99">
        <v>4.1000000000000003E-3</v>
      </c>
    </row>
    <row r="133" spans="1:6" ht="12.75" customHeight="1" x14ac:dyDescent="0.2">
      <c r="A133" s="51">
        <v>0</v>
      </c>
      <c r="B133" s="52">
        <v>63</v>
      </c>
      <c r="C133" s="53">
        <v>1.0992829999999999E-3</v>
      </c>
      <c r="D133" s="53">
        <v>4.0448350000000001E-3</v>
      </c>
      <c r="E133" s="99">
        <v>4.7000000000000002E-3</v>
      </c>
      <c r="F133" s="99">
        <v>5.0000000000000001E-3</v>
      </c>
    </row>
    <row r="134" spans="1:6" ht="12.75" customHeight="1" x14ac:dyDescent="0.2">
      <c r="A134" s="51">
        <v>0</v>
      </c>
      <c r="B134" s="52">
        <v>64</v>
      </c>
      <c r="C134" s="53">
        <v>1.2587729999999999E-3</v>
      </c>
      <c r="D134" s="53">
        <v>4.1950499999999996E-3</v>
      </c>
      <c r="E134" s="99">
        <v>5.0000000000000001E-3</v>
      </c>
      <c r="F134" s="99">
        <v>6.0000000000000001E-3</v>
      </c>
    </row>
    <row r="135" spans="1:6" ht="12.75" customHeight="1" x14ac:dyDescent="0.2">
      <c r="A135" s="51">
        <v>0</v>
      </c>
      <c r="B135" s="52">
        <v>65</v>
      </c>
      <c r="C135" s="53">
        <v>1.4414040000000001E-3</v>
      </c>
      <c r="D135" s="53">
        <v>4.3508419999999997E-3</v>
      </c>
      <c r="E135" s="99">
        <v>5.4999999999999997E-3</v>
      </c>
      <c r="F135" s="99">
        <v>7.1999999999999998E-3</v>
      </c>
    </row>
    <row r="136" spans="1:6" ht="12.75" customHeight="1" x14ac:dyDescent="0.2">
      <c r="A136" s="51">
        <v>0</v>
      </c>
      <c r="B136" s="52">
        <v>66</v>
      </c>
      <c r="C136" s="53">
        <v>1.650531E-3</v>
      </c>
      <c r="D136" s="53">
        <v>4.512421E-3</v>
      </c>
      <c r="E136" s="99">
        <v>6.1999999999999998E-3</v>
      </c>
      <c r="F136" s="99">
        <v>8.6E-3</v>
      </c>
    </row>
    <row r="137" spans="1:6" ht="12.75" customHeight="1" x14ac:dyDescent="0.2">
      <c r="A137" s="51">
        <v>0</v>
      </c>
      <c r="B137" s="52">
        <v>67</v>
      </c>
      <c r="C137" s="53">
        <v>1.89E-3</v>
      </c>
      <c r="D137" s="53">
        <v>4.6800000000000001E-3</v>
      </c>
      <c r="E137" s="99">
        <v>7.1999999999999998E-3</v>
      </c>
      <c r="F137" s="99">
        <v>1.01E-2</v>
      </c>
    </row>
    <row r="138" spans="1:6" ht="12.75" customHeight="1" x14ac:dyDescent="0.2">
      <c r="A138" s="51">
        <v>0</v>
      </c>
      <c r="B138" s="52">
        <v>68</v>
      </c>
      <c r="C138" s="53">
        <v>2.424098E-3</v>
      </c>
      <c r="D138" s="53">
        <v>5.0622469999999998E-3</v>
      </c>
      <c r="E138" s="99">
        <v>8.6E-3</v>
      </c>
      <c r="F138" s="99">
        <v>1.1599999999999999E-2</v>
      </c>
    </row>
    <row r="139" spans="1:6" ht="12.75" customHeight="1" x14ac:dyDescent="0.2">
      <c r="A139" s="51">
        <v>0</v>
      </c>
      <c r="B139" s="52">
        <v>69</v>
      </c>
      <c r="C139" s="53">
        <v>3.1091280000000001E-3</v>
      </c>
      <c r="D139" s="53">
        <v>5.4757149999999999E-3</v>
      </c>
      <c r="E139" s="99">
        <v>1.0500000000000001E-2</v>
      </c>
      <c r="F139" s="99">
        <v>1.32E-2</v>
      </c>
    </row>
    <row r="140" spans="1:6" ht="12.75" customHeight="1" x14ac:dyDescent="0.2">
      <c r="A140" s="51">
        <v>0</v>
      </c>
      <c r="B140" s="52">
        <v>70</v>
      </c>
      <c r="C140" s="53">
        <v>3.9877419999999998E-3</v>
      </c>
      <c r="D140" s="53">
        <v>5.9229529999999999E-3</v>
      </c>
      <c r="E140" s="99">
        <v>1.2800000000000001E-2</v>
      </c>
      <c r="F140" s="99">
        <v>1.49E-2</v>
      </c>
    </row>
    <row r="141" spans="1:6" ht="12.75" customHeight="1" x14ac:dyDescent="0.2">
      <c r="A141" s="51">
        <v>0</v>
      </c>
      <c r="B141" s="52">
        <v>71</v>
      </c>
      <c r="C141" s="53">
        <v>5.1146439999999998E-3</v>
      </c>
      <c r="D141" s="53">
        <v>6.4067200000000003E-3</v>
      </c>
      <c r="E141" s="99">
        <v>1.5699999999999999E-2</v>
      </c>
      <c r="F141" s="99">
        <v>1.6799999999999999E-2</v>
      </c>
    </row>
    <row r="142" spans="1:6" ht="12.75" customHeight="1" x14ac:dyDescent="0.2">
      <c r="A142" s="51">
        <v>0</v>
      </c>
      <c r="B142" s="52">
        <v>72</v>
      </c>
      <c r="C142" s="53">
        <v>6.5599999999999999E-3</v>
      </c>
      <c r="D142" s="53">
        <v>6.9300000000000004E-3</v>
      </c>
      <c r="E142" s="99">
        <v>1.9E-2</v>
      </c>
      <c r="F142" s="99">
        <v>1.9E-2</v>
      </c>
    </row>
    <row r="143" spans="1:6" ht="12.75" customHeight="1" x14ac:dyDescent="0.2">
      <c r="A143" s="51">
        <v>0</v>
      </c>
      <c r="B143" s="52">
        <v>73</v>
      </c>
      <c r="C143" s="53">
        <v>7.8600639999999999E-3</v>
      </c>
      <c r="D143" s="53">
        <v>7.9303870000000005E-3</v>
      </c>
      <c r="E143" s="99">
        <v>2.2800000000000001E-2</v>
      </c>
      <c r="F143" s="99">
        <v>2.18E-2</v>
      </c>
    </row>
    <row r="144" spans="1:6" ht="12.75" customHeight="1" x14ac:dyDescent="0.2">
      <c r="A144" s="51">
        <v>0</v>
      </c>
      <c r="B144" s="52">
        <v>74</v>
      </c>
      <c r="C144" s="53">
        <v>9.4177749999999998E-3</v>
      </c>
      <c r="D144" s="53">
        <v>9.0751849999999995E-3</v>
      </c>
      <c r="E144" s="99">
        <v>2.7099999999999999E-2</v>
      </c>
      <c r="F144" s="99">
        <v>2.53E-2</v>
      </c>
    </row>
    <row r="145" spans="1:6" ht="12.75" customHeight="1" x14ac:dyDescent="0.2">
      <c r="A145" s="51">
        <v>0</v>
      </c>
      <c r="B145" s="52">
        <v>75</v>
      </c>
      <c r="C145" s="53">
        <v>1.1284194000000001E-2</v>
      </c>
      <c r="D145" s="53">
        <v>1.0385241999999999E-2</v>
      </c>
      <c r="E145" s="99">
        <v>3.1699999999999999E-2</v>
      </c>
      <c r="F145" s="99">
        <v>2.98E-2</v>
      </c>
    </row>
    <row r="146" spans="1:6" ht="12.75" customHeight="1" x14ac:dyDescent="0.2">
      <c r="A146" s="51">
        <v>0</v>
      </c>
      <c r="B146" s="52">
        <v>76</v>
      </c>
      <c r="C146" s="53">
        <v>1.3520501000000001E-2</v>
      </c>
      <c r="D146" s="53">
        <v>1.1884413999999999E-2</v>
      </c>
      <c r="E146" s="99">
        <v>3.6700000000000003E-2</v>
      </c>
      <c r="F146" s="99">
        <v>3.5400000000000001E-2</v>
      </c>
    </row>
    <row r="147" spans="1:6" ht="12.75" customHeight="1" x14ac:dyDescent="0.2">
      <c r="A147" s="51">
        <v>0</v>
      </c>
      <c r="B147" s="52">
        <v>77</v>
      </c>
      <c r="C147" s="53">
        <v>1.6199999999999999E-2</v>
      </c>
      <c r="D147" s="53">
        <v>1.3599999999999999E-2</v>
      </c>
      <c r="E147" s="99">
        <v>4.2000000000000003E-2</v>
      </c>
      <c r="F147" s="99">
        <v>4.2200000000000001E-2</v>
      </c>
    </row>
    <row r="148" spans="1:6" ht="12.75" customHeight="1" x14ac:dyDescent="0.2">
      <c r="A148" s="51">
        <v>0</v>
      </c>
      <c r="B148" s="52">
        <v>78</v>
      </c>
      <c r="C148" s="53">
        <v>1.8597412000000001E-2</v>
      </c>
      <c r="D148" s="53">
        <v>1.5396461E-2</v>
      </c>
      <c r="E148" s="99">
        <v>4.7600000000000003E-2</v>
      </c>
      <c r="F148" s="99">
        <v>5.0200000000000002E-2</v>
      </c>
    </row>
    <row r="149" spans="1:6" ht="12.75" customHeight="1" x14ac:dyDescent="0.2">
      <c r="A149" s="51">
        <v>0</v>
      </c>
      <c r="B149" s="52">
        <v>79</v>
      </c>
      <c r="C149" s="53">
        <v>2.1349613999999999E-2</v>
      </c>
      <c r="D149" s="53">
        <v>1.743022E-2</v>
      </c>
      <c r="E149" s="99">
        <v>5.3600000000000002E-2</v>
      </c>
      <c r="F149" s="99">
        <v>5.9499999999999997E-2</v>
      </c>
    </row>
    <row r="150" spans="1:6" ht="12.75" customHeight="1" x14ac:dyDescent="0.2">
      <c r="A150" s="51">
        <v>0</v>
      </c>
      <c r="B150" s="52">
        <v>80</v>
      </c>
      <c r="C150" s="53">
        <v>2.4509109000000001E-2</v>
      </c>
      <c r="D150" s="53">
        <v>1.9732625E-2</v>
      </c>
      <c r="E150" s="99">
        <v>0.06</v>
      </c>
      <c r="F150" s="99">
        <v>6.9900000000000004E-2</v>
      </c>
    </row>
    <row r="151" spans="1:6" ht="12.75" customHeight="1" x14ac:dyDescent="0.2">
      <c r="A151" s="51">
        <v>0</v>
      </c>
      <c r="B151" s="52">
        <v>81</v>
      </c>
      <c r="C151" s="53">
        <v>2.8136173E-2</v>
      </c>
      <c r="D151" s="53">
        <v>2.233916E-2</v>
      </c>
      <c r="E151" s="99">
        <v>6.6900000000000001E-2</v>
      </c>
      <c r="F151" s="99">
        <v>8.1500000000000003E-2</v>
      </c>
    </row>
    <row r="152" spans="1:6" ht="12.75" customHeight="1" x14ac:dyDescent="0.2">
      <c r="A152" s="51">
        <v>0</v>
      </c>
      <c r="B152" s="52">
        <v>82</v>
      </c>
      <c r="C152" s="53">
        <v>3.2300000000000002E-2</v>
      </c>
      <c r="D152" s="53">
        <v>2.529E-2</v>
      </c>
      <c r="E152" s="99">
        <v>7.46E-2</v>
      </c>
      <c r="F152" s="99">
        <v>9.4399999999999998E-2</v>
      </c>
    </row>
    <row r="153" spans="1:6" ht="12.75" customHeight="1" x14ac:dyDescent="0.2">
      <c r="A153" s="51">
        <v>0</v>
      </c>
      <c r="B153" s="52">
        <v>83</v>
      </c>
      <c r="C153" s="53">
        <v>3.6056545000000002E-2</v>
      </c>
      <c r="D153" s="53">
        <v>2.8161556000000001E-2</v>
      </c>
      <c r="E153" s="99">
        <v>8.3299999999999999E-2</v>
      </c>
      <c r="F153" s="99">
        <v>0.1085</v>
      </c>
    </row>
    <row r="154" spans="1:6" ht="12.75" customHeight="1" x14ac:dyDescent="0.2">
      <c r="A154" s="51">
        <v>0</v>
      </c>
      <c r="B154" s="52">
        <v>84</v>
      </c>
      <c r="C154" s="53">
        <v>4.0249983000000003E-2</v>
      </c>
      <c r="D154" s="53">
        <v>3.1359163000000002E-2</v>
      </c>
      <c r="E154" s="99">
        <v>9.3100000000000002E-2</v>
      </c>
      <c r="F154" s="99">
        <v>0.12379999999999999</v>
      </c>
    </row>
    <row r="155" spans="1:6" ht="12.75" customHeight="1" x14ac:dyDescent="0.2">
      <c r="A155" s="51">
        <v>0</v>
      </c>
      <c r="B155" s="52">
        <v>85</v>
      </c>
      <c r="C155" s="53">
        <v>4.4931125000000002E-2</v>
      </c>
      <c r="D155" s="53">
        <v>3.4919842E-2</v>
      </c>
      <c r="E155" s="99">
        <v>0.10440000000000001</v>
      </c>
      <c r="F155" s="99">
        <v>0.14030000000000001</v>
      </c>
    </row>
    <row r="156" spans="1:6" ht="12.75" customHeight="1" x14ac:dyDescent="0.2">
      <c r="A156" s="51">
        <v>0</v>
      </c>
      <c r="B156" s="52">
        <v>86</v>
      </c>
      <c r="C156" s="53">
        <v>5.0156691000000003E-2</v>
      </c>
      <c r="D156" s="53">
        <v>3.8884819000000001E-2</v>
      </c>
      <c r="E156" s="99">
        <v>0.1174</v>
      </c>
      <c r="F156" s="99">
        <v>0.15770000000000001</v>
      </c>
    </row>
    <row r="157" spans="1:6" ht="12.75" customHeight="1" x14ac:dyDescent="0.2">
      <c r="A157" s="51">
        <v>0</v>
      </c>
      <c r="B157" s="52">
        <v>87</v>
      </c>
      <c r="C157" s="53">
        <v>5.5989999999999998E-2</v>
      </c>
      <c r="D157" s="53">
        <v>4.3299999999999998E-2</v>
      </c>
      <c r="E157" s="99">
        <v>0.1323</v>
      </c>
      <c r="F157" s="99">
        <v>0.17599999999999999</v>
      </c>
    </row>
    <row r="158" spans="1:6" ht="12.75" customHeight="1" x14ac:dyDescent="0.2">
      <c r="A158" s="51">
        <v>0</v>
      </c>
      <c r="B158" s="52">
        <v>88</v>
      </c>
      <c r="C158" s="53">
        <v>6.0308451999999999E-2</v>
      </c>
      <c r="D158" s="53">
        <v>4.6597896999999999E-2</v>
      </c>
      <c r="E158" s="99">
        <v>0.14929999999999999</v>
      </c>
      <c r="F158" s="99">
        <v>0.1946</v>
      </c>
    </row>
    <row r="159" spans="1:6" ht="12.75" customHeight="1" x14ac:dyDescent="0.2">
      <c r="A159" s="51">
        <v>0</v>
      </c>
      <c r="B159" s="52">
        <v>89</v>
      </c>
      <c r="C159" s="53">
        <v>6.4959982999999999E-2</v>
      </c>
      <c r="D159" s="53">
        <v>5.0146976000000003E-2</v>
      </c>
      <c r="E159" s="99">
        <v>0.1686</v>
      </c>
      <c r="F159" s="99">
        <v>0.21340000000000001</v>
      </c>
    </row>
    <row r="160" spans="1:6" ht="12.75" customHeight="1" x14ac:dyDescent="0.2">
      <c r="A160" s="51">
        <v>0</v>
      </c>
      <c r="B160" s="52">
        <v>90</v>
      </c>
      <c r="C160" s="53">
        <v>6.9970280999999995E-2</v>
      </c>
      <c r="D160" s="53">
        <v>5.3966365000000002E-2</v>
      </c>
      <c r="E160" s="99">
        <v>0.19009999999999999</v>
      </c>
      <c r="F160" s="99">
        <v>0.2319</v>
      </c>
    </row>
    <row r="161" spans="1:6" ht="12.75" customHeight="1" x14ac:dyDescent="0.2">
      <c r="A161" s="51">
        <v>0</v>
      </c>
      <c r="B161" s="52">
        <v>91</v>
      </c>
      <c r="C161" s="53">
        <v>7.5367017999999994E-2</v>
      </c>
      <c r="D161" s="53">
        <v>5.8076654999999998E-2</v>
      </c>
      <c r="E161" s="99">
        <v>0.21410000000000001</v>
      </c>
      <c r="F161" s="99">
        <v>0.24990000000000001</v>
      </c>
    </row>
    <row r="162" spans="1:6" ht="12.75" customHeight="1" x14ac:dyDescent="0.2">
      <c r="A162" s="51">
        <v>0</v>
      </c>
      <c r="B162" s="52">
        <v>92</v>
      </c>
      <c r="C162" s="53">
        <v>8.1180000000000002E-2</v>
      </c>
      <c r="D162" s="53">
        <v>6.25E-2</v>
      </c>
      <c r="E162" s="99">
        <v>0.2407</v>
      </c>
      <c r="F162" s="99">
        <v>0.26719999999999999</v>
      </c>
    </row>
    <row r="163" spans="1:6" ht="12.75" customHeight="1" x14ac:dyDescent="0.2">
      <c r="A163" s="51">
        <v>0</v>
      </c>
      <c r="B163" s="52">
        <v>93</v>
      </c>
      <c r="C163" s="53">
        <v>8.6471675999999997E-2</v>
      </c>
      <c r="D163" s="53">
        <v>6.6573313999999995E-2</v>
      </c>
      <c r="E163" s="99">
        <v>0.26979999999999998</v>
      </c>
      <c r="F163" s="99">
        <v>0.28360000000000002</v>
      </c>
    </row>
    <row r="164" spans="1:6" ht="12.75" customHeight="1" x14ac:dyDescent="0.2">
      <c r="A164" s="51">
        <v>0</v>
      </c>
      <c r="B164" s="52">
        <v>94</v>
      </c>
      <c r="C164" s="53">
        <v>9.2108286999999997E-2</v>
      </c>
      <c r="D164" s="53">
        <v>7.0912099000000006E-2</v>
      </c>
      <c r="E164" s="99">
        <v>0.30170000000000002</v>
      </c>
      <c r="F164" s="99">
        <v>0.29909999999999998</v>
      </c>
    </row>
    <row r="165" spans="1:6" ht="12.75" customHeight="1" x14ac:dyDescent="0.2">
      <c r="A165" s="51">
        <v>0</v>
      </c>
      <c r="B165" s="52">
        <v>95</v>
      </c>
      <c r="C165" s="53">
        <v>9.8112318000000004E-2</v>
      </c>
      <c r="D165" s="53">
        <v>7.5533655000000005E-2</v>
      </c>
      <c r="E165" s="99">
        <v>0.33639999999999998</v>
      </c>
      <c r="F165" s="99">
        <v>0.31359999999999999</v>
      </c>
    </row>
    <row r="166" spans="1:6" ht="12.75" customHeight="1" x14ac:dyDescent="0.2">
      <c r="A166" s="51">
        <v>0</v>
      </c>
      <c r="B166" s="52">
        <v>96</v>
      </c>
      <c r="C166" s="53">
        <v>0.104507719</v>
      </c>
      <c r="D166" s="53">
        <v>8.0456412000000005E-2</v>
      </c>
      <c r="E166" s="99">
        <v>0.37380000000000002</v>
      </c>
      <c r="F166" s="99">
        <v>0.32700000000000001</v>
      </c>
    </row>
    <row r="167" spans="1:6" ht="12.75" customHeight="1" x14ac:dyDescent="0.2">
      <c r="A167" s="51">
        <v>0</v>
      </c>
      <c r="B167" s="52">
        <v>97</v>
      </c>
      <c r="C167" s="53">
        <v>0.11132</v>
      </c>
      <c r="D167" s="53">
        <v>8.5699999999999998E-2</v>
      </c>
      <c r="E167" s="99">
        <v>0.41410000000000002</v>
      </c>
      <c r="F167" s="99">
        <v>0.33939999999999998</v>
      </c>
    </row>
    <row r="168" spans="1:6" ht="12.75" customHeight="1" x14ac:dyDescent="0.2">
      <c r="A168" s="51">
        <v>0</v>
      </c>
      <c r="B168" s="52">
        <v>98</v>
      </c>
      <c r="C168" s="53">
        <v>0.11757295199999999</v>
      </c>
      <c r="D168" s="53">
        <v>9.0573332000000006E-2</v>
      </c>
      <c r="E168" s="99">
        <v>0.4572</v>
      </c>
      <c r="F168" s="99">
        <v>0.3508</v>
      </c>
    </row>
    <row r="169" spans="1:6" ht="12.75" customHeight="1" x14ac:dyDescent="0.2">
      <c r="A169" s="51">
        <v>0</v>
      </c>
      <c r="B169" s="52">
        <v>99</v>
      </c>
      <c r="C169" s="53">
        <v>0.12417713900000001</v>
      </c>
      <c r="D169" s="53">
        <v>9.5723787000000005E-2</v>
      </c>
      <c r="E169" s="99">
        <v>0.50319999999999998</v>
      </c>
      <c r="F169" s="99">
        <v>0.36120000000000002</v>
      </c>
    </row>
    <row r="170" spans="1:6" ht="12.75" customHeight="1" x14ac:dyDescent="0.2">
      <c r="A170" s="51">
        <v>0</v>
      </c>
      <c r="B170" s="52">
        <v>100</v>
      </c>
      <c r="C170" s="53">
        <v>0.13115228900000001</v>
      </c>
      <c r="D170" s="53">
        <v>0.101167122</v>
      </c>
      <c r="E170" s="99">
        <v>0.55200000000000005</v>
      </c>
      <c r="F170" s="99">
        <v>0.37080000000000002</v>
      </c>
    </row>
    <row r="171" spans="1:6" ht="12.75" customHeight="1" x14ac:dyDescent="0.2">
      <c r="A171" s="51">
        <v>0</v>
      </c>
      <c r="B171" s="52">
        <v>101</v>
      </c>
      <c r="C171" s="53">
        <v>0.13851923999999999</v>
      </c>
      <c r="D171" s="53">
        <v>0.10691999200000001</v>
      </c>
      <c r="E171" s="99">
        <v>0.60360000000000003</v>
      </c>
      <c r="F171" s="99">
        <v>0.37959999999999999</v>
      </c>
    </row>
    <row r="172" spans="1:6" ht="12.75" customHeight="1" x14ac:dyDescent="0.2">
      <c r="A172" s="51">
        <v>0</v>
      </c>
      <c r="B172" s="52">
        <v>102</v>
      </c>
      <c r="C172" s="53">
        <v>0.14630000000000001</v>
      </c>
      <c r="D172" s="53">
        <v>0.113</v>
      </c>
      <c r="E172" s="99">
        <v>0.65810000000000002</v>
      </c>
      <c r="F172" s="99">
        <v>0.38769999999999999</v>
      </c>
    </row>
    <row r="173" spans="1:6" ht="12.75" customHeight="1" x14ac:dyDescent="0.2">
      <c r="A173" s="51">
        <v>0</v>
      </c>
      <c r="B173" s="52">
        <v>103</v>
      </c>
      <c r="C173" s="53">
        <v>0.14630000000000001</v>
      </c>
      <c r="D173" s="53">
        <v>0.113</v>
      </c>
      <c r="E173" s="99">
        <v>0.71540000000000004</v>
      </c>
      <c r="F173" s="99">
        <v>0.39500000000000002</v>
      </c>
    </row>
    <row r="174" spans="1:6" ht="12.75" customHeight="1" x14ac:dyDescent="0.2">
      <c r="A174" s="51">
        <v>0</v>
      </c>
      <c r="B174" s="52">
        <v>104</v>
      </c>
      <c r="C174" s="53">
        <v>0.14630000000000001</v>
      </c>
      <c r="D174" s="53">
        <v>0.113</v>
      </c>
      <c r="E174" s="99">
        <v>0.77549999999999997</v>
      </c>
      <c r="F174" s="99">
        <v>0.40179999999999999</v>
      </c>
    </row>
    <row r="175" spans="1:6" ht="12.75" customHeight="1" x14ac:dyDescent="0.2">
      <c r="A175" s="51">
        <v>0</v>
      </c>
      <c r="B175" s="52">
        <v>105</v>
      </c>
      <c r="C175" s="53">
        <v>0.14630000000000001</v>
      </c>
      <c r="D175" s="53">
        <v>0.113</v>
      </c>
      <c r="E175" s="99">
        <v>0.83160000000000001</v>
      </c>
      <c r="F175" s="99">
        <v>0.40789999999999998</v>
      </c>
    </row>
    <row r="176" spans="1:6" ht="12.75" customHeight="1" x14ac:dyDescent="0.2">
      <c r="A176" s="51">
        <v>0</v>
      </c>
      <c r="B176" s="52">
        <v>106</v>
      </c>
      <c r="C176" s="53">
        <v>0.14630000000000001</v>
      </c>
      <c r="D176" s="53">
        <v>0.113</v>
      </c>
      <c r="E176" s="99">
        <v>0.87370000000000003</v>
      </c>
      <c r="F176" s="99">
        <v>0.41339999999999999</v>
      </c>
    </row>
    <row r="177" spans="1:6" ht="12.75" customHeight="1" x14ac:dyDescent="0.2">
      <c r="A177" s="51">
        <v>0</v>
      </c>
      <c r="B177" s="52">
        <v>107</v>
      </c>
      <c r="C177" s="53">
        <v>0.14630000000000001</v>
      </c>
      <c r="D177" s="53">
        <v>0.113</v>
      </c>
      <c r="E177" s="99">
        <v>0.90529999999999999</v>
      </c>
      <c r="F177" s="99">
        <v>0.41830000000000001</v>
      </c>
    </row>
    <row r="178" spans="1:6" ht="12.75" customHeight="1" x14ac:dyDescent="0.2">
      <c r="A178" s="51">
        <v>0</v>
      </c>
      <c r="B178" s="52">
        <v>108</v>
      </c>
      <c r="C178" s="53">
        <v>0.14630000000000001</v>
      </c>
      <c r="D178" s="53">
        <v>0.113</v>
      </c>
      <c r="E178" s="99">
        <v>0.92900000000000005</v>
      </c>
      <c r="F178" s="99">
        <v>0.42259999999999998</v>
      </c>
    </row>
    <row r="179" spans="1:6" ht="12.75" customHeight="1" x14ac:dyDescent="0.2">
      <c r="A179" s="51">
        <v>0</v>
      </c>
      <c r="B179" s="52">
        <v>109</v>
      </c>
      <c r="C179" s="53">
        <v>0.14630000000000001</v>
      </c>
      <c r="D179" s="53">
        <v>0.113</v>
      </c>
      <c r="E179" s="99">
        <v>0.94669999999999999</v>
      </c>
      <c r="F179" s="99">
        <v>0.42620000000000002</v>
      </c>
    </row>
    <row r="180" spans="1:6" ht="12.75" customHeight="1" x14ac:dyDescent="0.2">
      <c r="A180" s="51">
        <v>0</v>
      </c>
      <c r="B180" s="54">
        <v>110</v>
      </c>
      <c r="C180" s="53">
        <v>0.14630000000000001</v>
      </c>
      <c r="D180" s="53">
        <v>0.113</v>
      </c>
      <c r="E180" s="99">
        <v>0.96</v>
      </c>
      <c r="F180" s="99">
        <v>0.42930000000000001</v>
      </c>
    </row>
  </sheetData>
  <conditionalFormatting sqref="C8:D9 A8:A9 C32:D33 C29:C31 A44 C44:D44 C28:D28 C12:D12 A11:A13 C34 C41 A25:A34 A41 A19 C45:C48 C50 A70:A180 C70:F180 C10:C11 C13:C27">
    <cfRule type="cellIs" dxfId="77" priority="352" operator="equal">
      <formula>""</formula>
    </cfRule>
  </conditionalFormatting>
  <conditionalFormatting sqref="D8:D9 A8:A9 D32:D33 D44 A44 D28 D12 A11:A13 A25:A34 A41 A19 D19 C45:C48 C50">
    <cfRule type="cellIs" dxfId="76" priority="373" operator="notEqual">
      <formula>$A8</formula>
    </cfRule>
  </conditionalFormatting>
  <conditionalFormatting sqref="D22 D24 C58">
    <cfRule type="cellIs" dxfId="75" priority="153" operator="equal">
      <formula>""</formula>
    </cfRule>
  </conditionalFormatting>
  <conditionalFormatting sqref="D24 D10 D22 D14:D18 C58">
    <cfRule type="cellIs" dxfId="74" priority="154" operator="notEqual">
      <formula>$A10</formula>
    </cfRule>
  </conditionalFormatting>
  <conditionalFormatting sqref="D22 D24">
    <cfRule type="cellIs" dxfId="73" priority="152" operator="equal">
      <formula>""</formula>
    </cfRule>
  </conditionalFormatting>
  <conditionalFormatting sqref="D25:D26">
    <cfRule type="cellIs" dxfId="72" priority="143" operator="equal">
      <formula>""</formula>
    </cfRule>
  </conditionalFormatting>
  <conditionalFormatting sqref="D25:D26">
    <cfRule type="cellIs" dxfId="71" priority="144" operator="notEqual">
      <formula>$A25</formula>
    </cfRule>
  </conditionalFormatting>
  <conditionalFormatting sqref="D31">
    <cfRule type="cellIs" dxfId="70" priority="106" operator="equal">
      <formula>""</formula>
    </cfRule>
  </conditionalFormatting>
  <conditionalFormatting sqref="D31">
    <cfRule type="cellIs" dxfId="69" priority="107" operator="notEqual">
      <formula>$A31</formula>
    </cfRule>
  </conditionalFormatting>
  <conditionalFormatting sqref="D29:D30">
    <cfRule type="cellIs" dxfId="68" priority="99" operator="equal">
      <formula>""</formula>
    </cfRule>
  </conditionalFormatting>
  <conditionalFormatting sqref="D29:D30">
    <cfRule type="cellIs" dxfId="67" priority="100" operator="notEqual">
      <formula>$A29</formula>
    </cfRule>
  </conditionalFormatting>
  <conditionalFormatting sqref="D34 D41">
    <cfRule type="cellIs" dxfId="66" priority="95" operator="equal">
      <formula>""</formula>
    </cfRule>
  </conditionalFormatting>
  <conditionalFormatting sqref="D34 D41">
    <cfRule type="cellIs" dxfId="65" priority="96" operator="notEqual">
      <formula>$A34</formula>
    </cfRule>
  </conditionalFormatting>
  <conditionalFormatting sqref="D19">
    <cfRule type="cellIs" dxfId="64" priority="83" operator="equal">
      <formula>""</formula>
    </cfRule>
  </conditionalFormatting>
  <conditionalFormatting sqref="E88:E96">
    <cfRule type="cellIs" dxfId="63" priority="80" operator="equal">
      <formula>""</formula>
    </cfRule>
  </conditionalFormatting>
  <conditionalFormatting sqref="A89:A180 C89:F180">
    <cfRule type="cellIs" dxfId="62" priority="79" operator="notEqual">
      <formula>$A88</formula>
    </cfRule>
  </conditionalFormatting>
  <conditionalFormatting sqref="D20">
    <cfRule type="cellIs" dxfId="61" priority="76" operator="equal">
      <formula>""</formula>
    </cfRule>
  </conditionalFormatting>
  <conditionalFormatting sqref="D20">
    <cfRule type="cellIs" dxfId="60" priority="77" operator="notEqual">
      <formula>$A20</formula>
    </cfRule>
  </conditionalFormatting>
  <conditionalFormatting sqref="D21">
    <cfRule type="cellIs" dxfId="59" priority="74" operator="equal">
      <formula>""</formula>
    </cfRule>
  </conditionalFormatting>
  <conditionalFormatting sqref="D21">
    <cfRule type="cellIs" dxfId="58" priority="75" operator="notEqual">
      <formula>$A21</formula>
    </cfRule>
  </conditionalFormatting>
  <conditionalFormatting sqref="D23">
    <cfRule type="cellIs" dxfId="57" priority="73" operator="notEqual">
      <formula>$A23</formula>
    </cfRule>
  </conditionalFormatting>
  <conditionalFormatting sqref="D23">
    <cfRule type="cellIs" dxfId="56" priority="72" operator="equal">
      <formula>""</formula>
    </cfRule>
  </conditionalFormatting>
  <conditionalFormatting sqref="D23">
    <cfRule type="cellIs" dxfId="55" priority="71" operator="equal">
      <formula>""</formula>
    </cfRule>
  </conditionalFormatting>
  <conditionalFormatting sqref="D10">
    <cfRule type="cellIs" dxfId="54" priority="69" operator="equal">
      <formula>""</formula>
    </cfRule>
  </conditionalFormatting>
  <conditionalFormatting sqref="D14:D18">
    <cfRule type="cellIs" dxfId="53" priority="67" operator="equal">
      <formula>""</formula>
    </cfRule>
  </conditionalFormatting>
  <conditionalFormatting sqref="E63">
    <cfRule type="cellIs" dxfId="52" priority="61" operator="equal">
      <formula>""</formula>
    </cfRule>
  </conditionalFormatting>
  <conditionalFormatting sqref="C63">
    <cfRule type="cellIs" dxfId="51" priority="65" operator="equal">
      <formula>""</formula>
    </cfRule>
  </conditionalFormatting>
  <conditionalFormatting sqref="C63">
    <cfRule type="cellIs" dxfId="50" priority="66" operator="notEqual">
      <formula>$A63</formula>
    </cfRule>
  </conditionalFormatting>
  <conditionalFormatting sqref="D63">
    <cfRule type="cellIs" dxfId="49" priority="63" operator="equal">
      <formula>""</formula>
    </cfRule>
  </conditionalFormatting>
  <conditionalFormatting sqref="D63">
    <cfRule type="cellIs" dxfId="48" priority="64" operator="notEqual">
      <formula>$A63</formula>
    </cfRule>
  </conditionalFormatting>
  <conditionalFormatting sqref="E63">
    <cfRule type="cellIs" dxfId="47" priority="62" operator="notEqual">
      <formula>$A63</formula>
    </cfRule>
  </conditionalFormatting>
  <conditionalFormatting sqref="F63">
    <cfRule type="cellIs" dxfId="46" priority="59" operator="equal">
      <formula>""</formula>
    </cfRule>
  </conditionalFormatting>
  <conditionalFormatting sqref="F63">
    <cfRule type="cellIs" dxfId="45" priority="60" operator="notEqual">
      <formula>$A63</formula>
    </cfRule>
  </conditionalFormatting>
  <conditionalFormatting sqref="C64:F64">
    <cfRule type="cellIs" dxfId="44" priority="57" operator="equal">
      <formula>""</formula>
    </cfRule>
  </conditionalFormatting>
  <conditionalFormatting sqref="C64:F64">
    <cfRule type="cellIs" dxfId="43" priority="58" operator="notEqual">
      <formula>$A64</formula>
    </cfRule>
  </conditionalFormatting>
  <conditionalFormatting sqref="C35:C38 C40">
    <cfRule type="cellIs" dxfId="42" priority="55" operator="equal">
      <formula>""</formula>
    </cfRule>
  </conditionalFormatting>
  <conditionalFormatting sqref="C35:C38 C40">
    <cfRule type="cellIs" dxfId="41" priority="56" operator="notEqual">
      <formula>$A35</formula>
    </cfRule>
  </conditionalFormatting>
  <conditionalFormatting sqref="D35">
    <cfRule type="cellIs" dxfId="40" priority="51" operator="equal">
      <formula>""</formula>
    </cfRule>
  </conditionalFormatting>
  <conditionalFormatting sqref="D35">
    <cfRule type="cellIs" dxfId="39" priority="52" operator="notEqual">
      <formula>$A35</formula>
    </cfRule>
  </conditionalFormatting>
  <conditionalFormatting sqref="D36">
    <cfRule type="cellIs" dxfId="38" priority="50" operator="notEqual">
      <formula>$A36</formula>
    </cfRule>
  </conditionalFormatting>
  <conditionalFormatting sqref="D36">
    <cfRule type="cellIs" dxfId="37" priority="49" operator="equal">
      <formula>""</formula>
    </cfRule>
  </conditionalFormatting>
  <conditionalFormatting sqref="D38 D40">
    <cfRule type="cellIs" dxfId="36" priority="53" operator="equal">
      <formula>""</formula>
    </cfRule>
  </conditionalFormatting>
  <conditionalFormatting sqref="D38 D40">
    <cfRule type="cellIs" dxfId="35" priority="54" operator="notEqual">
      <formula>$A38</formula>
    </cfRule>
  </conditionalFormatting>
  <conditionalFormatting sqref="D37">
    <cfRule type="cellIs" dxfId="34" priority="47" operator="equal">
      <formula>""</formula>
    </cfRule>
  </conditionalFormatting>
  <conditionalFormatting sqref="D37">
    <cfRule type="cellIs" dxfId="33" priority="48" operator="notEqual">
      <formula>$A37</formula>
    </cfRule>
  </conditionalFormatting>
  <conditionalFormatting sqref="C51">
    <cfRule type="cellIs" dxfId="32" priority="41" operator="equal">
      <formula>""</formula>
    </cfRule>
  </conditionalFormatting>
  <conditionalFormatting sqref="C51">
    <cfRule type="cellIs" dxfId="31" priority="42" operator="notEqual">
      <formula>$A51</formula>
    </cfRule>
  </conditionalFormatting>
  <conditionalFormatting sqref="C51">
    <cfRule type="cellIs" dxfId="30" priority="40" operator="equal">
      <formula>""</formula>
    </cfRule>
  </conditionalFormatting>
  <conditionalFormatting sqref="D51">
    <cfRule type="cellIs" dxfId="29" priority="38" operator="equal">
      <formula>""</formula>
    </cfRule>
  </conditionalFormatting>
  <conditionalFormatting sqref="D51">
    <cfRule type="cellIs" dxfId="28" priority="39" operator="notEqual">
      <formula>$A51</formula>
    </cfRule>
  </conditionalFormatting>
  <conditionalFormatting sqref="D51">
    <cfRule type="cellIs" dxfId="27" priority="37" operator="equal">
      <formula>""</formula>
    </cfRule>
  </conditionalFormatting>
  <conditionalFormatting sqref="C52:D52">
    <cfRule type="cellIs" dxfId="26" priority="35" operator="equal">
      <formula>""</formula>
    </cfRule>
  </conditionalFormatting>
  <conditionalFormatting sqref="C52:D52">
    <cfRule type="cellIs" dxfId="25" priority="36" operator="notEqual">
      <formula>$A52</formula>
    </cfRule>
  </conditionalFormatting>
  <conditionalFormatting sqref="C52:D52">
    <cfRule type="cellIs" dxfId="24" priority="34" operator="equal">
      <formula>""</formula>
    </cfRule>
  </conditionalFormatting>
  <conditionalFormatting sqref="C49">
    <cfRule type="cellIs" dxfId="23" priority="32" operator="equal">
      <formula>""</formula>
    </cfRule>
  </conditionalFormatting>
  <conditionalFormatting sqref="C49">
    <cfRule type="cellIs" dxfId="22" priority="33" operator="notEqual">
      <formula>$A49</formula>
    </cfRule>
  </conditionalFormatting>
  <conditionalFormatting sqref="C57:G57">
    <cfRule type="cellIs" dxfId="21" priority="20" operator="equal">
      <formula>""</formula>
    </cfRule>
  </conditionalFormatting>
  <conditionalFormatting sqref="C57:G57">
    <cfRule type="cellIs" dxfId="20" priority="21" operator="notEqual">
      <formula>$A57</formula>
    </cfRule>
  </conditionalFormatting>
  <conditionalFormatting sqref="D58:G58">
    <cfRule type="cellIs" dxfId="19" priority="18" operator="equal">
      <formula>""</formula>
    </cfRule>
  </conditionalFormatting>
  <conditionalFormatting sqref="D58:G58">
    <cfRule type="cellIs" dxfId="18" priority="19" operator="notEqual">
      <formula>$A58</formula>
    </cfRule>
  </conditionalFormatting>
  <conditionalFormatting sqref="C88:C96">
    <cfRule type="cellIs" dxfId="17" priority="15" operator="equal">
      <formula>""</formula>
    </cfRule>
  </conditionalFormatting>
  <conditionalFormatting sqref="C70:F86 A70:A87 C70:D87 E71:F87">
    <cfRule type="cellIs" dxfId="16" priority="374" operator="notEqual">
      <formula>$A68</formula>
    </cfRule>
  </conditionalFormatting>
  <conditionalFormatting sqref="C87:F88">
    <cfRule type="cellIs" dxfId="15" priority="386" operator="notEqual">
      <formula>$A69</formula>
    </cfRule>
  </conditionalFormatting>
  <conditionalFormatting sqref="A88">
    <cfRule type="cellIs" dxfId="14" priority="389" operator="notEqual">
      <formula>$A70</formula>
    </cfRule>
  </conditionalFormatting>
  <conditionalFormatting sqref="F57">
    <cfRule type="cellIs" dxfId="13" priority="13" operator="equal">
      <formula>""</formula>
    </cfRule>
  </conditionalFormatting>
  <conditionalFormatting sqref="F57">
    <cfRule type="cellIs" dxfId="12" priority="14" operator="notEqual">
      <formula>$A57</formula>
    </cfRule>
  </conditionalFormatting>
  <conditionalFormatting sqref="D11">
    <cfRule type="cellIs" dxfId="11" priority="11" operator="equal">
      <formula>""</formula>
    </cfRule>
  </conditionalFormatting>
  <conditionalFormatting sqref="D11">
    <cfRule type="cellIs" dxfId="10" priority="12" operator="notEqual">
      <formula>$A11</formula>
    </cfRule>
  </conditionalFormatting>
  <conditionalFormatting sqref="E13">
    <cfRule type="cellIs" dxfId="9" priority="9" operator="equal">
      <formula>""</formula>
    </cfRule>
  </conditionalFormatting>
  <conditionalFormatting sqref="E13">
    <cfRule type="cellIs" dxfId="8" priority="10" operator="notEqual">
      <formula>$A13</formula>
    </cfRule>
  </conditionalFormatting>
  <conditionalFormatting sqref="F13">
    <cfRule type="cellIs" dxfId="7" priority="7" operator="equal">
      <formula>""</formula>
    </cfRule>
  </conditionalFormatting>
  <conditionalFormatting sqref="F13">
    <cfRule type="cellIs" dxfId="6" priority="8" operator="notEqual">
      <formula>$A13</formula>
    </cfRule>
  </conditionalFormatting>
  <conditionalFormatting sqref="D13">
    <cfRule type="cellIs" dxfId="5" priority="5" operator="equal">
      <formula>""</formula>
    </cfRule>
  </conditionalFormatting>
  <conditionalFormatting sqref="D13">
    <cfRule type="cellIs" dxfId="4" priority="6" operator="notEqual">
      <formula>$A13</formula>
    </cfRule>
  </conditionalFormatting>
  <conditionalFormatting sqref="C39">
    <cfRule type="cellIs" dxfId="3" priority="3" operator="equal">
      <formula>""</formula>
    </cfRule>
  </conditionalFormatting>
  <conditionalFormatting sqref="C39">
    <cfRule type="cellIs" dxfId="2" priority="4" operator="notEqual">
      <formula>$A39</formula>
    </cfRule>
  </conditionalFormatting>
  <conditionalFormatting sqref="D39">
    <cfRule type="cellIs" dxfId="1" priority="1" operator="equal">
      <formula>""</formula>
    </cfRule>
  </conditionalFormatting>
  <conditionalFormatting sqref="D39">
    <cfRule type="cellIs" dxfId="0" priority="2" operator="notEqual">
      <formula>$A39</formula>
    </cfRule>
  </conditionalFormatting>
  <dataValidations count="11">
    <dataValidation type="list" allowBlank="1" showInputMessage="1" showErrorMessage="1" sqref="D8" xr:uid="{00000000-0002-0000-0300-000000000000}">
      <formula1>"Percent Fund Value, Percent Cash Value, CARVM"</formula1>
    </dataValidation>
    <dataValidation type="list" allowBlank="1" showInputMessage="1" showErrorMessage="1" sqref="D22:D24 C51:D52" xr:uid="{00000000-0002-0000-0300-000001000000}">
      <formula1>"Plan A,Plan B,Plan C"</formula1>
    </dataValidation>
    <dataValidation type="list" allowBlank="1" showInputMessage="1" showErrorMessage="1" sqref="D19 D44" xr:uid="{00000000-0002-0000-0300-000002000000}">
      <formula1>"Yes, No"</formula1>
    </dataValidation>
    <dataValidation type="list" allowBlank="1" showInputMessage="1" showErrorMessage="1" sqref="D20" xr:uid="{00000000-0002-0000-0300-000003000000}">
      <formula1>"With Cash Settlements,Without Cash Settlements"</formula1>
    </dataValidation>
    <dataValidation type="list" allowBlank="1" showInputMessage="1" showErrorMessage="1" sqref="D21" xr:uid="{00000000-0002-0000-0300-000004000000}">
      <formula1>"With Guarantees,Without Guarantees,With or Without Guarantees"</formula1>
    </dataValidation>
    <dataValidation type="list" allowBlank="1" showInputMessage="1" showErrorMessage="1" sqref="D10" xr:uid="{00000000-0002-0000-0300-000005000000}">
      <formula1>"Issue Year"</formula1>
    </dataValidation>
    <dataValidation type="list" allowBlank="1" showInputMessage="1" showErrorMessage="1" sqref="D14" xr:uid="{00000000-0002-0000-0300-000006000000}">
      <formula1>"Not Applicable,Current And Guaranteed Benefits,Guaranteed Benefits"</formula1>
    </dataValidation>
    <dataValidation type="list" allowBlank="1" showInputMessage="1" showErrorMessage="1" sqref="C63:F63" xr:uid="{00000000-0002-0000-0300-000007000000}">
      <formula1>"Certain Only Annuity,Certain And Life Annuity"</formula1>
    </dataValidation>
    <dataValidation type="list" allowBlank="1" showInputMessage="1" showErrorMessage="1" sqref="D27" xr:uid="{00000000-0002-0000-0300-000008000000}">
      <formula1>"AIG2012IAM,SOA2012IAM"</formula1>
    </dataValidation>
    <dataValidation type="list" allowBlank="1" showInputMessage="1" showErrorMessage="1" sqref="D32" xr:uid="{00000000-0002-0000-0300-000009000000}">
      <formula1>"1996USAnn2000Mort,SOA2012IAM"</formula1>
    </dataValidation>
    <dataValidation type="list" allowBlank="1" showInputMessage="1" showErrorMessage="1" sqref="D40" xr:uid="{00000000-0002-0000-0300-00000A000000}">
      <formula1>"USL,SOA1985NNH"</formula1>
    </dataValidation>
  </dataValidations>
  <hyperlinks>
    <hyperlink ref="A1" location="'Table of Contents'!A1" display="Go to TOC" xr:uid="{00000000-0004-0000-0300-000000000000}"/>
    <hyperlink ref="A66" location="'Table of Contents'!A1" display="Go to TOC" xr:uid="{00000000-0004-0000-0300-000001000000}"/>
    <hyperlink ref="B41" location="NursingHomeIncidRate" display="nh_incid_base" xr:uid="{00000000-0004-0000-0300-000002000000}"/>
    <hyperlink ref="A67" location="Valuation!B38" display="Back to Main" xr:uid="{00000000-0004-0000-0300-000003000000}"/>
    <hyperlink ref="B16" location="CarvmAnnuitiznTests" display="carvm_annuitzn_ann_type" xr:uid="{00000000-0004-0000-0300-000004000000}"/>
    <hyperlink ref="B17" location="CarvmAnnuitiznTests" display="carvm_annuitzn_certain_yrs" xr:uid="{00000000-0004-0000-0300-000005000000}"/>
    <hyperlink ref="A60" location="'Table of Contents'!A1" display="Go to TOC" xr:uid="{00000000-0004-0000-0300-000006000000}"/>
    <hyperlink ref="A61" location="Valuation!B16" display="Back to Main" xr:uid="{00000000-0004-0000-0300-000007000000}"/>
    <hyperlink ref="A54" location="'Table of Contents'!A1" display="Go to TOC" xr:uid="{00000000-0004-0000-0300-000008000000}"/>
    <hyperlink ref="A55" location="Valuation!B16" display="Back to Main" xr:uid="{00000000-0004-0000-0300-000009000000}"/>
  </hyperlinks>
  <pageMargins left="0.7" right="0.7" top="0.75" bottom="0.75" header="0.3" footer="0.3"/>
  <pageSetup orientation="portrait" r:id="rId1"/>
  <legacyDrawing r:id="rId2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84D6E80-2345-45FA-BD69-575C46F8AC22}">
  <ds:schemaRefs>
    <ds:schemaRef ds:uri="http://purl.org/dc/elements/1.1/"/>
    <ds:schemaRef ds:uri="http://purl.org/dc/terms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Change Log</vt:lpstr>
      <vt:lpstr>Design Details</vt:lpstr>
      <vt:lpstr>Table of Contents</vt:lpstr>
      <vt:lpstr>Valuation</vt:lpstr>
      <vt:lpstr>CarvmAnnuitiznTests</vt:lpstr>
      <vt:lpstr>cashflow_timing_weights_aig</vt:lpstr>
      <vt:lpstr>FIAValuation</vt:lpstr>
      <vt:lpstr>FIAValuation_Table_Two</vt:lpstr>
      <vt:lpstr>NursingHomeIncidRate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Qin, Michelle</cp:lastModifiedBy>
  <cp:lastPrinted>2013-07-12T20:12:54Z</cp:lastPrinted>
  <dcterms:created xsi:type="dcterms:W3CDTF">2013-06-26T20:08:07Z</dcterms:created>
  <dcterms:modified xsi:type="dcterms:W3CDTF">2024-03-28T17:57:03Z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  <property fmtid="{D5CDD505-2E9C-101B-9397-08002B2CF9AE}" pid="3" name="MSIP_Label_d347b247-e90e-43a3-9d7b-004f14ae6873_Enabled">
    <vt:lpwstr>true</vt:lpwstr>
  </property>
  <property fmtid="{D5CDD505-2E9C-101B-9397-08002B2CF9AE}" pid="4" name="MSIP_Label_d347b247-e90e-43a3-9d7b-004f14ae6873_SetDate">
    <vt:lpwstr>2023-07-17T14:54:00Z</vt:lpwstr>
  </property>
  <property fmtid="{D5CDD505-2E9C-101B-9397-08002B2CF9AE}" pid="5" name="MSIP_Label_d347b247-e90e-43a3-9d7b-004f14ae6873_Method">
    <vt:lpwstr>Standard</vt:lpwstr>
  </property>
  <property fmtid="{D5CDD505-2E9C-101B-9397-08002B2CF9AE}" pid="6" name="MSIP_Label_d347b247-e90e-43a3-9d7b-004f14ae6873_Name">
    <vt:lpwstr>d347b247-e90e-43a3-9d7b-004f14ae6873</vt:lpwstr>
  </property>
  <property fmtid="{D5CDD505-2E9C-101B-9397-08002B2CF9AE}" pid="7" name="MSIP_Label_d347b247-e90e-43a3-9d7b-004f14ae6873_SiteId">
    <vt:lpwstr>76e3921f-489b-4b7e-9547-9ea297add9b5</vt:lpwstr>
  </property>
  <property fmtid="{D5CDD505-2E9C-101B-9397-08002B2CF9AE}" pid="8" name="MSIP_Label_d347b247-e90e-43a3-9d7b-004f14ae6873_ActionId">
    <vt:lpwstr>68e8f50f-85ce-4286-a04c-f9a8b9b7e607</vt:lpwstr>
  </property>
  <property fmtid="{D5CDD505-2E9C-101B-9397-08002B2CF9AE}" pid="9" name="MSIP_Label_d347b247-e90e-43a3-9d7b-004f14ae6873_ContentBits">
    <vt:lpwstr>0</vt:lpwstr>
  </property>
</Properties>
</file>