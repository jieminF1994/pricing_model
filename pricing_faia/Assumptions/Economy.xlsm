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2_v6_FAIA_Final\Projects\Fixed Indexed Annuity\ProjectData\2013YearEnd\Assumptions\"/>
    </mc:Choice>
  </mc:AlternateContent>
  <xr:revisionPtr revIDLastSave="0" documentId="13_ncr:1_{2F28C459-2C77-471C-8986-4D71D9F53162}" xr6:coauthVersionLast="47" xr6:coauthVersionMax="47" xr10:uidLastSave="{00000000-0000-0000-0000-000000000000}"/>
  <bookViews>
    <workbookView xWindow="28800" yWindow="0" windowWidth="25800" windowHeight="21000" tabRatio="535" activeTab="2" xr2:uid="{00000000-000D-0000-FFFF-FFFF00000000}"/>
  </bookViews>
  <sheets>
    <sheet name="Change Log" sheetId="12" r:id="rId1"/>
    <sheet name="Table of Contents" sheetId="13" r:id="rId2"/>
    <sheet name="Scenarios" sheetId="14" r:id="rId3"/>
    <sheet name="Generation" sheetId="15" r:id="rId4"/>
  </sheets>
  <definedNames>
    <definedName name="CalibIndexRateData">Generation!$B$173:$C$177</definedName>
    <definedName name="CalibIndexRateOptData">Generation!$B$180:$E$185</definedName>
    <definedName name="CalibIndexRates">Generation!$B$216:$F$240</definedName>
    <definedName name="CalibYldCurveBondData">Generation!$B$166:$J$170</definedName>
    <definedName name="CalibYldCurveData">Generation!$B$152:$C$155</definedName>
    <definedName name="CalibYldCurveRates">Generation!$B$188:$I$206</definedName>
    <definedName name="CalibYldCurveSprds">Generation!$B$209:$G$213</definedName>
    <definedName name="CalibYldCurveSwapData">Generation!$B$158:$F$163</definedName>
    <definedName name="CreditSprdDeterminsitic">Scenarios!$B$37:$K$41</definedName>
    <definedName name="CreditSprdDeterminsiticSub">Scenarios!$B$44:$BG$47</definedName>
    <definedName name="CreditSprdStochMult">Scenarios!$B$50:$D$54</definedName>
    <definedName name="DfltRateDeterministic">Scenarios!$B$57:$K$60</definedName>
    <definedName name="DfltRateDeterministicSub">Scenarios!$B$63:$D$65</definedName>
    <definedName name="DfltRateStochMult">Scenarios!$B$68:$D$72</definedName>
    <definedName name="EconDataCorrelation">Generation!$B$129:$L$140</definedName>
    <definedName name="EconDataCorrelationSub">Generation!$B$143:$G$149</definedName>
    <definedName name="EconDataIndexRateMRData">Generation!$B$111:$F$114</definedName>
    <definedName name="EconDataIndexRateVol">Generation!$B$117:$Q$121</definedName>
    <definedName name="EconDataMiscRates">Generation!$B$124:$C$126</definedName>
    <definedName name="EconDataYldCurveMRRates">Generation!$B$99:$L$102</definedName>
    <definedName name="EconDataYldCurveVol">Generation!$B$105:$H$108</definedName>
    <definedName name="Generation">Generation!$B$4:$C$96</definedName>
    <definedName name="IndexVolDeterministicSub">Scenarios!$B$98:$IH$102</definedName>
    <definedName name="IndexVolDeterminstic">Scenarios!$B$90:$Q$95</definedName>
    <definedName name="IndexVolStochMult">Scenarios!$B$105:$E$108</definedName>
    <definedName name="InflDeterministic">Scenarios!$B$31:$C$34</definedName>
    <definedName name="IntVolDeterministic">Scenarios!$B$75:$AF$80</definedName>
    <definedName name="IntVolStochMult">Scenarios!$B$83:$D$87</definedName>
    <definedName name="Scenarios">Scenarios!$B$4:$C$28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4" i="15" l="1"/>
  <c r="B215" i="15"/>
  <c r="B110" i="15"/>
  <c r="B208" i="15"/>
  <c r="B104" i="15"/>
  <c r="B187" i="15"/>
  <c r="B98" i="15"/>
  <c r="B179" i="15"/>
  <c r="B3" i="15"/>
  <c r="B172" i="15"/>
  <c r="B165" i="15"/>
  <c r="B157" i="15"/>
  <c r="B116" i="15"/>
  <c r="B151" i="15"/>
  <c r="B142" i="15"/>
  <c r="B128" i="15"/>
  <c r="B123" i="15"/>
  <c r="B104" i="14"/>
  <c r="B3" i="14"/>
  <c r="B97" i="14"/>
  <c r="B89" i="14"/>
  <c r="B82" i="14"/>
  <c r="B67" i="14"/>
  <c r="B62" i="14"/>
  <c r="B56" i="14"/>
  <c r="B30" i="14"/>
  <c r="B74" i="14"/>
  <c r="B49" i="14"/>
  <c r="B43" i="14"/>
  <c r="B36" i="14"/>
</calcChain>
</file>

<file path=xl/sharedStrings.xml><?xml version="1.0" encoding="utf-8"?>
<sst xmlns="http://schemas.openxmlformats.org/spreadsheetml/2006/main" count="900" uniqueCount="189">
  <si>
    <t>VarID</t>
  </si>
  <si>
    <t>#</t>
  </si>
  <si>
    <t>Date</t>
  </si>
  <si>
    <t>Name</t>
  </si>
  <si>
    <t>Comments</t>
  </si>
  <si>
    <t>No</t>
  </si>
  <si>
    <t>NONE</t>
  </si>
  <si>
    <t>Table of Contents</t>
  </si>
  <si>
    <t>Default</t>
  </si>
  <si>
    <t>Go to TOC</t>
  </si>
  <si>
    <t>Scenarios: Rates</t>
  </si>
  <si>
    <t>inner_loop_valn_scen_id</t>
  </si>
  <si>
    <t>Previous</t>
  </si>
  <si>
    <t>missing_val_defn</t>
  </si>
  <si>
    <t>Retain</t>
  </si>
  <si>
    <t>yld_curve_mem_defn</t>
  </si>
  <si>
    <t>open_file_retry_attempts</t>
  </si>
  <si>
    <t>Scenarios: Assumptions</t>
  </si>
  <si>
    <t>Stochastic</t>
  </si>
  <si>
    <t>infl_defn</t>
  </si>
  <si>
    <t>infl_deterministic</t>
  </si>
  <si>
    <t>credit_sprd_deterministic</t>
  </si>
  <si>
    <t>credit_sprd_stoch_mult</t>
  </si>
  <si>
    <t>dflt_rate_deterministic</t>
  </si>
  <si>
    <t>dflt_rate_stoch_mult</t>
  </si>
  <si>
    <t>int_vol_deterministic</t>
  </si>
  <si>
    <t>int_vol_stoch_mult</t>
  </si>
  <si>
    <t>index_vol_deterministic</t>
  </si>
  <si>
    <t>index_vol_stoch_mult</t>
  </si>
  <si>
    <t>Generation: Control</t>
  </si>
  <si>
    <t>gen_approach_defn</t>
  </si>
  <si>
    <t>Real World</t>
  </si>
  <si>
    <t>gen_basis_defn</t>
  </si>
  <si>
    <t>gen_scenarios</t>
  </si>
  <si>
    <t>gen_mths</t>
  </si>
  <si>
    <t>Monthly</t>
  </si>
  <si>
    <t>gen_rates_freq</t>
  </si>
  <si>
    <t>gen_hist_mths</t>
  </si>
  <si>
    <t>gen_initial_valn_period</t>
  </si>
  <si>
    <t>All Rates</t>
  </si>
  <si>
    <t>gen_random_seed</t>
  </si>
  <si>
    <t>5 10</t>
  </si>
  <si>
    <t>gen_rn_bonds_term</t>
  </si>
  <si>
    <t>gen_rw_mrp_mean_yrs_1</t>
  </si>
  <si>
    <t>gen_rw_mrp_mean_yrs_2</t>
  </si>
  <si>
    <t>gen_rw_mrp_median_yrs</t>
  </si>
  <si>
    <t>gen_mean_reversion_mths</t>
  </si>
  <si>
    <t>Generation: Economy Data</t>
  </si>
  <si>
    <t>econ_data_yld_curve_term_selected</t>
  </si>
  <si>
    <t>econ_data_yld_curve_mr_rates</t>
  </si>
  <si>
    <t>econ_data_yld_curve_vol</t>
  </si>
  <si>
    <t>econ_data_index_rate_mr_grwth</t>
  </si>
  <si>
    <t>econ_data_index_rate_mr_term</t>
  </si>
  <si>
    <t>econ_data_index_rate_mr_inc_ret</t>
  </si>
  <si>
    <t>econ_data_index_rate_mr_sprd</t>
  </si>
  <si>
    <t>econ_data_index_rate_moneyness_selected</t>
  </si>
  <si>
    <t>econ_data_index_rate_tenor_selected</t>
  </si>
  <si>
    <t>econ_data_index_rate_vol</t>
  </si>
  <si>
    <t>econ_data_misc_rates</t>
  </si>
  <si>
    <t>econ_data_correlation</t>
  </si>
  <si>
    <t>calib_yld_curve_rates_rate_term</t>
  </si>
  <si>
    <t>calib_yld_curve_rates_tgt_horizon</t>
  </si>
  <si>
    <t>calib_yld_curve_rates_percentile</t>
  </si>
  <si>
    <t>calib_yld_curve_rates_percentile_tgt</t>
  </si>
  <si>
    <t>calib_yld_curve_rates_rate_adj_a</t>
  </si>
  <si>
    <t>calib_yld_curve_rates_rate_adj_b</t>
  </si>
  <si>
    <t>calib_yld_curve_rates_pass_pct</t>
  </si>
  <si>
    <t>calib_yld_curve_sprds_tgt_horizon</t>
  </si>
  <si>
    <t>calib_yld_curve_sprds_percentile</t>
  </si>
  <si>
    <t>calib_yld_curve_sprds_percentile_tgt</t>
  </si>
  <si>
    <t>calib_yld_curve_sprds_sprd_adj</t>
  </si>
  <si>
    <t>calib_yld_curve_sprds_pass_pct</t>
  </si>
  <si>
    <t>calib_index_rates_tgt_horizon</t>
  </si>
  <si>
    <t>calib_index_rates_percentile</t>
  </si>
  <si>
    <t>calib_index_rates_percentile_tgt</t>
  </si>
  <si>
    <t>calib_index_rates_pass_pct</t>
  </si>
  <si>
    <t>assump_set_id</t>
  </si>
  <si>
    <t>Economy input page – Scenarios</t>
  </si>
  <si>
    <t>Economy input page – Generation</t>
  </si>
  <si>
    <t>US</t>
  </si>
  <si>
    <t>IncReturn</t>
  </si>
  <si>
    <t>GrwthRate</t>
  </si>
  <si>
    <t>ScenYr</t>
  </si>
  <si>
    <t>RateSprd</t>
  </si>
  <si>
    <t>Govt</t>
  </si>
  <si>
    <t>CorrId1</t>
  </si>
  <si>
    <t>Money</t>
  </si>
  <si>
    <t>Bond</t>
  </si>
  <si>
    <t>Small</t>
  </si>
  <si>
    <t>CorrId2</t>
  </si>
  <si>
    <t>Aggr</t>
  </si>
  <si>
    <t>Bal</t>
  </si>
  <si>
    <t>Intl</t>
  </si>
  <si>
    <t>USITGVT</t>
  </si>
  <si>
    <t>USLTCORP</t>
  </si>
  <si>
    <t>Scenarios</t>
  </si>
  <si>
    <t>Generation</t>
  </si>
  <si>
    <t>AAA</t>
  </si>
  <si>
    <t>BBB</t>
  </si>
  <si>
    <t>date</t>
  </si>
  <si>
    <t>quality_id</t>
  </si>
  <si>
    <t>rate_term</t>
  </si>
  <si>
    <t>[See below]</t>
  </si>
  <si>
    <t>Back To Main</t>
  </si>
  <si>
    <t>A</t>
  </si>
  <si>
    <t>BB</t>
  </si>
  <si>
    <t>AA</t>
  </si>
  <si>
    <t>B</t>
  </si>
  <si>
    <t>yld_curve_id</t>
  </si>
  <si>
    <t>moneyness</t>
  </si>
  <si>
    <t>index_id</t>
  </si>
  <si>
    <t>scen_index_id</t>
  </si>
  <si>
    <t>rate_type</t>
  </si>
  <si>
    <t>econ_data_yld_curve_selected</t>
  </si>
  <si>
    <t>econ_data_index_rate_selected</t>
  </si>
  <si>
    <t>econ_data_misc_rates_selected</t>
  </si>
  <si>
    <t>Infl</t>
  </si>
  <si>
    <t>test_num</t>
  </si>
  <si>
    <t>calib_test_num</t>
  </si>
  <si>
    <t>Baseline</t>
  </si>
  <si>
    <t>C</t>
  </si>
  <si>
    <t>D</t>
  </si>
  <si>
    <t>inner_loop_valn_scen_reuse_defn</t>
  </si>
  <si>
    <t>index_val_hist</t>
  </si>
  <si>
    <t>Generation: Shock Control</t>
  </si>
  <si>
    <t>RN Generation: Calibration Data</t>
  </si>
  <si>
    <t>RW Generation: Calibration Data</t>
  </si>
  <si>
    <t>Normal Scenarios</t>
  </si>
  <si>
    <t>gen_defn</t>
  </si>
  <si>
    <t>gen_detail_defn</t>
  </si>
  <si>
    <t>gen_detail_scen</t>
  </si>
  <si>
    <t>Constant</t>
  </si>
  <si>
    <t>gen_rn_int_proj_defn</t>
  </si>
  <si>
    <t>gen_calib_defn</t>
  </si>
  <si>
    <t>gen_calib_retry_attempts</t>
  </si>
  <si>
    <t>gen_calib_detail_defn</t>
  </si>
  <si>
    <t>econ_data_yld_curve_vol_mr_term_selected</t>
  </si>
  <si>
    <t>eqt_price_shock_defn</t>
  </si>
  <si>
    <t>&lt;*assump*&gt;Hedging.xlsm (HedgeValnControl)</t>
  </si>
  <si>
    <t>int_rate_shock_defn</t>
  </si>
  <si>
    <t>int_rate_shock_id</t>
  </si>
  <si>
    <t>int_rate_shock</t>
  </si>
  <si>
    <t>&lt;*assump*&gt;Hedging.xlsm (HedgeValnIntRateShockTbl)</t>
  </si>
  <si>
    <t>eqt_vol_shock_defn</t>
  </si>
  <si>
    <t>eqt_vol_shock_id</t>
  </si>
  <si>
    <t>eqt_vol_shock</t>
  </si>
  <si>
    <t>&lt;*assump*&gt;Hedging.xlsm (HedgeValnEqtVolShockTbl)</t>
  </si>
  <si>
    <t>phldr_shock_defn</t>
  </si>
  <si>
    <t>scen_file_name_addn</t>
  </si>
  <si>
    <t>calib_yld_curve_selected</t>
  </si>
  <si>
    <t>Swaption Volatility</t>
  </si>
  <si>
    <t>calib_yld_curve_data_source_defn</t>
  </si>
  <si>
    <t>calib_yld_curve_normalize_wghts_defn</t>
  </si>
  <si>
    <t>calib_yld_curve_swap_maturities_selected</t>
  </si>
  <si>
    <t>calib_yld_curve_swap_tenors_selected</t>
  </si>
  <si>
    <t>calib_yld_curve_swaption_vol</t>
  </si>
  <si>
    <t>calib_yld_curve_swaption_wght</t>
  </si>
  <si>
    <t>calib_yld_curve_bond_terms_selected</t>
  </si>
  <si>
    <t>calib_yld_curve_bond_vol</t>
  </si>
  <si>
    <t>calib_yld_curve_bond_wght</t>
  </si>
  <si>
    <t>calib_index_rate_selected</t>
  </si>
  <si>
    <t>calib_index_rate_normalize_wghts_defn</t>
  </si>
  <si>
    <t>calib_index_rate_div_yld</t>
  </si>
  <si>
    <t>Call</t>
  </si>
  <si>
    <t>calib_index_rate_opt_defn</t>
  </si>
  <si>
    <t>calib_index_rate_moneyness_selected</t>
  </si>
  <si>
    <t>calib_index_rate_terms_selected</t>
  </si>
  <si>
    <t>calib_index_rate_opt_vol</t>
  </si>
  <si>
    <t>calib_index_rate_opt_wght</t>
  </si>
  <si>
    <t>swap_maturity</t>
  </si>
  <si>
    <t>swap_tenor</t>
  </si>
  <si>
    <t>VarId</t>
  </si>
  <si>
    <t>shock_freq</t>
  </si>
  <si>
    <t>&lt;*scen*&gt;YYYYMMScenarios.csv</t>
  </si>
  <si>
    <t>&lt;*scen*&gt;201312MonthlyProjectedScenarios.csv</t>
  </si>
  <si>
    <t>Spot Spreads</t>
  </si>
  <si>
    <t>credit_sprd_defn</t>
  </si>
  <si>
    <t>Random Scenarios</t>
  </si>
  <si>
    <t>gen_rw_stoch_defn</t>
  </si>
  <si>
    <t>swap_curve_tenors_input_aig</t>
  </si>
  <si>
    <t>6, 12, 24, 36, 60, 84, 120, 180, 240, 360</t>
  </si>
  <si>
    <t>swap_curve_rate_id_aig</t>
  </si>
  <si>
    <t>Swap</t>
  </si>
  <si>
    <t>12, 24, 36, 60, 84, 120, 180, 360</t>
  </si>
  <si>
    <t>CCC</t>
  </si>
  <si>
    <t>CML</t>
  </si>
  <si>
    <t>RML</t>
  </si>
  <si>
    <t>Yield Spreads</t>
  </si>
  <si>
    <t>Swap_ITM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</si>
</sst>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"/>
    <numFmt numFmtId="166" formatCode="0.0000"/>
    <numFmt numFmtId="167" formatCode="0.0%"/>
    <numFmt numFmtId="168" formatCode="0.0000%"/>
    <numFmt numFmtId="169" formatCode="0.000%"/>
  </numFmts>
  <fonts count="1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u/>
      <sz val="10"/>
      <color theme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4" fillId="0" borderId="0" applyFont="0" applyFill="0" applyBorder="0" applyAlignment="0" applyProtection="0"/>
  </cellStyleXfs>
  <cellXfs count="16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/>
    </xf>
    <xf numFmtId="0" fontId="7" fillId="0" borderId="0" xfId="16"/>
    <xf numFmtId="0" fontId="0" fillId="0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10" fillId="0" borderId="0" xfId="0" applyFont="1" applyBorder="1" applyAlignment="1">
      <alignment horizontal="right" vertical="top"/>
    </xf>
    <xf numFmtId="0" fontId="7" fillId="0" borderId="0" xfId="16" applyFill="1" applyAlignment="1">
      <alignment horizontal="left" vertical="top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0" fillId="6" borderId="0" xfId="0" applyFont="1" applyFill="1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8" fillId="0" borderId="0" xfId="0" applyFont="1" applyBorder="1" applyAlignment="1">
      <alignment horizontal="right" vertical="top"/>
    </xf>
    <xf numFmtId="0" fontId="1" fillId="0" borderId="0" xfId="0" applyFont="1" applyFill="1" applyBorder="1" applyAlignment="1">
      <alignment horizontal="left" vertical="top"/>
    </xf>
    <xf numFmtId="0" fontId="7" fillId="0" borderId="0" xfId="16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164" fontId="0" fillId="0" borderId="0" xfId="0" applyNumberFormat="1" applyBorder="1" applyAlignment="1">
      <alignment horizontal="left" vertical="top"/>
    </xf>
    <xf numFmtId="0" fontId="0" fillId="0" borderId="0" xfId="0"/>
    <xf numFmtId="0" fontId="9" fillId="0" borderId="0" xfId="0" applyFont="1" applyAlignment="1">
      <alignment horizontal="center" vertical="center"/>
    </xf>
    <xf numFmtId="0" fontId="1" fillId="6" borderId="0" xfId="0" applyFont="1" applyFill="1" applyBorder="1" applyAlignment="1">
      <alignment horizontal="right" vertical="top"/>
    </xf>
    <xf numFmtId="0" fontId="0" fillId="6" borderId="0" xfId="0" applyFill="1" applyBorder="1" applyAlignment="1">
      <alignment horizontal="left" vertical="top"/>
    </xf>
    <xf numFmtId="14" fontId="0" fillId="0" borderId="1" xfId="0" applyNumberFormat="1" applyBorder="1" applyAlignment="1">
      <alignment horizontal="center" vertical="top" wrapText="1"/>
    </xf>
    <xf numFmtId="0" fontId="8" fillId="0" borderId="0" xfId="0" applyFont="1"/>
    <xf numFmtId="0" fontId="8" fillId="0" borderId="0" xfId="0" applyFont="1" applyAlignment="1">
      <alignment horizontal="right" vertical="top"/>
    </xf>
    <xf numFmtId="0" fontId="8" fillId="0" borderId="0" xfId="0" applyFont="1" applyFill="1" applyAlignment="1">
      <alignment horizontal="right" vertical="top"/>
    </xf>
    <xf numFmtId="167" fontId="8" fillId="0" borderId="0" xfId="19" applyNumberFormat="1" applyFont="1" applyAlignment="1">
      <alignment horizontal="right" vertical="top"/>
    </xf>
    <xf numFmtId="0" fontId="8" fillId="0" borderId="0" xfId="16" applyFont="1"/>
    <xf numFmtId="0" fontId="7" fillId="0" borderId="0" xfId="16" applyBorder="1" applyAlignment="1">
      <alignment horizontal="left" vertical="top"/>
    </xf>
    <xf numFmtId="10" fontId="8" fillId="0" borderId="0" xfId="19" applyNumberFormat="1" applyFont="1" applyBorder="1" applyAlignment="1">
      <alignment horizontal="right" vertical="top"/>
    </xf>
    <xf numFmtId="168" fontId="8" fillId="0" borderId="0" xfId="19" applyNumberFormat="1" applyFont="1" applyAlignment="1">
      <alignment horizontal="left" vertical="top"/>
    </xf>
    <xf numFmtId="168" fontId="8" fillId="0" borderId="0" xfId="19" applyNumberFormat="1" applyFont="1" applyBorder="1" applyAlignment="1">
      <alignment horizontal="right" vertical="top"/>
    </xf>
    <xf numFmtId="0" fontId="7" fillId="0" borderId="0" xfId="16" applyAlignment="1">
      <alignment horizontal="left" vertical="top"/>
    </xf>
    <xf numFmtId="168" fontId="0" fillId="0" borderId="0" xfId="19" applyNumberFormat="1" applyFont="1" applyBorder="1" applyAlignment="1">
      <alignment horizontal="left" vertical="top"/>
    </xf>
    <xf numFmtId="166" fontId="0" fillId="0" borderId="0" xfId="0" applyNumberFormat="1" applyBorder="1" applyAlignment="1">
      <alignment horizontal="left" vertical="top"/>
    </xf>
    <xf numFmtId="0" fontId="0" fillId="0" borderId="0" xfId="0"/>
    <xf numFmtId="0" fontId="8" fillId="6" borderId="0" xfId="0" applyFont="1" applyFill="1" applyBorder="1" applyAlignment="1">
      <alignment horizontal="left" vertical="top"/>
    </xf>
    <xf numFmtId="0" fontId="13" fillId="6" borderId="0" xfId="0" applyFont="1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1" fillId="6" borderId="0" xfId="0" applyFont="1" applyFill="1" applyBorder="1" applyAlignment="1">
      <alignment horizontal="left" vertical="top"/>
    </xf>
    <xf numFmtId="166" fontId="8" fillId="6" borderId="0" xfId="0" applyNumberFormat="1" applyFont="1" applyFill="1" applyBorder="1" applyAlignment="1">
      <alignment horizontal="right" vertical="top"/>
    </xf>
    <xf numFmtId="0" fontId="0" fillId="6" borderId="0" xfId="0" applyFill="1" applyBorder="1" applyAlignment="1">
      <alignment horizontal="right" vertical="top"/>
    </xf>
    <xf numFmtId="0" fontId="13" fillId="6" borderId="2" xfId="0" applyFont="1" applyFill="1" applyBorder="1" applyAlignment="1">
      <alignment horizontal="right" vertical="top" wrapText="1"/>
    </xf>
    <xf numFmtId="0" fontId="0" fillId="6" borderId="3" xfId="0" applyFont="1" applyFill="1" applyBorder="1" applyAlignment="1">
      <alignment horizontal="right" vertical="top"/>
    </xf>
    <xf numFmtId="0" fontId="13" fillId="6" borderId="5" xfId="0" applyFont="1" applyFill="1" applyBorder="1" applyAlignment="1">
      <alignment horizontal="left" vertical="top" wrapText="1"/>
    </xf>
    <xf numFmtId="0" fontId="0" fillId="0" borderId="6" xfId="0" applyBorder="1" applyAlignment="1">
      <alignment horizontal="right" vertical="top"/>
    </xf>
    <xf numFmtId="0" fontId="0" fillId="0" borderId="5" xfId="0" applyBorder="1" applyAlignment="1">
      <alignment horizontal="right" vertical="top"/>
    </xf>
    <xf numFmtId="0" fontId="1" fillId="0" borderId="5" xfId="0" applyFont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68" fontId="7" fillId="7" borderId="5" xfId="16" applyNumberFormat="1" applyFill="1" applyBorder="1" applyAlignment="1">
      <alignment horizontal="left" vertical="top"/>
    </xf>
    <xf numFmtId="0" fontId="7" fillId="7" borderId="5" xfId="16" applyFill="1" applyBorder="1" applyAlignment="1">
      <alignment horizontal="left" vertical="top"/>
    </xf>
    <xf numFmtId="164" fontId="0" fillId="0" borderId="5" xfId="0" applyNumberFormat="1" applyBorder="1" applyAlignment="1">
      <alignment horizontal="left" vertical="top"/>
    </xf>
    <xf numFmtId="168" fontId="0" fillId="6" borderId="5" xfId="19" applyNumberFormat="1" applyFont="1" applyFill="1" applyBorder="1" applyAlignment="1">
      <alignment horizontal="left" vertical="top"/>
    </xf>
    <xf numFmtId="168" fontId="0" fillId="6" borderId="7" xfId="19" applyNumberFormat="1" applyFont="1" applyFill="1" applyBorder="1" applyAlignment="1">
      <alignment horizontal="left" vertical="top"/>
    </xf>
    <xf numFmtId="168" fontId="8" fillId="0" borderId="8" xfId="19" applyNumberFormat="1" applyFont="1" applyBorder="1" applyAlignment="1">
      <alignment horizontal="right" vertical="top"/>
    </xf>
    <xf numFmtId="0" fontId="0" fillId="6" borderId="4" xfId="0" applyFont="1" applyFill="1" applyBorder="1" applyAlignment="1">
      <alignment horizontal="right" vertical="top"/>
    </xf>
    <xf numFmtId="0" fontId="0" fillId="6" borderId="6" xfId="0" applyFont="1" applyFill="1" applyBorder="1" applyAlignment="1">
      <alignment horizontal="right" vertical="top"/>
    </xf>
    <xf numFmtId="0" fontId="8" fillId="0" borderId="6" xfId="0" applyFont="1" applyBorder="1" applyAlignment="1">
      <alignment horizontal="right" vertical="top"/>
    </xf>
    <xf numFmtId="168" fontId="8" fillId="0" borderId="6" xfId="19" applyNumberFormat="1" applyFont="1" applyBorder="1" applyAlignment="1">
      <alignment horizontal="right" vertical="top"/>
    </xf>
    <xf numFmtId="166" fontId="8" fillId="0" borderId="6" xfId="0" applyNumberFormat="1" applyFont="1" applyBorder="1" applyAlignment="1">
      <alignment horizontal="right" vertical="top"/>
    </xf>
    <xf numFmtId="165" fontId="8" fillId="0" borderId="6" xfId="0" applyNumberFormat="1" applyFont="1" applyBorder="1" applyAlignment="1">
      <alignment horizontal="right" vertical="top"/>
    </xf>
    <xf numFmtId="164" fontId="8" fillId="0" borderId="6" xfId="0" applyNumberFormat="1" applyFont="1" applyBorder="1" applyAlignment="1">
      <alignment horizontal="right" vertical="top"/>
    </xf>
    <xf numFmtId="168" fontId="8" fillId="0" borderId="9" xfId="19" applyNumberFormat="1" applyFont="1" applyBorder="1" applyAlignment="1">
      <alignment horizontal="right" vertical="top"/>
    </xf>
    <xf numFmtId="0" fontId="8" fillId="0" borderId="5" xfId="0" applyFont="1" applyBorder="1" applyAlignment="1">
      <alignment horizontal="left" vertical="top"/>
    </xf>
    <xf numFmtId="168" fontId="7" fillId="7" borderId="5" xfId="19" applyNumberFormat="1" applyFont="1" applyFill="1" applyBorder="1" applyAlignment="1">
      <alignment horizontal="left" vertical="top"/>
    </xf>
    <xf numFmtId="168" fontId="7" fillId="7" borderId="7" xfId="16" applyNumberFormat="1" applyFill="1" applyBorder="1" applyAlignment="1">
      <alignment horizontal="left" vertical="top"/>
    </xf>
    <xf numFmtId="0" fontId="0" fillId="6" borderId="2" xfId="0" applyFill="1" applyBorder="1" applyAlignment="1">
      <alignment horizontal="right" vertical="top"/>
    </xf>
    <xf numFmtId="0" fontId="1" fillId="6" borderId="3" xfId="0" applyFont="1" applyFill="1" applyBorder="1" applyAlignment="1">
      <alignment horizontal="right" vertical="top"/>
    </xf>
    <xf numFmtId="0" fontId="0" fillId="6" borderId="3" xfId="0" applyFill="1" applyBorder="1" applyAlignment="1">
      <alignment horizontal="right" vertical="top"/>
    </xf>
    <xf numFmtId="0" fontId="0" fillId="6" borderId="4" xfId="0" applyFill="1" applyBorder="1" applyAlignment="1">
      <alignment horizontal="right" vertical="top"/>
    </xf>
    <xf numFmtId="0" fontId="0" fillId="6" borderId="5" xfId="0" applyFill="1" applyBorder="1" applyAlignment="1">
      <alignment horizontal="right" vertical="top"/>
    </xf>
    <xf numFmtId="0" fontId="0" fillId="6" borderId="6" xfId="0" applyFill="1" applyBorder="1" applyAlignment="1">
      <alignment horizontal="right" vertical="top"/>
    </xf>
    <xf numFmtId="0" fontId="1" fillId="6" borderId="5" xfId="0" applyFont="1" applyFill="1" applyBorder="1" applyAlignment="1">
      <alignment horizontal="left" vertical="top"/>
    </xf>
    <xf numFmtId="14" fontId="0" fillId="6" borderId="5" xfId="0" applyNumberFormat="1" applyFill="1" applyBorder="1" applyAlignment="1">
      <alignment horizontal="left" vertical="top"/>
    </xf>
    <xf numFmtId="14" fontId="0" fillId="6" borderId="7" xfId="0" applyNumberFormat="1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8" fillId="0" borderId="8" xfId="0" applyFont="1" applyBorder="1" applyAlignment="1">
      <alignment horizontal="right" vertical="top"/>
    </xf>
    <xf numFmtId="169" fontId="8" fillId="0" borderId="0" xfId="19" applyNumberFormat="1" applyFont="1" applyBorder="1" applyAlignment="1">
      <alignment horizontal="right" vertical="top"/>
    </xf>
    <xf numFmtId="169" fontId="8" fillId="0" borderId="6" xfId="19" applyNumberFormat="1" applyFont="1" applyBorder="1" applyAlignment="1">
      <alignment horizontal="right" vertical="top"/>
    </xf>
    <xf numFmtId="169" fontId="8" fillId="0" borderId="8" xfId="19" applyNumberFormat="1" applyFont="1" applyBorder="1" applyAlignment="1">
      <alignment horizontal="right" vertical="top"/>
    </xf>
    <xf numFmtId="169" fontId="8" fillId="0" borderId="9" xfId="19" applyNumberFormat="1" applyFont="1" applyBorder="1" applyAlignment="1">
      <alignment horizontal="right" vertical="top"/>
    </xf>
    <xf numFmtId="0" fontId="1" fillId="6" borderId="2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0" fontId="1" fillId="6" borderId="5" xfId="0" applyFont="1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/>
    </xf>
    <xf numFmtId="165" fontId="0" fillId="6" borderId="6" xfId="0" applyNumberFormat="1" applyFont="1" applyFill="1" applyBorder="1" applyAlignment="1">
      <alignment horizontal="right"/>
    </xf>
    <xf numFmtId="0" fontId="1" fillId="6" borderId="5" xfId="0" applyFont="1" applyFill="1" applyBorder="1"/>
    <xf numFmtId="0" fontId="0" fillId="6" borderId="0" xfId="0" applyFill="1" applyBorder="1" applyAlignment="1">
      <alignment horizontal="right"/>
    </xf>
    <xf numFmtId="0" fontId="0" fillId="6" borderId="0" xfId="0" applyFill="1" applyBorder="1"/>
    <xf numFmtId="0" fontId="0" fillId="6" borderId="6" xfId="0" applyFill="1" applyBorder="1"/>
    <xf numFmtId="14" fontId="0" fillId="6" borderId="5" xfId="0" applyNumberFormat="1" applyFill="1" applyBorder="1" applyAlignment="1">
      <alignment horizontal="left"/>
    </xf>
    <xf numFmtId="168" fontId="0" fillId="0" borderId="0" xfId="19" applyNumberFormat="1" applyFont="1" applyBorder="1" applyAlignment="1">
      <alignment horizontal="right" vertical="top"/>
    </xf>
    <xf numFmtId="168" fontId="0" fillId="0" borderId="6" xfId="19" applyNumberFormat="1" applyFont="1" applyBorder="1" applyAlignment="1">
      <alignment horizontal="right" vertical="top"/>
    </xf>
    <xf numFmtId="14" fontId="0" fillId="6" borderId="7" xfId="0" applyNumberFormat="1" applyFill="1" applyBorder="1" applyAlignment="1">
      <alignment horizontal="left"/>
    </xf>
    <xf numFmtId="168" fontId="0" fillId="0" borderId="8" xfId="19" applyNumberFormat="1" applyFont="1" applyBorder="1" applyAlignment="1">
      <alignment horizontal="right" vertical="top"/>
    </xf>
    <xf numFmtId="168" fontId="0" fillId="0" borderId="9" xfId="19" applyNumberFormat="1" applyFont="1" applyBorder="1" applyAlignment="1">
      <alignment horizontal="right" vertical="top"/>
    </xf>
    <xf numFmtId="0" fontId="1" fillId="6" borderId="2" xfId="0" applyFont="1" applyFill="1" applyBorder="1" applyAlignment="1">
      <alignment horizontal="right" vertical="top"/>
    </xf>
    <xf numFmtId="0" fontId="0" fillId="6" borderId="5" xfId="0" applyFill="1" applyBorder="1"/>
    <xf numFmtId="0" fontId="0" fillId="6" borderId="7" xfId="0" applyFill="1" applyBorder="1"/>
    <xf numFmtId="0" fontId="8" fillId="6" borderId="3" xfId="0" applyFont="1" applyFill="1" applyBorder="1" applyAlignment="1">
      <alignment horizontal="right"/>
    </xf>
    <xf numFmtId="0" fontId="8" fillId="6" borderId="3" xfId="0" applyFont="1" applyFill="1" applyBorder="1" applyAlignment="1">
      <alignment horizontal="right" vertical="top"/>
    </xf>
    <xf numFmtId="0" fontId="8" fillId="6" borderId="4" xfId="0" applyFont="1" applyFill="1" applyBorder="1" applyAlignment="1">
      <alignment horizontal="right" vertical="top"/>
    </xf>
    <xf numFmtId="0" fontId="13" fillId="6" borderId="0" xfId="0" applyFont="1" applyFill="1" applyBorder="1"/>
    <xf numFmtId="0" fontId="13" fillId="6" borderId="0" xfId="0" applyFont="1" applyFill="1" applyBorder="1" applyAlignment="1">
      <alignment horizontal="right" vertical="top"/>
    </xf>
    <xf numFmtId="0" fontId="13" fillId="6" borderId="6" xfId="0" applyFont="1" applyFill="1" applyBorder="1" applyAlignment="1">
      <alignment horizontal="right" vertical="top"/>
    </xf>
    <xf numFmtId="0" fontId="0" fillId="6" borderId="5" xfId="0" applyFill="1" applyBorder="1" applyAlignment="1">
      <alignment horizontal="left"/>
    </xf>
    <xf numFmtId="10" fontId="8" fillId="0" borderId="6" xfId="19" applyNumberFormat="1" applyFont="1" applyBorder="1" applyAlignment="1">
      <alignment horizontal="right" vertical="top"/>
    </xf>
    <xf numFmtId="0" fontId="0" fillId="6" borderId="7" xfId="0" applyFill="1" applyBorder="1" applyAlignment="1">
      <alignment horizontal="left" vertical="top"/>
    </xf>
    <xf numFmtId="10" fontId="8" fillId="0" borderId="8" xfId="19" applyNumberFormat="1" applyFont="1" applyBorder="1" applyAlignment="1">
      <alignment horizontal="right" vertical="top"/>
    </xf>
    <xf numFmtId="10" fontId="8" fillId="0" borderId="9" xfId="19" applyNumberFormat="1" applyFont="1" applyBorder="1" applyAlignment="1">
      <alignment horizontal="right" vertical="top"/>
    </xf>
    <xf numFmtId="0" fontId="1" fillId="6" borderId="6" xfId="0" applyFont="1" applyFill="1" applyBorder="1" applyAlignment="1">
      <alignment horizontal="right" vertical="top"/>
    </xf>
    <xf numFmtId="0" fontId="1" fillId="6" borderId="5" xfId="0" applyFont="1" applyFill="1" applyBorder="1" applyAlignment="1">
      <alignment horizontal="right" vertical="top"/>
    </xf>
    <xf numFmtId="166" fontId="8" fillId="6" borderId="6" xfId="0" applyNumberFormat="1" applyFont="1" applyFill="1" applyBorder="1" applyAlignment="1">
      <alignment horizontal="right" vertical="top"/>
    </xf>
    <xf numFmtId="0" fontId="13" fillId="6" borderId="0" xfId="0" applyFont="1" applyFill="1" applyBorder="1" applyAlignment="1">
      <alignment horizontal="right"/>
    </xf>
    <xf numFmtId="0" fontId="13" fillId="6" borderId="6" xfId="0" applyFont="1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 vertical="top"/>
    </xf>
    <xf numFmtId="165" fontId="0" fillId="6" borderId="6" xfId="0" applyNumberFormat="1" applyFont="1" applyFill="1" applyBorder="1" applyAlignment="1">
      <alignment horizontal="right" vertical="top"/>
    </xf>
    <xf numFmtId="0" fontId="0" fillId="6" borderId="6" xfId="0" applyFill="1" applyBorder="1" applyAlignment="1">
      <alignment horizontal="right"/>
    </xf>
    <xf numFmtId="14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 vertical="top"/>
    </xf>
    <xf numFmtId="0" fontId="8" fillId="6" borderId="4" xfId="0" applyFont="1" applyFill="1" applyBorder="1" applyAlignment="1">
      <alignment horizontal="right"/>
    </xf>
    <xf numFmtId="0" fontId="13" fillId="6" borderId="6" xfId="0" applyFont="1" applyFill="1" applyBorder="1"/>
    <xf numFmtId="0" fontId="0" fillId="6" borderId="7" xfId="0" applyFill="1" applyBorder="1" applyAlignment="1">
      <alignment horizontal="left"/>
    </xf>
    <xf numFmtId="0" fontId="7" fillId="0" borderId="0" xfId="16"/>
    <xf numFmtId="0" fontId="7" fillId="0" borderId="0" xfId="16"/>
    <xf numFmtId="0" fontId="0" fillId="0" borderId="0" xfId="0"/>
    <xf numFmtId="2" fontId="8" fillId="0" borderId="0" xfId="19" applyNumberFormat="1" applyFont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8" fillId="0" borderId="11" xfId="0" applyFont="1" applyBorder="1" applyAlignment="1">
      <alignment horizontal="right" vertical="top"/>
    </xf>
    <xf numFmtId="168" fontId="8" fillId="0" borderId="11" xfId="19" applyNumberFormat="1" applyFont="1" applyBorder="1" applyAlignment="1">
      <alignment horizontal="right" vertical="top"/>
    </xf>
    <xf numFmtId="0" fontId="1" fillId="0" borderId="10" xfId="0" applyFont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164" fontId="0" fillId="0" borderId="10" xfId="0" applyNumberFormat="1" applyBorder="1" applyAlignment="1">
      <alignment horizontal="left" vertical="top"/>
    </xf>
    <xf numFmtId="164" fontId="8" fillId="0" borderId="11" xfId="0" applyNumberFormat="1" applyFont="1" applyBorder="1" applyAlignment="1">
      <alignment horizontal="right" vertical="top"/>
    </xf>
    <xf numFmtId="0" fontId="7" fillId="7" borderId="10" xfId="16" applyFill="1" applyBorder="1"/>
    <xf numFmtId="0" fontId="8" fillId="7" borderId="11" xfId="0" applyFont="1" applyFill="1" applyBorder="1" applyAlignment="1">
      <alignment horizontal="right" vertical="top"/>
    </xf>
    <xf numFmtId="0" fontId="8" fillId="0" borderId="0" xfId="0" applyFont="1" applyBorder="1"/>
    <xf numFmtId="0" fontId="8" fillId="6" borderId="0" xfId="0" applyFont="1" applyFill="1" applyBorder="1" applyAlignment="1">
      <alignment horizontal="right" vertical="top"/>
    </xf>
    <xf numFmtId="0" fontId="1" fillId="6" borderId="12" xfId="0" applyFont="1" applyFill="1" applyBorder="1" applyAlignment="1">
      <alignment horizontal="left" vertical="top"/>
    </xf>
    <xf numFmtId="0" fontId="13" fillId="6" borderId="12" xfId="0" applyFont="1" applyFill="1" applyBorder="1" applyAlignment="1">
      <alignment horizontal="right" vertical="top"/>
    </xf>
    <xf numFmtId="14" fontId="0" fillId="6" borderId="0" xfId="0" applyNumberFormat="1" applyFill="1" applyAlignment="1">
      <alignment horizontal="left" vertical="top"/>
    </xf>
    <xf numFmtId="0" fontId="0" fillId="0" borderId="0" xfId="19" applyNumberFormat="1" applyFont="1" applyBorder="1" applyAlignment="1">
      <alignment horizontal="left" vertical="top"/>
    </xf>
    <xf numFmtId="0" fontId="0" fillId="6" borderId="13" xfId="0" applyFont="1" applyFill="1" applyBorder="1" applyAlignment="1">
      <alignment horizontal="right" vertical="top"/>
    </xf>
    <xf numFmtId="0" fontId="0" fillId="6" borderId="14" xfId="0" applyFont="1" applyFill="1" applyBorder="1" applyAlignment="1">
      <alignment horizontal="right" vertical="top"/>
    </xf>
    <xf numFmtId="0" fontId="0" fillId="6" borderId="15" xfId="0" applyFont="1" applyFill="1" applyBorder="1" applyAlignment="1">
      <alignment horizontal="right" vertical="top"/>
    </xf>
    <xf numFmtId="0" fontId="0" fillId="6" borderId="10" xfId="0" applyFill="1" applyBorder="1" applyAlignment="1">
      <alignment horizontal="right" vertical="top"/>
    </xf>
    <xf numFmtId="0" fontId="0" fillId="6" borderId="11" xfId="0" applyFill="1" applyBorder="1" applyAlignment="1">
      <alignment horizontal="right" vertical="top"/>
    </xf>
    <xf numFmtId="168" fontId="0" fillId="0" borderId="10" xfId="19" applyNumberFormat="1" applyFont="1" applyBorder="1" applyAlignment="1">
      <alignment horizontal="right" vertical="top"/>
    </xf>
    <xf numFmtId="168" fontId="0" fillId="0" borderId="11" xfId="19" applyNumberFormat="1" applyFont="1" applyBorder="1" applyAlignment="1">
      <alignment horizontal="right" vertical="top"/>
    </xf>
    <xf numFmtId="168" fontId="0" fillId="0" borderId="16" xfId="19" applyNumberFormat="1" applyFont="1" applyBorder="1" applyAlignment="1">
      <alignment horizontal="right" vertical="top"/>
    </xf>
    <xf numFmtId="168" fontId="0" fillId="0" borderId="17" xfId="19" applyNumberFormat="1" applyFont="1" applyBorder="1" applyAlignment="1">
      <alignment horizontal="right" vertical="top"/>
    </xf>
    <xf numFmtId="168" fontId="0" fillId="0" borderId="18" xfId="19" applyNumberFormat="1" applyFont="1" applyBorder="1" applyAlignment="1">
      <alignment horizontal="right" vertical="top"/>
    </xf>
    <xf numFmtId="0" fontId="7" fillId="0" borderId="0" xfId="16"/>
    <xf numFmtId="0" fontId="0" fillId="0" borderId="0" xfId="0"/>
    <xf numFmtId="0" fontId="9" fillId="0" borderId="0" xfId="0" applyFont="1" applyAlignment="1">
      <alignment horizontal="center" vertical="center"/>
    </xf>
    <xf numFmtId="0" fontId="12" fillId="0" borderId="0" xfId="16" applyFont="1"/>
  </cellXfs>
  <cellStyles count="20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  <cellStyle name="Percent" xfId="19" builtinId="5"/>
  </cellStyles>
  <dxfs count="59"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</dxfs>
  <tableStyles count="0" defaultTableStyle="TableStyleMedium2" defaultPivotStyle="PivotStyleLight16"/>
  <colors>
    <mruColors>
      <color rgb="FFA6A6A6"/>
      <color rgb="FF0033CC"/>
      <color rgb="FF0000FF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workbookViewId="0"/>
  </sheetViews>
  <sheetFormatPr defaultRowHeight="12.5" x14ac:dyDescent="0.25"/>
  <cols>
    <col min="1" max="1" width="3.26953125" customWidth="1"/>
    <col min="2" max="2" width="11.81640625" customWidth="1"/>
    <col min="3" max="3" width="26" customWidth="1"/>
    <col min="4" max="4" width="80" customWidth="1"/>
  </cols>
  <sheetData>
    <row r="1" spans="1:4" ht="20.25" customHeight="1" x14ac:dyDescent="0.25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5">
      <c r="A2" s="4"/>
      <c r="B2" s="7"/>
      <c r="C2" s="7"/>
      <c r="D2" s="8"/>
    </row>
    <row r="3" spans="1:4" x14ac:dyDescent="0.25">
      <c r="A3" s="6"/>
      <c r="B3" s="14"/>
      <c r="C3" s="7"/>
      <c r="D3" s="5"/>
    </row>
    <row r="4" spans="1:4" x14ac:dyDescent="0.25">
      <c r="A4" s="6"/>
      <c r="B4" s="32"/>
      <c r="C4" s="9"/>
      <c r="D4" s="5"/>
    </row>
    <row r="5" spans="1:4" x14ac:dyDescent="0.25">
      <c r="A5" s="6"/>
      <c r="B5" s="9"/>
      <c r="C5" s="9"/>
      <c r="D5" s="5"/>
    </row>
    <row r="6" spans="1:4" x14ac:dyDescent="0.25">
      <c r="A6" s="6"/>
      <c r="B6" s="9"/>
      <c r="C6" s="9"/>
      <c r="D6" s="5"/>
    </row>
    <row r="7" spans="1:4" x14ac:dyDescent="0.25">
      <c r="A7" s="6"/>
      <c r="B7" s="9"/>
      <c r="C7" s="9"/>
      <c r="D7" s="5"/>
    </row>
    <row r="8" spans="1:4" x14ac:dyDescent="0.25">
      <c r="A8" s="6"/>
      <c r="B8" s="9"/>
      <c r="C8" s="9"/>
      <c r="D8" s="5"/>
    </row>
    <row r="9" spans="1:4" x14ac:dyDescent="0.25">
      <c r="A9" s="6"/>
      <c r="B9" s="9"/>
      <c r="C9" s="9"/>
      <c r="D9" s="5"/>
    </row>
    <row r="10" spans="1:4" x14ac:dyDescent="0.25">
      <c r="A10" s="6"/>
      <c r="B10" s="9"/>
      <c r="C10" s="9"/>
      <c r="D10" s="5"/>
    </row>
    <row r="11" spans="1:4" x14ac:dyDescent="0.25">
      <c r="A11" s="6"/>
      <c r="B11" s="9"/>
      <c r="C11" s="9"/>
      <c r="D11" s="5"/>
    </row>
    <row r="12" spans="1:4" x14ac:dyDescent="0.25">
      <c r="A12" s="6"/>
      <c r="B12" s="9"/>
      <c r="C12" s="9"/>
      <c r="D12" s="5"/>
    </row>
    <row r="13" spans="1:4" x14ac:dyDescent="0.25">
      <c r="A13" s="6"/>
      <c r="B13" s="9"/>
      <c r="C13" s="9"/>
      <c r="D13" s="5"/>
    </row>
    <row r="14" spans="1:4" x14ac:dyDescent="0.25">
      <c r="A14" s="6"/>
      <c r="B14" s="9"/>
      <c r="C14" s="9"/>
      <c r="D14" s="5"/>
    </row>
    <row r="15" spans="1:4" x14ac:dyDescent="0.25">
      <c r="A15" s="6"/>
      <c r="B15" s="9"/>
      <c r="C15" s="9"/>
      <c r="D15" s="5"/>
    </row>
    <row r="16" spans="1:4" x14ac:dyDescent="0.25">
      <c r="A16" s="6"/>
      <c r="B16" s="9"/>
      <c r="C16" s="9"/>
      <c r="D16" s="5"/>
    </row>
    <row r="17" spans="1:4" x14ac:dyDescent="0.25">
      <c r="A17" s="6"/>
      <c r="B17" s="9"/>
      <c r="C17" s="9"/>
      <c r="D17" s="5"/>
    </row>
    <row r="18" spans="1:4" x14ac:dyDescent="0.25">
      <c r="A18" s="6"/>
      <c r="B18" s="9"/>
      <c r="C18" s="9"/>
      <c r="D18" s="5"/>
    </row>
    <row r="19" spans="1:4" x14ac:dyDescent="0.25">
      <c r="A19" s="6"/>
      <c r="B19" s="9"/>
      <c r="C19" s="9"/>
      <c r="D19" s="5"/>
    </row>
    <row r="20" spans="1:4" x14ac:dyDescent="0.25">
      <c r="A20" s="6"/>
      <c r="B20" s="9"/>
      <c r="C20" s="9"/>
      <c r="D20" s="5"/>
    </row>
    <row r="21" spans="1:4" x14ac:dyDescent="0.25">
      <c r="A21" s="6"/>
      <c r="B21" s="9"/>
      <c r="C21" s="9"/>
      <c r="D21" s="5"/>
    </row>
    <row r="22" spans="1:4" x14ac:dyDescent="0.25">
      <c r="A22" s="6"/>
      <c r="B22" s="9"/>
      <c r="C22" s="9"/>
      <c r="D22" s="5"/>
    </row>
    <row r="23" spans="1:4" x14ac:dyDescent="0.25">
      <c r="A23" s="6"/>
      <c r="B23" s="9"/>
      <c r="C23" s="9"/>
      <c r="D23" s="5"/>
    </row>
    <row r="24" spans="1:4" x14ac:dyDescent="0.25">
      <c r="A24" s="6"/>
      <c r="B24" s="9"/>
      <c r="C24" s="9"/>
      <c r="D24" s="5"/>
    </row>
    <row r="25" spans="1:4" x14ac:dyDescent="0.25">
      <c r="A25" s="6"/>
      <c r="B25" s="9"/>
      <c r="C25" s="9"/>
      <c r="D25" s="5"/>
    </row>
    <row r="26" spans="1:4" x14ac:dyDescent="0.25">
      <c r="A26" s="6"/>
      <c r="B26" s="9"/>
      <c r="C26" s="9"/>
      <c r="D26" s="5"/>
    </row>
    <row r="27" spans="1:4" x14ac:dyDescent="0.25">
      <c r="A27" s="6"/>
      <c r="B27" s="9"/>
      <c r="C27" s="9"/>
      <c r="D27" s="5"/>
    </row>
    <row r="28" spans="1:4" x14ac:dyDescent="0.25">
      <c r="A28" s="6"/>
      <c r="B28" s="9"/>
      <c r="C28" s="9"/>
      <c r="D28" s="5"/>
    </row>
    <row r="29" spans="1:4" x14ac:dyDescent="0.25">
      <c r="A29" s="6"/>
      <c r="B29" s="9"/>
      <c r="C29" s="9"/>
      <c r="D29" s="5"/>
    </row>
    <row r="30" spans="1:4" x14ac:dyDescent="0.25">
      <c r="A30" s="6"/>
      <c r="B30" s="9"/>
      <c r="C30" s="9"/>
      <c r="D30" s="5"/>
    </row>
    <row r="31" spans="1:4" x14ac:dyDescent="0.25">
      <c r="A31" s="6"/>
      <c r="B31" s="9"/>
      <c r="C31" s="9"/>
      <c r="D31" s="5"/>
    </row>
    <row r="32" spans="1:4" x14ac:dyDescent="0.25">
      <c r="A32" s="6"/>
      <c r="B32" s="9"/>
      <c r="C32" s="9"/>
      <c r="D32" s="5"/>
    </row>
    <row r="33" spans="1:4" x14ac:dyDescent="0.25">
      <c r="A33" s="6"/>
      <c r="B33" s="9"/>
      <c r="C33" s="9"/>
      <c r="D33" s="5"/>
    </row>
    <row r="34" spans="1:4" x14ac:dyDescent="0.25">
      <c r="A34" s="6"/>
      <c r="B34" s="9"/>
      <c r="C34" s="9"/>
      <c r="D34" s="5"/>
    </row>
    <row r="35" spans="1:4" x14ac:dyDescent="0.25">
      <c r="A35" s="6"/>
      <c r="B35" s="9"/>
      <c r="C35" s="9"/>
      <c r="D35" s="5"/>
    </row>
    <row r="36" spans="1:4" x14ac:dyDescent="0.25">
      <c r="A36" s="6"/>
      <c r="B36" s="9"/>
      <c r="C36" s="9"/>
      <c r="D36" s="5"/>
    </row>
    <row r="37" spans="1:4" x14ac:dyDescent="0.25">
      <c r="A37" s="6"/>
      <c r="B37" s="9"/>
      <c r="C37" s="9"/>
      <c r="D37" s="5"/>
    </row>
    <row r="38" spans="1:4" x14ac:dyDescent="0.25">
      <c r="A38" s="6"/>
      <c r="B38" s="9"/>
      <c r="C38" s="9"/>
      <c r="D38" s="5"/>
    </row>
    <row r="39" spans="1:4" x14ac:dyDescent="0.25">
      <c r="A39" s="6"/>
      <c r="B39" s="9"/>
      <c r="C39" s="9"/>
      <c r="D39" s="5"/>
    </row>
    <row r="40" spans="1:4" x14ac:dyDescent="0.25">
      <c r="A40" s="6"/>
      <c r="B40" s="9"/>
      <c r="C40" s="9"/>
      <c r="D40" s="5"/>
    </row>
    <row r="41" spans="1:4" x14ac:dyDescent="0.25">
      <c r="A41" s="6"/>
      <c r="B41" s="9"/>
      <c r="C41" s="9"/>
      <c r="D41" s="5"/>
    </row>
    <row r="42" spans="1:4" x14ac:dyDescent="0.25">
      <c r="A42" s="6"/>
      <c r="B42" s="9"/>
      <c r="C42" s="9"/>
      <c r="D42" s="5"/>
    </row>
    <row r="43" spans="1:4" x14ac:dyDescent="0.25">
      <c r="A43" s="6"/>
      <c r="B43" s="9"/>
      <c r="C43" s="9"/>
      <c r="D43" s="5"/>
    </row>
    <row r="44" spans="1:4" x14ac:dyDescent="0.25">
      <c r="A44" s="6"/>
      <c r="B44" s="9"/>
      <c r="C44" s="9"/>
      <c r="D44" s="5"/>
    </row>
    <row r="45" spans="1:4" x14ac:dyDescent="0.25">
      <c r="A45" s="6"/>
      <c r="B45" s="9"/>
      <c r="C45" s="9"/>
      <c r="D45" s="5"/>
    </row>
    <row r="46" spans="1:4" x14ac:dyDescent="0.25">
      <c r="A46" s="6"/>
      <c r="B46" s="9"/>
      <c r="C46" s="9"/>
      <c r="D46" s="5"/>
    </row>
    <row r="47" spans="1:4" x14ac:dyDescent="0.25">
      <c r="A47" s="6"/>
      <c r="B47" s="9"/>
      <c r="C47" s="9"/>
      <c r="D47" s="5"/>
    </row>
    <row r="48" spans="1:4" x14ac:dyDescent="0.25">
      <c r="A48" s="6"/>
      <c r="B48" s="9"/>
      <c r="C48" s="9"/>
      <c r="D48" s="5"/>
    </row>
    <row r="49" spans="1:4" x14ac:dyDescent="0.25">
      <c r="A49" s="6"/>
      <c r="B49" s="9"/>
      <c r="C49" s="9"/>
      <c r="D49" s="5"/>
    </row>
    <row r="50" spans="1:4" x14ac:dyDescent="0.25">
      <c r="A50" s="6"/>
      <c r="B50" s="9"/>
      <c r="C50" s="9"/>
      <c r="D50" s="5"/>
    </row>
    <row r="51" spans="1:4" x14ac:dyDescent="0.25">
      <c r="A51" s="6"/>
      <c r="B51" s="9"/>
      <c r="C51" s="9"/>
      <c r="D51" s="5"/>
    </row>
    <row r="52" spans="1:4" x14ac:dyDescent="0.25">
      <c r="A52" s="6"/>
      <c r="B52" s="9"/>
      <c r="C52" s="9"/>
      <c r="D52" s="5"/>
    </row>
    <row r="53" spans="1:4" x14ac:dyDescent="0.25">
      <c r="A53" s="6"/>
      <c r="B53" s="9"/>
      <c r="C53" s="9"/>
      <c r="D53" s="5"/>
    </row>
    <row r="54" spans="1:4" x14ac:dyDescent="0.25">
      <c r="A54" s="6"/>
      <c r="B54" s="9"/>
      <c r="C54" s="9"/>
      <c r="D54" s="5"/>
    </row>
    <row r="55" spans="1:4" x14ac:dyDescent="0.25">
      <c r="A55" s="6"/>
      <c r="B55" s="9"/>
      <c r="C55" s="9"/>
      <c r="D55" s="5"/>
    </row>
    <row r="56" spans="1:4" x14ac:dyDescent="0.25">
      <c r="A56" s="6"/>
      <c r="B56" s="9"/>
      <c r="C56" s="9"/>
      <c r="D56" s="5"/>
    </row>
    <row r="57" spans="1:4" x14ac:dyDescent="0.25">
      <c r="A57" s="6"/>
      <c r="B57" s="9"/>
      <c r="C57" s="9"/>
      <c r="D57" s="5"/>
    </row>
    <row r="58" spans="1:4" x14ac:dyDescent="0.25">
      <c r="A58" s="6"/>
      <c r="B58" s="9"/>
      <c r="C58" s="9"/>
      <c r="D58" s="5"/>
    </row>
    <row r="59" spans="1:4" x14ac:dyDescent="0.25">
      <c r="A59" s="6"/>
      <c r="B59" s="9"/>
      <c r="C59" s="9"/>
      <c r="D59" s="5"/>
    </row>
    <row r="60" spans="1:4" x14ac:dyDescent="0.25">
      <c r="A60" s="6"/>
      <c r="B60" s="9"/>
      <c r="C60" s="9"/>
      <c r="D60" s="5"/>
    </row>
    <row r="61" spans="1:4" x14ac:dyDescent="0.25">
      <c r="A61" s="6"/>
      <c r="B61" s="9"/>
      <c r="C61" s="9"/>
      <c r="D61" s="5"/>
    </row>
    <row r="62" spans="1:4" x14ac:dyDescent="0.25">
      <c r="A62" s="6"/>
      <c r="B62" s="9"/>
      <c r="C62" s="9"/>
      <c r="D62" s="5"/>
    </row>
    <row r="63" spans="1:4" x14ac:dyDescent="0.25">
      <c r="A63" s="6"/>
      <c r="B63" s="9"/>
      <c r="C63" s="9"/>
      <c r="D63" s="5"/>
    </row>
    <row r="64" spans="1:4" x14ac:dyDescent="0.25">
      <c r="A64" s="6"/>
      <c r="B64" s="9"/>
      <c r="C64" s="9"/>
      <c r="D64" s="5"/>
    </row>
    <row r="65" spans="1:4" x14ac:dyDescent="0.25">
      <c r="A65" s="6"/>
      <c r="B65" s="9"/>
      <c r="C65" s="9"/>
      <c r="D65" s="5"/>
    </row>
    <row r="66" spans="1:4" x14ac:dyDescent="0.25">
      <c r="A66" s="6"/>
      <c r="B66" s="9"/>
      <c r="C66" s="9"/>
      <c r="D66" s="5"/>
    </row>
    <row r="67" spans="1:4" x14ac:dyDescent="0.25">
      <c r="A67" s="6"/>
      <c r="B67" s="9"/>
      <c r="C67" s="9"/>
      <c r="D67" s="5"/>
    </row>
    <row r="68" spans="1:4" x14ac:dyDescent="0.25">
      <c r="A68" s="6"/>
      <c r="B68" s="9"/>
      <c r="C68" s="9"/>
      <c r="D68" s="5"/>
    </row>
    <row r="69" spans="1:4" x14ac:dyDescent="0.25">
      <c r="A69" s="6"/>
      <c r="B69" s="9"/>
      <c r="C69" s="9"/>
      <c r="D69" s="5"/>
    </row>
    <row r="70" spans="1:4" x14ac:dyDescent="0.25">
      <c r="A70" s="6"/>
      <c r="B70" s="9"/>
      <c r="C70" s="9"/>
      <c r="D70" s="5"/>
    </row>
    <row r="71" spans="1:4" x14ac:dyDescent="0.25">
      <c r="A71" s="6"/>
      <c r="B71" s="9"/>
      <c r="C71" s="9"/>
      <c r="D71" s="5"/>
    </row>
    <row r="72" spans="1:4" x14ac:dyDescent="0.25">
      <c r="A72" s="6"/>
      <c r="B72" s="9"/>
      <c r="C72" s="9"/>
      <c r="D72" s="5"/>
    </row>
    <row r="73" spans="1:4" x14ac:dyDescent="0.25">
      <c r="A73" s="6"/>
      <c r="B73" s="9"/>
      <c r="C73" s="9"/>
      <c r="D73" s="5"/>
    </row>
    <row r="74" spans="1:4" x14ac:dyDescent="0.25">
      <c r="A74" s="6"/>
      <c r="B74" s="9"/>
      <c r="C74" s="9"/>
      <c r="D74" s="5"/>
    </row>
    <row r="75" spans="1:4" x14ac:dyDescent="0.25">
      <c r="A75" s="6"/>
      <c r="B75" s="9"/>
      <c r="C75" s="9"/>
      <c r="D75" s="5"/>
    </row>
    <row r="76" spans="1:4" x14ac:dyDescent="0.25">
      <c r="A76" s="6"/>
      <c r="B76" s="9"/>
      <c r="C76" s="9"/>
      <c r="D76" s="5"/>
    </row>
    <row r="77" spans="1:4" x14ac:dyDescent="0.25">
      <c r="A77" s="6"/>
      <c r="B77" s="9"/>
      <c r="C77" s="9"/>
      <c r="D77" s="5"/>
    </row>
    <row r="78" spans="1:4" x14ac:dyDescent="0.25">
      <c r="A78" s="6"/>
      <c r="B78" s="9"/>
      <c r="C78" s="9"/>
      <c r="D78" s="5"/>
    </row>
    <row r="79" spans="1:4" x14ac:dyDescent="0.25">
      <c r="A79" s="6"/>
      <c r="B79" s="9"/>
      <c r="C79" s="9"/>
      <c r="D79" s="5"/>
    </row>
    <row r="80" spans="1:4" x14ac:dyDescent="0.25">
      <c r="A80" s="6"/>
      <c r="B80" s="9"/>
      <c r="C80" s="9"/>
      <c r="D80" s="5"/>
    </row>
    <row r="81" spans="1:4" x14ac:dyDescent="0.25">
      <c r="A81" s="6"/>
      <c r="B81" s="9"/>
      <c r="C81" s="9"/>
      <c r="D81" s="5"/>
    </row>
    <row r="82" spans="1:4" x14ac:dyDescent="0.25">
      <c r="A82" s="6"/>
      <c r="B82" s="9"/>
      <c r="C82" s="9"/>
      <c r="D82" s="5"/>
    </row>
    <row r="83" spans="1:4" x14ac:dyDescent="0.25">
      <c r="A83" s="6"/>
      <c r="B83" s="9"/>
      <c r="C83" s="9"/>
      <c r="D83" s="5"/>
    </row>
    <row r="84" spans="1:4" x14ac:dyDescent="0.25">
      <c r="A84" s="6"/>
      <c r="B84" s="9"/>
      <c r="C84" s="9"/>
      <c r="D84" s="5"/>
    </row>
    <row r="85" spans="1:4" x14ac:dyDescent="0.25">
      <c r="A85" s="6"/>
      <c r="B85" s="9"/>
      <c r="C85" s="9"/>
      <c r="D85" s="5"/>
    </row>
    <row r="86" spans="1:4" x14ac:dyDescent="0.25">
      <c r="A86" s="6"/>
      <c r="B86" s="9"/>
      <c r="C86" s="9"/>
      <c r="D86" s="5"/>
    </row>
    <row r="87" spans="1:4" x14ac:dyDescent="0.25">
      <c r="A87" s="6"/>
      <c r="B87" s="9"/>
      <c r="C87" s="9"/>
      <c r="D87" s="5"/>
    </row>
    <row r="88" spans="1:4" x14ac:dyDescent="0.25">
      <c r="A88" s="6"/>
      <c r="B88" s="9"/>
      <c r="C88" s="9"/>
      <c r="D88" s="5"/>
    </row>
    <row r="89" spans="1:4" x14ac:dyDescent="0.25">
      <c r="A89" s="6"/>
      <c r="B89" s="9"/>
      <c r="C89" s="9"/>
      <c r="D89" s="5"/>
    </row>
    <row r="90" spans="1:4" x14ac:dyDescent="0.25">
      <c r="A90" s="6"/>
      <c r="B90" s="9"/>
      <c r="C90" s="9"/>
      <c r="D90" s="5"/>
    </row>
    <row r="91" spans="1:4" x14ac:dyDescent="0.25">
      <c r="A91" s="6"/>
      <c r="B91" s="9"/>
      <c r="C91" s="9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selection sqref="A1:C2"/>
    </sheetView>
  </sheetViews>
  <sheetFormatPr defaultRowHeight="12.5" x14ac:dyDescent="0.25"/>
  <cols>
    <col min="1" max="1" width="7.7265625" customWidth="1"/>
    <col min="2" max="2" width="8.54296875" customWidth="1"/>
    <col min="3" max="3" width="46.7265625" bestFit="1" customWidth="1"/>
    <col min="6" max="6" width="38.7265625" customWidth="1"/>
  </cols>
  <sheetData>
    <row r="1" spans="1:6" x14ac:dyDescent="0.25">
      <c r="A1" s="166" t="s">
        <v>7</v>
      </c>
      <c r="B1" s="166"/>
      <c r="C1" s="166"/>
      <c r="D1" s="10"/>
      <c r="E1" s="10"/>
      <c r="F1" s="10"/>
    </row>
    <row r="2" spans="1:6" x14ac:dyDescent="0.25">
      <c r="A2" s="166"/>
      <c r="B2" s="166"/>
      <c r="C2" s="166"/>
      <c r="D2" s="10"/>
      <c r="E2" s="10"/>
      <c r="F2" s="10"/>
    </row>
    <row r="3" spans="1:6" s="28" customFormat="1" ht="12.75" customHeight="1" x14ac:dyDescent="0.25">
      <c r="A3" s="29"/>
      <c r="B3" s="29"/>
      <c r="C3" s="29"/>
      <c r="D3" s="10"/>
      <c r="E3" s="10"/>
      <c r="F3" s="10"/>
    </row>
    <row r="4" spans="1:6" ht="13" x14ac:dyDescent="0.3">
      <c r="A4" s="167" t="s">
        <v>95</v>
      </c>
      <c r="B4" s="167"/>
    </row>
    <row r="5" spans="1:6" x14ac:dyDescent="0.25">
      <c r="B5" s="164" t="s">
        <v>10</v>
      </c>
      <c r="C5" s="164"/>
    </row>
    <row r="6" spans="1:6" x14ac:dyDescent="0.25">
      <c r="B6" s="135" t="s">
        <v>17</v>
      </c>
      <c r="C6" s="37"/>
    </row>
    <row r="8" spans="1:6" ht="13" x14ac:dyDescent="0.3">
      <c r="A8" s="167" t="s">
        <v>96</v>
      </c>
      <c r="B8" s="167"/>
    </row>
    <row r="9" spans="1:6" x14ac:dyDescent="0.25">
      <c r="B9" s="164" t="s">
        <v>29</v>
      </c>
      <c r="C9" s="164"/>
    </row>
    <row r="10" spans="1:6" s="137" customFormat="1" x14ac:dyDescent="0.25">
      <c r="B10" s="38" t="s">
        <v>47</v>
      </c>
      <c r="C10" s="136"/>
    </row>
    <row r="11" spans="1:6" s="137" customFormat="1" x14ac:dyDescent="0.25">
      <c r="B11" s="164" t="s">
        <v>124</v>
      </c>
      <c r="C11" s="164"/>
    </row>
    <row r="12" spans="1:6" s="137" customFormat="1" x14ac:dyDescent="0.25">
      <c r="B12" s="164" t="s">
        <v>125</v>
      </c>
      <c r="C12" s="164"/>
    </row>
    <row r="13" spans="1:6" s="137" customFormat="1" x14ac:dyDescent="0.25">
      <c r="B13" s="164" t="s">
        <v>126</v>
      </c>
      <c r="C13" s="164"/>
    </row>
    <row r="14" spans="1:6" x14ac:dyDescent="0.25">
      <c r="C14" s="11"/>
    </row>
    <row r="15" spans="1:6" x14ac:dyDescent="0.25">
      <c r="B15" s="165"/>
      <c r="C15" s="165"/>
    </row>
    <row r="17" spans="2:3" x14ac:dyDescent="0.25">
      <c r="B17" s="165"/>
      <c r="C17" s="165"/>
    </row>
    <row r="18" spans="2:3" x14ac:dyDescent="0.25">
      <c r="C18" s="11"/>
    </row>
    <row r="19" spans="2:3" x14ac:dyDescent="0.25">
      <c r="B19" s="165"/>
      <c r="C19" s="165"/>
    </row>
  </sheetData>
  <mergeCells count="11">
    <mergeCell ref="B9:C9"/>
    <mergeCell ref="A1:C2"/>
    <mergeCell ref="A4:B4"/>
    <mergeCell ref="B5:C5"/>
    <mergeCell ref="A8:B8"/>
    <mergeCell ref="B11:C11"/>
    <mergeCell ref="B13:C13"/>
    <mergeCell ref="B15:C15"/>
    <mergeCell ref="B17:C17"/>
    <mergeCell ref="B19:C19"/>
    <mergeCell ref="B12:C12"/>
  </mergeCells>
  <hyperlinks>
    <hyperlink ref="A4" location="Scenarios!A1" display="2. Scenarios" xr:uid="{00000000-0004-0000-0100-000000000000}"/>
    <hyperlink ref="A8" location="Generation!A1" display="3. Generation" xr:uid="{00000000-0004-0000-0100-000001000000}"/>
    <hyperlink ref="B5:C5" location="Scenarios!B7" display="Scenarios: Rates" xr:uid="{00000000-0004-0000-0100-000002000000}"/>
    <hyperlink ref="B6" location="Scenarios!B19" display="Scenarios: Assumptions" xr:uid="{00000000-0004-0000-0100-000003000000}"/>
    <hyperlink ref="B9:C9" location="Generation!B7" display="Generation: Control" xr:uid="{00000000-0004-0000-0100-000004000000}"/>
    <hyperlink ref="B10" location="Generation!B29" display="Generation: Economy Data" xr:uid="{00000000-0004-0000-0100-000005000000}"/>
    <hyperlink ref="B12:C12" location="Generation!B58" display="RN Generation: Calibration Data" xr:uid="{00000000-0004-0000-0100-000006000000}"/>
    <hyperlink ref="B13:C13" location="Generation!B78" display="RW Generation: Calibration Data" xr:uid="{00000000-0004-0000-0100-000007000000}"/>
    <hyperlink ref="B11:C11" location="Generation!B47" display="Generation: Shock Control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H109"/>
  <sheetViews>
    <sheetView showGridLines="0" tabSelected="1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3" sqref="C13"/>
    </sheetView>
  </sheetViews>
  <sheetFormatPr defaultColWidth="17.54296875" defaultRowHeight="12.5" x14ac:dyDescent="0.25"/>
  <cols>
    <col min="1" max="1" width="30.7265625" style="17" customWidth="1"/>
    <col min="2" max="2" width="30.1796875" style="13" customWidth="1"/>
    <col min="3" max="3" width="48.26953125" style="13" bestFit="1" customWidth="1"/>
    <col min="4" max="4" width="20.453125" style="13" customWidth="1"/>
    <col min="5" max="5" width="22.7265625" style="13" customWidth="1"/>
    <col min="6" max="6" width="21.1796875" style="13" customWidth="1"/>
    <col min="7" max="32" width="17.54296875" style="13" customWidth="1"/>
    <col min="33" max="16384" width="17.54296875" style="13"/>
  </cols>
  <sheetData>
    <row r="1" spans="1:3" ht="15.5" x14ac:dyDescent="0.25">
      <c r="A1" s="16" t="s">
        <v>9</v>
      </c>
      <c r="B1" s="20" t="s">
        <v>77</v>
      </c>
    </row>
    <row r="3" spans="1:3" ht="13" x14ac:dyDescent="0.25">
      <c r="B3" s="19" t="e">
        <f ca="1">GetNameRange(B5)</f>
        <v>#NAME?</v>
      </c>
    </row>
    <row r="4" spans="1:3" ht="13" x14ac:dyDescent="0.25">
      <c r="A4" s="48"/>
      <c r="B4" s="52" t="s">
        <v>76</v>
      </c>
      <c r="C4" s="66" t="s">
        <v>119</v>
      </c>
    </row>
    <row r="5" spans="1:3" ht="13" x14ac:dyDescent="0.25">
      <c r="A5" s="49" t="s">
        <v>8</v>
      </c>
      <c r="B5" s="54" t="s">
        <v>0</v>
      </c>
      <c r="C5" s="67"/>
    </row>
    <row r="6" spans="1:3" ht="13" x14ac:dyDescent="0.25">
      <c r="A6" s="24"/>
      <c r="B6" s="56"/>
      <c r="C6" s="55"/>
    </row>
    <row r="7" spans="1:3" ht="13" x14ac:dyDescent="0.25">
      <c r="B7" s="57" t="s">
        <v>10</v>
      </c>
      <c r="C7" s="55"/>
    </row>
    <row r="8" spans="1:3" x14ac:dyDescent="0.25">
      <c r="A8" s="17" t="s">
        <v>173</v>
      </c>
      <c r="B8" s="58" t="s">
        <v>11</v>
      </c>
      <c r="C8" s="68" t="s">
        <v>174</v>
      </c>
    </row>
    <row r="9" spans="1:3" x14ac:dyDescent="0.25">
      <c r="A9" s="26" t="s">
        <v>39</v>
      </c>
      <c r="B9" s="58" t="s">
        <v>122</v>
      </c>
      <c r="C9" s="68" t="s">
        <v>39</v>
      </c>
    </row>
    <row r="10" spans="1:3" x14ac:dyDescent="0.25">
      <c r="A10" s="18" t="s">
        <v>12</v>
      </c>
      <c r="B10" s="58" t="s">
        <v>13</v>
      </c>
      <c r="C10" s="68" t="s">
        <v>12</v>
      </c>
    </row>
    <row r="11" spans="1:3" x14ac:dyDescent="0.25">
      <c r="A11" s="18" t="s">
        <v>14</v>
      </c>
      <c r="B11" s="58" t="s">
        <v>15</v>
      </c>
      <c r="C11" s="68" t="s">
        <v>14</v>
      </c>
    </row>
    <row r="12" spans="1:3" x14ac:dyDescent="0.25">
      <c r="A12" s="18">
        <v>8</v>
      </c>
      <c r="B12" s="58" t="s">
        <v>16</v>
      </c>
      <c r="C12" s="68">
        <v>8</v>
      </c>
    </row>
    <row r="13" spans="1:3" x14ac:dyDescent="0.25">
      <c r="A13" s="18" t="s">
        <v>182</v>
      </c>
      <c r="B13" s="58" t="s">
        <v>181</v>
      </c>
      <c r="C13" s="68" t="s">
        <v>188</v>
      </c>
    </row>
    <row r="14" spans="1:3" x14ac:dyDescent="0.25">
      <c r="A14" s="18" t="s">
        <v>180</v>
      </c>
      <c r="B14" s="58" t="s">
        <v>179</v>
      </c>
      <c r="C14" s="68" t="s">
        <v>183</v>
      </c>
    </row>
    <row r="15" spans="1:3" x14ac:dyDescent="0.25">
      <c r="A15" s="18"/>
      <c r="B15" s="74"/>
      <c r="C15" s="68"/>
    </row>
    <row r="16" spans="1:3" ht="13" x14ac:dyDescent="0.25">
      <c r="B16" s="57" t="s">
        <v>17</v>
      </c>
      <c r="C16" s="68"/>
    </row>
    <row r="17" spans="1:4" x14ac:dyDescent="0.25">
      <c r="A17" s="18" t="s">
        <v>18</v>
      </c>
      <c r="B17" s="58" t="s">
        <v>19</v>
      </c>
      <c r="C17" s="68" t="s">
        <v>18</v>
      </c>
    </row>
    <row r="18" spans="1:4" x14ac:dyDescent="0.25">
      <c r="A18" s="40">
        <v>0</v>
      </c>
      <c r="B18" s="75" t="s">
        <v>20</v>
      </c>
      <c r="C18" s="69" t="s">
        <v>102</v>
      </c>
    </row>
    <row r="19" spans="1:4" x14ac:dyDescent="0.25">
      <c r="A19" s="18" t="s">
        <v>175</v>
      </c>
      <c r="B19" s="58" t="s">
        <v>176</v>
      </c>
      <c r="C19" s="68" t="s">
        <v>187</v>
      </c>
    </row>
    <row r="20" spans="1:4" x14ac:dyDescent="0.25">
      <c r="A20" s="40">
        <v>0</v>
      </c>
      <c r="B20" s="75" t="s">
        <v>21</v>
      </c>
      <c r="C20" s="69" t="s">
        <v>102</v>
      </c>
    </row>
    <row r="21" spans="1:4" x14ac:dyDescent="0.25">
      <c r="A21" s="40">
        <v>0</v>
      </c>
      <c r="B21" s="60" t="s">
        <v>22</v>
      </c>
      <c r="C21" s="69" t="s">
        <v>102</v>
      </c>
    </row>
    <row r="22" spans="1:4" x14ac:dyDescent="0.25">
      <c r="A22" s="40">
        <v>0</v>
      </c>
      <c r="B22" s="60" t="s">
        <v>23</v>
      </c>
      <c r="C22" s="69" t="s">
        <v>102</v>
      </c>
    </row>
    <row r="23" spans="1:4" x14ac:dyDescent="0.25">
      <c r="A23" s="40">
        <v>0</v>
      </c>
      <c r="B23" s="60" t="s">
        <v>24</v>
      </c>
      <c r="C23" s="69" t="s">
        <v>102</v>
      </c>
    </row>
    <row r="24" spans="1:4" x14ac:dyDescent="0.25">
      <c r="A24" s="40">
        <v>0</v>
      </c>
      <c r="B24" s="60" t="s">
        <v>25</v>
      </c>
      <c r="C24" s="69" t="s">
        <v>102</v>
      </c>
    </row>
    <row r="25" spans="1:4" x14ac:dyDescent="0.25">
      <c r="A25" s="40">
        <v>0</v>
      </c>
      <c r="B25" s="60" t="s">
        <v>26</v>
      </c>
      <c r="C25" s="69" t="s">
        <v>102</v>
      </c>
    </row>
    <row r="26" spans="1:4" x14ac:dyDescent="0.25">
      <c r="A26" s="40">
        <v>0</v>
      </c>
      <c r="B26" s="60" t="s">
        <v>27</v>
      </c>
      <c r="C26" s="69" t="s">
        <v>102</v>
      </c>
    </row>
    <row r="27" spans="1:4" x14ac:dyDescent="0.25">
      <c r="A27" s="40">
        <v>0</v>
      </c>
      <c r="B27" s="76" t="s">
        <v>28</v>
      </c>
      <c r="C27" s="73" t="s">
        <v>102</v>
      </c>
    </row>
    <row r="28" spans="1:4" x14ac:dyDescent="0.25">
      <c r="A28" s="138">
        <v>0</v>
      </c>
      <c r="B28" s="76" t="s">
        <v>123</v>
      </c>
      <c r="C28" s="73" t="s">
        <v>102</v>
      </c>
    </row>
    <row r="30" spans="1:4" ht="13" x14ac:dyDescent="0.25">
      <c r="A30" s="16" t="s">
        <v>9</v>
      </c>
      <c r="B30" s="19" t="e">
        <f ca="1">GetNameRange(B32)</f>
        <v>#NAME?</v>
      </c>
    </row>
    <row r="31" spans="1:4" ht="13" x14ac:dyDescent="0.25">
      <c r="A31" s="42" t="s">
        <v>103</v>
      </c>
      <c r="B31" s="108" t="s">
        <v>76</v>
      </c>
      <c r="C31" s="66" t="s">
        <v>119</v>
      </c>
      <c r="D31" s="22"/>
    </row>
    <row r="32" spans="1:4" ht="13" x14ac:dyDescent="0.25">
      <c r="B32" s="83" t="s">
        <v>99</v>
      </c>
      <c r="C32" s="122"/>
      <c r="D32" s="22"/>
    </row>
    <row r="33" spans="1:59" x14ac:dyDescent="0.25">
      <c r="B33" s="84">
        <v>1</v>
      </c>
      <c r="C33" s="104">
        <v>0</v>
      </c>
      <c r="D33" s="22"/>
    </row>
    <row r="34" spans="1:59" x14ac:dyDescent="0.25">
      <c r="B34" s="85">
        <v>2958101</v>
      </c>
      <c r="C34" s="107">
        <v>0</v>
      </c>
      <c r="D34" s="22"/>
    </row>
    <row r="36" spans="1:59" ht="13" x14ac:dyDescent="0.25">
      <c r="A36" s="16" t="s">
        <v>9</v>
      </c>
      <c r="B36" s="19" t="e">
        <f ca="1">GetNameRange(B38)</f>
        <v>#NAME?</v>
      </c>
      <c r="E36" s="12"/>
      <c r="F36" s="12"/>
      <c r="G36" s="12"/>
      <c r="H36" s="12"/>
      <c r="I36" s="12"/>
      <c r="J36" s="12"/>
    </row>
    <row r="37" spans="1:59" ht="13" x14ac:dyDescent="0.3">
      <c r="A37" s="42" t="s">
        <v>103</v>
      </c>
      <c r="B37" s="92" t="s">
        <v>100</v>
      </c>
      <c r="C37" s="93" t="s">
        <v>84</v>
      </c>
      <c r="D37" s="93" t="s">
        <v>97</v>
      </c>
      <c r="E37" s="93" t="s">
        <v>97</v>
      </c>
      <c r="F37" s="93" t="s">
        <v>97</v>
      </c>
      <c r="G37" s="93" t="s">
        <v>97</v>
      </c>
      <c r="H37" s="93" t="s">
        <v>98</v>
      </c>
      <c r="I37" s="93" t="s">
        <v>98</v>
      </c>
      <c r="J37" s="93" t="s">
        <v>98</v>
      </c>
      <c r="K37" s="94" t="s">
        <v>98</v>
      </c>
    </row>
    <row r="38" spans="1:59" ht="13" x14ac:dyDescent="0.3">
      <c r="B38" s="95" t="s">
        <v>101</v>
      </c>
      <c r="C38" s="96">
        <v>1</v>
      </c>
      <c r="D38" s="96">
        <v>0.25</v>
      </c>
      <c r="E38" s="96">
        <v>1</v>
      </c>
      <c r="F38" s="96">
        <v>5</v>
      </c>
      <c r="G38" s="96">
        <v>30</v>
      </c>
      <c r="H38" s="96">
        <v>0.25</v>
      </c>
      <c r="I38" s="96">
        <v>1</v>
      </c>
      <c r="J38" s="96">
        <v>5</v>
      </c>
      <c r="K38" s="97">
        <v>30</v>
      </c>
    </row>
    <row r="39" spans="1:59" ht="13" x14ac:dyDescent="0.3">
      <c r="B39" s="98" t="s">
        <v>99</v>
      </c>
      <c r="C39" s="99"/>
      <c r="D39" s="100"/>
      <c r="E39" s="100"/>
      <c r="F39" s="100"/>
      <c r="G39" s="100"/>
      <c r="H39" s="100"/>
      <c r="I39" s="100"/>
      <c r="J39" s="100"/>
      <c r="K39" s="101"/>
    </row>
    <row r="40" spans="1:59" x14ac:dyDescent="0.25">
      <c r="B40" s="102">
        <v>1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4">
        <v>0</v>
      </c>
    </row>
    <row r="41" spans="1:59" x14ac:dyDescent="0.25">
      <c r="B41" s="105">
        <v>2958101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7">
        <v>0</v>
      </c>
    </row>
    <row r="42" spans="1:59" x14ac:dyDescent="0.25">
      <c r="B42" s="130"/>
      <c r="C42" s="103"/>
      <c r="D42" s="103"/>
      <c r="E42" s="103"/>
      <c r="F42" s="103"/>
      <c r="G42" s="103"/>
      <c r="H42" s="103"/>
      <c r="I42" s="103"/>
      <c r="J42" s="103"/>
      <c r="K42" s="103"/>
    </row>
    <row r="43" spans="1:59" ht="13" x14ac:dyDescent="0.25">
      <c r="A43" s="16" t="s">
        <v>9</v>
      </c>
      <c r="B43" s="19" t="e">
        <f ca="1">GetNameRange(B45)</f>
        <v>#NAME?</v>
      </c>
      <c r="C43" s="103"/>
      <c r="D43" s="103"/>
      <c r="E43" s="103"/>
      <c r="F43" s="103"/>
      <c r="G43" s="103"/>
      <c r="H43" s="103"/>
      <c r="I43" s="103"/>
      <c r="J43" s="103"/>
      <c r="K43" s="103"/>
    </row>
    <row r="44" spans="1:59" ht="13" x14ac:dyDescent="0.3">
      <c r="A44" s="42" t="s">
        <v>103</v>
      </c>
      <c r="B44" s="92" t="s">
        <v>100</v>
      </c>
      <c r="C44" s="93" t="s">
        <v>84</v>
      </c>
      <c r="D44" s="93" t="s">
        <v>97</v>
      </c>
      <c r="E44" s="93" t="s">
        <v>97</v>
      </c>
      <c r="F44" s="93" t="s">
        <v>97</v>
      </c>
      <c r="G44" s="93" t="s">
        <v>97</v>
      </c>
      <c r="H44" s="93" t="s">
        <v>97</v>
      </c>
      <c r="I44" s="93" t="s">
        <v>97</v>
      </c>
      <c r="J44" s="93" t="s">
        <v>97</v>
      </c>
      <c r="K44" s="93" t="s">
        <v>106</v>
      </c>
      <c r="L44" s="93" t="s">
        <v>106</v>
      </c>
      <c r="M44" s="93" t="s">
        <v>106</v>
      </c>
      <c r="N44" s="93" t="s">
        <v>106</v>
      </c>
      <c r="O44" s="93" t="s">
        <v>106</v>
      </c>
      <c r="P44" s="93" t="s">
        <v>106</v>
      </c>
      <c r="Q44" s="93" t="s">
        <v>106</v>
      </c>
      <c r="R44" s="93" t="s">
        <v>104</v>
      </c>
      <c r="S44" s="93" t="s">
        <v>104</v>
      </c>
      <c r="T44" s="93" t="s">
        <v>104</v>
      </c>
      <c r="U44" s="93" t="s">
        <v>104</v>
      </c>
      <c r="V44" s="93" t="s">
        <v>104</v>
      </c>
      <c r="W44" s="93" t="s">
        <v>104</v>
      </c>
      <c r="X44" s="93" t="s">
        <v>104</v>
      </c>
      <c r="Y44" s="93" t="s">
        <v>98</v>
      </c>
      <c r="Z44" s="93" t="s">
        <v>98</v>
      </c>
      <c r="AA44" s="93" t="s">
        <v>98</v>
      </c>
      <c r="AB44" s="93" t="s">
        <v>98</v>
      </c>
      <c r="AC44" s="93" t="s">
        <v>98</v>
      </c>
      <c r="AD44" s="93" t="s">
        <v>98</v>
      </c>
      <c r="AE44" s="93" t="s">
        <v>98</v>
      </c>
      <c r="AF44" s="93" t="s">
        <v>105</v>
      </c>
      <c r="AG44" s="93" t="s">
        <v>105</v>
      </c>
      <c r="AH44" s="93" t="s">
        <v>105</v>
      </c>
      <c r="AI44" s="93" t="s">
        <v>105</v>
      </c>
      <c r="AJ44" s="93" t="s">
        <v>105</v>
      </c>
      <c r="AK44" s="93" t="s">
        <v>105</v>
      </c>
      <c r="AL44" s="93" t="s">
        <v>105</v>
      </c>
      <c r="AM44" s="93" t="s">
        <v>107</v>
      </c>
      <c r="AN44" s="93" t="s">
        <v>107</v>
      </c>
      <c r="AO44" s="93" t="s">
        <v>107</v>
      </c>
      <c r="AP44" s="93" t="s">
        <v>107</v>
      </c>
      <c r="AQ44" s="93" t="s">
        <v>107</v>
      </c>
      <c r="AR44" s="93" t="s">
        <v>107</v>
      </c>
      <c r="AS44" s="93" t="s">
        <v>107</v>
      </c>
      <c r="AT44" s="93" t="s">
        <v>120</v>
      </c>
      <c r="AU44" s="93" t="s">
        <v>120</v>
      </c>
      <c r="AV44" s="93" t="s">
        <v>120</v>
      </c>
      <c r="AW44" s="93" t="s">
        <v>120</v>
      </c>
      <c r="AX44" s="93" t="s">
        <v>120</v>
      </c>
      <c r="AY44" s="93" t="s">
        <v>120</v>
      </c>
      <c r="AZ44" s="93" t="s">
        <v>120</v>
      </c>
      <c r="BA44" s="93" t="s">
        <v>121</v>
      </c>
      <c r="BB44" s="93" t="s">
        <v>121</v>
      </c>
      <c r="BC44" s="93" t="s">
        <v>121</v>
      </c>
      <c r="BD44" s="93" t="s">
        <v>121</v>
      </c>
      <c r="BE44" s="93" t="s">
        <v>121</v>
      </c>
      <c r="BF44" s="93" t="s">
        <v>121</v>
      </c>
      <c r="BG44" s="94" t="s">
        <v>121</v>
      </c>
    </row>
    <row r="45" spans="1:59" ht="13" x14ac:dyDescent="0.3">
      <c r="B45" s="95" t="s">
        <v>101</v>
      </c>
      <c r="C45" s="96">
        <v>1</v>
      </c>
      <c r="D45" s="96">
        <v>0.25</v>
      </c>
      <c r="E45" s="96">
        <v>0.5</v>
      </c>
      <c r="F45" s="96">
        <v>1</v>
      </c>
      <c r="G45" s="96">
        <v>2</v>
      </c>
      <c r="H45" s="96">
        <v>3</v>
      </c>
      <c r="I45" s="96">
        <v>4</v>
      </c>
      <c r="J45" s="96">
        <v>5</v>
      </c>
      <c r="K45" s="96">
        <v>0.25</v>
      </c>
      <c r="L45" s="96">
        <v>0.5</v>
      </c>
      <c r="M45" s="96">
        <v>1</v>
      </c>
      <c r="N45" s="96">
        <v>2</v>
      </c>
      <c r="O45" s="96">
        <v>3</v>
      </c>
      <c r="P45" s="96">
        <v>4</v>
      </c>
      <c r="Q45" s="96">
        <v>5</v>
      </c>
      <c r="R45" s="96">
        <v>0.25</v>
      </c>
      <c r="S45" s="96">
        <v>0.5</v>
      </c>
      <c r="T45" s="96">
        <v>1</v>
      </c>
      <c r="U45" s="96">
        <v>2</v>
      </c>
      <c r="V45" s="96">
        <v>3</v>
      </c>
      <c r="W45" s="96">
        <v>4</v>
      </c>
      <c r="X45" s="96">
        <v>5</v>
      </c>
      <c r="Y45" s="96">
        <v>0.25</v>
      </c>
      <c r="Z45" s="96">
        <v>0.5</v>
      </c>
      <c r="AA45" s="96">
        <v>1</v>
      </c>
      <c r="AB45" s="96">
        <v>2</v>
      </c>
      <c r="AC45" s="96">
        <v>3</v>
      </c>
      <c r="AD45" s="96">
        <v>4</v>
      </c>
      <c r="AE45" s="96">
        <v>5</v>
      </c>
      <c r="AF45" s="96">
        <v>0.25</v>
      </c>
      <c r="AG45" s="96">
        <v>0.5</v>
      </c>
      <c r="AH45" s="96">
        <v>1</v>
      </c>
      <c r="AI45" s="96">
        <v>2</v>
      </c>
      <c r="AJ45" s="96">
        <v>3</v>
      </c>
      <c r="AK45" s="96">
        <v>4</v>
      </c>
      <c r="AL45" s="96">
        <v>5</v>
      </c>
      <c r="AM45" s="96">
        <v>0.25</v>
      </c>
      <c r="AN45" s="96">
        <v>0.5</v>
      </c>
      <c r="AO45" s="96">
        <v>1</v>
      </c>
      <c r="AP45" s="96">
        <v>2</v>
      </c>
      <c r="AQ45" s="96">
        <v>3</v>
      </c>
      <c r="AR45" s="96">
        <v>4</v>
      </c>
      <c r="AS45" s="96">
        <v>5</v>
      </c>
      <c r="AT45" s="96">
        <v>0.25</v>
      </c>
      <c r="AU45" s="96">
        <v>0.5</v>
      </c>
      <c r="AV45" s="96">
        <v>1</v>
      </c>
      <c r="AW45" s="96">
        <v>2</v>
      </c>
      <c r="AX45" s="96">
        <v>3</v>
      </c>
      <c r="AY45" s="96">
        <v>4</v>
      </c>
      <c r="AZ45" s="96">
        <v>5</v>
      </c>
      <c r="BA45" s="96">
        <v>0.25</v>
      </c>
      <c r="BB45" s="96">
        <v>0.5</v>
      </c>
      <c r="BC45" s="96">
        <v>1</v>
      </c>
      <c r="BD45" s="96">
        <v>2</v>
      </c>
      <c r="BE45" s="96">
        <v>3</v>
      </c>
      <c r="BF45" s="96">
        <v>4</v>
      </c>
      <c r="BG45" s="97">
        <v>5</v>
      </c>
    </row>
    <row r="46" spans="1:59" ht="13" x14ac:dyDescent="0.3">
      <c r="B46" s="98" t="s">
        <v>99</v>
      </c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1"/>
    </row>
    <row r="47" spans="1:59" x14ac:dyDescent="0.25">
      <c r="B47" s="105">
        <v>1</v>
      </c>
      <c r="C47" s="106">
        <v>0</v>
      </c>
      <c r="D47" s="106">
        <v>2.4500000000000001E-2</v>
      </c>
      <c r="E47" s="106">
        <v>2.4500000000000001E-2</v>
      </c>
      <c r="F47" s="106">
        <v>2.4500000000000001E-2</v>
      </c>
      <c r="G47" s="106">
        <v>2.4500000000000001E-2</v>
      </c>
      <c r="H47" s="106">
        <v>2.4500000000000001E-2</v>
      </c>
      <c r="I47" s="106">
        <v>2.4500000000000001E-2</v>
      </c>
      <c r="J47" s="106">
        <v>2.4500000000000001E-2</v>
      </c>
      <c r="K47" s="106">
        <v>2.4500000000000001E-2</v>
      </c>
      <c r="L47" s="106">
        <v>2.4500000000000001E-2</v>
      </c>
      <c r="M47" s="106">
        <v>2.4500000000000001E-2</v>
      </c>
      <c r="N47" s="106">
        <v>2.4500000000000001E-2</v>
      </c>
      <c r="O47" s="106">
        <v>2.4500000000000001E-2</v>
      </c>
      <c r="P47" s="106">
        <v>2.4500000000000001E-2</v>
      </c>
      <c r="Q47" s="106">
        <v>2.4500000000000001E-2</v>
      </c>
      <c r="R47" s="106">
        <v>2.4500000000000001E-2</v>
      </c>
      <c r="S47" s="106">
        <v>2.4500000000000001E-2</v>
      </c>
      <c r="T47" s="106">
        <v>2.4500000000000001E-2</v>
      </c>
      <c r="U47" s="106">
        <v>2.4500000000000001E-2</v>
      </c>
      <c r="V47" s="106">
        <v>2.4500000000000001E-2</v>
      </c>
      <c r="W47" s="106">
        <v>2.4500000000000001E-2</v>
      </c>
      <c r="X47" s="106">
        <v>2.4500000000000001E-2</v>
      </c>
      <c r="Y47" s="106">
        <v>2.4500000000000001E-2</v>
      </c>
      <c r="Z47" s="106">
        <v>2.4500000000000001E-2</v>
      </c>
      <c r="AA47" s="106">
        <v>2.4500000000000001E-2</v>
      </c>
      <c r="AB47" s="106">
        <v>2.4500000000000001E-2</v>
      </c>
      <c r="AC47" s="106">
        <v>2.4500000000000001E-2</v>
      </c>
      <c r="AD47" s="106">
        <v>2.4500000000000001E-2</v>
      </c>
      <c r="AE47" s="106">
        <v>2.4500000000000001E-2</v>
      </c>
      <c r="AF47" s="106">
        <v>2.4500000000000001E-2</v>
      </c>
      <c r="AG47" s="106">
        <v>2.4500000000000001E-2</v>
      </c>
      <c r="AH47" s="106">
        <v>2.4500000000000001E-2</v>
      </c>
      <c r="AI47" s="106">
        <v>2.4500000000000001E-2</v>
      </c>
      <c r="AJ47" s="106">
        <v>2.4500000000000001E-2</v>
      </c>
      <c r="AK47" s="106">
        <v>2.4500000000000001E-2</v>
      </c>
      <c r="AL47" s="106">
        <v>2.4500000000000001E-2</v>
      </c>
      <c r="AM47" s="106">
        <v>2.4500000000000001E-2</v>
      </c>
      <c r="AN47" s="106">
        <v>2.4500000000000001E-2</v>
      </c>
      <c r="AO47" s="106">
        <v>2.4500000000000001E-2</v>
      </c>
      <c r="AP47" s="106">
        <v>2.4500000000000001E-2</v>
      </c>
      <c r="AQ47" s="106">
        <v>2.4500000000000001E-2</v>
      </c>
      <c r="AR47" s="106">
        <v>2.4500000000000001E-2</v>
      </c>
      <c r="AS47" s="106">
        <v>2.4500000000000001E-2</v>
      </c>
      <c r="AT47" s="106">
        <v>2.4500000000000001E-2</v>
      </c>
      <c r="AU47" s="106">
        <v>2.4500000000000001E-2</v>
      </c>
      <c r="AV47" s="106">
        <v>2.4500000000000001E-2</v>
      </c>
      <c r="AW47" s="106">
        <v>2.4500000000000001E-2</v>
      </c>
      <c r="AX47" s="106">
        <v>2.4500000000000001E-2</v>
      </c>
      <c r="AY47" s="106">
        <v>2.4500000000000001E-2</v>
      </c>
      <c r="AZ47" s="106">
        <v>2.4500000000000001E-2</v>
      </c>
      <c r="BA47" s="106">
        <v>2.4500000000000001E-2</v>
      </c>
      <c r="BB47" s="106">
        <v>2.4500000000000001E-2</v>
      </c>
      <c r="BC47" s="106">
        <v>2.4500000000000001E-2</v>
      </c>
      <c r="BD47" s="106">
        <v>2.4500000000000001E-2</v>
      </c>
      <c r="BE47" s="106">
        <v>2.4500000000000001E-2</v>
      </c>
      <c r="BF47" s="106">
        <v>2.4500000000000001E-2</v>
      </c>
      <c r="BG47" s="107">
        <v>2.4500000000000001E-2</v>
      </c>
    </row>
    <row r="48" spans="1:59" x14ac:dyDescent="0.25">
      <c r="B48" s="130"/>
      <c r="C48" s="103"/>
      <c r="D48" s="103"/>
      <c r="E48" s="103"/>
      <c r="F48" s="103"/>
      <c r="G48" s="103"/>
      <c r="H48" s="103"/>
      <c r="I48" s="103"/>
      <c r="J48" s="103"/>
      <c r="K48" s="103"/>
    </row>
    <row r="49" spans="1:11" ht="13" x14ac:dyDescent="0.25">
      <c r="A49" s="16" t="s">
        <v>9</v>
      </c>
      <c r="B49" s="19" t="e">
        <f ca="1">GetNameRange(B51)</f>
        <v>#NAME?</v>
      </c>
      <c r="G49" s="12"/>
      <c r="H49" s="12"/>
      <c r="I49" s="12"/>
      <c r="J49" s="12"/>
    </row>
    <row r="50" spans="1:11" ht="13" x14ac:dyDescent="0.25">
      <c r="A50" s="42" t="s">
        <v>103</v>
      </c>
      <c r="B50" s="108" t="s">
        <v>100</v>
      </c>
      <c r="C50" s="53" t="s">
        <v>104</v>
      </c>
      <c r="D50" s="66" t="s">
        <v>105</v>
      </c>
      <c r="G50" s="12"/>
      <c r="H50" s="12"/>
      <c r="I50" s="12"/>
      <c r="J50" s="12"/>
    </row>
    <row r="51" spans="1:11" ht="13" x14ac:dyDescent="0.3">
      <c r="A51" s="13"/>
      <c r="B51" s="98" t="s">
        <v>108</v>
      </c>
      <c r="C51" s="51"/>
      <c r="D51" s="82"/>
      <c r="G51" s="12"/>
      <c r="H51" s="12"/>
      <c r="I51" s="12"/>
      <c r="J51" s="12"/>
    </row>
    <row r="52" spans="1:11" x14ac:dyDescent="0.25">
      <c r="B52" s="109" t="s">
        <v>84</v>
      </c>
      <c r="C52" s="103">
        <v>0</v>
      </c>
      <c r="D52" s="104">
        <v>0</v>
      </c>
      <c r="G52" s="12"/>
      <c r="H52" s="12"/>
      <c r="I52" s="12"/>
      <c r="J52" s="12"/>
    </row>
    <row r="53" spans="1:11" x14ac:dyDescent="0.25">
      <c r="B53" s="109" t="s">
        <v>106</v>
      </c>
      <c r="C53" s="103">
        <v>0</v>
      </c>
      <c r="D53" s="104">
        <v>0</v>
      </c>
      <c r="G53" s="12"/>
      <c r="H53" s="12"/>
      <c r="I53" s="12"/>
      <c r="J53" s="12"/>
    </row>
    <row r="54" spans="1:11" x14ac:dyDescent="0.25">
      <c r="B54" s="110" t="s">
        <v>107</v>
      </c>
      <c r="C54" s="106">
        <v>0</v>
      </c>
      <c r="D54" s="107">
        <v>0</v>
      </c>
      <c r="G54" s="12"/>
      <c r="H54" s="12"/>
      <c r="I54" s="12"/>
      <c r="J54" s="12"/>
    </row>
    <row r="55" spans="1:11" x14ac:dyDescent="0.25">
      <c r="E55" s="12"/>
      <c r="F55" s="12"/>
      <c r="G55" s="12"/>
      <c r="H55" s="12"/>
      <c r="I55" s="12"/>
      <c r="J55" s="12"/>
    </row>
    <row r="56" spans="1:11" ht="13" x14ac:dyDescent="0.25">
      <c r="A56" s="16" t="s">
        <v>9</v>
      </c>
      <c r="B56" s="19" t="e">
        <f ca="1">GetNameRange(B58)</f>
        <v>#NAME?</v>
      </c>
      <c r="E56" s="12"/>
      <c r="F56" s="12"/>
      <c r="G56" s="12"/>
      <c r="H56" s="12"/>
      <c r="I56" s="12"/>
      <c r="J56" s="12"/>
    </row>
    <row r="57" spans="1:11" ht="13" x14ac:dyDescent="0.25">
      <c r="A57" s="42" t="s">
        <v>103</v>
      </c>
      <c r="B57" s="108" t="s">
        <v>100</v>
      </c>
      <c r="C57" s="154" t="s">
        <v>104</v>
      </c>
      <c r="D57" s="155" t="s">
        <v>106</v>
      </c>
      <c r="E57" s="155" t="s">
        <v>97</v>
      </c>
      <c r="F57" s="155" t="s">
        <v>107</v>
      </c>
      <c r="G57" s="155" t="s">
        <v>105</v>
      </c>
      <c r="H57" s="155" t="s">
        <v>98</v>
      </c>
      <c r="I57" s="155" t="s">
        <v>184</v>
      </c>
      <c r="J57" s="155" t="s">
        <v>185</v>
      </c>
      <c r="K57" s="156" t="s">
        <v>186</v>
      </c>
    </row>
    <row r="58" spans="1:11" ht="13" x14ac:dyDescent="0.3">
      <c r="A58" s="13"/>
      <c r="B58" s="98" t="s">
        <v>99</v>
      </c>
      <c r="C58" s="157"/>
      <c r="D58" s="51"/>
      <c r="E58" s="51"/>
      <c r="F58" s="51"/>
      <c r="G58" s="51"/>
      <c r="H58" s="51"/>
      <c r="I58" s="51"/>
      <c r="J58" s="51"/>
      <c r="K58" s="158"/>
    </row>
    <row r="59" spans="1:11" x14ac:dyDescent="0.25">
      <c r="B59" s="102">
        <v>1</v>
      </c>
      <c r="C59" s="159">
        <v>0</v>
      </c>
      <c r="D59" s="103">
        <v>0</v>
      </c>
      <c r="E59" s="103">
        <v>0</v>
      </c>
      <c r="F59" s="103">
        <v>0</v>
      </c>
      <c r="G59" s="103">
        <v>0</v>
      </c>
      <c r="H59" s="103">
        <v>0</v>
      </c>
      <c r="I59" s="103">
        <v>0</v>
      </c>
      <c r="J59" s="103">
        <v>0</v>
      </c>
      <c r="K59" s="160">
        <v>0</v>
      </c>
    </row>
    <row r="60" spans="1:11" x14ac:dyDescent="0.25">
      <c r="B60" s="105">
        <v>2958101</v>
      </c>
      <c r="C60" s="161">
        <v>0</v>
      </c>
      <c r="D60" s="162">
        <v>0</v>
      </c>
      <c r="E60" s="162">
        <v>0</v>
      </c>
      <c r="F60" s="162">
        <v>0</v>
      </c>
      <c r="G60" s="162">
        <v>0</v>
      </c>
      <c r="H60" s="162">
        <v>0</v>
      </c>
      <c r="I60" s="162">
        <v>0</v>
      </c>
      <c r="J60" s="162">
        <v>0</v>
      </c>
      <c r="K60" s="163">
        <v>0</v>
      </c>
    </row>
    <row r="61" spans="1:11" x14ac:dyDescent="0.25">
      <c r="B61" s="130"/>
      <c r="C61" s="103"/>
      <c r="E61" s="12"/>
      <c r="F61" s="12"/>
      <c r="G61" s="12"/>
      <c r="H61" s="12"/>
      <c r="I61" s="12"/>
      <c r="J61" s="12"/>
    </row>
    <row r="62" spans="1:11" ht="13" x14ac:dyDescent="0.25">
      <c r="A62" s="16" t="s">
        <v>9</v>
      </c>
      <c r="B62" s="19" t="e">
        <f ca="1">GetNameRange(B63)</f>
        <v>#NAME?</v>
      </c>
      <c r="C62" s="103"/>
      <c r="E62" s="12"/>
      <c r="F62" s="12"/>
      <c r="G62" s="12"/>
      <c r="H62" s="12"/>
      <c r="I62" s="12"/>
      <c r="J62" s="12"/>
    </row>
    <row r="63" spans="1:11" ht="13" x14ac:dyDescent="0.25">
      <c r="A63" s="42" t="s">
        <v>103</v>
      </c>
      <c r="B63" s="108" t="s">
        <v>100</v>
      </c>
      <c r="C63" s="53" t="s">
        <v>106</v>
      </c>
      <c r="D63" s="66" t="s">
        <v>107</v>
      </c>
      <c r="E63" s="12"/>
      <c r="F63" s="12"/>
      <c r="G63" s="12"/>
      <c r="H63" s="12"/>
      <c r="I63" s="12"/>
      <c r="J63" s="12"/>
    </row>
    <row r="64" spans="1:11" ht="13" x14ac:dyDescent="0.3">
      <c r="B64" s="98" t="s">
        <v>99</v>
      </c>
      <c r="C64" s="51"/>
      <c r="D64" s="82"/>
      <c r="E64" s="12"/>
      <c r="F64" s="12"/>
      <c r="G64" s="12"/>
      <c r="H64" s="12"/>
      <c r="I64" s="12"/>
      <c r="J64" s="12"/>
    </row>
    <row r="65" spans="1:32" x14ac:dyDescent="0.25">
      <c r="B65" s="105">
        <v>1</v>
      </c>
      <c r="C65" s="106">
        <v>1E-3</v>
      </c>
      <c r="D65" s="107">
        <v>2.5000000000000001E-3</v>
      </c>
      <c r="E65" s="12"/>
      <c r="F65" s="12"/>
      <c r="G65" s="12"/>
      <c r="H65" s="12"/>
      <c r="I65" s="12"/>
      <c r="J65" s="12"/>
    </row>
    <row r="66" spans="1:32" x14ac:dyDescent="0.25">
      <c r="B66" s="130"/>
      <c r="C66" s="103"/>
    </row>
    <row r="67" spans="1:32" ht="13" x14ac:dyDescent="0.25">
      <c r="A67" s="16" t="s">
        <v>9</v>
      </c>
      <c r="B67" s="19" t="e">
        <f ca="1">GetNameRange(B69)</f>
        <v>#NAME?</v>
      </c>
    </row>
    <row r="68" spans="1:32" ht="13" x14ac:dyDescent="0.25">
      <c r="A68" s="42" t="s">
        <v>103</v>
      </c>
      <c r="B68" s="108" t="s">
        <v>100</v>
      </c>
      <c r="C68" s="53" t="s">
        <v>104</v>
      </c>
      <c r="D68" s="66" t="s">
        <v>105</v>
      </c>
    </row>
    <row r="69" spans="1:32" ht="13" x14ac:dyDescent="0.3">
      <c r="A69" s="13"/>
      <c r="B69" s="98" t="s">
        <v>108</v>
      </c>
      <c r="C69" s="51"/>
      <c r="D69" s="82"/>
    </row>
    <row r="70" spans="1:32" x14ac:dyDescent="0.25">
      <c r="B70" s="109" t="s">
        <v>84</v>
      </c>
      <c r="C70" s="103">
        <v>0</v>
      </c>
      <c r="D70" s="104">
        <v>0</v>
      </c>
    </row>
    <row r="71" spans="1:32" x14ac:dyDescent="0.25">
      <c r="B71" s="109" t="s">
        <v>106</v>
      </c>
      <c r="C71" s="103">
        <v>0</v>
      </c>
      <c r="D71" s="104">
        <v>0</v>
      </c>
    </row>
    <row r="72" spans="1:32" x14ac:dyDescent="0.25">
      <c r="B72" s="110" t="s">
        <v>107</v>
      </c>
      <c r="C72" s="106">
        <v>0</v>
      </c>
      <c r="D72" s="107">
        <v>0</v>
      </c>
    </row>
    <row r="74" spans="1:32" ht="13" x14ac:dyDescent="0.25">
      <c r="A74" s="16" t="s">
        <v>9</v>
      </c>
      <c r="B74" s="19" t="e">
        <f ca="1">GetNameRange(B76)</f>
        <v>#NAME?</v>
      </c>
    </row>
    <row r="75" spans="1:32" ht="13" x14ac:dyDescent="0.3">
      <c r="A75" s="42" t="s">
        <v>103</v>
      </c>
      <c r="B75" s="92" t="s">
        <v>100</v>
      </c>
      <c r="C75" s="53" t="s">
        <v>97</v>
      </c>
      <c r="D75" s="53" t="s">
        <v>97</v>
      </c>
      <c r="E75" s="53" t="s">
        <v>97</v>
      </c>
      <c r="F75" s="53" t="s">
        <v>97</v>
      </c>
      <c r="G75" s="53" t="s">
        <v>97</v>
      </c>
      <c r="H75" s="53" t="s">
        <v>97</v>
      </c>
      <c r="I75" s="53" t="s">
        <v>97</v>
      </c>
      <c r="J75" s="53" t="s">
        <v>97</v>
      </c>
      <c r="K75" s="53" t="s">
        <v>97</v>
      </c>
      <c r="L75" s="53" t="s">
        <v>97</v>
      </c>
      <c r="M75" s="53" t="s">
        <v>97</v>
      </c>
      <c r="N75" s="53" t="s">
        <v>97</v>
      </c>
      <c r="O75" s="53" t="s">
        <v>97</v>
      </c>
      <c r="P75" s="53" t="s">
        <v>97</v>
      </c>
      <c r="Q75" s="53" t="s">
        <v>97</v>
      </c>
      <c r="R75" s="53" t="s">
        <v>97</v>
      </c>
      <c r="S75" s="53" t="s">
        <v>97</v>
      </c>
      <c r="T75" s="53" t="s">
        <v>97</v>
      </c>
      <c r="U75" s="53" t="s">
        <v>97</v>
      </c>
      <c r="V75" s="53" t="s">
        <v>97</v>
      </c>
      <c r="W75" s="53" t="s">
        <v>97</v>
      </c>
      <c r="X75" s="53" t="s">
        <v>97</v>
      </c>
      <c r="Y75" s="53" t="s">
        <v>97</v>
      </c>
      <c r="Z75" s="53" t="s">
        <v>97</v>
      </c>
      <c r="AA75" s="53" t="s">
        <v>97</v>
      </c>
      <c r="AB75" s="53" t="s">
        <v>97</v>
      </c>
      <c r="AC75" s="53" t="s">
        <v>97</v>
      </c>
      <c r="AD75" s="53" t="s">
        <v>97</v>
      </c>
      <c r="AE75" s="53" t="s">
        <v>97</v>
      </c>
      <c r="AF75" s="66" t="s">
        <v>97</v>
      </c>
    </row>
    <row r="76" spans="1:32" ht="13" x14ac:dyDescent="0.3">
      <c r="B76" s="95" t="s">
        <v>109</v>
      </c>
      <c r="C76" s="127">
        <v>0.9</v>
      </c>
      <c r="D76" s="96">
        <v>0.9</v>
      </c>
      <c r="E76" s="96">
        <v>0.9</v>
      </c>
      <c r="F76" s="96">
        <v>0.9</v>
      </c>
      <c r="G76" s="96">
        <v>0.9</v>
      </c>
      <c r="H76" s="96">
        <v>0.9</v>
      </c>
      <c r="I76" s="96">
        <v>0.95</v>
      </c>
      <c r="J76" s="96">
        <v>0.95</v>
      </c>
      <c r="K76" s="96">
        <v>0.95</v>
      </c>
      <c r="L76" s="96">
        <v>0.95</v>
      </c>
      <c r="M76" s="96">
        <v>0.95</v>
      </c>
      <c r="N76" s="96">
        <v>0.95</v>
      </c>
      <c r="O76" s="96">
        <v>1</v>
      </c>
      <c r="P76" s="96">
        <v>1</v>
      </c>
      <c r="Q76" s="96">
        <v>1</v>
      </c>
      <c r="R76" s="96">
        <v>1</v>
      </c>
      <c r="S76" s="96">
        <v>1</v>
      </c>
      <c r="T76" s="96">
        <v>1</v>
      </c>
      <c r="U76" s="96">
        <v>1.05</v>
      </c>
      <c r="V76" s="96">
        <v>1.05</v>
      </c>
      <c r="W76" s="96">
        <v>1.05</v>
      </c>
      <c r="X76" s="96">
        <v>1.05</v>
      </c>
      <c r="Y76" s="96">
        <v>1.05</v>
      </c>
      <c r="Z76" s="96">
        <v>1.05</v>
      </c>
      <c r="AA76" s="96">
        <v>1.1000000000000001</v>
      </c>
      <c r="AB76" s="96">
        <v>1.1000000000000001</v>
      </c>
      <c r="AC76" s="96">
        <v>1.1000000000000001</v>
      </c>
      <c r="AD76" s="96">
        <v>1.1000000000000001</v>
      </c>
      <c r="AE76" s="96">
        <v>1.1000000000000001</v>
      </c>
      <c r="AF76" s="97">
        <v>1.1000000000000001</v>
      </c>
    </row>
    <row r="77" spans="1:32" ht="13" x14ac:dyDescent="0.3">
      <c r="B77" s="95" t="s">
        <v>101</v>
      </c>
      <c r="C77" s="96">
        <v>0.25</v>
      </c>
      <c r="D77" s="96">
        <v>0.5</v>
      </c>
      <c r="E77" s="96">
        <v>1</v>
      </c>
      <c r="F77" s="96">
        <v>3</v>
      </c>
      <c r="G77" s="96">
        <v>5</v>
      </c>
      <c r="H77" s="96">
        <v>20</v>
      </c>
      <c r="I77" s="96">
        <v>0.25</v>
      </c>
      <c r="J77" s="96">
        <v>0.5</v>
      </c>
      <c r="K77" s="96">
        <v>1</v>
      </c>
      <c r="L77" s="96">
        <v>3</v>
      </c>
      <c r="M77" s="96">
        <v>5</v>
      </c>
      <c r="N77" s="96">
        <v>20</v>
      </c>
      <c r="O77" s="96">
        <v>0.25</v>
      </c>
      <c r="P77" s="96">
        <v>0.5</v>
      </c>
      <c r="Q77" s="96">
        <v>1</v>
      </c>
      <c r="R77" s="96">
        <v>3</v>
      </c>
      <c r="S77" s="96">
        <v>5</v>
      </c>
      <c r="T77" s="96">
        <v>20</v>
      </c>
      <c r="U77" s="96">
        <v>0.25</v>
      </c>
      <c r="V77" s="96">
        <v>0.5</v>
      </c>
      <c r="W77" s="96">
        <v>1</v>
      </c>
      <c r="X77" s="96">
        <v>3</v>
      </c>
      <c r="Y77" s="96">
        <v>5</v>
      </c>
      <c r="Z77" s="96">
        <v>20</v>
      </c>
      <c r="AA77" s="96">
        <v>0.25</v>
      </c>
      <c r="AB77" s="96">
        <v>0.5</v>
      </c>
      <c r="AC77" s="96">
        <v>1</v>
      </c>
      <c r="AD77" s="96">
        <v>3</v>
      </c>
      <c r="AE77" s="96">
        <v>5</v>
      </c>
      <c r="AF77" s="97">
        <v>20</v>
      </c>
    </row>
    <row r="78" spans="1:32" ht="13" x14ac:dyDescent="0.3">
      <c r="B78" s="98" t="s">
        <v>99</v>
      </c>
      <c r="C78" s="99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1"/>
    </row>
    <row r="79" spans="1:32" x14ac:dyDescent="0.25">
      <c r="B79" s="102">
        <v>1</v>
      </c>
      <c r="C79" s="103">
        <v>0</v>
      </c>
      <c r="D79" s="103">
        <v>0</v>
      </c>
      <c r="E79" s="103">
        <v>0</v>
      </c>
      <c r="F79" s="103">
        <v>0</v>
      </c>
      <c r="G79" s="103">
        <v>0</v>
      </c>
      <c r="H79" s="103">
        <v>0</v>
      </c>
      <c r="I79" s="103">
        <v>0</v>
      </c>
      <c r="J79" s="103">
        <v>0</v>
      </c>
      <c r="K79" s="103">
        <v>0</v>
      </c>
      <c r="L79" s="103">
        <v>0</v>
      </c>
      <c r="M79" s="103">
        <v>0</v>
      </c>
      <c r="N79" s="103">
        <v>0</v>
      </c>
      <c r="O79" s="103">
        <v>0</v>
      </c>
      <c r="P79" s="103">
        <v>0</v>
      </c>
      <c r="Q79" s="103">
        <v>0</v>
      </c>
      <c r="R79" s="103">
        <v>0</v>
      </c>
      <c r="S79" s="103">
        <v>0</v>
      </c>
      <c r="T79" s="103">
        <v>0</v>
      </c>
      <c r="U79" s="103">
        <v>0</v>
      </c>
      <c r="V79" s="103">
        <v>0</v>
      </c>
      <c r="W79" s="103">
        <v>0</v>
      </c>
      <c r="X79" s="103">
        <v>0</v>
      </c>
      <c r="Y79" s="103">
        <v>0</v>
      </c>
      <c r="Z79" s="103">
        <v>0</v>
      </c>
      <c r="AA79" s="103">
        <v>0</v>
      </c>
      <c r="AB79" s="103">
        <v>0</v>
      </c>
      <c r="AC79" s="103">
        <v>0</v>
      </c>
      <c r="AD79" s="103">
        <v>0</v>
      </c>
      <c r="AE79" s="103">
        <v>0</v>
      </c>
      <c r="AF79" s="104">
        <v>0</v>
      </c>
    </row>
    <row r="80" spans="1:32" x14ac:dyDescent="0.25">
      <c r="B80" s="105">
        <v>2958101</v>
      </c>
      <c r="C80" s="106">
        <v>0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7">
        <v>0</v>
      </c>
    </row>
    <row r="82" spans="1:17" ht="13" x14ac:dyDescent="0.25">
      <c r="A82" s="16" t="s">
        <v>9</v>
      </c>
      <c r="B82" s="19" t="e">
        <f ca="1">GetNameRange(B84)</f>
        <v>#NAME?</v>
      </c>
    </row>
    <row r="83" spans="1:17" ht="13" x14ac:dyDescent="0.25">
      <c r="A83" s="42" t="s">
        <v>103</v>
      </c>
      <c r="B83" s="108" t="s">
        <v>100</v>
      </c>
      <c r="C83" s="53" t="s">
        <v>104</v>
      </c>
      <c r="D83" s="66" t="s">
        <v>105</v>
      </c>
    </row>
    <row r="84" spans="1:17" ht="13" x14ac:dyDescent="0.3">
      <c r="B84" s="98" t="s">
        <v>108</v>
      </c>
      <c r="C84" s="51"/>
      <c r="D84" s="82"/>
    </row>
    <row r="85" spans="1:17" x14ac:dyDescent="0.25">
      <c r="B85" s="109" t="s">
        <v>84</v>
      </c>
      <c r="C85" s="103">
        <v>0</v>
      </c>
      <c r="D85" s="104">
        <v>0</v>
      </c>
    </row>
    <row r="86" spans="1:17" x14ac:dyDescent="0.25">
      <c r="B86" s="109" t="s">
        <v>106</v>
      </c>
      <c r="C86" s="103">
        <v>0</v>
      </c>
      <c r="D86" s="104">
        <v>0</v>
      </c>
    </row>
    <row r="87" spans="1:17" x14ac:dyDescent="0.25">
      <c r="B87" s="110" t="s">
        <v>107</v>
      </c>
      <c r="C87" s="106">
        <v>0</v>
      </c>
      <c r="D87" s="107">
        <v>0</v>
      </c>
    </row>
    <row r="89" spans="1:17" ht="13" x14ac:dyDescent="0.25">
      <c r="A89" s="16" t="s">
        <v>9</v>
      </c>
      <c r="B89" s="19" t="e">
        <f ca="1">GetNameRange(B91)</f>
        <v>#NAME?</v>
      </c>
    </row>
    <row r="90" spans="1:17" ht="13" x14ac:dyDescent="0.3">
      <c r="A90" s="42" t="s">
        <v>103</v>
      </c>
      <c r="B90" s="92" t="s">
        <v>110</v>
      </c>
      <c r="C90" s="53" t="s">
        <v>90</v>
      </c>
      <c r="D90" s="53" t="s">
        <v>90</v>
      </c>
      <c r="E90" s="53" t="s">
        <v>90</v>
      </c>
      <c r="F90" s="53" t="s">
        <v>90</v>
      </c>
      <c r="G90" s="53" t="s">
        <v>90</v>
      </c>
      <c r="H90" s="53" t="s">
        <v>90</v>
      </c>
      <c r="I90" s="53" t="s">
        <v>90</v>
      </c>
      <c r="J90" s="53" t="s">
        <v>90</v>
      </c>
      <c r="K90" s="53" t="s">
        <v>90</v>
      </c>
      <c r="L90" s="53" t="s">
        <v>90</v>
      </c>
      <c r="M90" s="53" t="s">
        <v>90</v>
      </c>
      <c r="N90" s="53" t="s">
        <v>90</v>
      </c>
      <c r="O90" s="53" t="s">
        <v>90</v>
      </c>
      <c r="P90" s="53" t="s">
        <v>90</v>
      </c>
      <c r="Q90" s="66" t="s">
        <v>90</v>
      </c>
    </row>
    <row r="91" spans="1:17" ht="13" x14ac:dyDescent="0.3">
      <c r="A91" s="13"/>
      <c r="B91" s="95" t="s">
        <v>109</v>
      </c>
      <c r="C91" s="127">
        <v>0.9</v>
      </c>
      <c r="D91" s="96">
        <v>0.9</v>
      </c>
      <c r="E91" s="96">
        <v>0.9</v>
      </c>
      <c r="F91" s="127">
        <v>0.95</v>
      </c>
      <c r="G91" s="127">
        <v>0.95</v>
      </c>
      <c r="H91" s="127">
        <v>0.95</v>
      </c>
      <c r="I91" s="127">
        <v>1</v>
      </c>
      <c r="J91" s="96">
        <v>1</v>
      </c>
      <c r="K91" s="96">
        <v>1</v>
      </c>
      <c r="L91" s="127">
        <v>1.05</v>
      </c>
      <c r="M91" s="127">
        <v>1.05</v>
      </c>
      <c r="N91" s="127">
        <v>1.05</v>
      </c>
      <c r="O91" s="127">
        <v>1.1000000000000001</v>
      </c>
      <c r="P91" s="127">
        <v>1.1000000000000001</v>
      </c>
      <c r="Q91" s="128">
        <v>1.1000000000000001</v>
      </c>
    </row>
    <row r="92" spans="1:17" ht="13" x14ac:dyDescent="0.3">
      <c r="B92" s="95" t="s">
        <v>101</v>
      </c>
      <c r="C92" s="96">
        <v>0.25</v>
      </c>
      <c r="D92" s="96">
        <v>1</v>
      </c>
      <c r="E92" s="96">
        <v>5</v>
      </c>
      <c r="F92" s="96">
        <v>0.25</v>
      </c>
      <c r="G92" s="96">
        <v>1</v>
      </c>
      <c r="H92" s="96">
        <v>5</v>
      </c>
      <c r="I92" s="96">
        <v>0.25</v>
      </c>
      <c r="J92" s="96">
        <v>1</v>
      </c>
      <c r="K92" s="96">
        <v>5</v>
      </c>
      <c r="L92" s="96">
        <v>0.25</v>
      </c>
      <c r="M92" s="96">
        <v>1</v>
      </c>
      <c r="N92" s="96">
        <v>5</v>
      </c>
      <c r="O92" s="96">
        <v>0.25</v>
      </c>
      <c r="P92" s="96">
        <v>1</v>
      </c>
      <c r="Q92" s="97">
        <v>5</v>
      </c>
    </row>
    <row r="93" spans="1:17" ht="13" x14ac:dyDescent="0.3">
      <c r="B93" s="98" t="s">
        <v>99</v>
      </c>
      <c r="C93" s="99"/>
      <c r="D93" s="100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129"/>
    </row>
    <row r="94" spans="1:17" x14ac:dyDescent="0.25">
      <c r="B94" s="102">
        <v>1</v>
      </c>
      <c r="C94" s="103">
        <v>0</v>
      </c>
      <c r="D94" s="103">
        <v>0</v>
      </c>
      <c r="E94" s="103">
        <v>0</v>
      </c>
      <c r="F94" s="103">
        <v>0</v>
      </c>
      <c r="G94" s="103">
        <v>0</v>
      </c>
      <c r="H94" s="103">
        <v>0</v>
      </c>
      <c r="I94" s="103">
        <v>0</v>
      </c>
      <c r="J94" s="103">
        <v>0</v>
      </c>
      <c r="K94" s="103">
        <v>0</v>
      </c>
      <c r="L94" s="103">
        <v>0</v>
      </c>
      <c r="M94" s="103">
        <v>0</v>
      </c>
      <c r="N94" s="103">
        <v>0</v>
      </c>
      <c r="O94" s="103">
        <v>0</v>
      </c>
      <c r="P94" s="103">
        <v>0</v>
      </c>
      <c r="Q94" s="104">
        <v>0</v>
      </c>
    </row>
    <row r="95" spans="1:17" x14ac:dyDescent="0.25">
      <c r="B95" s="105">
        <v>2958101</v>
      </c>
      <c r="C95" s="106">
        <v>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7">
        <v>0</v>
      </c>
    </row>
    <row r="96" spans="1:17" x14ac:dyDescent="0.25">
      <c r="B96" s="130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</row>
    <row r="97" spans="1:242" ht="13" x14ac:dyDescent="0.25">
      <c r="B97" s="19" t="e">
        <f ca="1">GetNameRange(B98)</f>
        <v>#NAME?</v>
      </c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</row>
    <row r="98" spans="1:242" ht="13" x14ac:dyDescent="0.3">
      <c r="B98" s="92" t="s">
        <v>110</v>
      </c>
      <c r="C98" s="53" t="s">
        <v>79</v>
      </c>
      <c r="D98" s="53" t="s">
        <v>79</v>
      </c>
      <c r="E98" s="53" t="s">
        <v>79</v>
      </c>
      <c r="F98" s="53" t="s">
        <v>79</v>
      </c>
      <c r="G98" s="53" t="s">
        <v>79</v>
      </c>
      <c r="H98" s="53" t="s">
        <v>79</v>
      </c>
      <c r="I98" s="53" t="s">
        <v>79</v>
      </c>
      <c r="J98" s="53" t="s">
        <v>79</v>
      </c>
      <c r="K98" s="53" t="s">
        <v>79</v>
      </c>
      <c r="L98" s="53" t="s">
        <v>79</v>
      </c>
      <c r="M98" s="53" t="s">
        <v>79</v>
      </c>
      <c r="N98" s="53" t="s">
        <v>79</v>
      </c>
      <c r="O98" s="53" t="s">
        <v>79</v>
      </c>
      <c r="P98" s="53" t="s">
        <v>79</v>
      </c>
      <c r="Q98" s="53" t="s">
        <v>79</v>
      </c>
      <c r="R98" s="53" t="s">
        <v>79</v>
      </c>
      <c r="S98" s="53" t="s">
        <v>79</v>
      </c>
      <c r="T98" s="53" t="s">
        <v>79</v>
      </c>
      <c r="U98" s="53" t="s">
        <v>79</v>
      </c>
      <c r="V98" s="53" t="s">
        <v>79</v>
      </c>
      <c r="W98" s="53" t="s">
        <v>79</v>
      </c>
      <c r="X98" s="53" t="s">
        <v>79</v>
      </c>
      <c r="Y98" s="53" t="s">
        <v>79</v>
      </c>
      <c r="Z98" s="53" t="s">
        <v>79</v>
      </c>
      <c r="AA98" s="53" t="s">
        <v>79</v>
      </c>
      <c r="AB98" s="53" t="s">
        <v>79</v>
      </c>
      <c r="AC98" s="53" t="s">
        <v>79</v>
      </c>
      <c r="AD98" s="53" t="s">
        <v>79</v>
      </c>
      <c r="AE98" s="53" t="s">
        <v>79</v>
      </c>
      <c r="AF98" s="53" t="s">
        <v>79</v>
      </c>
      <c r="AG98" s="53" t="s">
        <v>79</v>
      </c>
      <c r="AH98" s="53" t="s">
        <v>79</v>
      </c>
      <c r="AI98" s="53" t="s">
        <v>79</v>
      </c>
      <c r="AJ98" s="53" t="s">
        <v>79</v>
      </c>
      <c r="AK98" s="53" t="s">
        <v>79</v>
      </c>
      <c r="AL98" s="53" t="s">
        <v>79</v>
      </c>
      <c r="AM98" s="53" t="s">
        <v>79</v>
      </c>
      <c r="AN98" s="53" t="s">
        <v>79</v>
      </c>
      <c r="AO98" s="53" t="s">
        <v>79</v>
      </c>
      <c r="AP98" s="53" t="s">
        <v>79</v>
      </c>
      <c r="AQ98" s="53" t="s">
        <v>87</v>
      </c>
      <c r="AR98" s="53" t="s">
        <v>87</v>
      </c>
      <c r="AS98" s="53" t="s">
        <v>87</v>
      </c>
      <c r="AT98" s="53" t="s">
        <v>87</v>
      </c>
      <c r="AU98" s="53" t="s">
        <v>87</v>
      </c>
      <c r="AV98" s="53" t="s">
        <v>87</v>
      </c>
      <c r="AW98" s="53" t="s">
        <v>87</v>
      </c>
      <c r="AX98" s="53" t="s">
        <v>87</v>
      </c>
      <c r="AY98" s="53" t="s">
        <v>87</v>
      </c>
      <c r="AZ98" s="53" t="s">
        <v>87</v>
      </c>
      <c r="BA98" s="53" t="s">
        <v>87</v>
      </c>
      <c r="BB98" s="53" t="s">
        <v>87</v>
      </c>
      <c r="BC98" s="53" t="s">
        <v>87</v>
      </c>
      <c r="BD98" s="53" t="s">
        <v>87</v>
      </c>
      <c r="BE98" s="53" t="s">
        <v>87</v>
      </c>
      <c r="BF98" s="53" t="s">
        <v>87</v>
      </c>
      <c r="BG98" s="53" t="s">
        <v>87</v>
      </c>
      <c r="BH98" s="53" t="s">
        <v>87</v>
      </c>
      <c r="BI98" s="53" t="s">
        <v>87</v>
      </c>
      <c r="BJ98" s="53" t="s">
        <v>87</v>
      </c>
      <c r="BK98" s="53" t="s">
        <v>87</v>
      </c>
      <c r="BL98" s="53" t="s">
        <v>87</v>
      </c>
      <c r="BM98" s="53" t="s">
        <v>87</v>
      </c>
      <c r="BN98" s="53" t="s">
        <v>87</v>
      </c>
      <c r="BO98" s="53" t="s">
        <v>87</v>
      </c>
      <c r="BP98" s="53" t="s">
        <v>87</v>
      </c>
      <c r="BQ98" s="53" t="s">
        <v>87</v>
      </c>
      <c r="BR98" s="53" t="s">
        <v>87</v>
      </c>
      <c r="BS98" s="53" t="s">
        <v>87</v>
      </c>
      <c r="BT98" s="53" t="s">
        <v>87</v>
      </c>
      <c r="BU98" s="53" t="s">
        <v>87</v>
      </c>
      <c r="BV98" s="53" t="s">
        <v>87</v>
      </c>
      <c r="BW98" s="53" t="s">
        <v>87</v>
      </c>
      <c r="BX98" s="53" t="s">
        <v>87</v>
      </c>
      <c r="BY98" s="53" t="s">
        <v>87</v>
      </c>
      <c r="BZ98" s="53" t="s">
        <v>87</v>
      </c>
      <c r="CA98" s="53" t="s">
        <v>87</v>
      </c>
      <c r="CB98" s="53" t="s">
        <v>87</v>
      </c>
      <c r="CC98" s="53" t="s">
        <v>87</v>
      </c>
      <c r="CD98" s="53" t="s">
        <v>87</v>
      </c>
      <c r="CE98" s="53" t="s">
        <v>92</v>
      </c>
      <c r="CF98" s="53" t="s">
        <v>92</v>
      </c>
      <c r="CG98" s="53" t="s">
        <v>92</v>
      </c>
      <c r="CH98" s="53" t="s">
        <v>92</v>
      </c>
      <c r="CI98" s="53" t="s">
        <v>92</v>
      </c>
      <c r="CJ98" s="53" t="s">
        <v>92</v>
      </c>
      <c r="CK98" s="53" t="s">
        <v>92</v>
      </c>
      <c r="CL98" s="53" t="s">
        <v>92</v>
      </c>
      <c r="CM98" s="53" t="s">
        <v>92</v>
      </c>
      <c r="CN98" s="53" t="s">
        <v>92</v>
      </c>
      <c r="CO98" s="53" t="s">
        <v>92</v>
      </c>
      <c r="CP98" s="53" t="s">
        <v>92</v>
      </c>
      <c r="CQ98" s="53" t="s">
        <v>92</v>
      </c>
      <c r="CR98" s="53" t="s">
        <v>92</v>
      </c>
      <c r="CS98" s="53" t="s">
        <v>92</v>
      </c>
      <c r="CT98" s="53" t="s">
        <v>92</v>
      </c>
      <c r="CU98" s="53" t="s">
        <v>92</v>
      </c>
      <c r="CV98" s="53" t="s">
        <v>92</v>
      </c>
      <c r="CW98" s="53" t="s">
        <v>92</v>
      </c>
      <c r="CX98" s="53" t="s">
        <v>92</v>
      </c>
      <c r="CY98" s="53" t="s">
        <v>92</v>
      </c>
      <c r="CZ98" s="53" t="s">
        <v>92</v>
      </c>
      <c r="DA98" s="53" t="s">
        <v>92</v>
      </c>
      <c r="DB98" s="53" t="s">
        <v>92</v>
      </c>
      <c r="DC98" s="53" t="s">
        <v>92</v>
      </c>
      <c r="DD98" s="53" t="s">
        <v>92</v>
      </c>
      <c r="DE98" s="53" t="s">
        <v>92</v>
      </c>
      <c r="DF98" s="53" t="s">
        <v>92</v>
      </c>
      <c r="DG98" s="53" t="s">
        <v>92</v>
      </c>
      <c r="DH98" s="53" t="s">
        <v>92</v>
      </c>
      <c r="DI98" s="53" t="s">
        <v>92</v>
      </c>
      <c r="DJ98" s="53" t="s">
        <v>92</v>
      </c>
      <c r="DK98" s="53" t="s">
        <v>92</v>
      </c>
      <c r="DL98" s="53" t="s">
        <v>92</v>
      </c>
      <c r="DM98" s="53" t="s">
        <v>92</v>
      </c>
      <c r="DN98" s="53" t="s">
        <v>92</v>
      </c>
      <c r="DO98" s="53" t="s">
        <v>92</v>
      </c>
      <c r="DP98" s="53" t="s">
        <v>92</v>
      </c>
      <c r="DQ98" s="53" t="s">
        <v>92</v>
      </c>
      <c r="DR98" s="53" t="s">
        <v>92</v>
      </c>
      <c r="DS98" s="53" t="s">
        <v>90</v>
      </c>
      <c r="DT98" s="53" t="s">
        <v>90</v>
      </c>
      <c r="DU98" s="53" t="s">
        <v>90</v>
      </c>
      <c r="DV98" s="53" t="s">
        <v>90</v>
      </c>
      <c r="DW98" s="53" t="s">
        <v>90</v>
      </c>
      <c r="DX98" s="53" t="s">
        <v>90</v>
      </c>
      <c r="DY98" s="53" t="s">
        <v>90</v>
      </c>
      <c r="DZ98" s="53" t="s">
        <v>90</v>
      </c>
      <c r="EA98" s="53" t="s">
        <v>90</v>
      </c>
      <c r="EB98" s="53" t="s">
        <v>90</v>
      </c>
      <c r="EC98" s="53" t="s">
        <v>90</v>
      </c>
      <c r="ED98" s="53" t="s">
        <v>90</v>
      </c>
      <c r="EE98" s="53" t="s">
        <v>90</v>
      </c>
      <c r="EF98" s="53" t="s">
        <v>90</v>
      </c>
      <c r="EG98" s="53" t="s">
        <v>90</v>
      </c>
      <c r="EH98" s="53" t="s">
        <v>90</v>
      </c>
      <c r="EI98" s="53" t="s">
        <v>90</v>
      </c>
      <c r="EJ98" s="53" t="s">
        <v>90</v>
      </c>
      <c r="EK98" s="53" t="s">
        <v>90</v>
      </c>
      <c r="EL98" s="53" t="s">
        <v>90</v>
      </c>
      <c r="EM98" s="53" t="s">
        <v>90</v>
      </c>
      <c r="EN98" s="53" t="s">
        <v>90</v>
      </c>
      <c r="EO98" s="53" t="s">
        <v>90</v>
      </c>
      <c r="EP98" s="53" t="s">
        <v>90</v>
      </c>
      <c r="EQ98" s="53" t="s">
        <v>90</v>
      </c>
      <c r="ER98" s="53" t="s">
        <v>90</v>
      </c>
      <c r="ES98" s="53" t="s">
        <v>90</v>
      </c>
      <c r="ET98" s="53" t="s">
        <v>90</v>
      </c>
      <c r="EU98" s="53" t="s">
        <v>90</v>
      </c>
      <c r="EV98" s="53" t="s">
        <v>90</v>
      </c>
      <c r="EW98" s="53" t="s">
        <v>90</v>
      </c>
      <c r="EX98" s="53" t="s">
        <v>90</v>
      </c>
      <c r="EY98" s="53" t="s">
        <v>90</v>
      </c>
      <c r="EZ98" s="53" t="s">
        <v>90</v>
      </c>
      <c r="FA98" s="53" t="s">
        <v>90</v>
      </c>
      <c r="FB98" s="53" t="s">
        <v>90</v>
      </c>
      <c r="FC98" s="53" t="s">
        <v>90</v>
      </c>
      <c r="FD98" s="53" t="s">
        <v>90</v>
      </c>
      <c r="FE98" s="53" t="s">
        <v>90</v>
      </c>
      <c r="FF98" s="53" t="s">
        <v>90</v>
      </c>
      <c r="FG98" s="53" t="s">
        <v>91</v>
      </c>
      <c r="FH98" s="53" t="s">
        <v>91</v>
      </c>
      <c r="FI98" s="53" t="s">
        <v>91</v>
      </c>
      <c r="FJ98" s="53" t="s">
        <v>91</v>
      </c>
      <c r="FK98" s="53" t="s">
        <v>91</v>
      </c>
      <c r="FL98" s="53" t="s">
        <v>91</v>
      </c>
      <c r="FM98" s="53" t="s">
        <v>91</v>
      </c>
      <c r="FN98" s="53" t="s">
        <v>91</v>
      </c>
      <c r="FO98" s="53" t="s">
        <v>91</v>
      </c>
      <c r="FP98" s="53" t="s">
        <v>91</v>
      </c>
      <c r="FQ98" s="53" t="s">
        <v>91</v>
      </c>
      <c r="FR98" s="53" t="s">
        <v>91</v>
      </c>
      <c r="FS98" s="53" t="s">
        <v>91</v>
      </c>
      <c r="FT98" s="53" t="s">
        <v>91</v>
      </c>
      <c r="FU98" s="53" t="s">
        <v>91</v>
      </c>
      <c r="FV98" s="53" t="s">
        <v>91</v>
      </c>
      <c r="FW98" s="53" t="s">
        <v>91</v>
      </c>
      <c r="FX98" s="53" t="s">
        <v>91</v>
      </c>
      <c r="FY98" s="53" t="s">
        <v>91</v>
      </c>
      <c r="FZ98" s="53" t="s">
        <v>91</v>
      </c>
      <c r="GA98" s="53" t="s">
        <v>91</v>
      </c>
      <c r="GB98" s="53" t="s">
        <v>91</v>
      </c>
      <c r="GC98" s="53" t="s">
        <v>91</v>
      </c>
      <c r="GD98" s="53" t="s">
        <v>91</v>
      </c>
      <c r="GE98" s="53" t="s">
        <v>91</v>
      </c>
      <c r="GF98" s="53" t="s">
        <v>91</v>
      </c>
      <c r="GG98" s="53" t="s">
        <v>91</v>
      </c>
      <c r="GH98" s="53" t="s">
        <v>91</v>
      </c>
      <c r="GI98" s="53" t="s">
        <v>91</v>
      </c>
      <c r="GJ98" s="53" t="s">
        <v>91</v>
      </c>
      <c r="GK98" s="53" t="s">
        <v>91</v>
      </c>
      <c r="GL98" s="53" t="s">
        <v>91</v>
      </c>
      <c r="GM98" s="53" t="s">
        <v>91</v>
      </c>
      <c r="GN98" s="53" t="s">
        <v>91</v>
      </c>
      <c r="GO98" s="53" t="s">
        <v>91</v>
      </c>
      <c r="GP98" s="53" t="s">
        <v>91</v>
      </c>
      <c r="GQ98" s="53" t="s">
        <v>91</v>
      </c>
      <c r="GR98" s="53" t="s">
        <v>91</v>
      </c>
      <c r="GS98" s="53" t="s">
        <v>91</v>
      </c>
      <c r="GT98" s="53" t="s">
        <v>91</v>
      </c>
      <c r="GU98" s="53" t="s">
        <v>88</v>
      </c>
      <c r="GV98" s="53" t="s">
        <v>88</v>
      </c>
      <c r="GW98" s="53" t="s">
        <v>88</v>
      </c>
      <c r="GX98" s="53" t="s">
        <v>88</v>
      </c>
      <c r="GY98" s="53" t="s">
        <v>88</v>
      </c>
      <c r="GZ98" s="53" t="s">
        <v>88</v>
      </c>
      <c r="HA98" s="53" t="s">
        <v>88</v>
      </c>
      <c r="HB98" s="53" t="s">
        <v>88</v>
      </c>
      <c r="HC98" s="53" t="s">
        <v>88</v>
      </c>
      <c r="HD98" s="53" t="s">
        <v>88</v>
      </c>
      <c r="HE98" s="53" t="s">
        <v>88</v>
      </c>
      <c r="HF98" s="53" t="s">
        <v>88</v>
      </c>
      <c r="HG98" s="53" t="s">
        <v>88</v>
      </c>
      <c r="HH98" s="53" t="s">
        <v>88</v>
      </c>
      <c r="HI98" s="53" t="s">
        <v>88</v>
      </c>
      <c r="HJ98" s="53" t="s">
        <v>88</v>
      </c>
      <c r="HK98" s="53" t="s">
        <v>88</v>
      </c>
      <c r="HL98" s="53" t="s">
        <v>88</v>
      </c>
      <c r="HM98" s="53" t="s">
        <v>88</v>
      </c>
      <c r="HN98" s="53" t="s">
        <v>88</v>
      </c>
      <c r="HO98" s="53" t="s">
        <v>88</v>
      </c>
      <c r="HP98" s="53" t="s">
        <v>88</v>
      </c>
      <c r="HQ98" s="53" t="s">
        <v>88</v>
      </c>
      <c r="HR98" s="53" t="s">
        <v>88</v>
      </c>
      <c r="HS98" s="53" t="s">
        <v>88</v>
      </c>
      <c r="HT98" s="53" t="s">
        <v>88</v>
      </c>
      <c r="HU98" s="53" t="s">
        <v>88</v>
      </c>
      <c r="HV98" s="53" t="s">
        <v>88</v>
      </c>
      <c r="HW98" s="53" t="s">
        <v>88</v>
      </c>
      <c r="HX98" s="53" t="s">
        <v>88</v>
      </c>
      <c r="HY98" s="53" t="s">
        <v>88</v>
      </c>
      <c r="HZ98" s="53" t="s">
        <v>88</v>
      </c>
      <c r="IA98" s="53" t="s">
        <v>88</v>
      </c>
      <c r="IB98" s="53" t="s">
        <v>88</v>
      </c>
      <c r="IC98" s="53" t="s">
        <v>88</v>
      </c>
      <c r="ID98" s="53" t="s">
        <v>88</v>
      </c>
      <c r="IE98" s="53" t="s">
        <v>88</v>
      </c>
      <c r="IF98" s="53" t="s">
        <v>88</v>
      </c>
      <c r="IG98" s="53" t="s">
        <v>88</v>
      </c>
      <c r="IH98" s="66" t="s">
        <v>88</v>
      </c>
    </row>
    <row r="99" spans="1:242" ht="13" x14ac:dyDescent="0.3">
      <c r="B99" s="95" t="s">
        <v>109</v>
      </c>
      <c r="C99" s="127">
        <v>0.9</v>
      </c>
      <c r="D99" s="96">
        <v>0.9</v>
      </c>
      <c r="E99" s="96">
        <v>0.9</v>
      </c>
      <c r="F99" s="96">
        <v>0.9</v>
      </c>
      <c r="G99" s="96">
        <v>0.9</v>
      </c>
      <c r="H99" s="96">
        <v>0.9</v>
      </c>
      <c r="I99" s="96">
        <v>0.9</v>
      </c>
      <c r="J99" s="96">
        <v>0.9</v>
      </c>
      <c r="K99" s="127">
        <v>0.95</v>
      </c>
      <c r="L99" s="127">
        <v>0.95</v>
      </c>
      <c r="M99" s="127">
        <v>0.95</v>
      </c>
      <c r="N99" s="127">
        <v>0.95</v>
      </c>
      <c r="O99" s="127">
        <v>0.95</v>
      </c>
      <c r="P99" s="127">
        <v>0.95</v>
      </c>
      <c r="Q99" s="127">
        <v>0.95</v>
      </c>
      <c r="R99" s="127">
        <v>0.95</v>
      </c>
      <c r="S99" s="127">
        <v>1</v>
      </c>
      <c r="T99" s="127">
        <v>1</v>
      </c>
      <c r="U99" s="127">
        <v>1</v>
      </c>
      <c r="V99" s="127">
        <v>1</v>
      </c>
      <c r="W99" s="127">
        <v>1</v>
      </c>
      <c r="X99" s="127">
        <v>1</v>
      </c>
      <c r="Y99" s="127">
        <v>1</v>
      </c>
      <c r="Z99" s="127">
        <v>1</v>
      </c>
      <c r="AA99" s="127">
        <v>1.05</v>
      </c>
      <c r="AB99" s="127">
        <v>1.05</v>
      </c>
      <c r="AC99" s="127">
        <v>1.05</v>
      </c>
      <c r="AD99" s="127">
        <v>1.05</v>
      </c>
      <c r="AE99" s="127">
        <v>1.05</v>
      </c>
      <c r="AF99" s="127">
        <v>1.05</v>
      </c>
      <c r="AG99" s="127">
        <v>1.05</v>
      </c>
      <c r="AH99" s="127">
        <v>1.05</v>
      </c>
      <c r="AI99" s="127">
        <v>1.1000000000000001</v>
      </c>
      <c r="AJ99" s="127">
        <v>1.1000000000000001</v>
      </c>
      <c r="AK99" s="127">
        <v>1.1000000000000001</v>
      </c>
      <c r="AL99" s="127">
        <v>1.1000000000000001</v>
      </c>
      <c r="AM99" s="127">
        <v>1.1000000000000001</v>
      </c>
      <c r="AN99" s="127">
        <v>1.1000000000000001</v>
      </c>
      <c r="AO99" s="127">
        <v>1.1000000000000001</v>
      </c>
      <c r="AP99" s="127">
        <v>1.1000000000000001</v>
      </c>
      <c r="AQ99" s="127">
        <v>0.9</v>
      </c>
      <c r="AR99" s="96">
        <v>0.9</v>
      </c>
      <c r="AS99" s="96">
        <v>0.9</v>
      </c>
      <c r="AT99" s="96">
        <v>0.9</v>
      </c>
      <c r="AU99" s="96">
        <v>0.9</v>
      </c>
      <c r="AV99" s="96">
        <v>0.9</v>
      </c>
      <c r="AW99" s="96">
        <v>0.9</v>
      </c>
      <c r="AX99" s="96">
        <v>0.9</v>
      </c>
      <c r="AY99" s="127">
        <v>0.95</v>
      </c>
      <c r="AZ99" s="127">
        <v>0.95</v>
      </c>
      <c r="BA99" s="127">
        <v>0.95</v>
      </c>
      <c r="BB99" s="127">
        <v>0.95</v>
      </c>
      <c r="BC99" s="127">
        <v>0.95</v>
      </c>
      <c r="BD99" s="127">
        <v>0.95</v>
      </c>
      <c r="BE99" s="127">
        <v>0.95</v>
      </c>
      <c r="BF99" s="127">
        <v>0.95</v>
      </c>
      <c r="BG99" s="127">
        <v>1</v>
      </c>
      <c r="BH99" s="127">
        <v>1</v>
      </c>
      <c r="BI99" s="127">
        <v>1</v>
      </c>
      <c r="BJ99" s="127">
        <v>1</v>
      </c>
      <c r="BK99" s="127">
        <v>1</v>
      </c>
      <c r="BL99" s="127">
        <v>1</v>
      </c>
      <c r="BM99" s="127">
        <v>1</v>
      </c>
      <c r="BN99" s="127">
        <v>1</v>
      </c>
      <c r="BO99" s="127">
        <v>1.05</v>
      </c>
      <c r="BP99" s="127">
        <v>1.05</v>
      </c>
      <c r="BQ99" s="127">
        <v>1.05</v>
      </c>
      <c r="BR99" s="127">
        <v>1.05</v>
      </c>
      <c r="BS99" s="127">
        <v>1.05</v>
      </c>
      <c r="BT99" s="127">
        <v>1.05</v>
      </c>
      <c r="BU99" s="127">
        <v>1.05</v>
      </c>
      <c r="BV99" s="127">
        <v>1.05</v>
      </c>
      <c r="BW99" s="127">
        <v>1.1000000000000001</v>
      </c>
      <c r="BX99" s="127">
        <v>1.1000000000000001</v>
      </c>
      <c r="BY99" s="127">
        <v>1.1000000000000001</v>
      </c>
      <c r="BZ99" s="127">
        <v>1.1000000000000001</v>
      </c>
      <c r="CA99" s="127">
        <v>1.1000000000000001</v>
      </c>
      <c r="CB99" s="127">
        <v>1.1000000000000001</v>
      </c>
      <c r="CC99" s="127">
        <v>1.1000000000000001</v>
      </c>
      <c r="CD99" s="127">
        <v>1.1000000000000001</v>
      </c>
      <c r="CE99" s="127">
        <v>0.9</v>
      </c>
      <c r="CF99" s="96">
        <v>0.9</v>
      </c>
      <c r="CG99" s="96">
        <v>0.9</v>
      </c>
      <c r="CH99" s="96">
        <v>0.9</v>
      </c>
      <c r="CI99" s="96">
        <v>0.9</v>
      </c>
      <c r="CJ99" s="96">
        <v>0.9</v>
      </c>
      <c r="CK99" s="96">
        <v>0.9</v>
      </c>
      <c r="CL99" s="96">
        <v>0.9</v>
      </c>
      <c r="CM99" s="127">
        <v>0.95</v>
      </c>
      <c r="CN99" s="127">
        <v>0.95</v>
      </c>
      <c r="CO99" s="127">
        <v>0.95</v>
      </c>
      <c r="CP99" s="127">
        <v>0.95</v>
      </c>
      <c r="CQ99" s="127">
        <v>0.95</v>
      </c>
      <c r="CR99" s="127">
        <v>0.95</v>
      </c>
      <c r="CS99" s="127">
        <v>0.95</v>
      </c>
      <c r="CT99" s="127">
        <v>0.95</v>
      </c>
      <c r="CU99" s="127">
        <v>1</v>
      </c>
      <c r="CV99" s="127">
        <v>1</v>
      </c>
      <c r="CW99" s="127">
        <v>1</v>
      </c>
      <c r="CX99" s="127">
        <v>1</v>
      </c>
      <c r="CY99" s="127">
        <v>1</v>
      </c>
      <c r="CZ99" s="127">
        <v>1</v>
      </c>
      <c r="DA99" s="127">
        <v>1</v>
      </c>
      <c r="DB99" s="127">
        <v>1</v>
      </c>
      <c r="DC99" s="127">
        <v>1.05</v>
      </c>
      <c r="DD99" s="127">
        <v>1.05</v>
      </c>
      <c r="DE99" s="127">
        <v>1.05</v>
      </c>
      <c r="DF99" s="127">
        <v>1.05</v>
      </c>
      <c r="DG99" s="127">
        <v>1.05</v>
      </c>
      <c r="DH99" s="127">
        <v>1.05</v>
      </c>
      <c r="DI99" s="127">
        <v>1.05</v>
      </c>
      <c r="DJ99" s="127">
        <v>1.05</v>
      </c>
      <c r="DK99" s="127">
        <v>1.1000000000000001</v>
      </c>
      <c r="DL99" s="127">
        <v>1.1000000000000001</v>
      </c>
      <c r="DM99" s="127">
        <v>1.1000000000000001</v>
      </c>
      <c r="DN99" s="127">
        <v>1.1000000000000001</v>
      </c>
      <c r="DO99" s="127">
        <v>1.1000000000000001</v>
      </c>
      <c r="DP99" s="127">
        <v>1.1000000000000001</v>
      </c>
      <c r="DQ99" s="127">
        <v>1.1000000000000001</v>
      </c>
      <c r="DR99" s="127">
        <v>1.1000000000000001</v>
      </c>
      <c r="DS99" s="127">
        <v>0.9</v>
      </c>
      <c r="DT99" s="96">
        <v>0.9</v>
      </c>
      <c r="DU99" s="96">
        <v>0.9</v>
      </c>
      <c r="DV99" s="96">
        <v>0.9</v>
      </c>
      <c r="DW99" s="96">
        <v>0.9</v>
      </c>
      <c r="DX99" s="96">
        <v>0.9</v>
      </c>
      <c r="DY99" s="96">
        <v>0.9</v>
      </c>
      <c r="DZ99" s="96">
        <v>0.9</v>
      </c>
      <c r="EA99" s="127">
        <v>0.95</v>
      </c>
      <c r="EB99" s="127">
        <v>0.95</v>
      </c>
      <c r="EC99" s="127">
        <v>0.95</v>
      </c>
      <c r="ED99" s="127">
        <v>0.95</v>
      </c>
      <c r="EE99" s="127">
        <v>0.95</v>
      </c>
      <c r="EF99" s="127">
        <v>0.95</v>
      </c>
      <c r="EG99" s="127">
        <v>0.95</v>
      </c>
      <c r="EH99" s="127">
        <v>0.95</v>
      </c>
      <c r="EI99" s="127">
        <v>1</v>
      </c>
      <c r="EJ99" s="127">
        <v>1</v>
      </c>
      <c r="EK99" s="127">
        <v>1</v>
      </c>
      <c r="EL99" s="127">
        <v>1</v>
      </c>
      <c r="EM99" s="127">
        <v>1</v>
      </c>
      <c r="EN99" s="127">
        <v>1</v>
      </c>
      <c r="EO99" s="127">
        <v>1</v>
      </c>
      <c r="EP99" s="127">
        <v>1</v>
      </c>
      <c r="EQ99" s="127">
        <v>1.05</v>
      </c>
      <c r="ER99" s="127">
        <v>1.05</v>
      </c>
      <c r="ES99" s="127">
        <v>1.05</v>
      </c>
      <c r="ET99" s="127">
        <v>1.05</v>
      </c>
      <c r="EU99" s="127">
        <v>1.05</v>
      </c>
      <c r="EV99" s="127">
        <v>1.05</v>
      </c>
      <c r="EW99" s="127">
        <v>1.05</v>
      </c>
      <c r="EX99" s="127">
        <v>1.05</v>
      </c>
      <c r="EY99" s="127">
        <v>1.1000000000000001</v>
      </c>
      <c r="EZ99" s="127">
        <v>1.1000000000000001</v>
      </c>
      <c r="FA99" s="127">
        <v>1.1000000000000001</v>
      </c>
      <c r="FB99" s="127">
        <v>1.1000000000000001</v>
      </c>
      <c r="FC99" s="127">
        <v>1.1000000000000001</v>
      </c>
      <c r="FD99" s="127">
        <v>1.1000000000000001</v>
      </c>
      <c r="FE99" s="127">
        <v>1.1000000000000001</v>
      </c>
      <c r="FF99" s="127">
        <v>1.1000000000000001</v>
      </c>
      <c r="FG99" s="127">
        <v>0.9</v>
      </c>
      <c r="FH99" s="96">
        <v>0.9</v>
      </c>
      <c r="FI99" s="96">
        <v>0.9</v>
      </c>
      <c r="FJ99" s="96">
        <v>0.9</v>
      </c>
      <c r="FK99" s="96">
        <v>0.9</v>
      </c>
      <c r="FL99" s="96">
        <v>0.9</v>
      </c>
      <c r="FM99" s="96">
        <v>0.9</v>
      </c>
      <c r="FN99" s="96">
        <v>0.9</v>
      </c>
      <c r="FO99" s="127">
        <v>0.95</v>
      </c>
      <c r="FP99" s="127">
        <v>0.95</v>
      </c>
      <c r="FQ99" s="127">
        <v>0.95</v>
      </c>
      <c r="FR99" s="127">
        <v>0.95</v>
      </c>
      <c r="FS99" s="127">
        <v>0.95</v>
      </c>
      <c r="FT99" s="127">
        <v>0.95</v>
      </c>
      <c r="FU99" s="127">
        <v>0.95</v>
      </c>
      <c r="FV99" s="127">
        <v>0.95</v>
      </c>
      <c r="FW99" s="127">
        <v>1</v>
      </c>
      <c r="FX99" s="127">
        <v>1</v>
      </c>
      <c r="FY99" s="127">
        <v>1</v>
      </c>
      <c r="FZ99" s="127">
        <v>1</v>
      </c>
      <c r="GA99" s="127">
        <v>1</v>
      </c>
      <c r="GB99" s="127">
        <v>1</v>
      </c>
      <c r="GC99" s="127">
        <v>1</v>
      </c>
      <c r="GD99" s="127">
        <v>1</v>
      </c>
      <c r="GE99" s="127">
        <v>1.05</v>
      </c>
      <c r="GF99" s="127">
        <v>1.05</v>
      </c>
      <c r="GG99" s="127">
        <v>1.05</v>
      </c>
      <c r="GH99" s="127">
        <v>1.05</v>
      </c>
      <c r="GI99" s="127">
        <v>1.05</v>
      </c>
      <c r="GJ99" s="127">
        <v>1.05</v>
      </c>
      <c r="GK99" s="127">
        <v>1.05</v>
      </c>
      <c r="GL99" s="127">
        <v>1.05</v>
      </c>
      <c r="GM99" s="127">
        <v>1.1000000000000001</v>
      </c>
      <c r="GN99" s="127">
        <v>1.1000000000000001</v>
      </c>
      <c r="GO99" s="127">
        <v>1.1000000000000001</v>
      </c>
      <c r="GP99" s="127">
        <v>1.1000000000000001</v>
      </c>
      <c r="GQ99" s="127">
        <v>1.1000000000000001</v>
      </c>
      <c r="GR99" s="127">
        <v>1.1000000000000001</v>
      </c>
      <c r="GS99" s="127">
        <v>1.1000000000000001</v>
      </c>
      <c r="GT99" s="127">
        <v>1.1000000000000001</v>
      </c>
      <c r="GU99" s="127">
        <v>0.9</v>
      </c>
      <c r="GV99" s="96">
        <v>0.9</v>
      </c>
      <c r="GW99" s="96">
        <v>0.9</v>
      </c>
      <c r="GX99" s="96">
        <v>0.9</v>
      </c>
      <c r="GY99" s="96">
        <v>0.9</v>
      </c>
      <c r="GZ99" s="96">
        <v>0.9</v>
      </c>
      <c r="HA99" s="96">
        <v>0.9</v>
      </c>
      <c r="HB99" s="96">
        <v>0.9</v>
      </c>
      <c r="HC99" s="127">
        <v>0.95</v>
      </c>
      <c r="HD99" s="127">
        <v>0.95</v>
      </c>
      <c r="HE99" s="127">
        <v>0.95</v>
      </c>
      <c r="HF99" s="127">
        <v>0.95</v>
      </c>
      <c r="HG99" s="127">
        <v>0.95</v>
      </c>
      <c r="HH99" s="127">
        <v>0.95</v>
      </c>
      <c r="HI99" s="127">
        <v>0.95</v>
      </c>
      <c r="HJ99" s="127">
        <v>0.95</v>
      </c>
      <c r="HK99" s="127">
        <v>1</v>
      </c>
      <c r="HL99" s="127">
        <v>1</v>
      </c>
      <c r="HM99" s="127">
        <v>1</v>
      </c>
      <c r="HN99" s="127">
        <v>1</v>
      </c>
      <c r="HO99" s="127">
        <v>1</v>
      </c>
      <c r="HP99" s="127">
        <v>1</v>
      </c>
      <c r="HQ99" s="127">
        <v>1</v>
      </c>
      <c r="HR99" s="127">
        <v>1</v>
      </c>
      <c r="HS99" s="127">
        <v>1.05</v>
      </c>
      <c r="HT99" s="127">
        <v>1.05</v>
      </c>
      <c r="HU99" s="127">
        <v>1.05</v>
      </c>
      <c r="HV99" s="127">
        <v>1.05</v>
      </c>
      <c r="HW99" s="127">
        <v>1.05</v>
      </c>
      <c r="HX99" s="127">
        <v>1.05</v>
      </c>
      <c r="HY99" s="127">
        <v>1.05</v>
      </c>
      <c r="HZ99" s="127">
        <v>1.05</v>
      </c>
      <c r="IA99" s="127">
        <v>1.1000000000000001</v>
      </c>
      <c r="IB99" s="127">
        <v>1.1000000000000001</v>
      </c>
      <c r="IC99" s="127">
        <v>1.1000000000000001</v>
      </c>
      <c r="ID99" s="127">
        <v>1.1000000000000001</v>
      </c>
      <c r="IE99" s="127">
        <v>1.1000000000000001</v>
      </c>
      <c r="IF99" s="127">
        <v>1.1000000000000001</v>
      </c>
      <c r="IG99" s="127">
        <v>1.1000000000000001</v>
      </c>
      <c r="IH99" s="128">
        <v>1.1000000000000001</v>
      </c>
    </row>
    <row r="100" spans="1:242" ht="13" x14ac:dyDescent="0.3">
      <c r="B100" s="95" t="s">
        <v>101</v>
      </c>
      <c r="C100" s="96">
        <v>8.3330000000000001E-2</v>
      </c>
      <c r="D100" s="96">
        <v>0.25</v>
      </c>
      <c r="E100" s="96">
        <v>0.5</v>
      </c>
      <c r="F100" s="96">
        <v>1</v>
      </c>
      <c r="G100" s="96">
        <v>2</v>
      </c>
      <c r="H100" s="96">
        <v>3</v>
      </c>
      <c r="I100" s="96">
        <v>4</v>
      </c>
      <c r="J100" s="96">
        <v>5</v>
      </c>
      <c r="K100" s="96">
        <v>8.3330000000000001E-2</v>
      </c>
      <c r="L100" s="96">
        <v>0.25</v>
      </c>
      <c r="M100" s="96">
        <v>0.5</v>
      </c>
      <c r="N100" s="96">
        <v>1</v>
      </c>
      <c r="O100" s="96">
        <v>2</v>
      </c>
      <c r="P100" s="96">
        <v>3</v>
      </c>
      <c r="Q100" s="96">
        <v>4</v>
      </c>
      <c r="R100" s="96">
        <v>5</v>
      </c>
      <c r="S100" s="96">
        <v>8.3330000000000001E-2</v>
      </c>
      <c r="T100" s="96">
        <v>0.25</v>
      </c>
      <c r="U100" s="96">
        <v>0.5</v>
      </c>
      <c r="V100" s="96">
        <v>1</v>
      </c>
      <c r="W100" s="96">
        <v>2</v>
      </c>
      <c r="X100" s="96">
        <v>3</v>
      </c>
      <c r="Y100" s="96">
        <v>4</v>
      </c>
      <c r="Z100" s="96">
        <v>5</v>
      </c>
      <c r="AA100" s="96">
        <v>8.3330000000000001E-2</v>
      </c>
      <c r="AB100" s="96">
        <v>0.25</v>
      </c>
      <c r="AC100" s="96">
        <v>0.5</v>
      </c>
      <c r="AD100" s="96">
        <v>1</v>
      </c>
      <c r="AE100" s="96">
        <v>2</v>
      </c>
      <c r="AF100" s="96">
        <v>3</v>
      </c>
      <c r="AG100" s="96">
        <v>4</v>
      </c>
      <c r="AH100" s="96">
        <v>5</v>
      </c>
      <c r="AI100" s="96">
        <v>8.3330000000000001E-2</v>
      </c>
      <c r="AJ100" s="96">
        <v>0.25</v>
      </c>
      <c r="AK100" s="96">
        <v>0.5</v>
      </c>
      <c r="AL100" s="96">
        <v>1</v>
      </c>
      <c r="AM100" s="96">
        <v>2</v>
      </c>
      <c r="AN100" s="96">
        <v>3</v>
      </c>
      <c r="AO100" s="96">
        <v>4</v>
      </c>
      <c r="AP100" s="96">
        <v>5</v>
      </c>
      <c r="AQ100" s="96">
        <v>8.3330000000000001E-2</v>
      </c>
      <c r="AR100" s="96">
        <v>0.25</v>
      </c>
      <c r="AS100" s="96">
        <v>0.5</v>
      </c>
      <c r="AT100" s="96">
        <v>1</v>
      </c>
      <c r="AU100" s="96">
        <v>2</v>
      </c>
      <c r="AV100" s="96">
        <v>3</v>
      </c>
      <c r="AW100" s="96">
        <v>4</v>
      </c>
      <c r="AX100" s="96">
        <v>5</v>
      </c>
      <c r="AY100" s="96">
        <v>8.3330000000000001E-2</v>
      </c>
      <c r="AZ100" s="96">
        <v>0.25</v>
      </c>
      <c r="BA100" s="96">
        <v>0.5</v>
      </c>
      <c r="BB100" s="96">
        <v>1</v>
      </c>
      <c r="BC100" s="96">
        <v>2</v>
      </c>
      <c r="BD100" s="96">
        <v>3</v>
      </c>
      <c r="BE100" s="96">
        <v>4</v>
      </c>
      <c r="BF100" s="96">
        <v>5</v>
      </c>
      <c r="BG100" s="96">
        <v>8.3330000000000001E-2</v>
      </c>
      <c r="BH100" s="96">
        <v>0.25</v>
      </c>
      <c r="BI100" s="96">
        <v>0.5</v>
      </c>
      <c r="BJ100" s="96">
        <v>1</v>
      </c>
      <c r="BK100" s="96">
        <v>2</v>
      </c>
      <c r="BL100" s="96">
        <v>3</v>
      </c>
      <c r="BM100" s="96">
        <v>4</v>
      </c>
      <c r="BN100" s="96">
        <v>5</v>
      </c>
      <c r="BO100" s="96">
        <v>8.3330000000000001E-2</v>
      </c>
      <c r="BP100" s="96">
        <v>0.25</v>
      </c>
      <c r="BQ100" s="96">
        <v>0.5</v>
      </c>
      <c r="BR100" s="96">
        <v>1</v>
      </c>
      <c r="BS100" s="96">
        <v>2</v>
      </c>
      <c r="BT100" s="96">
        <v>3</v>
      </c>
      <c r="BU100" s="96">
        <v>4</v>
      </c>
      <c r="BV100" s="96">
        <v>5</v>
      </c>
      <c r="BW100" s="96">
        <v>8.3330000000000001E-2</v>
      </c>
      <c r="BX100" s="96">
        <v>0.25</v>
      </c>
      <c r="BY100" s="96">
        <v>0.5</v>
      </c>
      <c r="BZ100" s="96">
        <v>1</v>
      </c>
      <c r="CA100" s="96">
        <v>2</v>
      </c>
      <c r="CB100" s="96">
        <v>3</v>
      </c>
      <c r="CC100" s="96">
        <v>4</v>
      </c>
      <c r="CD100" s="96">
        <v>5</v>
      </c>
      <c r="CE100" s="96">
        <v>8.3330000000000001E-2</v>
      </c>
      <c r="CF100" s="96">
        <v>0.25</v>
      </c>
      <c r="CG100" s="96">
        <v>0.5</v>
      </c>
      <c r="CH100" s="96">
        <v>1</v>
      </c>
      <c r="CI100" s="96">
        <v>2</v>
      </c>
      <c r="CJ100" s="96">
        <v>3</v>
      </c>
      <c r="CK100" s="96">
        <v>4</v>
      </c>
      <c r="CL100" s="96">
        <v>5</v>
      </c>
      <c r="CM100" s="96">
        <v>8.3330000000000001E-2</v>
      </c>
      <c r="CN100" s="96">
        <v>0.25</v>
      </c>
      <c r="CO100" s="96">
        <v>0.5</v>
      </c>
      <c r="CP100" s="96">
        <v>1</v>
      </c>
      <c r="CQ100" s="96">
        <v>2</v>
      </c>
      <c r="CR100" s="96">
        <v>3</v>
      </c>
      <c r="CS100" s="96">
        <v>4</v>
      </c>
      <c r="CT100" s="96">
        <v>5</v>
      </c>
      <c r="CU100" s="96">
        <v>8.3330000000000001E-2</v>
      </c>
      <c r="CV100" s="96">
        <v>0.25</v>
      </c>
      <c r="CW100" s="96">
        <v>0.5</v>
      </c>
      <c r="CX100" s="96">
        <v>1</v>
      </c>
      <c r="CY100" s="96">
        <v>2</v>
      </c>
      <c r="CZ100" s="96">
        <v>3</v>
      </c>
      <c r="DA100" s="96">
        <v>4</v>
      </c>
      <c r="DB100" s="96">
        <v>5</v>
      </c>
      <c r="DC100" s="96">
        <v>8.3330000000000001E-2</v>
      </c>
      <c r="DD100" s="96">
        <v>0.25</v>
      </c>
      <c r="DE100" s="96">
        <v>0.5</v>
      </c>
      <c r="DF100" s="96">
        <v>1</v>
      </c>
      <c r="DG100" s="96">
        <v>2</v>
      </c>
      <c r="DH100" s="96">
        <v>3</v>
      </c>
      <c r="DI100" s="96">
        <v>4</v>
      </c>
      <c r="DJ100" s="96">
        <v>5</v>
      </c>
      <c r="DK100" s="96">
        <v>8.3330000000000001E-2</v>
      </c>
      <c r="DL100" s="96">
        <v>0.25</v>
      </c>
      <c r="DM100" s="96">
        <v>0.5</v>
      </c>
      <c r="DN100" s="96">
        <v>1</v>
      </c>
      <c r="DO100" s="96">
        <v>2</v>
      </c>
      <c r="DP100" s="96">
        <v>3</v>
      </c>
      <c r="DQ100" s="96">
        <v>4</v>
      </c>
      <c r="DR100" s="96">
        <v>5</v>
      </c>
      <c r="DS100" s="96">
        <v>8.3330000000000001E-2</v>
      </c>
      <c r="DT100" s="96">
        <v>0.25</v>
      </c>
      <c r="DU100" s="96">
        <v>0.5</v>
      </c>
      <c r="DV100" s="96">
        <v>1</v>
      </c>
      <c r="DW100" s="96">
        <v>2</v>
      </c>
      <c r="DX100" s="96">
        <v>3</v>
      </c>
      <c r="DY100" s="96">
        <v>4</v>
      </c>
      <c r="DZ100" s="96">
        <v>5</v>
      </c>
      <c r="EA100" s="96">
        <v>8.3330000000000001E-2</v>
      </c>
      <c r="EB100" s="96">
        <v>0.25</v>
      </c>
      <c r="EC100" s="96">
        <v>0.5</v>
      </c>
      <c r="ED100" s="96">
        <v>1</v>
      </c>
      <c r="EE100" s="96">
        <v>2</v>
      </c>
      <c r="EF100" s="96">
        <v>3</v>
      </c>
      <c r="EG100" s="96">
        <v>4</v>
      </c>
      <c r="EH100" s="96">
        <v>5</v>
      </c>
      <c r="EI100" s="96">
        <v>8.3330000000000001E-2</v>
      </c>
      <c r="EJ100" s="96">
        <v>0.25</v>
      </c>
      <c r="EK100" s="96">
        <v>0.5</v>
      </c>
      <c r="EL100" s="96">
        <v>1</v>
      </c>
      <c r="EM100" s="96">
        <v>2</v>
      </c>
      <c r="EN100" s="96">
        <v>3</v>
      </c>
      <c r="EO100" s="96">
        <v>4</v>
      </c>
      <c r="EP100" s="96">
        <v>5</v>
      </c>
      <c r="EQ100" s="96">
        <v>8.3330000000000001E-2</v>
      </c>
      <c r="ER100" s="96">
        <v>0.25</v>
      </c>
      <c r="ES100" s="96">
        <v>0.5</v>
      </c>
      <c r="ET100" s="96">
        <v>1</v>
      </c>
      <c r="EU100" s="96">
        <v>2</v>
      </c>
      <c r="EV100" s="96">
        <v>3</v>
      </c>
      <c r="EW100" s="96">
        <v>4</v>
      </c>
      <c r="EX100" s="96">
        <v>5</v>
      </c>
      <c r="EY100" s="96">
        <v>8.3330000000000001E-2</v>
      </c>
      <c r="EZ100" s="96">
        <v>0.25</v>
      </c>
      <c r="FA100" s="96">
        <v>0.5</v>
      </c>
      <c r="FB100" s="96">
        <v>1</v>
      </c>
      <c r="FC100" s="96">
        <v>2</v>
      </c>
      <c r="FD100" s="96">
        <v>3</v>
      </c>
      <c r="FE100" s="96">
        <v>4</v>
      </c>
      <c r="FF100" s="96">
        <v>5</v>
      </c>
      <c r="FG100" s="96">
        <v>8.3330000000000001E-2</v>
      </c>
      <c r="FH100" s="96">
        <v>0.25</v>
      </c>
      <c r="FI100" s="96">
        <v>0.5</v>
      </c>
      <c r="FJ100" s="96">
        <v>1</v>
      </c>
      <c r="FK100" s="96">
        <v>2</v>
      </c>
      <c r="FL100" s="96">
        <v>3</v>
      </c>
      <c r="FM100" s="96">
        <v>4</v>
      </c>
      <c r="FN100" s="96">
        <v>5</v>
      </c>
      <c r="FO100" s="96">
        <v>8.3330000000000001E-2</v>
      </c>
      <c r="FP100" s="96">
        <v>0.25</v>
      </c>
      <c r="FQ100" s="96">
        <v>0.5</v>
      </c>
      <c r="FR100" s="96">
        <v>1</v>
      </c>
      <c r="FS100" s="96">
        <v>2</v>
      </c>
      <c r="FT100" s="96">
        <v>3</v>
      </c>
      <c r="FU100" s="96">
        <v>4</v>
      </c>
      <c r="FV100" s="96">
        <v>5</v>
      </c>
      <c r="FW100" s="96">
        <v>8.3330000000000001E-2</v>
      </c>
      <c r="FX100" s="96">
        <v>0.25</v>
      </c>
      <c r="FY100" s="96">
        <v>0.5</v>
      </c>
      <c r="FZ100" s="96">
        <v>1</v>
      </c>
      <c r="GA100" s="96">
        <v>2</v>
      </c>
      <c r="GB100" s="96">
        <v>3</v>
      </c>
      <c r="GC100" s="96">
        <v>4</v>
      </c>
      <c r="GD100" s="96">
        <v>5</v>
      </c>
      <c r="GE100" s="96">
        <v>8.3330000000000001E-2</v>
      </c>
      <c r="GF100" s="96">
        <v>0.25</v>
      </c>
      <c r="GG100" s="96">
        <v>0.5</v>
      </c>
      <c r="GH100" s="96">
        <v>1</v>
      </c>
      <c r="GI100" s="96">
        <v>2</v>
      </c>
      <c r="GJ100" s="96">
        <v>3</v>
      </c>
      <c r="GK100" s="96">
        <v>4</v>
      </c>
      <c r="GL100" s="96">
        <v>5</v>
      </c>
      <c r="GM100" s="96">
        <v>8.3330000000000001E-2</v>
      </c>
      <c r="GN100" s="96">
        <v>0.25</v>
      </c>
      <c r="GO100" s="96">
        <v>0.5</v>
      </c>
      <c r="GP100" s="96">
        <v>1</v>
      </c>
      <c r="GQ100" s="96">
        <v>2</v>
      </c>
      <c r="GR100" s="96">
        <v>3</v>
      </c>
      <c r="GS100" s="96">
        <v>4</v>
      </c>
      <c r="GT100" s="96">
        <v>5</v>
      </c>
      <c r="GU100" s="96">
        <v>8.3330000000000001E-2</v>
      </c>
      <c r="GV100" s="96">
        <v>0.25</v>
      </c>
      <c r="GW100" s="96">
        <v>0.5</v>
      </c>
      <c r="GX100" s="96">
        <v>1</v>
      </c>
      <c r="GY100" s="96">
        <v>2</v>
      </c>
      <c r="GZ100" s="96">
        <v>3</v>
      </c>
      <c r="HA100" s="96">
        <v>4</v>
      </c>
      <c r="HB100" s="96">
        <v>5</v>
      </c>
      <c r="HC100" s="96">
        <v>8.3330000000000001E-2</v>
      </c>
      <c r="HD100" s="96">
        <v>0.25</v>
      </c>
      <c r="HE100" s="96">
        <v>0.5</v>
      </c>
      <c r="HF100" s="96">
        <v>1</v>
      </c>
      <c r="HG100" s="96">
        <v>2</v>
      </c>
      <c r="HH100" s="96">
        <v>3</v>
      </c>
      <c r="HI100" s="96">
        <v>4</v>
      </c>
      <c r="HJ100" s="96">
        <v>5</v>
      </c>
      <c r="HK100" s="96">
        <v>8.3330000000000001E-2</v>
      </c>
      <c r="HL100" s="96">
        <v>0.25</v>
      </c>
      <c r="HM100" s="96">
        <v>0.5</v>
      </c>
      <c r="HN100" s="96">
        <v>1</v>
      </c>
      <c r="HO100" s="96">
        <v>2</v>
      </c>
      <c r="HP100" s="96">
        <v>3</v>
      </c>
      <c r="HQ100" s="96">
        <v>4</v>
      </c>
      <c r="HR100" s="96">
        <v>5</v>
      </c>
      <c r="HS100" s="96">
        <v>8.3330000000000001E-2</v>
      </c>
      <c r="HT100" s="96">
        <v>0.25</v>
      </c>
      <c r="HU100" s="96">
        <v>0.5</v>
      </c>
      <c r="HV100" s="96">
        <v>1</v>
      </c>
      <c r="HW100" s="96">
        <v>2</v>
      </c>
      <c r="HX100" s="96">
        <v>3</v>
      </c>
      <c r="HY100" s="96">
        <v>4</v>
      </c>
      <c r="HZ100" s="96">
        <v>5</v>
      </c>
      <c r="IA100" s="96">
        <v>8.3330000000000001E-2</v>
      </c>
      <c r="IB100" s="96">
        <v>0.25</v>
      </c>
      <c r="IC100" s="96">
        <v>0.5</v>
      </c>
      <c r="ID100" s="96">
        <v>1</v>
      </c>
      <c r="IE100" s="96">
        <v>2</v>
      </c>
      <c r="IF100" s="96">
        <v>3</v>
      </c>
      <c r="IG100" s="96">
        <v>4</v>
      </c>
      <c r="IH100" s="97">
        <v>5</v>
      </c>
    </row>
    <row r="101" spans="1:242" ht="13" x14ac:dyDescent="0.3">
      <c r="B101" s="98" t="s">
        <v>99</v>
      </c>
      <c r="C101" s="99"/>
      <c r="D101" s="100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100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9"/>
      <c r="CE101" s="99"/>
      <c r="CF101" s="100"/>
      <c r="CG101" s="99"/>
      <c r="CH101" s="99"/>
      <c r="CI101" s="99"/>
      <c r="CJ101" s="99"/>
      <c r="CK101" s="99"/>
      <c r="CL101" s="99"/>
      <c r="CM101" s="99"/>
      <c r="CN101" s="99"/>
      <c r="CO101" s="99"/>
      <c r="CP101" s="99"/>
      <c r="CQ101" s="99"/>
      <c r="CR101" s="99"/>
      <c r="CS101" s="99"/>
      <c r="CT101" s="99"/>
      <c r="CU101" s="99"/>
      <c r="CV101" s="99"/>
      <c r="CW101" s="99"/>
      <c r="CX101" s="99"/>
      <c r="CY101" s="99"/>
      <c r="CZ101" s="99"/>
      <c r="DA101" s="99"/>
      <c r="DB101" s="99"/>
      <c r="DC101" s="99"/>
      <c r="DD101" s="99"/>
      <c r="DE101" s="99"/>
      <c r="DF101" s="99"/>
      <c r="DG101" s="99"/>
      <c r="DH101" s="99"/>
      <c r="DI101" s="99"/>
      <c r="DJ101" s="99"/>
      <c r="DK101" s="99"/>
      <c r="DL101" s="99"/>
      <c r="DM101" s="99"/>
      <c r="DN101" s="99"/>
      <c r="DO101" s="99"/>
      <c r="DP101" s="99"/>
      <c r="DQ101" s="99"/>
      <c r="DR101" s="99"/>
      <c r="DS101" s="99"/>
      <c r="DT101" s="100"/>
      <c r="DU101" s="99"/>
      <c r="DV101" s="99"/>
      <c r="DW101" s="99"/>
      <c r="DX101" s="99"/>
      <c r="DY101" s="99"/>
      <c r="DZ101" s="99"/>
      <c r="EA101" s="99"/>
      <c r="EB101" s="99"/>
      <c r="EC101" s="99"/>
      <c r="ED101" s="99"/>
      <c r="EE101" s="99"/>
      <c r="EF101" s="99"/>
      <c r="EG101" s="99"/>
      <c r="EH101" s="99"/>
      <c r="EI101" s="99"/>
      <c r="EJ101" s="99"/>
      <c r="EK101" s="99"/>
      <c r="EL101" s="99"/>
      <c r="EM101" s="99"/>
      <c r="EN101" s="99"/>
      <c r="EO101" s="99"/>
      <c r="EP101" s="99"/>
      <c r="EQ101" s="99"/>
      <c r="ER101" s="99"/>
      <c r="ES101" s="99"/>
      <c r="ET101" s="99"/>
      <c r="EU101" s="99"/>
      <c r="EV101" s="99"/>
      <c r="EW101" s="99"/>
      <c r="EX101" s="99"/>
      <c r="EY101" s="99"/>
      <c r="EZ101" s="99"/>
      <c r="FA101" s="99"/>
      <c r="FB101" s="99"/>
      <c r="FC101" s="99"/>
      <c r="FD101" s="99"/>
      <c r="FE101" s="99"/>
      <c r="FF101" s="99"/>
      <c r="FG101" s="99"/>
      <c r="FH101" s="100"/>
      <c r="FI101" s="99"/>
      <c r="FJ101" s="99"/>
      <c r="FK101" s="99"/>
      <c r="FL101" s="99"/>
      <c r="FM101" s="99"/>
      <c r="FN101" s="99"/>
      <c r="FO101" s="99"/>
      <c r="FP101" s="99"/>
      <c r="FQ101" s="99"/>
      <c r="FR101" s="99"/>
      <c r="FS101" s="99"/>
      <c r="FT101" s="99"/>
      <c r="FU101" s="99"/>
      <c r="FV101" s="99"/>
      <c r="FW101" s="99"/>
      <c r="FX101" s="99"/>
      <c r="FY101" s="99"/>
      <c r="FZ101" s="99"/>
      <c r="GA101" s="99"/>
      <c r="GB101" s="99"/>
      <c r="GC101" s="99"/>
      <c r="GD101" s="99"/>
      <c r="GE101" s="99"/>
      <c r="GF101" s="99"/>
      <c r="GG101" s="99"/>
      <c r="GH101" s="99"/>
      <c r="GI101" s="99"/>
      <c r="GJ101" s="99"/>
      <c r="GK101" s="99"/>
      <c r="GL101" s="99"/>
      <c r="GM101" s="99"/>
      <c r="GN101" s="99"/>
      <c r="GO101" s="99"/>
      <c r="GP101" s="99"/>
      <c r="GQ101" s="99"/>
      <c r="GR101" s="99"/>
      <c r="GS101" s="99"/>
      <c r="GT101" s="99"/>
      <c r="GU101" s="99"/>
      <c r="GV101" s="100"/>
      <c r="GW101" s="99"/>
      <c r="GX101" s="99"/>
      <c r="GY101" s="99"/>
      <c r="GZ101" s="99"/>
      <c r="HA101" s="99"/>
      <c r="HB101" s="99"/>
      <c r="HC101" s="99"/>
      <c r="HD101" s="99"/>
      <c r="HE101" s="99"/>
      <c r="HF101" s="99"/>
      <c r="HG101" s="99"/>
      <c r="HH101" s="99"/>
      <c r="HI101" s="99"/>
      <c r="HJ101" s="99"/>
      <c r="HK101" s="99"/>
      <c r="HL101" s="99"/>
      <c r="HM101" s="99"/>
      <c r="HN101" s="99"/>
      <c r="HO101" s="99"/>
      <c r="HP101" s="99"/>
      <c r="HQ101" s="99"/>
      <c r="HR101" s="99"/>
      <c r="HS101" s="99"/>
      <c r="HT101" s="99"/>
      <c r="HU101" s="99"/>
      <c r="HV101" s="99"/>
      <c r="HW101" s="99"/>
      <c r="HX101" s="99"/>
      <c r="HY101" s="99"/>
      <c r="HZ101" s="99"/>
      <c r="IA101" s="99"/>
      <c r="IB101" s="99"/>
      <c r="IC101" s="99"/>
      <c r="ID101" s="99"/>
      <c r="IE101" s="99"/>
      <c r="IF101" s="99"/>
      <c r="IG101" s="99"/>
      <c r="IH101" s="129"/>
    </row>
    <row r="102" spans="1:242" x14ac:dyDescent="0.25">
      <c r="B102" s="105">
        <v>1</v>
      </c>
      <c r="C102" s="106">
        <v>0.21249999999999999</v>
      </c>
      <c r="D102" s="106">
        <v>0.21249999999999999</v>
      </c>
      <c r="E102" s="106">
        <v>0.21249999999999999</v>
      </c>
      <c r="F102" s="106">
        <v>0.21249999999999999</v>
      </c>
      <c r="G102" s="106">
        <v>0.21249999999999999</v>
      </c>
      <c r="H102" s="106">
        <v>0.21249999999999999</v>
      </c>
      <c r="I102" s="106">
        <v>0.21249999999999999</v>
      </c>
      <c r="J102" s="106">
        <v>0.21249999999999999</v>
      </c>
      <c r="K102" s="106">
        <v>0.20849999999999999</v>
      </c>
      <c r="L102" s="106">
        <v>0.20849999999999999</v>
      </c>
      <c r="M102" s="106">
        <v>0.20849999999999999</v>
      </c>
      <c r="N102" s="106">
        <v>0.20849999999999999</v>
      </c>
      <c r="O102" s="106">
        <v>0.20849999999999999</v>
      </c>
      <c r="P102" s="106">
        <v>0.20849999999999999</v>
      </c>
      <c r="Q102" s="106">
        <v>0.20849999999999999</v>
      </c>
      <c r="R102" s="106">
        <v>0.20849999999999999</v>
      </c>
      <c r="S102" s="106">
        <v>0.2</v>
      </c>
      <c r="T102" s="106">
        <v>0.2</v>
      </c>
      <c r="U102" s="106">
        <v>0.2</v>
      </c>
      <c r="V102" s="106">
        <v>0.2</v>
      </c>
      <c r="W102" s="106">
        <v>0.2</v>
      </c>
      <c r="X102" s="106">
        <v>0.2</v>
      </c>
      <c r="Y102" s="106">
        <v>0.2</v>
      </c>
      <c r="Z102" s="106">
        <v>0.2</v>
      </c>
      <c r="AA102" s="106">
        <v>0.1915</v>
      </c>
      <c r="AB102" s="106">
        <v>0.1915</v>
      </c>
      <c r="AC102" s="106">
        <v>0.1915</v>
      </c>
      <c r="AD102" s="106">
        <v>0.1915</v>
      </c>
      <c r="AE102" s="106">
        <v>0.1915</v>
      </c>
      <c r="AF102" s="106">
        <v>0.1915</v>
      </c>
      <c r="AG102" s="106">
        <v>0.1915</v>
      </c>
      <c r="AH102" s="106">
        <v>0.1915</v>
      </c>
      <c r="AI102" s="106">
        <v>0.1875</v>
      </c>
      <c r="AJ102" s="106">
        <v>0.1875</v>
      </c>
      <c r="AK102" s="106">
        <v>0.1875</v>
      </c>
      <c r="AL102" s="106">
        <v>0.1875</v>
      </c>
      <c r="AM102" s="106">
        <v>0.1875</v>
      </c>
      <c r="AN102" s="106">
        <v>0.1875</v>
      </c>
      <c r="AO102" s="106">
        <v>0.1875</v>
      </c>
      <c r="AP102" s="106">
        <v>0.1875</v>
      </c>
      <c r="AQ102" s="106">
        <v>0.21249999999999999</v>
      </c>
      <c r="AR102" s="106">
        <v>0.21249999999999999</v>
      </c>
      <c r="AS102" s="106">
        <v>0.21249999999999999</v>
      </c>
      <c r="AT102" s="106">
        <v>0.21249999999999999</v>
      </c>
      <c r="AU102" s="106">
        <v>0.21249999999999999</v>
      </c>
      <c r="AV102" s="106">
        <v>0.21249999999999999</v>
      </c>
      <c r="AW102" s="106">
        <v>0.21249999999999999</v>
      </c>
      <c r="AX102" s="106">
        <v>0.21249999999999999</v>
      </c>
      <c r="AY102" s="106">
        <v>0.20849999999999999</v>
      </c>
      <c r="AZ102" s="106">
        <v>0.20849999999999999</v>
      </c>
      <c r="BA102" s="106">
        <v>0.20849999999999999</v>
      </c>
      <c r="BB102" s="106">
        <v>0.20849999999999999</v>
      </c>
      <c r="BC102" s="106">
        <v>0.20849999999999999</v>
      </c>
      <c r="BD102" s="106">
        <v>0.20849999999999999</v>
      </c>
      <c r="BE102" s="106">
        <v>0.20849999999999999</v>
      </c>
      <c r="BF102" s="106">
        <v>0.20849999999999999</v>
      </c>
      <c r="BG102" s="106">
        <v>0.2</v>
      </c>
      <c r="BH102" s="106">
        <v>0.2</v>
      </c>
      <c r="BI102" s="106">
        <v>0.2</v>
      </c>
      <c r="BJ102" s="106">
        <v>0.2</v>
      </c>
      <c r="BK102" s="106">
        <v>0.2</v>
      </c>
      <c r="BL102" s="106">
        <v>0.2</v>
      </c>
      <c r="BM102" s="106">
        <v>0.2</v>
      </c>
      <c r="BN102" s="106">
        <v>0.2</v>
      </c>
      <c r="BO102" s="106">
        <v>0.1915</v>
      </c>
      <c r="BP102" s="106">
        <v>0.1915</v>
      </c>
      <c r="BQ102" s="106">
        <v>0.1915</v>
      </c>
      <c r="BR102" s="106">
        <v>0.1915</v>
      </c>
      <c r="BS102" s="106">
        <v>0.1915</v>
      </c>
      <c r="BT102" s="106">
        <v>0.1915</v>
      </c>
      <c r="BU102" s="106">
        <v>0.1915</v>
      </c>
      <c r="BV102" s="106">
        <v>0.1915</v>
      </c>
      <c r="BW102" s="106">
        <v>0.1875</v>
      </c>
      <c r="BX102" s="106">
        <v>0.1875</v>
      </c>
      <c r="BY102" s="106">
        <v>0.1875</v>
      </c>
      <c r="BZ102" s="106">
        <v>0.1875</v>
      </c>
      <c r="CA102" s="106">
        <v>0.1875</v>
      </c>
      <c r="CB102" s="106">
        <v>0.1875</v>
      </c>
      <c r="CC102" s="106">
        <v>0.1875</v>
      </c>
      <c r="CD102" s="106">
        <v>0.1875</v>
      </c>
      <c r="CE102" s="106">
        <v>0.21249999999999999</v>
      </c>
      <c r="CF102" s="106">
        <v>0.21249999999999999</v>
      </c>
      <c r="CG102" s="106">
        <v>0.21249999999999999</v>
      </c>
      <c r="CH102" s="106">
        <v>0.21249999999999999</v>
      </c>
      <c r="CI102" s="106">
        <v>0.21249999999999999</v>
      </c>
      <c r="CJ102" s="106">
        <v>0.21249999999999999</v>
      </c>
      <c r="CK102" s="106">
        <v>0.21249999999999999</v>
      </c>
      <c r="CL102" s="106">
        <v>0.21249999999999999</v>
      </c>
      <c r="CM102" s="106">
        <v>0.20849999999999999</v>
      </c>
      <c r="CN102" s="106">
        <v>0.20849999999999999</v>
      </c>
      <c r="CO102" s="106">
        <v>0.20849999999999999</v>
      </c>
      <c r="CP102" s="106">
        <v>0.20849999999999999</v>
      </c>
      <c r="CQ102" s="106">
        <v>0.20849999999999999</v>
      </c>
      <c r="CR102" s="106">
        <v>0.20849999999999999</v>
      </c>
      <c r="CS102" s="106">
        <v>0.20849999999999999</v>
      </c>
      <c r="CT102" s="106">
        <v>0.20849999999999999</v>
      </c>
      <c r="CU102" s="106">
        <v>0.2</v>
      </c>
      <c r="CV102" s="106">
        <v>0.2</v>
      </c>
      <c r="CW102" s="106">
        <v>0.2</v>
      </c>
      <c r="CX102" s="106">
        <v>0.2</v>
      </c>
      <c r="CY102" s="106">
        <v>0.2</v>
      </c>
      <c r="CZ102" s="106">
        <v>0.2</v>
      </c>
      <c r="DA102" s="106">
        <v>0.2</v>
      </c>
      <c r="DB102" s="106">
        <v>0.2</v>
      </c>
      <c r="DC102" s="106">
        <v>0.1915</v>
      </c>
      <c r="DD102" s="106">
        <v>0.1915</v>
      </c>
      <c r="DE102" s="106">
        <v>0.1915</v>
      </c>
      <c r="DF102" s="106">
        <v>0.1915</v>
      </c>
      <c r="DG102" s="106">
        <v>0.1915</v>
      </c>
      <c r="DH102" s="106">
        <v>0.1915</v>
      </c>
      <c r="DI102" s="106">
        <v>0.1915</v>
      </c>
      <c r="DJ102" s="106">
        <v>0.1915</v>
      </c>
      <c r="DK102" s="106">
        <v>0.1875</v>
      </c>
      <c r="DL102" s="106">
        <v>0.1875</v>
      </c>
      <c r="DM102" s="106">
        <v>0.1875</v>
      </c>
      <c r="DN102" s="106">
        <v>0.1875</v>
      </c>
      <c r="DO102" s="106">
        <v>0.1875</v>
      </c>
      <c r="DP102" s="106">
        <v>0.1875</v>
      </c>
      <c r="DQ102" s="106">
        <v>0.1875</v>
      </c>
      <c r="DR102" s="106">
        <v>0.1875</v>
      </c>
      <c r="DS102" s="106">
        <v>0.21249999999999999</v>
      </c>
      <c r="DT102" s="106">
        <v>0.21249999999999999</v>
      </c>
      <c r="DU102" s="106">
        <v>0.21249999999999999</v>
      </c>
      <c r="DV102" s="106">
        <v>0.21249999999999999</v>
      </c>
      <c r="DW102" s="106">
        <v>0.21249999999999999</v>
      </c>
      <c r="DX102" s="106">
        <v>0.21249999999999999</v>
      </c>
      <c r="DY102" s="106">
        <v>0.21249999999999999</v>
      </c>
      <c r="DZ102" s="106">
        <v>0.21249999999999999</v>
      </c>
      <c r="EA102" s="106">
        <v>0.20849999999999999</v>
      </c>
      <c r="EB102" s="106">
        <v>0.20849999999999999</v>
      </c>
      <c r="EC102" s="106">
        <v>0.20849999999999999</v>
      </c>
      <c r="ED102" s="106">
        <v>0.20849999999999999</v>
      </c>
      <c r="EE102" s="106">
        <v>0.20849999999999999</v>
      </c>
      <c r="EF102" s="106">
        <v>0.20849999999999999</v>
      </c>
      <c r="EG102" s="106">
        <v>0.20849999999999999</v>
      </c>
      <c r="EH102" s="106">
        <v>0.20849999999999999</v>
      </c>
      <c r="EI102" s="106">
        <v>0.2</v>
      </c>
      <c r="EJ102" s="106">
        <v>0.2</v>
      </c>
      <c r="EK102" s="106">
        <v>0.2</v>
      </c>
      <c r="EL102" s="106">
        <v>0.2</v>
      </c>
      <c r="EM102" s="106">
        <v>0.2</v>
      </c>
      <c r="EN102" s="106">
        <v>0.2</v>
      </c>
      <c r="EO102" s="106">
        <v>0.2</v>
      </c>
      <c r="EP102" s="106">
        <v>0.2</v>
      </c>
      <c r="EQ102" s="106">
        <v>0.1915</v>
      </c>
      <c r="ER102" s="106">
        <v>0.1915</v>
      </c>
      <c r="ES102" s="106">
        <v>0.1915</v>
      </c>
      <c r="ET102" s="106">
        <v>0.1915</v>
      </c>
      <c r="EU102" s="106">
        <v>0.1915</v>
      </c>
      <c r="EV102" s="106">
        <v>0.1915</v>
      </c>
      <c r="EW102" s="106">
        <v>0.1915</v>
      </c>
      <c r="EX102" s="106">
        <v>0.1915</v>
      </c>
      <c r="EY102" s="106">
        <v>0.1875</v>
      </c>
      <c r="EZ102" s="106">
        <v>0.1875</v>
      </c>
      <c r="FA102" s="106">
        <v>0.1875</v>
      </c>
      <c r="FB102" s="106">
        <v>0.1875</v>
      </c>
      <c r="FC102" s="106">
        <v>0.1875</v>
      </c>
      <c r="FD102" s="106">
        <v>0.1875</v>
      </c>
      <c r="FE102" s="106">
        <v>0.1875</v>
      </c>
      <c r="FF102" s="106">
        <v>0.1875</v>
      </c>
      <c r="FG102" s="106">
        <v>0.21249999999999999</v>
      </c>
      <c r="FH102" s="106">
        <v>0.21249999999999999</v>
      </c>
      <c r="FI102" s="106">
        <v>0.21249999999999999</v>
      </c>
      <c r="FJ102" s="106">
        <v>0.21249999999999999</v>
      </c>
      <c r="FK102" s="106">
        <v>0.21249999999999999</v>
      </c>
      <c r="FL102" s="106">
        <v>0.21249999999999999</v>
      </c>
      <c r="FM102" s="106">
        <v>0.21249999999999999</v>
      </c>
      <c r="FN102" s="106">
        <v>0.21249999999999999</v>
      </c>
      <c r="FO102" s="106">
        <v>0.20849999999999999</v>
      </c>
      <c r="FP102" s="106">
        <v>0.20849999999999999</v>
      </c>
      <c r="FQ102" s="106">
        <v>0.20849999999999999</v>
      </c>
      <c r="FR102" s="106">
        <v>0.20849999999999999</v>
      </c>
      <c r="FS102" s="106">
        <v>0.20849999999999999</v>
      </c>
      <c r="FT102" s="106">
        <v>0.20849999999999999</v>
      </c>
      <c r="FU102" s="106">
        <v>0.20849999999999999</v>
      </c>
      <c r="FV102" s="106">
        <v>0.20849999999999999</v>
      </c>
      <c r="FW102" s="106">
        <v>0.2</v>
      </c>
      <c r="FX102" s="106">
        <v>0.2</v>
      </c>
      <c r="FY102" s="106">
        <v>0.2</v>
      </c>
      <c r="FZ102" s="106">
        <v>0.2</v>
      </c>
      <c r="GA102" s="106">
        <v>0.2</v>
      </c>
      <c r="GB102" s="106">
        <v>0.2</v>
      </c>
      <c r="GC102" s="106">
        <v>0.2</v>
      </c>
      <c r="GD102" s="106">
        <v>0.2</v>
      </c>
      <c r="GE102" s="106">
        <v>0.1915</v>
      </c>
      <c r="GF102" s="106">
        <v>0.1915</v>
      </c>
      <c r="GG102" s="106">
        <v>0.1915</v>
      </c>
      <c r="GH102" s="106">
        <v>0.1915</v>
      </c>
      <c r="GI102" s="106">
        <v>0.1915</v>
      </c>
      <c r="GJ102" s="106">
        <v>0.1915</v>
      </c>
      <c r="GK102" s="106">
        <v>0.1915</v>
      </c>
      <c r="GL102" s="106">
        <v>0.1915</v>
      </c>
      <c r="GM102" s="106">
        <v>0.1875</v>
      </c>
      <c r="GN102" s="106">
        <v>0.1875</v>
      </c>
      <c r="GO102" s="106">
        <v>0.1875</v>
      </c>
      <c r="GP102" s="106">
        <v>0.1875</v>
      </c>
      <c r="GQ102" s="106">
        <v>0.1875</v>
      </c>
      <c r="GR102" s="106">
        <v>0.1875</v>
      </c>
      <c r="GS102" s="106">
        <v>0.1875</v>
      </c>
      <c r="GT102" s="106">
        <v>0.1875</v>
      </c>
      <c r="GU102" s="106">
        <v>0.21249999999999999</v>
      </c>
      <c r="GV102" s="106">
        <v>0.21249999999999999</v>
      </c>
      <c r="GW102" s="106">
        <v>0.21249999999999999</v>
      </c>
      <c r="GX102" s="106">
        <v>0.21249999999999999</v>
      </c>
      <c r="GY102" s="106">
        <v>0.21249999999999999</v>
      </c>
      <c r="GZ102" s="106">
        <v>0.21249999999999999</v>
      </c>
      <c r="HA102" s="106">
        <v>0.21249999999999999</v>
      </c>
      <c r="HB102" s="106">
        <v>0.21249999999999999</v>
      </c>
      <c r="HC102" s="106">
        <v>0.20849999999999999</v>
      </c>
      <c r="HD102" s="106">
        <v>0.20849999999999999</v>
      </c>
      <c r="HE102" s="106">
        <v>0.20849999999999999</v>
      </c>
      <c r="HF102" s="106">
        <v>0.20849999999999999</v>
      </c>
      <c r="HG102" s="106">
        <v>0.20849999999999999</v>
      </c>
      <c r="HH102" s="106">
        <v>0.20849999999999999</v>
      </c>
      <c r="HI102" s="106">
        <v>0.20849999999999999</v>
      </c>
      <c r="HJ102" s="106">
        <v>0.20849999999999999</v>
      </c>
      <c r="HK102" s="106">
        <v>0.2</v>
      </c>
      <c r="HL102" s="106">
        <v>0.2</v>
      </c>
      <c r="HM102" s="106">
        <v>0.2</v>
      </c>
      <c r="HN102" s="106">
        <v>0.2</v>
      </c>
      <c r="HO102" s="106">
        <v>0.2</v>
      </c>
      <c r="HP102" s="106">
        <v>0.2</v>
      </c>
      <c r="HQ102" s="106">
        <v>0.2</v>
      </c>
      <c r="HR102" s="106">
        <v>0.2</v>
      </c>
      <c r="HS102" s="106">
        <v>0.1915</v>
      </c>
      <c r="HT102" s="106">
        <v>0.1915</v>
      </c>
      <c r="HU102" s="106">
        <v>0.1915</v>
      </c>
      <c r="HV102" s="106">
        <v>0.1915</v>
      </c>
      <c r="HW102" s="106">
        <v>0.1915</v>
      </c>
      <c r="HX102" s="106">
        <v>0.1915</v>
      </c>
      <c r="HY102" s="106">
        <v>0.1915</v>
      </c>
      <c r="HZ102" s="106">
        <v>0.1915</v>
      </c>
      <c r="IA102" s="106">
        <v>0.1875</v>
      </c>
      <c r="IB102" s="106">
        <v>0.1875</v>
      </c>
      <c r="IC102" s="106">
        <v>0.1875</v>
      </c>
      <c r="ID102" s="106">
        <v>0.1875</v>
      </c>
      <c r="IE102" s="106">
        <v>0.1875</v>
      </c>
      <c r="IF102" s="106">
        <v>0.1875</v>
      </c>
      <c r="IG102" s="106">
        <v>0.1875</v>
      </c>
      <c r="IH102" s="107">
        <v>0.1875</v>
      </c>
    </row>
    <row r="103" spans="1:242" x14ac:dyDescent="0.25">
      <c r="B103" s="130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</row>
    <row r="104" spans="1:242" ht="13" x14ac:dyDescent="0.25">
      <c r="A104" s="16" t="s">
        <v>9</v>
      </c>
      <c r="B104" s="19" t="e">
        <f ca="1">GetNameRange(B106)</f>
        <v>#NAME?</v>
      </c>
    </row>
    <row r="105" spans="1:242" ht="13" x14ac:dyDescent="0.25">
      <c r="A105" s="42" t="s">
        <v>103</v>
      </c>
      <c r="B105" s="108" t="s">
        <v>110</v>
      </c>
      <c r="C105" s="53" t="s">
        <v>79</v>
      </c>
      <c r="D105" s="53" t="s">
        <v>87</v>
      </c>
      <c r="E105" s="66" t="s">
        <v>86</v>
      </c>
    </row>
    <row r="106" spans="1:242" ht="13" x14ac:dyDescent="0.3">
      <c r="A106" s="13"/>
      <c r="B106" s="98" t="s">
        <v>111</v>
      </c>
      <c r="C106" s="51"/>
      <c r="D106" s="51"/>
      <c r="E106" s="82"/>
    </row>
    <row r="107" spans="1:242" x14ac:dyDescent="0.25">
      <c r="B107" s="109" t="s">
        <v>90</v>
      </c>
      <c r="C107" s="103">
        <v>0</v>
      </c>
      <c r="D107" s="103">
        <v>0</v>
      </c>
      <c r="E107" s="104">
        <v>0</v>
      </c>
    </row>
    <row r="108" spans="1:242" x14ac:dyDescent="0.25">
      <c r="B108" s="110" t="s">
        <v>79</v>
      </c>
      <c r="C108" s="106">
        <v>0</v>
      </c>
      <c r="D108" s="106">
        <v>0</v>
      </c>
      <c r="E108" s="107">
        <v>0</v>
      </c>
    </row>
    <row r="109" spans="1:242" x14ac:dyDescent="0.25">
      <c r="C109" s="103"/>
      <c r="D109" s="103"/>
      <c r="E109" s="103"/>
    </row>
  </sheetData>
  <conditionalFormatting sqref="C17:C18 C28 C20 C10:C12 C14:C15">
    <cfRule type="cellIs" dxfId="58" priority="76" operator="notEqual">
      <formula>$A10</formula>
    </cfRule>
  </conditionalFormatting>
  <conditionalFormatting sqref="C16">
    <cfRule type="cellIs" dxfId="57" priority="79" operator="notEqual">
      <formula>$B16</formula>
    </cfRule>
  </conditionalFormatting>
  <conditionalFormatting sqref="B15">
    <cfRule type="cellIs" dxfId="56" priority="73" operator="notEqual">
      <formula>$A15</formula>
    </cfRule>
  </conditionalFormatting>
  <conditionalFormatting sqref="C21:C26">
    <cfRule type="cellIs" dxfId="55" priority="46" operator="notEqual">
      <formula>$A21</formula>
    </cfRule>
  </conditionalFormatting>
  <conditionalFormatting sqref="C9">
    <cfRule type="cellIs" dxfId="54" priority="28" operator="notEqual">
      <formula>$A9</formula>
    </cfRule>
  </conditionalFormatting>
  <conditionalFormatting sqref="C8">
    <cfRule type="cellIs" dxfId="53" priority="11" operator="notEqual">
      <formula>$A8</formula>
    </cfRule>
  </conditionalFormatting>
  <conditionalFormatting sqref="C27">
    <cfRule type="cellIs" dxfId="52" priority="6" operator="notEqual">
      <formula>$A27</formula>
    </cfRule>
  </conditionalFormatting>
  <conditionalFormatting sqref="C19">
    <cfRule type="cellIs" dxfId="51" priority="4" operator="notEqual">
      <formula>$A19</formula>
    </cfRule>
  </conditionalFormatting>
  <conditionalFormatting sqref="C13">
    <cfRule type="cellIs" dxfId="0" priority="1" operator="notEqual">
      <formula>$A13</formula>
    </cfRule>
  </conditionalFormatting>
  <dataValidations count="5">
    <dataValidation type="list" allowBlank="1" showInputMessage="1" showErrorMessage="1" sqref="A10 C10" xr:uid="{00000000-0002-0000-0200-000000000000}">
      <formula1>"Previous,Interpolate"</formula1>
    </dataValidation>
    <dataValidation type="list" allowBlank="1" showInputMessage="1" showErrorMessage="1" sqref="A11 C11" xr:uid="{00000000-0002-0000-0200-000001000000}">
      <formula1>"Retain,Release"</formula1>
    </dataValidation>
    <dataValidation type="list" allowBlank="1" showInputMessage="1" showErrorMessage="1" sqref="A17 C17" xr:uid="{00000000-0002-0000-0200-000002000000}">
      <formula1>"Stochastic,Deterministic"</formula1>
    </dataValidation>
    <dataValidation type="list" allowBlank="1" showInputMessage="1" showErrorMessage="1" sqref="A9 C9" xr:uid="{00000000-0002-0000-0200-000003000000}">
      <formula1>"All Rates,Index Rates Only,None"</formula1>
    </dataValidation>
    <dataValidation type="list" allowBlank="1" showInputMessage="1" showErrorMessage="1" sqref="A19 C19" xr:uid="{00000000-0002-0000-0200-000004000000}">
      <formula1>"Spot Spreads,Yield Spreads"</formula1>
    </dataValidation>
  </dataValidations>
  <hyperlinks>
    <hyperlink ref="A1" location="'Table of Contents'!A1" display="Go to TOC" xr:uid="{00000000-0004-0000-0200-000000000000}"/>
    <hyperlink ref="B20" location="CreditSprdDeterminsitic" display="credit_sprd_deterministic" xr:uid="{00000000-0004-0000-0200-000001000000}"/>
    <hyperlink ref="A30" location="'Table of Contents'!A1" display="Go to TOC" xr:uid="{00000000-0004-0000-0200-000002000000}"/>
    <hyperlink ref="B18" location="InflDeterministic" display="infl_deterministic" xr:uid="{00000000-0004-0000-0200-000003000000}"/>
    <hyperlink ref="A36" location="'Table of Contents'!A1" display="Go to TOC" xr:uid="{00000000-0004-0000-0200-000004000000}"/>
    <hyperlink ref="A49" location="'Table of Contents'!A1" display="Go to TOC" xr:uid="{00000000-0004-0000-0200-000005000000}"/>
    <hyperlink ref="A56" location="'Table of Contents'!A1" display="Go to TOC" xr:uid="{00000000-0004-0000-0200-000006000000}"/>
    <hyperlink ref="A67" location="'Table of Contents'!A1" display="Go to TOC" xr:uid="{00000000-0004-0000-0200-000007000000}"/>
    <hyperlink ref="A74" location="'Table of Contents'!A1" display="Go to TOC" xr:uid="{00000000-0004-0000-0200-000008000000}"/>
    <hyperlink ref="A82" location="'Table of Contents'!A1" display="Go to TOC" xr:uid="{00000000-0004-0000-0200-000009000000}"/>
    <hyperlink ref="A89" location="'Table of Contents'!A1" display="Go to TOC" xr:uid="{00000000-0004-0000-0200-00000A000000}"/>
    <hyperlink ref="A104" location="'Table of Contents'!A1" display="Go to TOC" xr:uid="{00000000-0004-0000-0200-00000B000000}"/>
    <hyperlink ref="B21" location="CreditSprdStochMult" display="credit_sprd_stoch_mult" xr:uid="{00000000-0004-0000-0200-00000C000000}"/>
    <hyperlink ref="B22" location="DfltRateDeterministic" display="dflt_rate_deterministic" xr:uid="{00000000-0004-0000-0200-00000D000000}"/>
    <hyperlink ref="B23" location="DfltRateStochMult" display="dflt_rate_stoch_mult" xr:uid="{00000000-0004-0000-0200-00000E000000}"/>
    <hyperlink ref="B24" location="IntVolDeterministic" display="int_vol_deterministic" xr:uid="{00000000-0004-0000-0200-00000F000000}"/>
    <hyperlink ref="B25" location="IntVolStochMult" display="int_vol_stoch_mult" xr:uid="{00000000-0004-0000-0200-000010000000}"/>
    <hyperlink ref="B26" location="IndexVolDeterminstic" display="index_vol_deterministic" xr:uid="{00000000-0004-0000-0200-000011000000}"/>
    <hyperlink ref="B28" location="IndexValHist" display="index_val_hist" xr:uid="{00000000-0004-0000-0200-000012000000}"/>
    <hyperlink ref="A31" location="Scenarios!B18" display="Back To Main" xr:uid="{00000000-0004-0000-0200-000013000000}"/>
    <hyperlink ref="A37" location="Scenarios!B20" display="Back To Main" xr:uid="{00000000-0004-0000-0200-000014000000}"/>
    <hyperlink ref="A50" location="Scenarios!B22" display="Back To Main" xr:uid="{00000000-0004-0000-0200-000015000000}"/>
    <hyperlink ref="A57" location="Scenarios!B23" display="Back To Main" xr:uid="{00000000-0004-0000-0200-000016000000}"/>
    <hyperlink ref="A68" location="Scenarios!B24" display="Back To Main" xr:uid="{00000000-0004-0000-0200-000017000000}"/>
    <hyperlink ref="A75" location="Scenarios!B25" display="Back To Main" xr:uid="{00000000-0004-0000-0200-000018000000}"/>
    <hyperlink ref="A83" location="Scenarios!B26" display="Back To Main" xr:uid="{00000000-0004-0000-0200-000019000000}"/>
    <hyperlink ref="A90" location="Scenarios!B27" display="Back To Main" xr:uid="{00000000-0004-0000-0200-00001A000000}"/>
    <hyperlink ref="A105" location="Scenarios!B28" display="Back To Main" xr:uid="{00000000-0004-0000-0200-00001B000000}"/>
    <hyperlink ref="A43" location="'Table of Contents'!A1" display="Go to TOC" xr:uid="{00000000-0004-0000-0200-00001C000000}"/>
    <hyperlink ref="A44" location="Scenarios!B21" display="Back To Main" xr:uid="{00000000-0004-0000-0200-00001D000000}"/>
    <hyperlink ref="A62" location="'Table of Contents'!A1" display="Go to TOC" xr:uid="{00000000-0004-0000-0200-00001E000000}"/>
    <hyperlink ref="A63" location="Scenarios!B23" display="Back To Main" xr:uid="{00000000-0004-0000-0200-00001F000000}"/>
    <hyperlink ref="B27" location="IndexVolStochMult" display="index_vol_stoch_mult" xr:uid="{00000000-0004-0000-0200-00002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Q240"/>
  <sheetViews>
    <sheetView showGridLines="0" workbookViewId="0">
      <pane xSplit="2" ySplit="5" topLeftCell="C226" activePane="bottomRight" state="frozen"/>
      <selection pane="topRight" activeCell="C1" sqref="C1"/>
      <selection pane="bottomLeft" activeCell="A6" sqref="A6"/>
      <selection pane="bottomRight" activeCell="B1" sqref="B1:B1048576"/>
    </sheetView>
  </sheetViews>
  <sheetFormatPr defaultColWidth="17.453125" defaultRowHeight="12.5" x14ac:dyDescent="0.25"/>
  <cols>
    <col min="1" max="1" width="18.81640625" style="26" customWidth="1"/>
    <col min="2" max="2" width="45.7265625" style="22" customWidth="1"/>
    <col min="3" max="3" width="15.81640625" style="22" customWidth="1"/>
    <col min="4" max="4" width="27.81640625" style="22" customWidth="1"/>
    <col min="5" max="16384" width="17.453125" style="22"/>
  </cols>
  <sheetData>
    <row r="1" spans="1:3" ht="15.5" x14ac:dyDescent="0.25">
      <c r="A1" s="25" t="s">
        <v>9</v>
      </c>
      <c r="B1" s="20" t="s">
        <v>78</v>
      </c>
    </row>
    <row r="2" spans="1:3" ht="15.5" x14ac:dyDescent="0.25">
      <c r="A2" s="25"/>
      <c r="B2" s="15"/>
    </row>
    <row r="3" spans="1:3" ht="13" x14ac:dyDescent="0.25">
      <c r="B3" s="19" t="e">
        <f ca="1">GetNameRange(B5)</f>
        <v>#NAME?</v>
      </c>
    </row>
    <row r="4" spans="1:3" ht="13" x14ac:dyDescent="0.25">
      <c r="A4" s="46"/>
      <c r="B4" s="52" t="s">
        <v>76</v>
      </c>
      <c r="C4" s="66" t="s">
        <v>119</v>
      </c>
    </row>
    <row r="5" spans="1:3" ht="13" x14ac:dyDescent="0.25">
      <c r="A5" s="47" t="s">
        <v>8</v>
      </c>
      <c r="B5" s="54" t="s">
        <v>0</v>
      </c>
      <c r="C5" s="67"/>
    </row>
    <row r="6" spans="1:3" ht="13" x14ac:dyDescent="0.25">
      <c r="A6" s="24"/>
      <c r="B6" s="56"/>
      <c r="C6" s="55"/>
    </row>
    <row r="7" spans="1:3" ht="13" x14ac:dyDescent="0.25">
      <c r="B7" s="57" t="s">
        <v>29</v>
      </c>
      <c r="C7" s="55"/>
    </row>
    <row r="8" spans="1:3" x14ac:dyDescent="0.25">
      <c r="A8" s="26" t="s">
        <v>127</v>
      </c>
      <c r="B8" s="139" t="s">
        <v>128</v>
      </c>
      <c r="C8" s="140" t="s">
        <v>127</v>
      </c>
    </row>
    <row r="9" spans="1:3" x14ac:dyDescent="0.25">
      <c r="A9" s="26" t="s">
        <v>18</v>
      </c>
      <c r="B9" s="58" t="s">
        <v>30</v>
      </c>
      <c r="C9" s="68" t="s">
        <v>18</v>
      </c>
    </row>
    <row r="10" spans="1:3" x14ac:dyDescent="0.25">
      <c r="A10" s="26" t="s">
        <v>31</v>
      </c>
      <c r="B10" s="58" t="s">
        <v>32</v>
      </c>
      <c r="C10" s="68" t="s">
        <v>31</v>
      </c>
    </row>
    <row r="11" spans="1:3" x14ac:dyDescent="0.25">
      <c r="A11" s="26" t="s">
        <v>177</v>
      </c>
      <c r="B11" s="139" t="s">
        <v>178</v>
      </c>
      <c r="C11" s="23" t="s">
        <v>177</v>
      </c>
    </row>
    <row r="12" spans="1:3" x14ac:dyDescent="0.25">
      <c r="A12" s="26">
        <v>10</v>
      </c>
      <c r="B12" s="58" t="s">
        <v>33</v>
      </c>
      <c r="C12" s="68">
        <v>10</v>
      </c>
    </row>
    <row r="13" spans="1:3" x14ac:dyDescent="0.25">
      <c r="A13" s="26">
        <v>360</v>
      </c>
      <c r="B13" s="58" t="s">
        <v>34</v>
      </c>
      <c r="C13" s="68">
        <v>360</v>
      </c>
    </row>
    <row r="14" spans="1:3" x14ac:dyDescent="0.25">
      <c r="A14" s="26" t="s">
        <v>35</v>
      </c>
      <c r="B14" s="58" t="s">
        <v>36</v>
      </c>
      <c r="C14" s="68" t="s">
        <v>35</v>
      </c>
    </row>
    <row r="15" spans="1:3" x14ac:dyDescent="0.25">
      <c r="A15" s="26">
        <v>60</v>
      </c>
      <c r="B15" s="58" t="s">
        <v>37</v>
      </c>
      <c r="C15" s="68">
        <v>60</v>
      </c>
    </row>
    <row r="16" spans="1:3" x14ac:dyDescent="0.25">
      <c r="A16" s="26" t="s">
        <v>5</v>
      </c>
      <c r="B16" s="58" t="s">
        <v>38</v>
      </c>
      <c r="C16" s="68" t="s">
        <v>5</v>
      </c>
    </row>
    <row r="17" spans="1:3" x14ac:dyDescent="0.25">
      <c r="A17" s="26">
        <v>1</v>
      </c>
      <c r="B17" s="58" t="s">
        <v>40</v>
      </c>
      <c r="C17" s="68">
        <v>1</v>
      </c>
    </row>
    <row r="18" spans="1:3" x14ac:dyDescent="0.25">
      <c r="A18" s="26" t="s">
        <v>5</v>
      </c>
      <c r="B18" s="139" t="s">
        <v>129</v>
      </c>
      <c r="C18" s="140" t="s">
        <v>5</v>
      </c>
    </row>
    <row r="19" spans="1:3" x14ac:dyDescent="0.25">
      <c r="A19" s="26">
        <v>1</v>
      </c>
      <c r="B19" s="139" t="s">
        <v>130</v>
      </c>
      <c r="C19" s="140">
        <v>1</v>
      </c>
    </row>
    <row r="20" spans="1:3" x14ac:dyDescent="0.25">
      <c r="A20" s="26" t="s">
        <v>131</v>
      </c>
      <c r="B20" s="139" t="s">
        <v>132</v>
      </c>
      <c r="C20" s="141" t="s">
        <v>131</v>
      </c>
    </row>
    <row r="21" spans="1:3" x14ac:dyDescent="0.25">
      <c r="A21" s="26" t="s">
        <v>41</v>
      </c>
      <c r="B21" s="58" t="s">
        <v>42</v>
      </c>
      <c r="C21" s="68" t="s">
        <v>41</v>
      </c>
    </row>
    <row r="22" spans="1:3" x14ac:dyDescent="0.25">
      <c r="A22" s="26">
        <v>3</v>
      </c>
      <c r="B22" s="58" t="s">
        <v>43</v>
      </c>
      <c r="C22" s="68">
        <v>3</v>
      </c>
    </row>
    <row r="23" spans="1:3" x14ac:dyDescent="0.25">
      <c r="A23" s="26">
        <v>0</v>
      </c>
      <c r="B23" s="58" t="s">
        <v>44</v>
      </c>
      <c r="C23" s="68">
        <v>0</v>
      </c>
    </row>
    <row r="24" spans="1:3" x14ac:dyDescent="0.25">
      <c r="A24" s="26">
        <v>50</v>
      </c>
      <c r="B24" s="58" t="s">
        <v>45</v>
      </c>
      <c r="C24" s="68">
        <v>50</v>
      </c>
    </row>
    <row r="25" spans="1:3" x14ac:dyDescent="0.25">
      <c r="A25" s="26">
        <v>360</v>
      </c>
      <c r="B25" s="58" t="s">
        <v>46</v>
      </c>
      <c r="C25" s="68">
        <v>360</v>
      </c>
    </row>
    <row r="26" spans="1:3" x14ac:dyDescent="0.25">
      <c r="A26" s="26" t="s">
        <v>5</v>
      </c>
      <c r="B26" s="58" t="s">
        <v>133</v>
      </c>
      <c r="C26" s="68" t="s">
        <v>5</v>
      </c>
    </row>
    <row r="27" spans="1:3" x14ac:dyDescent="0.25">
      <c r="A27" s="26">
        <v>1</v>
      </c>
      <c r="B27" s="58" t="s">
        <v>134</v>
      </c>
      <c r="C27" s="68">
        <v>1</v>
      </c>
    </row>
    <row r="28" spans="1:3" x14ac:dyDescent="0.25">
      <c r="A28" s="26" t="s">
        <v>5</v>
      </c>
      <c r="B28" s="58" t="s">
        <v>135</v>
      </c>
      <c r="C28" s="68" t="s">
        <v>5</v>
      </c>
    </row>
    <row r="29" spans="1:3" x14ac:dyDescent="0.25">
      <c r="B29" s="59"/>
      <c r="C29" s="68"/>
    </row>
    <row r="30" spans="1:3" ht="13" x14ac:dyDescent="0.25">
      <c r="B30" s="57" t="s">
        <v>47</v>
      </c>
      <c r="C30" s="68"/>
    </row>
    <row r="31" spans="1:3" x14ac:dyDescent="0.25">
      <c r="A31" s="26" t="s">
        <v>6</v>
      </c>
      <c r="B31" s="58" t="s">
        <v>113</v>
      </c>
      <c r="C31" s="68" t="s">
        <v>84</v>
      </c>
    </row>
    <row r="32" spans="1:3" x14ac:dyDescent="0.25">
      <c r="A32" s="26" t="s">
        <v>6</v>
      </c>
      <c r="B32" s="58" t="s">
        <v>48</v>
      </c>
      <c r="C32" s="68" t="s">
        <v>6</v>
      </c>
    </row>
    <row r="33" spans="1:3" x14ac:dyDescent="0.25">
      <c r="A33" s="26" t="s">
        <v>6</v>
      </c>
      <c r="B33" s="139" t="s">
        <v>136</v>
      </c>
      <c r="C33" s="140" t="s">
        <v>6</v>
      </c>
    </row>
    <row r="34" spans="1:3" x14ac:dyDescent="0.25">
      <c r="A34" s="43">
        <v>0</v>
      </c>
      <c r="B34" s="60" t="s">
        <v>49</v>
      </c>
      <c r="C34" s="69" t="s">
        <v>102</v>
      </c>
    </row>
    <row r="35" spans="1:3" x14ac:dyDescent="0.25">
      <c r="A35" s="43">
        <v>0</v>
      </c>
      <c r="B35" s="61" t="s">
        <v>50</v>
      </c>
      <c r="C35" s="69" t="s">
        <v>102</v>
      </c>
    </row>
    <row r="36" spans="1:3" x14ac:dyDescent="0.25">
      <c r="A36" s="43" t="s">
        <v>6</v>
      </c>
      <c r="B36" s="58" t="s">
        <v>114</v>
      </c>
      <c r="C36" s="69" t="s">
        <v>79</v>
      </c>
    </row>
    <row r="37" spans="1:3" x14ac:dyDescent="0.25">
      <c r="A37" s="43">
        <v>0</v>
      </c>
      <c r="B37" s="60" t="s">
        <v>53</v>
      </c>
      <c r="C37" s="69">
        <v>0</v>
      </c>
    </row>
    <row r="38" spans="1:3" x14ac:dyDescent="0.25">
      <c r="A38" s="43">
        <v>0</v>
      </c>
      <c r="B38" s="60" t="s">
        <v>51</v>
      </c>
      <c r="C38" s="69">
        <v>0</v>
      </c>
    </row>
    <row r="39" spans="1:3" x14ac:dyDescent="0.25">
      <c r="A39" s="44">
        <v>1</v>
      </c>
      <c r="B39" s="61" t="s">
        <v>52</v>
      </c>
      <c r="C39" s="70">
        <v>1</v>
      </c>
    </row>
    <row r="40" spans="1:3" x14ac:dyDescent="0.25">
      <c r="A40" s="43">
        <v>0</v>
      </c>
      <c r="B40" s="60" t="s">
        <v>54</v>
      </c>
      <c r="C40" s="69">
        <v>0</v>
      </c>
    </row>
    <row r="41" spans="1:3" x14ac:dyDescent="0.25">
      <c r="A41" s="26" t="s">
        <v>6</v>
      </c>
      <c r="B41" s="58" t="s">
        <v>55</v>
      </c>
      <c r="C41" s="68" t="s">
        <v>6</v>
      </c>
    </row>
    <row r="42" spans="1:3" x14ac:dyDescent="0.25">
      <c r="A42" s="26" t="s">
        <v>6</v>
      </c>
      <c r="B42" s="58" t="s">
        <v>56</v>
      </c>
      <c r="C42" s="68" t="s">
        <v>6</v>
      </c>
    </row>
    <row r="43" spans="1:3" x14ac:dyDescent="0.25">
      <c r="A43" s="43">
        <v>0</v>
      </c>
      <c r="B43" s="60" t="s">
        <v>57</v>
      </c>
      <c r="C43" s="69">
        <v>0</v>
      </c>
    </row>
    <row r="44" spans="1:3" x14ac:dyDescent="0.25">
      <c r="A44" s="27" t="s">
        <v>6</v>
      </c>
      <c r="B44" s="58" t="s">
        <v>115</v>
      </c>
      <c r="C44" s="71" t="s">
        <v>116</v>
      </c>
    </row>
    <row r="45" spans="1:3" x14ac:dyDescent="0.25">
      <c r="A45" s="43">
        <v>0</v>
      </c>
      <c r="B45" s="60" t="s">
        <v>58</v>
      </c>
      <c r="C45" s="69">
        <v>0</v>
      </c>
    </row>
    <row r="46" spans="1:3" x14ac:dyDescent="0.25">
      <c r="A46" s="43">
        <v>0</v>
      </c>
      <c r="B46" s="60" t="s">
        <v>59</v>
      </c>
      <c r="C46" s="69">
        <v>0</v>
      </c>
    </row>
    <row r="47" spans="1:3" x14ac:dyDescent="0.25">
      <c r="A47" s="27"/>
      <c r="B47" s="62"/>
      <c r="C47" s="72"/>
    </row>
    <row r="48" spans="1:3" ht="13" x14ac:dyDescent="0.25">
      <c r="A48" s="43"/>
      <c r="B48" s="142" t="s">
        <v>124</v>
      </c>
      <c r="C48" s="141"/>
    </row>
    <row r="49" spans="1:3" x14ac:dyDescent="0.25">
      <c r="A49" s="153">
        <v>1</v>
      </c>
      <c r="B49" s="143" t="s">
        <v>172</v>
      </c>
      <c r="C49" s="141" t="s">
        <v>138</v>
      </c>
    </row>
    <row r="50" spans="1:3" x14ac:dyDescent="0.25">
      <c r="A50" s="43" t="s">
        <v>5</v>
      </c>
      <c r="B50" s="143" t="s">
        <v>137</v>
      </c>
      <c r="C50" s="141" t="s">
        <v>138</v>
      </c>
    </row>
    <row r="51" spans="1:3" x14ac:dyDescent="0.25">
      <c r="A51" s="43" t="s">
        <v>5</v>
      </c>
      <c r="B51" s="143" t="s">
        <v>139</v>
      </c>
      <c r="C51" s="141" t="s">
        <v>138</v>
      </c>
    </row>
    <row r="52" spans="1:3" x14ac:dyDescent="0.25">
      <c r="A52" s="43" t="s">
        <v>6</v>
      </c>
      <c r="B52" s="143" t="s">
        <v>140</v>
      </c>
      <c r="C52" s="141" t="s">
        <v>138</v>
      </c>
    </row>
    <row r="53" spans="1:3" x14ac:dyDescent="0.25">
      <c r="A53" s="43">
        <v>0</v>
      </c>
      <c r="B53" s="143" t="s">
        <v>141</v>
      </c>
      <c r="C53" s="141" t="s">
        <v>142</v>
      </c>
    </row>
    <row r="54" spans="1:3" x14ac:dyDescent="0.25">
      <c r="A54" s="43" t="s">
        <v>5</v>
      </c>
      <c r="B54" s="143" t="s">
        <v>143</v>
      </c>
      <c r="C54" s="141" t="s">
        <v>138</v>
      </c>
    </row>
    <row r="55" spans="1:3" x14ac:dyDescent="0.25">
      <c r="A55" s="43" t="s">
        <v>6</v>
      </c>
      <c r="B55" s="143" t="s">
        <v>144</v>
      </c>
      <c r="C55" s="141" t="s">
        <v>138</v>
      </c>
    </row>
    <row r="56" spans="1:3" x14ac:dyDescent="0.25">
      <c r="A56" s="43">
        <v>0</v>
      </c>
      <c r="B56" s="143" t="s">
        <v>145</v>
      </c>
      <c r="C56" s="141" t="s">
        <v>146</v>
      </c>
    </row>
    <row r="57" spans="1:3" x14ac:dyDescent="0.25">
      <c r="A57" s="43" t="s">
        <v>5</v>
      </c>
      <c r="B57" s="143" t="s">
        <v>147</v>
      </c>
      <c r="C57" s="141" t="s">
        <v>138</v>
      </c>
    </row>
    <row r="58" spans="1:3" x14ac:dyDescent="0.25">
      <c r="A58" s="43" t="s">
        <v>6</v>
      </c>
      <c r="B58" s="143" t="s">
        <v>148</v>
      </c>
      <c r="C58" s="141" t="s">
        <v>138</v>
      </c>
    </row>
    <row r="59" spans="1:3" x14ac:dyDescent="0.25">
      <c r="A59" s="27"/>
      <c r="B59" s="144"/>
      <c r="C59" s="145"/>
    </row>
    <row r="60" spans="1:3" ht="13" x14ac:dyDescent="0.25">
      <c r="A60" s="27"/>
      <c r="B60" s="142" t="s">
        <v>125</v>
      </c>
      <c r="C60" s="145"/>
    </row>
    <row r="61" spans="1:3" x14ac:dyDescent="0.25">
      <c r="A61" s="27" t="s">
        <v>6</v>
      </c>
      <c r="B61" s="139" t="s">
        <v>149</v>
      </c>
      <c r="C61" s="141" t="s">
        <v>6</v>
      </c>
    </row>
    <row r="62" spans="1:3" x14ac:dyDescent="0.25">
      <c r="A62" s="40" t="s">
        <v>150</v>
      </c>
      <c r="B62" s="146" t="s">
        <v>151</v>
      </c>
      <c r="C62" s="140" t="s">
        <v>102</v>
      </c>
    </row>
    <row r="63" spans="1:3" x14ac:dyDescent="0.25">
      <c r="A63" s="26" t="s">
        <v>5</v>
      </c>
      <c r="B63" s="146" t="s">
        <v>152</v>
      </c>
      <c r="C63" s="140" t="s">
        <v>102</v>
      </c>
    </row>
    <row r="64" spans="1:3" x14ac:dyDescent="0.25">
      <c r="A64" s="27" t="s">
        <v>6</v>
      </c>
      <c r="B64" s="139" t="s">
        <v>153</v>
      </c>
      <c r="C64" s="147" t="str">
        <f>C33</f>
        <v>NONE</v>
      </c>
    </row>
    <row r="65" spans="1:3" x14ac:dyDescent="0.25">
      <c r="A65" s="27" t="s">
        <v>6</v>
      </c>
      <c r="B65" s="139" t="s">
        <v>154</v>
      </c>
      <c r="C65" s="140" t="s">
        <v>6</v>
      </c>
    </row>
    <row r="66" spans="1:3" x14ac:dyDescent="0.25">
      <c r="A66" s="40">
        <v>0</v>
      </c>
      <c r="B66" s="146" t="s">
        <v>155</v>
      </c>
      <c r="C66" s="140" t="s">
        <v>102</v>
      </c>
    </row>
    <row r="67" spans="1:3" x14ac:dyDescent="0.25">
      <c r="A67" s="40">
        <v>1</v>
      </c>
      <c r="B67" s="146" t="s">
        <v>156</v>
      </c>
      <c r="C67" s="140" t="s">
        <v>102</v>
      </c>
    </row>
    <row r="68" spans="1:3" x14ac:dyDescent="0.25">
      <c r="A68" s="27" t="s">
        <v>6</v>
      </c>
      <c r="B68" s="139" t="s">
        <v>157</v>
      </c>
      <c r="C68" s="140" t="s">
        <v>6</v>
      </c>
    </row>
    <row r="69" spans="1:3" x14ac:dyDescent="0.25">
      <c r="A69" s="40">
        <v>0</v>
      </c>
      <c r="B69" s="146" t="s">
        <v>158</v>
      </c>
      <c r="C69" s="140" t="s">
        <v>102</v>
      </c>
    </row>
    <row r="70" spans="1:3" x14ac:dyDescent="0.25">
      <c r="A70" s="40">
        <v>1</v>
      </c>
      <c r="B70" s="146" t="s">
        <v>159</v>
      </c>
      <c r="C70" s="140" t="s">
        <v>102</v>
      </c>
    </row>
    <row r="71" spans="1:3" x14ac:dyDescent="0.25">
      <c r="A71" s="27" t="s">
        <v>6</v>
      </c>
      <c r="B71" s="139" t="s">
        <v>160</v>
      </c>
      <c r="C71" s="141" t="s">
        <v>6</v>
      </c>
    </row>
    <row r="72" spans="1:3" x14ac:dyDescent="0.25">
      <c r="A72" s="26" t="s">
        <v>5</v>
      </c>
      <c r="B72" s="146" t="s">
        <v>161</v>
      </c>
      <c r="C72" s="140" t="s">
        <v>102</v>
      </c>
    </row>
    <row r="73" spans="1:3" x14ac:dyDescent="0.25">
      <c r="A73" s="40">
        <v>0</v>
      </c>
      <c r="B73" s="146" t="s">
        <v>162</v>
      </c>
      <c r="C73" s="140" t="s">
        <v>102</v>
      </c>
    </row>
    <row r="74" spans="1:3" x14ac:dyDescent="0.25">
      <c r="A74" s="26" t="s">
        <v>163</v>
      </c>
      <c r="B74" s="146" t="s">
        <v>164</v>
      </c>
      <c r="C74" s="140" t="s">
        <v>102</v>
      </c>
    </row>
    <row r="75" spans="1:3" x14ac:dyDescent="0.25">
      <c r="A75" s="27" t="s">
        <v>6</v>
      </c>
      <c r="B75" s="139" t="s">
        <v>165</v>
      </c>
      <c r="C75" s="140" t="s">
        <v>6</v>
      </c>
    </row>
    <row r="76" spans="1:3" x14ac:dyDescent="0.25">
      <c r="A76" s="27" t="s">
        <v>6</v>
      </c>
      <c r="B76" s="139" t="s">
        <v>166</v>
      </c>
      <c r="C76" s="140" t="s">
        <v>6</v>
      </c>
    </row>
    <row r="77" spans="1:3" x14ac:dyDescent="0.25">
      <c r="A77" s="40">
        <v>0</v>
      </c>
      <c r="B77" s="146" t="s">
        <v>167</v>
      </c>
      <c r="C77" s="140" t="s">
        <v>102</v>
      </c>
    </row>
    <row r="78" spans="1:3" x14ac:dyDescent="0.25">
      <c r="A78" s="40">
        <v>1</v>
      </c>
      <c r="B78" s="146" t="s">
        <v>168</v>
      </c>
      <c r="C78" s="140" t="s">
        <v>102</v>
      </c>
    </row>
    <row r="79" spans="1:3" x14ac:dyDescent="0.25">
      <c r="A79" s="27"/>
      <c r="B79" s="144"/>
      <c r="C79" s="145"/>
    </row>
    <row r="80" spans="1:3" ht="13" x14ac:dyDescent="0.25">
      <c r="B80" s="57" t="s">
        <v>126</v>
      </c>
      <c r="C80" s="68"/>
    </row>
    <row r="81" spans="1:3" x14ac:dyDescent="0.25">
      <c r="A81" s="26">
        <v>1</v>
      </c>
      <c r="B81" s="61" t="s">
        <v>60</v>
      </c>
      <c r="C81" s="68" t="s">
        <v>102</v>
      </c>
    </row>
    <row r="82" spans="1:3" x14ac:dyDescent="0.25">
      <c r="A82" s="26">
        <v>5</v>
      </c>
      <c r="B82" s="61" t="s">
        <v>61</v>
      </c>
      <c r="C82" s="68" t="s">
        <v>102</v>
      </c>
    </row>
    <row r="83" spans="1:3" x14ac:dyDescent="0.25">
      <c r="A83" s="43">
        <v>2.5000000000000001E-2</v>
      </c>
      <c r="B83" s="60" t="s">
        <v>62</v>
      </c>
      <c r="C83" s="68" t="s">
        <v>102</v>
      </c>
    </row>
    <row r="84" spans="1:3" x14ac:dyDescent="0.25">
      <c r="A84" s="43">
        <v>5.0000000000000001E-3</v>
      </c>
      <c r="B84" s="60" t="s">
        <v>63</v>
      </c>
      <c r="C84" s="68" t="s">
        <v>102</v>
      </c>
    </row>
    <row r="85" spans="1:3" x14ac:dyDescent="0.25">
      <c r="A85" s="43">
        <v>5.0000000000000001E-3</v>
      </c>
      <c r="B85" s="60" t="s">
        <v>64</v>
      </c>
      <c r="C85" s="68" t="s">
        <v>102</v>
      </c>
    </row>
    <row r="86" spans="1:3" x14ac:dyDescent="0.25">
      <c r="A86" s="43">
        <v>0.1</v>
      </c>
      <c r="B86" s="60" t="s">
        <v>65</v>
      </c>
      <c r="C86" s="68" t="s">
        <v>102</v>
      </c>
    </row>
    <row r="87" spans="1:3" x14ac:dyDescent="0.25">
      <c r="A87" s="43">
        <v>0.9</v>
      </c>
      <c r="B87" s="63" t="s">
        <v>66</v>
      </c>
      <c r="C87" s="69">
        <v>0.9</v>
      </c>
    </row>
    <row r="88" spans="1:3" x14ac:dyDescent="0.25">
      <c r="A88" s="26">
        <v>5</v>
      </c>
      <c r="B88" s="61" t="s">
        <v>67</v>
      </c>
      <c r="C88" s="68" t="s">
        <v>102</v>
      </c>
    </row>
    <row r="89" spans="1:3" x14ac:dyDescent="0.25">
      <c r="A89" s="43">
        <v>2.5000000000000001E-2</v>
      </c>
      <c r="B89" s="60" t="s">
        <v>68</v>
      </c>
      <c r="C89" s="68" t="s">
        <v>102</v>
      </c>
    </row>
    <row r="90" spans="1:3" x14ac:dyDescent="0.25">
      <c r="A90" s="43">
        <v>5.0000000000000001E-3</v>
      </c>
      <c r="B90" s="60" t="s">
        <v>69</v>
      </c>
      <c r="C90" s="68" t="s">
        <v>102</v>
      </c>
    </row>
    <row r="91" spans="1:3" x14ac:dyDescent="0.25">
      <c r="A91" s="43">
        <v>5.0000000000000001E-3</v>
      </c>
      <c r="B91" s="60" t="s">
        <v>70</v>
      </c>
      <c r="C91" s="68" t="s">
        <v>102</v>
      </c>
    </row>
    <row r="92" spans="1:3" x14ac:dyDescent="0.25">
      <c r="A92" s="43">
        <v>0.9</v>
      </c>
      <c r="B92" s="63" t="s">
        <v>71</v>
      </c>
      <c r="C92" s="69">
        <v>0.9</v>
      </c>
    </row>
    <row r="93" spans="1:3" x14ac:dyDescent="0.25">
      <c r="A93" s="26">
        <v>5</v>
      </c>
      <c r="B93" s="61" t="s">
        <v>72</v>
      </c>
      <c r="C93" s="68" t="s">
        <v>102</v>
      </c>
    </row>
    <row r="94" spans="1:3" x14ac:dyDescent="0.25">
      <c r="A94" s="43">
        <v>2.5000000000000001E-2</v>
      </c>
      <c r="B94" s="60" t="s">
        <v>73</v>
      </c>
      <c r="C94" s="68" t="s">
        <v>102</v>
      </c>
    </row>
    <row r="95" spans="1:3" x14ac:dyDescent="0.25">
      <c r="A95" s="43">
        <v>7.1999999999999995E-2</v>
      </c>
      <c r="B95" s="60" t="s">
        <v>74</v>
      </c>
      <c r="C95" s="68" t="s">
        <v>102</v>
      </c>
    </row>
    <row r="96" spans="1:3" x14ac:dyDescent="0.25">
      <c r="A96" s="43">
        <v>0.9</v>
      </c>
      <c r="B96" s="64" t="s">
        <v>75</v>
      </c>
      <c r="C96" s="73">
        <v>0.9</v>
      </c>
    </row>
    <row r="98" spans="1:43" ht="13" x14ac:dyDescent="0.25">
      <c r="A98" s="25" t="s">
        <v>9</v>
      </c>
      <c r="B98" s="19" t="e">
        <f ca="1">GetNameRange(B100)</f>
        <v>#NAME?</v>
      </c>
      <c r="C98" s="35"/>
      <c r="D98" s="35"/>
      <c r="E98" s="35"/>
      <c r="F98" s="35"/>
      <c r="G98" s="35"/>
      <c r="H98" s="35"/>
      <c r="I98" s="35"/>
      <c r="J98" s="35"/>
      <c r="K98" s="3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</row>
    <row r="99" spans="1:43" ht="13" x14ac:dyDescent="0.25">
      <c r="A99" s="38" t="s">
        <v>103</v>
      </c>
      <c r="B99" s="108" t="s">
        <v>108</v>
      </c>
      <c r="C99" s="112" t="s">
        <v>84</v>
      </c>
      <c r="D99" s="112" t="s">
        <v>84</v>
      </c>
      <c r="E99" s="112" t="s">
        <v>84</v>
      </c>
      <c r="F99" s="112" t="s">
        <v>84</v>
      </c>
      <c r="G99" s="112" t="s">
        <v>84</v>
      </c>
      <c r="H99" s="112" t="s">
        <v>84</v>
      </c>
      <c r="I99" s="112" t="s">
        <v>84</v>
      </c>
      <c r="J99" s="112" t="s">
        <v>84</v>
      </c>
      <c r="K99" s="112" t="s">
        <v>84</v>
      </c>
      <c r="L99" s="113" t="s">
        <v>84</v>
      </c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43" ht="13" x14ac:dyDescent="0.25">
      <c r="B100" s="123" t="s">
        <v>101</v>
      </c>
      <c r="C100" s="50">
        <v>8.3330000000000001E-2</v>
      </c>
      <c r="D100" s="50">
        <v>0.25</v>
      </c>
      <c r="E100" s="50">
        <v>1</v>
      </c>
      <c r="F100" s="50">
        <v>2</v>
      </c>
      <c r="G100" s="50">
        <v>3</v>
      </c>
      <c r="H100" s="50">
        <v>5</v>
      </c>
      <c r="I100" s="50">
        <v>7</v>
      </c>
      <c r="J100" s="50">
        <v>10</v>
      </c>
      <c r="K100" s="50">
        <v>20</v>
      </c>
      <c r="L100" s="124">
        <v>30</v>
      </c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43" ht="13" x14ac:dyDescent="0.25">
      <c r="B101" s="83" t="s">
        <v>99</v>
      </c>
      <c r="C101" s="115"/>
      <c r="D101" s="115"/>
      <c r="E101" s="115"/>
      <c r="F101" s="115"/>
      <c r="G101" s="115"/>
      <c r="H101" s="115"/>
      <c r="I101" s="115"/>
      <c r="J101" s="115"/>
      <c r="K101" s="115"/>
      <c r="L101" s="116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43" x14ac:dyDescent="0.25">
      <c r="B102" s="85">
        <v>1</v>
      </c>
      <c r="C102" s="65">
        <v>2.5000000000000001E-2</v>
      </c>
      <c r="D102" s="65">
        <v>0.05</v>
      </c>
      <c r="E102" s="65">
        <v>7.4999999999999997E-2</v>
      </c>
      <c r="F102" s="65">
        <v>8.5000000000000006E-2</v>
      </c>
      <c r="G102" s="65">
        <v>0.125</v>
      </c>
      <c r="H102" s="65">
        <v>0.115</v>
      </c>
      <c r="I102" s="65">
        <v>9.7500000000000003E-2</v>
      </c>
      <c r="J102" s="65">
        <v>8.7499999999999994E-2</v>
      </c>
      <c r="K102" s="65">
        <v>6.5000000000000002E-2</v>
      </c>
      <c r="L102" s="73">
        <v>0.05</v>
      </c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4" spans="1:43" ht="13" x14ac:dyDescent="0.25">
      <c r="A104" s="25" t="s">
        <v>9</v>
      </c>
      <c r="B104" s="19" t="e">
        <f ca="1">GetNameRange(B105)</f>
        <v>#NAME?</v>
      </c>
      <c r="C104" s="35"/>
      <c r="D104" s="35"/>
      <c r="E104" s="35"/>
      <c r="F104" s="35"/>
      <c r="G104" s="35"/>
      <c r="H104" s="35"/>
      <c r="I104" s="33"/>
      <c r="J104" s="33"/>
      <c r="K104" s="33"/>
      <c r="L104" s="33"/>
      <c r="M104" s="33"/>
    </row>
    <row r="105" spans="1:43" ht="13" x14ac:dyDescent="0.25">
      <c r="A105" s="38" t="s">
        <v>103</v>
      </c>
      <c r="B105" s="108" t="s">
        <v>108</v>
      </c>
      <c r="C105" s="112" t="s">
        <v>84</v>
      </c>
      <c r="D105" s="112" t="s">
        <v>84</v>
      </c>
      <c r="E105" s="112" t="s">
        <v>84</v>
      </c>
      <c r="F105" s="112" t="s">
        <v>84</v>
      </c>
      <c r="G105" s="112" t="s">
        <v>84</v>
      </c>
      <c r="H105" s="113" t="s">
        <v>84</v>
      </c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</row>
    <row r="106" spans="1:43" ht="13" x14ac:dyDescent="0.25">
      <c r="B106" s="123" t="s">
        <v>101</v>
      </c>
      <c r="C106" s="50">
        <v>0.25</v>
      </c>
      <c r="D106" s="50">
        <v>0.5</v>
      </c>
      <c r="E106" s="50">
        <v>1</v>
      </c>
      <c r="F106" s="50">
        <v>3</v>
      </c>
      <c r="G106" s="50">
        <v>5</v>
      </c>
      <c r="H106" s="124">
        <v>20</v>
      </c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</row>
    <row r="107" spans="1:43" ht="13" x14ac:dyDescent="0.3">
      <c r="B107" s="83" t="s">
        <v>99</v>
      </c>
      <c r="C107" s="115"/>
      <c r="D107" s="115"/>
      <c r="E107" s="115"/>
      <c r="F107" s="115"/>
      <c r="G107" s="125"/>
      <c r="H107" s="126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</row>
    <row r="108" spans="1:43" x14ac:dyDescent="0.25">
      <c r="B108" s="85">
        <v>1</v>
      </c>
      <c r="C108" s="65">
        <v>0.25</v>
      </c>
      <c r="D108" s="65">
        <v>0.15</v>
      </c>
      <c r="E108" s="65">
        <v>0.1</v>
      </c>
      <c r="F108" s="65">
        <v>0.08</v>
      </c>
      <c r="G108" s="65">
        <v>0.06</v>
      </c>
      <c r="H108" s="73">
        <v>0.05</v>
      </c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</row>
    <row r="109" spans="1:43" x14ac:dyDescent="0.25"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</row>
    <row r="110" spans="1:43" ht="13" x14ac:dyDescent="0.25">
      <c r="A110" s="25" t="s">
        <v>9</v>
      </c>
      <c r="B110" s="19" t="e">
        <f ca="1">GetNameRange(B112)</f>
        <v>#NAME?</v>
      </c>
      <c r="C110" s="12"/>
      <c r="D110" s="12"/>
      <c r="E110" s="12"/>
      <c r="F110" s="12"/>
    </row>
    <row r="111" spans="1:43" ht="13" x14ac:dyDescent="0.3">
      <c r="A111" s="38" t="s">
        <v>103</v>
      </c>
      <c r="B111" s="92" t="s">
        <v>110</v>
      </c>
      <c r="C111" s="53" t="s">
        <v>79</v>
      </c>
      <c r="D111" s="53" t="s">
        <v>79</v>
      </c>
      <c r="E111" s="53" t="s">
        <v>79</v>
      </c>
      <c r="F111" s="66" t="s">
        <v>79</v>
      </c>
    </row>
    <row r="112" spans="1:43" ht="13" x14ac:dyDescent="0.3">
      <c r="B112" s="95" t="s">
        <v>112</v>
      </c>
      <c r="C112" s="21" t="s">
        <v>80</v>
      </c>
      <c r="D112" s="21" t="s">
        <v>81</v>
      </c>
      <c r="E112" s="21" t="s">
        <v>82</v>
      </c>
      <c r="F112" s="67" t="s">
        <v>83</v>
      </c>
    </row>
    <row r="113" spans="1:38" ht="13" x14ac:dyDescent="0.3">
      <c r="B113" s="98" t="s">
        <v>99</v>
      </c>
      <c r="C113" s="30"/>
      <c r="D113" s="30"/>
      <c r="E113" s="30"/>
      <c r="F113" s="122"/>
    </row>
    <row r="114" spans="1:38" x14ac:dyDescent="0.25">
      <c r="B114" s="85">
        <v>1</v>
      </c>
      <c r="C114" s="65">
        <v>1.5E-3</v>
      </c>
      <c r="D114" s="65">
        <v>3.5000000000000003E-2</v>
      </c>
      <c r="E114" s="65">
        <v>1</v>
      </c>
      <c r="F114" s="73">
        <v>0</v>
      </c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</row>
    <row r="115" spans="1:38" x14ac:dyDescent="0.25"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</row>
    <row r="116" spans="1:38" ht="13" x14ac:dyDescent="0.25">
      <c r="A116" s="25" t="s">
        <v>9</v>
      </c>
      <c r="B116" s="19" t="e">
        <f ca="1">GetNameRange(B118)</f>
        <v>#NAME?</v>
      </c>
      <c r="C116" s="33"/>
      <c r="D116" s="33"/>
      <c r="E116" s="3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</row>
    <row r="117" spans="1:38" ht="13" x14ac:dyDescent="0.25">
      <c r="A117" s="38" t="s">
        <v>103</v>
      </c>
      <c r="B117" s="108" t="s">
        <v>110</v>
      </c>
      <c r="C117" s="112" t="s">
        <v>79</v>
      </c>
      <c r="D117" s="112" t="s">
        <v>79</v>
      </c>
      <c r="E117" s="112" t="s">
        <v>79</v>
      </c>
      <c r="F117" s="112" t="s">
        <v>79</v>
      </c>
      <c r="G117" s="112" t="s">
        <v>79</v>
      </c>
      <c r="H117" s="112" t="s">
        <v>79</v>
      </c>
      <c r="I117" s="112" t="s">
        <v>79</v>
      </c>
      <c r="J117" s="112" t="s">
        <v>79</v>
      </c>
      <c r="K117" s="112" t="s">
        <v>79</v>
      </c>
      <c r="L117" s="112" t="s">
        <v>79</v>
      </c>
      <c r="M117" s="112" t="s">
        <v>79</v>
      </c>
      <c r="N117" s="112" t="s">
        <v>79</v>
      </c>
      <c r="O117" s="112" t="s">
        <v>79</v>
      </c>
      <c r="P117" s="112" t="s">
        <v>79</v>
      </c>
      <c r="Q117" s="113" t="s">
        <v>79</v>
      </c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ht="13" x14ac:dyDescent="0.25">
      <c r="B118" s="123" t="s">
        <v>109</v>
      </c>
      <c r="C118" s="50">
        <v>0.9</v>
      </c>
      <c r="D118" s="50">
        <v>0.9</v>
      </c>
      <c r="E118" s="50">
        <v>0.9</v>
      </c>
      <c r="F118" s="50">
        <v>0.95</v>
      </c>
      <c r="G118" s="50">
        <v>0.95</v>
      </c>
      <c r="H118" s="50">
        <v>0.95</v>
      </c>
      <c r="I118" s="50">
        <v>1</v>
      </c>
      <c r="J118" s="50">
        <v>1</v>
      </c>
      <c r="K118" s="50">
        <v>1</v>
      </c>
      <c r="L118" s="50">
        <v>1.05</v>
      </c>
      <c r="M118" s="50">
        <v>1.05</v>
      </c>
      <c r="N118" s="50">
        <v>1.05</v>
      </c>
      <c r="O118" s="50">
        <v>1.1000000000000001</v>
      </c>
      <c r="P118" s="50">
        <v>1.1000000000000001</v>
      </c>
      <c r="Q118" s="124">
        <v>1.1000000000000001</v>
      </c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ht="13" x14ac:dyDescent="0.25">
      <c r="B119" s="123" t="s">
        <v>101</v>
      </c>
      <c r="C119" s="50">
        <v>1</v>
      </c>
      <c r="D119" s="50">
        <v>5</v>
      </c>
      <c r="E119" s="50">
        <v>10</v>
      </c>
      <c r="F119" s="50">
        <v>1</v>
      </c>
      <c r="G119" s="50">
        <v>5</v>
      </c>
      <c r="H119" s="50">
        <v>10</v>
      </c>
      <c r="I119" s="50">
        <v>1</v>
      </c>
      <c r="J119" s="50">
        <v>5</v>
      </c>
      <c r="K119" s="50">
        <v>10</v>
      </c>
      <c r="L119" s="50">
        <v>1</v>
      </c>
      <c r="M119" s="50">
        <v>5</v>
      </c>
      <c r="N119" s="50">
        <v>10</v>
      </c>
      <c r="O119" s="50">
        <v>1</v>
      </c>
      <c r="P119" s="50">
        <v>5</v>
      </c>
      <c r="Q119" s="124">
        <v>10</v>
      </c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ht="13" x14ac:dyDescent="0.25">
      <c r="B120" s="83" t="s">
        <v>2</v>
      </c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6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B121" s="85">
        <v>1</v>
      </c>
      <c r="C121" s="65">
        <v>0.21876000000000001</v>
      </c>
      <c r="D121" s="65">
        <v>0.27289999999999998</v>
      </c>
      <c r="E121" s="65">
        <v>0.30787999999999999</v>
      </c>
      <c r="F121" s="65">
        <v>0.21876000000000001</v>
      </c>
      <c r="G121" s="65">
        <v>0.27289999999999998</v>
      </c>
      <c r="H121" s="65">
        <v>0.30787999999999999</v>
      </c>
      <c r="I121" s="65">
        <v>0.21876000000000001</v>
      </c>
      <c r="J121" s="65">
        <v>0.27289999999999998</v>
      </c>
      <c r="K121" s="65">
        <v>0.30787999999999999</v>
      </c>
      <c r="L121" s="65">
        <v>0.21876000000000001</v>
      </c>
      <c r="M121" s="65">
        <v>0.27289999999999998</v>
      </c>
      <c r="N121" s="65">
        <v>0.30787999999999999</v>
      </c>
      <c r="O121" s="65">
        <v>0.21876000000000001</v>
      </c>
      <c r="P121" s="65">
        <v>0.27289999999999998</v>
      </c>
      <c r="Q121" s="73">
        <v>0.30787999999999999</v>
      </c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</row>
    <row r="123" spans="1:38" ht="13" x14ac:dyDescent="0.25">
      <c r="A123" s="25" t="s">
        <v>9</v>
      </c>
      <c r="B123" s="19" t="e">
        <f ca="1">GetNameRange(B125)</f>
        <v>#NAME?</v>
      </c>
    </row>
    <row r="124" spans="1:38" ht="13" x14ac:dyDescent="0.3">
      <c r="A124" s="38" t="s">
        <v>103</v>
      </c>
      <c r="B124" s="92" t="s">
        <v>110</v>
      </c>
      <c r="C124" s="66" t="s">
        <v>116</v>
      </c>
    </row>
    <row r="125" spans="1:38" ht="13" x14ac:dyDescent="0.3">
      <c r="B125" s="98" t="s">
        <v>99</v>
      </c>
      <c r="C125" s="122"/>
    </row>
    <row r="126" spans="1:38" x14ac:dyDescent="0.25">
      <c r="B126" s="85">
        <v>1</v>
      </c>
      <c r="C126" s="73">
        <v>0.02</v>
      </c>
    </row>
    <row r="127" spans="1:38" x14ac:dyDescent="0.25">
      <c r="C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</row>
    <row r="128" spans="1:38" ht="13" x14ac:dyDescent="0.25">
      <c r="A128" s="25" t="s">
        <v>9</v>
      </c>
      <c r="B128" s="19" t="e">
        <f ca="1">GetNameRange(B130)</f>
        <v>#NAME?</v>
      </c>
      <c r="C128" s="36"/>
      <c r="D128" s="34"/>
      <c r="E128" s="34"/>
      <c r="F128" s="34"/>
      <c r="G128" s="34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</row>
    <row r="129" spans="1:32" ht="13" x14ac:dyDescent="0.3">
      <c r="A129" s="38" t="s">
        <v>103</v>
      </c>
      <c r="B129" s="92" t="s">
        <v>85</v>
      </c>
      <c r="C129" s="111" t="s">
        <v>84</v>
      </c>
      <c r="D129" s="111" t="s">
        <v>90</v>
      </c>
      <c r="E129" s="111" t="s">
        <v>91</v>
      </c>
      <c r="F129" s="111" t="s">
        <v>87</v>
      </c>
      <c r="G129" s="111" t="s">
        <v>92</v>
      </c>
      <c r="H129" s="112" t="s">
        <v>86</v>
      </c>
      <c r="I129" s="112" t="s">
        <v>88</v>
      </c>
      <c r="J129" s="112" t="s">
        <v>79</v>
      </c>
      <c r="K129" s="112" t="s">
        <v>93</v>
      </c>
      <c r="L129" s="113" t="s">
        <v>94</v>
      </c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</row>
    <row r="130" spans="1:32" ht="13" x14ac:dyDescent="0.3">
      <c r="B130" s="98" t="s">
        <v>89</v>
      </c>
      <c r="C130" s="114"/>
      <c r="D130" s="114"/>
      <c r="E130" s="114"/>
      <c r="F130" s="114"/>
      <c r="G130" s="114"/>
      <c r="H130" s="115"/>
      <c r="I130" s="115"/>
      <c r="J130" s="115"/>
      <c r="K130" s="115"/>
      <c r="L130" s="116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</row>
    <row r="131" spans="1:32" x14ac:dyDescent="0.25">
      <c r="B131" s="117" t="s">
        <v>84</v>
      </c>
      <c r="C131" s="39">
        <v>1</v>
      </c>
      <c r="D131" s="39">
        <v>0</v>
      </c>
      <c r="E131" s="39">
        <v>0</v>
      </c>
      <c r="F131" s="39">
        <v>0</v>
      </c>
      <c r="G131" s="39">
        <v>0</v>
      </c>
      <c r="H131" s="39">
        <v>0</v>
      </c>
      <c r="I131" s="39">
        <v>0</v>
      </c>
      <c r="J131" s="39">
        <v>0</v>
      </c>
      <c r="K131" s="39">
        <v>0</v>
      </c>
      <c r="L131" s="118">
        <v>0</v>
      </c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</row>
    <row r="132" spans="1:32" x14ac:dyDescent="0.25">
      <c r="B132" s="117" t="s">
        <v>90</v>
      </c>
      <c r="C132" s="39">
        <v>0</v>
      </c>
      <c r="D132" s="39">
        <v>1</v>
      </c>
      <c r="E132" s="39">
        <v>0</v>
      </c>
      <c r="F132" s="39">
        <v>0</v>
      </c>
      <c r="G132" s="39">
        <v>0</v>
      </c>
      <c r="H132" s="39">
        <v>0</v>
      </c>
      <c r="I132" s="39">
        <v>0</v>
      </c>
      <c r="J132" s="39">
        <v>0</v>
      </c>
      <c r="K132" s="39">
        <v>0</v>
      </c>
      <c r="L132" s="118">
        <v>0</v>
      </c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</row>
    <row r="133" spans="1:32" x14ac:dyDescent="0.25">
      <c r="B133" s="117" t="s">
        <v>91</v>
      </c>
      <c r="C133" s="39">
        <v>0</v>
      </c>
      <c r="D133" s="39">
        <v>0</v>
      </c>
      <c r="E133" s="39">
        <v>1</v>
      </c>
      <c r="F133" s="39">
        <v>0</v>
      </c>
      <c r="G133" s="39">
        <v>0</v>
      </c>
      <c r="H133" s="39">
        <v>0</v>
      </c>
      <c r="I133" s="39">
        <v>0</v>
      </c>
      <c r="J133" s="39">
        <v>0</v>
      </c>
      <c r="K133" s="39">
        <v>0</v>
      </c>
      <c r="L133" s="118">
        <v>0</v>
      </c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</row>
    <row r="134" spans="1:32" x14ac:dyDescent="0.25">
      <c r="B134" s="117" t="s">
        <v>87</v>
      </c>
      <c r="C134" s="39">
        <v>0</v>
      </c>
      <c r="D134" s="39">
        <v>0</v>
      </c>
      <c r="E134" s="39">
        <v>0</v>
      </c>
      <c r="F134" s="39">
        <v>1</v>
      </c>
      <c r="G134" s="39">
        <v>0</v>
      </c>
      <c r="H134" s="39">
        <v>0</v>
      </c>
      <c r="I134" s="39">
        <v>0</v>
      </c>
      <c r="J134" s="39">
        <v>0</v>
      </c>
      <c r="K134" s="39">
        <v>0</v>
      </c>
      <c r="L134" s="118">
        <v>0</v>
      </c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</row>
    <row r="135" spans="1:32" x14ac:dyDescent="0.25">
      <c r="B135" s="117" t="s">
        <v>92</v>
      </c>
      <c r="C135" s="39">
        <v>0</v>
      </c>
      <c r="D135" s="39">
        <v>0</v>
      </c>
      <c r="E135" s="39">
        <v>0</v>
      </c>
      <c r="F135" s="39">
        <v>0</v>
      </c>
      <c r="G135" s="39">
        <v>1</v>
      </c>
      <c r="H135" s="39">
        <v>0</v>
      </c>
      <c r="I135" s="39">
        <v>0</v>
      </c>
      <c r="J135" s="39">
        <v>0</v>
      </c>
      <c r="K135" s="39">
        <v>0</v>
      </c>
      <c r="L135" s="118">
        <v>0</v>
      </c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</row>
    <row r="136" spans="1:32" x14ac:dyDescent="0.25">
      <c r="B136" s="58" t="s">
        <v>86</v>
      </c>
      <c r="C136" s="39">
        <v>0</v>
      </c>
      <c r="D136" s="39">
        <v>0</v>
      </c>
      <c r="E136" s="39">
        <v>0</v>
      </c>
      <c r="F136" s="39">
        <v>0</v>
      </c>
      <c r="G136" s="39">
        <v>0</v>
      </c>
      <c r="H136" s="39">
        <v>1</v>
      </c>
      <c r="I136" s="39">
        <v>0</v>
      </c>
      <c r="J136" s="39">
        <v>0</v>
      </c>
      <c r="K136" s="39">
        <v>0</v>
      </c>
      <c r="L136" s="118">
        <v>0</v>
      </c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</row>
    <row r="137" spans="1:32" x14ac:dyDescent="0.25">
      <c r="B137" s="58" t="s">
        <v>88</v>
      </c>
      <c r="C137" s="39">
        <v>0</v>
      </c>
      <c r="D137" s="39">
        <v>0</v>
      </c>
      <c r="E137" s="39">
        <v>0</v>
      </c>
      <c r="F137" s="39">
        <v>0</v>
      </c>
      <c r="G137" s="39">
        <v>0</v>
      </c>
      <c r="H137" s="39">
        <v>0</v>
      </c>
      <c r="I137" s="39">
        <v>1</v>
      </c>
      <c r="J137" s="39">
        <v>0</v>
      </c>
      <c r="K137" s="39">
        <v>0</v>
      </c>
      <c r="L137" s="118">
        <v>0</v>
      </c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</row>
    <row r="138" spans="1:32" x14ac:dyDescent="0.25">
      <c r="B138" s="58" t="s">
        <v>79</v>
      </c>
      <c r="C138" s="39">
        <v>0</v>
      </c>
      <c r="D138" s="39">
        <v>0</v>
      </c>
      <c r="E138" s="39">
        <v>0</v>
      </c>
      <c r="F138" s="39">
        <v>0</v>
      </c>
      <c r="G138" s="39">
        <v>0</v>
      </c>
      <c r="H138" s="39">
        <v>0</v>
      </c>
      <c r="I138" s="39">
        <v>0</v>
      </c>
      <c r="J138" s="39">
        <v>1</v>
      </c>
      <c r="K138" s="39">
        <v>0</v>
      </c>
      <c r="L138" s="118">
        <v>0</v>
      </c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</row>
    <row r="139" spans="1:32" x14ac:dyDescent="0.25">
      <c r="B139" s="58" t="s">
        <v>93</v>
      </c>
      <c r="C139" s="39">
        <v>0</v>
      </c>
      <c r="D139" s="39">
        <v>0</v>
      </c>
      <c r="E139" s="39">
        <v>0</v>
      </c>
      <c r="F139" s="39">
        <v>0</v>
      </c>
      <c r="G139" s="39">
        <v>0</v>
      </c>
      <c r="H139" s="39">
        <v>0</v>
      </c>
      <c r="I139" s="39">
        <v>0</v>
      </c>
      <c r="J139" s="39">
        <v>0</v>
      </c>
      <c r="K139" s="39">
        <v>1</v>
      </c>
      <c r="L139" s="118">
        <v>0</v>
      </c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</row>
    <row r="140" spans="1:32" x14ac:dyDescent="0.25">
      <c r="B140" s="119" t="s">
        <v>94</v>
      </c>
      <c r="C140" s="120">
        <v>0</v>
      </c>
      <c r="D140" s="120">
        <v>0</v>
      </c>
      <c r="E140" s="120">
        <v>0</v>
      </c>
      <c r="F140" s="120">
        <v>0</v>
      </c>
      <c r="G140" s="120">
        <v>0</v>
      </c>
      <c r="H140" s="120">
        <v>0</v>
      </c>
      <c r="I140" s="120">
        <v>0</v>
      </c>
      <c r="J140" s="120">
        <v>0</v>
      </c>
      <c r="K140" s="120">
        <v>0</v>
      </c>
      <c r="L140" s="121">
        <v>1</v>
      </c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</row>
    <row r="141" spans="1:32" x14ac:dyDescent="0.25">
      <c r="B141" s="131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</row>
    <row r="142" spans="1:32" ht="13" x14ac:dyDescent="0.25">
      <c r="A142" s="25" t="s">
        <v>9</v>
      </c>
      <c r="B142" s="19" t="e">
        <f ca="1">GetNameRange(B143)</f>
        <v>#NAME?</v>
      </c>
      <c r="I142" s="39"/>
      <c r="J142" s="39"/>
      <c r="K142" s="39"/>
      <c r="L142" s="39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</row>
    <row r="143" spans="1:32" ht="13" x14ac:dyDescent="0.3">
      <c r="A143" s="38" t="s">
        <v>103</v>
      </c>
      <c r="B143" s="92" t="s">
        <v>85</v>
      </c>
      <c r="C143" s="111" t="s">
        <v>84</v>
      </c>
      <c r="D143" s="111" t="s">
        <v>79</v>
      </c>
      <c r="E143" s="111" t="s">
        <v>86</v>
      </c>
      <c r="F143" s="111" t="s">
        <v>87</v>
      </c>
      <c r="G143" s="132" t="s">
        <v>88</v>
      </c>
      <c r="H143" s="39"/>
      <c r="I143" s="39"/>
      <c r="J143" s="39"/>
      <c r="K143" s="39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1:32" ht="13" x14ac:dyDescent="0.3">
      <c r="B144" s="98" t="s">
        <v>89</v>
      </c>
      <c r="C144" s="114"/>
      <c r="D144" s="114"/>
      <c r="E144" s="114"/>
      <c r="F144" s="114"/>
      <c r="G144" s="133"/>
      <c r="H144" s="39"/>
      <c r="I144" s="39"/>
      <c r="J144" s="39"/>
      <c r="K144" s="39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</row>
    <row r="145" spans="1:32" x14ac:dyDescent="0.25">
      <c r="B145" s="117" t="s">
        <v>84</v>
      </c>
      <c r="C145" s="39">
        <v>1</v>
      </c>
      <c r="D145" s="39">
        <v>0.03</v>
      </c>
      <c r="E145" s="39">
        <v>-0.01</v>
      </c>
      <c r="F145" s="39">
        <v>0.41</v>
      </c>
      <c r="G145" s="118">
        <v>-0.12</v>
      </c>
      <c r="H145" s="39"/>
      <c r="I145" s="39"/>
      <c r="J145" s="39"/>
      <c r="K145" s="39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1:32" x14ac:dyDescent="0.25">
      <c r="B146" s="117" t="s">
        <v>79</v>
      </c>
      <c r="C146" s="39">
        <v>0.03</v>
      </c>
      <c r="D146" s="39">
        <v>1</v>
      </c>
      <c r="E146" s="39">
        <v>0.77</v>
      </c>
      <c r="F146" s="39">
        <v>0.17</v>
      </c>
      <c r="G146" s="118">
        <v>0.48</v>
      </c>
      <c r="H146" s="39"/>
      <c r="I146" s="39"/>
      <c r="J146" s="39"/>
      <c r="K146" s="39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</row>
    <row r="147" spans="1:32" x14ac:dyDescent="0.25">
      <c r="B147" s="117" t="s">
        <v>86</v>
      </c>
      <c r="C147" s="39">
        <v>-0.01</v>
      </c>
      <c r="D147" s="39">
        <v>0.77</v>
      </c>
      <c r="E147" s="39">
        <v>1</v>
      </c>
      <c r="F147" s="39">
        <v>0.06</v>
      </c>
      <c r="G147" s="118">
        <v>0.36</v>
      </c>
      <c r="H147" s="39"/>
      <c r="I147" s="39"/>
      <c r="J147" s="39"/>
      <c r="K147" s="39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1:32" x14ac:dyDescent="0.25">
      <c r="B148" s="117" t="s">
        <v>87</v>
      </c>
      <c r="C148" s="39">
        <v>0.41</v>
      </c>
      <c r="D148" s="39">
        <v>0.17</v>
      </c>
      <c r="E148" s="39">
        <v>0.06</v>
      </c>
      <c r="F148" s="39">
        <v>1</v>
      </c>
      <c r="G148" s="118">
        <v>-7.0000000000000007E-2</v>
      </c>
      <c r="H148" s="39"/>
      <c r="I148" s="39"/>
      <c r="J148" s="39"/>
      <c r="K148" s="39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</row>
    <row r="149" spans="1:32" x14ac:dyDescent="0.25">
      <c r="B149" s="134" t="s">
        <v>88</v>
      </c>
      <c r="C149" s="120">
        <v>-0.12</v>
      </c>
      <c r="D149" s="120">
        <v>0.48</v>
      </c>
      <c r="E149" s="120">
        <v>0.36</v>
      </c>
      <c r="F149" s="120">
        <v>-7.0000000000000007E-2</v>
      </c>
      <c r="G149" s="121">
        <v>1</v>
      </c>
      <c r="H149" s="39"/>
      <c r="I149" s="39"/>
      <c r="J149" s="39"/>
      <c r="K149" s="39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1:32" x14ac:dyDescent="0.25"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</row>
    <row r="151" spans="1:32" ht="13" x14ac:dyDescent="0.25">
      <c r="A151" s="25" t="s">
        <v>9</v>
      </c>
      <c r="B151" s="19" t="e">
        <f ca="1">GetNameRange(B152)</f>
        <v>#NAME?</v>
      </c>
      <c r="C151" s="35"/>
      <c r="D151" s="35"/>
      <c r="E151" s="35"/>
      <c r="F151" s="35"/>
      <c r="G151" s="35"/>
      <c r="H151" s="35"/>
      <c r="I151" s="35"/>
      <c r="J151" s="35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</row>
    <row r="152" spans="1:32" ht="13" x14ac:dyDescent="0.25">
      <c r="A152" s="38" t="s">
        <v>103</v>
      </c>
      <c r="B152" s="30" t="s">
        <v>108</v>
      </c>
      <c r="C152" s="149" t="s">
        <v>84</v>
      </c>
      <c r="D152" s="35"/>
      <c r="E152" s="35"/>
      <c r="F152" s="35"/>
      <c r="G152" s="35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</row>
    <row r="153" spans="1:32" ht="13.5" thickBot="1" x14ac:dyDescent="0.3">
      <c r="B153" s="150" t="s">
        <v>0</v>
      </c>
      <c r="C153" s="151"/>
      <c r="D153" s="35"/>
      <c r="E153" s="35"/>
      <c r="F153" s="35"/>
      <c r="G153" s="35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</row>
    <row r="154" spans="1:32" x14ac:dyDescent="0.25">
      <c r="A154" s="40" t="s">
        <v>150</v>
      </c>
      <c r="B154" s="152" t="s">
        <v>151</v>
      </c>
      <c r="C154" s="41" t="s">
        <v>150</v>
      </c>
      <c r="D154" s="35"/>
      <c r="E154" s="35"/>
      <c r="F154" s="35"/>
      <c r="G154" s="35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</row>
    <row r="155" spans="1:32" x14ac:dyDescent="0.25">
      <c r="A155" s="26" t="s">
        <v>5</v>
      </c>
      <c r="B155" s="152" t="s">
        <v>152</v>
      </c>
      <c r="C155" s="41" t="s">
        <v>5</v>
      </c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</row>
    <row r="156" spans="1:32" x14ac:dyDescent="0.25"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</row>
    <row r="157" spans="1:32" ht="13" x14ac:dyDescent="0.25">
      <c r="A157" s="25" t="s">
        <v>9</v>
      </c>
      <c r="B157" s="19" t="e">
        <f ca="1">GetNameRange(B159)</f>
        <v>#NAME?</v>
      </c>
      <c r="C157" s="35"/>
      <c r="D157" s="35"/>
      <c r="E157" s="35"/>
      <c r="F157" s="35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</row>
    <row r="158" spans="1:32" ht="13" x14ac:dyDescent="0.25">
      <c r="A158" s="38" t="s">
        <v>103</v>
      </c>
      <c r="B158" s="30" t="s">
        <v>108</v>
      </c>
      <c r="C158" s="149" t="s">
        <v>84</v>
      </c>
      <c r="D158" s="149" t="s">
        <v>84</v>
      </c>
      <c r="E158" s="149" t="s">
        <v>84</v>
      </c>
      <c r="F158" s="149" t="s">
        <v>84</v>
      </c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</row>
    <row r="159" spans="1:32" ht="13" x14ac:dyDescent="0.25">
      <c r="B159" s="30" t="s">
        <v>169</v>
      </c>
      <c r="C159" s="50">
        <v>5</v>
      </c>
      <c r="D159" s="50">
        <v>5</v>
      </c>
      <c r="E159" s="50">
        <v>10</v>
      </c>
      <c r="F159" s="50">
        <v>10</v>
      </c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</row>
    <row r="160" spans="1:32" ht="13" x14ac:dyDescent="0.25">
      <c r="B160" s="30" t="s">
        <v>170</v>
      </c>
      <c r="C160" s="50">
        <v>5</v>
      </c>
      <c r="D160" s="50">
        <v>10</v>
      </c>
      <c r="E160" s="50">
        <v>5</v>
      </c>
      <c r="F160" s="50">
        <v>10</v>
      </c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</row>
    <row r="161" spans="1:32" ht="13.5" thickBot="1" x14ac:dyDescent="0.3">
      <c r="B161" s="150" t="s">
        <v>171</v>
      </c>
      <c r="C161" s="151"/>
      <c r="D161" s="151"/>
      <c r="E161" s="151"/>
      <c r="F161" s="151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</row>
    <row r="162" spans="1:32" x14ac:dyDescent="0.25">
      <c r="A162" s="40">
        <v>0</v>
      </c>
      <c r="B162" s="152" t="s">
        <v>155</v>
      </c>
      <c r="C162" s="41">
        <v>0</v>
      </c>
      <c r="D162" s="41">
        <v>0</v>
      </c>
      <c r="E162" s="41">
        <v>0</v>
      </c>
      <c r="F162" s="41">
        <v>0</v>
      </c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</row>
    <row r="163" spans="1:32" x14ac:dyDescent="0.25">
      <c r="A163" s="40">
        <v>1</v>
      </c>
      <c r="B163" s="152" t="s">
        <v>156</v>
      </c>
      <c r="C163" s="41">
        <v>1</v>
      </c>
      <c r="D163" s="41">
        <v>1</v>
      </c>
      <c r="E163" s="41">
        <v>1</v>
      </c>
      <c r="F163" s="41">
        <v>1</v>
      </c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</row>
    <row r="164" spans="1:32" x14ac:dyDescent="0.25"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</row>
    <row r="165" spans="1:32" ht="13" x14ac:dyDescent="0.25">
      <c r="A165" s="25" t="s">
        <v>9</v>
      </c>
      <c r="B165" s="19" t="e">
        <f ca="1">GetNameRange(B167)</f>
        <v>#NAME?</v>
      </c>
      <c r="C165" s="35"/>
      <c r="D165" s="35"/>
      <c r="E165" s="35"/>
      <c r="F165" s="35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</row>
    <row r="166" spans="1:32" ht="13" x14ac:dyDescent="0.25">
      <c r="A166" s="38" t="s">
        <v>103</v>
      </c>
      <c r="B166" s="30" t="s">
        <v>108</v>
      </c>
      <c r="C166" s="149" t="s">
        <v>84</v>
      </c>
      <c r="D166" s="149" t="s">
        <v>84</v>
      </c>
      <c r="E166" s="149" t="s">
        <v>84</v>
      </c>
      <c r="F166" s="149" t="s">
        <v>84</v>
      </c>
      <c r="G166" s="149" t="s">
        <v>84</v>
      </c>
      <c r="H166" s="149" t="s">
        <v>84</v>
      </c>
      <c r="I166" s="149" t="s">
        <v>84</v>
      </c>
      <c r="J166" s="149" t="s">
        <v>84</v>
      </c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</row>
    <row r="167" spans="1:32" ht="13" x14ac:dyDescent="0.25">
      <c r="B167" s="30" t="s">
        <v>101</v>
      </c>
      <c r="C167" s="50">
        <v>1</v>
      </c>
      <c r="D167" s="50">
        <v>2</v>
      </c>
      <c r="E167" s="50">
        <v>3</v>
      </c>
      <c r="F167" s="50">
        <v>4</v>
      </c>
      <c r="G167" s="50">
        <v>5</v>
      </c>
      <c r="H167" s="50">
        <v>10</v>
      </c>
      <c r="I167" s="50">
        <v>15</v>
      </c>
      <c r="J167" s="50">
        <v>30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</row>
    <row r="168" spans="1:32" ht="13.5" thickBot="1" x14ac:dyDescent="0.3">
      <c r="B168" s="150" t="s">
        <v>171</v>
      </c>
      <c r="C168" s="151"/>
      <c r="D168" s="151"/>
      <c r="E168" s="151"/>
      <c r="F168" s="151"/>
      <c r="G168" s="151"/>
      <c r="H168" s="151"/>
      <c r="I168" s="151"/>
      <c r="J168" s="151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</row>
    <row r="169" spans="1:32" x14ac:dyDescent="0.25">
      <c r="A169" s="40">
        <v>0</v>
      </c>
      <c r="B169" s="152" t="s">
        <v>158</v>
      </c>
      <c r="C169" s="41">
        <v>0</v>
      </c>
      <c r="D169" s="41">
        <v>0</v>
      </c>
      <c r="E169" s="41">
        <v>0</v>
      </c>
      <c r="F169" s="41">
        <v>0</v>
      </c>
      <c r="G169" s="41">
        <v>0</v>
      </c>
      <c r="H169" s="41">
        <v>0</v>
      </c>
      <c r="I169" s="41">
        <v>0</v>
      </c>
      <c r="J169" s="41">
        <v>0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</row>
    <row r="170" spans="1:32" x14ac:dyDescent="0.25">
      <c r="A170" s="40">
        <v>1</v>
      </c>
      <c r="B170" s="152" t="s">
        <v>159</v>
      </c>
      <c r="C170" s="41">
        <v>1</v>
      </c>
      <c r="D170" s="41">
        <v>1</v>
      </c>
      <c r="E170" s="41">
        <v>1</v>
      </c>
      <c r="F170" s="41">
        <v>1</v>
      </c>
      <c r="G170" s="41">
        <v>1</v>
      </c>
      <c r="H170" s="41">
        <v>1</v>
      </c>
      <c r="I170" s="41">
        <v>1</v>
      </c>
      <c r="J170" s="41">
        <v>1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</row>
    <row r="171" spans="1:32" x14ac:dyDescent="0.25"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</row>
    <row r="172" spans="1:32" ht="13" x14ac:dyDescent="0.25">
      <c r="A172" s="25" t="s">
        <v>9</v>
      </c>
      <c r="B172" s="19" t="e">
        <f ca="1">GetNameRange(B173)</f>
        <v>#NAME?</v>
      </c>
      <c r="C172" s="35"/>
      <c r="D172" s="35"/>
      <c r="E172" s="35"/>
      <c r="F172" s="35"/>
      <c r="G172" s="35"/>
      <c r="H172" s="35"/>
      <c r="I172" s="35"/>
      <c r="J172" s="35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</row>
    <row r="173" spans="1:32" ht="13" x14ac:dyDescent="0.25">
      <c r="A173" s="38" t="s">
        <v>103</v>
      </c>
      <c r="B173" s="30" t="s">
        <v>110</v>
      </c>
      <c r="C173" s="149" t="s">
        <v>79</v>
      </c>
      <c r="D173" s="35"/>
      <c r="E173" s="35"/>
      <c r="F173" s="35"/>
      <c r="G173" s="35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</row>
    <row r="174" spans="1:32" ht="13.5" thickBot="1" x14ac:dyDescent="0.3">
      <c r="B174" s="150" t="s">
        <v>0</v>
      </c>
      <c r="C174" s="151"/>
      <c r="D174" s="35"/>
      <c r="E174" s="35"/>
      <c r="F174" s="35"/>
      <c r="G174" s="35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</row>
    <row r="175" spans="1:32" x14ac:dyDescent="0.25">
      <c r="A175" s="26" t="s">
        <v>5</v>
      </c>
      <c r="B175" s="152" t="s">
        <v>161</v>
      </c>
      <c r="C175" s="41" t="s">
        <v>5</v>
      </c>
      <c r="D175" s="35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</row>
    <row r="176" spans="1:32" x14ac:dyDescent="0.25">
      <c r="A176" s="40">
        <v>0</v>
      </c>
      <c r="B176" s="152" t="s">
        <v>162</v>
      </c>
      <c r="C176" s="41">
        <v>0</v>
      </c>
      <c r="D176" s="35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</row>
    <row r="177" spans="1:32" x14ac:dyDescent="0.25">
      <c r="A177" s="26" t="s">
        <v>163</v>
      </c>
      <c r="B177" s="152" t="s">
        <v>164</v>
      </c>
      <c r="C177" s="41" t="s">
        <v>163</v>
      </c>
      <c r="D177" s="35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</row>
    <row r="178" spans="1:32" x14ac:dyDescent="0.25">
      <c r="C178" s="23"/>
      <c r="D178" s="35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</row>
    <row r="179" spans="1:32" ht="13" x14ac:dyDescent="0.25">
      <c r="A179" s="25" t="s">
        <v>9</v>
      </c>
      <c r="B179" s="19" t="e">
        <f ca="1">GetNameRange(B181)</f>
        <v>#NAME?</v>
      </c>
      <c r="C179" s="35"/>
      <c r="D179" s="35"/>
      <c r="E179" s="35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</row>
    <row r="180" spans="1:32" ht="13" x14ac:dyDescent="0.25">
      <c r="A180" s="38" t="s">
        <v>103</v>
      </c>
      <c r="B180" s="30" t="s">
        <v>110</v>
      </c>
      <c r="C180" s="149" t="s">
        <v>79</v>
      </c>
      <c r="D180" s="149" t="s">
        <v>79</v>
      </c>
      <c r="E180" s="149" t="s">
        <v>79</v>
      </c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</row>
    <row r="181" spans="1:32" ht="13" x14ac:dyDescent="0.25">
      <c r="B181" s="30" t="s">
        <v>109</v>
      </c>
      <c r="C181" s="50">
        <v>1</v>
      </c>
      <c r="D181" s="50">
        <v>1</v>
      </c>
      <c r="E181" s="50">
        <v>1</v>
      </c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</row>
    <row r="182" spans="1:32" ht="13" x14ac:dyDescent="0.25">
      <c r="B182" s="30" t="s">
        <v>101</v>
      </c>
      <c r="C182" s="50">
        <v>1</v>
      </c>
      <c r="D182" s="50">
        <v>5</v>
      </c>
      <c r="E182" s="50">
        <v>10</v>
      </c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</row>
    <row r="183" spans="1:32" ht="13.5" thickBot="1" x14ac:dyDescent="0.3">
      <c r="B183" s="150" t="s">
        <v>171</v>
      </c>
      <c r="C183" s="151"/>
      <c r="D183" s="151"/>
      <c r="E183" s="151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</row>
    <row r="184" spans="1:32" x14ac:dyDescent="0.25">
      <c r="A184" s="40">
        <v>0</v>
      </c>
      <c r="B184" s="152" t="s">
        <v>167</v>
      </c>
      <c r="C184" s="41">
        <v>0</v>
      </c>
      <c r="D184" s="41">
        <v>0</v>
      </c>
      <c r="E184" s="41">
        <v>0</v>
      </c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</row>
    <row r="185" spans="1:32" x14ac:dyDescent="0.25">
      <c r="A185" s="40">
        <v>1</v>
      </c>
      <c r="B185" s="152" t="s">
        <v>168</v>
      </c>
      <c r="C185" s="41">
        <v>1</v>
      </c>
      <c r="D185" s="41">
        <v>1</v>
      </c>
      <c r="E185" s="41">
        <v>1</v>
      </c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</row>
    <row r="186" spans="1:32" x14ac:dyDescent="0.25"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</row>
    <row r="187" spans="1:32" ht="13" x14ac:dyDescent="0.25">
      <c r="A187" s="25" t="s">
        <v>9</v>
      </c>
      <c r="B187" s="19" t="e">
        <f ca="1">GetNameRange(B189)</f>
        <v>#NAME?</v>
      </c>
    </row>
    <row r="188" spans="1:32" ht="13" x14ac:dyDescent="0.25">
      <c r="A188" s="38" t="s">
        <v>103</v>
      </c>
      <c r="B188" s="77"/>
      <c r="C188" s="78" t="s">
        <v>0</v>
      </c>
      <c r="D188" s="79" t="s">
        <v>60</v>
      </c>
      <c r="E188" s="79" t="s">
        <v>61</v>
      </c>
      <c r="F188" s="79" t="s">
        <v>62</v>
      </c>
      <c r="G188" s="79" t="s">
        <v>63</v>
      </c>
      <c r="H188" s="79" t="s">
        <v>64</v>
      </c>
      <c r="I188" s="80" t="s">
        <v>65</v>
      </c>
    </row>
    <row r="189" spans="1:32" ht="13" x14ac:dyDescent="0.25">
      <c r="B189" s="81"/>
      <c r="C189" s="30" t="s">
        <v>108</v>
      </c>
      <c r="D189" s="51" t="s">
        <v>84</v>
      </c>
      <c r="E189" s="51" t="s">
        <v>84</v>
      </c>
      <c r="F189" s="51" t="s">
        <v>84</v>
      </c>
      <c r="G189" s="51" t="s">
        <v>84</v>
      </c>
      <c r="H189" s="51" t="s">
        <v>84</v>
      </c>
      <c r="I189" s="82" t="s">
        <v>84</v>
      </c>
    </row>
    <row r="190" spans="1:32" ht="13" x14ac:dyDescent="0.25">
      <c r="B190" s="83" t="s">
        <v>99</v>
      </c>
      <c r="C190" s="49" t="s">
        <v>118</v>
      </c>
      <c r="D190" s="51"/>
      <c r="E190" s="51"/>
      <c r="F190" s="51"/>
      <c r="G190" s="51"/>
      <c r="H190" s="51"/>
      <c r="I190" s="82"/>
    </row>
    <row r="191" spans="1:32" x14ac:dyDescent="0.25">
      <c r="B191" s="84">
        <v>1</v>
      </c>
      <c r="C191" s="31">
        <v>1</v>
      </c>
      <c r="D191" s="23">
        <v>1</v>
      </c>
      <c r="E191" s="23">
        <v>1</v>
      </c>
      <c r="F191" s="88">
        <v>0.05</v>
      </c>
      <c r="G191" s="88">
        <v>9.5999999999999992E-3</v>
      </c>
      <c r="H191" s="88">
        <v>0.01</v>
      </c>
      <c r="I191" s="89">
        <v>0.2</v>
      </c>
    </row>
    <row r="192" spans="1:32" x14ac:dyDescent="0.25">
      <c r="B192" s="84">
        <v>1</v>
      </c>
      <c r="C192" s="31">
        <v>2</v>
      </c>
      <c r="D192" s="23">
        <v>1</v>
      </c>
      <c r="E192" s="23">
        <v>1</v>
      </c>
      <c r="F192" s="88">
        <v>0.95</v>
      </c>
      <c r="G192" s="88">
        <v>3.5400000000000001E-2</v>
      </c>
      <c r="H192" s="88">
        <v>0.01</v>
      </c>
      <c r="I192" s="89">
        <v>0.2</v>
      </c>
    </row>
    <row r="193" spans="1:9" x14ac:dyDescent="0.25">
      <c r="B193" s="84">
        <v>1</v>
      </c>
      <c r="C193" s="31">
        <v>3</v>
      </c>
      <c r="D193" s="23">
        <v>20</v>
      </c>
      <c r="E193" s="23">
        <v>1</v>
      </c>
      <c r="F193" s="88">
        <v>0.05</v>
      </c>
      <c r="G193" s="88">
        <v>3.6499999999999998E-2</v>
      </c>
      <c r="H193" s="88">
        <v>0.01</v>
      </c>
      <c r="I193" s="89">
        <v>0.2</v>
      </c>
    </row>
    <row r="194" spans="1:9" x14ac:dyDescent="0.25">
      <c r="B194" s="84">
        <v>1</v>
      </c>
      <c r="C194" s="31">
        <v>4</v>
      </c>
      <c r="D194" s="23">
        <v>20</v>
      </c>
      <c r="E194" s="23">
        <v>1</v>
      </c>
      <c r="F194" s="88">
        <v>0.95</v>
      </c>
      <c r="G194" s="88">
        <v>5.11E-2</v>
      </c>
      <c r="H194" s="88">
        <v>0.01</v>
      </c>
      <c r="I194" s="89">
        <v>0.2</v>
      </c>
    </row>
    <row r="195" spans="1:9" x14ac:dyDescent="0.25">
      <c r="B195" s="84">
        <v>1</v>
      </c>
      <c r="C195" s="31">
        <v>5</v>
      </c>
      <c r="D195" s="23">
        <v>1</v>
      </c>
      <c r="E195" s="23">
        <v>5</v>
      </c>
      <c r="F195" s="88">
        <v>0.05</v>
      </c>
      <c r="G195" s="88">
        <v>1.1900000000000001E-2</v>
      </c>
      <c r="H195" s="88">
        <v>5.0000000000000001E-3</v>
      </c>
      <c r="I195" s="89">
        <v>0.1</v>
      </c>
    </row>
    <row r="196" spans="1:9" x14ac:dyDescent="0.25">
      <c r="B196" s="84">
        <v>1</v>
      </c>
      <c r="C196" s="31">
        <v>6</v>
      </c>
      <c r="D196" s="23">
        <v>1</v>
      </c>
      <c r="E196" s="23">
        <v>5</v>
      </c>
      <c r="F196" s="88">
        <v>0.95</v>
      </c>
      <c r="G196" s="88">
        <v>5.8299999999999998E-2</v>
      </c>
      <c r="H196" s="88">
        <v>5.0000000000000001E-3</v>
      </c>
      <c r="I196" s="89">
        <v>0.1</v>
      </c>
    </row>
    <row r="197" spans="1:9" x14ac:dyDescent="0.25">
      <c r="B197" s="84">
        <v>1</v>
      </c>
      <c r="C197" s="31">
        <v>7</v>
      </c>
      <c r="D197" s="23">
        <v>20</v>
      </c>
      <c r="E197" s="23">
        <v>5</v>
      </c>
      <c r="F197" s="88">
        <v>0.05</v>
      </c>
      <c r="G197" s="88">
        <v>2.92E-2</v>
      </c>
      <c r="H197" s="88">
        <v>5.0000000000000001E-3</v>
      </c>
      <c r="I197" s="89">
        <v>0.1</v>
      </c>
    </row>
    <row r="198" spans="1:9" x14ac:dyDescent="0.25">
      <c r="B198" s="84">
        <v>1</v>
      </c>
      <c r="C198" s="31">
        <v>8</v>
      </c>
      <c r="D198" s="23">
        <v>20</v>
      </c>
      <c r="E198" s="23">
        <v>5</v>
      </c>
      <c r="F198" s="88">
        <v>0.95</v>
      </c>
      <c r="G198" s="88">
        <v>6.3100000000000003E-2</v>
      </c>
      <c r="H198" s="88">
        <v>5.0000000000000001E-3</v>
      </c>
      <c r="I198" s="89">
        <v>0.1</v>
      </c>
    </row>
    <row r="199" spans="1:9" x14ac:dyDescent="0.25">
      <c r="B199" s="84">
        <v>1</v>
      </c>
      <c r="C199" s="31">
        <v>9</v>
      </c>
      <c r="D199" s="23">
        <v>1</v>
      </c>
      <c r="E199" s="23">
        <v>10</v>
      </c>
      <c r="F199" s="88">
        <v>0.05</v>
      </c>
      <c r="G199" s="88">
        <v>1.46E-2</v>
      </c>
      <c r="H199" s="88">
        <v>5.0000000000000001E-3</v>
      </c>
      <c r="I199" s="89">
        <v>0.1</v>
      </c>
    </row>
    <row r="200" spans="1:9" x14ac:dyDescent="0.25">
      <c r="B200" s="84">
        <v>1</v>
      </c>
      <c r="C200" s="31">
        <v>10</v>
      </c>
      <c r="D200" s="23">
        <v>1</v>
      </c>
      <c r="E200" s="23">
        <v>10</v>
      </c>
      <c r="F200" s="88">
        <v>0.95</v>
      </c>
      <c r="G200" s="88">
        <v>7.3200000000000001E-2</v>
      </c>
      <c r="H200" s="88">
        <v>5.0000000000000001E-3</v>
      </c>
      <c r="I200" s="89">
        <v>0.1</v>
      </c>
    </row>
    <row r="201" spans="1:9" x14ac:dyDescent="0.25">
      <c r="B201" s="84">
        <v>1</v>
      </c>
      <c r="C201" s="31">
        <v>11</v>
      </c>
      <c r="D201" s="23">
        <v>20</v>
      </c>
      <c r="E201" s="23">
        <v>10</v>
      </c>
      <c r="F201" s="88">
        <v>0.05</v>
      </c>
      <c r="G201" s="88">
        <v>2.8199999999999999E-2</v>
      </c>
      <c r="H201" s="88">
        <v>5.0000000000000001E-3</v>
      </c>
      <c r="I201" s="89">
        <v>0.1</v>
      </c>
    </row>
    <row r="202" spans="1:9" x14ac:dyDescent="0.25">
      <c r="B202" s="84">
        <v>1</v>
      </c>
      <c r="C202" s="31">
        <v>12</v>
      </c>
      <c r="D202" s="23">
        <v>20</v>
      </c>
      <c r="E202" s="23">
        <v>10</v>
      </c>
      <c r="F202" s="88">
        <v>0.95</v>
      </c>
      <c r="G202" s="88">
        <v>7.5300000000000006E-2</v>
      </c>
      <c r="H202" s="88">
        <v>5.0000000000000001E-3</v>
      </c>
      <c r="I202" s="89">
        <v>0.1</v>
      </c>
    </row>
    <row r="203" spans="1:9" x14ac:dyDescent="0.25">
      <c r="B203" s="84">
        <v>1</v>
      </c>
      <c r="C203" s="31">
        <v>13</v>
      </c>
      <c r="D203" s="23">
        <v>1</v>
      </c>
      <c r="E203" s="23">
        <v>30</v>
      </c>
      <c r="F203" s="88">
        <v>0.05</v>
      </c>
      <c r="G203" s="88">
        <v>1.67E-2</v>
      </c>
      <c r="H203" s="88">
        <v>5.0000000000000001E-3</v>
      </c>
      <c r="I203" s="89">
        <v>0.1</v>
      </c>
    </row>
    <row r="204" spans="1:9" x14ac:dyDescent="0.25">
      <c r="B204" s="84">
        <v>1</v>
      </c>
      <c r="C204" s="31">
        <v>14</v>
      </c>
      <c r="D204" s="23">
        <v>1</v>
      </c>
      <c r="E204" s="23">
        <v>30</v>
      </c>
      <c r="F204" s="88">
        <v>0.95</v>
      </c>
      <c r="G204" s="88">
        <v>9.6299999999999997E-2</v>
      </c>
      <c r="H204" s="88">
        <v>5.0000000000000001E-3</v>
      </c>
      <c r="I204" s="89">
        <v>0.1</v>
      </c>
    </row>
    <row r="205" spans="1:9" x14ac:dyDescent="0.25">
      <c r="B205" s="84">
        <v>1</v>
      </c>
      <c r="C205" s="31">
        <v>15</v>
      </c>
      <c r="D205" s="23">
        <v>20</v>
      </c>
      <c r="E205" s="23">
        <v>30</v>
      </c>
      <c r="F205" s="88">
        <v>0.05</v>
      </c>
      <c r="G205" s="88">
        <v>3.0200000000000001E-2</v>
      </c>
      <c r="H205" s="88">
        <v>5.0000000000000001E-3</v>
      </c>
      <c r="I205" s="89">
        <v>0.1</v>
      </c>
    </row>
    <row r="206" spans="1:9" x14ac:dyDescent="0.25">
      <c r="B206" s="85">
        <v>1</v>
      </c>
      <c r="C206" s="86">
        <v>16</v>
      </c>
      <c r="D206" s="87">
        <v>20</v>
      </c>
      <c r="E206" s="87">
        <v>30</v>
      </c>
      <c r="F206" s="90">
        <v>0.95</v>
      </c>
      <c r="G206" s="90">
        <v>9.8599999999999993E-2</v>
      </c>
      <c r="H206" s="90">
        <v>5.0000000000000001E-3</v>
      </c>
      <c r="I206" s="91">
        <v>0.1</v>
      </c>
    </row>
    <row r="208" spans="1:9" ht="13" x14ac:dyDescent="0.25">
      <c r="A208" s="25" t="s">
        <v>9</v>
      </c>
      <c r="B208" s="19" t="e">
        <f ca="1">GetNameRange(B209)</f>
        <v>#NAME?</v>
      </c>
      <c r="C208" s="45"/>
      <c r="D208" s="45"/>
      <c r="E208" s="45"/>
      <c r="F208" s="45"/>
      <c r="G208" s="45"/>
    </row>
    <row r="209" spans="1:7" ht="13" x14ac:dyDescent="0.25">
      <c r="A209" s="38" t="s">
        <v>103</v>
      </c>
      <c r="B209" s="77"/>
      <c r="C209" s="78" t="s">
        <v>0</v>
      </c>
      <c r="D209" s="79" t="s">
        <v>67</v>
      </c>
      <c r="E209" s="79" t="s">
        <v>68</v>
      </c>
      <c r="F209" s="79" t="s">
        <v>69</v>
      </c>
      <c r="G209" s="80" t="s">
        <v>70</v>
      </c>
    </row>
    <row r="210" spans="1:7" ht="13" x14ac:dyDescent="0.25">
      <c r="B210" s="81"/>
      <c r="C210" s="30" t="s">
        <v>108</v>
      </c>
      <c r="D210" s="51" t="s">
        <v>84</v>
      </c>
      <c r="E210" s="51" t="s">
        <v>84</v>
      </c>
      <c r="F210" s="51" t="s">
        <v>84</v>
      </c>
      <c r="G210" s="82" t="s">
        <v>84</v>
      </c>
    </row>
    <row r="211" spans="1:7" ht="13" x14ac:dyDescent="0.25">
      <c r="B211" s="83" t="s">
        <v>99</v>
      </c>
      <c r="C211" s="49" t="s">
        <v>117</v>
      </c>
      <c r="D211" s="51"/>
      <c r="E211" s="51"/>
      <c r="F211" s="51"/>
      <c r="G211" s="82"/>
    </row>
    <row r="212" spans="1:7" x14ac:dyDescent="0.25">
      <c r="B212" s="84">
        <v>1</v>
      </c>
      <c r="C212" s="31">
        <v>1</v>
      </c>
      <c r="D212" s="23">
        <v>30</v>
      </c>
      <c r="E212" s="41">
        <v>0.05</v>
      </c>
      <c r="F212" s="41">
        <v>-5.0000000000000001E-3</v>
      </c>
      <c r="G212" s="69">
        <v>5.0000000000000001E-3</v>
      </c>
    </row>
    <row r="213" spans="1:7" x14ac:dyDescent="0.25">
      <c r="B213" s="85">
        <v>1</v>
      </c>
      <c r="C213" s="86">
        <v>2</v>
      </c>
      <c r="D213" s="87">
        <v>30</v>
      </c>
      <c r="E213" s="65">
        <v>0.95</v>
      </c>
      <c r="F213" s="65">
        <v>2.6100000000000002E-2</v>
      </c>
      <c r="G213" s="73">
        <v>5.0000000000000001E-3</v>
      </c>
    </row>
    <row r="215" spans="1:7" ht="13" x14ac:dyDescent="0.25">
      <c r="A215" s="25" t="s">
        <v>9</v>
      </c>
      <c r="B215" s="19" t="e">
        <f ca="1">GetNameRange(B216)</f>
        <v>#NAME?</v>
      </c>
    </row>
    <row r="216" spans="1:7" ht="13" x14ac:dyDescent="0.25">
      <c r="A216" s="38" t="s">
        <v>103</v>
      </c>
      <c r="B216" s="77"/>
      <c r="C216" s="78" t="s">
        <v>0</v>
      </c>
      <c r="D216" s="79" t="s">
        <v>72</v>
      </c>
      <c r="E216" s="79" t="s">
        <v>73</v>
      </c>
      <c r="F216" s="80" t="s">
        <v>74</v>
      </c>
    </row>
    <row r="217" spans="1:7" ht="13" x14ac:dyDescent="0.25">
      <c r="B217" s="81"/>
      <c r="C217" s="30" t="s">
        <v>110</v>
      </c>
      <c r="D217" s="51" t="s">
        <v>79</v>
      </c>
      <c r="E217" s="51" t="s">
        <v>79</v>
      </c>
      <c r="F217" s="82" t="s">
        <v>79</v>
      </c>
    </row>
    <row r="218" spans="1:7" ht="13" x14ac:dyDescent="0.25">
      <c r="B218" s="83" t="s">
        <v>99</v>
      </c>
      <c r="C218" s="49" t="s">
        <v>118</v>
      </c>
      <c r="D218" s="51"/>
      <c r="E218" s="51"/>
      <c r="F218" s="82"/>
    </row>
    <row r="219" spans="1:7" x14ac:dyDescent="0.25">
      <c r="B219" s="84">
        <v>1</v>
      </c>
      <c r="C219" s="31">
        <v>1</v>
      </c>
      <c r="D219" s="23">
        <v>1</v>
      </c>
      <c r="E219" s="41">
        <v>2.5000000000000001E-2</v>
      </c>
      <c r="F219" s="69">
        <v>7.8E-2</v>
      </c>
    </row>
    <row r="220" spans="1:7" x14ac:dyDescent="0.25">
      <c r="B220" s="84">
        <v>1</v>
      </c>
      <c r="C220" s="31">
        <v>2</v>
      </c>
      <c r="D220" s="23">
        <v>1</v>
      </c>
      <c r="E220" s="41">
        <v>0.05</v>
      </c>
      <c r="F220" s="69">
        <v>8.3999999999999991E-2</v>
      </c>
    </row>
    <row r="221" spans="1:7" x14ac:dyDescent="0.25">
      <c r="B221" s="84">
        <v>1</v>
      </c>
      <c r="C221" s="31">
        <v>3</v>
      </c>
      <c r="D221" s="23">
        <v>1</v>
      </c>
      <c r="E221" s="41">
        <v>0.1</v>
      </c>
      <c r="F221" s="69">
        <v>0.09</v>
      </c>
    </row>
    <row r="222" spans="1:7" x14ac:dyDescent="0.25">
      <c r="B222" s="84">
        <v>1</v>
      </c>
      <c r="C222" s="31">
        <v>4</v>
      </c>
      <c r="D222" s="23">
        <v>1</v>
      </c>
      <c r="E222" s="41">
        <v>0.9</v>
      </c>
      <c r="F222" s="69">
        <v>0.128</v>
      </c>
    </row>
    <row r="223" spans="1:7" x14ac:dyDescent="0.25">
      <c r="B223" s="84">
        <v>1</v>
      </c>
      <c r="C223" s="31">
        <v>5</v>
      </c>
      <c r="D223" s="23">
        <v>1</v>
      </c>
      <c r="E223" s="41">
        <v>0.95</v>
      </c>
      <c r="F223" s="69">
        <v>0.13500000000000001</v>
      </c>
    </row>
    <row r="224" spans="1:7" x14ac:dyDescent="0.25">
      <c r="B224" s="84">
        <v>1</v>
      </c>
      <c r="C224" s="31">
        <v>6</v>
      </c>
      <c r="D224" s="23">
        <v>1</v>
      </c>
      <c r="E224" s="41">
        <v>0.97499999999999998</v>
      </c>
      <c r="F224" s="69">
        <v>0.14199999999999999</v>
      </c>
    </row>
    <row r="225" spans="2:6" x14ac:dyDescent="0.25">
      <c r="B225" s="84">
        <v>1</v>
      </c>
      <c r="C225" s="31">
        <v>7</v>
      </c>
      <c r="D225" s="23">
        <v>5</v>
      </c>
      <c r="E225" s="41">
        <v>2.5000000000000001E-2</v>
      </c>
      <c r="F225" s="69">
        <v>7.1999999999999995E-2</v>
      </c>
    </row>
    <row r="226" spans="2:6" x14ac:dyDescent="0.25">
      <c r="B226" s="84">
        <v>1</v>
      </c>
      <c r="C226" s="31">
        <v>8</v>
      </c>
      <c r="D226" s="23">
        <v>5</v>
      </c>
      <c r="E226" s="41">
        <v>0.05</v>
      </c>
      <c r="F226" s="69">
        <v>8.1000000000000003E-2</v>
      </c>
    </row>
    <row r="227" spans="2:6" x14ac:dyDescent="0.25">
      <c r="B227" s="84">
        <v>1</v>
      </c>
      <c r="C227" s="31">
        <v>9</v>
      </c>
      <c r="D227" s="23">
        <v>5</v>
      </c>
      <c r="E227" s="41">
        <v>0.1</v>
      </c>
      <c r="F227" s="69">
        <v>9.4E-2</v>
      </c>
    </row>
    <row r="228" spans="2:6" x14ac:dyDescent="0.25">
      <c r="B228" s="84">
        <v>1</v>
      </c>
      <c r="C228" s="31">
        <v>10</v>
      </c>
      <c r="D228" s="23">
        <v>5</v>
      </c>
      <c r="E228" s="41">
        <v>0.9</v>
      </c>
      <c r="F228" s="69">
        <v>0.217</v>
      </c>
    </row>
    <row r="229" spans="2:6" x14ac:dyDescent="0.25">
      <c r="B229" s="84">
        <v>1</v>
      </c>
      <c r="C229" s="31">
        <v>11</v>
      </c>
      <c r="D229" s="23">
        <v>5</v>
      </c>
      <c r="E229" s="41">
        <v>0.95</v>
      </c>
      <c r="F229" s="69">
        <v>0.24500000000000002</v>
      </c>
    </row>
    <row r="230" spans="2:6" x14ac:dyDescent="0.25">
      <c r="B230" s="84">
        <v>1</v>
      </c>
      <c r="C230" s="31">
        <v>12</v>
      </c>
      <c r="D230" s="23">
        <v>5</v>
      </c>
      <c r="E230" s="41">
        <v>0.97499999999999998</v>
      </c>
      <c r="F230" s="69">
        <v>0.27200000000000002</v>
      </c>
    </row>
    <row r="231" spans="2:6" x14ac:dyDescent="0.25">
      <c r="B231" s="84">
        <v>1</v>
      </c>
      <c r="C231" s="31">
        <v>13</v>
      </c>
      <c r="D231" s="23">
        <v>10</v>
      </c>
      <c r="E231" s="41">
        <v>2.5000000000000001E-2</v>
      </c>
      <c r="F231" s="69">
        <v>7.9000000000000001E-2</v>
      </c>
    </row>
    <row r="232" spans="2:6" x14ac:dyDescent="0.25">
      <c r="B232" s="84">
        <v>1</v>
      </c>
      <c r="C232" s="31">
        <v>14</v>
      </c>
      <c r="D232" s="23">
        <v>10</v>
      </c>
      <c r="E232" s="41">
        <v>0.05</v>
      </c>
      <c r="F232" s="69">
        <v>9.4E-2</v>
      </c>
    </row>
    <row r="233" spans="2:6" x14ac:dyDescent="0.25">
      <c r="B233" s="84">
        <v>1</v>
      </c>
      <c r="C233" s="31">
        <v>15</v>
      </c>
      <c r="D233" s="23">
        <v>10</v>
      </c>
      <c r="E233" s="41">
        <v>0.1</v>
      </c>
      <c r="F233" s="69">
        <v>0.11599999999999999</v>
      </c>
    </row>
    <row r="234" spans="2:6" x14ac:dyDescent="0.25">
      <c r="B234" s="84">
        <v>1</v>
      </c>
      <c r="C234" s="31">
        <v>16</v>
      </c>
      <c r="D234" s="23">
        <v>10</v>
      </c>
      <c r="E234" s="41">
        <v>0.9</v>
      </c>
      <c r="F234" s="69">
        <v>0.36299999999999999</v>
      </c>
    </row>
    <row r="235" spans="2:6" x14ac:dyDescent="0.25">
      <c r="B235" s="84">
        <v>1</v>
      </c>
      <c r="C235" s="31">
        <v>17</v>
      </c>
      <c r="D235" s="23">
        <v>10</v>
      </c>
      <c r="E235" s="41">
        <v>0.95</v>
      </c>
      <c r="F235" s="69">
        <v>0.43600000000000005</v>
      </c>
    </row>
    <row r="236" spans="2:6" x14ac:dyDescent="0.25">
      <c r="B236" s="84">
        <v>1</v>
      </c>
      <c r="C236" s="31">
        <v>18</v>
      </c>
      <c r="D236" s="23">
        <v>10</v>
      </c>
      <c r="E236" s="41">
        <v>0.97499999999999998</v>
      </c>
      <c r="F236" s="69">
        <v>0.51200000000000001</v>
      </c>
    </row>
    <row r="237" spans="2:6" x14ac:dyDescent="0.25">
      <c r="B237" s="84">
        <v>1</v>
      </c>
      <c r="C237" s="31">
        <v>19</v>
      </c>
      <c r="D237" s="23">
        <v>20</v>
      </c>
      <c r="E237" s="41">
        <v>0.05</v>
      </c>
      <c r="F237" s="69">
        <v>0.151</v>
      </c>
    </row>
    <row r="238" spans="2:6" x14ac:dyDescent="0.25">
      <c r="B238" s="84">
        <v>1</v>
      </c>
      <c r="C238" s="31">
        <v>20</v>
      </c>
      <c r="D238" s="23">
        <v>20</v>
      </c>
      <c r="E238" s="41">
        <v>0.1</v>
      </c>
      <c r="F238" s="69">
        <v>0.21000000000000002</v>
      </c>
    </row>
    <row r="239" spans="2:6" x14ac:dyDescent="0.25">
      <c r="B239" s="84">
        <v>1</v>
      </c>
      <c r="C239" s="31">
        <v>21</v>
      </c>
      <c r="D239" s="23">
        <v>20</v>
      </c>
      <c r="E239" s="41">
        <v>0.9</v>
      </c>
      <c r="F239" s="69">
        <v>0.90199999999999991</v>
      </c>
    </row>
    <row r="240" spans="2:6" x14ac:dyDescent="0.25">
      <c r="B240" s="85">
        <v>1</v>
      </c>
      <c r="C240" s="86">
        <v>22</v>
      </c>
      <c r="D240" s="87">
        <v>20</v>
      </c>
      <c r="E240" s="65">
        <v>0.95</v>
      </c>
      <c r="F240" s="73">
        <v>1.17</v>
      </c>
    </row>
  </sheetData>
  <conditionalFormatting sqref="C81 C47 C88 C93 C32 C37:C42 C9:C10 C21:C29 C34 C12:C17">
    <cfRule type="cellIs" dxfId="50" priority="151" operator="notEqual">
      <formula>$A9</formula>
    </cfRule>
  </conditionalFormatting>
  <conditionalFormatting sqref="C30 C80">
    <cfRule type="cellIs" dxfId="49" priority="156" operator="notEqual">
      <formula>$B30</formula>
    </cfRule>
  </conditionalFormatting>
  <conditionalFormatting sqref="C35:C36">
    <cfRule type="cellIs" dxfId="48" priority="143" operator="notEqual">
      <formula>$A35</formula>
    </cfRule>
  </conditionalFormatting>
  <conditionalFormatting sqref="C43:C46">
    <cfRule type="cellIs" dxfId="47" priority="141" operator="notEqual">
      <formula>$A43</formula>
    </cfRule>
  </conditionalFormatting>
  <conditionalFormatting sqref="C87">
    <cfRule type="cellIs" dxfId="46" priority="137" operator="notEqual">
      <formula>$A87</formula>
    </cfRule>
  </conditionalFormatting>
  <conditionalFormatting sqref="C92">
    <cfRule type="cellIs" dxfId="45" priority="135" operator="notEqual">
      <formula>$A92</formula>
    </cfRule>
  </conditionalFormatting>
  <conditionalFormatting sqref="C96">
    <cfRule type="cellIs" dxfId="44" priority="133" operator="notEqual">
      <formula>$A96</formula>
    </cfRule>
  </conditionalFormatting>
  <conditionalFormatting sqref="C31">
    <cfRule type="cellIs" dxfId="43" priority="86" operator="notEqual">
      <formula>$A31</formula>
    </cfRule>
  </conditionalFormatting>
  <conditionalFormatting sqref="C82:C86">
    <cfRule type="cellIs" dxfId="42" priority="83" operator="notEqual">
      <formula>$A82</formula>
    </cfRule>
  </conditionalFormatting>
  <conditionalFormatting sqref="C89:C91">
    <cfRule type="cellIs" dxfId="41" priority="80" operator="notEqual">
      <formula>$A89</formula>
    </cfRule>
  </conditionalFormatting>
  <conditionalFormatting sqref="C94">
    <cfRule type="cellIs" dxfId="40" priority="77" operator="notEqual">
      <formula>$A94</formula>
    </cfRule>
  </conditionalFormatting>
  <conditionalFormatting sqref="C95">
    <cfRule type="cellIs" dxfId="39" priority="76" operator="notEqual">
      <formula>$A95</formula>
    </cfRule>
  </conditionalFormatting>
  <conditionalFormatting sqref="C8">
    <cfRule type="cellIs" dxfId="38" priority="38" operator="notEqual">
      <formula>$A8</formula>
    </cfRule>
  </conditionalFormatting>
  <conditionalFormatting sqref="C18:C19">
    <cfRule type="cellIs" dxfId="37" priority="37" operator="notEqual">
      <formula>$A18</formula>
    </cfRule>
  </conditionalFormatting>
  <conditionalFormatting sqref="C20">
    <cfRule type="cellIs" dxfId="36" priority="36" operator="notEqual">
      <formula>$A20</formula>
    </cfRule>
  </conditionalFormatting>
  <conditionalFormatting sqref="C33">
    <cfRule type="cellIs" dxfId="35" priority="35" operator="notEqual">
      <formula>$A33</formula>
    </cfRule>
  </conditionalFormatting>
  <conditionalFormatting sqref="C79 C72:C74 C59:C66">
    <cfRule type="cellIs" dxfId="34" priority="34" operator="notEqual">
      <formula>$A59</formula>
    </cfRule>
  </conditionalFormatting>
  <conditionalFormatting sqref="C48">
    <cfRule type="cellIs" dxfId="33" priority="33" operator="notEqual">
      <formula>$A48</formula>
    </cfRule>
  </conditionalFormatting>
  <conditionalFormatting sqref="C69">
    <cfRule type="cellIs" dxfId="32" priority="32" operator="notEqual">
      <formula>$A69</formula>
    </cfRule>
  </conditionalFormatting>
  <conditionalFormatting sqref="C71">
    <cfRule type="cellIs" dxfId="31" priority="31" operator="notEqual">
      <formula>$A71</formula>
    </cfRule>
  </conditionalFormatting>
  <conditionalFormatting sqref="C77">
    <cfRule type="cellIs" dxfId="30" priority="30" operator="notEqual">
      <formula>$A77</formula>
    </cfRule>
  </conditionalFormatting>
  <conditionalFormatting sqref="C67">
    <cfRule type="cellIs" dxfId="29" priority="29" operator="notEqual">
      <formula>$A67</formula>
    </cfRule>
  </conditionalFormatting>
  <conditionalFormatting sqref="C70">
    <cfRule type="cellIs" dxfId="28" priority="28" operator="notEqual">
      <formula>$A70</formula>
    </cfRule>
  </conditionalFormatting>
  <conditionalFormatting sqref="C78">
    <cfRule type="cellIs" dxfId="27" priority="27" operator="notEqual">
      <formula>$A78</formula>
    </cfRule>
  </conditionalFormatting>
  <conditionalFormatting sqref="C68">
    <cfRule type="cellIs" dxfId="26" priority="26" operator="notEqual">
      <formula>$A68</formula>
    </cfRule>
  </conditionalFormatting>
  <conditionalFormatting sqref="C75">
    <cfRule type="cellIs" dxfId="25" priority="25" operator="notEqual">
      <formula>$A75</formula>
    </cfRule>
  </conditionalFormatting>
  <conditionalFormatting sqref="C76">
    <cfRule type="cellIs" dxfId="24" priority="24" operator="notEqual">
      <formula>$A76</formula>
    </cfRule>
  </conditionalFormatting>
  <conditionalFormatting sqref="C51:C56 C58">
    <cfRule type="cellIs" dxfId="23" priority="23" operator="notEqual">
      <formula>$A51</formula>
    </cfRule>
  </conditionalFormatting>
  <conditionalFormatting sqref="C50">
    <cfRule type="cellIs" dxfId="22" priority="22" operator="notEqual">
      <formula>$A50</formula>
    </cfRule>
  </conditionalFormatting>
  <conditionalFormatting sqref="C57">
    <cfRule type="cellIs" dxfId="21" priority="21" operator="notEqual">
      <formula>$A57</formula>
    </cfRule>
  </conditionalFormatting>
  <conditionalFormatting sqref="D185:E185">
    <cfRule type="cellIs" dxfId="20" priority="3" operator="notEqual">
      <formula>$A185</formula>
    </cfRule>
  </conditionalFormatting>
  <conditionalFormatting sqref="C154">
    <cfRule type="cellIs" dxfId="19" priority="20" operator="notEqual">
      <formula>$A154</formula>
    </cfRule>
  </conditionalFormatting>
  <conditionalFormatting sqref="C169">
    <cfRule type="cellIs" dxfId="18" priority="18" operator="notEqual">
      <formula>$A169</formula>
    </cfRule>
  </conditionalFormatting>
  <conditionalFormatting sqref="D162:F162">
    <cfRule type="cellIs" dxfId="17" priority="19" operator="notEqual">
      <formula>$A162</formula>
    </cfRule>
  </conditionalFormatting>
  <conditionalFormatting sqref="D169:F169">
    <cfRule type="cellIs" dxfId="16" priority="17" operator="notEqual">
      <formula>$A169</formula>
    </cfRule>
  </conditionalFormatting>
  <conditionalFormatting sqref="G169">
    <cfRule type="cellIs" dxfId="15" priority="16" operator="notEqual">
      <formula>$A169</formula>
    </cfRule>
  </conditionalFormatting>
  <conditionalFormatting sqref="H169">
    <cfRule type="cellIs" dxfId="14" priority="15" operator="notEqual">
      <formula>$A169</formula>
    </cfRule>
  </conditionalFormatting>
  <conditionalFormatting sqref="I169">
    <cfRule type="cellIs" dxfId="13" priority="14" operator="notEqual">
      <formula>$A169</formula>
    </cfRule>
  </conditionalFormatting>
  <conditionalFormatting sqref="J169">
    <cfRule type="cellIs" dxfId="12" priority="13" operator="notEqual">
      <formula>$A169</formula>
    </cfRule>
  </conditionalFormatting>
  <conditionalFormatting sqref="C176">
    <cfRule type="cellIs" dxfId="11" priority="12" operator="notEqual">
      <formula>$A176</formula>
    </cfRule>
  </conditionalFormatting>
  <conditionalFormatting sqref="C177">
    <cfRule type="cellIs" dxfId="10" priority="11" operator="notEqual">
      <formula>$A177</formula>
    </cfRule>
  </conditionalFormatting>
  <conditionalFormatting sqref="C162:C163">
    <cfRule type="cellIs" dxfId="9" priority="10" operator="notEqual">
      <formula>$A162</formula>
    </cfRule>
  </conditionalFormatting>
  <conditionalFormatting sqref="D184:E184">
    <cfRule type="cellIs" dxfId="8" priority="9" operator="notEqual">
      <formula>$A184</formula>
    </cfRule>
  </conditionalFormatting>
  <conditionalFormatting sqref="C184:C185">
    <cfRule type="cellIs" dxfId="7" priority="8" operator="notEqual">
      <formula>$A184</formula>
    </cfRule>
  </conditionalFormatting>
  <conditionalFormatting sqref="D163:F163">
    <cfRule type="cellIs" dxfId="6" priority="7" operator="notEqual">
      <formula>$A163</formula>
    </cfRule>
  </conditionalFormatting>
  <conditionalFormatting sqref="C170:J170">
    <cfRule type="cellIs" dxfId="5" priority="6" operator="notEqual">
      <formula>$A170</formula>
    </cfRule>
  </conditionalFormatting>
  <conditionalFormatting sqref="C155">
    <cfRule type="cellIs" dxfId="4" priority="5" operator="notEqual">
      <formula>$A155</formula>
    </cfRule>
  </conditionalFormatting>
  <conditionalFormatting sqref="C175">
    <cfRule type="cellIs" dxfId="3" priority="4" operator="notEqual">
      <formula>$A175</formula>
    </cfRule>
  </conditionalFormatting>
  <conditionalFormatting sqref="C49">
    <cfRule type="cellIs" dxfId="2" priority="2" operator="notEqual">
      <formula>$A49</formula>
    </cfRule>
  </conditionalFormatting>
  <conditionalFormatting sqref="C11">
    <cfRule type="cellIs" dxfId="1" priority="1" operator="notEqual">
      <formula>$A11</formula>
    </cfRule>
  </conditionalFormatting>
  <dataValidations count="9">
    <dataValidation type="list" allowBlank="1" showInputMessage="1" showErrorMessage="1" sqref="A9 C9" xr:uid="{00000000-0002-0000-0300-000000000000}">
      <formula1>"Stochastic,Mean Reversion,Mean Reversion With Index Spread,Stochastic Exclusion Test"</formula1>
    </dataValidation>
    <dataValidation type="list" allowBlank="1" showInputMessage="1" showErrorMessage="1" sqref="C10 A10" xr:uid="{00000000-0002-0000-0300-000001000000}">
      <formula1>"Real World,Risk Neutral"</formula1>
    </dataValidation>
    <dataValidation type="list" allowBlank="1" showInputMessage="1" showErrorMessage="1" sqref="A14 C14" xr:uid="{00000000-0002-0000-0300-000002000000}">
      <formula1>"Monthly,Annual"</formula1>
    </dataValidation>
    <dataValidation type="list" allowBlank="1" showInputMessage="1" showErrorMessage="1" sqref="A28 A26 A16 C16 C28 C26 A18 C18 C155 C175" xr:uid="{00000000-0002-0000-0300-000003000000}">
      <formula1>"No,Yes"</formula1>
    </dataValidation>
    <dataValidation type="list" allowBlank="1" showInputMessage="1" showErrorMessage="1" sqref="C8" xr:uid="{00000000-0002-0000-0300-000004000000}">
      <formula1>"Normal Scenarios,Shocked Scenarios"</formula1>
    </dataValidation>
    <dataValidation type="list" allowBlank="1" showInputMessage="1" showErrorMessage="1" sqref="C20" xr:uid="{00000000-0002-0000-0300-000005000000}">
      <formula1>"Constant,Term Structure"</formula1>
    </dataValidation>
    <dataValidation type="list" allowBlank="1" showInputMessage="1" showErrorMessage="1" sqref="C154" xr:uid="{00000000-0002-0000-0300-000006000000}">
      <formula1>"Swaption Volatility,Bond Volatility"</formula1>
    </dataValidation>
    <dataValidation type="list" allowBlank="1" showInputMessage="1" showErrorMessage="1" sqref="C177" xr:uid="{00000000-0002-0000-0300-000007000000}">
      <formula1>"Call,Put"</formula1>
    </dataValidation>
    <dataValidation type="list" allowBlank="1" showInputMessage="1" showErrorMessage="1" sqref="A11 C11" xr:uid="{00000000-0002-0000-0300-000008000000}">
      <formula1>"Random Scenarios,Academy Selected Scenarios"</formula1>
    </dataValidation>
  </dataValidations>
  <hyperlinks>
    <hyperlink ref="A1" location="'Table of Contents'!A1" display="Go to TOC" xr:uid="{00000000-0004-0000-0300-000000000000}"/>
    <hyperlink ref="A98" location="'Table of Contents'!A1" display="Go to TOC" xr:uid="{00000000-0004-0000-0300-000001000000}"/>
    <hyperlink ref="A104" location="'Table of Contents'!A1" display="Go to TOC" xr:uid="{00000000-0004-0000-0300-000002000000}"/>
    <hyperlink ref="A110" location="'Table of Contents'!A1" display="Go to TOC" xr:uid="{00000000-0004-0000-0300-000003000000}"/>
    <hyperlink ref="A116" location="'Table of Contents'!A1" display="Go to TOC" xr:uid="{00000000-0004-0000-0300-000004000000}"/>
    <hyperlink ref="A123" location="'Table of Contents'!A1" display="Go to TOC" xr:uid="{00000000-0004-0000-0300-000005000000}"/>
    <hyperlink ref="A128" location="'Table of Contents'!A1" display="Go to TOC" xr:uid="{00000000-0004-0000-0300-000006000000}"/>
    <hyperlink ref="B35" location="EconDataYldCurveVol" display="econ_data_yld_curve_vol" xr:uid="{00000000-0004-0000-0300-000007000000}"/>
    <hyperlink ref="B37" location="EconDataIndexRateMRData" display="econ_data_index_rate_mr_inc_ret" xr:uid="{00000000-0004-0000-0300-000008000000}"/>
    <hyperlink ref="B34" location="EconDataYldCurveMRRates" display="econ_data_yld_curve_mr_rates" xr:uid="{00000000-0004-0000-0300-000009000000}"/>
    <hyperlink ref="B38" location="EconDataIndexRateMRData" display="econ_data_index_rate_mr_grwth" xr:uid="{00000000-0004-0000-0300-00000A000000}"/>
    <hyperlink ref="B39" location="EconDataIndexRateMRData" display="econ_data_index_rate_mr_term" xr:uid="{00000000-0004-0000-0300-00000B000000}"/>
    <hyperlink ref="B40" location="EconDataIndexRateMRData" display="econ_data_index_rate_mr_sprd" xr:uid="{00000000-0004-0000-0300-00000C000000}"/>
    <hyperlink ref="B43" location="EconDataIndexRateVol" display="econ_data_index_rate_vol" xr:uid="{00000000-0004-0000-0300-00000D000000}"/>
    <hyperlink ref="B45" location="EconDataMiscRates" display="econ_data_misc_rates" xr:uid="{00000000-0004-0000-0300-00000E000000}"/>
    <hyperlink ref="B46" location="EconDataCorrelation" display="econ_data_correlation" xr:uid="{00000000-0004-0000-0300-00000F000000}"/>
    <hyperlink ref="A187" location="'Table of Contents'!A1" display="Go to TOC" xr:uid="{00000000-0004-0000-0300-000010000000}"/>
    <hyperlink ref="A208" location="'Table of Contents'!A1" display="Go to TOC" xr:uid="{00000000-0004-0000-0300-000011000000}"/>
    <hyperlink ref="A215" location="'Table of Contents'!A1" display="Go to TOC" xr:uid="{00000000-0004-0000-0300-000012000000}"/>
    <hyperlink ref="B81" location="CalibYldCurveRates" display="calib_yld_curve_rates_rate_term" xr:uid="{00000000-0004-0000-0300-000013000000}"/>
    <hyperlink ref="B82" location="CalibYldCurveRates" display="calib_yld_curve_rates_tgt_horizon" xr:uid="{00000000-0004-0000-0300-000014000000}"/>
    <hyperlink ref="B83" location="CalibYldCurveRates" display="calib_yld_curve_rates_percentile" xr:uid="{00000000-0004-0000-0300-000015000000}"/>
    <hyperlink ref="B84" location="CalibYldCurveRates" display="calib_yld_curve_rates_percentile_tgt" xr:uid="{00000000-0004-0000-0300-000016000000}"/>
    <hyperlink ref="B85" location="CalibYldCurveRates" display="calib_yld_curve_rates_rate_adj_a" xr:uid="{00000000-0004-0000-0300-000017000000}"/>
    <hyperlink ref="B86" location="CalibYldCurveRates" display="calib_yld_curve_rates_rate_adj_b" xr:uid="{00000000-0004-0000-0300-000018000000}"/>
    <hyperlink ref="B88" location="CalibYldCurveSprds" display="calib_yld_curve_sprds_tgt_horizon" xr:uid="{00000000-0004-0000-0300-000019000000}"/>
    <hyperlink ref="B89" location="CalibYldCurveSprds" display="calib_yld_curve_sprds_percentile" xr:uid="{00000000-0004-0000-0300-00001A000000}"/>
    <hyperlink ref="B90" location="CalibYldCurveSprds" display="calib_yld_curve_sprds_percentile_tgt" xr:uid="{00000000-0004-0000-0300-00001B000000}"/>
    <hyperlink ref="B91" location="CalibYldCurveSprds" display="calib_yld_curve_sprds_sprd_adj" xr:uid="{00000000-0004-0000-0300-00001C000000}"/>
    <hyperlink ref="B93" location="CalibIndexRates" display="calib_index_rates_tgt_horizon" xr:uid="{00000000-0004-0000-0300-00001D000000}"/>
    <hyperlink ref="B94" location="CalibIndexRates" display="calib_index_rates_percentile" xr:uid="{00000000-0004-0000-0300-00001E000000}"/>
    <hyperlink ref="B95" location="CalibIndexRates" display="calib_index_rates_percentile_tgt" xr:uid="{00000000-0004-0000-0300-00001F000000}"/>
    <hyperlink ref="A99" location="Generation!B34" display="Back To Main" xr:uid="{00000000-0004-0000-0300-000020000000}"/>
    <hyperlink ref="A105" location="Generation!B35" display="Back To Main" xr:uid="{00000000-0004-0000-0300-000021000000}"/>
    <hyperlink ref="A111" location="Generation!B37" display="Back To Main" xr:uid="{00000000-0004-0000-0300-000022000000}"/>
    <hyperlink ref="A117" location="Generation!B423" display="Back To Main" xr:uid="{00000000-0004-0000-0300-000023000000}"/>
    <hyperlink ref="A124" location="Generation!B45" display="Back To Main" xr:uid="{00000000-0004-0000-0300-000024000000}"/>
    <hyperlink ref="A129" location="Generation!B46" display="Back To Main" xr:uid="{00000000-0004-0000-0300-000025000000}"/>
    <hyperlink ref="A188" location="Generation!B80" display="Back To Main" xr:uid="{00000000-0004-0000-0300-000026000000}"/>
    <hyperlink ref="A209" location="Generation!B87" display="Back To Main" xr:uid="{00000000-0004-0000-0300-000027000000}"/>
    <hyperlink ref="A216" location="Generation!B92" display="Back To Main" xr:uid="{00000000-0004-0000-0300-000028000000}"/>
    <hyperlink ref="A142" location="'Table of Contents'!A1" display="Go to TOC" xr:uid="{00000000-0004-0000-0300-000029000000}"/>
    <hyperlink ref="A143" location="Generation!B46" display="Back To Main" xr:uid="{00000000-0004-0000-0300-00002A000000}"/>
    <hyperlink ref="B62" location="CalibYldCurveData" display="calib_yld_curve_data_source" xr:uid="{00000000-0004-0000-0300-00002B000000}"/>
    <hyperlink ref="B63" location="CalibYldCurveData" display="calib_yld_curve_normalize_wghts" xr:uid="{00000000-0004-0000-0300-00002C000000}"/>
    <hyperlink ref="B66" location="CalibYldCurveSwapData" display="calib_yld_curve_swaption_vol" xr:uid="{00000000-0004-0000-0300-00002D000000}"/>
    <hyperlink ref="B67" location="CalibYldCurveSwapData" display="calib_yld_curve_swaption_wght" xr:uid="{00000000-0004-0000-0300-00002E000000}"/>
    <hyperlink ref="B69" location="CalibYldCurveBondData" display="calib_yld_curve_bond_vol" xr:uid="{00000000-0004-0000-0300-00002F000000}"/>
    <hyperlink ref="B70" location="CalibYldCurveBondData" display="calib_yld_curve_bond_wght" xr:uid="{00000000-0004-0000-0300-000030000000}"/>
    <hyperlink ref="B72" location="CalibIndexRateData" display="calib_index_rate_normalize_wghts" xr:uid="{00000000-0004-0000-0300-000031000000}"/>
    <hyperlink ref="B73" location="CalibIndexRateData" display="calib_index_rate_div_yld" xr:uid="{00000000-0004-0000-0300-000032000000}"/>
    <hyperlink ref="B74" location="CalibIndexRateData" display="calib_index_rate_opt_type" xr:uid="{00000000-0004-0000-0300-000033000000}"/>
    <hyperlink ref="B77" location="CalibIndexRateOptData" display="calib_index_rate_opt_vol" xr:uid="{00000000-0004-0000-0300-000034000000}"/>
    <hyperlink ref="B78" location="CalibIndexRateOptData" display="calib_index_rate_opt_wght" xr:uid="{00000000-0004-0000-0300-000035000000}"/>
    <hyperlink ref="A151" location="'Table of Contents'!A1" display="Go to TOC" xr:uid="{00000000-0004-0000-0300-000036000000}"/>
    <hyperlink ref="A152" location="Generation!B61" display="Back To Main" xr:uid="{00000000-0004-0000-0300-000037000000}"/>
    <hyperlink ref="A157" location="'Table of Contents'!A1" display="Go to TOC" xr:uid="{00000000-0004-0000-0300-000038000000}"/>
    <hyperlink ref="A158" location="Generation!B65" display="Back To Main" xr:uid="{00000000-0004-0000-0300-000039000000}"/>
    <hyperlink ref="A165" location="'Table of Contents'!A1" display="Go to TOC" xr:uid="{00000000-0004-0000-0300-00003A000000}"/>
    <hyperlink ref="A166" location="Generation!B68" display="Back To Main" xr:uid="{00000000-0004-0000-0300-00003B000000}"/>
    <hyperlink ref="A172" location="'Table of Contents'!A1" display="Go to TOC" xr:uid="{00000000-0004-0000-0300-00003C000000}"/>
    <hyperlink ref="A173" location="Generation!B71" display="Back To Main" xr:uid="{00000000-0004-0000-0300-00003D000000}"/>
    <hyperlink ref="A179" location="'Table of Contents'!A1" display="Go to TOC" xr:uid="{00000000-0004-0000-0300-00003E000000}"/>
    <hyperlink ref="A180" location="Generation!B76" display="Back To Main" xr:uid="{00000000-0004-0000-0300-00003F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Change Log</vt:lpstr>
      <vt:lpstr>Table of Contents</vt:lpstr>
      <vt:lpstr>Scenarios</vt:lpstr>
      <vt:lpstr>Generation</vt:lpstr>
      <vt:lpstr>CalibIndexRateData</vt:lpstr>
      <vt:lpstr>CalibIndexRateOptData</vt:lpstr>
      <vt:lpstr>CalibIndexRates</vt:lpstr>
      <vt:lpstr>CalibYldCurveBondData</vt:lpstr>
      <vt:lpstr>CalibYldCurveData</vt:lpstr>
      <vt:lpstr>CalibYldCurveRates</vt:lpstr>
      <vt:lpstr>CalibYldCurveSprds</vt:lpstr>
      <vt:lpstr>CalibYldCurveSwapData</vt:lpstr>
      <vt:lpstr>CreditSprdDeterminsitic</vt:lpstr>
      <vt:lpstr>CreditSprdDeterminsiticSub</vt:lpstr>
      <vt:lpstr>CreditSprdStochMult</vt:lpstr>
      <vt:lpstr>DfltRateDeterministic</vt:lpstr>
      <vt:lpstr>DfltRateDeterministicSub</vt:lpstr>
      <vt:lpstr>DfltRateStochMult</vt:lpstr>
      <vt:lpstr>EconDataCorrelation</vt:lpstr>
      <vt:lpstr>EconDataCorrelationSub</vt:lpstr>
      <vt:lpstr>EconDataIndexRateMRData</vt:lpstr>
      <vt:lpstr>EconDataIndexRateVol</vt:lpstr>
      <vt:lpstr>EconDataMiscRates</vt:lpstr>
      <vt:lpstr>EconDataYldCurveMRRates</vt:lpstr>
      <vt:lpstr>EconDataYldCurveVol</vt:lpstr>
      <vt:lpstr>Generation</vt:lpstr>
      <vt:lpstr>IndexVolDeterministicSub</vt:lpstr>
      <vt:lpstr>IndexVolDeterminstic</vt:lpstr>
      <vt:lpstr>IndexVolStochMult</vt:lpstr>
      <vt:lpstr>InflDeterministic</vt:lpstr>
      <vt:lpstr>IntVolDeterministic</vt:lpstr>
      <vt:lpstr>IntVolStochMult</vt:lpstr>
      <vt:lpstr>Scenarios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Mcgrath, Kevin</cp:lastModifiedBy>
  <cp:lastPrinted>2013-07-12T20:12:54Z</cp:lastPrinted>
  <dcterms:created xsi:type="dcterms:W3CDTF">2013-06-26T20:08:07Z</dcterms:created>
  <dcterms:modified xsi:type="dcterms:W3CDTF">2025-10-02T18:32:48Z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