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3Plan\v4.1_v3_2024Unlocking\Projects\Fixed Indexed Annuity\ProjectData\2013YearEnd\Assumptions\"/>
    </mc:Choice>
  </mc:AlternateContent>
  <xr:revisionPtr revIDLastSave="0" documentId="13_ncr:1_{56B23378-3BF1-4305-BF9C-2161D185C8AE}" xr6:coauthVersionLast="47" xr6:coauthVersionMax="47" xr10:uidLastSave="{00000000-0000-0000-0000-000000000000}"/>
  <bookViews>
    <workbookView xWindow="-51600" yWindow="-5385" windowWidth="25800" windowHeight="21000" tabRatio="757" activeTab="5" xr2:uid="{00000000-000D-0000-FFFF-FFFF00000000}"/>
  </bookViews>
  <sheets>
    <sheet name="Change Log" sheetId="12" r:id="rId1"/>
    <sheet name="Table of Contents" sheetId="13" r:id="rId2"/>
    <sheet name="StatCarvmMortMult" sheetId="25" r:id="rId3"/>
    <sheet name="TaxCarvmMortMult" sheetId="24" r:id="rId4"/>
    <sheet name="PurchMortBaseMult" sheetId="26" r:id="rId5"/>
    <sheet name="MortMult" sheetId="22" r:id="rId6"/>
    <sheet name="MortImprvm" sheetId="28" r:id="rId7"/>
    <sheet name="MortAddn" sheetId="23" r:id="rId8"/>
  </sheets>
  <functionGroups builtInGroupCount="19"/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mort_improve_pct">MortImprvm!$B$4:$N$126</definedName>
    <definedName name="MortAddn">MortAddn!$B$4:$D$8</definedName>
    <definedName name="MortMult">MortMult!$B$4:$BP$124</definedName>
    <definedName name="PurchMortMult">PurchMortBaseMult!$B$4:$D$7</definedName>
    <definedName name="StatCarvmMortMult">StatCarvmMortMult!$B$4:$D$8</definedName>
    <definedName name="TaxCarvmMortMult">TaxCarvmMortMult!$B$4:$D$8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24" i="22" l="1"/>
  <c r="AP124" i="22"/>
  <c r="AQ123" i="22"/>
  <c r="AP123" i="22"/>
  <c r="AO122" i="22"/>
  <c r="AG117" i="22"/>
  <c r="AM117" i="22" s="1"/>
  <c r="AG116" i="22"/>
  <c r="AS116" i="22" s="1"/>
  <c r="AG113" i="22"/>
  <c r="AM113" i="22" s="1"/>
  <c r="AI111" i="22"/>
  <c r="AO110" i="22"/>
  <c r="AQ108" i="22"/>
  <c r="AJ108" i="22"/>
  <c r="AO107" i="22"/>
  <c r="AI104" i="22"/>
  <c r="AI101" i="22"/>
  <c r="AQ100" i="22"/>
  <c r="AJ100" i="22"/>
  <c r="AQ99" i="22"/>
  <c r="AJ99" i="22"/>
  <c r="AG98" i="22"/>
  <c r="AM98" i="22" s="1"/>
  <c r="AQ93" i="22"/>
  <c r="AJ93" i="22"/>
  <c r="AI93" i="22"/>
  <c r="AI92" i="22"/>
  <c r="AQ91" i="22"/>
  <c r="AI89" i="22"/>
  <c r="AL87" i="22"/>
  <c r="AJ87" i="22"/>
  <c r="AG87" i="22"/>
  <c r="AM87" i="22" s="1"/>
  <c r="AL84" i="22"/>
  <c r="AI83" i="22"/>
  <c r="AQ82" i="22"/>
  <c r="AG81" i="22"/>
  <c r="AM81" i="22" s="1"/>
  <c r="AO80" i="22"/>
  <c r="AJ79" i="22"/>
  <c r="AJ78" i="22"/>
  <c r="AO74" i="22"/>
  <c r="AK73" i="22"/>
  <c r="AH73" i="22"/>
  <c r="AO73" i="22"/>
  <c r="AR72" i="22"/>
  <c r="AQ72" i="22"/>
  <c r="AO72" i="22"/>
  <c r="AI71" i="22"/>
  <c r="AO68" i="22"/>
  <c r="AR66" i="22"/>
  <c r="AK66" i="22"/>
  <c r="AP66" i="22"/>
  <c r="AI65" i="22"/>
  <c r="AQ64" i="22"/>
  <c r="AI64" i="22"/>
  <c r="AO60" i="22"/>
  <c r="AI59" i="22"/>
  <c r="AR57" i="22"/>
  <c r="AP57" i="22"/>
  <c r="AG56" i="22"/>
  <c r="AM56" i="22" s="1"/>
  <c r="AK55" i="22"/>
  <c r="AQ51" i="22"/>
  <c r="AP51" i="22"/>
  <c r="AO51" i="22"/>
  <c r="AO50" i="22"/>
  <c r="AK49" i="22"/>
  <c r="AP49" i="22"/>
  <c r="AO49" i="22"/>
  <c r="AG47" i="22"/>
  <c r="AM47" i="22" s="1"/>
  <c r="AL45" i="22"/>
  <c r="AQ45" i="22"/>
  <c r="AH45" i="22"/>
  <c r="AT45" i="22" s="1"/>
  <c r="AG41" i="22"/>
  <c r="AM41" i="22" s="1"/>
  <c r="AP40" i="22"/>
  <c r="AG40" i="22"/>
  <c r="AS40" i="22" s="1"/>
  <c r="AP39" i="22"/>
  <c r="AO39" i="22"/>
  <c r="AQ37" i="22"/>
  <c r="AP37" i="22"/>
  <c r="AI35" i="22"/>
  <c r="AP33" i="22"/>
  <c r="AO33" i="22"/>
  <c r="AG32" i="22"/>
  <c r="AS32" i="22" s="1"/>
  <c r="AQ31" i="22"/>
  <c r="AP31" i="22"/>
  <c r="AH30" i="22"/>
  <c r="AT30" i="22" s="1"/>
  <c r="AI29" i="22"/>
  <c r="AG27" i="22"/>
  <c r="AM27" i="22" s="1"/>
  <c r="AG26" i="22"/>
  <c r="AS26" i="22" s="1"/>
  <c r="AJ25" i="22"/>
  <c r="AP24" i="22"/>
  <c r="AG23" i="22"/>
  <c r="AM23" i="22" s="1"/>
  <c r="AJ22" i="22"/>
  <c r="AI20" i="22"/>
  <c r="AQ19" i="22"/>
  <c r="AQ18" i="22"/>
  <c r="AO18" i="22"/>
  <c r="AG17" i="22"/>
  <c r="AM17" i="22" s="1"/>
  <c r="AI14" i="22"/>
  <c r="AQ13" i="22"/>
  <c r="AP13" i="22"/>
  <c r="AG13" i="22"/>
  <c r="AS13" i="22" s="1"/>
  <c r="AK12" i="22"/>
  <c r="AP12" i="22"/>
  <c r="AI11" i="22"/>
  <c r="AL124" i="22"/>
  <c r="AO123" i="22"/>
  <c r="AK122" i="22"/>
  <c r="AL120" i="22"/>
  <c r="AH120" i="22"/>
  <c r="AT120" i="22" s="1"/>
  <c r="AG120" i="22"/>
  <c r="AM120" i="22" s="1"/>
  <c r="AQ119" i="22"/>
  <c r="AR117" i="22"/>
  <c r="AJ117" i="22"/>
  <c r="AK116" i="22"/>
  <c r="AR115" i="22"/>
  <c r="AR114" i="22"/>
  <c r="AP114" i="22"/>
  <c r="AO114" i="22"/>
  <c r="AQ113" i="22"/>
  <c r="AK112" i="22"/>
  <c r="AQ111" i="22"/>
  <c r="AJ111" i="22"/>
  <c r="AO108" i="22"/>
  <c r="AK107" i="22"/>
  <c r="AP105" i="22"/>
  <c r="AO105" i="22"/>
  <c r="AK104" i="22"/>
  <c r="AK102" i="22"/>
  <c r="AH102" i="22"/>
  <c r="AI102" i="22"/>
  <c r="AQ101" i="22"/>
  <c r="AI99" i="22"/>
  <c r="AK98" i="22"/>
  <c r="AJ97" i="22"/>
  <c r="AR96" i="22"/>
  <c r="AK96" i="22"/>
  <c r="AP96" i="22"/>
  <c r="AO96" i="22"/>
  <c r="AQ95" i="22"/>
  <c r="AQ92" i="22"/>
  <c r="AP91" i="22"/>
  <c r="AL90" i="22"/>
  <c r="AQ90" i="22"/>
  <c r="AP90" i="22"/>
  <c r="AO90" i="22"/>
  <c r="AQ89" i="22"/>
  <c r="AQ86" i="22"/>
  <c r="AP84" i="22"/>
  <c r="AI84" i="22"/>
  <c r="AK83" i="22"/>
  <c r="AH82" i="22"/>
  <c r="AN82" i="22" s="1"/>
  <c r="AK81" i="22"/>
  <c r="AP81" i="22"/>
  <c r="AL78" i="22"/>
  <c r="AG78" i="22"/>
  <c r="AK77" i="22"/>
  <c r="AR76" i="22"/>
  <c r="AL75" i="22"/>
  <c r="AJ75" i="22"/>
  <c r="AG75" i="22"/>
  <c r="AP72" i="22"/>
  <c r="AQ71" i="22"/>
  <c r="AK69" i="22"/>
  <c r="AH69" i="22"/>
  <c r="AT69" i="22" s="1"/>
  <c r="AI69" i="22"/>
  <c r="AQ68" i="22"/>
  <c r="AO66" i="22"/>
  <c r="AK65" i="22"/>
  <c r="AH64" i="22"/>
  <c r="AT64" i="22" s="1"/>
  <c r="AK63" i="22"/>
  <c r="AJ63" i="22"/>
  <c r="AI63" i="22"/>
  <c r="AR60" i="22"/>
  <c r="AP60" i="22"/>
  <c r="AK59" i="22"/>
  <c r="AK57" i="22"/>
  <c r="AO57" i="22"/>
  <c r="AL54" i="22"/>
  <c r="AJ54" i="22"/>
  <c r="AG54" i="22"/>
  <c r="AM54" i="22" s="1"/>
  <c r="AJ52" i="22"/>
  <c r="AL51" i="22"/>
  <c r="AQ50" i="22"/>
  <c r="AL48" i="22"/>
  <c r="AJ48" i="22"/>
  <c r="AG48" i="22"/>
  <c r="AM48" i="22" s="1"/>
  <c r="AQ47" i="22"/>
  <c r="AR46" i="22"/>
  <c r="AJ46" i="22"/>
  <c r="AO45" i="22"/>
  <c r="AK44" i="22"/>
  <c r="AP43" i="22"/>
  <c r="AK42" i="22"/>
  <c r="AH42" i="22"/>
  <c r="AN42" i="22" s="1"/>
  <c r="AI42" i="22"/>
  <c r="AL39" i="22"/>
  <c r="AQ39" i="22"/>
  <c r="AK38" i="22"/>
  <c r="AI38" i="22"/>
  <c r="AL36" i="22"/>
  <c r="AH36" i="22"/>
  <c r="AT36" i="22" s="1"/>
  <c r="AG36" i="22"/>
  <c r="AS36" i="22" s="1"/>
  <c r="AQ35" i="22"/>
  <c r="AQ34" i="22"/>
  <c r="AL33" i="22"/>
  <c r="AQ33" i="22"/>
  <c r="AK32" i="22"/>
  <c r="AK30" i="22"/>
  <c r="AI30" i="22"/>
  <c r="AQ29" i="22"/>
  <c r="AP28" i="22"/>
  <c r="AR27" i="22"/>
  <c r="AK27" i="22"/>
  <c r="AJ27" i="22"/>
  <c r="AQ24" i="22"/>
  <c r="AO24" i="22"/>
  <c r="AQ22" i="22"/>
  <c r="AL21" i="22"/>
  <c r="AJ21" i="22"/>
  <c r="AI21" i="22"/>
  <c r="AQ20" i="22"/>
  <c r="AR19" i="22"/>
  <c r="AP18" i="22"/>
  <c r="AQ17" i="22"/>
  <c r="AH16" i="22"/>
  <c r="AN16" i="22" s="1"/>
  <c r="AL15" i="22"/>
  <c r="AP15" i="22"/>
  <c r="AO15" i="22"/>
  <c r="AQ14" i="22"/>
  <c r="AG12" i="22"/>
  <c r="AS12" i="22" s="1"/>
  <c r="AL9" i="22"/>
  <c r="AQ9" i="22"/>
  <c r="AJ9" i="22"/>
  <c r="AO9" i="22"/>
  <c r="AK124" i="22"/>
  <c r="AQ122" i="22"/>
  <c r="AG121" i="22"/>
  <c r="AM121" i="22" s="1"/>
  <c r="AH119" i="22"/>
  <c r="AR118" i="22"/>
  <c r="AP118" i="22"/>
  <c r="AO118" i="22"/>
  <c r="AI117" i="22"/>
  <c r="AG115" i="22"/>
  <c r="AK111" i="22"/>
  <c r="AQ110" i="22"/>
  <c r="AJ109" i="22"/>
  <c r="AG109" i="22"/>
  <c r="AJ107" i="22"/>
  <c r="AR106" i="22"/>
  <c r="AJ106" i="22"/>
  <c r="AG106" i="22"/>
  <c r="AM106" i="22" s="1"/>
  <c r="AP104" i="22"/>
  <c r="AK103" i="22"/>
  <c r="AH103" i="22"/>
  <c r="AO103" i="22"/>
  <c r="AQ102" i="22"/>
  <c r="AL100" i="22"/>
  <c r="AO100" i="22"/>
  <c r="AQ98" i="22"/>
  <c r="AP98" i="22"/>
  <c r="AO97" i="22"/>
  <c r="AL94" i="22"/>
  <c r="AK94" i="22"/>
  <c r="AH94" i="22"/>
  <c r="AT94" i="22" s="1"/>
  <c r="AO94" i="22"/>
  <c r="AP92" i="22"/>
  <c r="AO91" i="22"/>
  <c r="AK89" i="22"/>
  <c r="AR88" i="22"/>
  <c r="AK88" i="22"/>
  <c r="AH88" i="22"/>
  <c r="AN88" i="22" s="1"/>
  <c r="AG88" i="22"/>
  <c r="AM88" i="22" s="1"/>
  <c r="AP86" i="22"/>
  <c r="AL85" i="22"/>
  <c r="AK85" i="22"/>
  <c r="AO85" i="22"/>
  <c r="AP83" i="22"/>
  <c r="AR82" i="22"/>
  <c r="AG82" i="22"/>
  <c r="AM82" i="22" s="1"/>
  <c r="AQ80" i="22"/>
  <c r="AP80" i="22"/>
  <c r="AK79" i="22"/>
  <c r="AG79" i="22"/>
  <c r="AJ77" i="22"/>
  <c r="AH76" i="22"/>
  <c r="AT76" i="22" s="1"/>
  <c r="AG76" i="22"/>
  <c r="AS76" i="22" s="1"/>
  <c r="AP74" i="22"/>
  <c r="AL73" i="22"/>
  <c r="AH71" i="22"/>
  <c r="AT71" i="22" s="1"/>
  <c r="AL70" i="22"/>
  <c r="AK70" i="22"/>
  <c r="AP70" i="22"/>
  <c r="AI70" i="22"/>
  <c r="AP68" i="22"/>
  <c r="AL67" i="22"/>
  <c r="AP67" i="22"/>
  <c r="AG67" i="22"/>
  <c r="AR64" i="22"/>
  <c r="AP62" i="22"/>
  <c r="AL61" i="22"/>
  <c r="AQ61" i="22"/>
  <c r="AP61" i="22"/>
  <c r="AG61" i="22"/>
  <c r="AS61" i="22" s="1"/>
  <c r="AH59" i="22"/>
  <c r="AN59" i="22" s="1"/>
  <c r="AH58" i="22"/>
  <c r="AN58" i="22" s="1"/>
  <c r="AG58" i="22"/>
  <c r="AM58" i="22" s="1"/>
  <c r="AK56" i="22"/>
  <c r="AP56" i="22"/>
  <c r="AR55" i="22"/>
  <c r="AJ55" i="22"/>
  <c r="AO55" i="22"/>
  <c r="AH53" i="22"/>
  <c r="AT53" i="22" s="1"/>
  <c r="AL52" i="22"/>
  <c r="AK52" i="22"/>
  <c r="AG52" i="22"/>
  <c r="AS52" i="22" s="1"/>
  <c r="AP50" i="22"/>
  <c r="AK48" i="22"/>
  <c r="AH47" i="22"/>
  <c r="AT47" i="22" s="1"/>
  <c r="AQ46" i="22"/>
  <c r="AI46" i="22"/>
  <c r="AL43" i="22"/>
  <c r="AK43" i="22"/>
  <c r="AG43" i="22"/>
  <c r="AS43" i="22" s="1"/>
  <c r="AQ40" i="22"/>
  <c r="AP38" i="22"/>
  <c r="AR37" i="22"/>
  <c r="AI37" i="22"/>
  <c r="AH35" i="22"/>
  <c r="AN35" i="22" s="1"/>
  <c r="AR34" i="22"/>
  <c r="AP34" i="22"/>
  <c r="AO34" i="22"/>
  <c r="AR31" i="22"/>
  <c r="AG31" i="22"/>
  <c r="AS31" i="22" s="1"/>
  <c r="AP29" i="22"/>
  <c r="AG28" i="22"/>
  <c r="AS28" i="22" s="1"/>
  <c r="AJ26" i="22"/>
  <c r="AR25" i="22"/>
  <c r="AQ25" i="22"/>
  <c r="AG25" i="22"/>
  <c r="AM25" i="22" s="1"/>
  <c r="AQ23" i="22"/>
  <c r="AJ23" i="22"/>
  <c r="AR22" i="22"/>
  <c r="AI22" i="22"/>
  <c r="AP19" i="22"/>
  <c r="AI19" i="22"/>
  <c r="AK17" i="22"/>
  <c r="AK16" i="22"/>
  <c r="AG16" i="22"/>
  <c r="AS16" i="22" s="1"/>
  <c r="AH14" i="22"/>
  <c r="AT14" i="22" s="1"/>
  <c r="AL13" i="22"/>
  <c r="AQ11" i="22"/>
  <c r="AP11" i="22"/>
  <c r="AL10" i="22"/>
  <c r="AK10" i="22"/>
  <c r="AJ10" i="22"/>
  <c r="AG10" i="22"/>
  <c r="AM10" i="22" s="1"/>
  <c r="AK9" i="22"/>
  <c r="AL8" i="22"/>
  <c r="AG8" i="22"/>
  <c r="AM8" i="22" s="1"/>
  <c r="AR124" i="22"/>
  <c r="AQ124" i="22"/>
  <c r="AR123" i="22"/>
  <c r="AL123" i="22"/>
  <c r="AK123" i="22"/>
  <c r="AR122" i="22"/>
  <c r="AL122" i="22"/>
  <c r="AJ122" i="22"/>
  <c r="AH121" i="22"/>
  <c r="AN121" i="22" s="1"/>
  <c r="AR120" i="22"/>
  <c r="AQ120" i="22"/>
  <c r="AP120" i="22"/>
  <c r="AK120" i="22"/>
  <c r="AR119" i="22"/>
  <c r="AP119" i="22"/>
  <c r="AL119" i="22"/>
  <c r="AK119" i="22"/>
  <c r="AJ119" i="22"/>
  <c r="AQ117" i="22"/>
  <c r="AL117" i="22"/>
  <c r="AK117" i="22"/>
  <c r="AR116" i="22"/>
  <c r="AQ116" i="22"/>
  <c r="AP116" i="22"/>
  <c r="AL116" i="22"/>
  <c r="AQ115" i="22"/>
  <c r="AP115" i="22"/>
  <c r="AK115" i="22"/>
  <c r="AQ114" i="22"/>
  <c r="AL114" i="22"/>
  <c r="AK114" i="22"/>
  <c r="AJ114" i="22"/>
  <c r="AR113" i="22"/>
  <c r="AL113" i="22"/>
  <c r="AH113" i="22"/>
  <c r="AN113" i="22" s="1"/>
  <c r="AR112" i="22"/>
  <c r="AQ112" i="22"/>
  <c r="AP112" i="22"/>
  <c r="AL112" i="22"/>
  <c r="AI112" i="22"/>
  <c r="AR111" i="22"/>
  <c r="AL111" i="22"/>
  <c r="AR110" i="22"/>
  <c r="AL110" i="22"/>
  <c r="AK110" i="22"/>
  <c r="AH110" i="22"/>
  <c r="AR108" i="22"/>
  <c r="AL108" i="22"/>
  <c r="AK108" i="22"/>
  <c r="AR107" i="22"/>
  <c r="AQ107" i="22"/>
  <c r="AP107" i="22"/>
  <c r="AL107" i="22"/>
  <c r="AH107" i="22"/>
  <c r="AT107" i="22" s="1"/>
  <c r="AP106" i="22"/>
  <c r="AR105" i="22"/>
  <c r="AQ105" i="22"/>
  <c r="AL105" i="22"/>
  <c r="AK105" i="22"/>
  <c r="AJ105" i="22"/>
  <c r="AR104" i="22"/>
  <c r="AL104" i="22"/>
  <c r="AJ104" i="22"/>
  <c r="AH104" i="22"/>
  <c r="AN104" i="22" s="1"/>
  <c r="AG104" i="22"/>
  <c r="AM104" i="22" s="1"/>
  <c r="AR102" i="22"/>
  <c r="AP102" i="22"/>
  <c r="AL102" i="22"/>
  <c r="AR101" i="22"/>
  <c r="AL101" i="22"/>
  <c r="AK101" i="22"/>
  <c r="AG101" i="22"/>
  <c r="AR100" i="22"/>
  <c r="AP100" i="22"/>
  <c r="AR99" i="22"/>
  <c r="AL99" i="22"/>
  <c r="AK99" i="22"/>
  <c r="AR98" i="22"/>
  <c r="AL98" i="22"/>
  <c r="AH98" i="22"/>
  <c r="AP97" i="22"/>
  <c r="AI97" i="22"/>
  <c r="AH97" i="22"/>
  <c r="AN97" i="22" s="1"/>
  <c r="AG97" i="22"/>
  <c r="AM97" i="22" s="1"/>
  <c r="AQ96" i="22"/>
  <c r="AL96" i="22"/>
  <c r="AR95" i="22"/>
  <c r="AP95" i="22"/>
  <c r="AL95" i="22"/>
  <c r="AK95" i="22"/>
  <c r="AJ94" i="22"/>
  <c r="AR93" i="22"/>
  <c r="AL93" i="22"/>
  <c r="AK93" i="22"/>
  <c r="AR92" i="22"/>
  <c r="AL92" i="22"/>
  <c r="AK92" i="22"/>
  <c r="AJ92" i="22"/>
  <c r="AH92" i="22"/>
  <c r="AT92" i="22" s="1"/>
  <c r="AH91" i="22"/>
  <c r="AG91" i="22"/>
  <c r="AR90" i="22"/>
  <c r="AK90" i="22"/>
  <c r="AH90" i="22"/>
  <c r="AN90" i="22" s="1"/>
  <c r="AR89" i="22"/>
  <c r="AP89" i="22"/>
  <c r="AL89" i="22"/>
  <c r="AQ88" i="22"/>
  <c r="AP88" i="22"/>
  <c r="AR87" i="22"/>
  <c r="AQ87" i="22"/>
  <c r="AP87" i="22"/>
  <c r="AO87" i="22"/>
  <c r="AK87" i="22"/>
  <c r="AR86" i="22"/>
  <c r="AL86" i="22"/>
  <c r="AK86" i="22"/>
  <c r="AJ86" i="22"/>
  <c r="AH86" i="22"/>
  <c r="AT86" i="22" s="1"/>
  <c r="AG86" i="22"/>
  <c r="AR85" i="22"/>
  <c r="AQ85" i="22"/>
  <c r="AQ84" i="22"/>
  <c r="AK84" i="22"/>
  <c r="AH84" i="22"/>
  <c r="AT84" i="22" s="1"/>
  <c r="AR83" i="22"/>
  <c r="AQ83" i="22"/>
  <c r="AL83" i="22"/>
  <c r="AP82" i="22"/>
  <c r="AO82" i="22"/>
  <c r="AL82" i="22"/>
  <c r="AK82" i="22"/>
  <c r="AR81" i="22"/>
  <c r="AQ81" i="22"/>
  <c r="AL81" i="22"/>
  <c r="AR80" i="22"/>
  <c r="AL80" i="22"/>
  <c r="AR79" i="22"/>
  <c r="AQ79" i="22"/>
  <c r="AP79" i="22"/>
  <c r="AL79" i="22"/>
  <c r="AH79" i="22"/>
  <c r="AT79" i="22" s="1"/>
  <c r="AQ78" i="22"/>
  <c r="AK78" i="22"/>
  <c r="AR77" i="22"/>
  <c r="AQ77" i="22"/>
  <c r="AP77" i="22"/>
  <c r="AL77" i="22"/>
  <c r="AH77" i="22"/>
  <c r="AT77" i="22" s="1"/>
  <c r="AQ76" i="22"/>
  <c r="AP76" i="22"/>
  <c r="AO76" i="22"/>
  <c r="AL76" i="22"/>
  <c r="AK76" i="22"/>
  <c r="AJ76" i="22"/>
  <c r="AR75" i="22"/>
  <c r="AQ75" i="22"/>
  <c r="AP75" i="22"/>
  <c r="AK75" i="22"/>
  <c r="AR74" i="22"/>
  <c r="AQ74" i="22"/>
  <c r="AL74" i="22"/>
  <c r="AK74" i="22"/>
  <c r="AJ74" i="22"/>
  <c r="AH74" i="22"/>
  <c r="AN74" i="22" s="1"/>
  <c r="AR73" i="22"/>
  <c r="AQ73" i="22"/>
  <c r="AL72" i="22"/>
  <c r="AK72" i="22"/>
  <c r="AJ72" i="22"/>
  <c r="AR71" i="22"/>
  <c r="AL71" i="22"/>
  <c r="AJ71" i="22"/>
  <c r="AR70" i="22"/>
  <c r="AQ70" i="22"/>
  <c r="AR69" i="22"/>
  <c r="AQ69" i="22"/>
  <c r="AL69" i="22"/>
  <c r="AR68" i="22"/>
  <c r="AL68" i="22"/>
  <c r="AK68" i="22"/>
  <c r="AJ68" i="22"/>
  <c r="AH68" i="22"/>
  <c r="AT68" i="22" s="1"/>
  <c r="AH67" i="22"/>
  <c r="AT67" i="22" s="1"/>
  <c r="AQ66" i="22"/>
  <c r="AL66" i="22"/>
  <c r="AR65" i="22"/>
  <c r="AP65" i="22"/>
  <c r="AL65" i="22"/>
  <c r="AK64" i="22"/>
  <c r="AJ64" i="22"/>
  <c r="AG64" i="22"/>
  <c r="AR63" i="22"/>
  <c r="AQ63" i="22"/>
  <c r="AL63" i="22"/>
  <c r="AR62" i="22"/>
  <c r="AQ62" i="22"/>
  <c r="AL62" i="22"/>
  <c r="AK62" i="22"/>
  <c r="AJ62" i="22"/>
  <c r="AK61" i="22"/>
  <c r="AJ61" i="22"/>
  <c r="AI61" i="22"/>
  <c r="AH61" i="22"/>
  <c r="AQ60" i="22"/>
  <c r="AL60" i="22"/>
  <c r="AK60" i="22"/>
  <c r="AJ60" i="22"/>
  <c r="AR59" i="22"/>
  <c r="AP59" i="22"/>
  <c r="AL59" i="22"/>
  <c r="AR58" i="22"/>
  <c r="AQ58" i="22"/>
  <c r="AP58" i="22"/>
  <c r="AL58" i="22"/>
  <c r="AK58" i="22"/>
  <c r="AJ58" i="22"/>
  <c r="AQ57" i="22"/>
  <c r="AL57" i="22"/>
  <c r="AH57" i="22"/>
  <c r="AN57" i="22" s="1"/>
  <c r="AG57" i="22"/>
  <c r="AM57" i="22" s="1"/>
  <c r="AR56" i="22"/>
  <c r="AL56" i="22"/>
  <c r="AJ56" i="22"/>
  <c r="AI56" i="22"/>
  <c r="AH56" i="22"/>
  <c r="AT56" i="22" s="1"/>
  <c r="AQ55" i="22"/>
  <c r="AP55" i="22"/>
  <c r="AL55" i="22"/>
  <c r="AR54" i="22"/>
  <c r="AQ54" i="22"/>
  <c r="AP54" i="22"/>
  <c r="AK54" i="22"/>
  <c r="AR53" i="22"/>
  <c r="AQ53" i="22"/>
  <c r="AL53" i="22"/>
  <c r="AK53" i="22"/>
  <c r="AJ53" i="22"/>
  <c r="AR52" i="22"/>
  <c r="AQ52" i="22"/>
  <c r="AP52" i="22"/>
  <c r="AR51" i="22"/>
  <c r="AK51" i="22"/>
  <c r="AH51" i="22"/>
  <c r="AN51" i="22" s="1"/>
  <c r="AR50" i="22"/>
  <c r="AL50" i="22"/>
  <c r="AK50" i="22"/>
  <c r="AJ50" i="22"/>
  <c r="AH50" i="22"/>
  <c r="AN50" i="22" s="1"/>
  <c r="AR48" i="22"/>
  <c r="AQ48" i="22"/>
  <c r="AP48" i="22"/>
  <c r="AO48" i="22"/>
  <c r="AH48" i="22"/>
  <c r="AN48" i="22" s="1"/>
  <c r="AR47" i="22"/>
  <c r="AP47" i="22"/>
  <c r="AL47" i="22"/>
  <c r="AJ47" i="22"/>
  <c r="AK46" i="22"/>
  <c r="AH46" i="22"/>
  <c r="AN46" i="22" s="1"/>
  <c r="AR45" i="22"/>
  <c r="AK45" i="22"/>
  <c r="AG45" i="22"/>
  <c r="AM45" i="22" s="1"/>
  <c r="AR44" i="22"/>
  <c r="AQ44" i="22"/>
  <c r="AP44" i="22"/>
  <c r="AL44" i="22"/>
  <c r="AJ44" i="22"/>
  <c r="AH44" i="22"/>
  <c r="AJ43" i="22"/>
  <c r="AH43" i="22"/>
  <c r="AT43" i="22" s="1"/>
  <c r="AR42" i="22"/>
  <c r="AQ42" i="22"/>
  <c r="AP42" i="22"/>
  <c r="AL42" i="22"/>
  <c r="AJ42" i="22"/>
  <c r="AR41" i="22"/>
  <c r="AQ41" i="22"/>
  <c r="AL41" i="22"/>
  <c r="AK41" i="22"/>
  <c r="AK40" i="22"/>
  <c r="AJ40" i="22"/>
  <c r="AH40" i="22"/>
  <c r="AN40" i="22" s="1"/>
  <c r="AR39" i="22"/>
  <c r="AK39" i="22"/>
  <c r="AH39" i="22"/>
  <c r="AT39" i="22" s="1"/>
  <c r="AG39" i="22"/>
  <c r="AM39" i="22" s="1"/>
  <c r="AR38" i="22"/>
  <c r="AQ38" i="22"/>
  <c r="AL38" i="22"/>
  <c r="AJ38" i="22"/>
  <c r="AH38" i="22"/>
  <c r="AT38" i="22" s="1"/>
  <c r="AL37" i="22"/>
  <c r="AK37" i="22"/>
  <c r="AR36" i="22"/>
  <c r="AQ36" i="22"/>
  <c r="AP36" i="22"/>
  <c r="AO36" i="22"/>
  <c r="AK36" i="22"/>
  <c r="AR35" i="22"/>
  <c r="AP35" i="22"/>
  <c r="AL35" i="22"/>
  <c r="AK35" i="22"/>
  <c r="AK34" i="22"/>
  <c r="AJ34" i="22"/>
  <c r="AH34" i="22"/>
  <c r="AN34" i="22" s="1"/>
  <c r="AR33" i="22"/>
  <c r="AK33" i="22"/>
  <c r="AH33" i="22"/>
  <c r="AN33" i="22" s="1"/>
  <c r="AR32" i="22"/>
  <c r="AP32" i="22"/>
  <c r="AL32" i="22"/>
  <c r="AL31" i="22"/>
  <c r="AK31" i="22"/>
  <c r="AI31" i="22"/>
  <c r="AR30" i="22"/>
  <c r="AQ30" i="22"/>
  <c r="AP30" i="22"/>
  <c r="AL30" i="22"/>
  <c r="AJ30" i="22"/>
  <c r="AR29" i="22"/>
  <c r="AL29" i="22"/>
  <c r="AK29" i="22"/>
  <c r="AJ28" i="22"/>
  <c r="AH28" i="22"/>
  <c r="AT28" i="22" s="1"/>
  <c r="AQ27" i="22"/>
  <c r="AL27" i="22"/>
  <c r="AR26" i="22"/>
  <c r="AQ26" i="22"/>
  <c r="AP26" i="22"/>
  <c r="AL26" i="22"/>
  <c r="AK26" i="22"/>
  <c r="AL25" i="22"/>
  <c r="AK25" i="22"/>
  <c r="AI25" i="22"/>
  <c r="AH25" i="22"/>
  <c r="AN25" i="22" s="1"/>
  <c r="AR24" i="22"/>
  <c r="AL24" i="22"/>
  <c r="AK24" i="22"/>
  <c r="AR23" i="22"/>
  <c r="AP23" i="22"/>
  <c r="AL23" i="22"/>
  <c r="AP22" i="22"/>
  <c r="AL22" i="22"/>
  <c r="AK22" i="22"/>
  <c r="AH22" i="22"/>
  <c r="AR21" i="22"/>
  <c r="AQ21" i="22"/>
  <c r="AK21" i="22"/>
  <c r="AR20" i="22"/>
  <c r="AP20" i="22"/>
  <c r="AL20" i="22"/>
  <c r="AK20" i="22"/>
  <c r="AJ20" i="22"/>
  <c r="AH20" i="22"/>
  <c r="AT20" i="22" s="1"/>
  <c r="AL19" i="22"/>
  <c r="AK19" i="22"/>
  <c r="AJ19" i="22"/>
  <c r="AR18" i="22"/>
  <c r="AL18" i="22"/>
  <c r="AK18" i="22"/>
  <c r="AR17" i="22"/>
  <c r="AL17" i="22"/>
  <c r="AH17" i="22"/>
  <c r="AN17" i="22" s="1"/>
  <c r="AR16" i="22"/>
  <c r="AQ16" i="22"/>
  <c r="AP16" i="22"/>
  <c r="AO16" i="22"/>
  <c r="AL16" i="22"/>
  <c r="AQ15" i="22"/>
  <c r="AK15" i="22"/>
  <c r="AR14" i="22"/>
  <c r="AP14" i="22"/>
  <c r="AL14" i="22"/>
  <c r="AJ14" i="22"/>
  <c r="AR13" i="22"/>
  <c r="AO13" i="22"/>
  <c r="AR12" i="22"/>
  <c r="AQ12" i="22"/>
  <c r="AL12" i="22"/>
  <c r="AH12" i="22"/>
  <c r="AT12" i="22" s="1"/>
  <c r="AR11" i="22"/>
  <c r="AL11" i="22"/>
  <c r="AJ11" i="22"/>
  <c r="AH11" i="22"/>
  <c r="AN11" i="22" s="1"/>
  <c r="AR10" i="22"/>
  <c r="AQ10" i="22"/>
  <c r="AR9" i="22"/>
  <c r="AP9" i="22"/>
  <c r="AR8" i="22"/>
  <c r="AQ8" i="22"/>
  <c r="AP8" i="22"/>
  <c r="AO8" i="22"/>
  <c r="AK8" i="22"/>
  <c r="AJ8" i="22"/>
  <c r="AI8" i="22"/>
  <c r="AH8" i="22"/>
  <c r="AT8" i="22" s="1"/>
  <c r="AG124" i="22" l="1"/>
  <c r="AS124" i="22" s="1"/>
  <c r="AI110" i="22"/>
  <c r="AO56" i="22"/>
  <c r="AO116" i="22"/>
  <c r="AG11" i="22"/>
  <c r="AM11" i="22" s="1"/>
  <c r="AO35" i="22"/>
  <c r="AO41" i="22"/>
  <c r="AN94" i="22"/>
  <c r="AI68" i="22"/>
  <c r="AN71" i="22"/>
  <c r="AO92" i="22"/>
  <c r="AO47" i="22"/>
  <c r="AG83" i="22"/>
  <c r="AS83" i="22" s="1"/>
  <c r="AO29" i="22"/>
  <c r="AO98" i="22"/>
  <c r="AO11" i="22"/>
  <c r="AS75" i="22"/>
  <c r="AM75" i="22"/>
  <c r="AS78" i="22"/>
  <c r="AM78" i="22"/>
  <c r="AI36" i="22"/>
  <c r="AJ69" i="22"/>
  <c r="AO78" i="22"/>
  <c r="AH81" i="22"/>
  <c r="AN81" i="22" s="1"/>
  <c r="AH87" i="22"/>
  <c r="AN87" i="22" s="1"/>
  <c r="AG96" i="22"/>
  <c r="AS96" i="22" s="1"/>
  <c r="AP99" i="22"/>
  <c r="AJ102" i="22"/>
  <c r="AP108" i="22"/>
  <c r="AO117" i="22"/>
  <c r="AI120" i="22"/>
  <c r="AG123" i="22"/>
  <c r="AM123" i="22" s="1"/>
  <c r="AI12" i="22"/>
  <c r="AK14" i="22"/>
  <c r="AR15" i="22"/>
  <c r="AH18" i="22"/>
  <c r="AN18" i="22" s="1"/>
  <c r="AG20" i="22"/>
  <c r="AS20" i="22" s="1"/>
  <c r="AG24" i="22"/>
  <c r="AM24" i="22" s="1"/>
  <c r="AO27" i="22"/>
  <c r="AQ32" i="22"/>
  <c r="AJ36" i="22"/>
  <c r="AO38" i="22"/>
  <c r="AI48" i="22"/>
  <c r="AG60" i="22"/>
  <c r="AS60" i="22" s="1"/>
  <c r="AO65" i="22"/>
  <c r="AG72" i="22"/>
  <c r="AG74" i="22"/>
  <c r="AM74" i="22" s="1"/>
  <c r="AP78" i="22"/>
  <c r="AI81" i="22"/>
  <c r="AR84" i="22"/>
  <c r="AI87" i="22"/>
  <c r="AO93" i="22"/>
  <c r="AH96" i="22"/>
  <c r="AT96" i="22" s="1"/>
  <c r="AG105" i="22"/>
  <c r="AM105" i="22" s="1"/>
  <c r="AO111" i="22"/>
  <c r="AG114" i="22"/>
  <c r="AM114" i="22" s="1"/>
  <c r="AI116" i="22"/>
  <c r="AP117" i="22"/>
  <c r="AJ120" i="22"/>
  <c r="AH123" i="22"/>
  <c r="AN123" i="22" s="1"/>
  <c r="AP27" i="22"/>
  <c r="AH63" i="22"/>
  <c r="AI96" i="22"/>
  <c r="AI51" i="22"/>
  <c r="AG18" i="22"/>
  <c r="AM18" i="22" s="1"/>
  <c r="AJ12" i="22"/>
  <c r="AI18" i="22"/>
  <c r="AO21" i="22"/>
  <c r="AI24" i="22"/>
  <c r="AT57" i="22"/>
  <c r="AH60" i="22"/>
  <c r="AT60" i="22" s="1"/>
  <c r="AO63" i="22"/>
  <c r="AH72" i="22"/>
  <c r="AT72" i="22" s="1"/>
  <c r="AJ81" i="22"/>
  <c r="AP93" i="22"/>
  <c r="AJ96" i="22"/>
  <c r="AH105" i="22"/>
  <c r="AN105" i="22" s="1"/>
  <c r="AP111" i="22"/>
  <c r="AH114" i="22"/>
  <c r="AN114" i="22" s="1"/>
  <c r="AI123" i="22"/>
  <c r="AJ39" i="22"/>
  <c r="AO69" i="22"/>
  <c r="AG84" i="22"/>
  <c r="AI108" i="22"/>
  <c r="AJ18" i="22"/>
  <c r="AP21" i="22"/>
  <c r="AJ24" i="22"/>
  <c r="AO30" i="22"/>
  <c r="AG33" i="22"/>
  <c r="AM33" i="22" s="1"/>
  <c r="AO42" i="22"/>
  <c r="AI47" i="22"/>
  <c r="AG51" i="22"/>
  <c r="AM51" i="22" s="1"/>
  <c r="AO54" i="22"/>
  <c r="AI60" i="22"/>
  <c r="AP63" i="22"/>
  <c r="AQ65" i="22"/>
  <c r="AP69" i="22"/>
  <c r="AI72" i="22"/>
  <c r="AI74" i="22"/>
  <c r="AO75" i="22"/>
  <c r="AR78" i="22"/>
  <c r="AG90" i="22"/>
  <c r="AS90" i="22" s="1"/>
  <c r="AO102" i="22"/>
  <c r="AI105" i="22"/>
  <c r="AI114" i="22"/>
  <c r="AJ123" i="22"/>
  <c r="AI17" i="22"/>
  <c r="AI45" i="22"/>
  <c r="AI90" i="22"/>
  <c r="AJ51" i="22"/>
  <c r="AH66" i="22"/>
  <c r="AN66" i="22" s="1"/>
  <c r="AJ84" i="22"/>
  <c r="AJ90" i="22"/>
  <c r="AG99" i="22"/>
  <c r="AM99" i="22" s="1"/>
  <c r="AG108" i="22"/>
  <c r="AS108" i="22" s="1"/>
  <c r="AH9" i="22"/>
  <c r="AN9" i="22" s="1"/>
  <c r="AH24" i="22"/>
  <c r="AN24" i="22" s="1"/>
  <c r="AK47" i="22"/>
  <c r="AG65" i="22"/>
  <c r="AM65" i="22" s="1"/>
  <c r="AO104" i="22"/>
  <c r="AI39" i="22"/>
  <c r="AG9" i="22"/>
  <c r="AM9" i="22" s="1"/>
  <c r="AH99" i="22"/>
  <c r="AN99" i="22" s="1"/>
  <c r="AO99" i="22"/>
  <c r="AG15" i="22"/>
  <c r="AS15" i="22" s="1"/>
  <c r="AH15" i="22"/>
  <c r="AN15" i="22" s="1"/>
  <c r="AJ45" i="22"/>
  <c r="AI57" i="22"/>
  <c r="AI66" i="22"/>
  <c r="AH78" i="22"/>
  <c r="AT78" i="22" s="1"/>
  <c r="AH108" i="22"/>
  <c r="AT108" i="22" s="1"/>
  <c r="AI54" i="22"/>
  <c r="AQ59" i="22"/>
  <c r="AJ66" i="22"/>
  <c r="AG71" i="22"/>
  <c r="AM71" i="22" s="1"/>
  <c r="AI9" i="22"/>
  <c r="AJ15" i="22"/>
  <c r="AG21" i="22"/>
  <c r="AM21" i="22" s="1"/>
  <c r="AH27" i="22"/>
  <c r="AT27" i="22" s="1"/>
  <c r="AG50" i="22"/>
  <c r="AS50" i="22" s="1"/>
  <c r="AG63" i="22"/>
  <c r="AI78" i="22"/>
  <c r="AH93" i="22"/>
  <c r="AT93" i="22" s="1"/>
  <c r="AG111" i="22"/>
  <c r="AM111" i="22" s="1"/>
  <c r="AH117" i="22"/>
  <c r="AT117" i="22" s="1"/>
  <c r="AO14" i="22"/>
  <c r="AG93" i="22"/>
  <c r="AM93" i="22" s="1"/>
  <c r="AQ104" i="22"/>
  <c r="AO12" i="22"/>
  <c r="AJ33" i="22"/>
  <c r="AN47" i="22"/>
  <c r="AJ57" i="22"/>
  <c r="AI27" i="22"/>
  <c r="AG42" i="22"/>
  <c r="AM42" i="22" s="1"/>
  <c r="AG102" i="22"/>
  <c r="AS102" i="22" s="1"/>
  <c r="AO120" i="22"/>
  <c r="AG66" i="22"/>
  <c r="AS66" i="22" s="1"/>
  <c r="AO81" i="22"/>
  <c r="AH21" i="22"/>
  <c r="AN21" i="22" s="1"/>
  <c r="AG14" i="22"/>
  <c r="AM14" i="22" s="1"/>
  <c r="AG30" i="22"/>
  <c r="AM30" i="22" s="1"/>
  <c r="AP45" i="22"/>
  <c r="AI50" i="22"/>
  <c r="AH54" i="22"/>
  <c r="AI75" i="22"/>
  <c r="AO84" i="22"/>
  <c r="AI33" i="22"/>
  <c r="AI15" i="22"/>
  <c r="AG69" i="22"/>
  <c r="AS69" i="22" s="1"/>
  <c r="AH75" i="22"/>
  <c r="AT75" i="22" s="1"/>
  <c r="AH111" i="22"/>
  <c r="AN111" i="22" s="1"/>
  <c r="AN38" i="22"/>
  <c r="AN69" i="22"/>
  <c r="AN120" i="22"/>
  <c r="AS67" i="22"/>
  <c r="AM67" i="22"/>
  <c r="AS79" i="22"/>
  <c r="AM79" i="22"/>
  <c r="AM109" i="22"/>
  <c r="AS109" i="22"/>
  <c r="AN73" i="22"/>
  <c r="AT73" i="22"/>
  <c r="AT103" i="22"/>
  <c r="AN103" i="22"/>
  <c r="AO28" i="22"/>
  <c r="AL34" i="22"/>
  <c r="AO37" i="22"/>
  <c r="AO61" i="22"/>
  <c r="AT91" i="22"/>
  <c r="AN91" i="22"/>
  <c r="AI95" i="22"/>
  <c r="AG95" i="22"/>
  <c r="AS95" i="22" s="1"/>
  <c r="AH52" i="22"/>
  <c r="AT52" i="22" s="1"/>
  <c r="AG59" i="22"/>
  <c r="AM59" i="22" s="1"/>
  <c r="AI67" i="22"/>
  <c r="AH70" i="22"/>
  <c r="AN70" i="22" s="1"/>
  <c r="AI91" i="22"/>
  <c r="AP94" i="22"/>
  <c r="AJ32" i="22"/>
  <c r="AH32" i="22"/>
  <c r="AT32" i="22" s="1"/>
  <c r="AP41" i="22"/>
  <c r="AJ41" i="22"/>
  <c r="AH65" i="22"/>
  <c r="AN65" i="22" s="1"/>
  <c r="AJ65" i="22"/>
  <c r="AJ89" i="22"/>
  <c r="AH89" i="22"/>
  <c r="AN89" i="22" s="1"/>
  <c r="AJ95" i="22"/>
  <c r="AH95" i="22"/>
  <c r="AJ101" i="22"/>
  <c r="AH101" i="22"/>
  <c r="AP113" i="22"/>
  <c r="AJ113" i="22"/>
  <c r="AH122" i="22"/>
  <c r="AN122" i="22" s="1"/>
  <c r="AP122" i="22"/>
  <c r="AH23" i="22"/>
  <c r="AN30" i="22"/>
  <c r="AG35" i="22"/>
  <c r="AM35" i="22" s="1"/>
  <c r="AO43" i="22"/>
  <c r="AH49" i="22"/>
  <c r="AN49" i="22" s="1"/>
  <c r="AI52" i="22"/>
  <c r="AJ59" i="22"/>
  <c r="AR61" i="22"/>
  <c r="AN64" i="22"/>
  <c r="AJ67" i="22"/>
  <c r="AJ70" i="22"/>
  <c r="AP71" i="22"/>
  <c r="AH80" i="22"/>
  <c r="AN80" i="22" s="1"/>
  <c r="AO83" i="22"/>
  <c r="AJ91" i="22"/>
  <c r="AQ94" i="22"/>
  <c r="AI98" i="22"/>
  <c r="AO101" i="22"/>
  <c r="AG103" i="22"/>
  <c r="AM103" i="22" s="1"/>
  <c r="AH109" i="22"/>
  <c r="AT109" i="22" s="1"/>
  <c r="AI113" i="22"/>
  <c r="AH118" i="22"/>
  <c r="AN118" i="22" s="1"/>
  <c r="AS121" i="22"/>
  <c r="AO22" i="22"/>
  <c r="AM91" i="22"/>
  <c r="AS91" i="22"/>
  <c r="AP25" i="22"/>
  <c r="AI121" i="22"/>
  <c r="AG44" i="22"/>
  <c r="AS44" i="22" s="1"/>
  <c r="AO44" i="22"/>
  <c r="AG53" i="22"/>
  <c r="AM53" i="22" s="1"/>
  <c r="AI53" i="22"/>
  <c r="AI86" i="22"/>
  <c r="AO86" i="22"/>
  <c r="AG29" i="22"/>
  <c r="AM29" i="22" s="1"/>
  <c r="AJ116" i="22"/>
  <c r="AH116" i="22"/>
  <c r="AT116" i="22" s="1"/>
  <c r="AH13" i="22"/>
  <c r="AH26" i="22"/>
  <c r="AN26" i="22" s="1"/>
  <c r="AP53" i="22"/>
  <c r="AN14" i="22"/>
  <c r="AI26" i="22"/>
  <c r="AQ43" i="22"/>
  <c r="AO46" i="22"/>
  <c r="AI49" i="22"/>
  <c r="AG55" i="22"/>
  <c r="AN56" i="22"/>
  <c r="AH62" i="22"/>
  <c r="AO64" i="22"/>
  <c r="AO67" i="22"/>
  <c r="AG73" i="22"/>
  <c r="AM73" i="22" s="1"/>
  <c r="AI80" i="22"/>
  <c r="AI88" i="22"/>
  <c r="AK91" i="22"/>
  <c r="AR94" i="22"/>
  <c r="AJ98" i="22"/>
  <c r="AP101" i="22"/>
  <c r="AH106" i="22"/>
  <c r="AN106" i="22" s="1"/>
  <c r="AP109" i="22"/>
  <c r="AI118" i="22"/>
  <c r="AG122" i="22"/>
  <c r="AM122" i="22" s="1"/>
  <c r="AG37" i="22"/>
  <c r="AS37" i="22" s="1"/>
  <c r="AO19" i="22"/>
  <c r="AO31" i="22"/>
  <c r="AI43" i="22"/>
  <c r="AG70" i="22"/>
  <c r="AO32" i="22"/>
  <c r="AI32" i="22"/>
  <c r="AG62" i="22"/>
  <c r="AM62" i="22" s="1"/>
  <c r="AO62" i="22"/>
  <c r="AI77" i="22"/>
  <c r="AG77" i="22"/>
  <c r="AO89" i="22"/>
  <c r="AG89" i="22"/>
  <c r="AM89" i="22" s="1"/>
  <c r="AI107" i="22"/>
  <c r="AG107" i="22"/>
  <c r="AO119" i="22"/>
  <c r="AI119" i="22"/>
  <c r="AO40" i="22"/>
  <c r="AN43" i="22"/>
  <c r="AL46" i="22"/>
  <c r="AG49" i="22"/>
  <c r="AM49" i="22" s="1"/>
  <c r="AO53" i="22"/>
  <c r="AL64" i="22"/>
  <c r="AO71" i="22"/>
  <c r="AG80" i="22"/>
  <c r="AM80" i="22" s="1"/>
  <c r="AM83" i="22"/>
  <c r="AN98" i="22"/>
  <c r="AT98" i="22"/>
  <c r="AG118" i="22"/>
  <c r="AM118" i="22" s="1"/>
  <c r="AO121" i="22"/>
  <c r="AJ17" i="22"/>
  <c r="AP17" i="22"/>
  <c r="AJ83" i="22"/>
  <c r="AH83" i="22"/>
  <c r="AN83" i="22" s="1"/>
  <c r="AJ110" i="22"/>
  <c r="AP110" i="22"/>
  <c r="AN119" i="22"/>
  <c r="AT119" i="22"/>
  <c r="AH29" i="22"/>
  <c r="AT29" i="22" s="1"/>
  <c r="AH10" i="22"/>
  <c r="AN10" i="22" s="1"/>
  <c r="AI13" i="22"/>
  <c r="AO17" i="22"/>
  <c r="AI23" i="22"/>
  <c r="AJ13" i="22"/>
  <c r="AG19" i="22"/>
  <c r="AS19" i="22" s="1"/>
  <c r="AN20" i="22"/>
  <c r="AJ29" i="22"/>
  <c r="AJ35" i="22"/>
  <c r="AG38" i="22"/>
  <c r="AM38" i="22" s="1"/>
  <c r="AH41" i="22"/>
  <c r="AN41" i="22" s="1"/>
  <c r="AR43" i="22"/>
  <c r="AP46" i="22"/>
  <c r="AJ49" i="22"/>
  <c r="AH55" i="22"/>
  <c r="AN55" i="22" s="1"/>
  <c r="AI62" i="22"/>
  <c r="AP64" i="22"/>
  <c r="AO77" i="22"/>
  <c r="AJ80" i="22"/>
  <c r="AG85" i="22"/>
  <c r="AM85" i="22" s="1"/>
  <c r="AJ88" i="22"/>
  <c r="AH100" i="22"/>
  <c r="AT100" i="22" s="1"/>
  <c r="AI103" i="22"/>
  <c r="AS104" i="22"/>
  <c r="AI106" i="22"/>
  <c r="AO113" i="22"/>
  <c r="AI115" i="22"/>
  <c r="AJ118" i="22"/>
  <c r="AI122" i="22"/>
  <c r="AT61" i="22"/>
  <c r="AN61" i="22"/>
  <c r="AI28" i="22"/>
  <c r="AI40" i="22"/>
  <c r="AI16" i="22"/>
  <c r="AI41" i="22"/>
  <c r="AT44" i="22"/>
  <c r="AN44" i="22"/>
  <c r="AM52" i="22"/>
  <c r="AI55" i="22"/>
  <c r="AO59" i="22"/>
  <c r="AR67" i="22"/>
  <c r="AI73" i="22"/>
  <c r="AI82" i="22"/>
  <c r="AI85" i="22"/>
  <c r="AL88" i="22"/>
  <c r="AG92" i="22"/>
  <c r="AS92" i="22" s="1"/>
  <c r="AK100" i="22"/>
  <c r="AG110" i="22"/>
  <c r="AM110" i="22" s="1"/>
  <c r="AL118" i="22"/>
  <c r="AK13" i="22"/>
  <c r="AH19" i="22"/>
  <c r="AT19" i="22" s="1"/>
  <c r="AO20" i="22"/>
  <c r="AP10" i="22"/>
  <c r="AJ16" i="22"/>
  <c r="AG22" i="22"/>
  <c r="AS22" i="22" s="1"/>
  <c r="AO23" i="22"/>
  <c r="AO26" i="22"/>
  <c r="AI44" i="22"/>
  <c r="AQ49" i="22"/>
  <c r="AO52" i="22"/>
  <c r="AG68" i="22"/>
  <c r="AS68" i="22" s="1"/>
  <c r="AO70" i="22"/>
  <c r="AI76" i="22"/>
  <c r="AJ82" i="22"/>
  <c r="AO88" i="22"/>
  <c r="AO95" i="22"/>
  <c r="AT102" i="22"/>
  <c r="AN102" i="22"/>
  <c r="AQ103" i="22"/>
  <c r="AL106" i="22"/>
  <c r="AT110" i="22"/>
  <c r="AN110" i="22"/>
  <c r="AS113" i="22"/>
  <c r="AL115" i="22"/>
  <c r="AG119" i="22"/>
  <c r="AS119" i="22" s="1"/>
  <c r="AS30" i="22"/>
  <c r="AM15" i="22"/>
  <c r="AT22" i="22"/>
  <c r="AN22" i="22"/>
  <c r="AG34" i="22"/>
  <c r="AS34" i="22" s="1"/>
  <c r="AT74" i="22"/>
  <c r="AO106" i="22"/>
  <c r="AO115" i="22"/>
  <c r="AI124" i="22"/>
  <c r="AO58" i="22"/>
  <c r="AI58" i="22"/>
  <c r="AO79" i="22"/>
  <c r="AI79" i="22"/>
  <c r="AI94" i="22"/>
  <c r="AG94" i="22"/>
  <c r="AI100" i="22"/>
  <c r="AG100" i="22"/>
  <c r="AS100" i="22" s="1"/>
  <c r="AO109" i="22"/>
  <c r="AI109" i="22"/>
  <c r="AO112" i="22"/>
  <c r="AG112" i="22"/>
  <c r="AM112" i="22" s="1"/>
  <c r="AM115" i="22"/>
  <c r="AS115" i="22"/>
  <c r="AS86" i="22"/>
  <c r="AM86" i="22"/>
  <c r="AH31" i="22"/>
  <c r="AT31" i="22" s="1"/>
  <c r="AJ31" i="22"/>
  <c r="AH37" i="22"/>
  <c r="AJ37" i="22"/>
  <c r="AP73" i="22"/>
  <c r="AJ73" i="22"/>
  <c r="AH85" i="22"/>
  <c r="AP85" i="22"/>
  <c r="AJ85" i="22"/>
  <c r="AP103" i="22"/>
  <c r="AJ103" i="22"/>
  <c r="AJ112" i="22"/>
  <c r="AH112" i="22"/>
  <c r="AN112" i="22" s="1"/>
  <c r="AJ115" i="22"/>
  <c r="AH115" i="22"/>
  <c r="AN115" i="22" s="1"/>
  <c r="AP121" i="22"/>
  <c r="AJ121" i="22"/>
  <c r="AH124" i="22"/>
  <c r="AT124" i="22" s="1"/>
  <c r="AJ124" i="22"/>
  <c r="AG46" i="22"/>
  <c r="AM64" i="22"/>
  <c r="AS64" i="22"/>
  <c r="AS101" i="22"/>
  <c r="AM101" i="22"/>
  <c r="AQ28" i="22"/>
  <c r="AK28" i="22"/>
  <c r="AQ67" i="22"/>
  <c r="AK67" i="22"/>
  <c r="AQ97" i="22"/>
  <c r="AK97" i="22"/>
  <c r="AK106" i="22"/>
  <c r="AQ106" i="22"/>
  <c r="AQ109" i="22"/>
  <c r="AK109" i="22"/>
  <c r="AQ118" i="22"/>
  <c r="AK118" i="22"/>
  <c r="AQ121" i="22"/>
  <c r="AK121" i="22"/>
  <c r="AO10" i="22"/>
  <c r="AI10" i="22"/>
  <c r="AI34" i="22"/>
  <c r="AO25" i="22"/>
  <c r="AM96" i="22"/>
  <c r="AN107" i="22"/>
  <c r="AR28" i="22"/>
  <c r="AL28" i="22"/>
  <c r="AL40" i="22"/>
  <c r="AR40" i="22"/>
  <c r="AR49" i="22"/>
  <c r="AL49" i="22"/>
  <c r="AR91" i="22"/>
  <c r="AL91" i="22"/>
  <c r="AR97" i="22"/>
  <c r="AL97" i="22"/>
  <c r="AR103" i="22"/>
  <c r="AL103" i="22"/>
  <c r="AR109" i="22"/>
  <c r="AL109" i="22"/>
  <c r="AR121" i="22"/>
  <c r="AL121" i="22"/>
  <c r="AK11" i="22"/>
  <c r="AK23" i="22"/>
  <c r="AK80" i="22"/>
  <c r="AK113" i="22"/>
  <c r="AT21" i="22"/>
  <c r="AQ56" i="22"/>
  <c r="AK71" i="22"/>
  <c r="AS8" i="22"/>
  <c r="AS10" i="22"/>
  <c r="AT16" i="22"/>
  <c r="AS56" i="22"/>
  <c r="AT10" i="22"/>
  <c r="AM31" i="22"/>
  <c r="AN39" i="22"/>
  <c r="AN72" i="22"/>
  <c r="AM90" i="22"/>
  <c r="AN96" i="22"/>
  <c r="AT113" i="22"/>
  <c r="AT118" i="22"/>
  <c r="AM32" i="22"/>
  <c r="AM40" i="22"/>
  <c r="AS54" i="22"/>
  <c r="AS110" i="22"/>
  <c r="AM19" i="22"/>
  <c r="AM26" i="22"/>
  <c r="AS45" i="22"/>
  <c r="AT51" i="22"/>
  <c r="AN79" i="22"/>
  <c r="AN84" i="22"/>
  <c r="AN86" i="22"/>
  <c r="AT111" i="22"/>
  <c r="AS120" i="22"/>
  <c r="AT121" i="22"/>
  <c r="AM13" i="22"/>
  <c r="AM20" i="22"/>
  <c r="AS57" i="22"/>
  <c r="AT58" i="22"/>
  <c r="AS74" i="22"/>
  <c r="AS97" i="22"/>
  <c r="AS98" i="22"/>
  <c r="AM16" i="22"/>
  <c r="AS33" i="22"/>
  <c r="AT35" i="22"/>
  <c r="AS39" i="22"/>
  <c r="AT104" i="22"/>
  <c r="AN8" i="22"/>
  <c r="AS27" i="22"/>
  <c r="AT34" i="22"/>
  <c r="AM124" i="22"/>
  <c r="AT40" i="22"/>
  <c r="AM61" i="22"/>
  <c r="AS81" i="22"/>
  <c r="AM116" i="22"/>
  <c r="AS87" i="22"/>
  <c r="AT46" i="22"/>
  <c r="AN68" i="22"/>
  <c r="AS23" i="22"/>
  <c r="AM43" i="22"/>
  <c r="AN52" i="22"/>
  <c r="AM66" i="22"/>
  <c r="AN67" i="22"/>
  <c r="AT25" i="22"/>
  <c r="AT89" i="22"/>
  <c r="AS106" i="22"/>
  <c r="AT42" i="22"/>
  <c r="AS48" i="22"/>
  <c r="AM28" i="22"/>
  <c r="AT48" i="22"/>
  <c r="AS59" i="22"/>
  <c r="AT65" i="22"/>
  <c r="AS82" i="22"/>
  <c r="AS117" i="22"/>
  <c r="AS11" i="22"/>
  <c r="AS17" i="22"/>
  <c r="AN28" i="22"/>
  <c r="AS41" i="22"/>
  <c r="AN45" i="22"/>
  <c r="AS47" i="22"/>
  <c r="AT59" i="22"/>
  <c r="AT82" i="22"/>
  <c r="AS88" i="22"/>
  <c r="AN92" i="22"/>
  <c r="AS105" i="22"/>
  <c r="AT11" i="22"/>
  <c r="AT17" i="22"/>
  <c r="AS35" i="22"/>
  <c r="AS58" i="22"/>
  <c r="AT88" i="22"/>
  <c r="AT105" i="22"/>
  <c r="AT33" i="22"/>
  <c r="AT97" i="22"/>
  <c r="AM12" i="22"/>
  <c r="AT50" i="22"/>
  <c r="AN60" i="22"/>
  <c r="AN77" i="22"/>
  <c r="AN12" i="22"/>
  <c r="AM36" i="22"/>
  <c r="AN36" i="22"/>
  <c r="AN53" i="22"/>
  <c r="AT90" i="22"/>
  <c r="AN117" i="22"/>
  <c r="AM76" i="22"/>
  <c r="AS25" i="22"/>
  <c r="AT66" i="22"/>
  <c r="AN76" i="22"/>
  <c r="AN93" i="22"/>
  <c r="AZ124" i="22"/>
  <c r="AY124" i="22"/>
  <c r="AZ123" i="22"/>
  <c r="AY123" i="22"/>
  <c r="AZ122" i="22"/>
  <c r="AY122" i="22"/>
  <c r="AZ121" i="22"/>
  <c r="AY121" i="22"/>
  <c r="AZ120" i="22"/>
  <c r="AY120" i="22"/>
  <c r="AZ119" i="22"/>
  <c r="AY119" i="22"/>
  <c r="AZ118" i="22"/>
  <c r="AY118" i="22"/>
  <c r="AZ117" i="22"/>
  <c r="AY117" i="22"/>
  <c r="AZ116" i="22"/>
  <c r="AY116" i="22"/>
  <c r="AZ115" i="22"/>
  <c r="AY115" i="22"/>
  <c r="AZ114" i="22"/>
  <c r="AY114" i="22"/>
  <c r="AZ113" i="22"/>
  <c r="AY113" i="22"/>
  <c r="AZ112" i="22"/>
  <c r="AY112" i="22"/>
  <c r="AZ111" i="22"/>
  <c r="AY111" i="22"/>
  <c r="AZ110" i="22"/>
  <c r="AY110" i="22"/>
  <c r="AZ109" i="22"/>
  <c r="AY109" i="22"/>
  <c r="AZ108" i="22"/>
  <c r="AY108" i="22"/>
  <c r="AZ107" i="22"/>
  <c r="AY107" i="22"/>
  <c r="AZ106" i="22"/>
  <c r="AY106" i="22"/>
  <c r="AZ105" i="22"/>
  <c r="AY105" i="22"/>
  <c r="AZ104" i="22"/>
  <c r="AY104" i="22"/>
  <c r="AZ103" i="22"/>
  <c r="AY103" i="22"/>
  <c r="AZ102" i="22"/>
  <c r="AY102" i="22"/>
  <c r="AZ101" i="22"/>
  <c r="AY101" i="22"/>
  <c r="AZ100" i="22"/>
  <c r="AY100" i="22"/>
  <c r="AZ99" i="22"/>
  <c r="AY99" i="22"/>
  <c r="AZ98" i="22"/>
  <c r="AY98" i="22"/>
  <c r="AZ97" i="22"/>
  <c r="AY97" i="22"/>
  <c r="AZ96" i="22"/>
  <c r="AY96" i="22"/>
  <c r="AZ95" i="22"/>
  <c r="AY95" i="22"/>
  <c r="AZ94" i="22"/>
  <c r="AY94" i="22"/>
  <c r="AZ93" i="22"/>
  <c r="AY93" i="22"/>
  <c r="AZ92" i="22"/>
  <c r="AY92" i="22"/>
  <c r="AZ91" i="22"/>
  <c r="AY91" i="22"/>
  <c r="AZ90" i="22"/>
  <c r="AY90" i="22"/>
  <c r="AZ89" i="22"/>
  <c r="AY89" i="22"/>
  <c r="AZ88" i="22"/>
  <c r="AY88" i="22"/>
  <c r="AZ87" i="22"/>
  <c r="AY87" i="22"/>
  <c r="AZ86" i="22"/>
  <c r="AY86" i="22"/>
  <c r="AZ85" i="22"/>
  <c r="AY85" i="22"/>
  <c r="AZ84" i="22"/>
  <c r="AY84" i="22"/>
  <c r="AZ83" i="22"/>
  <c r="AY83" i="22"/>
  <c r="AZ82" i="22"/>
  <c r="AY82" i="22"/>
  <c r="AZ81" i="22"/>
  <c r="AY81" i="22"/>
  <c r="AZ80" i="22"/>
  <c r="AY80" i="22"/>
  <c r="AZ79" i="22"/>
  <c r="AY79" i="22"/>
  <c r="AZ78" i="22"/>
  <c r="AY78" i="22"/>
  <c r="AZ77" i="22"/>
  <c r="AY77" i="22"/>
  <c r="AZ76" i="22"/>
  <c r="AY76" i="22"/>
  <c r="AZ75" i="22"/>
  <c r="AY75" i="22"/>
  <c r="AZ74" i="22"/>
  <c r="AY74" i="22"/>
  <c r="AZ73" i="22"/>
  <c r="AY73" i="22"/>
  <c r="AZ72" i="22"/>
  <c r="AY72" i="22"/>
  <c r="AZ71" i="22"/>
  <c r="AY71" i="22"/>
  <c r="AZ70" i="22"/>
  <c r="AY70" i="22"/>
  <c r="AZ69" i="22"/>
  <c r="AY69" i="22"/>
  <c r="AZ68" i="22"/>
  <c r="AY68" i="22"/>
  <c r="AZ67" i="22"/>
  <c r="AY67" i="22"/>
  <c r="AZ66" i="22"/>
  <c r="AY66" i="22"/>
  <c r="AZ65" i="22"/>
  <c r="AY65" i="22"/>
  <c r="AZ64" i="22"/>
  <c r="AY64" i="22"/>
  <c r="AZ63" i="22"/>
  <c r="AY63" i="22"/>
  <c r="AZ62" i="22"/>
  <c r="AY62" i="22"/>
  <c r="AZ61" i="22"/>
  <c r="AY61" i="22"/>
  <c r="AZ60" i="22"/>
  <c r="AY60" i="22"/>
  <c r="AZ59" i="22"/>
  <c r="AY59" i="22"/>
  <c r="AZ58" i="22"/>
  <c r="AY58" i="22"/>
  <c r="AZ57" i="22"/>
  <c r="AY57" i="22"/>
  <c r="AZ56" i="22"/>
  <c r="AY56" i="22"/>
  <c r="AZ55" i="22"/>
  <c r="AY55" i="22"/>
  <c r="AZ54" i="22"/>
  <c r="AY54" i="22"/>
  <c r="AZ53" i="22"/>
  <c r="AY53" i="22"/>
  <c r="AZ52" i="22"/>
  <c r="AY52" i="22"/>
  <c r="AZ51" i="22"/>
  <c r="AY51" i="22"/>
  <c r="AZ50" i="22"/>
  <c r="AY50" i="22"/>
  <c r="AZ49" i="22"/>
  <c r="AY49" i="22"/>
  <c r="AZ48" i="22"/>
  <c r="AY48" i="22"/>
  <c r="AZ47" i="22"/>
  <c r="AY47" i="22"/>
  <c r="AZ46" i="22"/>
  <c r="AY46" i="22"/>
  <c r="AZ45" i="22"/>
  <c r="AY45" i="22"/>
  <c r="AZ44" i="22"/>
  <c r="AY44" i="22"/>
  <c r="AZ43" i="22"/>
  <c r="AY43" i="22"/>
  <c r="AZ42" i="22"/>
  <c r="AY42" i="22"/>
  <c r="AZ41" i="22"/>
  <c r="AY41" i="22"/>
  <c r="AZ40" i="22"/>
  <c r="AY40" i="22"/>
  <c r="AZ39" i="22"/>
  <c r="AY39" i="22"/>
  <c r="AZ38" i="22"/>
  <c r="AY38" i="22"/>
  <c r="AZ37" i="22"/>
  <c r="AY37" i="22"/>
  <c r="AZ36" i="22"/>
  <c r="AY36" i="22"/>
  <c r="AZ35" i="22"/>
  <c r="AY35" i="22"/>
  <c r="AZ34" i="22"/>
  <c r="AY34" i="22"/>
  <c r="AZ33" i="22"/>
  <c r="AY33" i="22"/>
  <c r="AZ32" i="22"/>
  <c r="AY32" i="22"/>
  <c r="AZ31" i="22"/>
  <c r="AY31" i="22"/>
  <c r="AZ30" i="22"/>
  <c r="AY30" i="22"/>
  <c r="AZ29" i="22"/>
  <c r="AY29" i="22"/>
  <c r="AZ28" i="22"/>
  <c r="AY28" i="22"/>
  <c r="AZ27" i="22"/>
  <c r="AY27" i="22"/>
  <c r="AZ26" i="22"/>
  <c r="AY26" i="22"/>
  <c r="AZ25" i="22"/>
  <c r="AY25" i="22"/>
  <c r="AZ24" i="22"/>
  <c r="AY24" i="22"/>
  <c r="AZ23" i="22"/>
  <c r="AY23" i="22"/>
  <c r="AZ22" i="22"/>
  <c r="AY22" i="22"/>
  <c r="AZ21" i="22"/>
  <c r="AY21" i="22"/>
  <c r="AZ20" i="22"/>
  <c r="AY20" i="22"/>
  <c r="AZ19" i="22"/>
  <c r="AY19" i="22"/>
  <c r="AZ18" i="22"/>
  <c r="AY18" i="22"/>
  <c r="AZ17" i="22"/>
  <c r="AY17" i="22"/>
  <c r="AZ16" i="22"/>
  <c r="AY16" i="22"/>
  <c r="AZ15" i="22"/>
  <c r="AY15" i="22"/>
  <c r="AZ14" i="22"/>
  <c r="AY14" i="22"/>
  <c r="AZ13" i="22"/>
  <c r="AY13" i="22"/>
  <c r="AZ12" i="22"/>
  <c r="AY12" i="22"/>
  <c r="AZ11" i="22"/>
  <c r="AY11" i="22"/>
  <c r="AZ10" i="22"/>
  <c r="AY10" i="22"/>
  <c r="AZ9" i="22"/>
  <c r="AY9" i="22"/>
  <c r="AZ8" i="22"/>
  <c r="AY8" i="22"/>
  <c r="AM37" i="22" l="1"/>
  <c r="AT122" i="22"/>
  <c r="AS122" i="22"/>
  <c r="AT18" i="22"/>
  <c r="AS65" i="22"/>
  <c r="AN116" i="22"/>
  <c r="AN108" i="22"/>
  <c r="AS89" i="22"/>
  <c r="AT123" i="22"/>
  <c r="AS111" i="22"/>
  <c r="AM102" i="22"/>
  <c r="AS80" i="22"/>
  <c r="AM60" i="22"/>
  <c r="AM108" i="22"/>
  <c r="AS21" i="22"/>
  <c r="AT115" i="22"/>
  <c r="AT114" i="22"/>
  <c r="AS71" i="22"/>
  <c r="AS114" i="22"/>
  <c r="AT9" i="22"/>
  <c r="AM50" i="22"/>
  <c r="AT15" i="22"/>
  <c r="AN32" i="22"/>
  <c r="AS123" i="22"/>
  <c r="AT26" i="22"/>
  <c r="AS93" i="22"/>
  <c r="AT99" i="22"/>
  <c r="AN27" i="22"/>
  <c r="AS118" i="22"/>
  <c r="AS14" i="22"/>
  <c r="AS42" i="22"/>
  <c r="AM69" i="22"/>
  <c r="AS24" i="22"/>
  <c r="AS51" i="22"/>
  <c r="AN78" i="22"/>
  <c r="AT87" i="22"/>
  <c r="AS63" i="22"/>
  <c r="AM63" i="22"/>
  <c r="AS103" i="22"/>
  <c r="AN75" i="22"/>
  <c r="AN63" i="22"/>
  <c r="AT63" i="22"/>
  <c r="AM100" i="22"/>
  <c r="AS99" i="22"/>
  <c r="AS18" i="22"/>
  <c r="AS9" i="22"/>
  <c r="AT70" i="22"/>
  <c r="AM34" i="22"/>
  <c r="AS38" i="22"/>
  <c r="AS84" i="22"/>
  <c r="AM84" i="22"/>
  <c r="AS72" i="22"/>
  <c r="AM72" i="22"/>
  <c r="AN29" i="22"/>
  <c r="AS53" i="22"/>
  <c r="AT54" i="22"/>
  <c r="AN54" i="22"/>
  <c r="AS29" i="22"/>
  <c r="AT81" i="22"/>
  <c r="AT24" i="22"/>
  <c r="AT112" i="22"/>
  <c r="AN31" i="22"/>
  <c r="AM22" i="22"/>
  <c r="AS77" i="22"/>
  <c r="AM77" i="22"/>
  <c r="AT62" i="22"/>
  <c r="AN62" i="22"/>
  <c r="AT85" i="22"/>
  <c r="AN85" i="22"/>
  <c r="AS70" i="22"/>
  <c r="AM70" i="22"/>
  <c r="AT101" i="22"/>
  <c r="AN101" i="22"/>
  <c r="AN124" i="22"/>
  <c r="AN109" i="22"/>
  <c r="AM95" i="22"/>
  <c r="AS85" i="22"/>
  <c r="AM68" i="22"/>
  <c r="AT37" i="22"/>
  <c r="AN37" i="22"/>
  <c r="AN23" i="22"/>
  <c r="AT23" i="22"/>
  <c r="AN95" i="22"/>
  <c r="AT95" i="22"/>
  <c r="AS49" i="22"/>
  <c r="AS94" i="22"/>
  <c r="AM94" i="22"/>
  <c r="AT13" i="22"/>
  <c r="AN13" i="22"/>
  <c r="AS62" i="22"/>
  <c r="AS112" i="22"/>
  <c r="AT106" i="22"/>
  <c r="AS107" i="22"/>
  <c r="AM107" i="22"/>
  <c r="AT83" i="22"/>
  <c r="AS73" i="22"/>
  <c r="AT80" i="22"/>
  <c r="AN100" i="22"/>
  <c r="AT41" i="22"/>
  <c r="AM92" i="22"/>
  <c r="AM44" i="22"/>
  <c r="AM119" i="22"/>
  <c r="AT55" i="22"/>
  <c r="AT49" i="22"/>
  <c r="AN19" i="22"/>
  <c r="AS55" i="22"/>
  <c r="AM55" i="22"/>
  <c r="AS46" i="22"/>
  <c r="AM46" i="22"/>
  <c r="BL124" i="22"/>
  <c r="BK124" i="22"/>
  <c r="BJ124" i="22"/>
  <c r="BI124" i="22"/>
  <c r="BH124" i="22"/>
  <c r="BG124" i="22"/>
  <c r="BF124" i="22"/>
  <c r="BE124" i="22"/>
  <c r="BD124" i="22"/>
  <c r="BC124" i="22"/>
  <c r="BB124" i="22"/>
  <c r="BA124" i="22"/>
  <c r="BL123" i="22"/>
  <c r="BK123" i="22"/>
  <c r="BJ123" i="22"/>
  <c r="BI123" i="22"/>
  <c r="BH123" i="22"/>
  <c r="BG123" i="22"/>
  <c r="BF123" i="22"/>
  <c r="BE123" i="22"/>
  <c r="BD123" i="22"/>
  <c r="BC123" i="22"/>
  <c r="BB123" i="22"/>
  <c r="BA123" i="22"/>
  <c r="BL122" i="22"/>
  <c r="BK122" i="22"/>
  <c r="BJ122" i="22"/>
  <c r="BI122" i="22"/>
  <c r="BH122" i="22"/>
  <c r="BG122" i="22"/>
  <c r="BF122" i="22"/>
  <c r="BE122" i="22"/>
  <c r="BD122" i="22"/>
  <c r="BC122" i="22"/>
  <c r="BB122" i="22"/>
  <c r="BA122" i="22"/>
  <c r="BL121" i="22"/>
  <c r="BK121" i="22"/>
  <c r="BJ121" i="22"/>
  <c r="BI121" i="22"/>
  <c r="BH121" i="22"/>
  <c r="BG121" i="22"/>
  <c r="BF121" i="22"/>
  <c r="BE121" i="22"/>
  <c r="BD121" i="22"/>
  <c r="BC121" i="22"/>
  <c r="BB121" i="22"/>
  <c r="BA121" i="22"/>
  <c r="BL120" i="22"/>
  <c r="BK120" i="22"/>
  <c r="BJ120" i="22"/>
  <c r="BI120" i="22"/>
  <c r="BH120" i="22"/>
  <c r="BG120" i="22"/>
  <c r="BF120" i="22"/>
  <c r="BE120" i="22"/>
  <c r="BD120" i="22"/>
  <c r="BC120" i="22"/>
  <c r="BB120" i="22"/>
  <c r="BA120" i="22"/>
  <c r="BL119" i="22"/>
  <c r="BK119" i="22"/>
  <c r="BJ119" i="22"/>
  <c r="BI119" i="22"/>
  <c r="BH119" i="22"/>
  <c r="BG119" i="22"/>
  <c r="BF119" i="22"/>
  <c r="BE119" i="22"/>
  <c r="BD119" i="22"/>
  <c r="BC119" i="22"/>
  <c r="BB119" i="22"/>
  <c r="BA119" i="22"/>
  <c r="BL118" i="22"/>
  <c r="BK118" i="22"/>
  <c r="BJ118" i="22"/>
  <c r="BI118" i="22"/>
  <c r="BH118" i="22"/>
  <c r="BG118" i="22"/>
  <c r="BF118" i="22"/>
  <c r="BE118" i="22"/>
  <c r="BD118" i="22"/>
  <c r="BC118" i="22"/>
  <c r="BB118" i="22"/>
  <c r="BA118" i="22"/>
  <c r="BL117" i="22"/>
  <c r="BK117" i="22"/>
  <c r="BJ117" i="22"/>
  <c r="BI117" i="22"/>
  <c r="BH117" i="22"/>
  <c r="BG117" i="22"/>
  <c r="BF117" i="22"/>
  <c r="BE117" i="22"/>
  <c r="BD117" i="22"/>
  <c r="BC117" i="22"/>
  <c r="BB117" i="22"/>
  <c r="BA117" i="22"/>
  <c r="BL116" i="22"/>
  <c r="BK116" i="22"/>
  <c r="BJ116" i="22"/>
  <c r="BI116" i="22"/>
  <c r="BH116" i="22"/>
  <c r="BG116" i="22"/>
  <c r="BF116" i="22"/>
  <c r="BE116" i="22"/>
  <c r="BD116" i="22"/>
  <c r="BC116" i="22"/>
  <c r="BB116" i="22"/>
  <c r="BA116" i="22"/>
  <c r="BL115" i="22"/>
  <c r="BK115" i="22"/>
  <c r="BJ115" i="22"/>
  <c r="BI115" i="22"/>
  <c r="BH115" i="22"/>
  <c r="BG115" i="22"/>
  <c r="BF115" i="22"/>
  <c r="BE115" i="22"/>
  <c r="BD115" i="22"/>
  <c r="BC115" i="22"/>
  <c r="BB115" i="22"/>
  <c r="BA115" i="22"/>
  <c r="BL114" i="22"/>
  <c r="BK114" i="22"/>
  <c r="BJ114" i="22"/>
  <c r="BI114" i="22"/>
  <c r="BH114" i="22"/>
  <c r="BG114" i="22"/>
  <c r="BF114" i="22"/>
  <c r="BE114" i="22"/>
  <c r="BD114" i="22"/>
  <c r="BC114" i="22"/>
  <c r="BB114" i="22"/>
  <c r="BA114" i="22"/>
  <c r="BL113" i="22"/>
  <c r="BK113" i="22"/>
  <c r="BJ113" i="22"/>
  <c r="BI113" i="22"/>
  <c r="BH113" i="22"/>
  <c r="BG113" i="22"/>
  <c r="BF113" i="22"/>
  <c r="BE113" i="22"/>
  <c r="BD113" i="22"/>
  <c r="BC113" i="22"/>
  <c r="BB113" i="22"/>
  <c r="BA113" i="22"/>
  <c r="BL112" i="22"/>
  <c r="BK112" i="22"/>
  <c r="BJ112" i="22"/>
  <c r="BI112" i="22"/>
  <c r="BH112" i="22"/>
  <c r="BG112" i="22"/>
  <c r="BF112" i="22"/>
  <c r="BE112" i="22"/>
  <c r="BD112" i="22"/>
  <c r="BC112" i="22"/>
  <c r="BB112" i="22"/>
  <c r="BA112" i="22"/>
  <c r="BL111" i="22"/>
  <c r="BK111" i="22"/>
  <c r="BJ111" i="22"/>
  <c r="BI111" i="22"/>
  <c r="BH111" i="22"/>
  <c r="BG111" i="22"/>
  <c r="BF111" i="22"/>
  <c r="BE111" i="22"/>
  <c r="BD111" i="22"/>
  <c r="BC111" i="22"/>
  <c r="BB111" i="22"/>
  <c r="BA111" i="22"/>
  <c r="BL110" i="22"/>
  <c r="BK110" i="22"/>
  <c r="BJ110" i="22"/>
  <c r="BI110" i="22"/>
  <c r="BH110" i="22"/>
  <c r="BG110" i="22"/>
  <c r="BF110" i="22"/>
  <c r="BE110" i="22"/>
  <c r="BD110" i="22"/>
  <c r="BC110" i="22"/>
  <c r="BB110" i="22"/>
  <c r="BA110" i="22"/>
  <c r="BL109" i="22"/>
  <c r="BK109" i="22"/>
  <c r="BJ109" i="22"/>
  <c r="BI109" i="22"/>
  <c r="BH109" i="22"/>
  <c r="BG109" i="22"/>
  <c r="BF109" i="22"/>
  <c r="BE109" i="22"/>
  <c r="BD109" i="22"/>
  <c r="BC109" i="22"/>
  <c r="BB109" i="22"/>
  <c r="BA109" i="22"/>
  <c r="BL108" i="22"/>
  <c r="BK108" i="22"/>
  <c r="BJ108" i="22"/>
  <c r="BI108" i="22"/>
  <c r="BH108" i="22"/>
  <c r="BG108" i="22"/>
  <c r="BF108" i="22"/>
  <c r="BE108" i="22"/>
  <c r="BD108" i="22"/>
  <c r="BC108" i="22"/>
  <c r="BB108" i="22"/>
  <c r="BA108" i="22"/>
  <c r="BL107" i="22"/>
  <c r="BK107" i="22"/>
  <c r="BJ107" i="22"/>
  <c r="BI107" i="22"/>
  <c r="BH107" i="22"/>
  <c r="BG107" i="22"/>
  <c r="BF107" i="22"/>
  <c r="BE107" i="22"/>
  <c r="BD107" i="22"/>
  <c r="BC107" i="22"/>
  <c r="BB107" i="22"/>
  <c r="BA107" i="22"/>
  <c r="BL106" i="22"/>
  <c r="BK106" i="22"/>
  <c r="BJ106" i="22"/>
  <c r="BI106" i="22"/>
  <c r="BH106" i="22"/>
  <c r="BG106" i="22"/>
  <c r="BF106" i="22"/>
  <c r="BE106" i="22"/>
  <c r="BD106" i="22"/>
  <c r="BC106" i="22"/>
  <c r="BB106" i="22"/>
  <c r="BA106" i="22"/>
  <c r="BL105" i="22"/>
  <c r="BK105" i="22"/>
  <c r="BJ105" i="22"/>
  <c r="BI105" i="22"/>
  <c r="BH105" i="22"/>
  <c r="BG105" i="22"/>
  <c r="BF105" i="22"/>
  <c r="BE105" i="22"/>
  <c r="BD105" i="22"/>
  <c r="BC105" i="22"/>
  <c r="BB105" i="22"/>
  <c r="BA105" i="22"/>
  <c r="BL104" i="22"/>
  <c r="BK104" i="22"/>
  <c r="BJ104" i="22"/>
  <c r="BI104" i="22"/>
  <c r="BH104" i="22"/>
  <c r="BG104" i="22"/>
  <c r="BF104" i="22"/>
  <c r="BE104" i="22"/>
  <c r="BD104" i="22"/>
  <c r="BC104" i="22"/>
  <c r="BB104" i="22"/>
  <c r="BA104" i="22"/>
  <c r="BL103" i="22"/>
  <c r="BK103" i="22"/>
  <c r="BJ103" i="22"/>
  <c r="BI103" i="22"/>
  <c r="BH103" i="22"/>
  <c r="BG103" i="22"/>
  <c r="BF103" i="22"/>
  <c r="BE103" i="22"/>
  <c r="BD103" i="22"/>
  <c r="BC103" i="22"/>
  <c r="BB103" i="22"/>
  <c r="BA103" i="22"/>
  <c r="BL102" i="22"/>
  <c r="BK102" i="22"/>
  <c r="BJ102" i="22"/>
  <c r="BI102" i="22"/>
  <c r="BH102" i="22"/>
  <c r="BG102" i="22"/>
  <c r="BF102" i="22"/>
  <c r="BE102" i="22"/>
  <c r="BD102" i="22"/>
  <c r="BC102" i="22"/>
  <c r="BB102" i="22"/>
  <c r="BA102" i="22"/>
  <c r="BL101" i="22"/>
  <c r="BK101" i="22"/>
  <c r="BJ101" i="22"/>
  <c r="BI101" i="22"/>
  <c r="BH101" i="22"/>
  <c r="BG101" i="22"/>
  <c r="BF101" i="22"/>
  <c r="BE101" i="22"/>
  <c r="BD101" i="22"/>
  <c r="BC101" i="22"/>
  <c r="BB101" i="22"/>
  <c r="BA101" i="22"/>
  <c r="BL100" i="22"/>
  <c r="BK100" i="22"/>
  <c r="BJ100" i="22"/>
  <c r="BI100" i="22"/>
  <c r="BH100" i="22"/>
  <c r="BG100" i="22"/>
  <c r="BF100" i="22"/>
  <c r="BE100" i="22"/>
  <c r="BD100" i="22"/>
  <c r="BC100" i="22"/>
  <c r="BB100" i="22"/>
  <c r="BA100" i="22"/>
  <c r="BL99" i="22"/>
  <c r="BK99" i="22"/>
  <c r="BJ99" i="22"/>
  <c r="BI99" i="22"/>
  <c r="BH99" i="22"/>
  <c r="BG99" i="22"/>
  <c r="BF99" i="22"/>
  <c r="BE99" i="22"/>
  <c r="BD99" i="22"/>
  <c r="BC99" i="22"/>
  <c r="BB99" i="22"/>
  <c r="BA99" i="22"/>
  <c r="BL98" i="22"/>
  <c r="BK98" i="22"/>
  <c r="BJ98" i="22"/>
  <c r="BI98" i="22"/>
  <c r="BH98" i="22"/>
  <c r="BG98" i="22"/>
  <c r="BF98" i="22"/>
  <c r="BE98" i="22"/>
  <c r="BD98" i="22"/>
  <c r="BC98" i="22"/>
  <c r="BB98" i="22"/>
  <c r="BA98" i="22"/>
  <c r="BL97" i="22"/>
  <c r="BK97" i="22"/>
  <c r="BJ97" i="22"/>
  <c r="BI97" i="22"/>
  <c r="BH97" i="22"/>
  <c r="BG97" i="22"/>
  <c r="BF97" i="22"/>
  <c r="BE97" i="22"/>
  <c r="BD97" i="22"/>
  <c r="BC97" i="22"/>
  <c r="BB97" i="22"/>
  <c r="BA97" i="22"/>
  <c r="BL96" i="22"/>
  <c r="BK96" i="22"/>
  <c r="BJ96" i="22"/>
  <c r="BI96" i="22"/>
  <c r="BH96" i="22"/>
  <c r="BG96" i="22"/>
  <c r="BF96" i="22"/>
  <c r="BE96" i="22"/>
  <c r="BD96" i="22"/>
  <c r="BC96" i="22"/>
  <c r="BB96" i="22"/>
  <c r="BA96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BL93" i="22"/>
  <c r="BK93" i="22"/>
  <c r="BJ93" i="22"/>
  <c r="BI93" i="22"/>
  <c r="BH93" i="22"/>
  <c r="BG93" i="22"/>
  <c r="BF93" i="22"/>
  <c r="BE93" i="22"/>
  <c r="BD93" i="22"/>
  <c r="BC93" i="22"/>
  <c r="BB93" i="22"/>
  <c r="BA93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BL83" i="22"/>
  <c r="BK83" i="22"/>
  <c r="BJ83" i="22"/>
  <c r="BI83" i="22"/>
  <c r="BH83" i="22"/>
  <c r="BG83" i="22"/>
  <c r="BF83" i="22"/>
  <c r="BE83" i="22"/>
  <c r="BD83" i="22"/>
  <c r="BC83" i="22"/>
  <c r="BB83" i="22"/>
  <c r="BA83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BL73" i="22"/>
  <c r="BK73" i="22"/>
  <c r="BJ73" i="22"/>
  <c r="BI73" i="22"/>
  <c r="BH73" i="22"/>
  <c r="BG73" i="22"/>
  <c r="BF73" i="22"/>
  <c r="BE73" i="22"/>
  <c r="BD73" i="22"/>
  <c r="BC73" i="22"/>
  <c r="BB73" i="22"/>
  <c r="BA73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BL68" i="22"/>
  <c r="BK68" i="22"/>
  <c r="BJ68" i="22"/>
  <c r="BI68" i="22"/>
  <c r="BH68" i="22"/>
  <c r="BG68" i="22"/>
  <c r="BF68" i="22"/>
  <c r="BE68" i="22"/>
  <c r="BD68" i="22"/>
  <c r="BC68" i="22"/>
  <c r="BB68" i="22"/>
  <c r="BA68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BL63" i="22"/>
  <c r="BK63" i="22"/>
  <c r="BJ63" i="22"/>
  <c r="BI63" i="22"/>
  <c r="BH63" i="22"/>
  <c r="BG63" i="22"/>
  <c r="BF63" i="22"/>
  <c r="BE63" i="22"/>
  <c r="BD63" i="22"/>
  <c r="BC63" i="22"/>
  <c r="BB63" i="22"/>
  <c r="BA63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BL48" i="22"/>
  <c r="BK48" i="22"/>
  <c r="BJ48" i="22"/>
  <c r="BI48" i="22"/>
  <c r="BH48" i="22"/>
  <c r="BG48" i="22"/>
  <c r="BF48" i="22"/>
  <c r="BE48" i="22"/>
  <c r="BD48" i="22"/>
  <c r="BC48" i="22"/>
  <c r="BB48" i="22"/>
  <c r="BA48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BL43" i="22"/>
  <c r="BK43" i="22"/>
  <c r="BJ43" i="22"/>
  <c r="BI43" i="22"/>
  <c r="BH43" i="22"/>
  <c r="BG43" i="22"/>
  <c r="BF43" i="22"/>
  <c r="BE43" i="22"/>
  <c r="BD43" i="22"/>
  <c r="BC43" i="22"/>
  <c r="BB43" i="22"/>
  <c r="BA43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BL33" i="22"/>
  <c r="BK33" i="22"/>
  <c r="BJ33" i="22"/>
  <c r="BI33" i="22"/>
  <c r="BH33" i="22"/>
  <c r="BG33" i="22"/>
  <c r="BF33" i="22"/>
  <c r="BE33" i="22"/>
  <c r="BD33" i="22"/>
  <c r="BC33" i="22"/>
  <c r="BB33" i="22"/>
  <c r="BA33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BL28" i="22"/>
  <c r="BK28" i="22"/>
  <c r="BJ28" i="22"/>
  <c r="BI28" i="22"/>
  <c r="BH28" i="22"/>
  <c r="BG28" i="22"/>
  <c r="BF28" i="22"/>
  <c r="BE28" i="22"/>
  <c r="BD28" i="22"/>
  <c r="BC28" i="22"/>
  <c r="BB28" i="22"/>
  <c r="BA28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BL24" i="22"/>
  <c r="BK24" i="22"/>
  <c r="BJ24" i="22"/>
  <c r="BI24" i="22"/>
  <c r="BH24" i="22"/>
  <c r="BG24" i="22"/>
  <c r="BF24" i="22"/>
  <c r="BE24" i="22"/>
  <c r="BD24" i="22"/>
  <c r="BC24" i="22"/>
  <c r="BB24" i="22"/>
  <c r="BA24" i="22"/>
  <c r="BL23" i="22"/>
  <c r="BK23" i="22"/>
  <c r="BJ23" i="22"/>
  <c r="BI23" i="22"/>
  <c r="BH23" i="22"/>
  <c r="BG23" i="22"/>
  <c r="BF23" i="22"/>
  <c r="BE23" i="22"/>
  <c r="BD23" i="22"/>
  <c r="BC23" i="22"/>
  <c r="BB23" i="22"/>
  <c r="BA23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BL20" i="22"/>
  <c r="BK20" i="22"/>
  <c r="BJ20" i="22"/>
  <c r="BI20" i="22"/>
  <c r="BH20" i="22"/>
  <c r="BG20" i="22"/>
  <c r="BF20" i="22"/>
  <c r="BE20" i="22"/>
  <c r="BD20" i="22"/>
  <c r="BC20" i="22"/>
  <c r="BB20" i="22"/>
  <c r="BA20" i="22"/>
  <c r="BL19" i="22"/>
  <c r="BK19" i="22"/>
  <c r="BJ19" i="22"/>
  <c r="BI19" i="22"/>
  <c r="BH19" i="22"/>
  <c r="BG19" i="22"/>
  <c r="BF19" i="22"/>
  <c r="BE19" i="22"/>
  <c r="BD19" i="22"/>
  <c r="BC19" i="22"/>
  <c r="BB19" i="22"/>
  <c r="BA19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BL11" i="22"/>
  <c r="BK11" i="22"/>
  <c r="BJ11" i="22"/>
  <c r="BI11" i="22"/>
  <c r="BH11" i="22"/>
  <c r="BG11" i="22"/>
  <c r="BF11" i="22"/>
  <c r="BE11" i="22"/>
  <c r="BD11" i="22"/>
  <c r="BC11" i="22"/>
  <c r="BB11" i="22"/>
  <c r="BA11" i="22"/>
  <c r="BL10" i="22"/>
  <c r="BK10" i="22"/>
  <c r="BJ10" i="22"/>
  <c r="BI10" i="22"/>
  <c r="BH10" i="22"/>
  <c r="BG10" i="22"/>
  <c r="BF10" i="22"/>
  <c r="BE10" i="22"/>
  <c r="BD10" i="22"/>
  <c r="BC10" i="22"/>
  <c r="BB10" i="22"/>
  <c r="BA10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BL8" i="22"/>
  <c r="BK8" i="22"/>
  <c r="BJ8" i="22"/>
  <c r="BI8" i="22"/>
  <c r="BH8" i="22"/>
  <c r="BG8" i="22"/>
  <c r="BF8" i="22"/>
  <c r="BE8" i="22"/>
  <c r="BD8" i="22"/>
  <c r="BC8" i="22"/>
  <c r="BB8" i="22"/>
  <c r="BA8" i="22"/>
  <c r="Q8" i="22" l="1"/>
  <c r="X124" i="22" l="1"/>
  <c r="W124" i="22"/>
  <c r="X123" i="22"/>
  <c r="W123" i="22"/>
  <c r="X122" i="22"/>
  <c r="W122" i="22"/>
  <c r="X121" i="22"/>
  <c r="W121" i="22"/>
  <c r="X120" i="22"/>
  <c r="W120" i="22"/>
  <c r="X119" i="22"/>
  <c r="W119" i="22"/>
  <c r="X118" i="22"/>
  <c r="W118" i="22"/>
  <c r="X117" i="22"/>
  <c r="W117" i="22"/>
  <c r="X116" i="22"/>
  <c r="W116" i="22"/>
  <c r="X115" i="22"/>
  <c r="W115" i="22"/>
  <c r="X114" i="22"/>
  <c r="W114" i="22"/>
  <c r="X113" i="22"/>
  <c r="W113" i="22"/>
  <c r="X112" i="22"/>
  <c r="W112" i="22"/>
  <c r="X111" i="22"/>
  <c r="W111" i="22"/>
  <c r="X110" i="22"/>
  <c r="W110" i="22"/>
  <c r="X109" i="22"/>
  <c r="W109" i="22"/>
  <c r="X108" i="22"/>
  <c r="W108" i="22"/>
  <c r="X107" i="22"/>
  <c r="W107" i="22"/>
  <c r="X106" i="22"/>
  <c r="W106" i="22"/>
  <c r="X105" i="22"/>
  <c r="W105" i="22"/>
  <c r="X104" i="22"/>
  <c r="W104" i="22"/>
  <c r="X103" i="22"/>
  <c r="W103" i="22"/>
  <c r="X102" i="22"/>
  <c r="W102" i="22"/>
  <c r="X101" i="22"/>
  <c r="W101" i="22"/>
  <c r="X100" i="22"/>
  <c r="W100" i="22"/>
  <c r="X99" i="22"/>
  <c r="W99" i="22"/>
  <c r="X98" i="22"/>
  <c r="W98" i="22"/>
  <c r="X97" i="22"/>
  <c r="W97" i="22"/>
  <c r="X96" i="22"/>
  <c r="W96" i="22"/>
  <c r="X95" i="22"/>
  <c r="W95" i="22"/>
  <c r="X94" i="22"/>
  <c r="W94" i="22"/>
  <c r="X93" i="22"/>
  <c r="W93" i="22"/>
  <c r="X92" i="22"/>
  <c r="W92" i="22"/>
  <c r="X91" i="22"/>
  <c r="W91" i="22"/>
  <c r="X90" i="22"/>
  <c r="W90" i="22"/>
  <c r="X89" i="22"/>
  <c r="W89" i="22"/>
  <c r="X88" i="22"/>
  <c r="W88" i="22"/>
  <c r="X87" i="22"/>
  <c r="W87" i="22"/>
  <c r="X86" i="22"/>
  <c r="W86" i="22"/>
  <c r="X85" i="22"/>
  <c r="W85" i="22"/>
  <c r="X84" i="22"/>
  <c r="W84" i="22"/>
  <c r="X83" i="22"/>
  <c r="W83" i="22"/>
  <c r="X82" i="22"/>
  <c r="W82" i="22"/>
  <c r="X81" i="22"/>
  <c r="W81" i="22"/>
  <c r="X80" i="22"/>
  <c r="W80" i="22"/>
  <c r="X79" i="22"/>
  <c r="W79" i="22"/>
  <c r="X78" i="22"/>
  <c r="W78" i="22"/>
  <c r="X77" i="22"/>
  <c r="W77" i="22"/>
  <c r="X76" i="22"/>
  <c r="W76" i="22"/>
  <c r="X75" i="22"/>
  <c r="W75" i="22"/>
  <c r="X74" i="22"/>
  <c r="W74" i="22"/>
  <c r="X73" i="22"/>
  <c r="W73" i="22"/>
  <c r="X72" i="22"/>
  <c r="W72" i="22"/>
  <c r="X71" i="22"/>
  <c r="W71" i="22"/>
  <c r="X70" i="22"/>
  <c r="W70" i="22"/>
  <c r="X69" i="22"/>
  <c r="W69" i="22"/>
  <c r="X68" i="22"/>
  <c r="W68" i="22"/>
  <c r="X67" i="22"/>
  <c r="W67" i="22"/>
  <c r="X66" i="22"/>
  <c r="W66" i="22"/>
  <c r="X65" i="22"/>
  <c r="W65" i="22"/>
  <c r="X64" i="22"/>
  <c r="W64" i="22"/>
  <c r="X63" i="22"/>
  <c r="W63" i="22"/>
  <c r="X62" i="22"/>
  <c r="W62" i="22"/>
  <c r="X61" i="22"/>
  <c r="W61" i="22"/>
  <c r="X60" i="22"/>
  <c r="W60" i="22"/>
  <c r="X59" i="22"/>
  <c r="W59" i="22"/>
  <c r="X58" i="22"/>
  <c r="W58" i="22"/>
  <c r="X57" i="22"/>
  <c r="W57" i="22"/>
  <c r="X56" i="22"/>
  <c r="W56" i="22"/>
  <c r="X55" i="22"/>
  <c r="W55" i="22"/>
  <c r="X54" i="22"/>
  <c r="W54" i="22"/>
  <c r="X53" i="22"/>
  <c r="W53" i="22"/>
  <c r="X52" i="22"/>
  <c r="W52" i="22"/>
  <c r="X51" i="22"/>
  <c r="W51" i="22"/>
  <c r="X50" i="22"/>
  <c r="W50" i="22"/>
  <c r="X49" i="22"/>
  <c r="W49" i="22"/>
  <c r="X48" i="22"/>
  <c r="W48" i="22"/>
  <c r="X47" i="22"/>
  <c r="W47" i="22"/>
  <c r="X46" i="22"/>
  <c r="W46" i="22"/>
  <c r="X45" i="22"/>
  <c r="W45" i="22"/>
  <c r="X44" i="22"/>
  <c r="W44" i="22"/>
  <c r="X43" i="22"/>
  <c r="W43" i="22"/>
  <c r="X42" i="22"/>
  <c r="W42" i="22"/>
  <c r="X41" i="22"/>
  <c r="W41" i="22"/>
  <c r="X40" i="22"/>
  <c r="W40" i="22"/>
  <c r="X39" i="22"/>
  <c r="W39" i="22"/>
  <c r="X38" i="22"/>
  <c r="W38" i="22"/>
  <c r="X37" i="22"/>
  <c r="W37" i="22"/>
  <c r="X36" i="22"/>
  <c r="W36" i="22"/>
  <c r="X35" i="22"/>
  <c r="W35" i="22"/>
  <c r="X34" i="22"/>
  <c r="W34" i="22"/>
  <c r="X33" i="22"/>
  <c r="W33" i="22"/>
  <c r="X32" i="22"/>
  <c r="W32" i="22"/>
  <c r="X31" i="22"/>
  <c r="W31" i="22"/>
  <c r="X30" i="22"/>
  <c r="W30" i="22"/>
  <c r="X29" i="22"/>
  <c r="W29" i="22"/>
  <c r="X28" i="22"/>
  <c r="W28" i="22"/>
  <c r="X27" i="22"/>
  <c r="W27" i="22"/>
  <c r="X26" i="22"/>
  <c r="W26" i="22"/>
  <c r="X25" i="22"/>
  <c r="W25" i="22"/>
  <c r="X24" i="22"/>
  <c r="W24" i="22"/>
  <c r="X23" i="22"/>
  <c r="W23" i="22"/>
  <c r="X22" i="22"/>
  <c r="W22" i="22"/>
  <c r="X21" i="22"/>
  <c r="W21" i="22"/>
  <c r="X20" i="22"/>
  <c r="W20" i="22"/>
  <c r="X19" i="22"/>
  <c r="W19" i="22"/>
  <c r="X18" i="22"/>
  <c r="W18" i="22"/>
  <c r="X17" i="22"/>
  <c r="W17" i="22"/>
  <c r="X16" i="22"/>
  <c r="W16" i="22"/>
  <c r="X15" i="22"/>
  <c r="W15" i="22"/>
  <c r="X14" i="22"/>
  <c r="W14" i="22"/>
  <c r="X13" i="22"/>
  <c r="W13" i="22"/>
  <c r="X12" i="22"/>
  <c r="W12" i="22"/>
  <c r="X11" i="22"/>
  <c r="W11" i="22"/>
  <c r="X10" i="22"/>
  <c r="W10" i="22"/>
  <c r="X9" i="22"/>
  <c r="W9" i="22"/>
  <c r="X8" i="22"/>
  <c r="W8" i="22"/>
  <c r="R124" i="22"/>
  <c r="Q124" i="22"/>
  <c r="R123" i="22"/>
  <c r="Q123" i="22"/>
  <c r="R122" i="22"/>
  <c r="Q122" i="22"/>
  <c r="R121" i="22"/>
  <c r="Q121" i="22"/>
  <c r="R120" i="22"/>
  <c r="Q120" i="22"/>
  <c r="R119" i="22"/>
  <c r="Q119" i="22"/>
  <c r="R118" i="22"/>
  <c r="Q118" i="22"/>
  <c r="R117" i="22"/>
  <c r="Q117" i="22"/>
  <c r="R116" i="22"/>
  <c r="Q116" i="22"/>
  <c r="R115" i="22"/>
  <c r="Q115" i="22"/>
  <c r="R114" i="22"/>
  <c r="Q114" i="22"/>
  <c r="R113" i="22"/>
  <c r="Q113" i="22"/>
  <c r="R112" i="22"/>
  <c r="Q112" i="22"/>
  <c r="R111" i="22"/>
  <c r="Q111" i="22"/>
  <c r="R110" i="22"/>
  <c r="Q110" i="22"/>
  <c r="R109" i="22"/>
  <c r="Q109" i="22"/>
  <c r="R108" i="22"/>
  <c r="Q108" i="22"/>
  <c r="R107" i="22"/>
  <c r="Q107" i="22"/>
  <c r="R106" i="22"/>
  <c r="Q106" i="22"/>
  <c r="R105" i="22"/>
  <c r="Q105" i="22"/>
  <c r="R104" i="22"/>
  <c r="Q104" i="22"/>
  <c r="R103" i="22"/>
  <c r="Q103" i="22"/>
  <c r="R102" i="22"/>
  <c r="Q102" i="22"/>
  <c r="R101" i="22"/>
  <c r="Q101" i="22"/>
  <c r="R100" i="22"/>
  <c r="Q100" i="22"/>
  <c r="R99" i="22"/>
  <c r="Q99" i="22"/>
  <c r="R98" i="22"/>
  <c r="Q98" i="22"/>
  <c r="R97" i="22"/>
  <c r="Q97" i="22"/>
  <c r="R96" i="22"/>
  <c r="Q96" i="22"/>
  <c r="R95" i="22"/>
  <c r="Q95" i="22"/>
  <c r="R94" i="22"/>
  <c r="Q94" i="22"/>
  <c r="R93" i="22"/>
  <c r="Q93" i="22"/>
  <c r="R92" i="22"/>
  <c r="Q92" i="22"/>
  <c r="R91" i="22"/>
  <c r="Q91" i="22"/>
  <c r="R90" i="22"/>
  <c r="Q90" i="22"/>
  <c r="R89" i="22"/>
  <c r="Q89" i="22"/>
  <c r="R88" i="22"/>
  <c r="Q88" i="22"/>
  <c r="R87" i="22"/>
  <c r="Q87" i="22"/>
  <c r="R86" i="22"/>
  <c r="Q86" i="22"/>
  <c r="R85" i="22"/>
  <c r="Q85" i="22"/>
  <c r="R84" i="22"/>
  <c r="Q84" i="22"/>
  <c r="R83" i="22"/>
  <c r="Q83" i="22"/>
  <c r="R82" i="22"/>
  <c r="Q82" i="22"/>
  <c r="R81" i="22"/>
  <c r="Q81" i="22"/>
  <c r="R80" i="22"/>
  <c r="Q80" i="22"/>
  <c r="R79" i="22"/>
  <c r="Q79" i="22"/>
  <c r="R78" i="22"/>
  <c r="Q78" i="22"/>
  <c r="R77" i="22"/>
  <c r="Q77" i="22"/>
  <c r="R76" i="22"/>
  <c r="Q76" i="22"/>
  <c r="R75" i="22"/>
  <c r="Q75" i="22"/>
  <c r="R74" i="22"/>
  <c r="Q74" i="22"/>
  <c r="R73" i="22"/>
  <c r="Q73" i="22"/>
  <c r="R72" i="22"/>
  <c r="Q72" i="22"/>
  <c r="R71" i="22"/>
  <c r="Q71" i="22"/>
  <c r="R70" i="22"/>
  <c r="Q70" i="22"/>
  <c r="R69" i="22"/>
  <c r="Q69" i="22"/>
  <c r="R68" i="22"/>
  <c r="Q68" i="22"/>
  <c r="R67" i="22"/>
  <c r="Q67" i="22"/>
  <c r="R66" i="22"/>
  <c r="Q66" i="22"/>
  <c r="R65" i="22"/>
  <c r="Q65" i="22"/>
  <c r="R64" i="22"/>
  <c r="Q64" i="22"/>
  <c r="R63" i="22"/>
  <c r="Q63" i="22"/>
  <c r="R62" i="22"/>
  <c r="Q62" i="22"/>
  <c r="R61" i="22"/>
  <c r="Q61" i="22"/>
  <c r="R60" i="22"/>
  <c r="Q60" i="22"/>
  <c r="R59" i="22"/>
  <c r="Q59" i="22"/>
  <c r="R58" i="22"/>
  <c r="Q58" i="22"/>
  <c r="R57" i="22"/>
  <c r="Q57" i="22"/>
  <c r="R56" i="22"/>
  <c r="Q56" i="22"/>
  <c r="R55" i="22"/>
  <c r="Q55" i="22"/>
  <c r="R54" i="22"/>
  <c r="Q54" i="22"/>
  <c r="R53" i="22"/>
  <c r="Q53" i="22"/>
  <c r="R52" i="22"/>
  <c r="Q52" i="22"/>
  <c r="R51" i="22"/>
  <c r="Q51" i="22"/>
  <c r="R50" i="22"/>
  <c r="Q50" i="22"/>
  <c r="R49" i="22"/>
  <c r="Q49" i="22"/>
  <c r="R48" i="22"/>
  <c r="Q48" i="22"/>
  <c r="R47" i="22"/>
  <c r="Q47" i="22"/>
  <c r="R46" i="22"/>
  <c r="Q46" i="22"/>
  <c r="R45" i="22"/>
  <c r="Q45" i="22"/>
  <c r="R44" i="22"/>
  <c r="Q44" i="22"/>
  <c r="R43" i="22"/>
  <c r="Q43" i="22"/>
  <c r="R42" i="22"/>
  <c r="Q42" i="22"/>
  <c r="R41" i="22"/>
  <c r="Q41" i="22"/>
  <c r="R40" i="22"/>
  <c r="Q40" i="22"/>
  <c r="R39" i="22"/>
  <c r="Q39" i="22"/>
  <c r="R38" i="22"/>
  <c r="Q38" i="22"/>
  <c r="R37" i="22"/>
  <c r="Q37" i="22"/>
  <c r="R36" i="22"/>
  <c r="Q36" i="22"/>
  <c r="R35" i="22"/>
  <c r="Q35" i="22"/>
  <c r="R34" i="22"/>
  <c r="Q34" i="22"/>
  <c r="R33" i="22"/>
  <c r="Q33" i="22"/>
  <c r="R32" i="22"/>
  <c r="Q32" i="22"/>
  <c r="R31" i="22"/>
  <c r="Q31" i="22"/>
  <c r="R30" i="22"/>
  <c r="Q30" i="22"/>
  <c r="R29" i="22"/>
  <c r="Q29" i="22"/>
  <c r="R28" i="22"/>
  <c r="Q28" i="22"/>
  <c r="R27" i="22"/>
  <c r="Q27" i="22"/>
  <c r="R26" i="22"/>
  <c r="Q26" i="22"/>
  <c r="R25" i="22"/>
  <c r="Q25" i="22"/>
  <c r="R24" i="22"/>
  <c r="Q24" i="22"/>
  <c r="R23" i="22"/>
  <c r="Q23" i="22"/>
  <c r="R22" i="22"/>
  <c r="Q22" i="22"/>
  <c r="R21" i="22"/>
  <c r="Q21" i="22"/>
  <c r="R20" i="22"/>
  <c r="Q20" i="22"/>
  <c r="R19" i="22"/>
  <c r="Q19" i="22"/>
  <c r="R18" i="22"/>
  <c r="Q18" i="22"/>
  <c r="R17" i="22"/>
  <c r="Q17" i="22"/>
  <c r="R16" i="22"/>
  <c r="Q16" i="22"/>
  <c r="R15" i="22"/>
  <c r="Q15" i="22"/>
  <c r="R14" i="22"/>
  <c r="Q14" i="22"/>
  <c r="R13" i="22"/>
  <c r="Q13" i="22"/>
  <c r="R12" i="22"/>
  <c r="Q12" i="22"/>
  <c r="R11" i="22"/>
  <c r="Q11" i="22"/>
  <c r="R10" i="22"/>
  <c r="Q10" i="22"/>
  <c r="R9" i="22"/>
  <c r="Q9" i="22"/>
  <c r="R8" i="22"/>
  <c r="AB124" i="22" l="1"/>
  <c r="AA124" i="22"/>
  <c r="Z124" i="22"/>
  <c r="Y124" i="22"/>
  <c r="V124" i="22"/>
  <c r="U124" i="22"/>
  <c r="T124" i="22"/>
  <c r="S124" i="22"/>
  <c r="AB123" i="22"/>
  <c r="AA123" i="22"/>
  <c r="Z123" i="22"/>
  <c r="Y123" i="22"/>
  <c r="AB122" i="22"/>
  <c r="AA122" i="22"/>
  <c r="Z122" i="22"/>
  <c r="Y122" i="22"/>
  <c r="AB121" i="22"/>
  <c r="AA121" i="22"/>
  <c r="Z121" i="22"/>
  <c r="Y121" i="22"/>
  <c r="AB120" i="22"/>
  <c r="AA120" i="22"/>
  <c r="Z120" i="22"/>
  <c r="Y120" i="22"/>
  <c r="AB119" i="22"/>
  <c r="AA119" i="22"/>
  <c r="Z119" i="22"/>
  <c r="Y119" i="22"/>
  <c r="AB118" i="22"/>
  <c r="AA118" i="22"/>
  <c r="Z118" i="22"/>
  <c r="Y118" i="22"/>
  <c r="AB117" i="22"/>
  <c r="AA117" i="22"/>
  <c r="Z117" i="22"/>
  <c r="Y117" i="22"/>
  <c r="AB116" i="22"/>
  <c r="AA116" i="22"/>
  <c r="Z116" i="22"/>
  <c r="Y116" i="22"/>
  <c r="AB115" i="22"/>
  <c r="AA115" i="22"/>
  <c r="Z115" i="22"/>
  <c r="Y115" i="22"/>
  <c r="AB114" i="22"/>
  <c r="AA114" i="22"/>
  <c r="Z114" i="22"/>
  <c r="Y114" i="22"/>
  <c r="AB113" i="22"/>
  <c r="AA113" i="22"/>
  <c r="Z113" i="22"/>
  <c r="Y113" i="22"/>
  <c r="AB112" i="22"/>
  <c r="AA112" i="22"/>
  <c r="Z112" i="22"/>
  <c r="Y112" i="22"/>
  <c r="AB111" i="22"/>
  <c r="AA111" i="22"/>
  <c r="Z111" i="22"/>
  <c r="Y111" i="22"/>
  <c r="AB110" i="22"/>
  <c r="AA110" i="22"/>
  <c r="Z110" i="22"/>
  <c r="Y110" i="22"/>
  <c r="AB109" i="22"/>
  <c r="AA109" i="22"/>
  <c r="Z109" i="22"/>
  <c r="Y109" i="22"/>
  <c r="AB108" i="22"/>
  <c r="AA108" i="22"/>
  <c r="Z108" i="22"/>
  <c r="Y108" i="22"/>
  <c r="AB107" i="22"/>
  <c r="AA107" i="22"/>
  <c r="Z107" i="22"/>
  <c r="Y107" i="22"/>
  <c r="AB106" i="22"/>
  <c r="AA106" i="22"/>
  <c r="Z106" i="22"/>
  <c r="Y106" i="22"/>
  <c r="AB105" i="22"/>
  <c r="AA105" i="22"/>
  <c r="Z105" i="22"/>
  <c r="Y105" i="22"/>
  <c r="AB104" i="22"/>
  <c r="AA104" i="22"/>
  <c r="Z104" i="22"/>
  <c r="Y104" i="22"/>
  <c r="AB103" i="22"/>
  <c r="AA103" i="22"/>
  <c r="Z103" i="22"/>
  <c r="Y103" i="22"/>
  <c r="AB102" i="22"/>
  <c r="AA102" i="22"/>
  <c r="Z102" i="22"/>
  <c r="Y102" i="22"/>
  <c r="AB101" i="22"/>
  <c r="AA101" i="22"/>
  <c r="Z101" i="22"/>
  <c r="Y101" i="22"/>
  <c r="AB100" i="22"/>
  <c r="AA100" i="22"/>
  <c r="Z100" i="22"/>
  <c r="Y100" i="22"/>
  <c r="AB99" i="22"/>
  <c r="AA99" i="22"/>
  <c r="Z99" i="22"/>
  <c r="Y99" i="22"/>
  <c r="AB98" i="22"/>
  <c r="AA98" i="22"/>
  <c r="Z98" i="22"/>
  <c r="Y98" i="22"/>
  <c r="AB97" i="22"/>
  <c r="AA97" i="22"/>
  <c r="Z97" i="22"/>
  <c r="Y97" i="22"/>
  <c r="AB96" i="22"/>
  <c r="AA96" i="22"/>
  <c r="Z96" i="22"/>
  <c r="Y96" i="22"/>
  <c r="AB95" i="22"/>
  <c r="AA95" i="22"/>
  <c r="Z95" i="22"/>
  <c r="Y95" i="22"/>
  <c r="AB94" i="22"/>
  <c r="AA94" i="22"/>
  <c r="Z94" i="22"/>
  <c r="Y94" i="22"/>
  <c r="AB93" i="22"/>
  <c r="AA93" i="22"/>
  <c r="Z93" i="22"/>
  <c r="Y93" i="22"/>
  <c r="AB92" i="22"/>
  <c r="AA92" i="22"/>
  <c r="Z92" i="22"/>
  <c r="Y92" i="22"/>
  <c r="AB91" i="22"/>
  <c r="AA91" i="22"/>
  <c r="Z91" i="22"/>
  <c r="Y91" i="22"/>
  <c r="AB90" i="22"/>
  <c r="AA90" i="22"/>
  <c r="Z90" i="22"/>
  <c r="Y90" i="22"/>
  <c r="AB89" i="22"/>
  <c r="AA89" i="22"/>
  <c r="Z89" i="22"/>
  <c r="Y89" i="22"/>
  <c r="AB88" i="22"/>
  <c r="AA88" i="22"/>
  <c r="Z88" i="22"/>
  <c r="Y88" i="22"/>
  <c r="AB87" i="22"/>
  <c r="AA87" i="22"/>
  <c r="Z87" i="22"/>
  <c r="Y87" i="22"/>
  <c r="AB86" i="22"/>
  <c r="AA86" i="22"/>
  <c r="Z86" i="22"/>
  <c r="Y86" i="22"/>
  <c r="AB85" i="22"/>
  <c r="AA85" i="22"/>
  <c r="Z85" i="22"/>
  <c r="Y85" i="22"/>
  <c r="AB84" i="22"/>
  <c r="AA84" i="22"/>
  <c r="Z84" i="22"/>
  <c r="Y84" i="22"/>
  <c r="AB83" i="22"/>
  <c r="AA83" i="22"/>
  <c r="Z83" i="22"/>
  <c r="Y83" i="22"/>
  <c r="AB82" i="22"/>
  <c r="AA82" i="22"/>
  <c r="Z82" i="22"/>
  <c r="Y82" i="22"/>
  <c r="AB81" i="22"/>
  <c r="AA81" i="22"/>
  <c r="Z81" i="22"/>
  <c r="Y81" i="22"/>
  <c r="AB80" i="22"/>
  <c r="AA80" i="22"/>
  <c r="Z80" i="22"/>
  <c r="Y80" i="22"/>
  <c r="AB79" i="22"/>
  <c r="AA79" i="22"/>
  <c r="Z79" i="22"/>
  <c r="Y79" i="22"/>
  <c r="AB78" i="22"/>
  <c r="AA78" i="22"/>
  <c r="Z78" i="22"/>
  <c r="Y78" i="22"/>
  <c r="AB77" i="22"/>
  <c r="AA77" i="22"/>
  <c r="Z77" i="22"/>
  <c r="Y77" i="22"/>
  <c r="AB76" i="22"/>
  <c r="AA76" i="22"/>
  <c r="Z76" i="22"/>
  <c r="Y76" i="22"/>
  <c r="AB75" i="22"/>
  <c r="AA75" i="22"/>
  <c r="Z75" i="22"/>
  <c r="Y75" i="22"/>
  <c r="AB74" i="22"/>
  <c r="AA74" i="22"/>
  <c r="Z74" i="22"/>
  <c r="Y74" i="22"/>
  <c r="AB73" i="22"/>
  <c r="AA73" i="22"/>
  <c r="Z73" i="22"/>
  <c r="Y73" i="22"/>
  <c r="AB72" i="22"/>
  <c r="AA72" i="22"/>
  <c r="Z72" i="22"/>
  <c r="Y72" i="22"/>
  <c r="AB71" i="22"/>
  <c r="AA71" i="22"/>
  <c r="Z71" i="22"/>
  <c r="Y71" i="22"/>
  <c r="AB70" i="22"/>
  <c r="AA70" i="22"/>
  <c r="Z70" i="22"/>
  <c r="Y70" i="22"/>
  <c r="AB69" i="22"/>
  <c r="AA69" i="22"/>
  <c r="Z69" i="22"/>
  <c r="Y69" i="22"/>
  <c r="AB68" i="22"/>
  <c r="AA68" i="22"/>
  <c r="Z68" i="22"/>
  <c r="Y68" i="22"/>
  <c r="AB67" i="22"/>
  <c r="AA67" i="22"/>
  <c r="Z67" i="22"/>
  <c r="Y67" i="22"/>
  <c r="AB66" i="22"/>
  <c r="AA66" i="22"/>
  <c r="Z66" i="22"/>
  <c r="Y66" i="22"/>
  <c r="AB65" i="22"/>
  <c r="AA65" i="22"/>
  <c r="Z65" i="22"/>
  <c r="Y65" i="22"/>
  <c r="AB64" i="22"/>
  <c r="AA64" i="22"/>
  <c r="Z64" i="22"/>
  <c r="Y64" i="22"/>
  <c r="AB63" i="22"/>
  <c r="AA63" i="22"/>
  <c r="Z63" i="22"/>
  <c r="Y63" i="22"/>
  <c r="AB62" i="22"/>
  <c r="AA62" i="22"/>
  <c r="Z62" i="22"/>
  <c r="Y62" i="22"/>
  <c r="AB61" i="22"/>
  <c r="AA61" i="22"/>
  <c r="Z61" i="22"/>
  <c r="Y61" i="22"/>
  <c r="AB60" i="22"/>
  <c r="AA60" i="22"/>
  <c r="Z60" i="22"/>
  <c r="Y60" i="22"/>
  <c r="AB59" i="22"/>
  <c r="AA59" i="22"/>
  <c r="Z59" i="22"/>
  <c r="Y59" i="22"/>
  <c r="AB58" i="22"/>
  <c r="AA58" i="22"/>
  <c r="Z58" i="22"/>
  <c r="Y58" i="22"/>
  <c r="AB57" i="22"/>
  <c r="AA57" i="22"/>
  <c r="Z57" i="22"/>
  <c r="Y57" i="22"/>
  <c r="AB56" i="22"/>
  <c r="AA56" i="22"/>
  <c r="Z56" i="22"/>
  <c r="Y56" i="22"/>
  <c r="AB55" i="22"/>
  <c r="AA55" i="22"/>
  <c r="Z55" i="22"/>
  <c r="Y55" i="22"/>
  <c r="AB54" i="22"/>
  <c r="AA54" i="22"/>
  <c r="Z54" i="22"/>
  <c r="Y54" i="22"/>
  <c r="AB53" i="22"/>
  <c r="AA53" i="22"/>
  <c r="Z53" i="22"/>
  <c r="Y53" i="22"/>
  <c r="AB52" i="22"/>
  <c r="AA52" i="22"/>
  <c r="Z52" i="22"/>
  <c r="Y52" i="22"/>
  <c r="AB51" i="22"/>
  <c r="AA51" i="22"/>
  <c r="Z51" i="22"/>
  <c r="Y51" i="22"/>
  <c r="AB50" i="22"/>
  <c r="AA50" i="22"/>
  <c r="Z50" i="22"/>
  <c r="Y50" i="22"/>
  <c r="AB49" i="22"/>
  <c r="AA49" i="22"/>
  <c r="Z49" i="22"/>
  <c r="Y49" i="22"/>
  <c r="AB48" i="22"/>
  <c r="AA48" i="22"/>
  <c r="Z48" i="22"/>
  <c r="Y48" i="22"/>
  <c r="AB47" i="22"/>
  <c r="AA47" i="22"/>
  <c r="Z47" i="22"/>
  <c r="Y47" i="22"/>
  <c r="AB46" i="22"/>
  <c r="AA46" i="22"/>
  <c r="Z46" i="22"/>
  <c r="Y46" i="22"/>
  <c r="AB45" i="22"/>
  <c r="AA45" i="22"/>
  <c r="Z45" i="22"/>
  <c r="Y45" i="22"/>
  <c r="AB44" i="22"/>
  <c r="AA44" i="22"/>
  <c r="Z44" i="22"/>
  <c r="Y44" i="22"/>
  <c r="AB43" i="22"/>
  <c r="AA43" i="22"/>
  <c r="Z43" i="22"/>
  <c r="Y43" i="22"/>
  <c r="AB42" i="22"/>
  <c r="AA42" i="22"/>
  <c r="Z42" i="22"/>
  <c r="Y42" i="22"/>
  <c r="AB41" i="22"/>
  <c r="AA41" i="22"/>
  <c r="Z41" i="22"/>
  <c r="Y41" i="22"/>
  <c r="AB40" i="22"/>
  <c r="AA40" i="22"/>
  <c r="Z40" i="22"/>
  <c r="Y40" i="22"/>
  <c r="AB39" i="22"/>
  <c r="AA39" i="22"/>
  <c r="Z39" i="22"/>
  <c r="Y39" i="22"/>
  <c r="AB38" i="22"/>
  <c r="AA38" i="22"/>
  <c r="Z38" i="22"/>
  <c r="Y38" i="22"/>
  <c r="AB37" i="22"/>
  <c r="AA37" i="22"/>
  <c r="Z37" i="22"/>
  <c r="Y37" i="22"/>
  <c r="AB36" i="22"/>
  <c r="AA36" i="22"/>
  <c r="Z36" i="22"/>
  <c r="Y36" i="22"/>
  <c r="AB35" i="22"/>
  <c r="AA35" i="22"/>
  <c r="Z35" i="22"/>
  <c r="Y35" i="22"/>
  <c r="AB34" i="22"/>
  <c r="AA34" i="22"/>
  <c r="Z34" i="22"/>
  <c r="Y34" i="22"/>
  <c r="AB33" i="22"/>
  <c r="AA33" i="22"/>
  <c r="Z33" i="22"/>
  <c r="Y33" i="22"/>
  <c r="AB32" i="22"/>
  <c r="AA32" i="22"/>
  <c r="Z32" i="22"/>
  <c r="Y32" i="22"/>
  <c r="AB31" i="22"/>
  <c r="AA31" i="22"/>
  <c r="Z31" i="22"/>
  <c r="Y31" i="22"/>
  <c r="AB30" i="22"/>
  <c r="AA30" i="22"/>
  <c r="Z30" i="22"/>
  <c r="Y30" i="22"/>
  <c r="AB29" i="22"/>
  <c r="AA29" i="22"/>
  <c r="Z29" i="22"/>
  <c r="Y29" i="22"/>
  <c r="AB28" i="22"/>
  <c r="AA28" i="22"/>
  <c r="Z28" i="22"/>
  <c r="Y28" i="22"/>
  <c r="AB27" i="22"/>
  <c r="AA27" i="22"/>
  <c r="Z27" i="22"/>
  <c r="Y27" i="22"/>
  <c r="AB26" i="22"/>
  <c r="AA26" i="22"/>
  <c r="Z26" i="22"/>
  <c r="Y26" i="22"/>
  <c r="AB25" i="22"/>
  <c r="AA25" i="22"/>
  <c r="Z25" i="22"/>
  <c r="Y25" i="22"/>
  <c r="AB24" i="22"/>
  <c r="AA24" i="22"/>
  <c r="Z24" i="22"/>
  <c r="Y24" i="22"/>
  <c r="AB23" i="22"/>
  <c r="AA23" i="22"/>
  <c r="Z23" i="22"/>
  <c r="Y23" i="22"/>
  <c r="AB22" i="22"/>
  <c r="AA22" i="22"/>
  <c r="Z22" i="22"/>
  <c r="Y22" i="22"/>
  <c r="AB21" i="22"/>
  <c r="AA21" i="22"/>
  <c r="Z21" i="22"/>
  <c r="Y21" i="22"/>
  <c r="AB20" i="22"/>
  <c r="AA20" i="22"/>
  <c r="Z20" i="22"/>
  <c r="Y20" i="22"/>
  <c r="AB19" i="22"/>
  <c r="AA19" i="22"/>
  <c r="Z19" i="22"/>
  <c r="Y19" i="22"/>
  <c r="AB18" i="22"/>
  <c r="AA18" i="22"/>
  <c r="Z18" i="22"/>
  <c r="Y18" i="22"/>
  <c r="AB17" i="22"/>
  <c r="AA17" i="22"/>
  <c r="Z17" i="22"/>
  <c r="Y17" i="22"/>
  <c r="AB16" i="22"/>
  <c r="AA16" i="22"/>
  <c r="Z16" i="22"/>
  <c r="Y16" i="22"/>
  <c r="AB15" i="22"/>
  <c r="AA15" i="22"/>
  <c r="Z15" i="22"/>
  <c r="Y15" i="22"/>
  <c r="AB14" i="22"/>
  <c r="AA14" i="22"/>
  <c r="Z14" i="22"/>
  <c r="Y14" i="22"/>
  <c r="AB13" i="22"/>
  <c r="AA13" i="22"/>
  <c r="Z13" i="22"/>
  <c r="Y13" i="22"/>
  <c r="AB12" i="22"/>
  <c r="AA12" i="22"/>
  <c r="Z12" i="22"/>
  <c r="Y12" i="22"/>
  <c r="AB11" i="22"/>
  <c r="AA11" i="22"/>
  <c r="Z11" i="22"/>
  <c r="Y11" i="22"/>
  <c r="AB10" i="22"/>
  <c r="AA10" i="22"/>
  <c r="Z10" i="22"/>
  <c r="Y10" i="22"/>
  <c r="AB9" i="22"/>
  <c r="AA9" i="22"/>
  <c r="Z9" i="22"/>
  <c r="Y9" i="22"/>
  <c r="AB8" i="22"/>
  <c r="AA8" i="22"/>
  <c r="Z8" i="22"/>
  <c r="Y8" i="22"/>
  <c r="V123" i="22"/>
  <c r="U123" i="22"/>
  <c r="T123" i="22"/>
  <c r="S123" i="22"/>
  <c r="V122" i="22"/>
  <c r="U122" i="22"/>
  <c r="T122" i="22"/>
  <c r="S122" i="22"/>
  <c r="V121" i="22"/>
  <c r="U121" i="22"/>
  <c r="T121" i="22"/>
  <c r="S121" i="22"/>
  <c r="V120" i="22"/>
  <c r="U120" i="22"/>
  <c r="T120" i="22"/>
  <c r="S120" i="22"/>
  <c r="V119" i="22"/>
  <c r="U119" i="22"/>
  <c r="T119" i="22"/>
  <c r="S119" i="22"/>
  <c r="V118" i="22"/>
  <c r="U118" i="22"/>
  <c r="T118" i="22"/>
  <c r="S118" i="22"/>
  <c r="V117" i="22"/>
  <c r="U117" i="22"/>
  <c r="T117" i="22"/>
  <c r="S117" i="22"/>
  <c r="V116" i="22"/>
  <c r="U116" i="22"/>
  <c r="T116" i="22"/>
  <c r="S116" i="22"/>
  <c r="V115" i="22"/>
  <c r="U115" i="22"/>
  <c r="T115" i="22"/>
  <c r="S115" i="22"/>
  <c r="V114" i="22"/>
  <c r="U114" i="22"/>
  <c r="T114" i="22"/>
  <c r="S114" i="22"/>
  <c r="V113" i="22"/>
  <c r="U113" i="22"/>
  <c r="T113" i="22"/>
  <c r="S113" i="22"/>
  <c r="V112" i="22"/>
  <c r="U112" i="22"/>
  <c r="T112" i="22"/>
  <c r="S112" i="22"/>
  <c r="V111" i="22"/>
  <c r="U111" i="22"/>
  <c r="T111" i="22"/>
  <c r="S111" i="22"/>
  <c r="V110" i="22"/>
  <c r="U110" i="22"/>
  <c r="T110" i="22"/>
  <c r="S110" i="22"/>
  <c r="V109" i="22"/>
  <c r="U109" i="22"/>
  <c r="T109" i="22"/>
  <c r="S109" i="22"/>
  <c r="V108" i="22"/>
  <c r="U108" i="22"/>
  <c r="T108" i="22"/>
  <c r="S108" i="22"/>
  <c r="V107" i="22"/>
  <c r="U107" i="22"/>
  <c r="T107" i="22"/>
  <c r="S107" i="22"/>
  <c r="V106" i="22"/>
  <c r="U106" i="22"/>
  <c r="T106" i="22"/>
  <c r="S106" i="22"/>
  <c r="V105" i="22"/>
  <c r="U105" i="22"/>
  <c r="T105" i="22"/>
  <c r="S105" i="22"/>
  <c r="V104" i="22"/>
  <c r="U104" i="22"/>
  <c r="T104" i="22"/>
  <c r="S104" i="22"/>
  <c r="V103" i="22"/>
  <c r="U103" i="22"/>
  <c r="T103" i="22"/>
  <c r="S103" i="22"/>
  <c r="V102" i="22"/>
  <c r="U102" i="22"/>
  <c r="T102" i="22"/>
  <c r="S102" i="22"/>
  <c r="V101" i="22"/>
  <c r="U101" i="22"/>
  <c r="T101" i="22"/>
  <c r="S101" i="22"/>
  <c r="V100" i="22"/>
  <c r="U100" i="22"/>
  <c r="T100" i="22"/>
  <c r="S100" i="22"/>
  <c r="V99" i="22"/>
  <c r="U99" i="22"/>
  <c r="T99" i="22"/>
  <c r="S99" i="22"/>
  <c r="V98" i="22"/>
  <c r="U98" i="22"/>
  <c r="T98" i="22"/>
  <c r="S98" i="22"/>
  <c r="V97" i="22"/>
  <c r="U97" i="22"/>
  <c r="T97" i="22"/>
  <c r="S97" i="22"/>
  <c r="V96" i="22"/>
  <c r="U96" i="22"/>
  <c r="T96" i="22"/>
  <c r="S96" i="22"/>
  <c r="V95" i="22"/>
  <c r="U95" i="22"/>
  <c r="T95" i="22"/>
  <c r="S95" i="22"/>
  <c r="V94" i="22"/>
  <c r="U94" i="22"/>
  <c r="T94" i="22"/>
  <c r="S94" i="22"/>
  <c r="V93" i="22"/>
  <c r="U93" i="22"/>
  <c r="T93" i="22"/>
  <c r="S93" i="22"/>
  <c r="V92" i="22"/>
  <c r="U92" i="22"/>
  <c r="T92" i="22"/>
  <c r="S92" i="22"/>
  <c r="V91" i="22"/>
  <c r="U91" i="22"/>
  <c r="T91" i="22"/>
  <c r="S91" i="22"/>
  <c r="V90" i="22"/>
  <c r="U90" i="22"/>
  <c r="T90" i="22"/>
  <c r="S90" i="22"/>
  <c r="V89" i="22"/>
  <c r="U89" i="22"/>
  <c r="T89" i="22"/>
  <c r="S89" i="22"/>
  <c r="V88" i="22"/>
  <c r="U88" i="22"/>
  <c r="T88" i="22"/>
  <c r="S88" i="22"/>
  <c r="V87" i="22"/>
  <c r="U87" i="22"/>
  <c r="T87" i="22"/>
  <c r="S87" i="22"/>
  <c r="V86" i="22"/>
  <c r="U86" i="22"/>
  <c r="T86" i="22"/>
  <c r="S86" i="22"/>
  <c r="V85" i="22"/>
  <c r="U85" i="22"/>
  <c r="T85" i="22"/>
  <c r="S85" i="22"/>
  <c r="V84" i="22"/>
  <c r="U84" i="22"/>
  <c r="T84" i="22"/>
  <c r="S84" i="22"/>
  <c r="V83" i="22"/>
  <c r="U83" i="22"/>
  <c r="T83" i="22"/>
  <c r="S83" i="22"/>
  <c r="V82" i="22"/>
  <c r="U82" i="22"/>
  <c r="T82" i="22"/>
  <c r="S82" i="22"/>
  <c r="V81" i="22"/>
  <c r="U81" i="22"/>
  <c r="T81" i="22"/>
  <c r="S81" i="22"/>
  <c r="V80" i="22"/>
  <c r="U80" i="22"/>
  <c r="T80" i="22"/>
  <c r="S80" i="22"/>
  <c r="V79" i="22"/>
  <c r="U79" i="22"/>
  <c r="T79" i="22"/>
  <c r="S79" i="22"/>
  <c r="V78" i="22"/>
  <c r="U78" i="22"/>
  <c r="T78" i="22"/>
  <c r="S78" i="22"/>
  <c r="V77" i="22"/>
  <c r="U77" i="22"/>
  <c r="T77" i="22"/>
  <c r="S77" i="22"/>
  <c r="V76" i="22"/>
  <c r="U76" i="22"/>
  <c r="T76" i="22"/>
  <c r="S76" i="22"/>
  <c r="V75" i="22"/>
  <c r="U75" i="22"/>
  <c r="T75" i="22"/>
  <c r="S75" i="22"/>
  <c r="V74" i="22"/>
  <c r="U74" i="22"/>
  <c r="T74" i="22"/>
  <c r="S74" i="22"/>
  <c r="V73" i="22"/>
  <c r="U73" i="22"/>
  <c r="T73" i="22"/>
  <c r="S73" i="22"/>
  <c r="V72" i="22"/>
  <c r="U72" i="22"/>
  <c r="T72" i="22"/>
  <c r="S72" i="22"/>
  <c r="V71" i="22"/>
  <c r="U71" i="22"/>
  <c r="T71" i="22"/>
  <c r="S71" i="22"/>
  <c r="V70" i="22"/>
  <c r="U70" i="22"/>
  <c r="T70" i="22"/>
  <c r="S70" i="22"/>
  <c r="V69" i="22"/>
  <c r="U69" i="22"/>
  <c r="T69" i="22"/>
  <c r="S69" i="22"/>
  <c r="V68" i="22"/>
  <c r="U68" i="22"/>
  <c r="T68" i="22"/>
  <c r="S68" i="22"/>
  <c r="V67" i="22"/>
  <c r="U67" i="22"/>
  <c r="T67" i="22"/>
  <c r="S67" i="22"/>
  <c r="V66" i="22"/>
  <c r="U66" i="22"/>
  <c r="T66" i="22"/>
  <c r="S66" i="22"/>
  <c r="V65" i="22"/>
  <c r="U65" i="22"/>
  <c r="T65" i="22"/>
  <c r="S65" i="22"/>
  <c r="V64" i="22"/>
  <c r="U64" i="22"/>
  <c r="T64" i="22"/>
  <c r="S64" i="22"/>
  <c r="V63" i="22"/>
  <c r="U63" i="22"/>
  <c r="T63" i="22"/>
  <c r="S63" i="22"/>
  <c r="V62" i="22"/>
  <c r="U62" i="22"/>
  <c r="T62" i="22"/>
  <c r="S62" i="22"/>
  <c r="V61" i="22"/>
  <c r="U61" i="22"/>
  <c r="T61" i="22"/>
  <c r="S61" i="22"/>
  <c r="V60" i="22"/>
  <c r="U60" i="22"/>
  <c r="T60" i="22"/>
  <c r="S60" i="22"/>
  <c r="V59" i="22"/>
  <c r="U59" i="22"/>
  <c r="T59" i="22"/>
  <c r="S59" i="22"/>
  <c r="V58" i="22"/>
  <c r="U58" i="22"/>
  <c r="T58" i="22"/>
  <c r="S58" i="22"/>
  <c r="V57" i="22"/>
  <c r="U57" i="22"/>
  <c r="T57" i="22"/>
  <c r="S57" i="22"/>
  <c r="V56" i="22"/>
  <c r="U56" i="22"/>
  <c r="T56" i="22"/>
  <c r="S56" i="22"/>
  <c r="V55" i="22"/>
  <c r="U55" i="22"/>
  <c r="T55" i="22"/>
  <c r="S55" i="22"/>
  <c r="V54" i="22"/>
  <c r="U54" i="22"/>
  <c r="T54" i="22"/>
  <c r="S54" i="22"/>
  <c r="V53" i="22"/>
  <c r="U53" i="22"/>
  <c r="T53" i="22"/>
  <c r="S53" i="22"/>
  <c r="V52" i="22"/>
  <c r="U52" i="22"/>
  <c r="T52" i="22"/>
  <c r="S52" i="22"/>
  <c r="V51" i="22"/>
  <c r="U51" i="22"/>
  <c r="T51" i="22"/>
  <c r="S51" i="22"/>
  <c r="V50" i="22"/>
  <c r="U50" i="22"/>
  <c r="T50" i="22"/>
  <c r="S50" i="22"/>
  <c r="V49" i="22"/>
  <c r="U49" i="22"/>
  <c r="T49" i="22"/>
  <c r="S49" i="22"/>
  <c r="V48" i="22"/>
  <c r="U48" i="22"/>
  <c r="T48" i="22"/>
  <c r="S48" i="22"/>
  <c r="V47" i="22"/>
  <c r="U47" i="22"/>
  <c r="T47" i="22"/>
  <c r="S47" i="22"/>
  <c r="V46" i="22"/>
  <c r="U46" i="22"/>
  <c r="T46" i="22"/>
  <c r="S46" i="22"/>
  <c r="V45" i="22"/>
  <c r="U45" i="22"/>
  <c r="T45" i="22"/>
  <c r="S45" i="22"/>
  <c r="V44" i="22"/>
  <c r="U44" i="22"/>
  <c r="T44" i="22"/>
  <c r="S44" i="22"/>
  <c r="V43" i="22"/>
  <c r="U43" i="22"/>
  <c r="T43" i="22"/>
  <c r="S43" i="22"/>
  <c r="V42" i="22"/>
  <c r="U42" i="22"/>
  <c r="T42" i="22"/>
  <c r="S42" i="22"/>
  <c r="V41" i="22"/>
  <c r="U41" i="22"/>
  <c r="T41" i="22"/>
  <c r="S41" i="22"/>
  <c r="V40" i="22"/>
  <c r="U40" i="22"/>
  <c r="T40" i="22"/>
  <c r="S40" i="22"/>
  <c r="V39" i="22"/>
  <c r="U39" i="22"/>
  <c r="T39" i="22"/>
  <c r="S39" i="22"/>
  <c r="V38" i="22"/>
  <c r="U38" i="22"/>
  <c r="T38" i="22"/>
  <c r="S38" i="22"/>
  <c r="V37" i="22"/>
  <c r="U37" i="22"/>
  <c r="T37" i="22"/>
  <c r="S37" i="22"/>
  <c r="V36" i="22"/>
  <c r="U36" i="22"/>
  <c r="T36" i="22"/>
  <c r="S36" i="22"/>
  <c r="V35" i="22"/>
  <c r="U35" i="22"/>
  <c r="T35" i="22"/>
  <c r="S35" i="22"/>
  <c r="V34" i="22"/>
  <c r="U34" i="22"/>
  <c r="T34" i="22"/>
  <c r="S34" i="22"/>
  <c r="V33" i="22"/>
  <c r="U33" i="22"/>
  <c r="T33" i="22"/>
  <c r="S33" i="22"/>
  <c r="V32" i="22"/>
  <c r="U32" i="22"/>
  <c r="T32" i="22"/>
  <c r="S32" i="22"/>
  <c r="V31" i="22"/>
  <c r="U31" i="22"/>
  <c r="T31" i="22"/>
  <c r="S31" i="22"/>
  <c r="V30" i="22"/>
  <c r="U30" i="22"/>
  <c r="T30" i="22"/>
  <c r="S30" i="22"/>
  <c r="V29" i="22"/>
  <c r="U29" i="22"/>
  <c r="T29" i="22"/>
  <c r="S29" i="22"/>
  <c r="V28" i="22"/>
  <c r="U28" i="22"/>
  <c r="T28" i="22"/>
  <c r="S28" i="22"/>
  <c r="V27" i="22"/>
  <c r="U27" i="22"/>
  <c r="T27" i="22"/>
  <c r="S27" i="22"/>
  <c r="V26" i="22"/>
  <c r="U26" i="22"/>
  <c r="T26" i="22"/>
  <c r="S26" i="22"/>
  <c r="V25" i="22"/>
  <c r="U25" i="22"/>
  <c r="T25" i="22"/>
  <c r="S25" i="22"/>
  <c r="V24" i="22"/>
  <c r="U24" i="22"/>
  <c r="T24" i="22"/>
  <c r="S24" i="22"/>
  <c r="V23" i="22"/>
  <c r="U23" i="22"/>
  <c r="T23" i="22"/>
  <c r="S23" i="22"/>
  <c r="V22" i="22"/>
  <c r="U22" i="22"/>
  <c r="T22" i="22"/>
  <c r="S22" i="22"/>
  <c r="V21" i="22"/>
  <c r="U21" i="22"/>
  <c r="T21" i="22"/>
  <c r="S21" i="22"/>
  <c r="V20" i="22"/>
  <c r="U20" i="22"/>
  <c r="T20" i="22"/>
  <c r="S20" i="22"/>
  <c r="V19" i="22"/>
  <c r="U19" i="22"/>
  <c r="T19" i="22"/>
  <c r="S19" i="22"/>
  <c r="V18" i="22"/>
  <c r="U18" i="22"/>
  <c r="T18" i="22"/>
  <c r="S18" i="22"/>
  <c r="V17" i="22"/>
  <c r="U17" i="22"/>
  <c r="T17" i="22"/>
  <c r="S17" i="22"/>
  <c r="V16" i="22"/>
  <c r="U16" i="22"/>
  <c r="T16" i="22"/>
  <c r="S16" i="22"/>
  <c r="V15" i="22"/>
  <c r="U15" i="22"/>
  <c r="T15" i="22"/>
  <c r="S15" i="22"/>
  <c r="V14" i="22"/>
  <c r="U14" i="22"/>
  <c r="T14" i="22"/>
  <c r="S14" i="22"/>
  <c r="V13" i="22"/>
  <c r="U13" i="22"/>
  <c r="T13" i="22"/>
  <c r="S13" i="22"/>
  <c r="V12" i="22"/>
  <c r="U12" i="22"/>
  <c r="T12" i="22"/>
  <c r="S12" i="22"/>
  <c r="V11" i="22"/>
  <c r="U11" i="22"/>
  <c r="T11" i="22"/>
  <c r="S11" i="22"/>
  <c r="V10" i="22"/>
  <c r="U10" i="22"/>
  <c r="T10" i="22"/>
  <c r="S10" i="22"/>
  <c r="V9" i="22"/>
  <c r="U9" i="22"/>
  <c r="T9" i="22"/>
  <c r="S9" i="22"/>
  <c r="V8" i="22"/>
  <c r="U8" i="22"/>
  <c r="T8" i="22"/>
  <c r="S8" i="22"/>
  <c r="L126" i="28"/>
  <c r="K126" i="28"/>
  <c r="J126" i="28"/>
  <c r="I126" i="28"/>
  <c r="L125" i="28"/>
  <c r="K125" i="28"/>
  <c r="J125" i="28"/>
  <c r="I125" i="28"/>
  <c r="L124" i="28"/>
  <c r="K124" i="28"/>
  <c r="J124" i="28"/>
  <c r="I124" i="28"/>
  <c r="L123" i="28"/>
  <c r="K123" i="28"/>
  <c r="J123" i="28"/>
  <c r="I123" i="28"/>
  <c r="L122" i="28"/>
  <c r="K122" i="28"/>
  <c r="J122" i="28"/>
  <c r="I122" i="28"/>
  <c r="L121" i="28"/>
  <c r="K121" i="28"/>
  <c r="J121" i="28"/>
  <c r="I121" i="28"/>
  <c r="L120" i="28"/>
  <c r="K120" i="28"/>
  <c r="J120" i="28"/>
  <c r="I120" i="28"/>
  <c r="L119" i="28"/>
  <c r="K119" i="28"/>
  <c r="J119" i="28"/>
  <c r="I119" i="28"/>
  <c r="L118" i="28"/>
  <c r="K118" i="28"/>
  <c r="J118" i="28"/>
  <c r="I118" i="28"/>
  <c r="L117" i="28"/>
  <c r="K117" i="28"/>
  <c r="J117" i="28"/>
  <c r="I117" i="28"/>
  <c r="L116" i="28"/>
  <c r="K116" i="28"/>
  <c r="J116" i="28"/>
  <c r="I116" i="28"/>
  <c r="L115" i="28"/>
  <c r="K115" i="28"/>
  <c r="J115" i="28"/>
  <c r="I115" i="28"/>
  <c r="L114" i="28"/>
  <c r="K114" i="28"/>
  <c r="J114" i="28"/>
  <c r="I114" i="28"/>
  <c r="L113" i="28"/>
  <c r="K113" i="28"/>
  <c r="J113" i="28"/>
  <c r="I113" i="28"/>
  <c r="L112" i="28"/>
  <c r="K112" i="28"/>
  <c r="J112" i="28"/>
  <c r="I112" i="28"/>
  <c r="L111" i="28"/>
  <c r="K111" i="28"/>
  <c r="J111" i="28"/>
  <c r="I111" i="28"/>
  <c r="L110" i="28"/>
  <c r="K110" i="28"/>
  <c r="J110" i="28"/>
  <c r="I110" i="28"/>
  <c r="L109" i="28"/>
  <c r="K109" i="28"/>
  <c r="J109" i="28"/>
  <c r="I109" i="28"/>
  <c r="L108" i="28"/>
  <c r="K108" i="28"/>
  <c r="J108" i="28"/>
  <c r="I108" i="28"/>
  <c r="L107" i="28"/>
  <c r="K107" i="28"/>
  <c r="J107" i="28"/>
  <c r="I107" i="28"/>
  <c r="L106" i="28"/>
  <c r="K106" i="28"/>
  <c r="J106" i="28"/>
  <c r="I106" i="28"/>
  <c r="L105" i="28"/>
  <c r="K105" i="28"/>
  <c r="J105" i="28"/>
  <c r="I105" i="28"/>
  <c r="L104" i="28"/>
  <c r="K104" i="28"/>
  <c r="J104" i="28"/>
  <c r="I104" i="28"/>
  <c r="L103" i="28"/>
  <c r="K103" i="28"/>
  <c r="J103" i="28"/>
  <c r="I103" i="28"/>
  <c r="L102" i="28"/>
  <c r="K102" i="28"/>
  <c r="J102" i="28"/>
  <c r="I102" i="28"/>
  <c r="L101" i="28"/>
  <c r="K101" i="28"/>
  <c r="J101" i="28"/>
  <c r="I101" i="28"/>
  <c r="L100" i="28"/>
  <c r="K100" i="28"/>
  <c r="J100" i="28"/>
  <c r="I100" i="28"/>
  <c r="L99" i="28"/>
  <c r="K99" i="28"/>
  <c r="J99" i="28"/>
  <c r="I99" i="28"/>
  <c r="L98" i="28"/>
  <c r="K98" i="28"/>
  <c r="J98" i="28"/>
  <c r="I98" i="28"/>
  <c r="L97" i="28"/>
  <c r="K97" i="28"/>
  <c r="J97" i="28"/>
  <c r="I97" i="28"/>
  <c r="L96" i="28"/>
  <c r="K96" i="28"/>
  <c r="J96" i="28"/>
  <c r="I96" i="28"/>
  <c r="L95" i="28"/>
  <c r="K95" i="28"/>
  <c r="J95" i="28"/>
  <c r="I95" i="28"/>
  <c r="L94" i="28"/>
  <c r="K94" i="28"/>
  <c r="J94" i="28"/>
  <c r="I94" i="28"/>
  <c r="L93" i="28"/>
  <c r="K93" i="28"/>
  <c r="J93" i="28"/>
  <c r="I93" i="28"/>
  <c r="L92" i="28"/>
  <c r="K92" i="28"/>
  <c r="J92" i="28"/>
  <c r="I92" i="28"/>
  <c r="L91" i="28"/>
  <c r="K91" i="28"/>
  <c r="J91" i="28"/>
  <c r="I91" i="28"/>
  <c r="L90" i="28"/>
  <c r="K90" i="28"/>
  <c r="J90" i="28"/>
  <c r="I90" i="28"/>
  <c r="L89" i="28"/>
  <c r="K89" i="28"/>
  <c r="J89" i="28"/>
  <c r="I89" i="28"/>
  <c r="L88" i="28"/>
  <c r="K88" i="28"/>
  <c r="J88" i="28"/>
  <c r="I88" i="28"/>
  <c r="L87" i="28"/>
  <c r="K87" i="28"/>
  <c r="J87" i="28"/>
  <c r="I87" i="28"/>
  <c r="L86" i="28"/>
  <c r="K86" i="28"/>
  <c r="J86" i="28"/>
  <c r="I86" i="28"/>
  <c r="L85" i="28"/>
  <c r="K85" i="28"/>
  <c r="J85" i="28"/>
  <c r="I85" i="28"/>
  <c r="L84" i="28"/>
  <c r="K84" i="28"/>
  <c r="J84" i="28"/>
  <c r="I84" i="28"/>
  <c r="L83" i="28"/>
  <c r="K83" i="28"/>
  <c r="J83" i="28"/>
  <c r="I83" i="28"/>
  <c r="L82" i="28"/>
  <c r="K82" i="28"/>
  <c r="J82" i="28"/>
  <c r="I82" i="28"/>
  <c r="L81" i="28"/>
  <c r="K81" i="28"/>
  <c r="J81" i="28"/>
  <c r="I81" i="28"/>
  <c r="L80" i="28"/>
  <c r="K80" i="28"/>
  <c r="J80" i="28"/>
  <c r="I80" i="28"/>
  <c r="L79" i="28"/>
  <c r="K79" i="28"/>
  <c r="J79" i="28"/>
  <c r="I79" i="28"/>
  <c r="L78" i="28"/>
  <c r="K78" i="28"/>
  <c r="J78" i="28"/>
  <c r="I78" i="28"/>
  <c r="L77" i="28"/>
  <c r="K77" i="28"/>
  <c r="J77" i="28"/>
  <c r="I77" i="28"/>
  <c r="L76" i="28"/>
  <c r="K76" i="28"/>
  <c r="J76" i="28"/>
  <c r="I76" i="28"/>
  <c r="L75" i="28"/>
  <c r="K75" i="28"/>
  <c r="J75" i="28"/>
  <c r="I75" i="28"/>
  <c r="L74" i="28"/>
  <c r="K74" i="28"/>
  <c r="J74" i="28"/>
  <c r="I74" i="28"/>
  <c r="L73" i="28"/>
  <c r="K73" i="28"/>
  <c r="J73" i="28"/>
  <c r="I73" i="28"/>
  <c r="L72" i="28"/>
  <c r="K72" i="28"/>
  <c r="J72" i="28"/>
  <c r="I72" i="28"/>
  <c r="L71" i="28"/>
  <c r="K71" i="28"/>
  <c r="J71" i="28"/>
  <c r="I71" i="28"/>
  <c r="L70" i="28"/>
  <c r="K70" i="28"/>
  <c r="J70" i="28"/>
  <c r="I70" i="28"/>
  <c r="L69" i="28"/>
  <c r="K69" i="28"/>
  <c r="J69" i="28"/>
  <c r="I69" i="28"/>
  <c r="L68" i="28"/>
  <c r="K68" i="28"/>
  <c r="J68" i="28"/>
  <c r="I68" i="28"/>
  <c r="L67" i="28"/>
  <c r="K67" i="28"/>
  <c r="J67" i="28"/>
  <c r="I67" i="28"/>
  <c r="L66" i="28"/>
  <c r="K66" i="28"/>
  <c r="J66" i="28"/>
  <c r="I66" i="28"/>
  <c r="L65" i="28"/>
  <c r="K65" i="28"/>
  <c r="J65" i="28"/>
  <c r="I65" i="28"/>
  <c r="L64" i="28"/>
  <c r="K64" i="28"/>
  <c r="J64" i="28"/>
  <c r="I64" i="28"/>
  <c r="L63" i="28"/>
  <c r="K63" i="28"/>
  <c r="J63" i="28"/>
  <c r="I63" i="28"/>
  <c r="L62" i="28"/>
  <c r="K62" i="28"/>
  <c r="J62" i="28"/>
  <c r="I62" i="28"/>
  <c r="L61" i="28"/>
  <c r="K61" i="28"/>
  <c r="J61" i="28"/>
  <c r="I61" i="28"/>
  <c r="L60" i="28"/>
  <c r="K60" i="28"/>
  <c r="J60" i="28"/>
  <c r="I60" i="28"/>
  <c r="L59" i="28"/>
  <c r="K59" i="28"/>
  <c r="J59" i="28"/>
  <c r="I59" i="28"/>
  <c r="L58" i="28"/>
  <c r="K58" i="28"/>
  <c r="J58" i="28"/>
  <c r="I58" i="28"/>
  <c r="L57" i="28"/>
  <c r="K57" i="28"/>
  <c r="J57" i="28"/>
  <c r="I57" i="28"/>
  <c r="L56" i="28"/>
  <c r="K56" i="28"/>
  <c r="J56" i="28"/>
  <c r="I56" i="28"/>
  <c r="L55" i="28"/>
  <c r="K55" i="28"/>
  <c r="J55" i="28"/>
  <c r="I55" i="28"/>
  <c r="L54" i="28"/>
  <c r="K54" i="28"/>
  <c r="J54" i="28"/>
  <c r="I54" i="28"/>
  <c r="L53" i="28"/>
  <c r="K53" i="28"/>
  <c r="J53" i="28"/>
  <c r="I53" i="28"/>
  <c r="L52" i="28"/>
  <c r="K52" i="28"/>
  <c r="J52" i="28"/>
  <c r="I52" i="28"/>
  <c r="L51" i="28"/>
  <c r="K51" i="28"/>
  <c r="J51" i="28"/>
  <c r="I51" i="28"/>
  <c r="L50" i="28"/>
  <c r="K50" i="28"/>
  <c r="J50" i="28"/>
  <c r="I50" i="28"/>
  <c r="L49" i="28"/>
  <c r="K49" i="28"/>
  <c r="J49" i="28"/>
  <c r="I49" i="28"/>
  <c r="L48" i="28"/>
  <c r="K48" i="28"/>
  <c r="J48" i="28"/>
  <c r="I48" i="28"/>
  <c r="L47" i="28"/>
  <c r="K47" i="28"/>
  <c r="J47" i="28"/>
  <c r="I47" i="28"/>
  <c r="L46" i="28"/>
  <c r="K46" i="28"/>
  <c r="J46" i="28"/>
  <c r="I46" i="28"/>
  <c r="L45" i="28"/>
  <c r="K45" i="28"/>
  <c r="J45" i="28"/>
  <c r="I45" i="28"/>
  <c r="L44" i="28"/>
  <c r="K44" i="28"/>
  <c r="J44" i="28"/>
  <c r="I44" i="28"/>
  <c r="L43" i="28"/>
  <c r="K43" i="28"/>
  <c r="J43" i="28"/>
  <c r="I43" i="28"/>
  <c r="L42" i="28"/>
  <c r="K42" i="28"/>
  <c r="J42" i="28"/>
  <c r="I42" i="28"/>
  <c r="L41" i="28"/>
  <c r="K41" i="28"/>
  <c r="J41" i="28"/>
  <c r="I41" i="28"/>
  <c r="L40" i="28"/>
  <c r="K40" i="28"/>
  <c r="J40" i="28"/>
  <c r="I40" i="28"/>
  <c r="L39" i="28"/>
  <c r="K39" i="28"/>
  <c r="J39" i="28"/>
  <c r="I39" i="28"/>
  <c r="L38" i="28"/>
  <c r="K38" i="28"/>
  <c r="J38" i="28"/>
  <c r="I38" i="28"/>
  <c r="L37" i="28"/>
  <c r="K37" i="28"/>
  <c r="J37" i="28"/>
  <c r="I37" i="28"/>
  <c r="L36" i="28"/>
  <c r="K36" i="28"/>
  <c r="J36" i="28"/>
  <c r="I36" i="28"/>
  <c r="L35" i="28"/>
  <c r="K35" i="28"/>
  <c r="J35" i="28"/>
  <c r="I35" i="28"/>
  <c r="L34" i="28"/>
  <c r="K34" i="28"/>
  <c r="J34" i="28"/>
  <c r="I34" i="28"/>
  <c r="L33" i="28"/>
  <c r="K33" i="28"/>
  <c r="J33" i="28"/>
  <c r="I33" i="28"/>
  <c r="L32" i="28"/>
  <c r="K32" i="28"/>
  <c r="J32" i="28"/>
  <c r="I32" i="28"/>
  <c r="L31" i="28"/>
  <c r="K31" i="28"/>
  <c r="J31" i="28"/>
  <c r="I31" i="28"/>
  <c r="L30" i="28"/>
  <c r="K30" i="28"/>
  <c r="J30" i="28"/>
  <c r="I30" i="28"/>
  <c r="L29" i="28"/>
  <c r="K29" i="28"/>
  <c r="J29" i="28"/>
  <c r="I29" i="28"/>
  <c r="L28" i="28"/>
  <c r="K28" i="28"/>
  <c r="J28" i="28"/>
  <c r="I28" i="28"/>
  <c r="L27" i="28"/>
  <c r="K27" i="28"/>
  <c r="J27" i="28"/>
  <c r="I27" i="28"/>
  <c r="L26" i="28"/>
  <c r="K26" i="28"/>
  <c r="J26" i="28"/>
  <c r="I26" i="28"/>
  <c r="L25" i="28"/>
  <c r="K25" i="28"/>
  <c r="J25" i="28"/>
  <c r="I25" i="28"/>
  <c r="L24" i="28"/>
  <c r="K24" i="28"/>
  <c r="J24" i="28"/>
  <c r="I24" i="28"/>
  <c r="L23" i="28"/>
  <c r="K23" i="28"/>
  <c r="J23" i="28"/>
  <c r="I23" i="28"/>
  <c r="L22" i="28"/>
  <c r="K22" i="28"/>
  <c r="J22" i="28"/>
  <c r="I22" i="28"/>
  <c r="L21" i="28"/>
  <c r="K21" i="28"/>
  <c r="J21" i="28"/>
  <c r="I21" i="28"/>
  <c r="L20" i="28"/>
  <c r="K20" i="28"/>
  <c r="J20" i="28"/>
  <c r="I20" i="28"/>
  <c r="L19" i="28"/>
  <c r="K19" i="28"/>
  <c r="J19" i="28"/>
  <c r="I19" i="28"/>
  <c r="L18" i="28"/>
  <c r="K18" i="28"/>
  <c r="J18" i="28"/>
  <c r="I18" i="28"/>
  <c r="L17" i="28"/>
  <c r="K17" i="28"/>
  <c r="J17" i="28"/>
  <c r="I17" i="28"/>
  <c r="L16" i="28"/>
  <c r="K16" i="28"/>
  <c r="J16" i="28"/>
  <c r="I16" i="28"/>
  <c r="L15" i="28"/>
  <c r="K15" i="28"/>
  <c r="J15" i="28"/>
  <c r="I15" i="28"/>
  <c r="L14" i="28"/>
  <c r="K14" i="28"/>
  <c r="J14" i="28"/>
  <c r="I14" i="28"/>
  <c r="L13" i="28"/>
  <c r="K13" i="28"/>
  <c r="J13" i="28"/>
  <c r="I13" i="28"/>
  <c r="L12" i="28"/>
  <c r="K12" i="28"/>
  <c r="J12" i="28"/>
  <c r="I12" i="28"/>
  <c r="L11" i="28"/>
  <c r="K11" i="28"/>
  <c r="J11" i="28"/>
  <c r="I11" i="28"/>
  <c r="L10" i="28"/>
  <c r="K10" i="28"/>
  <c r="J10" i="28"/>
  <c r="I10" i="28"/>
  <c r="L9" i="28"/>
  <c r="K9" i="28"/>
  <c r="J9" i="28"/>
  <c r="I9" i="28"/>
  <c r="L8" i="28"/>
  <c r="K8" i="28"/>
  <c r="J8" i="28"/>
  <c r="I8" i="28"/>
  <c r="B123" i="28" l="1"/>
  <c r="B124" i="28" s="1"/>
  <c r="B125" i="28" s="1"/>
  <c r="B126" i="28" s="1"/>
  <c r="B3" i="25"/>
  <c r="B3" i="23"/>
  <c r="B3" i="22"/>
  <c r="B3" i="28"/>
  <c r="B3" i="26"/>
  <c r="B3" i="24"/>
</calcChain>
</file>

<file path=xl/sharedStrings.xml><?xml version="1.0" encoding="utf-8"?>
<sst xmlns="http://schemas.openxmlformats.org/spreadsheetml/2006/main" count="234" uniqueCount="53">
  <si>
    <t>#</t>
  </si>
  <si>
    <t>Date</t>
  </si>
  <si>
    <t>Name</t>
  </si>
  <si>
    <t>Comments</t>
  </si>
  <si>
    <t>Table of Contents</t>
  </si>
  <si>
    <t>Default</t>
  </si>
  <si>
    <t>Go to TOC</t>
  </si>
  <si>
    <t>NONE</t>
  </si>
  <si>
    <t>pol_yr</t>
  </si>
  <si>
    <t>tbl_id</t>
  </si>
  <si>
    <t>gender</t>
  </si>
  <si>
    <t>issue_age</t>
  </si>
  <si>
    <t>Male</t>
  </si>
  <si>
    <t>Statutory Mortality Adjustments</t>
  </si>
  <si>
    <t>Tax Mortality Adjustments</t>
  </si>
  <si>
    <t>Experience Mortality Adjustments</t>
  </si>
  <si>
    <t>Mortality Additions</t>
  </si>
  <si>
    <t>Experience Mortality Additions</t>
  </si>
  <si>
    <t>Female</t>
  </si>
  <si>
    <t>Tax CARVM Mortality Multiples</t>
  </si>
  <si>
    <t>Statutory CARVM Mortality Multiples</t>
  </si>
  <si>
    <t>Purchase Mortality Base Multiples</t>
  </si>
  <si>
    <t>Purch Rate Mortality Adjustments</t>
  </si>
  <si>
    <t>Purch Rate Mortality Multiples</t>
  </si>
  <si>
    <t>attained_age</t>
  </si>
  <si>
    <t>AIG2012IAM</t>
  </si>
  <si>
    <t>gmwb_ind</t>
  </si>
  <si>
    <t>SOA G2 Improvement Factor</t>
  </si>
  <si>
    <t>Company Mortality Multiples</t>
  </si>
  <si>
    <t>Min Luo</t>
  </si>
  <si>
    <t>Peer review this file</t>
  </si>
  <si>
    <t>2012IAM</t>
  </si>
  <si>
    <t>Chad2012IAM</t>
  </si>
  <si>
    <t>AnnGen2012IAM</t>
  </si>
  <si>
    <t>AIG2012IAM_2019</t>
  </si>
  <si>
    <t>AnnGen2012IAM_2019</t>
  </si>
  <si>
    <t>VA2012IAM_2019</t>
  </si>
  <si>
    <t>SOA2012IAM</t>
  </si>
  <si>
    <t>ANB from SOA</t>
  </si>
  <si>
    <t>Used in Plan2020, One line off from SOA</t>
  </si>
  <si>
    <t>ANB converted to ALB, Plan2019</t>
  </si>
  <si>
    <t>Used in Plan2021, from ANBtoALB.xlsx</t>
  </si>
  <si>
    <t>ALB2012IAM</t>
  </si>
  <si>
    <t>ALB2012IAM_60%</t>
  </si>
  <si>
    <t>ALB2012IAM_140%</t>
  </si>
  <si>
    <t>AIG2012IAM_2019_102.5%</t>
  </si>
  <si>
    <t>AIG2012IAM_2019_96%</t>
  </si>
  <si>
    <t>AIG2012IAM_2023</t>
  </si>
  <si>
    <t>AIG2012IAM_2023_102.5%</t>
  </si>
  <si>
    <t>AIG2012IAM_2023_96%</t>
  </si>
  <si>
    <t>AIG2012IAM_2024</t>
  </si>
  <si>
    <t>AIG2012IAM_2024_102.5%</t>
  </si>
  <si>
    <t>AIG2012IAM_2024_96%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</si>
</sst>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"/>
    <numFmt numFmtId="165" formatCode="0.0000"/>
    <numFmt numFmtId="166" formatCode="0.000"/>
    <numFmt numFmtId="167" formatCode="0.0000000"/>
    <numFmt numFmtId="168" formatCode="0.00000"/>
  </numFmts>
  <fonts count="1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indexed="64"/>
      </top>
      <bottom style="thin">
        <color rgb="FFA6A6A6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A6A6A6"/>
      </bottom>
      <diagonal/>
    </border>
    <border>
      <left/>
      <right/>
      <top/>
      <bottom style="thin">
        <color rgb="FFA6A6A6"/>
      </bottom>
      <diagonal/>
    </border>
  </borders>
  <cellStyleXfs count="19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</cellStyleXfs>
  <cellXfs count="9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right" vertical="top"/>
    </xf>
    <xf numFmtId="0" fontId="10" fillId="0" borderId="0" xfId="0" applyFont="1" applyBorder="1" applyAlignment="1">
      <alignment horizontal="right" vertical="top"/>
    </xf>
    <xf numFmtId="4" fontId="0" fillId="0" borderId="0" xfId="0" applyNumberFormat="1" applyBorder="1" applyAlignment="1">
      <alignment horizontal="right" vertical="top"/>
    </xf>
    <xf numFmtId="0" fontId="10" fillId="0" borderId="0" xfId="0" applyFont="1" applyBorder="1" applyAlignment="1">
      <alignment horizontal="left" vertical="top"/>
    </xf>
    <xf numFmtId="0" fontId="7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0" fillId="0" borderId="0" xfId="0" applyFill="1" applyBorder="1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0" fontId="7" fillId="0" borderId="0" xfId="16" applyAlignment="1">
      <alignment horizontal="left" vertical="top"/>
    </xf>
    <xf numFmtId="164" fontId="0" fillId="0" borderId="0" xfId="0" applyNumberFormat="1" applyBorder="1" applyAlignment="1">
      <alignment horizontal="left" vertical="top"/>
    </xf>
    <xf numFmtId="164" fontId="0" fillId="0" borderId="6" xfId="0" applyNumberFormat="1" applyBorder="1" applyAlignment="1">
      <alignment horizontal="right" vertical="top"/>
    </xf>
    <xf numFmtId="0" fontId="13" fillId="0" borderId="0" xfId="0" applyFont="1"/>
    <xf numFmtId="164" fontId="0" fillId="0" borderId="10" xfId="0" applyNumberFormat="1" applyBorder="1" applyAlignment="1">
      <alignment horizontal="right" vertical="top"/>
    </xf>
    <xf numFmtId="0" fontId="0" fillId="0" borderId="11" xfId="0" applyBorder="1" applyAlignment="1">
      <alignment horizontal="right" vertical="top"/>
    </xf>
    <xf numFmtId="0" fontId="9" fillId="0" borderId="0" xfId="0" applyFont="1" applyAlignment="1"/>
    <xf numFmtId="0" fontId="9" fillId="0" borderId="0" xfId="0" applyFont="1" applyAlignment="1">
      <alignment horizontal="centerContinuous" vertical="center"/>
    </xf>
    <xf numFmtId="0" fontId="1" fillId="2" borderId="0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right" vertical="top"/>
    </xf>
    <xf numFmtId="0" fontId="0" fillId="2" borderId="0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right" vertical="top"/>
    </xf>
    <xf numFmtId="0" fontId="1" fillId="2" borderId="4" xfId="0" applyFont="1" applyFill="1" applyBorder="1" applyAlignment="1">
      <alignment horizontal="right" vertical="top"/>
    </xf>
    <xf numFmtId="0" fontId="0" fillId="2" borderId="5" xfId="0" applyFont="1" applyFill="1" applyBorder="1" applyAlignment="1">
      <alignment horizontal="right" vertical="top"/>
    </xf>
    <xf numFmtId="0" fontId="12" fillId="2" borderId="9" xfId="0" applyFont="1" applyFill="1" applyBorder="1" applyAlignment="1">
      <alignment horizontal="right" vertical="top"/>
    </xf>
    <xf numFmtId="0" fontId="12" fillId="2" borderId="8" xfId="0" applyFont="1" applyFill="1" applyBorder="1" applyAlignment="1">
      <alignment horizontal="right" vertical="top"/>
    </xf>
    <xf numFmtId="0" fontId="1" fillId="6" borderId="0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right" vertical="top"/>
    </xf>
    <xf numFmtId="0" fontId="0" fillId="6" borderId="0" xfId="0" applyFont="1" applyFill="1" applyBorder="1" applyAlignment="1">
      <alignment horizontal="right" vertical="top"/>
    </xf>
    <xf numFmtId="0" fontId="0" fillId="6" borderId="5" xfId="0" applyFont="1" applyFill="1" applyBorder="1" applyAlignment="1">
      <alignment horizontal="right" vertical="top"/>
    </xf>
    <xf numFmtId="0" fontId="12" fillId="6" borderId="9" xfId="0" applyFont="1" applyFill="1" applyBorder="1" applyAlignment="1">
      <alignment horizontal="right" vertical="top"/>
    </xf>
    <xf numFmtId="0" fontId="12" fillId="6" borderId="8" xfId="0" applyFont="1" applyFill="1" applyBorder="1" applyAlignment="1">
      <alignment horizontal="right" vertical="top"/>
    </xf>
    <xf numFmtId="164" fontId="0" fillId="0" borderId="11" xfId="0" applyNumberFormat="1" applyBorder="1" applyAlignment="1">
      <alignment horizontal="right" vertical="top"/>
    </xf>
    <xf numFmtId="0" fontId="10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6" borderId="0" xfId="0" applyFill="1" applyAlignment="1">
      <alignment horizontal="center" wrapText="1"/>
    </xf>
    <xf numFmtId="0" fontId="0" fillId="6" borderId="0" xfId="0" applyFill="1" applyAlignment="1">
      <alignment horizontal="center"/>
    </xf>
    <xf numFmtId="0" fontId="12" fillId="6" borderId="9" xfId="0" applyFont="1" applyFill="1" applyBorder="1" applyAlignment="1">
      <alignment horizontal="center" vertical="top"/>
    </xf>
    <xf numFmtId="0" fontId="12" fillId="6" borderId="8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1" fillId="6" borderId="0" xfId="0" applyFont="1" applyFill="1" applyAlignment="1">
      <alignment horizontal="left"/>
    </xf>
    <xf numFmtId="0" fontId="1" fillId="6" borderId="2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0" xfId="0" applyFont="1" applyFill="1" applyAlignment="1">
      <alignment horizontal="right"/>
    </xf>
    <xf numFmtId="0" fontId="8" fillId="6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 vertical="top"/>
    </xf>
    <xf numFmtId="0" fontId="0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165" fontId="8" fillId="0" borderId="0" xfId="0" applyNumberFormat="1" applyFont="1" applyBorder="1" applyAlignment="1">
      <alignment horizontal="center" vertical="top"/>
    </xf>
    <xf numFmtId="0" fontId="12" fillId="2" borderId="4" xfId="0" applyFont="1" applyFill="1" applyBorder="1" applyAlignment="1">
      <alignment horizontal="right" vertical="top"/>
    </xf>
    <xf numFmtId="0" fontId="8" fillId="0" borderId="7" xfId="0" applyFont="1" applyFill="1" applyBorder="1" applyAlignment="1">
      <alignment horizontal="center" vertical="top"/>
    </xf>
    <xf numFmtId="166" fontId="0" fillId="0" borderId="0" xfId="0" applyNumberFormat="1" applyBorder="1" applyAlignment="1">
      <alignment horizontal="center" vertical="top"/>
    </xf>
    <xf numFmtId="0" fontId="12" fillId="6" borderId="4" xfId="0" applyFont="1" applyFill="1" applyBorder="1" applyAlignment="1">
      <alignment horizontal="right" vertical="top"/>
    </xf>
    <xf numFmtId="166" fontId="0" fillId="0" borderId="0" xfId="0" applyNumberFormat="1" applyBorder="1" applyAlignment="1">
      <alignment horizontal="left" vertical="top"/>
    </xf>
    <xf numFmtId="0" fontId="1" fillId="6" borderId="0" xfId="0" applyFont="1" applyFill="1" applyBorder="1" applyAlignment="1">
      <alignment horizontal="center" vertical="top"/>
    </xf>
    <xf numFmtId="0" fontId="0" fillId="6" borderId="0" xfId="0" applyFill="1" applyAlignment="1">
      <alignment horizontal="right" wrapText="1"/>
    </xf>
    <xf numFmtId="0" fontId="0" fillId="6" borderId="0" xfId="0" applyFill="1" applyAlignment="1">
      <alignment horizontal="right"/>
    </xf>
    <xf numFmtId="0" fontId="0" fillId="0" borderId="0" xfId="0"/>
    <xf numFmtId="0" fontId="10" fillId="0" borderId="0" xfId="0" applyFont="1" applyBorder="1" applyAlignment="1">
      <alignment horizontal="right" vertical="top"/>
    </xf>
    <xf numFmtId="0" fontId="0" fillId="0" borderId="11" xfId="0" applyBorder="1" applyAlignment="1">
      <alignment horizontal="right" vertical="top"/>
    </xf>
    <xf numFmtId="0" fontId="0" fillId="6" borderId="0" xfId="0" applyFill="1" applyAlignment="1">
      <alignment horizontal="center" wrapText="1"/>
    </xf>
    <xf numFmtId="0" fontId="0" fillId="2" borderId="0" xfId="0" applyFont="1" applyFill="1" applyBorder="1" applyAlignment="1">
      <alignment horizontal="center" vertical="top"/>
    </xf>
    <xf numFmtId="0" fontId="0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167" fontId="8" fillId="0" borderId="0" xfId="0" applyNumberFormat="1" applyFont="1" applyBorder="1" applyAlignment="1">
      <alignment horizontal="center" vertical="top"/>
    </xf>
    <xf numFmtId="164" fontId="12" fillId="2" borderId="0" xfId="0" applyNumberFormat="1" applyFont="1" applyFill="1" applyBorder="1" applyAlignment="1">
      <alignment horizontal="center" vertical="top"/>
    </xf>
    <xf numFmtId="164" fontId="12" fillId="2" borderId="5" xfId="0" applyNumberFormat="1" applyFont="1" applyFill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0" fontId="14" fillId="7" borderId="0" xfId="0" applyFont="1" applyFill="1" applyAlignment="1">
      <alignment horizontal="center" wrapText="1"/>
    </xf>
    <xf numFmtId="0" fontId="14" fillId="7" borderId="0" xfId="0" applyFont="1" applyFill="1" applyAlignment="1">
      <alignment horizontal="center"/>
    </xf>
    <xf numFmtId="0" fontId="14" fillId="7" borderId="9" xfId="0" applyFont="1" applyFill="1" applyBorder="1" applyAlignment="1">
      <alignment horizontal="right" vertical="top"/>
    </xf>
    <xf numFmtId="168" fontId="13" fillId="7" borderId="0" xfId="0" applyNumberFormat="1" applyFont="1" applyFill="1" applyAlignment="1">
      <alignment horizontal="center"/>
    </xf>
    <xf numFmtId="168" fontId="13" fillId="7" borderId="0" xfId="0" applyNumberFormat="1" applyFont="1" applyFill="1" applyBorder="1" applyAlignment="1">
      <alignment horizontal="center"/>
    </xf>
    <xf numFmtId="0" fontId="0" fillId="0" borderId="11" xfId="0" applyBorder="1" applyAlignment="1">
      <alignment horizontal="left" vertical="top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vertical="center"/>
    </xf>
    <xf numFmtId="0" fontId="0" fillId="8" borderId="0" xfId="0" applyFill="1" applyAlignment="1">
      <alignment horizontal="center" wrapText="1"/>
    </xf>
    <xf numFmtId="0" fontId="0" fillId="8" borderId="0" xfId="0" applyFont="1" applyFill="1" applyBorder="1" applyAlignment="1">
      <alignment horizontal="center" vertical="top"/>
    </xf>
    <xf numFmtId="0" fontId="0" fillId="8" borderId="5" xfId="0" applyFont="1" applyFill="1" applyBorder="1" applyAlignment="1">
      <alignment horizontal="center" vertical="top"/>
    </xf>
    <xf numFmtId="0" fontId="12" fillId="8" borderId="0" xfId="0" applyFont="1" applyFill="1" applyBorder="1" applyAlignment="1">
      <alignment horizontal="center" vertical="top"/>
    </xf>
  </cellXfs>
  <cellStyles count="19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Hyperlink" xfId="16" builtinId="8"/>
    <cellStyle name="Normal" xfId="0" builtinId="0"/>
  </cellStyles>
  <dxfs count="16"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/>
  </sheetViews>
  <sheetFormatPr defaultColWidth="9.1796875" defaultRowHeight="12.5" x14ac:dyDescent="0.25"/>
  <cols>
    <col min="1" max="1" width="3.7265625" style="9" customWidth="1"/>
    <col min="2" max="3" width="26" style="10" customWidth="1"/>
    <col min="4" max="4" width="100" style="11" customWidth="1"/>
    <col min="5" max="16384" width="9.1796875" style="8"/>
  </cols>
  <sheetData>
    <row r="1" spans="1:4" ht="13" x14ac:dyDescent="0.25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5">
      <c r="A2" s="6">
        <v>1</v>
      </c>
      <c r="B2" s="4">
        <v>43528</v>
      </c>
      <c r="C2" s="4" t="s">
        <v>29</v>
      </c>
      <c r="D2" s="5" t="s">
        <v>30</v>
      </c>
    </row>
    <row r="3" spans="1:4" x14ac:dyDescent="0.25">
      <c r="A3" s="6"/>
      <c r="B3" s="20"/>
      <c r="C3" s="4"/>
      <c r="D3" s="5"/>
    </row>
    <row r="4" spans="1:4" x14ac:dyDescent="0.25">
      <c r="A4" s="6"/>
      <c r="B4" s="20"/>
      <c r="C4" s="4"/>
      <c r="D4" s="5"/>
    </row>
    <row r="5" spans="1:4" x14ac:dyDescent="0.25">
      <c r="A5" s="6"/>
      <c r="B5" s="20"/>
      <c r="C5" s="7"/>
      <c r="D5" s="5"/>
    </row>
    <row r="6" spans="1:4" x14ac:dyDescent="0.25">
      <c r="A6" s="6"/>
      <c r="B6" s="20"/>
      <c r="C6" s="7"/>
      <c r="D6" s="5"/>
    </row>
    <row r="7" spans="1:4" x14ac:dyDescent="0.25">
      <c r="A7" s="6"/>
      <c r="B7" s="7"/>
      <c r="C7" s="7"/>
      <c r="D7" s="5"/>
    </row>
    <row r="8" spans="1:4" x14ac:dyDescent="0.25">
      <c r="A8" s="6"/>
      <c r="B8" s="7"/>
      <c r="C8" s="7"/>
      <c r="D8" s="5"/>
    </row>
    <row r="9" spans="1:4" x14ac:dyDescent="0.25">
      <c r="A9" s="6"/>
      <c r="B9" s="7"/>
      <c r="C9" s="7"/>
      <c r="D9" s="5"/>
    </row>
    <row r="10" spans="1:4" x14ac:dyDescent="0.25">
      <c r="A10" s="6"/>
      <c r="B10" s="7"/>
      <c r="C10" s="7"/>
      <c r="D10" s="5"/>
    </row>
    <row r="11" spans="1:4" x14ac:dyDescent="0.25">
      <c r="A11" s="6"/>
      <c r="B11" s="7"/>
      <c r="C11" s="7"/>
      <c r="D11" s="5"/>
    </row>
    <row r="12" spans="1:4" x14ac:dyDescent="0.25">
      <c r="A12" s="6"/>
      <c r="B12" s="7"/>
      <c r="C12" s="7"/>
      <c r="D12" s="5"/>
    </row>
    <row r="13" spans="1:4" x14ac:dyDescent="0.25">
      <c r="A13" s="6"/>
      <c r="B13" s="7"/>
      <c r="C13" s="7"/>
      <c r="D13" s="5"/>
    </row>
    <row r="14" spans="1:4" x14ac:dyDescent="0.25">
      <c r="A14" s="6"/>
      <c r="B14" s="7"/>
      <c r="C14" s="7"/>
      <c r="D14" s="5"/>
    </row>
    <row r="15" spans="1:4" x14ac:dyDescent="0.25">
      <c r="A15" s="6"/>
      <c r="B15" s="7"/>
      <c r="C15" s="7"/>
      <c r="D15" s="5"/>
    </row>
    <row r="16" spans="1:4" x14ac:dyDescent="0.25">
      <c r="A16" s="6"/>
      <c r="B16" s="7"/>
      <c r="C16" s="7"/>
      <c r="D16" s="5"/>
    </row>
    <row r="17" spans="1:4" x14ac:dyDescent="0.25">
      <c r="A17" s="6"/>
      <c r="B17" s="7"/>
      <c r="C17" s="7"/>
      <c r="D17" s="5"/>
    </row>
    <row r="18" spans="1:4" x14ac:dyDescent="0.25">
      <c r="A18" s="6"/>
      <c r="B18" s="7"/>
      <c r="C18" s="7"/>
      <c r="D18" s="5"/>
    </row>
    <row r="19" spans="1:4" x14ac:dyDescent="0.25">
      <c r="A19" s="6"/>
      <c r="B19" s="7"/>
      <c r="C19" s="7"/>
      <c r="D19" s="5"/>
    </row>
    <row r="20" spans="1:4" x14ac:dyDescent="0.25">
      <c r="A20" s="6"/>
      <c r="B20" s="7"/>
      <c r="C20" s="7"/>
      <c r="D20" s="5"/>
    </row>
    <row r="21" spans="1:4" x14ac:dyDescent="0.25">
      <c r="A21" s="6"/>
      <c r="B21" s="7"/>
      <c r="C21" s="7"/>
      <c r="D21" s="5"/>
    </row>
    <row r="22" spans="1:4" x14ac:dyDescent="0.25">
      <c r="A22" s="6"/>
      <c r="B22" s="7"/>
      <c r="C22" s="7"/>
      <c r="D22" s="5"/>
    </row>
    <row r="23" spans="1:4" x14ac:dyDescent="0.25">
      <c r="A23" s="6"/>
      <c r="B23" s="7"/>
      <c r="C23" s="7"/>
      <c r="D23" s="5"/>
    </row>
    <row r="24" spans="1:4" x14ac:dyDescent="0.25">
      <c r="A24" s="6"/>
      <c r="B24" s="7"/>
      <c r="C24" s="7"/>
      <c r="D24" s="5"/>
    </row>
    <row r="25" spans="1:4" x14ac:dyDescent="0.25">
      <c r="A25" s="6"/>
      <c r="B25" s="7"/>
      <c r="C25" s="7"/>
      <c r="D25" s="5"/>
    </row>
    <row r="26" spans="1:4" x14ac:dyDescent="0.25">
      <c r="A26" s="6"/>
      <c r="B26" s="7"/>
      <c r="C26" s="7"/>
      <c r="D26" s="5"/>
    </row>
    <row r="27" spans="1:4" x14ac:dyDescent="0.25">
      <c r="A27" s="6"/>
      <c r="B27" s="7"/>
      <c r="C27" s="7"/>
      <c r="D27" s="5"/>
    </row>
    <row r="28" spans="1:4" x14ac:dyDescent="0.25">
      <c r="A28" s="6"/>
      <c r="B28" s="7"/>
      <c r="C28" s="7"/>
      <c r="D28" s="5"/>
    </row>
    <row r="29" spans="1:4" x14ac:dyDescent="0.25">
      <c r="A29" s="6"/>
      <c r="B29" s="7"/>
      <c r="C29" s="7"/>
      <c r="D29" s="5"/>
    </row>
    <row r="30" spans="1:4" x14ac:dyDescent="0.25">
      <c r="A30" s="6"/>
      <c r="B30" s="7"/>
      <c r="C30" s="7"/>
      <c r="D30" s="5"/>
    </row>
    <row r="31" spans="1:4" x14ac:dyDescent="0.25">
      <c r="A31" s="6"/>
      <c r="B31" s="7"/>
      <c r="C31" s="7"/>
      <c r="D31" s="5"/>
    </row>
    <row r="32" spans="1:4" x14ac:dyDescent="0.25">
      <c r="A32" s="6"/>
      <c r="B32" s="7"/>
      <c r="C32" s="7"/>
      <c r="D32" s="5"/>
    </row>
    <row r="33" spans="1:4" x14ac:dyDescent="0.25">
      <c r="A33" s="6"/>
      <c r="B33" s="7"/>
      <c r="C33" s="7"/>
      <c r="D33" s="5"/>
    </row>
    <row r="34" spans="1:4" x14ac:dyDescent="0.25">
      <c r="A34" s="6"/>
      <c r="B34" s="7"/>
      <c r="C34" s="7"/>
      <c r="D34" s="5"/>
    </row>
    <row r="35" spans="1:4" x14ac:dyDescent="0.25">
      <c r="A35" s="6"/>
      <c r="B35" s="7"/>
      <c r="C35" s="7"/>
      <c r="D35" s="5"/>
    </row>
    <row r="36" spans="1:4" x14ac:dyDescent="0.25">
      <c r="A36" s="6"/>
      <c r="B36" s="7"/>
      <c r="C36" s="7"/>
      <c r="D36" s="5"/>
    </row>
    <row r="37" spans="1:4" x14ac:dyDescent="0.25">
      <c r="A37" s="6"/>
      <c r="B37" s="7"/>
      <c r="C37" s="7"/>
      <c r="D37" s="5"/>
    </row>
    <row r="38" spans="1:4" x14ac:dyDescent="0.25">
      <c r="A38" s="6"/>
      <c r="B38" s="7"/>
      <c r="C38" s="7"/>
      <c r="D38" s="5"/>
    </row>
    <row r="39" spans="1:4" x14ac:dyDescent="0.25">
      <c r="A39" s="6"/>
      <c r="B39" s="7"/>
      <c r="C39" s="7"/>
      <c r="D39" s="5"/>
    </row>
    <row r="40" spans="1:4" x14ac:dyDescent="0.25">
      <c r="A40" s="6"/>
      <c r="B40" s="7"/>
      <c r="C40" s="7"/>
      <c r="D40" s="5"/>
    </row>
    <row r="41" spans="1:4" x14ac:dyDescent="0.25">
      <c r="A41" s="6"/>
      <c r="B41" s="7"/>
      <c r="C41" s="7"/>
      <c r="D41" s="5"/>
    </row>
    <row r="42" spans="1:4" x14ac:dyDescent="0.25">
      <c r="A42" s="6"/>
      <c r="B42" s="7"/>
      <c r="C42" s="7"/>
      <c r="D42" s="5"/>
    </row>
    <row r="43" spans="1:4" x14ac:dyDescent="0.25">
      <c r="A43" s="6"/>
      <c r="B43" s="7"/>
      <c r="C43" s="7"/>
      <c r="D43" s="5"/>
    </row>
    <row r="44" spans="1:4" x14ac:dyDescent="0.25">
      <c r="A44" s="6"/>
      <c r="B44" s="7"/>
      <c r="C44" s="7"/>
      <c r="D44" s="5"/>
    </row>
    <row r="45" spans="1:4" x14ac:dyDescent="0.25">
      <c r="A45" s="6"/>
      <c r="B45" s="7"/>
      <c r="C45" s="7"/>
      <c r="D45" s="5"/>
    </row>
    <row r="46" spans="1:4" x14ac:dyDescent="0.25">
      <c r="A46" s="6"/>
      <c r="B46" s="7"/>
      <c r="C46" s="7"/>
      <c r="D46" s="5"/>
    </row>
    <row r="47" spans="1:4" x14ac:dyDescent="0.25">
      <c r="A47" s="6"/>
      <c r="B47" s="7"/>
      <c r="C47" s="7"/>
      <c r="D47" s="5"/>
    </row>
    <row r="48" spans="1:4" x14ac:dyDescent="0.25">
      <c r="A48" s="6"/>
      <c r="B48" s="7"/>
      <c r="C48" s="7"/>
      <c r="D48" s="5"/>
    </row>
    <row r="49" spans="1:4" x14ac:dyDescent="0.25">
      <c r="A49" s="6"/>
      <c r="B49" s="7"/>
      <c r="C49" s="7"/>
      <c r="D49" s="5"/>
    </row>
    <row r="50" spans="1:4" x14ac:dyDescent="0.25">
      <c r="A50" s="6"/>
      <c r="B50" s="7"/>
      <c r="C50" s="7"/>
      <c r="D50" s="5"/>
    </row>
    <row r="51" spans="1:4" x14ac:dyDescent="0.25">
      <c r="A51" s="6"/>
      <c r="B51" s="7"/>
      <c r="C51" s="7"/>
      <c r="D51" s="5"/>
    </row>
    <row r="52" spans="1:4" x14ac:dyDescent="0.25">
      <c r="A52" s="6"/>
      <c r="B52" s="7"/>
      <c r="C52" s="7"/>
      <c r="D52" s="5"/>
    </row>
    <row r="53" spans="1:4" x14ac:dyDescent="0.25">
      <c r="A53" s="6"/>
      <c r="B53" s="7"/>
      <c r="C53" s="7"/>
      <c r="D53" s="5"/>
    </row>
    <row r="54" spans="1:4" x14ac:dyDescent="0.25">
      <c r="A54" s="6"/>
      <c r="B54" s="7"/>
      <c r="C54" s="7"/>
      <c r="D54" s="5"/>
    </row>
    <row r="55" spans="1:4" x14ac:dyDescent="0.25">
      <c r="A55" s="6"/>
      <c r="B55" s="7"/>
      <c r="C55" s="7"/>
      <c r="D55" s="5"/>
    </row>
    <row r="56" spans="1:4" x14ac:dyDescent="0.25">
      <c r="A56" s="6"/>
      <c r="B56" s="7"/>
      <c r="C56" s="7"/>
      <c r="D56" s="5"/>
    </row>
    <row r="57" spans="1:4" x14ac:dyDescent="0.25">
      <c r="A57" s="6"/>
      <c r="B57" s="7"/>
      <c r="C57" s="7"/>
      <c r="D57" s="5"/>
    </row>
    <row r="58" spans="1:4" x14ac:dyDescent="0.25">
      <c r="A58" s="6"/>
      <c r="B58" s="7"/>
      <c r="C58" s="7"/>
      <c r="D58" s="5"/>
    </row>
    <row r="59" spans="1:4" x14ac:dyDescent="0.25">
      <c r="A59" s="6"/>
      <c r="B59" s="7"/>
      <c r="C59" s="7"/>
      <c r="D59" s="5"/>
    </row>
    <row r="60" spans="1:4" x14ac:dyDescent="0.25">
      <c r="A60" s="6"/>
      <c r="B60" s="7"/>
      <c r="C60" s="7"/>
      <c r="D60" s="5"/>
    </row>
    <row r="61" spans="1:4" x14ac:dyDescent="0.25">
      <c r="A61" s="6"/>
      <c r="B61" s="7"/>
      <c r="C61" s="7"/>
      <c r="D61" s="5"/>
    </row>
    <row r="62" spans="1:4" x14ac:dyDescent="0.25">
      <c r="A62" s="6"/>
      <c r="B62" s="7"/>
      <c r="C62" s="7"/>
      <c r="D62" s="5"/>
    </row>
    <row r="63" spans="1:4" x14ac:dyDescent="0.25">
      <c r="A63" s="6"/>
      <c r="B63" s="7"/>
      <c r="C63" s="7"/>
      <c r="D63" s="5"/>
    </row>
    <row r="64" spans="1:4" x14ac:dyDescent="0.25">
      <c r="A64" s="6"/>
      <c r="B64" s="7"/>
      <c r="C64" s="7"/>
      <c r="D64" s="5"/>
    </row>
    <row r="65" spans="1:4" x14ac:dyDescent="0.25">
      <c r="A65" s="6"/>
      <c r="B65" s="7"/>
      <c r="C65" s="7"/>
      <c r="D65" s="5"/>
    </row>
    <row r="66" spans="1:4" x14ac:dyDescent="0.25">
      <c r="A66" s="6"/>
      <c r="B66" s="7"/>
      <c r="C66" s="7"/>
      <c r="D66" s="5"/>
    </row>
    <row r="67" spans="1:4" x14ac:dyDescent="0.25">
      <c r="A67" s="6"/>
      <c r="B67" s="7"/>
      <c r="C67" s="7"/>
      <c r="D67" s="5"/>
    </row>
    <row r="68" spans="1:4" x14ac:dyDescent="0.25">
      <c r="A68" s="6"/>
      <c r="B68" s="7"/>
      <c r="C68" s="7"/>
      <c r="D68" s="5"/>
    </row>
    <row r="69" spans="1:4" x14ac:dyDescent="0.25">
      <c r="A69" s="6"/>
      <c r="B69" s="7"/>
      <c r="C69" s="7"/>
      <c r="D69" s="5"/>
    </row>
    <row r="70" spans="1:4" x14ac:dyDescent="0.25">
      <c r="A70" s="6"/>
      <c r="B70" s="7"/>
      <c r="C70" s="7"/>
      <c r="D70" s="5"/>
    </row>
    <row r="71" spans="1:4" x14ac:dyDescent="0.25">
      <c r="A71" s="6"/>
      <c r="B71" s="7"/>
      <c r="C71" s="7"/>
      <c r="D71" s="5"/>
    </row>
    <row r="72" spans="1:4" x14ac:dyDescent="0.25">
      <c r="A72" s="6"/>
      <c r="B72" s="7"/>
      <c r="C72" s="7"/>
      <c r="D72" s="5"/>
    </row>
    <row r="73" spans="1:4" x14ac:dyDescent="0.25">
      <c r="A73" s="6"/>
      <c r="B73" s="7"/>
      <c r="C73" s="7"/>
      <c r="D73" s="5"/>
    </row>
    <row r="74" spans="1:4" x14ac:dyDescent="0.25">
      <c r="A74" s="6"/>
      <c r="B74" s="7"/>
      <c r="C74" s="7"/>
      <c r="D74" s="5"/>
    </row>
    <row r="75" spans="1:4" x14ac:dyDescent="0.25">
      <c r="A75" s="6"/>
      <c r="B75" s="7"/>
      <c r="C75" s="7"/>
      <c r="D75" s="5"/>
    </row>
    <row r="76" spans="1:4" x14ac:dyDescent="0.25">
      <c r="A76" s="6"/>
      <c r="B76" s="7"/>
      <c r="C76" s="7"/>
      <c r="D76" s="5"/>
    </row>
    <row r="77" spans="1:4" x14ac:dyDescent="0.25">
      <c r="A77" s="6"/>
      <c r="B77" s="7"/>
      <c r="C77" s="7"/>
      <c r="D77" s="5"/>
    </row>
    <row r="78" spans="1:4" x14ac:dyDescent="0.25">
      <c r="A78" s="6"/>
      <c r="B78" s="7"/>
      <c r="C78" s="7"/>
      <c r="D78" s="5"/>
    </row>
    <row r="79" spans="1:4" x14ac:dyDescent="0.25">
      <c r="A79" s="6"/>
      <c r="B79" s="7"/>
      <c r="C79" s="7"/>
      <c r="D79" s="5"/>
    </row>
    <row r="80" spans="1:4" x14ac:dyDescent="0.25">
      <c r="A80" s="6"/>
      <c r="B80" s="7"/>
      <c r="C80" s="7"/>
      <c r="D80" s="5"/>
    </row>
    <row r="81" spans="1:4" x14ac:dyDescent="0.25">
      <c r="A81" s="6"/>
      <c r="B81" s="7"/>
      <c r="C81" s="7"/>
      <c r="D81" s="5"/>
    </row>
    <row r="82" spans="1:4" x14ac:dyDescent="0.25">
      <c r="A82" s="6"/>
      <c r="B82" s="7"/>
      <c r="C82" s="7"/>
      <c r="D82" s="5"/>
    </row>
    <row r="83" spans="1:4" x14ac:dyDescent="0.25">
      <c r="A83" s="6"/>
      <c r="B83" s="7"/>
      <c r="C83" s="7"/>
      <c r="D83" s="5"/>
    </row>
    <row r="84" spans="1:4" x14ac:dyDescent="0.25">
      <c r="A84" s="6"/>
      <c r="B84" s="7"/>
      <c r="C84" s="7"/>
      <c r="D84" s="5"/>
    </row>
    <row r="85" spans="1:4" x14ac:dyDescent="0.25">
      <c r="A85" s="6"/>
      <c r="B85" s="7"/>
      <c r="C85" s="7"/>
      <c r="D85" s="5"/>
    </row>
    <row r="86" spans="1:4" x14ac:dyDescent="0.25">
      <c r="A86" s="6"/>
      <c r="B86" s="7"/>
      <c r="C86" s="7"/>
      <c r="D86" s="5"/>
    </row>
    <row r="87" spans="1:4" x14ac:dyDescent="0.25">
      <c r="A87" s="6"/>
      <c r="B87" s="7"/>
      <c r="C87" s="7"/>
      <c r="D87" s="5"/>
    </row>
    <row r="88" spans="1:4" x14ac:dyDescent="0.25">
      <c r="A88" s="6"/>
      <c r="B88" s="7"/>
      <c r="C88" s="7"/>
      <c r="D88" s="5"/>
    </row>
    <row r="89" spans="1:4" x14ac:dyDescent="0.25">
      <c r="A89" s="6"/>
      <c r="B89" s="7"/>
      <c r="C89" s="7"/>
      <c r="D89" s="5"/>
    </row>
    <row r="90" spans="1:4" x14ac:dyDescent="0.25">
      <c r="A90" s="6"/>
      <c r="B90" s="7"/>
      <c r="C90" s="7"/>
      <c r="D90" s="5"/>
    </row>
    <row r="91" spans="1:4" x14ac:dyDescent="0.25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6"/>
  <sheetViews>
    <sheetView showGridLines="0" zoomScaleNormal="100" workbookViewId="0"/>
  </sheetViews>
  <sheetFormatPr defaultColWidth="15.7265625" defaultRowHeight="12.5" x14ac:dyDescent="0.25"/>
  <cols>
    <col min="1" max="1" width="15.7265625" style="8" customWidth="1"/>
    <col min="2" max="2" width="30.7265625" style="8" customWidth="1"/>
  </cols>
  <sheetData>
    <row r="1" spans="1:3" ht="15.75" customHeight="1" x14ac:dyDescent="0.25">
      <c r="B1" s="28" t="s">
        <v>4</v>
      </c>
    </row>
    <row r="2" spans="1:3" ht="12.75" customHeight="1" x14ac:dyDescent="0.5">
      <c r="A2" s="27"/>
      <c r="B2" s="27"/>
      <c r="C2" s="27"/>
    </row>
    <row r="4" spans="1:3" x14ac:dyDescent="0.25">
      <c r="A4" s="24" t="s">
        <v>13</v>
      </c>
    </row>
    <row r="5" spans="1:3" x14ac:dyDescent="0.25">
      <c r="A5"/>
      <c r="B5" s="21" t="s">
        <v>20</v>
      </c>
    </row>
    <row r="6" spans="1:3" x14ac:dyDescent="0.25">
      <c r="A6"/>
    </row>
    <row r="7" spans="1:3" x14ac:dyDescent="0.25">
      <c r="A7" s="24" t="s">
        <v>14</v>
      </c>
    </row>
    <row r="8" spans="1:3" x14ac:dyDescent="0.25">
      <c r="A8"/>
      <c r="B8" s="21" t="s">
        <v>19</v>
      </c>
    </row>
    <row r="9" spans="1:3" x14ac:dyDescent="0.25">
      <c r="A9"/>
      <c r="B9" s="21"/>
    </row>
    <row r="10" spans="1:3" x14ac:dyDescent="0.25">
      <c r="A10" s="24" t="s">
        <v>22</v>
      </c>
    </row>
    <row r="11" spans="1:3" x14ac:dyDescent="0.25">
      <c r="A11"/>
      <c r="B11" s="21" t="s">
        <v>23</v>
      </c>
    </row>
    <row r="12" spans="1:3" x14ac:dyDescent="0.25">
      <c r="A12"/>
      <c r="B12" s="21"/>
    </row>
    <row r="13" spans="1:3" x14ac:dyDescent="0.25">
      <c r="A13" s="24" t="s">
        <v>15</v>
      </c>
    </row>
    <row r="14" spans="1:3" x14ac:dyDescent="0.25">
      <c r="A14"/>
      <c r="B14" s="21" t="s">
        <v>28</v>
      </c>
    </row>
    <row r="15" spans="1:3" x14ac:dyDescent="0.25">
      <c r="B15" s="21" t="s">
        <v>27</v>
      </c>
    </row>
    <row r="16" spans="1:3" x14ac:dyDescent="0.25">
      <c r="B16" s="21" t="s">
        <v>16</v>
      </c>
    </row>
  </sheetData>
  <hyperlinks>
    <hyperlink ref="B5" location="StatCarvmMortMult" display="Statutory CARVM Mortality Multiples" xr:uid="{00000000-0004-0000-0100-000000000000}"/>
    <hyperlink ref="B8" location="TaxCarvmMortMult" display="Tax CARVM Mortality Multiples" xr:uid="{00000000-0004-0000-0100-000001000000}"/>
    <hyperlink ref="B14" location="MortMult" display="Mortality Multiples" xr:uid="{00000000-0004-0000-0100-000002000000}"/>
    <hyperlink ref="B16" location="MortAddn" display="Mortality Additions" xr:uid="{00000000-0004-0000-0100-000003000000}"/>
    <hyperlink ref="B11" location="PurchMortMult" display="Purch Rate Mortality Multiples" xr:uid="{00000000-0004-0000-0100-000004000000}"/>
    <hyperlink ref="B15" location="mort_improve_pct" display="SOA G2 Improvement Factor" xr:uid="{00000000-0004-0000-0100-000005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I9"/>
  <sheetViews>
    <sheetView showGridLines="0" zoomScaleNormal="100" workbookViewId="0"/>
  </sheetViews>
  <sheetFormatPr defaultColWidth="15.7265625" defaultRowHeight="12.5" x14ac:dyDescent="0.25"/>
  <cols>
    <col min="1" max="1" width="11.54296875" style="17" customWidth="1"/>
    <col min="2" max="2" width="30.7265625" style="17" customWidth="1"/>
    <col min="3" max="5" width="15.7265625" style="12" customWidth="1"/>
    <col min="6" max="16384" width="15.7265625" style="12"/>
  </cols>
  <sheetData>
    <row r="1" spans="1:9" ht="15.5" x14ac:dyDescent="0.25">
      <c r="A1" s="16" t="s">
        <v>6</v>
      </c>
      <c r="B1" s="15" t="s">
        <v>20</v>
      </c>
      <c r="C1" s="13"/>
    </row>
    <row r="2" spans="1:9" ht="12.75" customHeight="1" x14ac:dyDescent="0.25">
      <c r="A2" s="16"/>
      <c r="B2" s="15"/>
      <c r="C2" s="13"/>
    </row>
    <row r="3" spans="1:9" ht="13" x14ac:dyDescent="0.25">
      <c r="B3" s="18" t="e">
        <f>GetNameRange(B4)</f>
        <v>#VALUE!</v>
      </c>
      <c r="C3" s="26"/>
    </row>
    <row r="4" spans="1:9" ht="13" x14ac:dyDescent="0.25">
      <c r="A4" s="29"/>
      <c r="B4" s="30" t="s">
        <v>9</v>
      </c>
      <c r="C4" s="31" t="s">
        <v>7</v>
      </c>
      <c r="D4" s="32" t="s">
        <v>7</v>
      </c>
    </row>
    <row r="5" spans="1:9" ht="13" x14ac:dyDescent="0.25">
      <c r="A5" s="29"/>
      <c r="B5" s="33" t="s">
        <v>10</v>
      </c>
      <c r="C5" s="31" t="s">
        <v>12</v>
      </c>
      <c r="D5" s="34" t="s">
        <v>18</v>
      </c>
    </row>
    <row r="6" spans="1:9" ht="13" x14ac:dyDescent="0.25">
      <c r="A6" s="29"/>
      <c r="B6" s="33" t="s">
        <v>11</v>
      </c>
      <c r="C6" s="31">
        <v>0</v>
      </c>
      <c r="D6" s="34">
        <v>0</v>
      </c>
    </row>
    <row r="7" spans="1:9" ht="13" x14ac:dyDescent="0.25">
      <c r="A7" s="29" t="s">
        <v>5</v>
      </c>
      <c r="B7" s="62" t="s">
        <v>8</v>
      </c>
      <c r="C7" s="35"/>
      <c r="D7" s="36"/>
    </row>
    <row r="8" spans="1:9" s="19" customFormat="1" x14ac:dyDescent="0.25">
      <c r="A8" s="66">
        <v>1</v>
      </c>
      <c r="B8" s="63">
        <v>1</v>
      </c>
      <c r="C8" s="25">
        <v>1</v>
      </c>
      <c r="D8" s="23">
        <v>1</v>
      </c>
      <c r="E8" s="12"/>
      <c r="F8" s="12"/>
      <c r="G8" s="12"/>
      <c r="H8" s="12"/>
      <c r="I8" s="12"/>
    </row>
    <row r="9" spans="1:9" x14ac:dyDescent="0.25">
      <c r="D9" s="14"/>
    </row>
  </sheetData>
  <conditionalFormatting sqref="C8">
    <cfRule type="cellIs" dxfId="15" priority="3" operator="equal">
      <formula>""</formula>
    </cfRule>
    <cfRule type="cellIs" dxfId="14" priority="4" operator="notEqual">
      <formula>$A8</formula>
    </cfRule>
  </conditionalFormatting>
  <conditionalFormatting sqref="D8">
    <cfRule type="cellIs" dxfId="13" priority="1" operator="equal">
      <formula>""</formula>
    </cfRule>
    <cfRule type="cellIs" dxfId="12" priority="2" operator="notEqual">
      <formula>$A8</formula>
    </cfRule>
  </conditionalFormatting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I9"/>
  <sheetViews>
    <sheetView showGridLines="0" zoomScaleNormal="100" workbookViewId="0"/>
  </sheetViews>
  <sheetFormatPr defaultColWidth="15.7265625" defaultRowHeight="12.5" x14ac:dyDescent="0.25"/>
  <cols>
    <col min="1" max="1" width="11.54296875" style="17" customWidth="1"/>
    <col min="2" max="2" width="30.7265625" style="17" customWidth="1"/>
    <col min="3" max="5" width="15.7265625" style="12" customWidth="1"/>
    <col min="6" max="16384" width="15.7265625" style="12"/>
  </cols>
  <sheetData>
    <row r="1" spans="1:9" ht="15.5" x14ac:dyDescent="0.25">
      <c r="A1" s="16" t="s">
        <v>6</v>
      </c>
      <c r="B1" s="15" t="s">
        <v>19</v>
      </c>
      <c r="C1" s="13"/>
    </row>
    <row r="2" spans="1:9" ht="12.75" customHeight="1" x14ac:dyDescent="0.25">
      <c r="A2" s="16"/>
      <c r="B2" s="15"/>
      <c r="C2" s="13"/>
    </row>
    <row r="3" spans="1:9" ht="13" x14ac:dyDescent="0.25">
      <c r="B3" s="18" t="e">
        <f>GetNameRange(B4)</f>
        <v>#VALUE!</v>
      </c>
      <c r="C3" s="26"/>
    </row>
    <row r="4" spans="1:9" ht="13" x14ac:dyDescent="0.25">
      <c r="A4" s="29"/>
      <c r="B4" s="30" t="s">
        <v>9</v>
      </c>
      <c r="C4" s="31" t="s">
        <v>7</v>
      </c>
      <c r="D4" s="32" t="s">
        <v>7</v>
      </c>
    </row>
    <row r="5" spans="1:9" ht="13" x14ac:dyDescent="0.25">
      <c r="A5" s="29"/>
      <c r="B5" s="33" t="s">
        <v>10</v>
      </c>
      <c r="C5" s="31" t="s">
        <v>12</v>
      </c>
      <c r="D5" s="34" t="s">
        <v>18</v>
      </c>
    </row>
    <row r="6" spans="1:9" ht="13" x14ac:dyDescent="0.25">
      <c r="A6" s="29"/>
      <c r="B6" s="33" t="s">
        <v>11</v>
      </c>
      <c r="C6" s="31">
        <v>0</v>
      </c>
      <c r="D6" s="34">
        <v>0</v>
      </c>
    </row>
    <row r="7" spans="1:9" ht="13" x14ac:dyDescent="0.25">
      <c r="A7" s="60" t="s">
        <v>5</v>
      </c>
      <c r="B7" s="62" t="s">
        <v>8</v>
      </c>
      <c r="C7" s="35"/>
      <c r="D7" s="36"/>
    </row>
    <row r="8" spans="1:9" s="19" customFormat="1" x14ac:dyDescent="0.25">
      <c r="A8" s="64">
        <v>1</v>
      </c>
      <c r="B8" s="63">
        <v>1</v>
      </c>
      <c r="C8" s="25">
        <v>1</v>
      </c>
      <c r="D8" s="23">
        <v>1</v>
      </c>
      <c r="E8" s="12"/>
      <c r="F8" s="12"/>
      <c r="G8" s="12"/>
      <c r="H8" s="12"/>
      <c r="I8" s="12"/>
    </row>
    <row r="9" spans="1:9" x14ac:dyDescent="0.25">
      <c r="D9" s="14"/>
    </row>
  </sheetData>
  <conditionalFormatting sqref="C8">
    <cfRule type="cellIs" dxfId="11" priority="3" operator="equal">
      <formula>""</formula>
    </cfRule>
    <cfRule type="cellIs" dxfId="10" priority="4" operator="notEqual">
      <formula>$A8</formula>
    </cfRule>
  </conditionalFormatting>
  <conditionalFormatting sqref="D8">
    <cfRule type="cellIs" dxfId="9" priority="1" operator="equal">
      <formula>""</formula>
    </cfRule>
    <cfRule type="cellIs" dxfId="8" priority="2" operator="notEqual">
      <formula>$A8</formula>
    </cfRule>
  </conditionalFormatting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I8"/>
  <sheetViews>
    <sheetView showGridLines="0" zoomScaleNormal="100" workbookViewId="0"/>
  </sheetViews>
  <sheetFormatPr defaultColWidth="15.7265625" defaultRowHeight="12.5" x14ac:dyDescent="0.25"/>
  <cols>
    <col min="1" max="1" width="11.54296875" style="17" customWidth="1"/>
    <col min="2" max="2" width="30.7265625" style="17" customWidth="1"/>
    <col min="3" max="5" width="15.7265625" style="12" customWidth="1"/>
    <col min="6" max="16384" width="15.7265625" style="12"/>
  </cols>
  <sheetData>
    <row r="1" spans="1:9" ht="15.5" x14ac:dyDescent="0.25">
      <c r="A1" s="16" t="s">
        <v>6</v>
      </c>
      <c r="B1" s="15" t="s">
        <v>21</v>
      </c>
      <c r="C1" s="13"/>
    </row>
    <row r="2" spans="1:9" ht="12.75" customHeight="1" x14ac:dyDescent="0.25">
      <c r="A2" s="16"/>
      <c r="B2" s="15"/>
      <c r="C2" s="13"/>
    </row>
    <row r="3" spans="1:9" ht="13" x14ac:dyDescent="0.25">
      <c r="B3" s="18" t="e">
        <f>GetNameRange(B4)</f>
        <v>#VALUE!</v>
      </c>
    </row>
    <row r="4" spans="1:9" ht="13" x14ac:dyDescent="0.25">
      <c r="A4" s="37"/>
      <c r="B4" s="38" t="s">
        <v>10</v>
      </c>
      <c r="C4" s="39" t="s">
        <v>12</v>
      </c>
      <c r="D4" s="40" t="s">
        <v>18</v>
      </c>
    </row>
    <row r="5" spans="1:9" ht="13" x14ac:dyDescent="0.25">
      <c r="A5" s="37"/>
      <c r="B5" s="38" t="s">
        <v>11</v>
      </c>
      <c r="C5" s="39">
        <v>0</v>
      </c>
      <c r="D5" s="40">
        <v>0</v>
      </c>
    </row>
    <row r="6" spans="1:9" ht="13" x14ac:dyDescent="0.25">
      <c r="A6" s="67" t="s">
        <v>5</v>
      </c>
      <c r="B6" s="65" t="s">
        <v>8</v>
      </c>
      <c r="C6" s="41"/>
      <c r="D6" s="42"/>
    </row>
    <row r="7" spans="1:9" x14ac:dyDescent="0.25">
      <c r="A7" s="64">
        <v>1</v>
      </c>
      <c r="B7" s="63">
        <v>1</v>
      </c>
      <c r="C7" s="43">
        <v>1</v>
      </c>
      <c r="D7" s="23">
        <v>1</v>
      </c>
    </row>
    <row r="8" spans="1:9" s="19" customFormat="1" x14ac:dyDescent="0.25">
      <c r="A8" s="17"/>
      <c r="B8" s="17"/>
      <c r="C8" s="12"/>
      <c r="D8" s="14"/>
      <c r="E8" s="12"/>
      <c r="F8" s="12"/>
      <c r="G8" s="12"/>
      <c r="H8" s="12"/>
      <c r="I8" s="12"/>
    </row>
  </sheetData>
  <conditionalFormatting sqref="C7">
    <cfRule type="cellIs" dxfId="7" priority="3" operator="equal">
      <formula>""</formula>
    </cfRule>
    <cfRule type="cellIs" dxfId="6" priority="4" operator="notEqual">
      <formula>$A7</formula>
    </cfRule>
  </conditionalFormatting>
  <conditionalFormatting sqref="D7">
    <cfRule type="cellIs" dxfId="5" priority="1" operator="equal">
      <formula>""</formula>
    </cfRule>
    <cfRule type="cellIs" dxfId="4" priority="2" operator="notEqual">
      <formula>$A7</formula>
    </cfRule>
  </conditionalFormatting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BS124"/>
  <sheetViews>
    <sheetView showGridLines="0" tabSelected="1" zoomScaleNormal="100" workbookViewId="0">
      <pane xSplit="2" ySplit="7" topLeftCell="W8" activePane="bottomRight" state="frozen"/>
      <selection pane="topRight" activeCell="C1" sqref="C1"/>
      <selection pane="bottomLeft" activeCell="A8" sqref="A8"/>
      <selection pane="bottomRight" activeCell="AE8" sqref="AE8"/>
    </sheetView>
  </sheetViews>
  <sheetFormatPr defaultColWidth="9.1796875" defaultRowHeight="12.5" x14ac:dyDescent="0.25"/>
  <cols>
    <col min="1" max="1" width="11.54296875" style="17" customWidth="1"/>
    <col min="2" max="2" width="18.54296875" style="17" customWidth="1"/>
    <col min="3" max="8" width="15.7265625" style="12"/>
    <col min="9" max="10" width="15.7265625" style="12" customWidth="1"/>
    <col min="11" max="66" width="11.26953125" style="12" customWidth="1"/>
    <col min="67" max="67" width="11.54296875" style="12" customWidth="1"/>
    <col min="68" max="68" width="11.453125" style="12" customWidth="1"/>
    <col min="69" max="16384" width="9.1796875" style="12"/>
  </cols>
  <sheetData>
    <row r="1" spans="1:71" ht="15.5" x14ac:dyDescent="0.25">
      <c r="A1" s="16" t="s">
        <v>6</v>
      </c>
      <c r="B1" s="15" t="s">
        <v>28</v>
      </c>
      <c r="I1" s="13"/>
      <c r="K1" s="70"/>
      <c r="L1" s="70"/>
      <c r="M1" s="71"/>
      <c r="N1" s="70"/>
      <c r="O1" s="70"/>
      <c r="P1" s="70"/>
      <c r="Q1" s="71"/>
      <c r="R1" s="70"/>
      <c r="S1" s="71"/>
      <c r="T1" s="70"/>
      <c r="U1" s="70"/>
      <c r="V1" s="70"/>
      <c r="W1" s="71"/>
      <c r="X1" s="70"/>
      <c r="Y1" s="71"/>
      <c r="Z1" s="70"/>
      <c r="AA1" s="70"/>
      <c r="AB1" s="70"/>
      <c r="AC1" s="70"/>
      <c r="AD1" s="70"/>
      <c r="AE1" s="71"/>
      <c r="AF1" s="70"/>
      <c r="AG1" s="70"/>
      <c r="AH1" s="70"/>
      <c r="AI1" s="71"/>
      <c r="AJ1" s="70"/>
      <c r="AK1" s="71"/>
      <c r="AL1" s="70"/>
      <c r="AM1" s="70"/>
      <c r="AN1" s="70"/>
      <c r="AO1" s="71"/>
      <c r="AP1" s="70"/>
      <c r="AQ1" s="71"/>
      <c r="AR1" s="70"/>
      <c r="AS1" s="70"/>
      <c r="AT1" s="70"/>
      <c r="AU1" s="70"/>
      <c r="AV1" s="70"/>
      <c r="AW1" s="71"/>
      <c r="AX1" s="70"/>
      <c r="AY1" s="70"/>
      <c r="AZ1" s="70"/>
      <c r="BA1" s="71"/>
      <c r="BB1" s="70"/>
      <c r="BC1" s="71"/>
      <c r="BD1" s="70"/>
      <c r="BE1" s="70"/>
      <c r="BF1" s="70"/>
      <c r="BG1" s="71"/>
      <c r="BH1" s="70"/>
      <c r="BI1" s="71"/>
      <c r="BJ1" s="70"/>
      <c r="BK1" s="70"/>
      <c r="BL1" s="70"/>
      <c r="BM1" s="70"/>
      <c r="BN1" s="70"/>
      <c r="BO1" s="71"/>
      <c r="BP1" s="70"/>
    </row>
    <row r="2" spans="1:71" ht="12.75" customHeight="1" x14ac:dyDescent="0.25">
      <c r="A2" s="16"/>
      <c r="B2" s="15"/>
      <c r="I2" s="13"/>
      <c r="K2" s="70"/>
      <c r="L2" s="70"/>
      <c r="M2" s="71"/>
      <c r="N2" s="70"/>
      <c r="O2" s="70"/>
      <c r="P2" s="70"/>
      <c r="Q2" s="71"/>
      <c r="R2" s="70"/>
      <c r="S2" s="71"/>
      <c r="T2" s="70"/>
      <c r="U2" s="70"/>
      <c r="V2" s="70"/>
      <c r="W2" s="71"/>
      <c r="X2" s="70"/>
      <c r="Y2" s="71"/>
      <c r="Z2" s="70"/>
      <c r="AA2" s="70"/>
      <c r="AB2" s="70"/>
      <c r="AC2" s="70"/>
      <c r="AD2" s="70"/>
      <c r="AE2" s="71"/>
      <c r="AF2" s="70"/>
      <c r="AG2" s="70"/>
      <c r="AH2" s="70"/>
      <c r="AI2" s="71"/>
      <c r="AJ2" s="70"/>
      <c r="AK2" s="71"/>
      <c r="AL2" s="70"/>
      <c r="AM2" s="70"/>
      <c r="AN2" s="70"/>
      <c r="AO2" s="71"/>
      <c r="AP2" s="70"/>
      <c r="AQ2" s="71"/>
      <c r="AR2" s="70"/>
      <c r="AS2" s="70"/>
      <c r="AT2" s="70"/>
      <c r="AU2" s="70"/>
      <c r="AV2" s="70"/>
      <c r="AW2" s="71"/>
      <c r="AX2" s="70"/>
      <c r="AY2" s="70"/>
      <c r="AZ2" s="70"/>
      <c r="BA2" s="71"/>
      <c r="BB2" s="70"/>
      <c r="BC2" s="71"/>
      <c r="BD2" s="70"/>
      <c r="BE2" s="70"/>
      <c r="BF2" s="70"/>
      <c r="BG2" s="71"/>
      <c r="BH2" s="70"/>
      <c r="BI2" s="71"/>
      <c r="BJ2" s="70"/>
      <c r="BK2" s="70"/>
      <c r="BL2" s="70"/>
      <c r="BM2" s="70"/>
      <c r="BN2" s="70"/>
      <c r="BO2" s="71"/>
      <c r="BP2" s="70"/>
    </row>
    <row r="3" spans="1:71" ht="13" x14ac:dyDescent="0.25">
      <c r="B3" s="18" t="e">
        <f>GetNameRange(B4)</f>
        <v>#VALUE!</v>
      </c>
      <c r="I3" s="26"/>
      <c r="K3" s="70"/>
      <c r="L3" s="70"/>
      <c r="M3" s="72"/>
      <c r="N3" s="70"/>
      <c r="O3" s="70"/>
      <c r="P3" s="70"/>
      <c r="Q3" s="72"/>
      <c r="R3" s="70"/>
      <c r="S3" s="72"/>
      <c r="T3" s="70"/>
      <c r="U3" s="70"/>
      <c r="V3" s="70"/>
      <c r="W3" s="72"/>
      <c r="X3" s="70"/>
      <c r="Y3" s="72"/>
      <c r="Z3" s="70"/>
      <c r="AA3" s="70"/>
      <c r="AB3" s="70"/>
      <c r="AC3" s="70"/>
      <c r="AD3" s="70"/>
      <c r="AE3" s="72"/>
      <c r="AF3" s="70"/>
      <c r="AG3" s="70"/>
      <c r="AH3" s="70"/>
      <c r="AI3" s="72"/>
      <c r="AJ3" s="70"/>
      <c r="AK3" s="72"/>
      <c r="AL3" s="70"/>
      <c r="AM3" s="70"/>
      <c r="AN3" s="70"/>
      <c r="AO3" s="72"/>
      <c r="AP3" s="70"/>
      <c r="AQ3" s="72"/>
      <c r="AR3" s="70"/>
      <c r="AS3" s="70"/>
      <c r="AT3" s="70"/>
      <c r="AU3" s="70"/>
      <c r="AV3" s="70"/>
      <c r="AW3" s="72"/>
      <c r="AX3" s="70"/>
      <c r="AY3" s="70"/>
      <c r="AZ3" s="70"/>
      <c r="BA3" s="72"/>
      <c r="BB3" s="70"/>
      <c r="BC3" s="72"/>
      <c r="BD3" s="70"/>
      <c r="BE3" s="70"/>
      <c r="BF3" s="70"/>
      <c r="BG3" s="72"/>
      <c r="BH3" s="70"/>
      <c r="BI3" s="72"/>
      <c r="BJ3" s="70"/>
      <c r="BK3" s="70"/>
      <c r="BL3" s="70"/>
      <c r="BM3" s="70"/>
      <c r="BN3" s="70"/>
      <c r="BO3" s="72"/>
      <c r="BP3" s="70"/>
    </row>
    <row r="4" spans="1:71" ht="37.5" x14ac:dyDescent="0.25">
      <c r="A4" s="29"/>
      <c r="B4" s="30" t="s">
        <v>9</v>
      </c>
      <c r="C4" s="46" t="s">
        <v>32</v>
      </c>
      <c r="D4" s="46" t="s">
        <v>32</v>
      </c>
      <c r="E4" s="46" t="s">
        <v>33</v>
      </c>
      <c r="F4" s="46" t="s">
        <v>33</v>
      </c>
      <c r="G4" s="46" t="s">
        <v>25</v>
      </c>
      <c r="H4" s="46" t="s">
        <v>25</v>
      </c>
      <c r="I4" s="46" t="s">
        <v>25</v>
      </c>
      <c r="J4" s="46" t="s">
        <v>25</v>
      </c>
      <c r="K4" s="73" t="s">
        <v>34</v>
      </c>
      <c r="L4" s="73" t="s">
        <v>34</v>
      </c>
      <c r="M4" s="73" t="s">
        <v>34</v>
      </c>
      <c r="N4" s="73" t="s">
        <v>34</v>
      </c>
      <c r="O4" s="73" t="s">
        <v>34</v>
      </c>
      <c r="P4" s="73" t="s">
        <v>34</v>
      </c>
      <c r="Q4" s="73" t="s">
        <v>45</v>
      </c>
      <c r="R4" s="73" t="s">
        <v>45</v>
      </c>
      <c r="S4" s="73" t="s">
        <v>45</v>
      </c>
      <c r="T4" s="73" t="s">
        <v>45</v>
      </c>
      <c r="U4" s="73" t="s">
        <v>45</v>
      </c>
      <c r="V4" s="73" t="s">
        <v>45</v>
      </c>
      <c r="W4" s="73" t="s">
        <v>46</v>
      </c>
      <c r="X4" s="73" t="s">
        <v>46</v>
      </c>
      <c r="Y4" s="73" t="s">
        <v>46</v>
      </c>
      <c r="Z4" s="73" t="s">
        <v>46</v>
      </c>
      <c r="AA4" s="73" t="s">
        <v>46</v>
      </c>
      <c r="AB4" s="73" t="s">
        <v>46</v>
      </c>
      <c r="AC4" s="91" t="s">
        <v>50</v>
      </c>
      <c r="AD4" s="91" t="s">
        <v>50</v>
      </c>
      <c r="AE4" s="91" t="s">
        <v>50</v>
      </c>
      <c r="AF4" s="91" t="s">
        <v>50</v>
      </c>
      <c r="AG4" s="91" t="s">
        <v>50</v>
      </c>
      <c r="AH4" s="91" t="s">
        <v>50</v>
      </c>
      <c r="AI4" s="91" t="s">
        <v>51</v>
      </c>
      <c r="AJ4" s="91" t="s">
        <v>51</v>
      </c>
      <c r="AK4" s="91" t="s">
        <v>51</v>
      </c>
      <c r="AL4" s="91" t="s">
        <v>51</v>
      </c>
      <c r="AM4" s="91" t="s">
        <v>51</v>
      </c>
      <c r="AN4" s="91" t="s">
        <v>51</v>
      </c>
      <c r="AO4" s="91" t="s">
        <v>52</v>
      </c>
      <c r="AP4" s="91" t="s">
        <v>52</v>
      </c>
      <c r="AQ4" s="91" t="s">
        <v>52</v>
      </c>
      <c r="AR4" s="91" t="s">
        <v>52</v>
      </c>
      <c r="AS4" s="91" t="s">
        <v>52</v>
      </c>
      <c r="AT4" s="91" t="s">
        <v>52</v>
      </c>
      <c r="AU4" s="73" t="s">
        <v>47</v>
      </c>
      <c r="AV4" s="73" t="s">
        <v>47</v>
      </c>
      <c r="AW4" s="73" t="s">
        <v>47</v>
      </c>
      <c r="AX4" s="73" t="s">
        <v>47</v>
      </c>
      <c r="AY4" s="73" t="s">
        <v>47</v>
      </c>
      <c r="AZ4" s="73" t="s">
        <v>47</v>
      </c>
      <c r="BA4" s="73" t="s">
        <v>48</v>
      </c>
      <c r="BB4" s="73" t="s">
        <v>48</v>
      </c>
      <c r="BC4" s="73" t="s">
        <v>48</v>
      </c>
      <c r="BD4" s="73" t="s">
        <v>48</v>
      </c>
      <c r="BE4" s="73" t="s">
        <v>48</v>
      </c>
      <c r="BF4" s="73" t="s">
        <v>48</v>
      </c>
      <c r="BG4" s="73" t="s">
        <v>49</v>
      </c>
      <c r="BH4" s="73" t="s">
        <v>49</v>
      </c>
      <c r="BI4" s="73" t="s">
        <v>49</v>
      </c>
      <c r="BJ4" s="73" t="s">
        <v>49</v>
      </c>
      <c r="BK4" s="73" t="s">
        <v>49</v>
      </c>
      <c r="BL4" s="73" t="s">
        <v>49</v>
      </c>
      <c r="BM4" s="73" t="s">
        <v>36</v>
      </c>
      <c r="BN4" s="73" t="s">
        <v>36</v>
      </c>
      <c r="BO4" s="73" t="s">
        <v>35</v>
      </c>
      <c r="BP4" s="73" t="s">
        <v>35</v>
      </c>
    </row>
    <row r="5" spans="1:71" ht="13" x14ac:dyDescent="0.25">
      <c r="A5" s="29"/>
      <c r="B5" s="33" t="s">
        <v>10</v>
      </c>
      <c r="C5" s="56" t="s">
        <v>12</v>
      </c>
      <c r="D5" s="57" t="s">
        <v>18</v>
      </c>
      <c r="E5" s="56" t="s">
        <v>12</v>
      </c>
      <c r="F5" s="57" t="s">
        <v>18</v>
      </c>
      <c r="G5" s="56" t="s">
        <v>12</v>
      </c>
      <c r="H5" s="57" t="s">
        <v>18</v>
      </c>
      <c r="I5" s="56" t="s">
        <v>12</v>
      </c>
      <c r="J5" s="57" t="s">
        <v>18</v>
      </c>
      <c r="K5" s="74" t="s">
        <v>12</v>
      </c>
      <c r="L5" s="75" t="s">
        <v>18</v>
      </c>
      <c r="M5" s="74" t="s">
        <v>12</v>
      </c>
      <c r="N5" s="75" t="s">
        <v>18</v>
      </c>
      <c r="O5" s="74" t="s">
        <v>12</v>
      </c>
      <c r="P5" s="75" t="s">
        <v>18</v>
      </c>
      <c r="Q5" s="74" t="s">
        <v>12</v>
      </c>
      <c r="R5" s="75" t="s">
        <v>18</v>
      </c>
      <c r="S5" s="74" t="s">
        <v>12</v>
      </c>
      <c r="T5" s="75" t="s">
        <v>18</v>
      </c>
      <c r="U5" s="74" t="s">
        <v>12</v>
      </c>
      <c r="V5" s="75" t="s">
        <v>18</v>
      </c>
      <c r="W5" s="74" t="s">
        <v>12</v>
      </c>
      <c r="X5" s="75" t="s">
        <v>18</v>
      </c>
      <c r="Y5" s="74" t="s">
        <v>12</v>
      </c>
      <c r="Z5" s="75" t="s">
        <v>18</v>
      </c>
      <c r="AA5" s="74" t="s">
        <v>12</v>
      </c>
      <c r="AB5" s="75" t="s">
        <v>18</v>
      </c>
      <c r="AC5" s="92" t="s">
        <v>12</v>
      </c>
      <c r="AD5" s="93" t="s">
        <v>18</v>
      </c>
      <c r="AE5" s="92" t="s">
        <v>12</v>
      </c>
      <c r="AF5" s="93" t="s">
        <v>18</v>
      </c>
      <c r="AG5" s="92" t="s">
        <v>12</v>
      </c>
      <c r="AH5" s="93" t="s">
        <v>18</v>
      </c>
      <c r="AI5" s="92" t="s">
        <v>12</v>
      </c>
      <c r="AJ5" s="93" t="s">
        <v>18</v>
      </c>
      <c r="AK5" s="92" t="s">
        <v>12</v>
      </c>
      <c r="AL5" s="93" t="s">
        <v>18</v>
      </c>
      <c r="AM5" s="92" t="s">
        <v>12</v>
      </c>
      <c r="AN5" s="93" t="s">
        <v>18</v>
      </c>
      <c r="AO5" s="92" t="s">
        <v>12</v>
      </c>
      <c r="AP5" s="93" t="s">
        <v>18</v>
      </c>
      <c r="AQ5" s="92" t="s">
        <v>12</v>
      </c>
      <c r="AR5" s="93" t="s">
        <v>18</v>
      </c>
      <c r="AS5" s="92" t="s">
        <v>12</v>
      </c>
      <c r="AT5" s="93" t="s">
        <v>18</v>
      </c>
      <c r="AU5" s="74" t="s">
        <v>12</v>
      </c>
      <c r="AV5" s="74" t="s">
        <v>18</v>
      </c>
      <c r="AW5" s="74" t="s">
        <v>12</v>
      </c>
      <c r="AX5" s="74" t="s">
        <v>18</v>
      </c>
      <c r="AY5" s="74" t="s">
        <v>12</v>
      </c>
      <c r="AZ5" s="74" t="s">
        <v>18</v>
      </c>
      <c r="BA5" s="74" t="s">
        <v>12</v>
      </c>
      <c r="BB5" s="74" t="s">
        <v>18</v>
      </c>
      <c r="BC5" s="74" t="s">
        <v>12</v>
      </c>
      <c r="BD5" s="74" t="s">
        <v>18</v>
      </c>
      <c r="BE5" s="74" t="s">
        <v>12</v>
      </c>
      <c r="BF5" s="74" t="s">
        <v>18</v>
      </c>
      <c r="BG5" s="74" t="s">
        <v>12</v>
      </c>
      <c r="BH5" s="74" t="s">
        <v>18</v>
      </c>
      <c r="BI5" s="74" t="s">
        <v>12</v>
      </c>
      <c r="BJ5" s="74" t="s">
        <v>18</v>
      </c>
      <c r="BK5" s="74" t="s">
        <v>12</v>
      </c>
      <c r="BL5" s="74" t="s">
        <v>18</v>
      </c>
      <c r="BM5" s="74" t="s">
        <v>12</v>
      </c>
      <c r="BN5" s="75" t="s">
        <v>18</v>
      </c>
      <c r="BO5" s="74" t="s">
        <v>12</v>
      </c>
      <c r="BP5" s="75" t="s">
        <v>18</v>
      </c>
    </row>
    <row r="6" spans="1:71" ht="13" x14ac:dyDescent="0.25">
      <c r="A6" s="60"/>
      <c r="B6" s="33" t="s">
        <v>26</v>
      </c>
      <c r="C6" s="58">
        <v>1</v>
      </c>
      <c r="D6" s="58">
        <v>1</v>
      </c>
      <c r="E6" s="58">
        <v>1</v>
      </c>
      <c r="F6" s="58">
        <v>1</v>
      </c>
      <c r="G6" s="58">
        <v>0</v>
      </c>
      <c r="H6" s="58">
        <v>0</v>
      </c>
      <c r="I6" s="58">
        <v>1</v>
      </c>
      <c r="J6" s="58">
        <v>1</v>
      </c>
      <c r="K6" s="76">
        <v>0</v>
      </c>
      <c r="L6" s="76">
        <v>0</v>
      </c>
      <c r="M6" s="76">
        <v>1</v>
      </c>
      <c r="N6" s="76">
        <v>1</v>
      </c>
      <c r="O6" s="76">
        <v>2</v>
      </c>
      <c r="P6" s="76">
        <v>2</v>
      </c>
      <c r="Q6" s="76">
        <v>0</v>
      </c>
      <c r="R6" s="76">
        <v>0</v>
      </c>
      <c r="S6" s="76">
        <v>1</v>
      </c>
      <c r="T6" s="76">
        <v>1</v>
      </c>
      <c r="U6" s="76">
        <v>2</v>
      </c>
      <c r="V6" s="76">
        <v>2</v>
      </c>
      <c r="W6" s="76">
        <v>0</v>
      </c>
      <c r="X6" s="76">
        <v>0</v>
      </c>
      <c r="Y6" s="76">
        <v>1</v>
      </c>
      <c r="Z6" s="76">
        <v>1</v>
      </c>
      <c r="AA6" s="76">
        <v>2</v>
      </c>
      <c r="AB6" s="76">
        <v>2</v>
      </c>
      <c r="AC6" s="94">
        <v>0</v>
      </c>
      <c r="AD6" s="94">
        <v>0</v>
      </c>
      <c r="AE6" s="94">
        <v>1</v>
      </c>
      <c r="AF6" s="94">
        <v>1</v>
      </c>
      <c r="AG6" s="94">
        <v>2</v>
      </c>
      <c r="AH6" s="94">
        <v>2</v>
      </c>
      <c r="AI6" s="94">
        <v>0</v>
      </c>
      <c r="AJ6" s="94">
        <v>0</v>
      </c>
      <c r="AK6" s="94">
        <v>1</v>
      </c>
      <c r="AL6" s="94">
        <v>1</v>
      </c>
      <c r="AM6" s="94">
        <v>2</v>
      </c>
      <c r="AN6" s="94">
        <v>2</v>
      </c>
      <c r="AO6" s="94">
        <v>0</v>
      </c>
      <c r="AP6" s="94">
        <v>0</v>
      </c>
      <c r="AQ6" s="94">
        <v>1</v>
      </c>
      <c r="AR6" s="94">
        <v>1</v>
      </c>
      <c r="AS6" s="94">
        <v>2</v>
      </c>
      <c r="AT6" s="94">
        <v>2</v>
      </c>
      <c r="AU6" s="76">
        <v>0</v>
      </c>
      <c r="AV6" s="76">
        <v>0</v>
      </c>
      <c r="AW6" s="76">
        <v>1</v>
      </c>
      <c r="AX6" s="76">
        <v>1</v>
      </c>
      <c r="AY6" s="76">
        <v>2</v>
      </c>
      <c r="AZ6" s="76">
        <v>2</v>
      </c>
      <c r="BA6" s="76">
        <v>0</v>
      </c>
      <c r="BB6" s="76">
        <v>0</v>
      </c>
      <c r="BC6" s="76">
        <v>1</v>
      </c>
      <c r="BD6" s="76">
        <v>1</v>
      </c>
      <c r="BE6" s="76">
        <v>2</v>
      </c>
      <c r="BF6" s="76">
        <v>2</v>
      </c>
      <c r="BG6" s="76">
        <v>0</v>
      </c>
      <c r="BH6" s="76">
        <v>0</v>
      </c>
      <c r="BI6" s="76">
        <v>1</v>
      </c>
      <c r="BJ6" s="76">
        <v>1</v>
      </c>
      <c r="BK6" s="76">
        <v>2</v>
      </c>
      <c r="BL6" s="76">
        <v>2</v>
      </c>
      <c r="BM6" s="76">
        <v>1</v>
      </c>
      <c r="BN6" s="76">
        <v>1</v>
      </c>
      <c r="BO6" s="76">
        <v>1</v>
      </c>
      <c r="BP6" s="76">
        <v>1</v>
      </c>
    </row>
    <row r="7" spans="1:71" ht="13" x14ac:dyDescent="0.3">
      <c r="A7" s="60" t="s">
        <v>5</v>
      </c>
      <c r="B7" s="54" t="s">
        <v>24</v>
      </c>
      <c r="C7" s="58"/>
      <c r="D7" s="59"/>
      <c r="E7" s="79"/>
      <c r="F7" s="80"/>
      <c r="G7" s="58"/>
      <c r="H7" s="59"/>
      <c r="I7" s="58"/>
      <c r="J7" s="59"/>
      <c r="K7" s="76"/>
      <c r="L7" s="77"/>
      <c r="M7" s="76"/>
      <c r="N7" s="77"/>
      <c r="O7" s="76"/>
      <c r="P7" s="77"/>
      <c r="Q7" s="76"/>
      <c r="R7" s="77"/>
      <c r="S7" s="76"/>
      <c r="T7" s="77"/>
      <c r="U7" s="76"/>
      <c r="V7" s="77"/>
      <c r="W7" s="76"/>
      <c r="X7" s="77"/>
      <c r="Y7" s="76"/>
      <c r="Z7" s="77"/>
      <c r="AA7" s="76"/>
      <c r="AB7" s="77"/>
      <c r="AC7" s="76"/>
      <c r="AD7" s="77"/>
      <c r="AE7" s="76"/>
      <c r="AF7" s="77"/>
      <c r="AG7" s="76"/>
      <c r="AH7" s="77"/>
      <c r="AI7" s="76"/>
      <c r="AJ7" s="77"/>
      <c r="AK7" s="76"/>
      <c r="AL7" s="77"/>
      <c r="AM7" s="76"/>
      <c r="AN7" s="77"/>
      <c r="AO7" s="76"/>
      <c r="AP7" s="77"/>
      <c r="AQ7" s="76"/>
      <c r="AR7" s="77"/>
      <c r="AS7" s="76"/>
      <c r="AT7" s="77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7"/>
      <c r="BO7" s="76"/>
      <c r="BP7" s="77"/>
    </row>
    <row r="8" spans="1:71" ht="13" x14ac:dyDescent="0.25">
      <c r="A8" s="60">
        <v>1</v>
      </c>
      <c r="B8" s="55">
        <v>0</v>
      </c>
      <c r="C8" s="61">
        <v>0.5573491166711505</v>
      </c>
      <c r="D8" s="61">
        <v>0.53370038184885882</v>
      </c>
      <c r="E8" s="81">
        <v>0.56141250405218623</v>
      </c>
      <c r="F8" s="81">
        <v>0.53941343828093335</v>
      </c>
      <c r="G8" s="78">
        <v>0.69321140000000003</v>
      </c>
      <c r="H8" s="78">
        <v>0.65003110000000008</v>
      </c>
      <c r="I8" s="78">
        <v>0.42961359999999998</v>
      </c>
      <c r="J8" s="78">
        <v>0.4287958</v>
      </c>
      <c r="K8" s="78">
        <v>0.44131500000000001</v>
      </c>
      <c r="L8" s="78">
        <v>0.43700410000000001</v>
      </c>
      <c r="M8" s="78">
        <v>0.38969579999999998</v>
      </c>
      <c r="N8" s="78">
        <v>0.38588920000000004</v>
      </c>
      <c r="O8" s="78">
        <v>0.44131500000000001</v>
      </c>
      <c r="P8" s="78">
        <v>0.43700410000000001</v>
      </c>
      <c r="Q8" s="78">
        <f>K8*1.025</f>
        <v>0.45234787499999995</v>
      </c>
      <c r="R8" s="78">
        <f t="shared" ref="R8:R71" si="0">L8*1.025</f>
        <v>0.44792920249999996</v>
      </c>
      <c r="S8" s="78">
        <f>M8*1.025</f>
        <v>0.39943819499999994</v>
      </c>
      <c r="T8" s="78">
        <f t="shared" ref="T8:T71" si="1">N8*1.025</f>
        <v>0.39553642999999999</v>
      </c>
      <c r="U8" s="78">
        <f t="shared" ref="U8:U71" si="2">O8*1.025</f>
        <v>0.45234787499999995</v>
      </c>
      <c r="V8" s="78">
        <f t="shared" ref="V8:V71" si="3">P8*1.025</f>
        <v>0.44792920249999996</v>
      </c>
      <c r="W8" s="78">
        <f>K8*0.96</f>
        <v>0.42366239999999999</v>
      </c>
      <c r="X8" s="78">
        <f t="shared" ref="X8:X71" si="4">L8*0.96</f>
        <v>0.41952393599999999</v>
      </c>
      <c r="Y8" s="78">
        <f>M8*0.96</f>
        <v>0.37410796799999996</v>
      </c>
      <c r="Z8" s="78">
        <f t="shared" ref="Z8:Z71" si="5">N8*0.96</f>
        <v>0.37045363200000003</v>
      </c>
      <c r="AA8" s="78">
        <f t="shared" ref="AA8:AA71" si="6">O8*0.96</f>
        <v>0.42366239999999999</v>
      </c>
      <c r="AB8" s="78">
        <f t="shared" ref="AB8:AB71" si="7">P8*0.96</f>
        <v>0.41952393599999999</v>
      </c>
      <c r="AC8" s="78">
        <v>0.44131999999999999</v>
      </c>
      <c r="AD8" s="78">
        <v>0.437</v>
      </c>
      <c r="AE8" s="78">
        <v>0.38965</v>
      </c>
      <c r="AF8" s="78">
        <v>0.38585000000000003</v>
      </c>
      <c r="AG8" s="78">
        <f>AC8</f>
        <v>0.44131999999999999</v>
      </c>
      <c r="AH8" s="78">
        <f>AD8</f>
        <v>0.437</v>
      </c>
      <c r="AI8" s="78">
        <f>AC8*1.025</f>
        <v>0.45235299999999995</v>
      </c>
      <c r="AJ8" s="78">
        <f t="shared" ref="AJ8:AJ71" si="8">AD8*1.025</f>
        <v>0.44792499999999996</v>
      </c>
      <c r="AK8" s="78">
        <f>AE8*1.025</f>
        <v>0.39939124999999998</v>
      </c>
      <c r="AL8" s="78">
        <f t="shared" ref="AL8:AL71" si="9">AF8*1.025</f>
        <v>0.39549624999999999</v>
      </c>
      <c r="AM8" s="78">
        <f t="shared" ref="AM8:AM71" si="10">AG8*1.025</f>
        <v>0.45235299999999995</v>
      </c>
      <c r="AN8" s="78">
        <f t="shared" ref="AN8:AN71" si="11">AH8*1.025</f>
        <v>0.44792499999999996</v>
      </c>
      <c r="AO8" s="78">
        <f>AC8*0.96</f>
        <v>0.42366719999999997</v>
      </c>
      <c r="AP8" s="78">
        <f t="shared" ref="AP8:AP71" si="12">AD8*0.96</f>
        <v>0.41952</v>
      </c>
      <c r="AQ8" s="78">
        <f>AE8*0.96</f>
        <v>0.37406400000000001</v>
      </c>
      <c r="AR8" s="78">
        <f t="shared" ref="AR8:AR71" si="13">AF8*0.96</f>
        <v>0.37041600000000002</v>
      </c>
      <c r="AS8" s="78">
        <f t="shared" ref="AS8:AS71" si="14">AG8*0.96</f>
        <v>0.42366719999999997</v>
      </c>
      <c r="AT8" s="78">
        <f t="shared" ref="AT8:AT71" si="15">AH8*0.96</f>
        <v>0.41952</v>
      </c>
      <c r="AU8" s="78">
        <v>0.44130999999999998</v>
      </c>
      <c r="AV8" s="78">
        <v>0.437</v>
      </c>
      <c r="AW8" s="78">
        <v>0.38965</v>
      </c>
      <c r="AX8" s="78">
        <v>0.38584000000000002</v>
      </c>
      <c r="AY8" s="78">
        <f>AU8</f>
        <v>0.44130999999999998</v>
      </c>
      <c r="AZ8" s="78">
        <f>AV8</f>
        <v>0.437</v>
      </c>
      <c r="BA8" s="78">
        <f>AU8*1.025</f>
        <v>0.45234274999999996</v>
      </c>
      <c r="BB8" s="78">
        <f t="shared" ref="BB8:BB71" si="16">AV8*1.025</f>
        <v>0.44792499999999996</v>
      </c>
      <c r="BC8" s="78">
        <f>AW8*1.025</f>
        <v>0.39939124999999998</v>
      </c>
      <c r="BD8" s="78">
        <f t="shared" ref="BD8:BD71" si="17">AX8*1.025</f>
        <v>0.395486</v>
      </c>
      <c r="BE8" s="78">
        <f t="shared" ref="BE8:BE71" si="18">AY8*1.025</f>
        <v>0.45234274999999996</v>
      </c>
      <c r="BF8" s="78">
        <f t="shared" ref="BF8:BF71" si="19">AZ8*1.025</f>
        <v>0.44792499999999996</v>
      </c>
      <c r="BG8" s="78">
        <f>AU8*0.96</f>
        <v>0.42365759999999997</v>
      </c>
      <c r="BH8" s="78">
        <f t="shared" ref="BH8:BH71" si="20">AV8*0.96</f>
        <v>0.41952</v>
      </c>
      <c r="BI8" s="78">
        <f>AW8*0.96</f>
        <v>0.37406400000000001</v>
      </c>
      <c r="BJ8" s="78">
        <f t="shared" ref="BJ8:BJ71" si="21">AX8*0.96</f>
        <v>0.37040640000000002</v>
      </c>
      <c r="BK8" s="78">
        <f t="shared" ref="BK8:BK71" si="22">AY8*0.96</f>
        <v>0.42365759999999997</v>
      </c>
      <c r="BL8" s="78">
        <f t="shared" ref="BL8:BL71" si="23">AZ8*0.96</f>
        <v>0.41952</v>
      </c>
      <c r="BM8" s="78">
        <v>0.41436239999999996</v>
      </c>
      <c r="BN8" s="78">
        <v>0.41357349999999998</v>
      </c>
      <c r="BO8" s="78">
        <v>0.41550540000000002</v>
      </c>
      <c r="BP8" s="78">
        <v>0.41144665000000002</v>
      </c>
    </row>
    <row r="9" spans="1:71" s="19" customFormat="1" ht="13" x14ac:dyDescent="0.25">
      <c r="A9" s="60">
        <v>1</v>
      </c>
      <c r="B9" s="55">
        <v>1</v>
      </c>
      <c r="C9" s="61">
        <v>1.0212969130192404</v>
      </c>
      <c r="D9" s="61">
        <v>1.0149492932738788</v>
      </c>
      <c r="E9" s="81">
        <v>1.0316814645829895</v>
      </c>
      <c r="F9" s="81">
        <v>1.0296225528462375</v>
      </c>
      <c r="G9" s="78">
        <v>0.96542550000000005</v>
      </c>
      <c r="H9" s="78">
        <v>0.95793760000000006</v>
      </c>
      <c r="I9" s="78">
        <v>1.0979374</v>
      </c>
      <c r="J9" s="78">
        <v>1.1013075000000001</v>
      </c>
      <c r="K9" s="78">
        <v>1.1278418000000001</v>
      </c>
      <c r="L9" s="78">
        <v>1.1223896</v>
      </c>
      <c r="M9" s="78">
        <v>0.99592179999999997</v>
      </c>
      <c r="N9" s="78">
        <v>0.99110730000000002</v>
      </c>
      <c r="O9" s="78">
        <v>1.1278418000000001</v>
      </c>
      <c r="P9" s="78">
        <v>1.1223896</v>
      </c>
      <c r="Q9" s="78">
        <f t="shared" ref="Q9:Q72" si="24">K9*1.025</f>
        <v>1.156037845</v>
      </c>
      <c r="R9" s="78">
        <f t="shared" si="0"/>
        <v>1.15044934</v>
      </c>
      <c r="S9" s="78">
        <f t="shared" ref="S9:S72" si="25">M9*1.025</f>
        <v>1.0208198449999999</v>
      </c>
      <c r="T9" s="78">
        <f t="shared" si="1"/>
        <v>1.0158849825</v>
      </c>
      <c r="U9" s="78">
        <f t="shared" si="2"/>
        <v>1.156037845</v>
      </c>
      <c r="V9" s="78">
        <f t="shared" si="3"/>
        <v>1.15044934</v>
      </c>
      <c r="W9" s="78">
        <f t="shared" ref="W9:W72" si="26">K9*0.96</f>
        <v>1.0827281280000001</v>
      </c>
      <c r="X9" s="78">
        <f t="shared" si="4"/>
        <v>1.0774940159999999</v>
      </c>
      <c r="Y9" s="78">
        <f t="shared" ref="Y9:Y72" si="27">M9*0.96</f>
        <v>0.95608492799999989</v>
      </c>
      <c r="Z9" s="78">
        <f t="shared" si="5"/>
        <v>0.95146300799999994</v>
      </c>
      <c r="AA9" s="78">
        <f t="shared" si="6"/>
        <v>1.0827281280000001</v>
      </c>
      <c r="AB9" s="78">
        <f t="shared" si="7"/>
        <v>1.0774940159999999</v>
      </c>
      <c r="AC9" s="78">
        <v>1.10738</v>
      </c>
      <c r="AD9" s="78">
        <v>1.0993599999999999</v>
      </c>
      <c r="AE9" s="78">
        <v>0.96941999999999995</v>
      </c>
      <c r="AF9" s="78">
        <v>0.97806000000000004</v>
      </c>
      <c r="AG9" s="78">
        <f t="shared" ref="AG9:AG72" si="28">AC9</f>
        <v>1.10738</v>
      </c>
      <c r="AH9" s="78">
        <f t="shared" ref="AH9:AH72" si="29">AD9</f>
        <v>1.0993599999999999</v>
      </c>
      <c r="AI9" s="78">
        <f t="shared" ref="AI9:AI72" si="30">AC9*1.025</f>
        <v>1.1350644999999999</v>
      </c>
      <c r="AJ9" s="78">
        <f t="shared" si="8"/>
        <v>1.1268439999999997</v>
      </c>
      <c r="AK9" s="78">
        <f t="shared" ref="AK9:AK72" si="31">AE9*1.025</f>
        <v>0.99365549999999991</v>
      </c>
      <c r="AL9" s="78">
        <f t="shared" si="9"/>
        <v>1.0025115</v>
      </c>
      <c r="AM9" s="78">
        <f t="shared" si="10"/>
        <v>1.1350644999999999</v>
      </c>
      <c r="AN9" s="78">
        <f t="shared" si="11"/>
        <v>1.1268439999999997</v>
      </c>
      <c r="AO9" s="78">
        <f t="shared" ref="AO9:AO72" si="32">AC9*0.96</f>
        <v>1.0630847999999999</v>
      </c>
      <c r="AP9" s="78">
        <f t="shared" si="12"/>
        <v>1.0553855999999999</v>
      </c>
      <c r="AQ9" s="78">
        <f t="shared" ref="AQ9:AQ72" si="33">AE9*0.96</f>
        <v>0.93064319999999989</v>
      </c>
      <c r="AR9" s="78">
        <f t="shared" si="13"/>
        <v>0.93893760000000004</v>
      </c>
      <c r="AS9" s="78">
        <f t="shared" si="14"/>
        <v>1.0630847999999999</v>
      </c>
      <c r="AT9" s="78">
        <f t="shared" si="15"/>
        <v>1.0553855999999999</v>
      </c>
      <c r="AU9" s="78">
        <v>1.1133599999999999</v>
      </c>
      <c r="AV9" s="78">
        <v>1.10711</v>
      </c>
      <c r="AW9" s="78">
        <v>0.98480999999999996</v>
      </c>
      <c r="AX9" s="78">
        <v>0.98829</v>
      </c>
      <c r="AY9" s="78">
        <f t="shared" ref="AY9:AY72" si="34">AU9</f>
        <v>1.1133599999999999</v>
      </c>
      <c r="AZ9" s="78">
        <f t="shared" ref="AZ9:AZ72" si="35">AV9</f>
        <v>1.10711</v>
      </c>
      <c r="BA9" s="78">
        <f t="shared" ref="BA9:BA72" si="36">AU9*1.025</f>
        <v>1.1411939999999998</v>
      </c>
      <c r="BB9" s="78">
        <f t="shared" si="16"/>
        <v>1.1347877499999999</v>
      </c>
      <c r="BC9" s="78">
        <f t="shared" ref="BC9:BC72" si="37">AW9*1.025</f>
        <v>1.0094302499999999</v>
      </c>
      <c r="BD9" s="78">
        <f t="shared" si="17"/>
        <v>1.01299725</v>
      </c>
      <c r="BE9" s="78">
        <f t="shared" si="18"/>
        <v>1.1411939999999998</v>
      </c>
      <c r="BF9" s="78">
        <f t="shared" si="19"/>
        <v>1.1347877499999999</v>
      </c>
      <c r="BG9" s="78">
        <f t="shared" ref="BG9:BG72" si="38">AU9*0.96</f>
        <v>1.0688255999999998</v>
      </c>
      <c r="BH9" s="78">
        <f t="shared" si="20"/>
        <v>1.0628256</v>
      </c>
      <c r="BI9" s="78">
        <f t="shared" ref="BI9:BI72" si="39">AW9*0.96</f>
        <v>0.94541759999999997</v>
      </c>
      <c r="BJ9" s="78">
        <f t="shared" si="21"/>
        <v>0.9487584</v>
      </c>
      <c r="BK9" s="78">
        <f t="shared" si="22"/>
        <v>1.0688255999999998</v>
      </c>
      <c r="BL9" s="78">
        <f t="shared" si="23"/>
        <v>1.0628256</v>
      </c>
      <c r="BM9" s="78">
        <v>1.0589606</v>
      </c>
      <c r="BN9" s="78">
        <v>1.0622110999999999</v>
      </c>
      <c r="BO9" s="78">
        <v>1.0618818000000001</v>
      </c>
      <c r="BP9" s="78">
        <v>1.05674845</v>
      </c>
      <c r="BQ9" s="12"/>
      <c r="BR9" s="12"/>
      <c r="BS9" s="12"/>
    </row>
    <row r="10" spans="1:71" ht="13" x14ac:dyDescent="0.25">
      <c r="A10" s="60">
        <v>1</v>
      </c>
      <c r="B10" s="55">
        <v>2</v>
      </c>
      <c r="C10" s="61">
        <v>1.0678662515484776</v>
      </c>
      <c r="D10" s="61">
        <v>1.0576263395558927</v>
      </c>
      <c r="E10" s="81">
        <v>1.0785399515919243</v>
      </c>
      <c r="F10" s="81">
        <v>1.0733991578581401</v>
      </c>
      <c r="G10" s="78">
        <v>1.0285713999999999</v>
      </c>
      <c r="H10" s="78">
        <v>0.96296300000000001</v>
      </c>
      <c r="I10" s="78">
        <v>1.1285084999999999</v>
      </c>
      <c r="J10" s="78">
        <v>1.1838354</v>
      </c>
      <c r="K10" s="78">
        <v>1.1592456</v>
      </c>
      <c r="L10" s="78">
        <v>1.2064972</v>
      </c>
      <c r="M10" s="78">
        <v>1.0236524</v>
      </c>
      <c r="N10" s="78">
        <v>1.0653771999999999</v>
      </c>
      <c r="O10" s="78">
        <v>1.1592456</v>
      </c>
      <c r="P10" s="78">
        <v>1.2064972</v>
      </c>
      <c r="Q10" s="78">
        <f t="shared" si="24"/>
        <v>1.1882267399999999</v>
      </c>
      <c r="R10" s="78">
        <f t="shared" si="0"/>
        <v>1.2366596299999999</v>
      </c>
      <c r="S10" s="78">
        <f t="shared" si="25"/>
        <v>1.0492437099999998</v>
      </c>
      <c r="T10" s="78">
        <f t="shared" si="1"/>
        <v>1.0920116299999998</v>
      </c>
      <c r="U10" s="78">
        <f t="shared" si="2"/>
        <v>1.1882267399999999</v>
      </c>
      <c r="V10" s="78">
        <f t="shared" si="3"/>
        <v>1.2366596299999999</v>
      </c>
      <c r="W10" s="78">
        <f t="shared" si="26"/>
        <v>1.1128757759999999</v>
      </c>
      <c r="X10" s="78">
        <f t="shared" si="4"/>
        <v>1.158237312</v>
      </c>
      <c r="Y10" s="78">
        <f t="shared" si="27"/>
        <v>0.98270630400000003</v>
      </c>
      <c r="Z10" s="78">
        <f t="shared" si="5"/>
        <v>1.0227621119999999</v>
      </c>
      <c r="AA10" s="78">
        <f t="shared" si="6"/>
        <v>1.1128757759999999</v>
      </c>
      <c r="AB10" s="78">
        <f t="shared" si="7"/>
        <v>1.158237312</v>
      </c>
      <c r="AC10" s="78">
        <v>1.1043000000000001</v>
      </c>
      <c r="AD10" s="78">
        <v>1.1366400000000001</v>
      </c>
      <c r="AE10" s="78">
        <v>0.95216000000000001</v>
      </c>
      <c r="AF10" s="78">
        <v>1.02606</v>
      </c>
      <c r="AG10" s="78">
        <f t="shared" si="28"/>
        <v>1.1043000000000001</v>
      </c>
      <c r="AH10" s="78">
        <f t="shared" si="29"/>
        <v>1.1366400000000001</v>
      </c>
      <c r="AI10" s="78">
        <f t="shared" si="30"/>
        <v>1.1319075000000001</v>
      </c>
      <c r="AJ10" s="78">
        <f t="shared" si="8"/>
        <v>1.1650560000000001</v>
      </c>
      <c r="AK10" s="78">
        <f t="shared" si="31"/>
        <v>0.97596399999999994</v>
      </c>
      <c r="AL10" s="78">
        <f t="shared" si="9"/>
        <v>1.0517114999999999</v>
      </c>
      <c r="AM10" s="78">
        <f t="shared" si="10"/>
        <v>1.1319075000000001</v>
      </c>
      <c r="AN10" s="78">
        <f t="shared" si="11"/>
        <v>1.1650560000000001</v>
      </c>
      <c r="AO10" s="78">
        <f t="shared" si="32"/>
        <v>1.060128</v>
      </c>
      <c r="AP10" s="78">
        <f t="shared" si="12"/>
        <v>1.0911744000000001</v>
      </c>
      <c r="AQ10" s="78">
        <f t="shared" si="33"/>
        <v>0.91407359999999993</v>
      </c>
      <c r="AR10" s="78">
        <f t="shared" si="13"/>
        <v>0.98501759999999994</v>
      </c>
      <c r="AS10" s="78">
        <f t="shared" si="14"/>
        <v>1.060128</v>
      </c>
      <c r="AT10" s="78">
        <f t="shared" si="15"/>
        <v>1.0911744000000001</v>
      </c>
      <c r="AU10" s="78">
        <v>1.12036</v>
      </c>
      <c r="AV10" s="78">
        <v>1.1601399999999999</v>
      </c>
      <c r="AW10" s="78">
        <v>0.99348999999999998</v>
      </c>
      <c r="AX10" s="78">
        <v>1.05707</v>
      </c>
      <c r="AY10" s="78">
        <f t="shared" si="34"/>
        <v>1.12036</v>
      </c>
      <c r="AZ10" s="78">
        <f t="shared" si="35"/>
        <v>1.1601399999999999</v>
      </c>
      <c r="BA10" s="78">
        <f t="shared" si="36"/>
        <v>1.148369</v>
      </c>
      <c r="BB10" s="78">
        <f t="shared" si="16"/>
        <v>1.1891434999999999</v>
      </c>
      <c r="BC10" s="78">
        <f t="shared" si="37"/>
        <v>1.0183272499999998</v>
      </c>
      <c r="BD10" s="78">
        <f t="shared" si="17"/>
        <v>1.0834967499999999</v>
      </c>
      <c r="BE10" s="78">
        <f t="shared" si="18"/>
        <v>1.148369</v>
      </c>
      <c r="BF10" s="78">
        <f t="shared" si="19"/>
        <v>1.1891434999999999</v>
      </c>
      <c r="BG10" s="78">
        <f t="shared" si="38"/>
        <v>1.0755455999999999</v>
      </c>
      <c r="BH10" s="78">
        <f t="shared" si="20"/>
        <v>1.1137344</v>
      </c>
      <c r="BI10" s="78">
        <f t="shared" si="39"/>
        <v>0.9537504</v>
      </c>
      <c r="BJ10" s="78">
        <f t="shared" si="21"/>
        <v>1.0147872</v>
      </c>
      <c r="BK10" s="78">
        <f t="shared" si="22"/>
        <v>1.0755455999999999</v>
      </c>
      <c r="BL10" s="78">
        <f t="shared" si="23"/>
        <v>1.1137344</v>
      </c>
      <c r="BM10" s="78">
        <v>1.0884464</v>
      </c>
      <c r="BN10" s="78">
        <v>1.1418092</v>
      </c>
      <c r="BO10" s="78">
        <v>1.0914489999999999</v>
      </c>
      <c r="BP10" s="78">
        <v>1.1359371999999999</v>
      </c>
    </row>
    <row r="11" spans="1:71" ht="13" x14ac:dyDescent="0.25">
      <c r="A11" s="60">
        <v>1</v>
      </c>
      <c r="B11" s="55">
        <v>3</v>
      </c>
      <c r="C11" s="61">
        <v>1.0805447438256568</v>
      </c>
      <c r="D11" s="61">
        <v>1.1709470093676198</v>
      </c>
      <c r="E11" s="81">
        <v>1.0915442401796305</v>
      </c>
      <c r="F11" s="81">
        <v>1.1881062440015884</v>
      </c>
      <c r="G11" s="78">
        <v>1.0201342</v>
      </c>
      <c r="H11" s="78">
        <v>1.0883190999999999</v>
      </c>
      <c r="I11" s="78">
        <v>1.1629543</v>
      </c>
      <c r="J11" s="78">
        <v>1.2878934000000002</v>
      </c>
      <c r="K11" s="78">
        <v>1.1946295</v>
      </c>
      <c r="L11" s="78">
        <v>1.3125472</v>
      </c>
      <c r="M11" s="78">
        <v>1.0548976000000001</v>
      </c>
      <c r="N11" s="78">
        <v>1.1590228</v>
      </c>
      <c r="O11" s="78">
        <v>1.1946295</v>
      </c>
      <c r="P11" s="78">
        <v>1.3125472</v>
      </c>
      <c r="Q11" s="78">
        <f t="shared" si="24"/>
        <v>1.2244952375</v>
      </c>
      <c r="R11" s="78">
        <f t="shared" si="0"/>
        <v>1.3453608799999999</v>
      </c>
      <c r="S11" s="78">
        <f t="shared" si="25"/>
        <v>1.0812700399999999</v>
      </c>
      <c r="T11" s="78">
        <f t="shared" si="1"/>
        <v>1.1879983699999999</v>
      </c>
      <c r="U11" s="78">
        <f t="shared" si="2"/>
        <v>1.2244952375</v>
      </c>
      <c r="V11" s="78">
        <f t="shared" si="3"/>
        <v>1.3453608799999999</v>
      </c>
      <c r="W11" s="78">
        <f t="shared" si="26"/>
        <v>1.14684432</v>
      </c>
      <c r="X11" s="78">
        <f t="shared" si="4"/>
        <v>1.2600453119999999</v>
      </c>
      <c r="Y11" s="78">
        <f t="shared" si="27"/>
        <v>1.0127016960000002</v>
      </c>
      <c r="Z11" s="78">
        <f t="shared" si="5"/>
        <v>1.1126618879999999</v>
      </c>
      <c r="AA11" s="78">
        <f t="shared" si="6"/>
        <v>1.14684432</v>
      </c>
      <c r="AB11" s="78">
        <f t="shared" si="7"/>
        <v>1.2600453119999999</v>
      </c>
      <c r="AC11" s="78">
        <v>1.09138</v>
      </c>
      <c r="AD11" s="78">
        <v>1.16747</v>
      </c>
      <c r="AE11" s="78">
        <v>0.92083999999999999</v>
      </c>
      <c r="AF11" s="78">
        <v>1.0771999999999999</v>
      </c>
      <c r="AG11" s="78">
        <f t="shared" si="28"/>
        <v>1.09138</v>
      </c>
      <c r="AH11" s="78">
        <f t="shared" si="29"/>
        <v>1.16747</v>
      </c>
      <c r="AI11" s="78">
        <f t="shared" si="30"/>
        <v>1.1186645</v>
      </c>
      <c r="AJ11" s="78">
        <f t="shared" si="8"/>
        <v>1.1966567499999998</v>
      </c>
      <c r="AK11" s="78">
        <f t="shared" si="31"/>
        <v>0.94386099999999995</v>
      </c>
      <c r="AL11" s="78">
        <f t="shared" si="9"/>
        <v>1.1041299999999998</v>
      </c>
      <c r="AM11" s="78">
        <f t="shared" si="10"/>
        <v>1.1186645</v>
      </c>
      <c r="AN11" s="78">
        <f t="shared" si="11"/>
        <v>1.1966567499999998</v>
      </c>
      <c r="AO11" s="78">
        <f t="shared" si="32"/>
        <v>1.0477247999999999</v>
      </c>
      <c r="AP11" s="78">
        <f t="shared" si="12"/>
        <v>1.1207711999999999</v>
      </c>
      <c r="AQ11" s="78">
        <f t="shared" si="33"/>
        <v>0.88400639999999997</v>
      </c>
      <c r="AR11" s="78">
        <f t="shared" si="13"/>
        <v>1.0341119999999999</v>
      </c>
      <c r="AS11" s="78">
        <f t="shared" si="14"/>
        <v>1.0477247999999999</v>
      </c>
      <c r="AT11" s="78">
        <f t="shared" si="15"/>
        <v>1.1207711999999999</v>
      </c>
      <c r="AU11" s="78">
        <v>1.1215599999999999</v>
      </c>
      <c r="AV11" s="78">
        <v>1.21627</v>
      </c>
      <c r="AW11" s="78">
        <v>0.99851000000000001</v>
      </c>
      <c r="AX11" s="78">
        <v>1.1415999999999999</v>
      </c>
      <c r="AY11" s="78">
        <f t="shared" si="34"/>
        <v>1.1215599999999999</v>
      </c>
      <c r="AZ11" s="78">
        <f t="shared" si="35"/>
        <v>1.21627</v>
      </c>
      <c r="BA11" s="78">
        <f t="shared" si="36"/>
        <v>1.1495989999999998</v>
      </c>
      <c r="BB11" s="78">
        <f t="shared" si="16"/>
        <v>1.2466767499999998</v>
      </c>
      <c r="BC11" s="78">
        <f t="shared" si="37"/>
        <v>1.0234727499999998</v>
      </c>
      <c r="BD11" s="78">
        <f t="shared" si="17"/>
        <v>1.1701399999999997</v>
      </c>
      <c r="BE11" s="78">
        <f t="shared" si="18"/>
        <v>1.1495989999999998</v>
      </c>
      <c r="BF11" s="78">
        <f t="shared" si="19"/>
        <v>1.2466767499999998</v>
      </c>
      <c r="BG11" s="78">
        <f t="shared" si="38"/>
        <v>1.0766975999999999</v>
      </c>
      <c r="BH11" s="78">
        <f t="shared" si="20"/>
        <v>1.1676191999999999</v>
      </c>
      <c r="BI11" s="78">
        <f t="shared" si="39"/>
        <v>0.95856960000000002</v>
      </c>
      <c r="BJ11" s="78">
        <f t="shared" si="21"/>
        <v>1.0959359999999998</v>
      </c>
      <c r="BK11" s="78">
        <f t="shared" si="22"/>
        <v>1.0766975999999999</v>
      </c>
      <c r="BL11" s="78">
        <f t="shared" si="23"/>
        <v>1.1676191999999999</v>
      </c>
      <c r="BM11" s="78">
        <v>1.1216694</v>
      </c>
      <c r="BN11" s="78">
        <v>1.2421732000000001</v>
      </c>
      <c r="BO11" s="78">
        <v>1.1247635499999999</v>
      </c>
      <c r="BP11" s="78">
        <v>1.2357849999999999</v>
      </c>
    </row>
    <row r="12" spans="1:71" ht="13" x14ac:dyDescent="0.25">
      <c r="A12" s="60">
        <v>1</v>
      </c>
      <c r="B12" s="55">
        <v>4</v>
      </c>
      <c r="C12" s="61">
        <v>1.1292891162694794</v>
      </c>
      <c r="D12" s="61">
        <v>1.21306185601378</v>
      </c>
      <c r="E12" s="81">
        <v>1.140735771421401</v>
      </c>
      <c r="F12" s="81">
        <v>1.2309366278974752</v>
      </c>
      <c r="G12" s="78">
        <v>1.0712401</v>
      </c>
      <c r="H12" s="78">
        <v>1.1202749000000001</v>
      </c>
      <c r="I12" s="78">
        <v>1.2102314000000001</v>
      </c>
      <c r="J12" s="78">
        <v>1.3415983</v>
      </c>
      <c r="K12" s="78">
        <v>1.2431943999999999</v>
      </c>
      <c r="L12" s="78">
        <v>1.3672801999999999</v>
      </c>
      <c r="M12" s="78">
        <v>1.097782</v>
      </c>
      <c r="N12" s="78">
        <v>1.2073539</v>
      </c>
      <c r="O12" s="78">
        <v>1.2431943999999999</v>
      </c>
      <c r="P12" s="78">
        <v>1.3672801999999999</v>
      </c>
      <c r="Q12" s="78">
        <f t="shared" si="24"/>
        <v>1.2742742599999999</v>
      </c>
      <c r="R12" s="78">
        <f t="shared" si="0"/>
        <v>1.4014622049999998</v>
      </c>
      <c r="S12" s="78">
        <f t="shared" si="25"/>
        <v>1.12522655</v>
      </c>
      <c r="T12" s="78">
        <f t="shared" si="1"/>
        <v>1.2375377474999998</v>
      </c>
      <c r="U12" s="78">
        <f t="shared" si="2"/>
        <v>1.2742742599999999</v>
      </c>
      <c r="V12" s="78">
        <f t="shared" si="3"/>
        <v>1.4014622049999998</v>
      </c>
      <c r="W12" s="78">
        <f t="shared" si="26"/>
        <v>1.1934666239999998</v>
      </c>
      <c r="X12" s="78">
        <f t="shared" si="4"/>
        <v>1.312588992</v>
      </c>
      <c r="Y12" s="78">
        <f t="shared" si="27"/>
        <v>1.0538707199999999</v>
      </c>
      <c r="Z12" s="78">
        <f t="shared" si="5"/>
        <v>1.1590597439999999</v>
      </c>
      <c r="AA12" s="78">
        <f t="shared" si="6"/>
        <v>1.1934666239999998</v>
      </c>
      <c r="AB12" s="78">
        <f t="shared" si="7"/>
        <v>1.312588992</v>
      </c>
      <c r="AC12" s="78">
        <v>1.0808199999999999</v>
      </c>
      <c r="AD12" s="78">
        <v>1.13395</v>
      </c>
      <c r="AE12" s="78">
        <v>0.88658999999999999</v>
      </c>
      <c r="AF12" s="78">
        <v>1.0760400000000001</v>
      </c>
      <c r="AG12" s="78">
        <f t="shared" si="28"/>
        <v>1.0808199999999999</v>
      </c>
      <c r="AH12" s="78">
        <f t="shared" si="29"/>
        <v>1.13395</v>
      </c>
      <c r="AI12" s="78">
        <f t="shared" si="30"/>
        <v>1.1078404999999998</v>
      </c>
      <c r="AJ12" s="78">
        <f t="shared" si="8"/>
        <v>1.1622987499999999</v>
      </c>
      <c r="AK12" s="78">
        <f t="shared" si="31"/>
        <v>0.90875474999999994</v>
      </c>
      <c r="AL12" s="78">
        <f t="shared" si="9"/>
        <v>1.1029409999999999</v>
      </c>
      <c r="AM12" s="78">
        <f t="shared" si="10"/>
        <v>1.1078404999999998</v>
      </c>
      <c r="AN12" s="78">
        <f t="shared" si="11"/>
        <v>1.1622987499999999</v>
      </c>
      <c r="AO12" s="78">
        <f t="shared" si="32"/>
        <v>1.0375871999999999</v>
      </c>
      <c r="AP12" s="78">
        <f t="shared" si="12"/>
        <v>1.088592</v>
      </c>
      <c r="AQ12" s="78">
        <f t="shared" si="33"/>
        <v>0.85112639999999995</v>
      </c>
      <c r="AR12" s="78">
        <f t="shared" si="13"/>
        <v>1.0329984000000001</v>
      </c>
      <c r="AS12" s="78">
        <f t="shared" si="14"/>
        <v>1.0375871999999999</v>
      </c>
      <c r="AT12" s="78">
        <f t="shared" si="15"/>
        <v>1.088592</v>
      </c>
      <c r="AU12" s="78">
        <v>1.1282799999999999</v>
      </c>
      <c r="AV12" s="78">
        <v>1.21244</v>
      </c>
      <c r="AW12" s="78">
        <v>1.00874</v>
      </c>
      <c r="AX12" s="78">
        <v>1.1796199999999999</v>
      </c>
      <c r="AY12" s="78">
        <f t="shared" si="34"/>
        <v>1.1282799999999999</v>
      </c>
      <c r="AZ12" s="78">
        <f t="shared" si="35"/>
        <v>1.21244</v>
      </c>
      <c r="BA12" s="78">
        <f t="shared" si="36"/>
        <v>1.1564869999999998</v>
      </c>
      <c r="BB12" s="78">
        <f t="shared" si="16"/>
        <v>1.2427509999999999</v>
      </c>
      <c r="BC12" s="78">
        <f t="shared" si="37"/>
        <v>1.0339584999999998</v>
      </c>
      <c r="BD12" s="78">
        <f t="shared" si="17"/>
        <v>1.2091104999999998</v>
      </c>
      <c r="BE12" s="78">
        <f t="shared" si="18"/>
        <v>1.1564869999999998</v>
      </c>
      <c r="BF12" s="78">
        <f t="shared" si="19"/>
        <v>1.2427509999999999</v>
      </c>
      <c r="BG12" s="78">
        <f t="shared" si="38"/>
        <v>1.0831487999999998</v>
      </c>
      <c r="BH12" s="78">
        <f t="shared" si="20"/>
        <v>1.1639423999999998</v>
      </c>
      <c r="BI12" s="78">
        <f t="shared" si="39"/>
        <v>0.96839039999999998</v>
      </c>
      <c r="BJ12" s="78">
        <f t="shared" si="21"/>
        <v>1.1324351999999998</v>
      </c>
      <c r="BK12" s="78">
        <f t="shared" si="22"/>
        <v>1.0831487999999998</v>
      </c>
      <c r="BL12" s="78">
        <f t="shared" si="23"/>
        <v>1.1639423999999998</v>
      </c>
      <c r="BM12" s="78">
        <v>1.1672682000000001</v>
      </c>
      <c r="BN12" s="78">
        <v>1.2939716000000001</v>
      </c>
      <c r="BO12" s="78">
        <v>1.1704881999999999</v>
      </c>
      <c r="BP12" s="78">
        <v>1.28731705</v>
      </c>
    </row>
    <row r="13" spans="1:71" ht="13" x14ac:dyDescent="0.25">
      <c r="A13" s="60">
        <v>1</v>
      </c>
      <c r="B13" s="55">
        <v>5</v>
      </c>
      <c r="C13" s="61">
        <v>1.1054068920554234</v>
      </c>
      <c r="D13" s="61">
        <v>1.1858752789609806</v>
      </c>
      <c r="E13" s="81">
        <v>1.1205780240126353</v>
      </c>
      <c r="F13" s="81">
        <v>1.20773562766465</v>
      </c>
      <c r="G13" s="78">
        <v>1.0486485999999999</v>
      </c>
      <c r="H13" s="78">
        <v>1.070632</v>
      </c>
      <c r="I13" s="78">
        <v>1.1845731000000002</v>
      </c>
      <c r="J13" s="78">
        <v>1.3367385999999999</v>
      </c>
      <c r="K13" s="78">
        <v>1.2168371999999998</v>
      </c>
      <c r="L13" s="78">
        <v>1.3623275000000001</v>
      </c>
      <c r="M13" s="78">
        <v>1.0745077000000001</v>
      </c>
      <c r="N13" s="78">
        <v>1.2029805</v>
      </c>
      <c r="O13" s="78">
        <v>1.2168371999999998</v>
      </c>
      <c r="P13" s="78">
        <v>1.3623275000000001</v>
      </c>
      <c r="Q13" s="78">
        <f t="shared" si="24"/>
        <v>1.2472581299999996</v>
      </c>
      <c r="R13" s="78">
        <f t="shared" si="0"/>
        <v>1.3963856875</v>
      </c>
      <c r="S13" s="78">
        <f t="shared" si="25"/>
        <v>1.1013703925</v>
      </c>
      <c r="T13" s="78">
        <f t="shared" si="1"/>
        <v>1.2330550124999999</v>
      </c>
      <c r="U13" s="78">
        <f t="shared" si="2"/>
        <v>1.2472581299999996</v>
      </c>
      <c r="V13" s="78">
        <f t="shared" si="3"/>
        <v>1.3963856875</v>
      </c>
      <c r="W13" s="78">
        <f t="shared" si="26"/>
        <v>1.1681637119999999</v>
      </c>
      <c r="X13" s="78">
        <f t="shared" si="4"/>
        <v>1.3078344000000002</v>
      </c>
      <c r="Y13" s="78">
        <f t="shared" si="27"/>
        <v>1.0315273920000001</v>
      </c>
      <c r="Z13" s="78">
        <f t="shared" si="5"/>
        <v>1.15486128</v>
      </c>
      <c r="AA13" s="78">
        <f t="shared" si="6"/>
        <v>1.1681637119999999</v>
      </c>
      <c r="AB13" s="78">
        <f t="shared" si="7"/>
        <v>1.3078344000000002</v>
      </c>
      <c r="AC13" s="78">
        <v>1.0089300000000001</v>
      </c>
      <c r="AD13" s="78">
        <v>1.04681</v>
      </c>
      <c r="AE13" s="78">
        <v>0.80439000000000005</v>
      </c>
      <c r="AF13" s="78">
        <v>1.0251300000000001</v>
      </c>
      <c r="AG13" s="78">
        <f t="shared" si="28"/>
        <v>1.0089300000000001</v>
      </c>
      <c r="AH13" s="78">
        <f t="shared" si="29"/>
        <v>1.04681</v>
      </c>
      <c r="AI13" s="78">
        <f t="shared" si="30"/>
        <v>1.0341532499999999</v>
      </c>
      <c r="AJ13" s="78">
        <f t="shared" si="8"/>
        <v>1.0729802499999999</v>
      </c>
      <c r="AK13" s="78">
        <f t="shared" si="31"/>
        <v>0.82449974999999998</v>
      </c>
      <c r="AL13" s="78">
        <f t="shared" si="9"/>
        <v>1.0507582500000001</v>
      </c>
      <c r="AM13" s="78">
        <f t="shared" si="10"/>
        <v>1.0341532499999999</v>
      </c>
      <c r="AN13" s="78">
        <f t="shared" si="11"/>
        <v>1.0729802499999999</v>
      </c>
      <c r="AO13" s="78">
        <f t="shared" si="32"/>
        <v>0.96857280000000001</v>
      </c>
      <c r="AP13" s="78">
        <f t="shared" si="12"/>
        <v>1.0049375999999999</v>
      </c>
      <c r="AQ13" s="78">
        <f t="shared" si="33"/>
        <v>0.77221439999999997</v>
      </c>
      <c r="AR13" s="78">
        <f t="shared" si="13"/>
        <v>0.98412480000000002</v>
      </c>
      <c r="AS13" s="78">
        <f t="shared" si="14"/>
        <v>0.96857280000000001</v>
      </c>
      <c r="AT13" s="78">
        <f t="shared" si="15"/>
        <v>1.0049375999999999</v>
      </c>
      <c r="AU13" s="78">
        <v>1.0697000000000001</v>
      </c>
      <c r="AV13" s="78">
        <v>1.1529499999999999</v>
      </c>
      <c r="AW13" s="78">
        <v>0.96079000000000003</v>
      </c>
      <c r="AX13" s="78">
        <v>1.1651899999999999</v>
      </c>
      <c r="AY13" s="78">
        <f t="shared" si="34"/>
        <v>1.0697000000000001</v>
      </c>
      <c r="AZ13" s="78">
        <f t="shared" si="35"/>
        <v>1.1529499999999999</v>
      </c>
      <c r="BA13" s="78">
        <f t="shared" si="36"/>
        <v>1.0964425</v>
      </c>
      <c r="BB13" s="78">
        <f t="shared" si="16"/>
        <v>1.1817737499999998</v>
      </c>
      <c r="BC13" s="78">
        <f t="shared" si="37"/>
        <v>0.98480974999999993</v>
      </c>
      <c r="BD13" s="78">
        <f t="shared" si="17"/>
        <v>1.1943197499999998</v>
      </c>
      <c r="BE13" s="78">
        <f t="shared" si="18"/>
        <v>1.0964425</v>
      </c>
      <c r="BF13" s="78">
        <f t="shared" si="19"/>
        <v>1.1817737499999998</v>
      </c>
      <c r="BG13" s="78">
        <f t="shared" si="38"/>
        <v>1.026912</v>
      </c>
      <c r="BH13" s="78">
        <f t="shared" si="20"/>
        <v>1.1068319999999998</v>
      </c>
      <c r="BI13" s="78">
        <f t="shared" si="39"/>
        <v>0.92235840000000002</v>
      </c>
      <c r="BJ13" s="78">
        <f t="shared" si="21"/>
        <v>1.1185824</v>
      </c>
      <c r="BK13" s="78">
        <f t="shared" si="22"/>
        <v>1.026912</v>
      </c>
      <c r="BL13" s="78">
        <f t="shared" si="23"/>
        <v>1.1068319999999998</v>
      </c>
      <c r="BM13" s="78">
        <v>1.1425206999999999</v>
      </c>
      <c r="BN13" s="78">
        <v>1.2892843999999999</v>
      </c>
      <c r="BO13" s="78">
        <v>1.14567245</v>
      </c>
      <c r="BP13" s="78">
        <v>1.282654</v>
      </c>
    </row>
    <row r="14" spans="1:71" ht="13" x14ac:dyDescent="0.25">
      <c r="A14" s="60">
        <v>1</v>
      </c>
      <c r="B14" s="55">
        <v>6</v>
      </c>
      <c r="C14" s="61">
        <v>1.0747936982136588</v>
      </c>
      <c r="D14" s="61">
        <v>1.2261921628417782</v>
      </c>
      <c r="E14" s="81">
        <v>1.0895784010758007</v>
      </c>
      <c r="F14" s="81">
        <v>1.2484408466302943</v>
      </c>
      <c r="G14" s="78">
        <v>1.0138503999999999</v>
      </c>
      <c r="H14" s="78">
        <v>1.1428570999999998</v>
      </c>
      <c r="I14" s="78">
        <v>1.1576354</v>
      </c>
      <c r="J14" s="78">
        <v>1.3453774000000001</v>
      </c>
      <c r="K14" s="78">
        <v>1.1891658000000001</v>
      </c>
      <c r="L14" s="78">
        <v>1.3711316</v>
      </c>
      <c r="M14" s="78">
        <v>1.0500729</v>
      </c>
      <c r="N14" s="78">
        <v>1.2107547999999999</v>
      </c>
      <c r="O14" s="78">
        <v>1.1891658000000001</v>
      </c>
      <c r="P14" s="78">
        <v>1.3711316</v>
      </c>
      <c r="Q14" s="78">
        <f t="shared" si="24"/>
        <v>1.218894945</v>
      </c>
      <c r="R14" s="78">
        <f t="shared" si="0"/>
        <v>1.4054098899999998</v>
      </c>
      <c r="S14" s="78">
        <f t="shared" si="25"/>
        <v>1.0763247224999999</v>
      </c>
      <c r="T14" s="78">
        <f t="shared" si="1"/>
        <v>1.2410236699999997</v>
      </c>
      <c r="U14" s="78">
        <f t="shared" si="2"/>
        <v>1.218894945</v>
      </c>
      <c r="V14" s="78">
        <f t="shared" si="3"/>
        <v>1.4054098899999998</v>
      </c>
      <c r="W14" s="78">
        <f t="shared" si="26"/>
        <v>1.1415991679999999</v>
      </c>
      <c r="X14" s="78">
        <f t="shared" si="4"/>
        <v>1.3162863359999999</v>
      </c>
      <c r="Y14" s="78">
        <f t="shared" si="27"/>
        <v>1.008069984</v>
      </c>
      <c r="Z14" s="78">
        <f t="shared" si="5"/>
        <v>1.1623246079999998</v>
      </c>
      <c r="AA14" s="78">
        <f t="shared" si="6"/>
        <v>1.1415991679999999</v>
      </c>
      <c r="AB14" s="78">
        <f t="shared" si="7"/>
        <v>1.3162863359999999</v>
      </c>
      <c r="AC14" s="78">
        <v>0.93345999999999996</v>
      </c>
      <c r="AD14" s="78">
        <v>0.96697</v>
      </c>
      <c r="AE14" s="78">
        <v>0.71753</v>
      </c>
      <c r="AF14" s="78">
        <v>0.98329999999999995</v>
      </c>
      <c r="AG14" s="78">
        <f t="shared" si="28"/>
        <v>0.93345999999999996</v>
      </c>
      <c r="AH14" s="78">
        <f t="shared" si="29"/>
        <v>0.96697</v>
      </c>
      <c r="AI14" s="78">
        <f t="shared" si="30"/>
        <v>0.95679649999999983</v>
      </c>
      <c r="AJ14" s="78">
        <f t="shared" si="8"/>
        <v>0.99114424999999995</v>
      </c>
      <c r="AK14" s="78">
        <f t="shared" si="31"/>
        <v>0.73546824999999993</v>
      </c>
      <c r="AL14" s="78">
        <f t="shared" si="9"/>
        <v>1.0078824999999998</v>
      </c>
      <c r="AM14" s="78">
        <f t="shared" si="10"/>
        <v>0.95679649999999983</v>
      </c>
      <c r="AN14" s="78">
        <f t="shared" si="11"/>
        <v>0.99114424999999995</v>
      </c>
      <c r="AO14" s="78">
        <f t="shared" si="32"/>
        <v>0.89612159999999996</v>
      </c>
      <c r="AP14" s="78">
        <f t="shared" si="12"/>
        <v>0.92829119999999998</v>
      </c>
      <c r="AQ14" s="78">
        <f t="shared" si="33"/>
        <v>0.68882880000000002</v>
      </c>
      <c r="AR14" s="78">
        <f t="shared" si="13"/>
        <v>0.94396799999999992</v>
      </c>
      <c r="AS14" s="78">
        <f t="shared" si="14"/>
        <v>0.89612159999999996</v>
      </c>
      <c r="AT14" s="78">
        <f t="shared" si="15"/>
        <v>0.92829119999999998</v>
      </c>
      <c r="AU14" s="78">
        <v>1.0082</v>
      </c>
      <c r="AV14" s="78">
        <v>1.10293</v>
      </c>
      <c r="AW14" s="78">
        <v>0.90988999999999998</v>
      </c>
      <c r="AX14" s="78">
        <v>1.1627099999999999</v>
      </c>
      <c r="AY14" s="78">
        <f t="shared" si="34"/>
        <v>1.0082</v>
      </c>
      <c r="AZ14" s="78">
        <f t="shared" si="35"/>
        <v>1.10293</v>
      </c>
      <c r="BA14" s="78">
        <f t="shared" si="36"/>
        <v>1.0334049999999999</v>
      </c>
      <c r="BB14" s="78">
        <f t="shared" si="16"/>
        <v>1.1305032499999998</v>
      </c>
      <c r="BC14" s="78">
        <f t="shared" si="37"/>
        <v>0.93263724999999986</v>
      </c>
      <c r="BD14" s="78">
        <f t="shared" si="17"/>
        <v>1.1917777499999997</v>
      </c>
      <c r="BE14" s="78">
        <f t="shared" si="18"/>
        <v>1.0334049999999999</v>
      </c>
      <c r="BF14" s="78">
        <f t="shared" si="19"/>
        <v>1.1305032499999998</v>
      </c>
      <c r="BG14" s="78">
        <f t="shared" si="38"/>
        <v>0.96787199999999995</v>
      </c>
      <c r="BH14" s="78">
        <f t="shared" si="20"/>
        <v>1.0588127999999999</v>
      </c>
      <c r="BI14" s="78">
        <f t="shared" si="39"/>
        <v>0.87349439999999989</v>
      </c>
      <c r="BJ14" s="78">
        <f t="shared" si="21"/>
        <v>1.1162015999999999</v>
      </c>
      <c r="BK14" s="78">
        <f t="shared" si="22"/>
        <v>0.96787199999999995</v>
      </c>
      <c r="BL14" s="78">
        <f t="shared" si="23"/>
        <v>1.0588127999999999</v>
      </c>
      <c r="BM14" s="78">
        <v>1.1165393000000001</v>
      </c>
      <c r="BN14" s="78">
        <v>1.2976165</v>
      </c>
      <c r="BO14" s="78">
        <v>1.11961935</v>
      </c>
      <c r="BP14" s="78">
        <v>1.2909432000000001</v>
      </c>
    </row>
    <row r="15" spans="1:71" ht="13" x14ac:dyDescent="0.25">
      <c r="A15" s="60">
        <v>1</v>
      </c>
      <c r="B15" s="55">
        <v>7</v>
      </c>
      <c r="C15" s="61">
        <v>1.0952395834821578</v>
      </c>
      <c r="D15" s="61">
        <v>1.1982414099735907</v>
      </c>
      <c r="E15" s="81">
        <v>1.1103253063231078</v>
      </c>
      <c r="F15" s="81">
        <v>1.2203981248147271</v>
      </c>
      <c r="G15" s="78">
        <v>1.0297619</v>
      </c>
      <c r="H15" s="78">
        <v>1.0748899000000001</v>
      </c>
      <c r="I15" s="78">
        <v>1.1830973</v>
      </c>
      <c r="J15" s="78">
        <v>1.3577735000000002</v>
      </c>
      <c r="K15" s="78">
        <v>1.2153212</v>
      </c>
      <c r="L15" s="78">
        <v>1.3837649999999999</v>
      </c>
      <c r="M15" s="78">
        <v>1.0731690999999999</v>
      </c>
      <c r="N15" s="78">
        <v>1.2219105000000001</v>
      </c>
      <c r="O15" s="78">
        <v>1.2153212</v>
      </c>
      <c r="P15" s="78">
        <v>1.3837649999999999</v>
      </c>
      <c r="Q15" s="78">
        <f t="shared" si="24"/>
        <v>1.2457042299999999</v>
      </c>
      <c r="R15" s="78">
        <f t="shared" si="0"/>
        <v>1.4183591249999998</v>
      </c>
      <c r="S15" s="78">
        <f t="shared" si="25"/>
        <v>1.0999983274999998</v>
      </c>
      <c r="T15" s="78">
        <f t="shared" si="1"/>
        <v>1.2524582625</v>
      </c>
      <c r="U15" s="78">
        <f t="shared" si="2"/>
        <v>1.2457042299999999</v>
      </c>
      <c r="V15" s="78">
        <f t="shared" si="3"/>
        <v>1.4183591249999998</v>
      </c>
      <c r="W15" s="78">
        <f t="shared" si="26"/>
        <v>1.1667083519999999</v>
      </c>
      <c r="X15" s="78">
        <f t="shared" si="4"/>
        <v>1.3284143999999998</v>
      </c>
      <c r="Y15" s="78">
        <f t="shared" si="27"/>
        <v>1.0302423359999999</v>
      </c>
      <c r="Z15" s="78">
        <f t="shared" si="5"/>
        <v>1.1730340800000001</v>
      </c>
      <c r="AA15" s="78">
        <f t="shared" si="6"/>
        <v>1.1667083519999999</v>
      </c>
      <c r="AB15" s="78">
        <f t="shared" si="7"/>
        <v>1.3284143999999998</v>
      </c>
      <c r="AC15" s="78">
        <v>0.89480000000000004</v>
      </c>
      <c r="AD15" s="78">
        <v>0.86031999999999997</v>
      </c>
      <c r="AE15" s="78">
        <v>0.65664999999999996</v>
      </c>
      <c r="AF15" s="78">
        <v>0.92698000000000003</v>
      </c>
      <c r="AG15" s="78">
        <f t="shared" si="28"/>
        <v>0.89480000000000004</v>
      </c>
      <c r="AH15" s="78">
        <f t="shared" si="29"/>
        <v>0.86031999999999997</v>
      </c>
      <c r="AI15" s="78">
        <f t="shared" si="30"/>
        <v>0.91716999999999993</v>
      </c>
      <c r="AJ15" s="78">
        <f t="shared" si="8"/>
        <v>0.88182799999999995</v>
      </c>
      <c r="AK15" s="78">
        <f t="shared" si="31"/>
        <v>0.67306624999999987</v>
      </c>
      <c r="AL15" s="78">
        <f t="shared" si="9"/>
        <v>0.9501544999999999</v>
      </c>
      <c r="AM15" s="78">
        <f t="shared" si="10"/>
        <v>0.91716999999999993</v>
      </c>
      <c r="AN15" s="78">
        <f t="shared" si="11"/>
        <v>0.88182799999999995</v>
      </c>
      <c r="AO15" s="78">
        <f t="shared" si="32"/>
        <v>0.85900799999999999</v>
      </c>
      <c r="AP15" s="78">
        <f t="shared" si="12"/>
        <v>0.82590719999999995</v>
      </c>
      <c r="AQ15" s="78">
        <f t="shared" si="33"/>
        <v>0.63038399999999994</v>
      </c>
      <c r="AR15" s="78">
        <f t="shared" si="13"/>
        <v>0.88990080000000005</v>
      </c>
      <c r="AS15" s="78">
        <f t="shared" si="14"/>
        <v>0.85900799999999999</v>
      </c>
      <c r="AT15" s="78">
        <f t="shared" si="15"/>
        <v>0.82590719999999995</v>
      </c>
      <c r="AU15" s="78">
        <v>0.98848999999999998</v>
      </c>
      <c r="AV15" s="78">
        <v>1.0364100000000001</v>
      </c>
      <c r="AW15" s="78">
        <v>0.89776</v>
      </c>
      <c r="AX15" s="78">
        <v>1.15934</v>
      </c>
      <c r="AY15" s="78">
        <f t="shared" si="34"/>
        <v>0.98848999999999998</v>
      </c>
      <c r="AZ15" s="78">
        <f t="shared" si="35"/>
        <v>1.0364100000000001</v>
      </c>
      <c r="BA15" s="78">
        <f t="shared" si="36"/>
        <v>1.01320225</v>
      </c>
      <c r="BB15" s="78">
        <f t="shared" si="16"/>
        <v>1.06232025</v>
      </c>
      <c r="BC15" s="78">
        <f t="shared" si="37"/>
        <v>0.92020399999999991</v>
      </c>
      <c r="BD15" s="78">
        <f t="shared" si="17"/>
        <v>1.1883234999999999</v>
      </c>
      <c r="BE15" s="78">
        <f t="shared" si="18"/>
        <v>1.01320225</v>
      </c>
      <c r="BF15" s="78">
        <f t="shared" si="19"/>
        <v>1.06232025</v>
      </c>
      <c r="BG15" s="78">
        <f t="shared" si="38"/>
        <v>0.94895039999999997</v>
      </c>
      <c r="BH15" s="78">
        <f t="shared" si="20"/>
        <v>0.99495359999999999</v>
      </c>
      <c r="BI15" s="78">
        <f t="shared" si="39"/>
        <v>0.86184959999999999</v>
      </c>
      <c r="BJ15" s="78">
        <f t="shared" si="21"/>
        <v>1.1129663999999999</v>
      </c>
      <c r="BK15" s="78">
        <f t="shared" si="22"/>
        <v>0.94895039999999997</v>
      </c>
      <c r="BL15" s="78">
        <f t="shared" si="23"/>
        <v>0.99495359999999999</v>
      </c>
      <c r="BM15" s="78">
        <v>1.1410973</v>
      </c>
      <c r="BN15" s="78">
        <v>1.3095725999999999</v>
      </c>
      <c r="BO15" s="78">
        <v>1.1442451499999999</v>
      </c>
      <c r="BP15" s="78">
        <v>1.3028377500000001</v>
      </c>
    </row>
    <row r="16" spans="1:71" ht="13" x14ac:dyDescent="0.25">
      <c r="A16" s="60">
        <v>1</v>
      </c>
      <c r="B16" s="55">
        <v>8</v>
      </c>
      <c r="C16" s="61">
        <v>1.1192068710103618</v>
      </c>
      <c r="D16" s="61">
        <v>1.2364532019704433</v>
      </c>
      <c r="E16" s="81">
        <v>1.1348514593988632</v>
      </c>
      <c r="F16" s="81">
        <v>1.2594707340351405</v>
      </c>
      <c r="G16" s="78">
        <v>1.013245</v>
      </c>
      <c r="H16" s="78">
        <v>1.0935961000000001</v>
      </c>
      <c r="I16" s="78">
        <v>1.2487914</v>
      </c>
      <c r="J16" s="78">
        <v>1.417071</v>
      </c>
      <c r="K16" s="78">
        <v>1.2828047</v>
      </c>
      <c r="L16" s="78">
        <v>1.4441975999999999</v>
      </c>
      <c r="M16" s="78">
        <v>1.1327592</v>
      </c>
      <c r="N16" s="78">
        <v>1.2752745000000001</v>
      </c>
      <c r="O16" s="78">
        <v>1.2828047</v>
      </c>
      <c r="P16" s="78">
        <v>1.4441975999999999</v>
      </c>
      <c r="Q16" s="78">
        <f t="shared" si="24"/>
        <v>1.3148748175</v>
      </c>
      <c r="R16" s="78">
        <f t="shared" si="0"/>
        <v>1.4803025399999998</v>
      </c>
      <c r="S16" s="78">
        <f t="shared" si="25"/>
        <v>1.1610781799999998</v>
      </c>
      <c r="T16" s="78">
        <f t="shared" si="1"/>
        <v>1.3071563625</v>
      </c>
      <c r="U16" s="78">
        <f t="shared" si="2"/>
        <v>1.3148748175</v>
      </c>
      <c r="V16" s="78">
        <f t="shared" si="3"/>
        <v>1.4803025399999998</v>
      </c>
      <c r="W16" s="78">
        <f t="shared" si="26"/>
        <v>1.231492512</v>
      </c>
      <c r="X16" s="78">
        <f t="shared" si="4"/>
        <v>1.3864296959999998</v>
      </c>
      <c r="Y16" s="78">
        <f t="shared" si="27"/>
        <v>1.087448832</v>
      </c>
      <c r="Z16" s="78">
        <f t="shared" si="5"/>
        <v>1.22426352</v>
      </c>
      <c r="AA16" s="78">
        <f t="shared" si="6"/>
        <v>1.231492512</v>
      </c>
      <c r="AB16" s="78">
        <f t="shared" si="7"/>
        <v>1.3864296959999998</v>
      </c>
      <c r="AC16" s="78">
        <v>0.87526000000000004</v>
      </c>
      <c r="AD16" s="78">
        <v>0.77524999999999999</v>
      </c>
      <c r="AE16" s="78">
        <v>0.60277999999999998</v>
      </c>
      <c r="AF16" s="78">
        <v>0.89781999999999995</v>
      </c>
      <c r="AG16" s="78">
        <f t="shared" si="28"/>
        <v>0.87526000000000004</v>
      </c>
      <c r="AH16" s="78">
        <f t="shared" si="29"/>
        <v>0.77524999999999999</v>
      </c>
      <c r="AI16" s="78">
        <f t="shared" si="30"/>
        <v>0.89714149999999993</v>
      </c>
      <c r="AJ16" s="78">
        <f t="shared" si="8"/>
        <v>0.7946312499999999</v>
      </c>
      <c r="AK16" s="78">
        <f t="shared" si="31"/>
        <v>0.61784949999999994</v>
      </c>
      <c r="AL16" s="78">
        <f t="shared" si="9"/>
        <v>0.92026549999999985</v>
      </c>
      <c r="AM16" s="78">
        <f t="shared" si="10"/>
        <v>0.89714149999999993</v>
      </c>
      <c r="AN16" s="78">
        <f t="shared" si="11"/>
        <v>0.7946312499999999</v>
      </c>
      <c r="AO16" s="78">
        <f t="shared" si="32"/>
        <v>0.84024960000000004</v>
      </c>
      <c r="AP16" s="78">
        <f t="shared" si="12"/>
        <v>0.74424000000000001</v>
      </c>
      <c r="AQ16" s="78">
        <f t="shared" si="33"/>
        <v>0.57866879999999998</v>
      </c>
      <c r="AR16" s="78">
        <f t="shared" si="13"/>
        <v>0.86190719999999987</v>
      </c>
      <c r="AS16" s="78">
        <f t="shared" si="14"/>
        <v>0.84024960000000004</v>
      </c>
      <c r="AT16" s="78">
        <f t="shared" si="15"/>
        <v>0.74424000000000001</v>
      </c>
      <c r="AU16" s="78">
        <v>0.99438000000000004</v>
      </c>
      <c r="AV16" s="78">
        <v>1.0002800000000001</v>
      </c>
      <c r="AW16" s="78">
        <v>0.90935999999999995</v>
      </c>
      <c r="AX16" s="78">
        <v>1.1947700000000001</v>
      </c>
      <c r="AY16" s="78">
        <f t="shared" si="34"/>
        <v>0.99438000000000004</v>
      </c>
      <c r="AZ16" s="78">
        <f t="shared" si="35"/>
        <v>1.0002800000000001</v>
      </c>
      <c r="BA16" s="78">
        <f t="shared" si="36"/>
        <v>1.0192394999999999</v>
      </c>
      <c r="BB16" s="78">
        <f t="shared" si="16"/>
        <v>1.0252870000000001</v>
      </c>
      <c r="BC16" s="78">
        <f t="shared" si="37"/>
        <v>0.93209399999999987</v>
      </c>
      <c r="BD16" s="78">
        <f t="shared" si="17"/>
        <v>1.2246392500000001</v>
      </c>
      <c r="BE16" s="78">
        <f t="shared" si="18"/>
        <v>1.0192394999999999</v>
      </c>
      <c r="BF16" s="78">
        <f t="shared" si="19"/>
        <v>1.0252870000000001</v>
      </c>
      <c r="BG16" s="78">
        <f t="shared" si="38"/>
        <v>0.95460480000000003</v>
      </c>
      <c r="BH16" s="78">
        <f t="shared" si="20"/>
        <v>0.96026880000000003</v>
      </c>
      <c r="BI16" s="78">
        <f t="shared" si="39"/>
        <v>0.87298559999999992</v>
      </c>
      <c r="BJ16" s="78">
        <f t="shared" si="21"/>
        <v>1.1469792000000001</v>
      </c>
      <c r="BK16" s="78">
        <f t="shared" si="22"/>
        <v>0.95460480000000003</v>
      </c>
      <c r="BL16" s="78">
        <f t="shared" si="23"/>
        <v>0.96026880000000003</v>
      </c>
      <c r="BM16" s="78">
        <v>1.2044593000000001</v>
      </c>
      <c r="BN16" s="78">
        <v>1.366765</v>
      </c>
      <c r="BO16" s="78">
        <v>1.20778195</v>
      </c>
      <c r="BP16" s="78">
        <v>1.35973605</v>
      </c>
    </row>
    <row r="17" spans="1:68" ht="13" x14ac:dyDescent="0.25">
      <c r="A17" s="60">
        <v>1</v>
      </c>
      <c r="B17" s="55">
        <v>9</v>
      </c>
      <c r="C17" s="61">
        <v>1.178436988697013</v>
      </c>
      <c r="D17" s="61">
        <v>1.3072916666666667</v>
      </c>
      <c r="E17" s="81">
        <v>1.1954100629690585</v>
      </c>
      <c r="F17" s="81">
        <v>1.3316279115059038</v>
      </c>
      <c r="G17" s="78">
        <v>0.98141260000000008</v>
      </c>
      <c r="H17" s="78">
        <v>1.15625</v>
      </c>
      <c r="I17" s="78">
        <v>1.4019819</v>
      </c>
      <c r="J17" s="78">
        <v>1.4982574</v>
      </c>
      <c r="K17" s="78">
        <v>1.4401676000000001</v>
      </c>
      <c r="L17" s="78">
        <v>1.5269381000000002</v>
      </c>
      <c r="M17" s="78">
        <v>1.2717159</v>
      </c>
      <c r="N17" s="78">
        <v>1.3483372</v>
      </c>
      <c r="O17" s="78">
        <v>1.4401676000000001</v>
      </c>
      <c r="P17" s="78">
        <v>1.5269381000000002</v>
      </c>
      <c r="Q17" s="78">
        <f t="shared" si="24"/>
        <v>1.47617179</v>
      </c>
      <c r="R17" s="78">
        <f t="shared" si="0"/>
        <v>1.5651115525000001</v>
      </c>
      <c r="S17" s="78">
        <f t="shared" si="25"/>
        <v>1.3035087974999999</v>
      </c>
      <c r="T17" s="78">
        <f t="shared" si="1"/>
        <v>1.3820456299999999</v>
      </c>
      <c r="U17" s="78">
        <f t="shared" si="2"/>
        <v>1.47617179</v>
      </c>
      <c r="V17" s="78">
        <f t="shared" si="3"/>
        <v>1.5651115525000001</v>
      </c>
      <c r="W17" s="78">
        <f t="shared" si="26"/>
        <v>1.382560896</v>
      </c>
      <c r="X17" s="78">
        <f t="shared" si="4"/>
        <v>1.4658605760000001</v>
      </c>
      <c r="Y17" s="78">
        <f t="shared" si="27"/>
        <v>1.2208472639999999</v>
      </c>
      <c r="Z17" s="78">
        <f t="shared" si="5"/>
        <v>1.294403712</v>
      </c>
      <c r="AA17" s="78">
        <f t="shared" si="6"/>
        <v>1.382560896</v>
      </c>
      <c r="AB17" s="78">
        <f t="shared" si="7"/>
        <v>1.4658605760000001</v>
      </c>
      <c r="AC17" s="78">
        <v>0.92542999999999997</v>
      </c>
      <c r="AD17" s="78">
        <v>0.73124999999999996</v>
      </c>
      <c r="AE17" s="78">
        <v>0.60238999999999998</v>
      </c>
      <c r="AF17" s="78">
        <v>0.89942</v>
      </c>
      <c r="AG17" s="78">
        <f t="shared" si="28"/>
        <v>0.92542999999999997</v>
      </c>
      <c r="AH17" s="78">
        <f t="shared" si="29"/>
        <v>0.73124999999999996</v>
      </c>
      <c r="AI17" s="78">
        <f t="shared" si="30"/>
        <v>0.94856574999999987</v>
      </c>
      <c r="AJ17" s="78">
        <f t="shared" si="8"/>
        <v>0.74953124999999987</v>
      </c>
      <c r="AK17" s="78">
        <f t="shared" si="31"/>
        <v>0.61744974999999991</v>
      </c>
      <c r="AL17" s="78">
        <f t="shared" si="9"/>
        <v>0.92190549999999993</v>
      </c>
      <c r="AM17" s="78">
        <f t="shared" si="10"/>
        <v>0.94856574999999987</v>
      </c>
      <c r="AN17" s="78">
        <f t="shared" si="11"/>
        <v>0.74953124999999987</v>
      </c>
      <c r="AO17" s="78">
        <f t="shared" si="32"/>
        <v>0.88841279999999989</v>
      </c>
      <c r="AP17" s="78">
        <f t="shared" si="12"/>
        <v>0.70199999999999996</v>
      </c>
      <c r="AQ17" s="78">
        <f t="shared" si="33"/>
        <v>0.57829439999999999</v>
      </c>
      <c r="AR17" s="78">
        <f t="shared" si="13"/>
        <v>0.86344319999999997</v>
      </c>
      <c r="AS17" s="78">
        <f t="shared" si="14"/>
        <v>0.88841279999999989</v>
      </c>
      <c r="AT17" s="78">
        <f t="shared" si="15"/>
        <v>0.70199999999999996</v>
      </c>
      <c r="AU17" s="78">
        <v>1.07589</v>
      </c>
      <c r="AV17" s="78">
        <v>0.99892000000000003</v>
      </c>
      <c r="AW17" s="78">
        <v>0.98960000000000004</v>
      </c>
      <c r="AX17" s="78">
        <v>1.2526299999999999</v>
      </c>
      <c r="AY17" s="78">
        <f t="shared" si="34"/>
        <v>1.07589</v>
      </c>
      <c r="AZ17" s="78">
        <f t="shared" si="35"/>
        <v>0.99892000000000003</v>
      </c>
      <c r="BA17" s="78">
        <f t="shared" si="36"/>
        <v>1.10278725</v>
      </c>
      <c r="BB17" s="78">
        <f t="shared" si="16"/>
        <v>1.0238929999999999</v>
      </c>
      <c r="BC17" s="78">
        <f t="shared" si="37"/>
        <v>1.01434</v>
      </c>
      <c r="BD17" s="78">
        <f t="shared" si="17"/>
        <v>1.2839457499999998</v>
      </c>
      <c r="BE17" s="78">
        <f t="shared" si="18"/>
        <v>1.10278725</v>
      </c>
      <c r="BF17" s="78">
        <f t="shared" si="19"/>
        <v>1.0238929999999999</v>
      </c>
      <c r="BG17" s="78">
        <f t="shared" si="38"/>
        <v>1.0328544</v>
      </c>
      <c r="BH17" s="78">
        <f t="shared" si="20"/>
        <v>0.95896320000000002</v>
      </c>
      <c r="BI17" s="78">
        <f t="shared" si="39"/>
        <v>0.95001599999999997</v>
      </c>
      <c r="BJ17" s="78">
        <f t="shared" si="21"/>
        <v>1.2025247999999999</v>
      </c>
      <c r="BK17" s="78">
        <f t="shared" si="22"/>
        <v>1.0328544</v>
      </c>
      <c r="BL17" s="78">
        <f t="shared" si="23"/>
        <v>0.95896320000000002</v>
      </c>
      <c r="BM17" s="78">
        <v>1.3522114999999999</v>
      </c>
      <c r="BN17" s="78">
        <v>1.4450692000000001</v>
      </c>
      <c r="BO17" s="78">
        <v>1.3559417499999999</v>
      </c>
      <c r="BP17" s="78">
        <v>1.4376376500000001</v>
      </c>
    </row>
    <row r="18" spans="1:68" ht="13" x14ac:dyDescent="0.25">
      <c r="A18" s="60">
        <v>1</v>
      </c>
      <c r="B18" s="55">
        <v>10</v>
      </c>
      <c r="C18" s="61">
        <v>1.2730904616661476</v>
      </c>
      <c r="D18" s="61">
        <v>1.2894718419763069</v>
      </c>
      <c r="E18" s="81">
        <v>1.291897313989365</v>
      </c>
      <c r="F18" s="81">
        <v>1.3143465960442053</v>
      </c>
      <c r="G18" s="78">
        <v>0.97991969999999995</v>
      </c>
      <c r="H18" s="78">
        <v>1.0526316</v>
      </c>
      <c r="I18" s="78">
        <v>1.5964606000000001</v>
      </c>
      <c r="J18" s="78">
        <v>1.5680972</v>
      </c>
      <c r="K18" s="78">
        <v>1.6399432999999999</v>
      </c>
      <c r="L18" s="78">
        <v>1.5981147999999998</v>
      </c>
      <c r="M18" s="78">
        <v>1.4481245</v>
      </c>
      <c r="N18" s="78">
        <v>1.4111886</v>
      </c>
      <c r="O18" s="78">
        <v>1.6399432999999999</v>
      </c>
      <c r="P18" s="78">
        <v>1.5981147999999998</v>
      </c>
      <c r="Q18" s="78">
        <f t="shared" si="24"/>
        <v>1.6809418824999998</v>
      </c>
      <c r="R18" s="78">
        <f t="shared" si="0"/>
        <v>1.6380676699999996</v>
      </c>
      <c r="S18" s="78">
        <f t="shared" si="25"/>
        <v>1.4843276125</v>
      </c>
      <c r="T18" s="78">
        <f t="shared" si="1"/>
        <v>1.4464683149999999</v>
      </c>
      <c r="U18" s="78">
        <f t="shared" si="2"/>
        <v>1.6809418824999998</v>
      </c>
      <c r="V18" s="78">
        <f t="shared" si="3"/>
        <v>1.6380676699999996</v>
      </c>
      <c r="W18" s="78">
        <f t="shared" si="26"/>
        <v>1.5743455679999998</v>
      </c>
      <c r="X18" s="78">
        <f t="shared" si="4"/>
        <v>1.5341902079999998</v>
      </c>
      <c r="Y18" s="78">
        <f t="shared" si="27"/>
        <v>1.3901995199999999</v>
      </c>
      <c r="Z18" s="78">
        <f t="shared" si="5"/>
        <v>1.3547410559999999</v>
      </c>
      <c r="AA18" s="78">
        <f t="shared" si="6"/>
        <v>1.5743455679999998</v>
      </c>
      <c r="AB18" s="78">
        <f t="shared" si="7"/>
        <v>1.5341902079999998</v>
      </c>
      <c r="AC18" s="78">
        <v>1.0220800000000001</v>
      </c>
      <c r="AD18" s="78">
        <v>0.70470999999999995</v>
      </c>
      <c r="AE18" s="78">
        <v>0.64517000000000002</v>
      </c>
      <c r="AF18" s="78">
        <v>0.90800999999999998</v>
      </c>
      <c r="AG18" s="78">
        <f t="shared" si="28"/>
        <v>1.0220800000000001</v>
      </c>
      <c r="AH18" s="78">
        <f t="shared" si="29"/>
        <v>0.70470999999999995</v>
      </c>
      <c r="AI18" s="78">
        <f t="shared" si="30"/>
        <v>1.0476320000000001</v>
      </c>
      <c r="AJ18" s="78">
        <f t="shared" si="8"/>
        <v>0.72232774999999994</v>
      </c>
      <c r="AK18" s="78">
        <f t="shared" si="31"/>
        <v>0.66129925000000001</v>
      </c>
      <c r="AL18" s="78">
        <f t="shared" si="9"/>
        <v>0.93071024999999985</v>
      </c>
      <c r="AM18" s="78">
        <f t="shared" si="10"/>
        <v>1.0476320000000001</v>
      </c>
      <c r="AN18" s="78">
        <f t="shared" si="11"/>
        <v>0.72232774999999994</v>
      </c>
      <c r="AO18" s="78">
        <f t="shared" si="32"/>
        <v>0.98119680000000009</v>
      </c>
      <c r="AP18" s="78">
        <f t="shared" si="12"/>
        <v>0.67652159999999995</v>
      </c>
      <c r="AQ18" s="78">
        <f t="shared" si="33"/>
        <v>0.6193632</v>
      </c>
      <c r="AR18" s="78">
        <f t="shared" si="13"/>
        <v>0.87168959999999995</v>
      </c>
      <c r="AS18" s="78">
        <f t="shared" si="14"/>
        <v>0.98119680000000009</v>
      </c>
      <c r="AT18" s="78">
        <f t="shared" si="15"/>
        <v>0.67652159999999995</v>
      </c>
      <c r="AU18" s="78">
        <v>1.20268</v>
      </c>
      <c r="AV18" s="78">
        <v>1.00525</v>
      </c>
      <c r="AW18" s="78">
        <v>1.1099699999999999</v>
      </c>
      <c r="AX18" s="78">
        <v>1.3045899999999999</v>
      </c>
      <c r="AY18" s="78">
        <f t="shared" si="34"/>
        <v>1.20268</v>
      </c>
      <c r="AZ18" s="78">
        <f t="shared" si="35"/>
        <v>1.00525</v>
      </c>
      <c r="BA18" s="78">
        <f t="shared" si="36"/>
        <v>1.2327469999999998</v>
      </c>
      <c r="BB18" s="78">
        <f t="shared" si="16"/>
        <v>1.0303812499999998</v>
      </c>
      <c r="BC18" s="78">
        <f t="shared" si="37"/>
        <v>1.1377192499999997</v>
      </c>
      <c r="BD18" s="78">
        <f t="shared" si="17"/>
        <v>1.3372047499999997</v>
      </c>
      <c r="BE18" s="78">
        <f t="shared" si="18"/>
        <v>1.2327469999999998</v>
      </c>
      <c r="BF18" s="78">
        <f t="shared" si="19"/>
        <v>1.0303812499999998</v>
      </c>
      <c r="BG18" s="78">
        <f t="shared" si="38"/>
        <v>1.1545728</v>
      </c>
      <c r="BH18" s="78">
        <f t="shared" si="20"/>
        <v>0.9650399999999999</v>
      </c>
      <c r="BI18" s="78">
        <f t="shared" si="39"/>
        <v>1.0655711999999999</v>
      </c>
      <c r="BJ18" s="78">
        <f t="shared" si="21"/>
        <v>1.2524063999999999</v>
      </c>
      <c r="BK18" s="78">
        <f t="shared" si="22"/>
        <v>1.1545728</v>
      </c>
      <c r="BL18" s="78">
        <f t="shared" si="23"/>
        <v>0.9650399999999999</v>
      </c>
      <c r="BM18" s="78">
        <v>1.5397863000000001</v>
      </c>
      <c r="BN18" s="78">
        <v>1.5124297000000002</v>
      </c>
      <c r="BO18" s="78">
        <v>1.5440339000000001</v>
      </c>
      <c r="BP18" s="78">
        <v>1.5046516999999999</v>
      </c>
    </row>
    <row r="19" spans="1:68" ht="13" x14ac:dyDescent="0.25">
      <c r="A19" s="60">
        <v>1</v>
      </c>
      <c r="B19" s="55">
        <v>11</v>
      </c>
      <c r="C19" s="61">
        <v>1.2851796290740183</v>
      </c>
      <c r="D19" s="61">
        <v>1.3482549748445063</v>
      </c>
      <c r="E19" s="81">
        <v>1.3042321212730967</v>
      </c>
      <c r="F19" s="81">
        <v>1.3742254628013821</v>
      </c>
      <c r="G19" s="78">
        <v>0.97777780000000003</v>
      </c>
      <c r="H19" s="78">
        <v>1.1044776000000001</v>
      </c>
      <c r="I19" s="78">
        <v>1.6232884000000001</v>
      </c>
      <c r="J19" s="78">
        <v>1.6356165999999999</v>
      </c>
      <c r="K19" s="78">
        <v>1.6675017999999999</v>
      </c>
      <c r="L19" s="78">
        <v>1.6669267999999999</v>
      </c>
      <c r="M19" s="78">
        <v>1.4724595</v>
      </c>
      <c r="N19" s="78">
        <v>1.4719518</v>
      </c>
      <c r="O19" s="78">
        <v>1.6675017999999999</v>
      </c>
      <c r="P19" s="78">
        <v>1.6669267999999999</v>
      </c>
      <c r="Q19" s="78">
        <f t="shared" si="24"/>
        <v>1.7091893449999997</v>
      </c>
      <c r="R19" s="78">
        <f t="shared" si="0"/>
        <v>1.7085999699999999</v>
      </c>
      <c r="S19" s="78">
        <f t="shared" si="25"/>
        <v>1.5092709874999999</v>
      </c>
      <c r="T19" s="78">
        <f t="shared" si="1"/>
        <v>1.508750595</v>
      </c>
      <c r="U19" s="78">
        <f t="shared" si="2"/>
        <v>1.7091893449999997</v>
      </c>
      <c r="V19" s="78">
        <f t="shared" si="3"/>
        <v>1.7085999699999999</v>
      </c>
      <c r="W19" s="78">
        <f t="shared" si="26"/>
        <v>1.6008017279999998</v>
      </c>
      <c r="X19" s="78">
        <f t="shared" si="4"/>
        <v>1.6002497279999999</v>
      </c>
      <c r="Y19" s="78">
        <f t="shared" si="27"/>
        <v>1.41356112</v>
      </c>
      <c r="Z19" s="78">
        <f t="shared" si="5"/>
        <v>1.4130737280000001</v>
      </c>
      <c r="AA19" s="78">
        <f t="shared" si="6"/>
        <v>1.6008017279999998</v>
      </c>
      <c r="AB19" s="78">
        <f t="shared" si="7"/>
        <v>1.6002497279999999</v>
      </c>
      <c r="AC19" s="78">
        <v>1.04071</v>
      </c>
      <c r="AD19" s="78">
        <v>0.73797000000000001</v>
      </c>
      <c r="AE19" s="78">
        <v>0.65798000000000001</v>
      </c>
      <c r="AF19" s="78">
        <v>0.94803000000000004</v>
      </c>
      <c r="AG19" s="78">
        <f t="shared" si="28"/>
        <v>1.04071</v>
      </c>
      <c r="AH19" s="78">
        <f t="shared" si="29"/>
        <v>0.73797000000000001</v>
      </c>
      <c r="AI19" s="78">
        <f t="shared" si="30"/>
        <v>1.0667277499999999</v>
      </c>
      <c r="AJ19" s="78">
        <f t="shared" si="8"/>
        <v>0.75641924999999999</v>
      </c>
      <c r="AK19" s="78">
        <f t="shared" si="31"/>
        <v>0.6744294999999999</v>
      </c>
      <c r="AL19" s="78">
        <f t="shared" si="9"/>
        <v>0.97173074999999998</v>
      </c>
      <c r="AM19" s="78">
        <f t="shared" si="10"/>
        <v>1.0667277499999999</v>
      </c>
      <c r="AN19" s="78">
        <f t="shared" si="11"/>
        <v>0.75641924999999999</v>
      </c>
      <c r="AO19" s="78">
        <f t="shared" si="32"/>
        <v>0.99908160000000001</v>
      </c>
      <c r="AP19" s="78">
        <f t="shared" si="12"/>
        <v>0.70845119999999995</v>
      </c>
      <c r="AQ19" s="78">
        <f t="shared" si="33"/>
        <v>0.63166080000000002</v>
      </c>
      <c r="AR19" s="78">
        <f t="shared" si="13"/>
        <v>0.91010880000000005</v>
      </c>
      <c r="AS19" s="78">
        <f t="shared" si="14"/>
        <v>0.99908160000000001</v>
      </c>
      <c r="AT19" s="78">
        <f t="shared" si="15"/>
        <v>0.70845119999999995</v>
      </c>
      <c r="AU19" s="78">
        <v>1.2239199999999999</v>
      </c>
      <c r="AV19" s="78">
        <v>1.05047</v>
      </c>
      <c r="AW19" s="78">
        <v>1.12948</v>
      </c>
      <c r="AX19" s="78">
        <v>1.3604000000000001</v>
      </c>
      <c r="AY19" s="78">
        <f t="shared" si="34"/>
        <v>1.2239199999999999</v>
      </c>
      <c r="AZ19" s="78">
        <f t="shared" si="35"/>
        <v>1.05047</v>
      </c>
      <c r="BA19" s="78">
        <f t="shared" si="36"/>
        <v>1.2545179999999998</v>
      </c>
      <c r="BB19" s="78">
        <f t="shared" si="16"/>
        <v>1.07673175</v>
      </c>
      <c r="BC19" s="78">
        <f t="shared" si="37"/>
        <v>1.1577169999999999</v>
      </c>
      <c r="BD19" s="78">
        <f t="shared" si="17"/>
        <v>1.3944099999999999</v>
      </c>
      <c r="BE19" s="78">
        <f t="shared" si="18"/>
        <v>1.2545179999999998</v>
      </c>
      <c r="BF19" s="78">
        <f t="shared" si="19"/>
        <v>1.07673175</v>
      </c>
      <c r="BG19" s="78">
        <f t="shared" si="38"/>
        <v>1.1749631999999999</v>
      </c>
      <c r="BH19" s="78">
        <f t="shared" si="20"/>
        <v>1.0084511999999999</v>
      </c>
      <c r="BI19" s="78">
        <f t="shared" si="39"/>
        <v>1.0843008000000001</v>
      </c>
      <c r="BJ19" s="78">
        <f t="shared" si="21"/>
        <v>1.305984</v>
      </c>
      <c r="BK19" s="78">
        <f t="shared" si="22"/>
        <v>1.1749631999999999</v>
      </c>
      <c r="BL19" s="78">
        <f t="shared" si="23"/>
        <v>1.0084511999999999</v>
      </c>
      <c r="BM19" s="78">
        <v>1.5656615999999999</v>
      </c>
      <c r="BN19" s="78">
        <v>1.5775522000000002</v>
      </c>
      <c r="BO19" s="78">
        <v>1.56998065</v>
      </c>
      <c r="BP19" s="78">
        <v>1.5694393</v>
      </c>
    </row>
    <row r="20" spans="1:68" ht="13" x14ac:dyDescent="0.25">
      <c r="A20" s="60">
        <v>1</v>
      </c>
      <c r="B20" s="55">
        <v>12</v>
      </c>
      <c r="C20" s="61">
        <v>1.2477560441838871</v>
      </c>
      <c r="D20" s="61">
        <v>1.342218444123306</v>
      </c>
      <c r="E20" s="81">
        <v>1.2657644628077707</v>
      </c>
      <c r="F20" s="81">
        <v>1.3682221041240314</v>
      </c>
      <c r="G20" s="78">
        <v>1.0328358</v>
      </c>
      <c r="H20" s="78">
        <v>1.0844444</v>
      </c>
      <c r="I20" s="78">
        <v>1.4908783999999999</v>
      </c>
      <c r="J20" s="78">
        <v>1.6437945999999999</v>
      </c>
      <c r="K20" s="78">
        <v>1.5314854</v>
      </c>
      <c r="L20" s="78">
        <v>1.6752613999999999</v>
      </c>
      <c r="M20" s="78">
        <v>1.3523525000000001</v>
      </c>
      <c r="N20" s="78">
        <v>1.4793115000000001</v>
      </c>
      <c r="O20" s="78">
        <v>1.5314854</v>
      </c>
      <c r="P20" s="78">
        <v>1.6752613999999999</v>
      </c>
      <c r="Q20" s="78">
        <f t="shared" si="24"/>
        <v>1.5697725349999998</v>
      </c>
      <c r="R20" s="78">
        <f t="shared" si="0"/>
        <v>1.7171429349999998</v>
      </c>
      <c r="S20" s="78">
        <f t="shared" si="25"/>
        <v>1.3861613124999999</v>
      </c>
      <c r="T20" s="78">
        <f t="shared" si="1"/>
        <v>1.5162942875000001</v>
      </c>
      <c r="U20" s="78">
        <f t="shared" si="2"/>
        <v>1.5697725349999998</v>
      </c>
      <c r="V20" s="78">
        <f t="shared" si="3"/>
        <v>1.7171429349999998</v>
      </c>
      <c r="W20" s="78">
        <f t="shared" si="26"/>
        <v>1.470225984</v>
      </c>
      <c r="X20" s="78">
        <f t="shared" si="4"/>
        <v>1.6082509439999999</v>
      </c>
      <c r="Y20" s="78">
        <f t="shared" si="27"/>
        <v>1.2982583999999999</v>
      </c>
      <c r="Z20" s="78">
        <f t="shared" si="5"/>
        <v>1.42013904</v>
      </c>
      <c r="AA20" s="78">
        <f t="shared" si="6"/>
        <v>1.470225984</v>
      </c>
      <c r="AB20" s="78">
        <f t="shared" si="7"/>
        <v>1.6082509439999999</v>
      </c>
      <c r="AC20" s="78">
        <v>0.98038999999999998</v>
      </c>
      <c r="AD20" s="78">
        <v>0.76995000000000002</v>
      </c>
      <c r="AE20" s="78">
        <v>0.63599000000000006</v>
      </c>
      <c r="AF20" s="78">
        <v>0.96882000000000001</v>
      </c>
      <c r="AG20" s="78">
        <f t="shared" si="28"/>
        <v>0.98038999999999998</v>
      </c>
      <c r="AH20" s="78">
        <f t="shared" si="29"/>
        <v>0.76995000000000002</v>
      </c>
      <c r="AI20" s="78">
        <f t="shared" si="30"/>
        <v>1.0048997499999999</v>
      </c>
      <c r="AJ20" s="78">
        <f t="shared" si="8"/>
        <v>0.78919874999999995</v>
      </c>
      <c r="AK20" s="78">
        <f t="shared" si="31"/>
        <v>0.65188975000000005</v>
      </c>
      <c r="AL20" s="78">
        <f t="shared" si="9"/>
        <v>0.99304049999999988</v>
      </c>
      <c r="AM20" s="78">
        <f t="shared" si="10"/>
        <v>1.0048997499999999</v>
      </c>
      <c r="AN20" s="78">
        <f t="shared" si="11"/>
        <v>0.78919874999999995</v>
      </c>
      <c r="AO20" s="78">
        <f t="shared" si="32"/>
        <v>0.94117439999999997</v>
      </c>
      <c r="AP20" s="78">
        <f t="shared" si="12"/>
        <v>0.73915200000000003</v>
      </c>
      <c r="AQ20" s="78">
        <f t="shared" si="33"/>
        <v>0.61055040000000005</v>
      </c>
      <c r="AR20" s="78">
        <f t="shared" si="13"/>
        <v>0.93006719999999998</v>
      </c>
      <c r="AS20" s="78">
        <f t="shared" si="14"/>
        <v>0.94117439999999997</v>
      </c>
      <c r="AT20" s="78">
        <f t="shared" si="15"/>
        <v>0.73915200000000003</v>
      </c>
      <c r="AU20" s="78">
        <v>1.14147</v>
      </c>
      <c r="AV20" s="78">
        <v>1.0745</v>
      </c>
      <c r="AW20" s="78">
        <v>1.0505599999999999</v>
      </c>
      <c r="AX20" s="78">
        <v>1.3707</v>
      </c>
      <c r="AY20" s="78">
        <f t="shared" si="34"/>
        <v>1.14147</v>
      </c>
      <c r="AZ20" s="78">
        <f t="shared" si="35"/>
        <v>1.0745</v>
      </c>
      <c r="BA20" s="78">
        <f t="shared" si="36"/>
        <v>1.17000675</v>
      </c>
      <c r="BB20" s="78">
        <f t="shared" si="16"/>
        <v>1.1013625</v>
      </c>
      <c r="BC20" s="78">
        <f t="shared" si="37"/>
        <v>1.0768239999999998</v>
      </c>
      <c r="BD20" s="78">
        <f t="shared" si="17"/>
        <v>1.4049674999999999</v>
      </c>
      <c r="BE20" s="78">
        <f t="shared" si="18"/>
        <v>1.17000675</v>
      </c>
      <c r="BF20" s="78">
        <f t="shared" si="19"/>
        <v>1.1013625</v>
      </c>
      <c r="BG20" s="78">
        <f t="shared" si="38"/>
        <v>1.0958112</v>
      </c>
      <c r="BH20" s="78">
        <f t="shared" si="20"/>
        <v>1.03152</v>
      </c>
      <c r="BI20" s="78">
        <f t="shared" si="39"/>
        <v>1.0085375999999999</v>
      </c>
      <c r="BJ20" s="78">
        <f t="shared" si="21"/>
        <v>1.3158719999999999</v>
      </c>
      <c r="BK20" s="78">
        <f t="shared" si="22"/>
        <v>1.0958112</v>
      </c>
      <c r="BL20" s="78">
        <f t="shared" si="23"/>
        <v>1.03152</v>
      </c>
      <c r="BM20" s="78">
        <v>1.4379522</v>
      </c>
      <c r="BN20" s="78">
        <v>1.5854399000000001</v>
      </c>
      <c r="BO20" s="78">
        <v>1.44191895</v>
      </c>
      <c r="BP20" s="78">
        <v>1.5772864499999999</v>
      </c>
    </row>
    <row r="21" spans="1:68" ht="13" x14ac:dyDescent="0.25">
      <c r="A21" s="60">
        <v>1</v>
      </c>
      <c r="B21" s="55">
        <v>13</v>
      </c>
      <c r="C21" s="61">
        <v>1.1650882067498962</v>
      </c>
      <c r="D21" s="61">
        <v>1.3120247175361359</v>
      </c>
      <c r="E21" s="81">
        <v>1.1816397658930544</v>
      </c>
      <c r="F21" s="81">
        <v>1.3372189914899684</v>
      </c>
      <c r="G21" s="78">
        <v>1.0094339999999999</v>
      </c>
      <c r="H21" s="78">
        <v>1.0827068</v>
      </c>
      <c r="I21" s="78">
        <v>1.3462080000000001</v>
      </c>
      <c r="J21" s="78">
        <v>1.5835391999999999</v>
      </c>
      <c r="K21" s="78">
        <v>1.3828745</v>
      </c>
      <c r="L21" s="78">
        <v>1.6138525000000001</v>
      </c>
      <c r="M21" s="78">
        <v>1.2211242</v>
      </c>
      <c r="N21" s="78">
        <v>1.4250854000000002</v>
      </c>
      <c r="O21" s="78">
        <v>1.3828745</v>
      </c>
      <c r="P21" s="78">
        <v>1.6138525000000001</v>
      </c>
      <c r="Q21" s="78">
        <f t="shared" si="24"/>
        <v>1.4174463624999998</v>
      </c>
      <c r="R21" s="78">
        <f t="shared" si="0"/>
        <v>1.6541988125</v>
      </c>
      <c r="S21" s="78">
        <f t="shared" si="25"/>
        <v>1.2516523049999999</v>
      </c>
      <c r="T21" s="78">
        <f t="shared" si="1"/>
        <v>1.4607125350000001</v>
      </c>
      <c r="U21" s="78">
        <f t="shared" si="2"/>
        <v>1.4174463624999998</v>
      </c>
      <c r="V21" s="78">
        <f t="shared" si="3"/>
        <v>1.6541988125</v>
      </c>
      <c r="W21" s="78">
        <f t="shared" si="26"/>
        <v>1.3275595199999999</v>
      </c>
      <c r="X21" s="78">
        <f t="shared" si="4"/>
        <v>1.5492984000000001</v>
      </c>
      <c r="Y21" s="78">
        <f t="shared" si="27"/>
        <v>1.1722792319999999</v>
      </c>
      <c r="Z21" s="78">
        <f t="shared" si="5"/>
        <v>1.368081984</v>
      </c>
      <c r="AA21" s="78">
        <f t="shared" si="6"/>
        <v>1.3275595199999999</v>
      </c>
      <c r="AB21" s="78">
        <f t="shared" si="7"/>
        <v>1.5492984000000001</v>
      </c>
      <c r="AC21" s="78">
        <v>0.91117000000000004</v>
      </c>
      <c r="AD21" s="78">
        <v>0.78427000000000002</v>
      </c>
      <c r="AE21" s="78">
        <v>0.60816999999999999</v>
      </c>
      <c r="AF21" s="78">
        <v>0.95721000000000001</v>
      </c>
      <c r="AG21" s="78">
        <f t="shared" si="28"/>
        <v>0.91117000000000004</v>
      </c>
      <c r="AH21" s="78">
        <f t="shared" si="29"/>
        <v>0.78427000000000002</v>
      </c>
      <c r="AI21" s="78">
        <f t="shared" si="30"/>
        <v>0.93394924999999995</v>
      </c>
      <c r="AJ21" s="78">
        <f t="shared" si="8"/>
        <v>0.80387674999999992</v>
      </c>
      <c r="AK21" s="78">
        <f t="shared" si="31"/>
        <v>0.62337424999999991</v>
      </c>
      <c r="AL21" s="78">
        <f t="shared" si="9"/>
        <v>0.98114024999999994</v>
      </c>
      <c r="AM21" s="78">
        <f t="shared" si="10"/>
        <v>0.93394924999999995</v>
      </c>
      <c r="AN21" s="78">
        <f t="shared" si="11"/>
        <v>0.80387674999999992</v>
      </c>
      <c r="AO21" s="78">
        <f t="shared" si="32"/>
        <v>0.87472320000000003</v>
      </c>
      <c r="AP21" s="78">
        <f t="shared" si="12"/>
        <v>0.75289919999999999</v>
      </c>
      <c r="AQ21" s="78">
        <f t="shared" si="33"/>
        <v>0.58384320000000001</v>
      </c>
      <c r="AR21" s="78">
        <f t="shared" si="13"/>
        <v>0.91892160000000001</v>
      </c>
      <c r="AS21" s="78">
        <f t="shared" si="14"/>
        <v>0.87472320000000003</v>
      </c>
      <c r="AT21" s="78">
        <f t="shared" si="15"/>
        <v>0.75289919999999999</v>
      </c>
      <c r="AU21" s="78">
        <v>1.04905</v>
      </c>
      <c r="AV21" s="78">
        <v>1.06334</v>
      </c>
      <c r="AW21" s="78">
        <v>0.96301000000000003</v>
      </c>
      <c r="AX21" s="78">
        <v>1.3254699999999999</v>
      </c>
      <c r="AY21" s="78">
        <f t="shared" si="34"/>
        <v>1.04905</v>
      </c>
      <c r="AZ21" s="78">
        <f t="shared" si="35"/>
        <v>1.06334</v>
      </c>
      <c r="BA21" s="78">
        <f t="shared" si="36"/>
        <v>1.0752762499999999</v>
      </c>
      <c r="BB21" s="78">
        <f t="shared" si="16"/>
        <v>1.0899234999999998</v>
      </c>
      <c r="BC21" s="78">
        <f t="shared" si="37"/>
        <v>0.98708524999999991</v>
      </c>
      <c r="BD21" s="78">
        <f t="shared" si="17"/>
        <v>1.3586067499999999</v>
      </c>
      <c r="BE21" s="78">
        <f t="shared" si="18"/>
        <v>1.0752762499999999</v>
      </c>
      <c r="BF21" s="78">
        <f t="shared" si="19"/>
        <v>1.0899234999999998</v>
      </c>
      <c r="BG21" s="78">
        <f t="shared" si="38"/>
        <v>1.007088</v>
      </c>
      <c r="BH21" s="78">
        <f t="shared" si="20"/>
        <v>1.0208063999999999</v>
      </c>
      <c r="BI21" s="78">
        <f t="shared" si="39"/>
        <v>0.92448960000000002</v>
      </c>
      <c r="BJ21" s="78">
        <f t="shared" si="21"/>
        <v>1.2724511999999999</v>
      </c>
      <c r="BK21" s="78">
        <f t="shared" si="22"/>
        <v>1.007088</v>
      </c>
      <c r="BL21" s="78">
        <f t="shared" si="23"/>
        <v>1.0208063999999999</v>
      </c>
      <c r="BM21" s="78">
        <v>1.2984175999999998</v>
      </c>
      <c r="BN21" s="78">
        <v>1.5273235999999999</v>
      </c>
      <c r="BO21" s="78">
        <v>1.30199935</v>
      </c>
      <c r="BP21" s="78">
        <v>1.5194689500000003</v>
      </c>
    </row>
    <row r="22" spans="1:68" ht="13" x14ac:dyDescent="0.25">
      <c r="A22" s="60">
        <v>1</v>
      </c>
      <c r="B22" s="55">
        <v>14</v>
      </c>
      <c r="C22" s="61">
        <v>1.1293378369689817</v>
      </c>
      <c r="D22" s="61">
        <v>1.2718715621218333</v>
      </c>
      <c r="E22" s="81">
        <v>1.1451196505270052</v>
      </c>
      <c r="F22" s="81">
        <v>1.2957333853688597</v>
      </c>
      <c r="G22" s="78">
        <v>1.023166</v>
      </c>
      <c r="H22" s="78">
        <v>1.10625</v>
      </c>
      <c r="I22" s="78">
        <v>1.2593318</v>
      </c>
      <c r="J22" s="78">
        <v>1.4768466</v>
      </c>
      <c r="K22" s="78">
        <v>1.2936321000000002</v>
      </c>
      <c r="L22" s="78">
        <v>1.5051175000000001</v>
      </c>
      <c r="M22" s="78">
        <v>1.1423202000000001</v>
      </c>
      <c r="N22" s="78">
        <v>1.3290687999999999</v>
      </c>
      <c r="O22" s="78">
        <v>1.2936321000000002</v>
      </c>
      <c r="P22" s="78">
        <v>1.5051175000000001</v>
      </c>
      <c r="Q22" s="78">
        <f t="shared" si="24"/>
        <v>1.3259729025</v>
      </c>
      <c r="R22" s="78">
        <f t="shared" si="0"/>
        <v>1.5427454375</v>
      </c>
      <c r="S22" s="78">
        <f t="shared" si="25"/>
        <v>1.1708782049999999</v>
      </c>
      <c r="T22" s="78">
        <f t="shared" si="1"/>
        <v>1.3622955199999998</v>
      </c>
      <c r="U22" s="78">
        <f t="shared" si="2"/>
        <v>1.3259729025</v>
      </c>
      <c r="V22" s="78">
        <f t="shared" si="3"/>
        <v>1.5427454375</v>
      </c>
      <c r="W22" s="78">
        <f t="shared" si="26"/>
        <v>1.2418868160000001</v>
      </c>
      <c r="X22" s="78">
        <f t="shared" si="4"/>
        <v>1.4449128</v>
      </c>
      <c r="Y22" s="78">
        <f t="shared" si="27"/>
        <v>1.096627392</v>
      </c>
      <c r="Z22" s="78">
        <f t="shared" si="5"/>
        <v>1.275906048</v>
      </c>
      <c r="AA22" s="78">
        <f t="shared" si="6"/>
        <v>1.2418868160000001</v>
      </c>
      <c r="AB22" s="78">
        <f t="shared" si="7"/>
        <v>1.4449128</v>
      </c>
      <c r="AC22" s="78">
        <v>0.87783</v>
      </c>
      <c r="AD22" s="78">
        <v>0.76248000000000005</v>
      </c>
      <c r="AE22" s="78">
        <v>0.60206000000000004</v>
      </c>
      <c r="AF22" s="78">
        <v>0.91078000000000003</v>
      </c>
      <c r="AG22" s="78">
        <f t="shared" si="28"/>
        <v>0.87783</v>
      </c>
      <c r="AH22" s="78">
        <f t="shared" si="29"/>
        <v>0.76248000000000005</v>
      </c>
      <c r="AI22" s="78">
        <f t="shared" si="30"/>
        <v>0.89977574999999987</v>
      </c>
      <c r="AJ22" s="78">
        <f t="shared" si="8"/>
        <v>0.78154199999999996</v>
      </c>
      <c r="AK22" s="78">
        <f t="shared" si="31"/>
        <v>0.61711150000000004</v>
      </c>
      <c r="AL22" s="78">
        <f t="shared" si="9"/>
        <v>0.93354949999999992</v>
      </c>
      <c r="AM22" s="78">
        <f t="shared" si="10"/>
        <v>0.89977574999999987</v>
      </c>
      <c r="AN22" s="78">
        <f t="shared" si="11"/>
        <v>0.78154199999999996</v>
      </c>
      <c r="AO22" s="78">
        <f t="shared" si="32"/>
        <v>0.84271679999999993</v>
      </c>
      <c r="AP22" s="78">
        <f t="shared" si="12"/>
        <v>0.73198079999999999</v>
      </c>
      <c r="AQ22" s="78">
        <f t="shared" si="33"/>
        <v>0.57797759999999998</v>
      </c>
      <c r="AR22" s="78">
        <f t="shared" si="13"/>
        <v>0.87434880000000004</v>
      </c>
      <c r="AS22" s="78">
        <f t="shared" si="14"/>
        <v>0.84271679999999993</v>
      </c>
      <c r="AT22" s="78">
        <f t="shared" si="15"/>
        <v>0.73198079999999999</v>
      </c>
      <c r="AU22" s="78">
        <v>0.99936999999999998</v>
      </c>
      <c r="AV22" s="78">
        <v>1.0123</v>
      </c>
      <c r="AW22" s="78">
        <v>0.91485000000000005</v>
      </c>
      <c r="AX22" s="78">
        <v>1.24044</v>
      </c>
      <c r="AY22" s="78">
        <f t="shared" si="34"/>
        <v>0.99936999999999998</v>
      </c>
      <c r="AZ22" s="78">
        <f t="shared" si="35"/>
        <v>1.0123</v>
      </c>
      <c r="BA22" s="78">
        <f t="shared" si="36"/>
        <v>1.0243542499999998</v>
      </c>
      <c r="BB22" s="78">
        <f t="shared" si="16"/>
        <v>1.0376074999999998</v>
      </c>
      <c r="BC22" s="78">
        <f t="shared" si="37"/>
        <v>0.93772124999999995</v>
      </c>
      <c r="BD22" s="78">
        <f t="shared" si="17"/>
        <v>1.2714509999999999</v>
      </c>
      <c r="BE22" s="78">
        <f t="shared" si="18"/>
        <v>1.0243542499999998</v>
      </c>
      <c r="BF22" s="78">
        <f t="shared" si="19"/>
        <v>1.0376074999999998</v>
      </c>
      <c r="BG22" s="78">
        <f t="shared" si="38"/>
        <v>0.95939519999999989</v>
      </c>
      <c r="BH22" s="78">
        <f t="shared" si="20"/>
        <v>0.97180799999999989</v>
      </c>
      <c r="BI22" s="78">
        <f t="shared" si="39"/>
        <v>0.87825600000000004</v>
      </c>
      <c r="BJ22" s="78">
        <f t="shared" si="21"/>
        <v>1.1908223999999998</v>
      </c>
      <c r="BK22" s="78">
        <f t="shared" si="22"/>
        <v>0.95939519999999989</v>
      </c>
      <c r="BL22" s="78">
        <f t="shared" si="23"/>
        <v>0.97180799999999989</v>
      </c>
      <c r="BM22" s="78">
        <v>1.2146254999999999</v>
      </c>
      <c r="BN22" s="78">
        <v>1.4244185999999999</v>
      </c>
      <c r="BO22" s="78">
        <v>1.2179761500000001</v>
      </c>
      <c r="BP22" s="78">
        <v>1.4170931499999999</v>
      </c>
    </row>
    <row r="23" spans="1:68" ht="13" x14ac:dyDescent="0.25">
      <c r="A23" s="60">
        <v>1</v>
      </c>
      <c r="B23" s="55">
        <v>15</v>
      </c>
      <c r="C23" s="61">
        <v>1.1054295704734387</v>
      </c>
      <c r="D23" s="61">
        <v>1.2466439672492604</v>
      </c>
      <c r="E23" s="81">
        <v>1.1208378490265229</v>
      </c>
      <c r="F23" s="81">
        <v>1.2696194684355622</v>
      </c>
      <c r="G23" s="78">
        <v>1.0082371999999999</v>
      </c>
      <c r="H23" s="78">
        <v>1.1260053999999999</v>
      </c>
      <c r="I23" s="78">
        <v>1.2258099</v>
      </c>
      <c r="J23" s="78">
        <v>1.4047139999999998</v>
      </c>
      <c r="K23" s="78">
        <v>1.2591972</v>
      </c>
      <c r="L23" s="78">
        <v>1.4316040000000001</v>
      </c>
      <c r="M23" s="78">
        <v>1.1119129999999999</v>
      </c>
      <c r="N23" s="78">
        <v>1.264154</v>
      </c>
      <c r="O23" s="78">
        <v>1.2591972</v>
      </c>
      <c r="P23" s="78">
        <v>1.4316040000000001</v>
      </c>
      <c r="Q23" s="78">
        <f t="shared" si="24"/>
        <v>1.29067713</v>
      </c>
      <c r="R23" s="78">
        <f t="shared" si="0"/>
        <v>1.4673940999999999</v>
      </c>
      <c r="S23" s="78">
        <f t="shared" si="25"/>
        <v>1.1397108249999999</v>
      </c>
      <c r="T23" s="78">
        <f t="shared" si="1"/>
        <v>1.29575785</v>
      </c>
      <c r="U23" s="78">
        <f t="shared" si="2"/>
        <v>1.29067713</v>
      </c>
      <c r="V23" s="78">
        <f t="shared" si="3"/>
        <v>1.4673940999999999</v>
      </c>
      <c r="W23" s="78">
        <f t="shared" si="26"/>
        <v>1.208829312</v>
      </c>
      <c r="X23" s="78">
        <f t="shared" si="4"/>
        <v>1.37433984</v>
      </c>
      <c r="Y23" s="78">
        <f t="shared" si="27"/>
        <v>1.0674364799999998</v>
      </c>
      <c r="Z23" s="78">
        <f t="shared" si="5"/>
        <v>1.21358784</v>
      </c>
      <c r="AA23" s="78">
        <f t="shared" si="6"/>
        <v>1.208829312</v>
      </c>
      <c r="AB23" s="78">
        <f t="shared" si="7"/>
        <v>1.37433984</v>
      </c>
      <c r="AC23" s="78">
        <v>0.87900999999999996</v>
      </c>
      <c r="AD23" s="78">
        <v>0.74897999999999998</v>
      </c>
      <c r="AE23" s="78">
        <v>0.61790999999999996</v>
      </c>
      <c r="AF23" s="78">
        <v>0.87958000000000003</v>
      </c>
      <c r="AG23" s="78">
        <f t="shared" si="28"/>
        <v>0.87900999999999996</v>
      </c>
      <c r="AH23" s="78">
        <f t="shared" si="29"/>
        <v>0.74897999999999998</v>
      </c>
      <c r="AI23" s="78">
        <f t="shared" si="30"/>
        <v>0.90098524999999985</v>
      </c>
      <c r="AJ23" s="78">
        <f t="shared" si="8"/>
        <v>0.7677044999999999</v>
      </c>
      <c r="AK23" s="78">
        <f t="shared" si="31"/>
        <v>0.63335774999999994</v>
      </c>
      <c r="AL23" s="78">
        <f t="shared" si="9"/>
        <v>0.90156949999999991</v>
      </c>
      <c r="AM23" s="78">
        <f t="shared" si="10"/>
        <v>0.90098524999999985</v>
      </c>
      <c r="AN23" s="78">
        <f t="shared" si="11"/>
        <v>0.7677044999999999</v>
      </c>
      <c r="AO23" s="78">
        <f t="shared" si="32"/>
        <v>0.84384959999999998</v>
      </c>
      <c r="AP23" s="78">
        <f t="shared" si="12"/>
        <v>0.7190207999999999</v>
      </c>
      <c r="AQ23" s="78">
        <f t="shared" si="33"/>
        <v>0.59319359999999999</v>
      </c>
      <c r="AR23" s="78">
        <f t="shared" si="13"/>
        <v>0.84439679999999995</v>
      </c>
      <c r="AS23" s="78">
        <f t="shared" si="14"/>
        <v>0.84384959999999998</v>
      </c>
      <c r="AT23" s="78">
        <f t="shared" si="15"/>
        <v>0.7190207999999999</v>
      </c>
      <c r="AU23" s="78">
        <v>0.99014000000000002</v>
      </c>
      <c r="AV23" s="78">
        <v>0.97860999999999998</v>
      </c>
      <c r="AW23" s="78">
        <v>0.90390999999999999</v>
      </c>
      <c r="AX23" s="78">
        <v>1.1826000000000001</v>
      </c>
      <c r="AY23" s="78">
        <f t="shared" si="34"/>
        <v>0.99014000000000002</v>
      </c>
      <c r="AZ23" s="78">
        <f t="shared" si="35"/>
        <v>0.97860999999999998</v>
      </c>
      <c r="BA23" s="78">
        <f t="shared" si="36"/>
        <v>1.0148934999999999</v>
      </c>
      <c r="BB23" s="78">
        <f t="shared" si="16"/>
        <v>1.00307525</v>
      </c>
      <c r="BC23" s="78">
        <f t="shared" si="37"/>
        <v>0.92650774999999996</v>
      </c>
      <c r="BD23" s="78">
        <f t="shared" si="17"/>
        <v>1.2121649999999999</v>
      </c>
      <c r="BE23" s="78">
        <f t="shared" si="18"/>
        <v>1.0148934999999999</v>
      </c>
      <c r="BF23" s="78">
        <f t="shared" si="19"/>
        <v>1.00307525</v>
      </c>
      <c r="BG23" s="78">
        <f t="shared" si="38"/>
        <v>0.9505344</v>
      </c>
      <c r="BH23" s="78">
        <f t="shared" si="20"/>
        <v>0.9394655999999999</v>
      </c>
      <c r="BI23" s="78">
        <f t="shared" si="39"/>
        <v>0.86775360000000001</v>
      </c>
      <c r="BJ23" s="78">
        <f t="shared" si="21"/>
        <v>1.1352960000000001</v>
      </c>
      <c r="BK23" s="78">
        <f t="shared" si="22"/>
        <v>0.9505344</v>
      </c>
      <c r="BL23" s="78">
        <f t="shared" si="23"/>
        <v>0.9394655999999999</v>
      </c>
      <c r="BM23" s="78">
        <v>1.1822937</v>
      </c>
      <c r="BN23" s="78">
        <v>1.3548465999999999</v>
      </c>
      <c r="BO23" s="78">
        <v>1.1855551</v>
      </c>
      <c r="BP23" s="78">
        <v>1.347879</v>
      </c>
    </row>
    <row r="24" spans="1:68" ht="13" x14ac:dyDescent="0.25">
      <c r="A24" s="60">
        <v>1</v>
      </c>
      <c r="B24" s="55">
        <v>16</v>
      </c>
      <c r="C24" s="61">
        <v>1.0899812401008908</v>
      </c>
      <c r="D24" s="61">
        <v>1.2100222551524169</v>
      </c>
      <c r="E24" s="81">
        <v>1.1051144014048577</v>
      </c>
      <c r="F24" s="81">
        <v>1.2321794853628842</v>
      </c>
      <c r="G24" s="78">
        <v>1.0043541</v>
      </c>
      <c r="H24" s="78">
        <v>1.1073986</v>
      </c>
      <c r="I24" s="78">
        <v>1.1982755</v>
      </c>
      <c r="J24" s="78">
        <v>1.3485815999999999</v>
      </c>
      <c r="K24" s="78">
        <v>1.2309128</v>
      </c>
      <c r="L24" s="78">
        <v>1.3743970999999999</v>
      </c>
      <c r="M24" s="78">
        <v>1.086937</v>
      </c>
      <c r="N24" s="78">
        <v>1.2136384</v>
      </c>
      <c r="O24" s="78">
        <v>1.2309128</v>
      </c>
      <c r="P24" s="78">
        <v>1.3743970999999999</v>
      </c>
      <c r="Q24" s="78">
        <f t="shared" si="24"/>
        <v>1.26168562</v>
      </c>
      <c r="R24" s="78">
        <f t="shared" si="0"/>
        <v>1.4087570274999999</v>
      </c>
      <c r="S24" s="78">
        <f t="shared" si="25"/>
        <v>1.114110425</v>
      </c>
      <c r="T24" s="78">
        <f t="shared" si="1"/>
        <v>1.24397936</v>
      </c>
      <c r="U24" s="78">
        <f t="shared" si="2"/>
        <v>1.26168562</v>
      </c>
      <c r="V24" s="78">
        <f t="shared" si="3"/>
        <v>1.4087570274999999</v>
      </c>
      <c r="W24" s="78">
        <f t="shared" si="26"/>
        <v>1.181676288</v>
      </c>
      <c r="X24" s="78">
        <f t="shared" si="4"/>
        <v>1.3194212159999998</v>
      </c>
      <c r="Y24" s="78">
        <f t="shared" si="27"/>
        <v>1.0434595200000001</v>
      </c>
      <c r="Z24" s="78">
        <f t="shared" si="5"/>
        <v>1.165092864</v>
      </c>
      <c r="AA24" s="78">
        <f t="shared" si="6"/>
        <v>1.181676288</v>
      </c>
      <c r="AB24" s="78">
        <f t="shared" si="7"/>
        <v>1.3194212159999998</v>
      </c>
      <c r="AC24" s="78">
        <v>0.87363999999999997</v>
      </c>
      <c r="AD24" s="78">
        <v>0.72619999999999996</v>
      </c>
      <c r="AE24" s="78">
        <v>0.62246000000000001</v>
      </c>
      <c r="AF24" s="78">
        <v>0.84848000000000001</v>
      </c>
      <c r="AG24" s="78">
        <f t="shared" si="28"/>
        <v>0.87363999999999997</v>
      </c>
      <c r="AH24" s="78">
        <f t="shared" si="29"/>
        <v>0.72619999999999996</v>
      </c>
      <c r="AI24" s="78">
        <f t="shared" si="30"/>
        <v>0.89548099999999986</v>
      </c>
      <c r="AJ24" s="78">
        <f t="shared" si="8"/>
        <v>0.74435499999999988</v>
      </c>
      <c r="AK24" s="78">
        <f t="shared" si="31"/>
        <v>0.63802149999999991</v>
      </c>
      <c r="AL24" s="78">
        <f t="shared" si="9"/>
        <v>0.86969199999999991</v>
      </c>
      <c r="AM24" s="78">
        <f t="shared" si="10"/>
        <v>0.89548099999999986</v>
      </c>
      <c r="AN24" s="78">
        <f t="shared" si="11"/>
        <v>0.74435499999999988</v>
      </c>
      <c r="AO24" s="78">
        <f t="shared" si="32"/>
        <v>0.83869439999999995</v>
      </c>
      <c r="AP24" s="78">
        <f t="shared" si="12"/>
        <v>0.69715199999999988</v>
      </c>
      <c r="AQ24" s="78">
        <f t="shared" si="33"/>
        <v>0.59756160000000003</v>
      </c>
      <c r="AR24" s="78">
        <f t="shared" si="13"/>
        <v>0.81454079999999995</v>
      </c>
      <c r="AS24" s="78">
        <f t="shared" si="14"/>
        <v>0.83869439999999995</v>
      </c>
      <c r="AT24" s="78">
        <f t="shared" si="15"/>
        <v>0.69715199999999988</v>
      </c>
      <c r="AU24" s="78">
        <v>0.97806999999999999</v>
      </c>
      <c r="AV24" s="78">
        <v>0.94425000000000003</v>
      </c>
      <c r="AW24" s="78">
        <v>0.89122000000000001</v>
      </c>
      <c r="AX24" s="78">
        <v>1.13622</v>
      </c>
      <c r="AY24" s="78">
        <f t="shared" si="34"/>
        <v>0.97806999999999999</v>
      </c>
      <c r="AZ24" s="78">
        <f t="shared" si="35"/>
        <v>0.94425000000000003</v>
      </c>
      <c r="BA24" s="78">
        <f t="shared" si="36"/>
        <v>1.0025217499999999</v>
      </c>
      <c r="BB24" s="78">
        <f t="shared" si="16"/>
        <v>0.96785624999999997</v>
      </c>
      <c r="BC24" s="78">
        <f t="shared" si="37"/>
        <v>0.91350049999999994</v>
      </c>
      <c r="BD24" s="78">
        <f t="shared" si="17"/>
        <v>1.1646254999999999</v>
      </c>
      <c r="BE24" s="78">
        <f t="shared" si="18"/>
        <v>1.0025217499999999</v>
      </c>
      <c r="BF24" s="78">
        <f t="shared" si="19"/>
        <v>0.96785624999999997</v>
      </c>
      <c r="BG24" s="78">
        <f t="shared" si="38"/>
        <v>0.93894719999999998</v>
      </c>
      <c r="BH24" s="78">
        <f t="shared" si="20"/>
        <v>0.90647999999999995</v>
      </c>
      <c r="BI24" s="78">
        <f t="shared" si="39"/>
        <v>0.85557119999999998</v>
      </c>
      <c r="BJ24" s="78">
        <f t="shared" si="21"/>
        <v>1.0907712000000001</v>
      </c>
      <c r="BK24" s="78">
        <f t="shared" si="22"/>
        <v>0.93894719999999998</v>
      </c>
      <c r="BL24" s="78">
        <f t="shared" si="23"/>
        <v>0.90647999999999995</v>
      </c>
      <c r="BM24" s="78">
        <v>1.1557367000000001</v>
      </c>
      <c r="BN24" s="78">
        <v>1.3007069000000002</v>
      </c>
      <c r="BO24" s="78">
        <v>1.1589249000000001</v>
      </c>
      <c r="BP24" s="78">
        <v>1.2940177500000001</v>
      </c>
    </row>
    <row r="25" spans="1:68" ht="13" x14ac:dyDescent="0.25">
      <c r="A25" s="60">
        <v>1</v>
      </c>
      <c r="B25" s="55">
        <v>17</v>
      </c>
      <c r="C25" s="61">
        <v>1.0707705105621328</v>
      </c>
      <c r="D25" s="61">
        <v>1.187223127537415</v>
      </c>
      <c r="E25" s="81">
        <v>1.0854743240685354</v>
      </c>
      <c r="F25" s="81">
        <v>1.2086418515137851</v>
      </c>
      <c r="G25" s="78">
        <v>1.0144168</v>
      </c>
      <c r="H25" s="78">
        <v>1.1189427000000001</v>
      </c>
      <c r="I25" s="78">
        <v>1.1488566</v>
      </c>
      <c r="J25" s="78">
        <v>1.2898748</v>
      </c>
      <c r="K25" s="78">
        <v>1.1801479000000001</v>
      </c>
      <c r="L25" s="78">
        <v>1.3145665</v>
      </c>
      <c r="M25" s="78">
        <v>1.0421098</v>
      </c>
      <c r="N25" s="78">
        <v>1.160806</v>
      </c>
      <c r="O25" s="78">
        <v>1.1801479000000001</v>
      </c>
      <c r="P25" s="78">
        <v>1.3145665</v>
      </c>
      <c r="Q25" s="78">
        <f t="shared" si="24"/>
        <v>1.2096515975</v>
      </c>
      <c r="R25" s="78">
        <f t="shared" si="0"/>
        <v>1.3474306624999999</v>
      </c>
      <c r="S25" s="78">
        <f t="shared" si="25"/>
        <v>1.0681625449999999</v>
      </c>
      <c r="T25" s="78">
        <f t="shared" si="1"/>
        <v>1.1898261499999998</v>
      </c>
      <c r="U25" s="78">
        <f t="shared" si="2"/>
        <v>1.2096515975</v>
      </c>
      <c r="V25" s="78">
        <f t="shared" si="3"/>
        <v>1.3474306624999999</v>
      </c>
      <c r="W25" s="78">
        <f t="shared" si="26"/>
        <v>1.1329419840000001</v>
      </c>
      <c r="X25" s="78">
        <f t="shared" si="4"/>
        <v>1.2619838399999999</v>
      </c>
      <c r="Y25" s="78">
        <f t="shared" si="27"/>
        <v>1.0004254079999999</v>
      </c>
      <c r="Z25" s="78">
        <f t="shared" si="5"/>
        <v>1.1143737599999999</v>
      </c>
      <c r="AA25" s="78">
        <f t="shared" si="6"/>
        <v>1.1329419840000001</v>
      </c>
      <c r="AB25" s="78">
        <f t="shared" si="7"/>
        <v>1.2619838399999999</v>
      </c>
      <c r="AC25" s="78">
        <v>0.83736999999999995</v>
      </c>
      <c r="AD25" s="78">
        <v>0.67895000000000005</v>
      </c>
      <c r="AE25" s="78">
        <v>0.59670000000000001</v>
      </c>
      <c r="AF25" s="78">
        <v>0.80252000000000001</v>
      </c>
      <c r="AG25" s="78">
        <f t="shared" si="28"/>
        <v>0.83736999999999995</v>
      </c>
      <c r="AH25" s="78">
        <f t="shared" si="29"/>
        <v>0.67895000000000005</v>
      </c>
      <c r="AI25" s="78">
        <f t="shared" si="30"/>
        <v>0.85830424999999988</v>
      </c>
      <c r="AJ25" s="78">
        <f t="shared" si="8"/>
        <v>0.69592374999999995</v>
      </c>
      <c r="AK25" s="78">
        <f t="shared" si="31"/>
        <v>0.61161749999999993</v>
      </c>
      <c r="AL25" s="78">
        <f t="shared" si="9"/>
        <v>0.82258299999999995</v>
      </c>
      <c r="AM25" s="78">
        <f t="shared" si="10"/>
        <v>0.85830424999999988</v>
      </c>
      <c r="AN25" s="78">
        <f t="shared" si="11"/>
        <v>0.69592374999999995</v>
      </c>
      <c r="AO25" s="78">
        <f t="shared" si="32"/>
        <v>0.8038751999999999</v>
      </c>
      <c r="AP25" s="78">
        <f t="shared" si="12"/>
        <v>0.65179200000000004</v>
      </c>
      <c r="AQ25" s="78">
        <f t="shared" si="33"/>
        <v>0.57283200000000001</v>
      </c>
      <c r="AR25" s="78">
        <f t="shared" si="13"/>
        <v>0.77041919999999997</v>
      </c>
      <c r="AS25" s="78">
        <f t="shared" si="14"/>
        <v>0.8038751999999999</v>
      </c>
      <c r="AT25" s="78">
        <f t="shared" si="15"/>
        <v>0.65179200000000004</v>
      </c>
      <c r="AU25" s="78">
        <v>0.93755999999999995</v>
      </c>
      <c r="AV25" s="78">
        <v>0.89276999999999995</v>
      </c>
      <c r="AW25" s="78">
        <v>0.85455999999999999</v>
      </c>
      <c r="AX25" s="78">
        <v>1.0846800000000001</v>
      </c>
      <c r="AY25" s="78">
        <f t="shared" si="34"/>
        <v>0.93755999999999995</v>
      </c>
      <c r="AZ25" s="78">
        <f t="shared" si="35"/>
        <v>0.89276999999999995</v>
      </c>
      <c r="BA25" s="78">
        <f t="shared" si="36"/>
        <v>0.96099899999999983</v>
      </c>
      <c r="BB25" s="78">
        <f t="shared" si="16"/>
        <v>0.91508924999999985</v>
      </c>
      <c r="BC25" s="78">
        <f t="shared" si="37"/>
        <v>0.87592399999999992</v>
      </c>
      <c r="BD25" s="78">
        <f t="shared" si="17"/>
        <v>1.1117969999999999</v>
      </c>
      <c r="BE25" s="78">
        <f t="shared" si="18"/>
        <v>0.96099899999999983</v>
      </c>
      <c r="BF25" s="78">
        <f t="shared" si="19"/>
        <v>0.91508924999999985</v>
      </c>
      <c r="BG25" s="78">
        <f t="shared" si="38"/>
        <v>0.9000575999999999</v>
      </c>
      <c r="BH25" s="78">
        <f t="shared" si="20"/>
        <v>0.85705919999999991</v>
      </c>
      <c r="BI25" s="78">
        <f t="shared" si="39"/>
        <v>0.82037759999999993</v>
      </c>
      <c r="BJ25" s="78">
        <f t="shared" si="21"/>
        <v>1.0412928000000001</v>
      </c>
      <c r="BK25" s="78">
        <f t="shared" si="22"/>
        <v>0.9000575999999999</v>
      </c>
      <c r="BL25" s="78">
        <f t="shared" si="23"/>
        <v>0.85705919999999991</v>
      </c>
      <c r="BM25" s="78">
        <v>1.1080722000000001</v>
      </c>
      <c r="BN25" s="78">
        <v>1.2440842000000001</v>
      </c>
      <c r="BO25" s="78">
        <v>1.1111288500000001</v>
      </c>
      <c r="BP25" s="78">
        <v>1.2376862499999999</v>
      </c>
    </row>
    <row r="26" spans="1:68" ht="13" x14ac:dyDescent="0.25">
      <c r="A26" s="60">
        <v>1</v>
      </c>
      <c r="B26" s="55">
        <v>18</v>
      </c>
      <c r="C26" s="61">
        <v>1.0470419777031286</v>
      </c>
      <c r="D26" s="61">
        <v>1.1711884653337366</v>
      </c>
      <c r="E26" s="81">
        <v>1.0613232624852083</v>
      </c>
      <c r="F26" s="81">
        <v>1.1922503851454052</v>
      </c>
      <c r="G26" s="78">
        <v>1.0084439000000001</v>
      </c>
      <c r="H26" s="78">
        <v>1.1106471999999998</v>
      </c>
      <c r="I26" s="78">
        <v>1.1065725</v>
      </c>
      <c r="J26" s="78">
        <v>1.2654501999999999</v>
      </c>
      <c r="K26" s="78">
        <v>1.1367121</v>
      </c>
      <c r="L26" s="78">
        <v>1.2896744</v>
      </c>
      <c r="M26" s="78">
        <v>1.0037545999999999</v>
      </c>
      <c r="N26" s="78">
        <v>1.1388254</v>
      </c>
      <c r="O26" s="78">
        <v>1.1367121</v>
      </c>
      <c r="P26" s="78">
        <v>1.2896744</v>
      </c>
      <c r="Q26" s="78">
        <f t="shared" si="24"/>
        <v>1.1651299024999999</v>
      </c>
      <c r="R26" s="78">
        <f t="shared" si="0"/>
        <v>1.3219162599999998</v>
      </c>
      <c r="S26" s="78">
        <f t="shared" si="25"/>
        <v>1.0288484649999998</v>
      </c>
      <c r="T26" s="78">
        <f t="shared" si="1"/>
        <v>1.1672960349999999</v>
      </c>
      <c r="U26" s="78">
        <f t="shared" si="2"/>
        <v>1.1651299024999999</v>
      </c>
      <c r="V26" s="78">
        <f t="shared" si="3"/>
        <v>1.3219162599999998</v>
      </c>
      <c r="W26" s="78">
        <f t="shared" si="26"/>
        <v>1.0912436159999999</v>
      </c>
      <c r="X26" s="78">
        <f t="shared" si="4"/>
        <v>1.2380874239999999</v>
      </c>
      <c r="Y26" s="78">
        <f t="shared" si="27"/>
        <v>0.96360441599999991</v>
      </c>
      <c r="Z26" s="78">
        <f t="shared" si="5"/>
        <v>1.093272384</v>
      </c>
      <c r="AA26" s="78">
        <f t="shared" si="6"/>
        <v>1.0912436159999999</v>
      </c>
      <c r="AB26" s="78">
        <f t="shared" si="7"/>
        <v>1.2380874239999999</v>
      </c>
      <c r="AC26" s="78">
        <v>0.80266000000000004</v>
      </c>
      <c r="AD26" s="78">
        <v>0.65180000000000005</v>
      </c>
      <c r="AE26" s="78">
        <v>0.56971000000000005</v>
      </c>
      <c r="AF26" s="78">
        <v>0.77907999999999999</v>
      </c>
      <c r="AG26" s="78">
        <f t="shared" si="28"/>
        <v>0.80266000000000004</v>
      </c>
      <c r="AH26" s="78">
        <f t="shared" si="29"/>
        <v>0.65180000000000005</v>
      </c>
      <c r="AI26" s="78">
        <f t="shared" si="30"/>
        <v>0.82272649999999992</v>
      </c>
      <c r="AJ26" s="78">
        <f t="shared" si="8"/>
        <v>0.66809499999999999</v>
      </c>
      <c r="AK26" s="78">
        <f t="shared" si="31"/>
        <v>0.58395275000000002</v>
      </c>
      <c r="AL26" s="78">
        <f t="shared" si="9"/>
        <v>0.79855699999999996</v>
      </c>
      <c r="AM26" s="78">
        <f t="shared" si="10"/>
        <v>0.82272649999999992</v>
      </c>
      <c r="AN26" s="78">
        <f t="shared" si="11"/>
        <v>0.66809499999999999</v>
      </c>
      <c r="AO26" s="78">
        <f t="shared" si="32"/>
        <v>0.77055360000000006</v>
      </c>
      <c r="AP26" s="78">
        <f t="shared" si="12"/>
        <v>0.62572800000000006</v>
      </c>
      <c r="AQ26" s="78">
        <f t="shared" si="33"/>
        <v>0.54692160000000001</v>
      </c>
      <c r="AR26" s="78">
        <f t="shared" si="13"/>
        <v>0.74791679999999994</v>
      </c>
      <c r="AS26" s="78">
        <f t="shared" si="14"/>
        <v>0.77055360000000006</v>
      </c>
      <c r="AT26" s="78">
        <f t="shared" si="15"/>
        <v>0.62572800000000006</v>
      </c>
      <c r="AU26" s="78">
        <v>0.90029999999999999</v>
      </c>
      <c r="AV26" s="78">
        <v>0.86638000000000004</v>
      </c>
      <c r="AW26" s="78">
        <v>0.82099999999999995</v>
      </c>
      <c r="AX26" s="78">
        <v>1.0622400000000001</v>
      </c>
      <c r="AY26" s="78">
        <f t="shared" si="34"/>
        <v>0.90029999999999999</v>
      </c>
      <c r="AZ26" s="78">
        <f t="shared" si="35"/>
        <v>0.86638000000000004</v>
      </c>
      <c r="BA26" s="78">
        <f t="shared" si="36"/>
        <v>0.92280749999999989</v>
      </c>
      <c r="BB26" s="78">
        <f t="shared" si="16"/>
        <v>0.88803949999999998</v>
      </c>
      <c r="BC26" s="78">
        <f t="shared" si="37"/>
        <v>0.84152499999999986</v>
      </c>
      <c r="BD26" s="78">
        <f t="shared" si="17"/>
        <v>1.0887959999999999</v>
      </c>
      <c r="BE26" s="78">
        <f t="shared" si="18"/>
        <v>0.92280749999999989</v>
      </c>
      <c r="BF26" s="78">
        <f t="shared" si="19"/>
        <v>0.88803949999999998</v>
      </c>
      <c r="BG26" s="78">
        <f t="shared" si="38"/>
        <v>0.86428799999999995</v>
      </c>
      <c r="BH26" s="78">
        <f t="shared" si="20"/>
        <v>0.83172480000000004</v>
      </c>
      <c r="BI26" s="78">
        <f t="shared" si="39"/>
        <v>0.78815999999999997</v>
      </c>
      <c r="BJ26" s="78">
        <f t="shared" si="21"/>
        <v>1.0197503999999999</v>
      </c>
      <c r="BK26" s="78">
        <f t="shared" si="22"/>
        <v>0.86428799999999995</v>
      </c>
      <c r="BL26" s="78">
        <f t="shared" si="23"/>
        <v>0.83172480000000004</v>
      </c>
      <c r="BM26" s="78">
        <v>1.0672892</v>
      </c>
      <c r="BN26" s="78">
        <v>1.2205267</v>
      </c>
      <c r="BO26" s="78">
        <v>1.0702333500000001</v>
      </c>
      <c r="BP26" s="78">
        <v>1.2142499</v>
      </c>
    </row>
    <row r="27" spans="1:68" ht="13" x14ac:dyDescent="0.25">
      <c r="A27" s="60">
        <v>1</v>
      </c>
      <c r="B27" s="55">
        <v>19</v>
      </c>
      <c r="C27" s="61">
        <v>1.0382413376898958</v>
      </c>
      <c r="D27" s="61">
        <v>1.1586345381526104</v>
      </c>
      <c r="E27" s="81">
        <v>1.0523562736623508</v>
      </c>
      <c r="F27" s="81">
        <v>1.1793349204748176</v>
      </c>
      <c r="G27" s="78">
        <v>1.0078740000000002</v>
      </c>
      <c r="H27" s="78">
        <v>1.1124498</v>
      </c>
      <c r="I27" s="78">
        <v>1.0892127</v>
      </c>
      <c r="J27" s="78">
        <v>1.237803</v>
      </c>
      <c r="K27" s="78">
        <v>1.1188795</v>
      </c>
      <c r="L27" s="78">
        <v>1.2614978999999999</v>
      </c>
      <c r="M27" s="78">
        <v>0.98800779999999999</v>
      </c>
      <c r="N27" s="78">
        <v>1.1139446</v>
      </c>
      <c r="O27" s="78">
        <v>1.1188795</v>
      </c>
      <c r="P27" s="78">
        <v>1.2614978999999999</v>
      </c>
      <c r="Q27" s="78">
        <f t="shared" si="24"/>
        <v>1.1468514875</v>
      </c>
      <c r="R27" s="78">
        <f t="shared" si="0"/>
        <v>1.2930353474999998</v>
      </c>
      <c r="S27" s="78">
        <f t="shared" si="25"/>
        <v>1.012707995</v>
      </c>
      <c r="T27" s="78">
        <f t="shared" si="1"/>
        <v>1.1417932149999999</v>
      </c>
      <c r="U27" s="78">
        <f t="shared" si="2"/>
        <v>1.1468514875</v>
      </c>
      <c r="V27" s="78">
        <f t="shared" si="3"/>
        <v>1.2930353474999998</v>
      </c>
      <c r="W27" s="78">
        <f t="shared" si="26"/>
        <v>1.0741243199999999</v>
      </c>
      <c r="X27" s="78">
        <f t="shared" si="4"/>
        <v>1.2110379839999998</v>
      </c>
      <c r="Y27" s="78">
        <f t="shared" si="27"/>
        <v>0.94848748799999993</v>
      </c>
      <c r="Z27" s="78">
        <f t="shared" si="5"/>
        <v>1.069386816</v>
      </c>
      <c r="AA27" s="78">
        <f t="shared" si="6"/>
        <v>1.0741243199999999</v>
      </c>
      <c r="AB27" s="78">
        <f t="shared" si="7"/>
        <v>1.2110379839999998</v>
      </c>
      <c r="AC27" s="78">
        <v>0.79007000000000005</v>
      </c>
      <c r="AD27" s="78">
        <v>0.61387000000000003</v>
      </c>
      <c r="AE27" s="78">
        <v>0.56072999999999995</v>
      </c>
      <c r="AF27" s="78">
        <v>0.74902000000000002</v>
      </c>
      <c r="AG27" s="78">
        <f t="shared" si="28"/>
        <v>0.79007000000000005</v>
      </c>
      <c r="AH27" s="78">
        <f t="shared" si="29"/>
        <v>0.61387000000000003</v>
      </c>
      <c r="AI27" s="78">
        <f t="shared" si="30"/>
        <v>0.80982175000000001</v>
      </c>
      <c r="AJ27" s="78">
        <f t="shared" si="8"/>
        <v>0.62921674999999999</v>
      </c>
      <c r="AK27" s="78">
        <f t="shared" si="31"/>
        <v>0.57474824999999985</v>
      </c>
      <c r="AL27" s="78">
        <f t="shared" si="9"/>
        <v>0.76774549999999997</v>
      </c>
      <c r="AM27" s="78">
        <f t="shared" si="10"/>
        <v>0.80982175000000001</v>
      </c>
      <c r="AN27" s="78">
        <f t="shared" si="11"/>
        <v>0.62921674999999999</v>
      </c>
      <c r="AO27" s="78">
        <f t="shared" si="32"/>
        <v>0.75846720000000001</v>
      </c>
      <c r="AP27" s="78">
        <f t="shared" si="12"/>
        <v>0.58931520000000004</v>
      </c>
      <c r="AQ27" s="78">
        <f t="shared" si="33"/>
        <v>0.53830079999999991</v>
      </c>
      <c r="AR27" s="78">
        <f t="shared" si="13"/>
        <v>0.71905920000000001</v>
      </c>
      <c r="AS27" s="78">
        <f t="shared" si="14"/>
        <v>0.75846720000000001</v>
      </c>
      <c r="AT27" s="78">
        <f t="shared" si="15"/>
        <v>0.58931520000000004</v>
      </c>
      <c r="AU27" s="78">
        <v>0.88617999999999997</v>
      </c>
      <c r="AV27" s="78">
        <v>0.83172999999999997</v>
      </c>
      <c r="AW27" s="78">
        <v>0.80808000000000002</v>
      </c>
      <c r="AX27" s="78">
        <v>1.0365</v>
      </c>
      <c r="AY27" s="78">
        <f t="shared" si="34"/>
        <v>0.88617999999999997</v>
      </c>
      <c r="AZ27" s="78">
        <f t="shared" si="35"/>
        <v>0.83172999999999997</v>
      </c>
      <c r="BA27" s="78">
        <f t="shared" si="36"/>
        <v>0.90833449999999993</v>
      </c>
      <c r="BB27" s="78">
        <f t="shared" si="16"/>
        <v>0.85252324999999984</v>
      </c>
      <c r="BC27" s="78">
        <f t="shared" si="37"/>
        <v>0.82828199999999996</v>
      </c>
      <c r="BD27" s="78">
        <f t="shared" si="17"/>
        <v>1.0624125</v>
      </c>
      <c r="BE27" s="78">
        <f t="shared" si="18"/>
        <v>0.90833449999999993</v>
      </c>
      <c r="BF27" s="78">
        <f t="shared" si="19"/>
        <v>0.85252324999999984</v>
      </c>
      <c r="BG27" s="78">
        <f t="shared" si="38"/>
        <v>0.85073279999999996</v>
      </c>
      <c r="BH27" s="78">
        <f t="shared" si="20"/>
        <v>0.79846079999999997</v>
      </c>
      <c r="BI27" s="78">
        <f t="shared" si="39"/>
        <v>0.77575680000000002</v>
      </c>
      <c r="BJ27" s="78">
        <f t="shared" si="21"/>
        <v>0.99503999999999992</v>
      </c>
      <c r="BK27" s="78">
        <f t="shared" si="22"/>
        <v>0.85073279999999996</v>
      </c>
      <c r="BL27" s="78">
        <f t="shared" si="23"/>
        <v>0.79846079999999997</v>
      </c>
      <c r="BM27" s="78">
        <v>1.0505457</v>
      </c>
      <c r="BN27" s="78">
        <v>1.1938610000000001</v>
      </c>
      <c r="BO27" s="78">
        <v>1.05344365</v>
      </c>
      <c r="BP27" s="78">
        <v>1.1877212500000001</v>
      </c>
    </row>
    <row r="28" spans="1:68" ht="13" x14ac:dyDescent="0.25">
      <c r="A28" s="60">
        <v>1</v>
      </c>
      <c r="B28" s="55">
        <v>20</v>
      </c>
      <c r="C28" s="61">
        <v>1.0399553621446926</v>
      </c>
      <c r="D28" s="61">
        <v>1.1559439568956786</v>
      </c>
      <c r="E28" s="81">
        <v>1.0539831676356572</v>
      </c>
      <c r="F28" s="81">
        <v>1.1764680910416085</v>
      </c>
      <c r="G28" s="78">
        <v>1.0283911999999999</v>
      </c>
      <c r="H28" s="78">
        <v>1.1228069999999999</v>
      </c>
      <c r="I28" s="78">
        <v>1.0717941</v>
      </c>
      <c r="J28" s="78">
        <v>1.2216336999999999</v>
      </c>
      <c r="K28" s="78">
        <v>1.1009865000000001</v>
      </c>
      <c r="L28" s="78">
        <v>1.2450192</v>
      </c>
      <c r="M28" s="78">
        <v>0.97220770000000001</v>
      </c>
      <c r="N28" s="78">
        <v>1.0993933</v>
      </c>
      <c r="O28" s="78">
        <v>1.1009865000000001</v>
      </c>
      <c r="P28" s="78">
        <v>1.2450192</v>
      </c>
      <c r="Q28" s="78">
        <f t="shared" si="24"/>
        <v>1.1285111624999999</v>
      </c>
      <c r="R28" s="78">
        <f t="shared" si="0"/>
        <v>1.2761446799999998</v>
      </c>
      <c r="S28" s="78">
        <f t="shared" si="25"/>
        <v>0.99651289249999997</v>
      </c>
      <c r="T28" s="78">
        <f t="shared" si="1"/>
        <v>1.1268781324999999</v>
      </c>
      <c r="U28" s="78">
        <f t="shared" si="2"/>
        <v>1.1285111624999999</v>
      </c>
      <c r="V28" s="78">
        <f t="shared" si="3"/>
        <v>1.2761446799999998</v>
      </c>
      <c r="W28" s="78">
        <f t="shared" si="26"/>
        <v>1.0569470400000001</v>
      </c>
      <c r="X28" s="78">
        <f t="shared" si="4"/>
        <v>1.1952184319999999</v>
      </c>
      <c r="Y28" s="78">
        <f t="shared" si="27"/>
        <v>0.93331939200000003</v>
      </c>
      <c r="Z28" s="78">
        <f t="shared" si="5"/>
        <v>1.055417568</v>
      </c>
      <c r="AA28" s="78">
        <f t="shared" si="6"/>
        <v>1.0569470400000001</v>
      </c>
      <c r="AB28" s="78">
        <f t="shared" si="7"/>
        <v>1.1952184319999999</v>
      </c>
      <c r="AC28" s="78">
        <v>0.77744000000000002</v>
      </c>
      <c r="AD28" s="78">
        <v>0.58323999999999998</v>
      </c>
      <c r="AE28" s="78">
        <v>0.55173000000000005</v>
      </c>
      <c r="AF28" s="78">
        <v>0.72640000000000005</v>
      </c>
      <c r="AG28" s="78">
        <f t="shared" si="28"/>
        <v>0.77744000000000002</v>
      </c>
      <c r="AH28" s="78">
        <f t="shared" si="29"/>
        <v>0.58323999999999998</v>
      </c>
      <c r="AI28" s="78">
        <f t="shared" si="30"/>
        <v>0.79687599999999992</v>
      </c>
      <c r="AJ28" s="78">
        <f t="shared" si="8"/>
        <v>0.59782099999999994</v>
      </c>
      <c r="AK28" s="78">
        <f t="shared" si="31"/>
        <v>0.56552325000000003</v>
      </c>
      <c r="AL28" s="78">
        <f t="shared" si="9"/>
        <v>0.74456</v>
      </c>
      <c r="AM28" s="78">
        <f t="shared" si="10"/>
        <v>0.79687599999999992</v>
      </c>
      <c r="AN28" s="78">
        <f t="shared" si="11"/>
        <v>0.59782099999999994</v>
      </c>
      <c r="AO28" s="78">
        <f t="shared" si="32"/>
        <v>0.74634239999999996</v>
      </c>
      <c r="AP28" s="78">
        <f t="shared" si="12"/>
        <v>0.55991039999999992</v>
      </c>
      <c r="AQ28" s="78">
        <f t="shared" si="33"/>
        <v>0.52966080000000004</v>
      </c>
      <c r="AR28" s="78">
        <f t="shared" si="13"/>
        <v>0.69734399999999996</v>
      </c>
      <c r="AS28" s="78">
        <f t="shared" si="14"/>
        <v>0.74634239999999996</v>
      </c>
      <c r="AT28" s="78">
        <f t="shared" si="15"/>
        <v>0.55991039999999992</v>
      </c>
      <c r="AU28" s="78">
        <v>0.87200999999999995</v>
      </c>
      <c r="AV28" s="78">
        <v>0.80586000000000002</v>
      </c>
      <c r="AW28" s="78">
        <v>0.79512000000000005</v>
      </c>
      <c r="AX28" s="78">
        <v>1.02017</v>
      </c>
      <c r="AY28" s="78">
        <f t="shared" si="34"/>
        <v>0.87200999999999995</v>
      </c>
      <c r="AZ28" s="78">
        <f t="shared" si="35"/>
        <v>0.80586000000000002</v>
      </c>
      <c r="BA28" s="78">
        <f t="shared" si="36"/>
        <v>0.89381024999999992</v>
      </c>
      <c r="BB28" s="78">
        <f t="shared" si="16"/>
        <v>0.82600649999999998</v>
      </c>
      <c r="BC28" s="78">
        <f t="shared" si="37"/>
        <v>0.814998</v>
      </c>
      <c r="BD28" s="78">
        <f t="shared" si="17"/>
        <v>1.04567425</v>
      </c>
      <c r="BE28" s="78">
        <f t="shared" si="18"/>
        <v>0.89381024999999992</v>
      </c>
      <c r="BF28" s="78">
        <f t="shared" si="19"/>
        <v>0.82600649999999998</v>
      </c>
      <c r="BG28" s="78">
        <f t="shared" si="38"/>
        <v>0.83712959999999992</v>
      </c>
      <c r="BH28" s="78">
        <f t="shared" si="20"/>
        <v>0.77362560000000002</v>
      </c>
      <c r="BI28" s="78">
        <f t="shared" si="39"/>
        <v>0.76331519999999997</v>
      </c>
      <c r="BJ28" s="78">
        <f t="shared" si="21"/>
        <v>0.97936319999999999</v>
      </c>
      <c r="BK28" s="78">
        <f t="shared" si="22"/>
        <v>0.83712959999999992</v>
      </c>
      <c r="BL28" s="78">
        <f t="shared" si="23"/>
        <v>0.77362560000000002</v>
      </c>
      <c r="BM28" s="78">
        <v>1.0337453999999999</v>
      </c>
      <c r="BN28" s="78">
        <v>1.1782657000000001</v>
      </c>
      <c r="BO28" s="78">
        <v>1.0365971</v>
      </c>
      <c r="BP28" s="78">
        <v>1.1722062499999999</v>
      </c>
    </row>
    <row r="29" spans="1:68" ht="13" x14ac:dyDescent="0.25">
      <c r="A29" s="60">
        <v>1</v>
      </c>
      <c r="B29" s="55">
        <v>21</v>
      </c>
      <c r="C29" s="61">
        <v>1.0255365167233557</v>
      </c>
      <c r="D29" s="61">
        <v>1.1368821292775666</v>
      </c>
      <c r="E29" s="81">
        <v>1.0393375320530795</v>
      </c>
      <c r="F29" s="81">
        <v>1.1571592847021428</v>
      </c>
      <c r="G29" s="78">
        <v>1.0196464000000001</v>
      </c>
      <c r="H29" s="78">
        <v>1.0950569999999999</v>
      </c>
      <c r="I29" s="78">
        <v>1.0513138</v>
      </c>
      <c r="J29" s="78">
        <v>1.2109761000000001</v>
      </c>
      <c r="K29" s="78">
        <v>1.0799483999999999</v>
      </c>
      <c r="L29" s="78">
        <v>1.2341575</v>
      </c>
      <c r="M29" s="78">
        <v>0.95363029999999993</v>
      </c>
      <c r="N29" s="78">
        <v>1.0898021</v>
      </c>
      <c r="O29" s="78">
        <v>1.0799483999999999</v>
      </c>
      <c r="P29" s="78">
        <v>1.2341575</v>
      </c>
      <c r="Q29" s="78">
        <f t="shared" si="24"/>
        <v>1.1069471099999999</v>
      </c>
      <c r="R29" s="78">
        <f t="shared" si="0"/>
        <v>1.2650114374999999</v>
      </c>
      <c r="S29" s="78">
        <f t="shared" si="25"/>
        <v>0.97747105749999985</v>
      </c>
      <c r="T29" s="78">
        <f t="shared" si="1"/>
        <v>1.1170471524999999</v>
      </c>
      <c r="U29" s="78">
        <f t="shared" si="2"/>
        <v>1.1069471099999999</v>
      </c>
      <c r="V29" s="78">
        <f t="shared" si="3"/>
        <v>1.2650114374999999</v>
      </c>
      <c r="W29" s="78">
        <f t="shared" si="26"/>
        <v>1.0367504639999998</v>
      </c>
      <c r="X29" s="78">
        <f t="shared" si="4"/>
        <v>1.1847912</v>
      </c>
      <c r="Y29" s="78">
        <f t="shared" si="27"/>
        <v>0.91548508799999995</v>
      </c>
      <c r="Z29" s="78">
        <f t="shared" si="5"/>
        <v>1.0462100159999999</v>
      </c>
      <c r="AA29" s="78">
        <f t="shared" si="6"/>
        <v>1.0367504639999998</v>
      </c>
      <c r="AB29" s="78">
        <f t="shared" si="7"/>
        <v>1.1847912</v>
      </c>
      <c r="AC29" s="78">
        <v>0.76258000000000004</v>
      </c>
      <c r="AD29" s="78">
        <v>0.55645999999999995</v>
      </c>
      <c r="AE29" s="78">
        <v>0.54115999999999997</v>
      </c>
      <c r="AF29" s="78">
        <v>0.70774999999999999</v>
      </c>
      <c r="AG29" s="78">
        <f t="shared" si="28"/>
        <v>0.76258000000000004</v>
      </c>
      <c r="AH29" s="78">
        <f t="shared" si="29"/>
        <v>0.55645999999999995</v>
      </c>
      <c r="AI29" s="78">
        <f t="shared" si="30"/>
        <v>0.78164449999999996</v>
      </c>
      <c r="AJ29" s="78">
        <f t="shared" si="8"/>
        <v>0.57037149999999992</v>
      </c>
      <c r="AK29" s="78">
        <f t="shared" si="31"/>
        <v>0.55468899999999988</v>
      </c>
      <c r="AL29" s="78">
        <f t="shared" si="9"/>
        <v>0.72544374999999994</v>
      </c>
      <c r="AM29" s="78">
        <f t="shared" si="10"/>
        <v>0.78164449999999996</v>
      </c>
      <c r="AN29" s="78">
        <f t="shared" si="11"/>
        <v>0.57037149999999992</v>
      </c>
      <c r="AO29" s="78">
        <f t="shared" si="32"/>
        <v>0.73207679999999997</v>
      </c>
      <c r="AP29" s="78">
        <f t="shared" si="12"/>
        <v>0.53420159999999994</v>
      </c>
      <c r="AQ29" s="78">
        <f t="shared" si="33"/>
        <v>0.51951359999999991</v>
      </c>
      <c r="AR29" s="78">
        <f t="shared" si="13"/>
        <v>0.67943999999999993</v>
      </c>
      <c r="AS29" s="78">
        <f t="shared" si="14"/>
        <v>0.73207679999999997</v>
      </c>
      <c r="AT29" s="78">
        <f t="shared" si="15"/>
        <v>0.53420159999999994</v>
      </c>
      <c r="AU29" s="78">
        <v>0.85535000000000005</v>
      </c>
      <c r="AV29" s="78">
        <v>0.78444000000000003</v>
      </c>
      <c r="AW29" s="78">
        <v>0.77990000000000004</v>
      </c>
      <c r="AX29" s="78">
        <v>1.00858</v>
      </c>
      <c r="AY29" s="78">
        <f t="shared" si="34"/>
        <v>0.85535000000000005</v>
      </c>
      <c r="AZ29" s="78">
        <f t="shared" si="35"/>
        <v>0.78444000000000003</v>
      </c>
      <c r="BA29" s="78">
        <f t="shared" si="36"/>
        <v>0.87673374999999998</v>
      </c>
      <c r="BB29" s="78">
        <f t="shared" si="16"/>
        <v>0.80405099999999996</v>
      </c>
      <c r="BC29" s="78">
        <f t="shared" si="37"/>
        <v>0.79939749999999998</v>
      </c>
      <c r="BD29" s="78">
        <f t="shared" si="17"/>
        <v>1.0337944999999999</v>
      </c>
      <c r="BE29" s="78">
        <f t="shared" si="18"/>
        <v>0.87673374999999998</v>
      </c>
      <c r="BF29" s="78">
        <f t="shared" si="19"/>
        <v>0.80405099999999996</v>
      </c>
      <c r="BG29" s="78">
        <f t="shared" si="38"/>
        <v>0.82113599999999998</v>
      </c>
      <c r="BH29" s="78">
        <f t="shared" si="20"/>
        <v>0.75306240000000002</v>
      </c>
      <c r="BI29" s="78">
        <f t="shared" si="39"/>
        <v>0.74870400000000004</v>
      </c>
      <c r="BJ29" s="78">
        <f t="shared" si="21"/>
        <v>0.96823680000000001</v>
      </c>
      <c r="BK29" s="78">
        <f t="shared" si="22"/>
        <v>0.82113599999999998</v>
      </c>
      <c r="BL29" s="78">
        <f t="shared" si="23"/>
        <v>0.75306240000000002</v>
      </c>
      <c r="BM29" s="78">
        <v>1.0139921999999999</v>
      </c>
      <c r="BN29" s="78">
        <v>1.1679864</v>
      </c>
      <c r="BO29" s="78">
        <v>1.0167893499999998</v>
      </c>
      <c r="BP29" s="78">
        <v>1.1619798000000001</v>
      </c>
    </row>
    <row r="30" spans="1:68" ht="13" x14ac:dyDescent="0.25">
      <c r="A30" s="60">
        <v>1</v>
      </c>
      <c r="B30" s="55">
        <v>22</v>
      </c>
      <c r="C30" s="61">
        <v>1.0182611405536115</v>
      </c>
      <c r="D30" s="61">
        <v>1.1319702602230484</v>
      </c>
      <c r="E30" s="81">
        <v>1.0319032236125734</v>
      </c>
      <c r="F30" s="81">
        <v>1.1519498370039887</v>
      </c>
      <c r="G30" s="78">
        <v>1.0228310999999999</v>
      </c>
      <c r="H30" s="78">
        <v>1.1115242000000001</v>
      </c>
      <c r="I30" s="78">
        <v>1.0332364000000001</v>
      </c>
      <c r="J30" s="78">
        <v>1.1839655</v>
      </c>
      <c r="K30" s="78">
        <v>1.0613786000000001</v>
      </c>
      <c r="L30" s="78">
        <v>1.2066298</v>
      </c>
      <c r="M30" s="78">
        <v>0.93723259999999997</v>
      </c>
      <c r="N30" s="78">
        <v>1.0654943000000001</v>
      </c>
      <c r="O30" s="78">
        <v>1.0613786000000001</v>
      </c>
      <c r="P30" s="78">
        <v>1.2066298</v>
      </c>
      <c r="Q30" s="78">
        <f t="shared" si="24"/>
        <v>1.087913065</v>
      </c>
      <c r="R30" s="78">
        <f t="shared" si="0"/>
        <v>1.2367955449999999</v>
      </c>
      <c r="S30" s="78">
        <f t="shared" si="25"/>
        <v>0.96066341499999985</v>
      </c>
      <c r="T30" s="78">
        <f t="shared" si="1"/>
        <v>1.0921316575</v>
      </c>
      <c r="U30" s="78">
        <f t="shared" si="2"/>
        <v>1.087913065</v>
      </c>
      <c r="V30" s="78">
        <f t="shared" si="3"/>
        <v>1.2367955449999999</v>
      </c>
      <c r="W30" s="78">
        <f t="shared" si="26"/>
        <v>1.018923456</v>
      </c>
      <c r="X30" s="78">
        <f t="shared" si="4"/>
        <v>1.1583646079999999</v>
      </c>
      <c r="Y30" s="78">
        <f t="shared" si="27"/>
        <v>0.89974329599999991</v>
      </c>
      <c r="Z30" s="78">
        <f t="shared" si="5"/>
        <v>1.022874528</v>
      </c>
      <c r="AA30" s="78">
        <f t="shared" si="6"/>
        <v>1.018923456</v>
      </c>
      <c r="AB30" s="78">
        <f t="shared" si="7"/>
        <v>1.1583646079999999</v>
      </c>
      <c r="AC30" s="78">
        <v>0.75227999999999995</v>
      </c>
      <c r="AD30" s="78">
        <v>0.51249999999999996</v>
      </c>
      <c r="AE30" s="78">
        <v>0.53544000000000003</v>
      </c>
      <c r="AF30" s="78">
        <v>0.67418</v>
      </c>
      <c r="AG30" s="78">
        <f t="shared" si="28"/>
        <v>0.75227999999999995</v>
      </c>
      <c r="AH30" s="78">
        <f t="shared" si="29"/>
        <v>0.51249999999999996</v>
      </c>
      <c r="AI30" s="78">
        <f t="shared" si="30"/>
        <v>0.77108699999999986</v>
      </c>
      <c r="AJ30" s="78">
        <f t="shared" si="8"/>
        <v>0.52531249999999996</v>
      </c>
      <c r="AK30" s="78">
        <f t="shared" si="31"/>
        <v>0.54882599999999993</v>
      </c>
      <c r="AL30" s="78">
        <f t="shared" si="9"/>
        <v>0.6910345</v>
      </c>
      <c r="AM30" s="78">
        <f t="shared" si="10"/>
        <v>0.77108699999999986</v>
      </c>
      <c r="AN30" s="78">
        <f t="shared" si="11"/>
        <v>0.52531249999999996</v>
      </c>
      <c r="AO30" s="78">
        <f t="shared" si="32"/>
        <v>0.72218879999999996</v>
      </c>
      <c r="AP30" s="78">
        <f t="shared" si="12"/>
        <v>0.49199999999999994</v>
      </c>
      <c r="AQ30" s="78">
        <f t="shared" si="33"/>
        <v>0.51402239999999999</v>
      </c>
      <c r="AR30" s="78">
        <f t="shared" si="13"/>
        <v>0.64721280000000003</v>
      </c>
      <c r="AS30" s="78">
        <f t="shared" si="14"/>
        <v>0.72218879999999996</v>
      </c>
      <c r="AT30" s="78">
        <f t="shared" si="15"/>
        <v>0.49199999999999994</v>
      </c>
      <c r="AU30" s="78">
        <v>0.84262999999999999</v>
      </c>
      <c r="AV30" s="78">
        <v>0.74600999999999995</v>
      </c>
      <c r="AW30" s="78">
        <v>0.76795999999999998</v>
      </c>
      <c r="AX30" s="78">
        <v>0.98229999999999995</v>
      </c>
      <c r="AY30" s="78">
        <f t="shared" si="34"/>
        <v>0.84262999999999999</v>
      </c>
      <c r="AZ30" s="78">
        <f t="shared" si="35"/>
        <v>0.74600999999999995</v>
      </c>
      <c r="BA30" s="78">
        <f t="shared" si="36"/>
        <v>0.86369574999999987</v>
      </c>
      <c r="BB30" s="78">
        <f t="shared" si="16"/>
        <v>0.76466024999999993</v>
      </c>
      <c r="BC30" s="78">
        <f t="shared" si="37"/>
        <v>0.78715899999999994</v>
      </c>
      <c r="BD30" s="78">
        <f t="shared" si="17"/>
        <v>1.0068575</v>
      </c>
      <c r="BE30" s="78">
        <f t="shared" si="18"/>
        <v>0.86369574999999987</v>
      </c>
      <c r="BF30" s="78">
        <f t="shared" si="19"/>
        <v>0.76466024999999993</v>
      </c>
      <c r="BG30" s="78">
        <f t="shared" si="38"/>
        <v>0.8089248</v>
      </c>
      <c r="BH30" s="78">
        <f t="shared" si="20"/>
        <v>0.71616959999999996</v>
      </c>
      <c r="BI30" s="78">
        <f t="shared" si="39"/>
        <v>0.73724159999999994</v>
      </c>
      <c r="BJ30" s="78">
        <f t="shared" si="21"/>
        <v>0.94300799999999996</v>
      </c>
      <c r="BK30" s="78">
        <f t="shared" si="22"/>
        <v>0.8089248</v>
      </c>
      <c r="BL30" s="78">
        <f t="shared" si="23"/>
        <v>0.71616959999999996</v>
      </c>
      <c r="BM30" s="78">
        <v>0.99655649999999996</v>
      </c>
      <c r="BN30" s="78">
        <v>1.1419347</v>
      </c>
      <c r="BO30" s="78">
        <v>0.99930560000000002</v>
      </c>
      <c r="BP30" s="78">
        <v>1.13606205</v>
      </c>
    </row>
    <row r="31" spans="1:68" ht="13" x14ac:dyDescent="0.25">
      <c r="A31" s="60">
        <v>1</v>
      </c>
      <c r="B31" s="55">
        <v>23</v>
      </c>
      <c r="C31" s="61">
        <v>1.0008402732331456</v>
      </c>
      <c r="D31" s="61">
        <v>1.1133455210237662</v>
      </c>
      <c r="E31" s="81">
        <v>1.0141961620882827</v>
      </c>
      <c r="F31" s="81">
        <v>1.132996366194051</v>
      </c>
      <c r="G31" s="78">
        <v>1.014346</v>
      </c>
      <c r="H31" s="78">
        <v>1.0932358</v>
      </c>
      <c r="I31" s="78">
        <v>1.0063716</v>
      </c>
      <c r="J31" s="78">
        <v>1.1644852000000001</v>
      </c>
      <c r="K31" s="78">
        <v>1.033782</v>
      </c>
      <c r="L31" s="78">
        <v>1.1867767</v>
      </c>
      <c r="M31" s="78">
        <v>0.91286389999999995</v>
      </c>
      <c r="N31" s="78">
        <v>1.0479632999999999</v>
      </c>
      <c r="O31" s="78">
        <v>1.033782</v>
      </c>
      <c r="P31" s="78">
        <v>1.1867767</v>
      </c>
      <c r="Q31" s="78">
        <f t="shared" si="24"/>
        <v>1.0596265499999999</v>
      </c>
      <c r="R31" s="78">
        <f t="shared" si="0"/>
        <v>1.2164461174999999</v>
      </c>
      <c r="S31" s="78">
        <f t="shared" si="25"/>
        <v>0.93568549749999985</v>
      </c>
      <c r="T31" s="78">
        <f t="shared" si="1"/>
        <v>1.0741623824999997</v>
      </c>
      <c r="U31" s="78">
        <f t="shared" si="2"/>
        <v>1.0596265499999999</v>
      </c>
      <c r="V31" s="78">
        <f t="shared" si="3"/>
        <v>1.2164461174999999</v>
      </c>
      <c r="W31" s="78">
        <f t="shared" si="26"/>
        <v>0.99243071999999999</v>
      </c>
      <c r="X31" s="78">
        <f t="shared" si="4"/>
        <v>1.1393056319999999</v>
      </c>
      <c r="Y31" s="78">
        <f t="shared" si="27"/>
        <v>0.87634934399999997</v>
      </c>
      <c r="Z31" s="78">
        <f t="shared" si="5"/>
        <v>1.006044768</v>
      </c>
      <c r="AA31" s="78">
        <f t="shared" si="6"/>
        <v>0.99243071999999999</v>
      </c>
      <c r="AB31" s="78">
        <f t="shared" si="7"/>
        <v>1.1393056319999999</v>
      </c>
      <c r="AC31" s="78">
        <v>0.73516999999999999</v>
      </c>
      <c r="AD31" s="78">
        <v>0.47304000000000002</v>
      </c>
      <c r="AE31" s="78">
        <v>0.52481999999999995</v>
      </c>
      <c r="AF31" s="78">
        <v>0.64559</v>
      </c>
      <c r="AG31" s="78">
        <f t="shared" si="28"/>
        <v>0.73516999999999999</v>
      </c>
      <c r="AH31" s="78">
        <f t="shared" si="29"/>
        <v>0.47304000000000002</v>
      </c>
      <c r="AI31" s="78">
        <f t="shared" si="30"/>
        <v>0.75354924999999995</v>
      </c>
      <c r="AJ31" s="78">
        <f t="shared" si="8"/>
        <v>0.48486599999999996</v>
      </c>
      <c r="AK31" s="78">
        <f t="shared" si="31"/>
        <v>0.53794049999999993</v>
      </c>
      <c r="AL31" s="78">
        <f t="shared" si="9"/>
        <v>0.66172974999999989</v>
      </c>
      <c r="AM31" s="78">
        <f t="shared" si="10"/>
        <v>0.75354924999999995</v>
      </c>
      <c r="AN31" s="78">
        <f t="shared" si="11"/>
        <v>0.48486599999999996</v>
      </c>
      <c r="AO31" s="78">
        <f t="shared" si="32"/>
        <v>0.70576319999999992</v>
      </c>
      <c r="AP31" s="78">
        <f t="shared" si="12"/>
        <v>0.45411839999999998</v>
      </c>
      <c r="AQ31" s="78">
        <f t="shared" si="33"/>
        <v>0.50382719999999992</v>
      </c>
      <c r="AR31" s="78">
        <f t="shared" si="13"/>
        <v>0.61976639999999994</v>
      </c>
      <c r="AS31" s="78">
        <f t="shared" si="14"/>
        <v>0.70576319999999992</v>
      </c>
      <c r="AT31" s="78">
        <f t="shared" si="15"/>
        <v>0.45411839999999998</v>
      </c>
      <c r="AU31" s="78">
        <v>0.82245999999999997</v>
      </c>
      <c r="AV31" s="78">
        <v>0.71314</v>
      </c>
      <c r="AW31" s="78">
        <v>0.74944999999999995</v>
      </c>
      <c r="AX31" s="78">
        <v>0.96243000000000001</v>
      </c>
      <c r="AY31" s="78">
        <f t="shared" si="34"/>
        <v>0.82245999999999997</v>
      </c>
      <c r="AZ31" s="78">
        <f t="shared" si="35"/>
        <v>0.71314</v>
      </c>
      <c r="BA31" s="78">
        <f t="shared" si="36"/>
        <v>0.84302149999999987</v>
      </c>
      <c r="BB31" s="78">
        <f t="shared" si="16"/>
        <v>0.73096849999999991</v>
      </c>
      <c r="BC31" s="78">
        <f t="shared" si="37"/>
        <v>0.76818624999999985</v>
      </c>
      <c r="BD31" s="78">
        <f t="shared" si="17"/>
        <v>0.98649074999999997</v>
      </c>
      <c r="BE31" s="78">
        <f t="shared" si="18"/>
        <v>0.84302149999999987</v>
      </c>
      <c r="BF31" s="78">
        <f t="shared" si="19"/>
        <v>0.73096849999999991</v>
      </c>
      <c r="BG31" s="78">
        <f t="shared" si="38"/>
        <v>0.78956159999999997</v>
      </c>
      <c r="BH31" s="78">
        <f t="shared" si="20"/>
        <v>0.68461439999999996</v>
      </c>
      <c r="BI31" s="78">
        <f t="shared" si="39"/>
        <v>0.71947199999999989</v>
      </c>
      <c r="BJ31" s="78">
        <f t="shared" si="21"/>
        <v>0.9239328</v>
      </c>
      <c r="BK31" s="78">
        <f t="shared" si="22"/>
        <v>0.78956159999999997</v>
      </c>
      <c r="BL31" s="78">
        <f t="shared" si="23"/>
        <v>0.68461439999999996</v>
      </c>
      <c r="BM31" s="78">
        <v>0.97064539999999999</v>
      </c>
      <c r="BN31" s="78">
        <v>1.123146</v>
      </c>
      <c r="BO31" s="78">
        <v>0.97332295000000002</v>
      </c>
      <c r="BP31" s="78">
        <v>1.11737</v>
      </c>
    </row>
    <row r="32" spans="1:68" ht="13" x14ac:dyDescent="0.25">
      <c r="A32" s="60">
        <v>1</v>
      </c>
      <c r="B32" s="55">
        <v>24</v>
      </c>
      <c r="C32" s="61">
        <v>0.98987859782059129</v>
      </c>
      <c r="D32" s="61">
        <v>1.1231884057971016</v>
      </c>
      <c r="E32" s="81">
        <v>1.0030205550626519</v>
      </c>
      <c r="F32" s="81">
        <v>1.1428120305488489</v>
      </c>
      <c r="G32" s="78">
        <v>1.014786</v>
      </c>
      <c r="H32" s="78">
        <v>1.1231883999999999</v>
      </c>
      <c r="I32" s="78">
        <v>0.98357699999999992</v>
      </c>
      <c r="J32" s="78">
        <v>1.1539374</v>
      </c>
      <c r="K32" s="78">
        <v>1.0103666</v>
      </c>
      <c r="L32" s="78">
        <v>1.1760268999999999</v>
      </c>
      <c r="M32" s="78">
        <v>0.89218729999999991</v>
      </c>
      <c r="N32" s="78">
        <v>1.0384708999999999</v>
      </c>
      <c r="O32" s="78">
        <v>1.0103666</v>
      </c>
      <c r="P32" s="78">
        <v>1.1760268999999999</v>
      </c>
      <c r="Q32" s="78">
        <f t="shared" si="24"/>
        <v>1.0356257649999998</v>
      </c>
      <c r="R32" s="78">
        <f t="shared" si="0"/>
        <v>1.2054275724999999</v>
      </c>
      <c r="S32" s="78">
        <f t="shared" si="25"/>
        <v>0.91449198249999986</v>
      </c>
      <c r="T32" s="78">
        <f t="shared" si="1"/>
        <v>1.0644326724999997</v>
      </c>
      <c r="U32" s="78">
        <f t="shared" si="2"/>
        <v>1.0356257649999998</v>
      </c>
      <c r="V32" s="78">
        <f t="shared" si="3"/>
        <v>1.2054275724999999</v>
      </c>
      <c r="W32" s="78">
        <f t="shared" si="26"/>
        <v>0.96995193599999996</v>
      </c>
      <c r="X32" s="78">
        <f t="shared" si="4"/>
        <v>1.1289858239999999</v>
      </c>
      <c r="Y32" s="78">
        <f t="shared" si="27"/>
        <v>0.85649980799999992</v>
      </c>
      <c r="Z32" s="78">
        <f t="shared" si="5"/>
        <v>0.99693206399999978</v>
      </c>
      <c r="AA32" s="78">
        <f t="shared" si="6"/>
        <v>0.96995193599999996</v>
      </c>
      <c r="AB32" s="78">
        <f t="shared" si="7"/>
        <v>1.1289858239999999</v>
      </c>
      <c r="AC32" s="78">
        <v>0.72302</v>
      </c>
      <c r="AD32" s="78">
        <v>0.438</v>
      </c>
      <c r="AE32" s="78">
        <v>0.51868999999999998</v>
      </c>
      <c r="AF32" s="78">
        <v>0.62241000000000002</v>
      </c>
      <c r="AG32" s="78">
        <f t="shared" si="28"/>
        <v>0.72302</v>
      </c>
      <c r="AH32" s="78">
        <f t="shared" si="29"/>
        <v>0.438</v>
      </c>
      <c r="AI32" s="78">
        <f t="shared" si="30"/>
        <v>0.74109549999999991</v>
      </c>
      <c r="AJ32" s="78">
        <f t="shared" si="8"/>
        <v>0.44894999999999996</v>
      </c>
      <c r="AK32" s="78">
        <f t="shared" si="31"/>
        <v>0.53165724999999997</v>
      </c>
      <c r="AL32" s="78">
        <f t="shared" si="9"/>
        <v>0.63797024999999996</v>
      </c>
      <c r="AM32" s="78">
        <f t="shared" si="10"/>
        <v>0.74109549999999991</v>
      </c>
      <c r="AN32" s="78">
        <f t="shared" si="11"/>
        <v>0.44894999999999996</v>
      </c>
      <c r="AO32" s="78">
        <f t="shared" si="32"/>
        <v>0.69409919999999992</v>
      </c>
      <c r="AP32" s="78">
        <f t="shared" si="12"/>
        <v>0.42047999999999996</v>
      </c>
      <c r="AQ32" s="78">
        <f t="shared" si="33"/>
        <v>0.49794239999999995</v>
      </c>
      <c r="AR32" s="78">
        <f t="shared" si="13"/>
        <v>0.59751359999999998</v>
      </c>
      <c r="AS32" s="78">
        <f t="shared" si="14"/>
        <v>0.69409919999999992</v>
      </c>
      <c r="AT32" s="78">
        <f t="shared" si="15"/>
        <v>0.42047999999999996</v>
      </c>
      <c r="AU32" s="78">
        <v>0.80701000000000001</v>
      </c>
      <c r="AV32" s="78">
        <v>0.68627000000000005</v>
      </c>
      <c r="AW32" s="78">
        <v>0.73485</v>
      </c>
      <c r="AX32" s="78">
        <v>0.95003000000000004</v>
      </c>
      <c r="AY32" s="78">
        <f t="shared" si="34"/>
        <v>0.80701000000000001</v>
      </c>
      <c r="AZ32" s="78">
        <f t="shared" si="35"/>
        <v>0.68627000000000005</v>
      </c>
      <c r="BA32" s="78">
        <f t="shared" si="36"/>
        <v>0.82718524999999998</v>
      </c>
      <c r="BB32" s="78">
        <f t="shared" si="16"/>
        <v>0.70342674999999999</v>
      </c>
      <c r="BC32" s="78">
        <f t="shared" si="37"/>
        <v>0.75322124999999995</v>
      </c>
      <c r="BD32" s="78">
        <f t="shared" si="17"/>
        <v>0.97378074999999997</v>
      </c>
      <c r="BE32" s="78">
        <f t="shared" si="18"/>
        <v>0.82718524999999998</v>
      </c>
      <c r="BF32" s="78">
        <f t="shared" si="19"/>
        <v>0.70342674999999999</v>
      </c>
      <c r="BG32" s="78">
        <f t="shared" si="38"/>
        <v>0.77472960000000002</v>
      </c>
      <c r="BH32" s="78">
        <f t="shared" si="20"/>
        <v>0.65881920000000005</v>
      </c>
      <c r="BI32" s="78">
        <f t="shared" si="39"/>
        <v>0.70545599999999997</v>
      </c>
      <c r="BJ32" s="78">
        <f t="shared" si="21"/>
        <v>0.91202879999999997</v>
      </c>
      <c r="BK32" s="78">
        <f t="shared" si="22"/>
        <v>0.77472960000000002</v>
      </c>
      <c r="BL32" s="78">
        <f t="shared" si="23"/>
        <v>0.65881920000000005</v>
      </c>
      <c r="BM32" s="78">
        <v>0.94865999999999995</v>
      </c>
      <c r="BN32" s="78">
        <v>1.1129726</v>
      </c>
      <c r="BO32" s="78">
        <v>0.95127695000000001</v>
      </c>
      <c r="BP32" s="78">
        <v>1.1072488999999999</v>
      </c>
    </row>
    <row r="33" spans="1:68" ht="13" x14ac:dyDescent="0.25">
      <c r="A33" s="60">
        <v>1</v>
      </c>
      <c r="B33" s="55">
        <v>25</v>
      </c>
      <c r="C33" s="61">
        <v>0.97923779417573964</v>
      </c>
      <c r="D33" s="61">
        <v>1.1140806147591025</v>
      </c>
      <c r="E33" s="81">
        <v>0.99213959843855681</v>
      </c>
      <c r="F33" s="81">
        <v>1.133633381325819</v>
      </c>
      <c r="G33" s="78">
        <v>1.0207588000000001</v>
      </c>
      <c r="H33" s="78">
        <v>1.1051693</v>
      </c>
      <c r="I33" s="78">
        <v>0.95579710000000007</v>
      </c>
      <c r="J33" s="78">
        <v>1.1537355</v>
      </c>
      <c r="K33" s="78">
        <v>0.98183009999999993</v>
      </c>
      <c r="L33" s="78">
        <v>1.1758211000000001</v>
      </c>
      <c r="M33" s="78">
        <v>0.8669886</v>
      </c>
      <c r="N33" s="78">
        <v>1.0382891999999999</v>
      </c>
      <c r="O33" s="78">
        <v>0.98183009999999993</v>
      </c>
      <c r="P33" s="78">
        <v>1.1758211000000001</v>
      </c>
      <c r="Q33" s="78">
        <f t="shared" si="24"/>
        <v>1.0063758524999999</v>
      </c>
      <c r="R33" s="78">
        <f t="shared" si="0"/>
        <v>1.2052166275</v>
      </c>
      <c r="S33" s="78">
        <f t="shared" si="25"/>
        <v>0.88866331499999995</v>
      </c>
      <c r="T33" s="78">
        <f t="shared" si="1"/>
        <v>1.0642464299999999</v>
      </c>
      <c r="U33" s="78">
        <f t="shared" si="2"/>
        <v>1.0063758524999999</v>
      </c>
      <c r="V33" s="78">
        <f t="shared" si="3"/>
        <v>1.2052166275</v>
      </c>
      <c r="W33" s="78">
        <f t="shared" si="26"/>
        <v>0.94255689599999992</v>
      </c>
      <c r="X33" s="78">
        <f t="shared" si="4"/>
        <v>1.128788256</v>
      </c>
      <c r="Y33" s="78">
        <f t="shared" si="27"/>
        <v>0.83230905599999994</v>
      </c>
      <c r="Z33" s="78">
        <f t="shared" si="5"/>
        <v>0.99675763199999989</v>
      </c>
      <c r="AA33" s="78">
        <f t="shared" si="6"/>
        <v>0.94255689599999992</v>
      </c>
      <c r="AB33" s="78">
        <f t="shared" si="7"/>
        <v>1.128788256</v>
      </c>
      <c r="AC33" s="78">
        <v>0.70650999999999997</v>
      </c>
      <c r="AD33" s="78">
        <v>0.41937999999999998</v>
      </c>
      <c r="AE33" s="78">
        <v>0.50917999999999997</v>
      </c>
      <c r="AF33" s="78">
        <v>0.61177000000000004</v>
      </c>
      <c r="AG33" s="78">
        <f t="shared" si="28"/>
        <v>0.70650999999999997</v>
      </c>
      <c r="AH33" s="78">
        <f t="shared" si="29"/>
        <v>0.41937999999999998</v>
      </c>
      <c r="AI33" s="78">
        <f t="shared" si="30"/>
        <v>0.72417274999999992</v>
      </c>
      <c r="AJ33" s="78">
        <f t="shared" si="8"/>
        <v>0.42986449999999993</v>
      </c>
      <c r="AK33" s="78">
        <f t="shared" si="31"/>
        <v>0.52190949999999992</v>
      </c>
      <c r="AL33" s="78">
        <f t="shared" si="9"/>
        <v>0.62706424999999999</v>
      </c>
      <c r="AM33" s="78">
        <f t="shared" si="10"/>
        <v>0.72417274999999992</v>
      </c>
      <c r="AN33" s="78">
        <f t="shared" si="11"/>
        <v>0.42986449999999993</v>
      </c>
      <c r="AO33" s="78">
        <f t="shared" si="32"/>
        <v>0.6782495999999999</v>
      </c>
      <c r="AP33" s="78">
        <f t="shared" si="12"/>
        <v>0.40260479999999998</v>
      </c>
      <c r="AQ33" s="78">
        <f t="shared" si="33"/>
        <v>0.48881279999999994</v>
      </c>
      <c r="AR33" s="78">
        <f t="shared" si="13"/>
        <v>0.58729920000000002</v>
      </c>
      <c r="AS33" s="78">
        <f t="shared" si="14"/>
        <v>0.6782495999999999</v>
      </c>
      <c r="AT33" s="78">
        <f t="shared" si="15"/>
        <v>0.40260479999999998</v>
      </c>
      <c r="AU33" s="78">
        <v>0.78698999999999997</v>
      </c>
      <c r="AV33" s="78">
        <v>0.67383999999999999</v>
      </c>
      <c r="AW33" s="78">
        <v>0.71628999999999998</v>
      </c>
      <c r="AX33" s="78">
        <v>0.94755999999999996</v>
      </c>
      <c r="AY33" s="78">
        <f t="shared" si="34"/>
        <v>0.78698999999999997</v>
      </c>
      <c r="AZ33" s="78">
        <f t="shared" si="35"/>
        <v>0.67383999999999999</v>
      </c>
      <c r="BA33" s="78">
        <f t="shared" si="36"/>
        <v>0.80666474999999993</v>
      </c>
      <c r="BB33" s="78">
        <f t="shared" si="16"/>
        <v>0.69068599999999991</v>
      </c>
      <c r="BC33" s="78">
        <f t="shared" si="37"/>
        <v>0.73419724999999991</v>
      </c>
      <c r="BD33" s="78">
        <f t="shared" si="17"/>
        <v>0.97124899999999992</v>
      </c>
      <c r="BE33" s="78">
        <f t="shared" si="18"/>
        <v>0.80666474999999993</v>
      </c>
      <c r="BF33" s="78">
        <f t="shared" si="19"/>
        <v>0.69068599999999991</v>
      </c>
      <c r="BG33" s="78">
        <f t="shared" si="38"/>
        <v>0.75551039999999992</v>
      </c>
      <c r="BH33" s="78">
        <f t="shared" si="20"/>
        <v>0.64688639999999997</v>
      </c>
      <c r="BI33" s="78">
        <f t="shared" si="39"/>
        <v>0.68763839999999998</v>
      </c>
      <c r="BJ33" s="78">
        <f t="shared" si="21"/>
        <v>0.90965759999999996</v>
      </c>
      <c r="BK33" s="78">
        <f t="shared" si="22"/>
        <v>0.75551039999999992</v>
      </c>
      <c r="BL33" s="78">
        <f t="shared" si="23"/>
        <v>0.64688639999999997</v>
      </c>
      <c r="BM33" s="78">
        <v>0.92186629999999992</v>
      </c>
      <c r="BN33" s="78">
        <v>1.1127778000000002</v>
      </c>
      <c r="BO33" s="78">
        <v>0.92440934999999991</v>
      </c>
      <c r="BP33" s="78">
        <v>1.1070551499999999</v>
      </c>
    </row>
    <row r="34" spans="1:68" ht="13" x14ac:dyDescent="0.25">
      <c r="A34" s="60">
        <v>1</v>
      </c>
      <c r="B34" s="55">
        <v>26</v>
      </c>
      <c r="C34" s="61">
        <v>0.9678261721698217</v>
      </c>
      <c r="D34" s="61">
        <v>1.1254341461184314</v>
      </c>
      <c r="E34" s="81">
        <v>0.98048820735809783</v>
      </c>
      <c r="F34" s="81">
        <v>1.1451660184462507</v>
      </c>
      <c r="G34" s="78">
        <v>1.0241286999999999</v>
      </c>
      <c r="H34" s="78">
        <v>1.1184669</v>
      </c>
      <c r="I34" s="78">
        <v>0.92909890000000006</v>
      </c>
      <c r="J34" s="78">
        <v>1.1634026</v>
      </c>
      <c r="K34" s="78">
        <v>0.95440469999999999</v>
      </c>
      <c r="L34" s="78">
        <v>1.1856732999999999</v>
      </c>
      <c r="M34" s="78">
        <v>0.84277109999999988</v>
      </c>
      <c r="N34" s="78">
        <v>1.0469889000000001</v>
      </c>
      <c r="O34" s="78">
        <v>0.95440469999999999</v>
      </c>
      <c r="P34" s="78">
        <v>1.1856732999999999</v>
      </c>
      <c r="Q34" s="78">
        <f t="shared" si="24"/>
        <v>0.97826481749999994</v>
      </c>
      <c r="R34" s="78">
        <f t="shared" si="0"/>
        <v>1.2153151324999998</v>
      </c>
      <c r="S34" s="78">
        <f t="shared" si="25"/>
        <v>0.86384037749999976</v>
      </c>
      <c r="T34" s="78">
        <f t="shared" si="1"/>
        <v>1.0731636225000001</v>
      </c>
      <c r="U34" s="78">
        <f t="shared" si="2"/>
        <v>0.97826481749999994</v>
      </c>
      <c r="V34" s="78">
        <f t="shared" si="3"/>
        <v>1.2153151324999998</v>
      </c>
      <c r="W34" s="78">
        <f t="shared" si="26"/>
        <v>0.91622851199999999</v>
      </c>
      <c r="X34" s="78">
        <f t="shared" si="4"/>
        <v>1.1382463679999999</v>
      </c>
      <c r="Y34" s="78">
        <f t="shared" si="27"/>
        <v>0.80906025599999987</v>
      </c>
      <c r="Z34" s="78">
        <f t="shared" si="5"/>
        <v>1.0051093440000001</v>
      </c>
      <c r="AA34" s="78">
        <f t="shared" si="6"/>
        <v>0.91622851199999999</v>
      </c>
      <c r="AB34" s="78">
        <f t="shared" si="7"/>
        <v>1.1382463679999999</v>
      </c>
      <c r="AC34" s="78">
        <v>0.68630000000000002</v>
      </c>
      <c r="AD34" s="78">
        <v>0.41678999999999999</v>
      </c>
      <c r="AE34" s="78">
        <v>0.49431999999999998</v>
      </c>
      <c r="AF34" s="78">
        <v>0.61365000000000003</v>
      </c>
      <c r="AG34" s="78">
        <f t="shared" si="28"/>
        <v>0.68630000000000002</v>
      </c>
      <c r="AH34" s="78">
        <f t="shared" si="29"/>
        <v>0.41678999999999999</v>
      </c>
      <c r="AI34" s="78">
        <f t="shared" si="30"/>
        <v>0.70345749999999996</v>
      </c>
      <c r="AJ34" s="78">
        <f t="shared" si="8"/>
        <v>0.42720974999999994</v>
      </c>
      <c r="AK34" s="78">
        <f t="shared" si="31"/>
        <v>0.50667799999999996</v>
      </c>
      <c r="AL34" s="78">
        <f t="shared" si="9"/>
        <v>0.62899125</v>
      </c>
      <c r="AM34" s="78">
        <f t="shared" si="10"/>
        <v>0.70345749999999996</v>
      </c>
      <c r="AN34" s="78">
        <f t="shared" si="11"/>
        <v>0.42720974999999994</v>
      </c>
      <c r="AO34" s="78">
        <f t="shared" si="32"/>
        <v>0.65884799999999999</v>
      </c>
      <c r="AP34" s="78">
        <f t="shared" si="12"/>
        <v>0.40011839999999999</v>
      </c>
      <c r="AQ34" s="78">
        <f t="shared" si="33"/>
        <v>0.47454719999999995</v>
      </c>
      <c r="AR34" s="78">
        <f t="shared" si="13"/>
        <v>0.58910399999999996</v>
      </c>
      <c r="AS34" s="78">
        <f t="shared" si="14"/>
        <v>0.65884799999999999</v>
      </c>
      <c r="AT34" s="78">
        <f t="shared" si="15"/>
        <v>0.40011839999999999</v>
      </c>
      <c r="AU34" s="78">
        <v>0.76466999999999996</v>
      </c>
      <c r="AV34" s="78">
        <v>0.67544000000000004</v>
      </c>
      <c r="AW34" s="78">
        <v>0.69599999999999995</v>
      </c>
      <c r="AX34" s="78">
        <v>0.95496000000000003</v>
      </c>
      <c r="AY34" s="78">
        <f t="shared" si="34"/>
        <v>0.76466999999999996</v>
      </c>
      <c r="AZ34" s="78">
        <f t="shared" si="35"/>
        <v>0.67544000000000004</v>
      </c>
      <c r="BA34" s="78">
        <f t="shared" si="36"/>
        <v>0.78378674999999987</v>
      </c>
      <c r="BB34" s="78">
        <f t="shared" si="16"/>
        <v>0.692326</v>
      </c>
      <c r="BC34" s="78">
        <f t="shared" si="37"/>
        <v>0.71339999999999992</v>
      </c>
      <c r="BD34" s="78">
        <f t="shared" si="17"/>
        <v>0.97883399999999998</v>
      </c>
      <c r="BE34" s="78">
        <f t="shared" si="18"/>
        <v>0.78378674999999987</v>
      </c>
      <c r="BF34" s="78">
        <f t="shared" si="19"/>
        <v>0.692326</v>
      </c>
      <c r="BG34" s="78">
        <f t="shared" si="38"/>
        <v>0.73408319999999994</v>
      </c>
      <c r="BH34" s="78">
        <f t="shared" si="20"/>
        <v>0.64842240000000007</v>
      </c>
      <c r="BI34" s="78">
        <f t="shared" si="39"/>
        <v>0.66815999999999998</v>
      </c>
      <c r="BJ34" s="78">
        <f t="shared" si="21"/>
        <v>0.91676159999999995</v>
      </c>
      <c r="BK34" s="78">
        <f t="shared" si="22"/>
        <v>0.73408319999999994</v>
      </c>
      <c r="BL34" s="78">
        <f t="shared" si="23"/>
        <v>0.64842240000000007</v>
      </c>
      <c r="BM34" s="78">
        <v>0.89611590000000008</v>
      </c>
      <c r="BN34" s="78">
        <v>1.1221018</v>
      </c>
      <c r="BO34" s="78">
        <v>0.89858789999999988</v>
      </c>
      <c r="BP34" s="78">
        <v>1.1163311</v>
      </c>
    </row>
    <row r="35" spans="1:68" ht="13" x14ac:dyDescent="0.25">
      <c r="A35" s="60">
        <v>1</v>
      </c>
      <c r="B35" s="55">
        <v>27</v>
      </c>
      <c r="C35" s="61">
        <v>0.9652252564159749</v>
      </c>
      <c r="D35" s="61">
        <v>1.1118630082438177</v>
      </c>
      <c r="E35" s="81">
        <v>0.97784646594756663</v>
      </c>
      <c r="F35" s="81">
        <v>1.1315237859278566</v>
      </c>
      <c r="G35" s="78">
        <v>1.022537</v>
      </c>
      <c r="H35" s="78">
        <v>1.0881356</v>
      </c>
      <c r="I35" s="78">
        <v>0.9254192</v>
      </c>
      <c r="J35" s="78">
        <v>1.1666789</v>
      </c>
      <c r="K35" s="78">
        <v>0.9506247000000001</v>
      </c>
      <c r="L35" s="78">
        <v>1.1890122999999999</v>
      </c>
      <c r="M35" s="78">
        <v>0.83943319999999999</v>
      </c>
      <c r="N35" s="78">
        <v>1.0499374000000001</v>
      </c>
      <c r="O35" s="78">
        <v>0.9506247000000001</v>
      </c>
      <c r="P35" s="78">
        <v>1.1890122999999999</v>
      </c>
      <c r="Q35" s="78">
        <f t="shared" si="24"/>
        <v>0.97439031750000005</v>
      </c>
      <c r="R35" s="78">
        <f t="shared" si="0"/>
        <v>1.2187376074999998</v>
      </c>
      <c r="S35" s="78">
        <f t="shared" si="25"/>
        <v>0.86041902999999986</v>
      </c>
      <c r="T35" s="78">
        <f t="shared" si="1"/>
        <v>1.076185835</v>
      </c>
      <c r="U35" s="78">
        <f t="shared" si="2"/>
        <v>0.97439031750000005</v>
      </c>
      <c r="V35" s="78">
        <f t="shared" si="3"/>
        <v>1.2187376074999998</v>
      </c>
      <c r="W35" s="78">
        <f t="shared" si="26"/>
        <v>0.91259971200000001</v>
      </c>
      <c r="X35" s="78">
        <f t="shared" si="4"/>
        <v>1.1414518079999998</v>
      </c>
      <c r="Y35" s="78">
        <f t="shared" si="27"/>
        <v>0.80585587199999997</v>
      </c>
      <c r="Z35" s="78">
        <f t="shared" si="5"/>
        <v>1.0079399040000001</v>
      </c>
      <c r="AA35" s="78">
        <f t="shared" si="6"/>
        <v>0.91259971200000001</v>
      </c>
      <c r="AB35" s="78">
        <f t="shared" si="7"/>
        <v>1.1414518079999998</v>
      </c>
      <c r="AC35" s="78">
        <v>0.68315000000000003</v>
      </c>
      <c r="AD35" s="78">
        <v>0.41221000000000002</v>
      </c>
      <c r="AE35" s="78">
        <v>0.49177999999999999</v>
      </c>
      <c r="AF35" s="78">
        <v>0.61197999999999997</v>
      </c>
      <c r="AG35" s="78">
        <f t="shared" si="28"/>
        <v>0.68315000000000003</v>
      </c>
      <c r="AH35" s="78">
        <f t="shared" si="29"/>
        <v>0.41221000000000002</v>
      </c>
      <c r="AI35" s="78">
        <f t="shared" si="30"/>
        <v>0.70022874999999996</v>
      </c>
      <c r="AJ35" s="78">
        <f t="shared" si="8"/>
        <v>0.42251525000000001</v>
      </c>
      <c r="AK35" s="78">
        <f t="shared" si="31"/>
        <v>0.50407449999999998</v>
      </c>
      <c r="AL35" s="78">
        <f t="shared" si="9"/>
        <v>0.62727949999999988</v>
      </c>
      <c r="AM35" s="78">
        <f t="shared" si="10"/>
        <v>0.70022874999999996</v>
      </c>
      <c r="AN35" s="78">
        <f t="shared" si="11"/>
        <v>0.42251525000000001</v>
      </c>
      <c r="AO35" s="78">
        <f t="shared" si="32"/>
        <v>0.65582399999999996</v>
      </c>
      <c r="AP35" s="78">
        <f t="shared" si="12"/>
        <v>0.39572160000000001</v>
      </c>
      <c r="AQ35" s="78">
        <f t="shared" si="33"/>
        <v>0.4721088</v>
      </c>
      <c r="AR35" s="78">
        <f t="shared" si="13"/>
        <v>0.58750079999999993</v>
      </c>
      <c r="AS35" s="78">
        <f t="shared" si="14"/>
        <v>0.65582399999999996</v>
      </c>
      <c r="AT35" s="78">
        <f t="shared" si="15"/>
        <v>0.39572160000000001</v>
      </c>
      <c r="AU35" s="78">
        <v>0.76132999999999995</v>
      </c>
      <c r="AV35" s="78">
        <v>0.67352000000000001</v>
      </c>
      <c r="AW35" s="78">
        <v>0.69298999999999999</v>
      </c>
      <c r="AX35" s="78">
        <v>0.95681000000000005</v>
      </c>
      <c r="AY35" s="78">
        <f t="shared" si="34"/>
        <v>0.76132999999999995</v>
      </c>
      <c r="AZ35" s="78">
        <f t="shared" si="35"/>
        <v>0.67352000000000001</v>
      </c>
      <c r="BA35" s="78">
        <f t="shared" si="36"/>
        <v>0.78036324999999984</v>
      </c>
      <c r="BB35" s="78">
        <f t="shared" si="16"/>
        <v>0.69035799999999992</v>
      </c>
      <c r="BC35" s="78">
        <f t="shared" si="37"/>
        <v>0.71031474999999988</v>
      </c>
      <c r="BD35" s="78">
        <f t="shared" si="17"/>
        <v>0.98073024999999991</v>
      </c>
      <c r="BE35" s="78">
        <f t="shared" si="18"/>
        <v>0.78036324999999984</v>
      </c>
      <c r="BF35" s="78">
        <f t="shared" si="19"/>
        <v>0.69035799999999992</v>
      </c>
      <c r="BG35" s="78">
        <f t="shared" si="38"/>
        <v>0.73087679999999988</v>
      </c>
      <c r="BH35" s="78">
        <f t="shared" si="20"/>
        <v>0.64657920000000002</v>
      </c>
      <c r="BI35" s="78">
        <f t="shared" si="39"/>
        <v>0.66527039999999993</v>
      </c>
      <c r="BJ35" s="78">
        <f t="shared" si="21"/>
        <v>0.91853760000000007</v>
      </c>
      <c r="BK35" s="78">
        <f t="shared" si="22"/>
        <v>0.73087679999999988</v>
      </c>
      <c r="BL35" s="78">
        <f t="shared" si="23"/>
        <v>0.64657920000000002</v>
      </c>
      <c r="BM35" s="78">
        <v>0.89256679999999999</v>
      </c>
      <c r="BN35" s="78">
        <v>1.1252617999999999</v>
      </c>
      <c r="BO35" s="78">
        <v>0.89502895000000005</v>
      </c>
      <c r="BP35" s="78">
        <v>1.11947485</v>
      </c>
    </row>
    <row r="36" spans="1:68" ht="13" x14ac:dyDescent="0.25">
      <c r="A36" s="60">
        <v>1</v>
      </c>
      <c r="B36" s="55">
        <v>28</v>
      </c>
      <c r="C36" s="61">
        <v>0.96743669298906265</v>
      </c>
      <c r="D36" s="61">
        <v>1.1305029359069343</v>
      </c>
      <c r="E36" s="81">
        <v>0.98011151439935518</v>
      </c>
      <c r="F36" s="81">
        <v>1.1503674370287751</v>
      </c>
      <c r="G36" s="78">
        <v>1.0206637000000001</v>
      </c>
      <c r="H36" s="78">
        <v>1.1190864999999999</v>
      </c>
      <c r="I36" s="78">
        <v>0.93183670000000007</v>
      </c>
      <c r="J36" s="78">
        <v>1.1731811000000001</v>
      </c>
      <c r="K36" s="78">
        <v>0.95721710000000004</v>
      </c>
      <c r="L36" s="78">
        <v>1.1956391000000002</v>
      </c>
      <c r="M36" s="78">
        <v>0.84525450000000002</v>
      </c>
      <c r="N36" s="78">
        <v>1.0557890999999999</v>
      </c>
      <c r="O36" s="78">
        <v>0.95721710000000004</v>
      </c>
      <c r="P36" s="78">
        <v>1.1956391000000002</v>
      </c>
      <c r="Q36" s="78">
        <f t="shared" si="24"/>
        <v>0.98114752750000001</v>
      </c>
      <c r="R36" s="78">
        <f t="shared" si="0"/>
        <v>1.2255300775</v>
      </c>
      <c r="S36" s="78">
        <f t="shared" si="25"/>
        <v>0.86638586249999994</v>
      </c>
      <c r="T36" s="78">
        <f t="shared" si="1"/>
        <v>1.0821838274999998</v>
      </c>
      <c r="U36" s="78">
        <f t="shared" si="2"/>
        <v>0.98114752750000001</v>
      </c>
      <c r="V36" s="78">
        <f t="shared" si="3"/>
        <v>1.2255300775</v>
      </c>
      <c r="W36" s="78">
        <f t="shared" si="26"/>
        <v>0.91892841599999997</v>
      </c>
      <c r="X36" s="78">
        <f t="shared" si="4"/>
        <v>1.1478135360000001</v>
      </c>
      <c r="Y36" s="78">
        <f t="shared" si="27"/>
        <v>0.81144432</v>
      </c>
      <c r="Z36" s="78">
        <f t="shared" si="5"/>
        <v>1.013557536</v>
      </c>
      <c r="AA36" s="78">
        <f t="shared" si="6"/>
        <v>0.91892841599999997</v>
      </c>
      <c r="AB36" s="78">
        <f t="shared" si="7"/>
        <v>1.1478135360000001</v>
      </c>
      <c r="AC36" s="78">
        <v>0.68747999999999998</v>
      </c>
      <c r="AD36" s="78">
        <v>0.42029</v>
      </c>
      <c r="AE36" s="78">
        <v>0.49464000000000002</v>
      </c>
      <c r="AF36" s="78">
        <v>0.61875999999999998</v>
      </c>
      <c r="AG36" s="78">
        <f t="shared" si="28"/>
        <v>0.68747999999999998</v>
      </c>
      <c r="AH36" s="78">
        <f t="shared" si="29"/>
        <v>0.42029</v>
      </c>
      <c r="AI36" s="78">
        <f t="shared" si="30"/>
        <v>0.70466699999999993</v>
      </c>
      <c r="AJ36" s="78">
        <f t="shared" si="8"/>
        <v>0.43079724999999996</v>
      </c>
      <c r="AK36" s="78">
        <f t="shared" si="31"/>
        <v>0.50700599999999996</v>
      </c>
      <c r="AL36" s="78">
        <f t="shared" si="9"/>
        <v>0.63422899999999993</v>
      </c>
      <c r="AM36" s="78">
        <f t="shared" si="10"/>
        <v>0.70466699999999993</v>
      </c>
      <c r="AN36" s="78">
        <f t="shared" si="11"/>
        <v>0.43079724999999996</v>
      </c>
      <c r="AO36" s="78">
        <f t="shared" si="32"/>
        <v>0.65998079999999992</v>
      </c>
      <c r="AP36" s="78">
        <f t="shared" si="12"/>
        <v>0.40347839999999996</v>
      </c>
      <c r="AQ36" s="78">
        <f t="shared" si="33"/>
        <v>0.47485440000000001</v>
      </c>
      <c r="AR36" s="78">
        <f t="shared" si="13"/>
        <v>0.59400959999999992</v>
      </c>
      <c r="AS36" s="78">
        <f t="shared" si="14"/>
        <v>0.65998079999999992</v>
      </c>
      <c r="AT36" s="78">
        <f t="shared" si="15"/>
        <v>0.40347839999999996</v>
      </c>
      <c r="AU36" s="78">
        <v>0.76632</v>
      </c>
      <c r="AV36" s="78">
        <v>0.68111999999999995</v>
      </c>
      <c r="AW36" s="78">
        <v>0.69755</v>
      </c>
      <c r="AX36" s="78">
        <v>0.96294000000000002</v>
      </c>
      <c r="AY36" s="78">
        <f t="shared" si="34"/>
        <v>0.76632</v>
      </c>
      <c r="AZ36" s="78">
        <f t="shared" si="35"/>
        <v>0.68111999999999995</v>
      </c>
      <c r="BA36" s="78">
        <f t="shared" si="36"/>
        <v>0.7854779999999999</v>
      </c>
      <c r="BB36" s="78">
        <f t="shared" si="16"/>
        <v>0.69814799999999988</v>
      </c>
      <c r="BC36" s="78">
        <f t="shared" si="37"/>
        <v>0.71498874999999995</v>
      </c>
      <c r="BD36" s="78">
        <f t="shared" si="17"/>
        <v>0.98701349999999999</v>
      </c>
      <c r="BE36" s="78">
        <f t="shared" si="18"/>
        <v>0.7854779999999999</v>
      </c>
      <c r="BF36" s="78">
        <f t="shared" si="19"/>
        <v>0.69814799999999988</v>
      </c>
      <c r="BG36" s="78">
        <f t="shared" si="38"/>
        <v>0.73566719999999997</v>
      </c>
      <c r="BH36" s="78">
        <f t="shared" si="20"/>
        <v>0.65387519999999988</v>
      </c>
      <c r="BI36" s="78">
        <f t="shared" si="39"/>
        <v>0.66964800000000002</v>
      </c>
      <c r="BJ36" s="78">
        <f t="shared" si="21"/>
        <v>0.92442239999999998</v>
      </c>
      <c r="BK36" s="78">
        <f t="shared" si="22"/>
        <v>0.73566719999999997</v>
      </c>
      <c r="BL36" s="78">
        <f t="shared" si="23"/>
        <v>0.65387519999999988</v>
      </c>
      <c r="BM36" s="78">
        <v>0.89875649999999996</v>
      </c>
      <c r="BN36" s="78">
        <v>1.1315332</v>
      </c>
      <c r="BO36" s="78">
        <v>0.90123580000000003</v>
      </c>
      <c r="BP36" s="78">
        <v>1.1257141000000002</v>
      </c>
    </row>
    <row r="37" spans="1:68" ht="13" x14ac:dyDescent="0.25">
      <c r="A37" s="60">
        <v>1</v>
      </c>
      <c r="B37" s="55">
        <v>29</v>
      </c>
      <c r="C37" s="61">
        <v>0.97119871239613564</v>
      </c>
      <c r="D37" s="61">
        <v>1.1284787918172019</v>
      </c>
      <c r="E37" s="81">
        <v>0.98393072012640426</v>
      </c>
      <c r="F37" s="81">
        <v>1.1485167985753379</v>
      </c>
      <c r="G37" s="78">
        <v>1.0232843</v>
      </c>
      <c r="H37" s="78">
        <v>1.0959752</v>
      </c>
      <c r="I37" s="78">
        <v>0.93683470000000002</v>
      </c>
      <c r="J37" s="78">
        <v>1.192766</v>
      </c>
      <c r="K37" s="78">
        <v>0.96235119999999996</v>
      </c>
      <c r="L37" s="78">
        <v>1.2155988</v>
      </c>
      <c r="M37" s="78">
        <v>0.84978809999999994</v>
      </c>
      <c r="N37" s="78">
        <v>1.0734142</v>
      </c>
      <c r="O37" s="78">
        <v>0.96235119999999996</v>
      </c>
      <c r="P37" s="78">
        <v>1.2155988</v>
      </c>
      <c r="Q37" s="78">
        <f t="shared" si="24"/>
        <v>0.98640997999999991</v>
      </c>
      <c r="R37" s="78">
        <f t="shared" si="0"/>
        <v>1.2459887699999999</v>
      </c>
      <c r="S37" s="78">
        <f t="shared" si="25"/>
        <v>0.87103280249999981</v>
      </c>
      <c r="T37" s="78">
        <f t="shared" si="1"/>
        <v>1.100249555</v>
      </c>
      <c r="U37" s="78">
        <f t="shared" si="2"/>
        <v>0.98640997999999991</v>
      </c>
      <c r="V37" s="78">
        <f t="shared" si="3"/>
        <v>1.2459887699999999</v>
      </c>
      <c r="W37" s="78">
        <f t="shared" si="26"/>
        <v>0.92385715199999996</v>
      </c>
      <c r="X37" s="78">
        <f t="shared" si="4"/>
        <v>1.166974848</v>
      </c>
      <c r="Y37" s="78">
        <f t="shared" si="27"/>
        <v>0.81579657599999988</v>
      </c>
      <c r="Z37" s="78">
        <f t="shared" si="5"/>
        <v>1.030477632</v>
      </c>
      <c r="AA37" s="78">
        <f t="shared" si="6"/>
        <v>0.92385715199999996</v>
      </c>
      <c r="AB37" s="78">
        <f t="shared" si="7"/>
        <v>1.166974848</v>
      </c>
      <c r="AC37" s="78">
        <v>0.68896999999999997</v>
      </c>
      <c r="AD37" s="78">
        <v>0.45357999999999998</v>
      </c>
      <c r="AE37" s="78">
        <v>0.49445</v>
      </c>
      <c r="AF37" s="78">
        <v>0.64385999999999999</v>
      </c>
      <c r="AG37" s="78">
        <f t="shared" si="28"/>
        <v>0.68896999999999997</v>
      </c>
      <c r="AH37" s="78">
        <f t="shared" si="29"/>
        <v>0.45357999999999998</v>
      </c>
      <c r="AI37" s="78">
        <f t="shared" si="30"/>
        <v>0.70619424999999991</v>
      </c>
      <c r="AJ37" s="78">
        <f t="shared" si="8"/>
        <v>0.46491949999999993</v>
      </c>
      <c r="AK37" s="78">
        <f t="shared" si="31"/>
        <v>0.50681124999999994</v>
      </c>
      <c r="AL37" s="78">
        <f t="shared" si="9"/>
        <v>0.65995649999999995</v>
      </c>
      <c r="AM37" s="78">
        <f t="shared" si="10"/>
        <v>0.70619424999999991</v>
      </c>
      <c r="AN37" s="78">
        <f t="shared" si="11"/>
        <v>0.46491949999999993</v>
      </c>
      <c r="AO37" s="78">
        <f t="shared" si="32"/>
        <v>0.66141119999999998</v>
      </c>
      <c r="AP37" s="78">
        <f t="shared" si="12"/>
        <v>0.43543679999999996</v>
      </c>
      <c r="AQ37" s="78">
        <f t="shared" si="33"/>
        <v>0.47467199999999998</v>
      </c>
      <c r="AR37" s="78">
        <f t="shared" si="13"/>
        <v>0.61810559999999992</v>
      </c>
      <c r="AS37" s="78">
        <f t="shared" si="14"/>
        <v>0.66141119999999998</v>
      </c>
      <c r="AT37" s="78">
        <f t="shared" si="15"/>
        <v>0.43543679999999996</v>
      </c>
      <c r="AU37" s="78">
        <v>0.76888000000000001</v>
      </c>
      <c r="AV37" s="78">
        <v>0.70992</v>
      </c>
      <c r="AW37" s="78">
        <v>0.70009999999999994</v>
      </c>
      <c r="AX37" s="78">
        <v>0.98211999999999999</v>
      </c>
      <c r="AY37" s="78">
        <f t="shared" si="34"/>
        <v>0.76888000000000001</v>
      </c>
      <c r="AZ37" s="78">
        <f t="shared" si="35"/>
        <v>0.70992</v>
      </c>
      <c r="BA37" s="78">
        <f t="shared" si="36"/>
        <v>0.78810199999999997</v>
      </c>
      <c r="BB37" s="78">
        <f t="shared" si="16"/>
        <v>0.72766799999999998</v>
      </c>
      <c r="BC37" s="78">
        <f t="shared" si="37"/>
        <v>0.71760249999999992</v>
      </c>
      <c r="BD37" s="78">
        <f t="shared" si="17"/>
        <v>1.0066729999999999</v>
      </c>
      <c r="BE37" s="78">
        <f t="shared" si="18"/>
        <v>0.78810199999999997</v>
      </c>
      <c r="BF37" s="78">
        <f t="shared" si="19"/>
        <v>0.72766799999999998</v>
      </c>
      <c r="BG37" s="78">
        <f t="shared" si="38"/>
        <v>0.73812480000000003</v>
      </c>
      <c r="BH37" s="78">
        <f t="shared" si="20"/>
        <v>0.6815232</v>
      </c>
      <c r="BI37" s="78">
        <f t="shared" si="39"/>
        <v>0.67209599999999992</v>
      </c>
      <c r="BJ37" s="78">
        <f t="shared" si="21"/>
        <v>0.94283519999999998</v>
      </c>
      <c r="BK37" s="78">
        <f t="shared" si="22"/>
        <v>0.73812480000000003</v>
      </c>
      <c r="BL37" s="78">
        <f t="shared" si="23"/>
        <v>0.6815232</v>
      </c>
      <c r="BM37" s="78">
        <v>0.90357710000000002</v>
      </c>
      <c r="BN37" s="78">
        <v>1.1504228000000001</v>
      </c>
      <c r="BO37" s="78">
        <v>0.90606964999999995</v>
      </c>
      <c r="BP37" s="78">
        <v>1.1445064999999999</v>
      </c>
    </row>
    <row r="38" spans="1:68" ht="13" x14ac:dyDescent="0.25">
      <c r="A38" s="60">
        <v>1</v>
      </c>
      <c r="B38" s="55">
        <v>30</v>
      </c>
      <c r="C38" s="61">
        <v>0.97406284593211778</v>
      </c>
      <c r="D38" s="61">
        <v>1.1246348545212694</v>
      </c>
      <c r="E38" s="81">
        <v>0.98687341355380598</v>
      </c>
      <c r="F38" s="81">
        <v>1.1446282487470261</v>
      </c>
      <c r="G38" s="78">
        <v>1.0193004000000001</v>
      </c>
      <c r="H38" s="78">
        <v>1.0898551000000001</v>
      </c>
      <c r="I38" s="78">
        <v>0.94673419999999997</v>
      </c>
      <c r="J38" s="78">
        <v>1.1911553000000001</v>
      </c>
      <c r="K38" s="78">
        <v>0.9725203</v>
      </c>
      <c r="L38" s="78">
        <v>1.2139572999999999</v>
      </c>
      <c r="M38" s="78">
        <v>0.85876779999999997</v>
      </c>
      <c r="N38" s="78">
        <v>1.0719647000000001</v>
      </c>
      <c r="O38" s="78">
        <v>0.9725203</v>
      </c>
      <c r="P38" s="78">
        <v>1.2139572999999999</v>
      </c>
      <c r="Q38" s="78">
        <f t="shared" si="24"/>
        <v>0.99683330749999988</v>
      </c>
      <c r="R38" s="78">
        <f t="shared" si="0"/>
        <v>1.2443062324999998</v>
      </c>
      <c r="S38" s="78">
        <f t="shared" si="25"/>
        <v>0.88023699499999986</v>
      </c>
      <c r="T38" s="78">
        <f t="shared" si="1"/>
        <v>1.0987638175000001</v>
      </c>
      <c r="U38" s="78">
        <f t="shared" si="2"/>
        <v>0.99683330749999988</v>
      </c>
      <c r="V38" s="78">
        <f t="shared" si="3"/>
        <v>1.2443062324999998</v>
      </c>
      <c r="W38" s="78">
        <f t="shared" si="26"/>
        <v>0.93361948799999994</v>
      </c>
      <c r="X38" s="78">
        <f t="shared" si="4"/>
        <v>1.1653990079999998</v>
      </c>
      <c r="Y38" s="78">
        <f t="shared" si="27"/>
        <v>0.82441708799999991</v>
      </c>
      <c r="Z38" s="78">
        <f t="shared" si="5"/>
        <v>1.0290861120000001</v>
      </c>
      <c r="AA38" s="78">
        <f t="shared" si="6"/>
        <v>0.93361948799999994</v>
      </c>
      <c r="AB38" s="78">
        <f t="shared" si="7"/>
        <v>1.1653990079999998</v>
      </c>
      <c r="AC38" s="78">
        <v>0.69415000000000004</v>
      </c>
      <c r="AD38" s="78">
        <v>0.47593000000000002</v>
      </c>
      <c r="AE38" s="78">
        <v>0.49695</v>
      </c>
      <c r="AF38" s="78">
        <v>0.65588999999999997</v>
      </c>
      <c r="AG38" s="78">
        <f t="shared" si="28"/>
        <v>0.69415000000000004</v>
      </c>
      <c r="AH38" s="78">
        <f t="shared" si="29"/>
        <v>0.47593000000000002</v>
      </c>
      <c r="AI38" s="78">
        <f t="shared" si="30"/>
        <v>0.71150374999999999</v>
      </c>
      <c r="AJ38" s="78">
        <f t="shared" si="8"/>
        <v>0.48782824999999996</v>
      </c>
      <c r="AK38" s="78">
        <f t="shared" si="31"/>
        <v>0.50937374999999996</v>
      </c>
      <c r="AL38" s="78">
        <f t="shared" si="9"/>
        <v>0.67228724999999989</v>
      </c>
      <c r="AM38" s="78">
        <f t="shared" si="10"/>
        <v>0.71150374999999999</v>
      </c>
      <c r="AN38" s="78">
        <f t="shared" si="11"/>
        <v>0.48782824999999996</v>
      </c>
      <c r="AO38" s="78">
        <f t="shared" si="32"/>
        <v>0.66638399999999998</v>
      </c>
      <c r="AP38" s="78">
        <f t="shared" si="12"/>
        <v>0.45689279999999999</v>
      </c>
      <c r="AQ38" s="78">
        <f t="shared" si="33"/>
        <v>0.477072</v>
      </c>
      <c r="AR38" s="78">
        <f t="shared" si="13"/>
        <v>0.62965439999999995</v>
      </c>
      <c r="AS38" s="78">
        <f t="shared" si="14"/>
        <v>0.66638399999999998</v>
      </c>
      <c r="AT38" s="78">
        <f t="shared" si="15"/>
        <v>0.45689279999999999</v>
      </c>
      <c r="AU38" s="78">
        <v>0.77551000000000003</v>
      </c>
      <c r="AV38" s="78">
        <v>0.72419999999999995</v>
      </c>
      <c r="AW38" s="78">
        <v>0.70635999999999999</v>
      </c>
      <c r="AX38" s="78">
        <v>0.98350000000000004</v>
      </c>
      <c r="AY38" s="78">
        <f t="shared" si="34"/>
        <v>0.77551000000000003</v>
      </c>
      <c r="AZ38" s="78">
        <f t="shared" si="35"/>
        <v>0.72419999999999995</v>
      </c>
      <c r="BA38" s="78">
        <f t="shared" si="36"/>
        <v>0.79489774999999996</v>
      </c>
      <c r="BB38" s="78">
        <f t="shared" si="16"/>
        <v>0.74230499999999988</v>
      </c>
      <c r="BC38" s="78">
        <f t="shared" si="37"/>
        <v>0.72401899999999997</v>
      </c>
      <c r="BD38" s="78">
        <f t="shared" si="17"/>
        <v>1.0080875</v>
      </c>
      <c r="BE38" s="78">
        <f t="shared" si="18"/>
        <v>0.79489774999999996</v>
      </c>
      <c r="BF38" s="78">
        <f t="shared" si="19"/>
        <v>0.74230499999999988</v>
      </c>
      <c r="BG38" s="78">
        <f t="shared" si="38"/>
        <v>0.74448959999999997</v>
      </c>
      <c r="BH38" s="78">
        <f t="shared" si="20"/>
        <v>0.69523199999999996</v>
      </c>
      <c r="BI38" s="78">
        <f t="shared" si="39"/>
        <v>0.67810559999999998</v>
      </c>
      <c r="BJ38" s="78">
        <f t="shared" si="21"/>
        <v>0.94416</v>
      </c>
      <c r="BK38" s="78">
        <f t="shared" si="22"/>
        <v>0.74448959999999997</v>
      </c>
      <c r="BL38" s="78">
        <f t="shared" si="23"/>
        <v>0.69523199999999996</v>
      </c>
      <c r="BM38" s="78">
        <v>0.91312510000000002</v>
      </c>
      <c r="BN38" s="78">
        <v>1.1488693000000001</v>
      </c>
      <c r="BO38" s="78">
        <v>0.91564405000000004</v>
      </c>
      <c r="BP38" s="78">
        <v>1.1429610000000001</v>
      </c>
    </row>
    <row r="39" spans="1:68" ht="13" x14ac:dyDescent="0.25">
      <c r="A39" s="60">
        <v>1</v>
      </c>
      <c r="B39" s="55">
        <v>31</v>
      </c>
      <c r="C39" s="61">
        <v>0.9814581634205759</v>
      </c>
      <c r="D39" s="61">
        <v>1.1393400606140653</v>
      </c>
      <c r="E39" s="81">
        <v>0.99438424203060283</v>
      </c>
      <c r="F39" s="81">
        <v>1.159462340504724</v>
      </c>
      <c r="G39" s="78">
        <v>1.0239234000000002</v>
      </c>
      <c r="H39" s="78">
        <v>1.1174863000000002</v>
      </c>
      <c r="I39" s="78">
        <v>0.9570978</v>
      </c>
      <c r="J39" s="78">
        <v>1.1929832</v>
      </c>
      <c r="K39" s="78">
        <v>0.98316619999999999</v>
      </c>
      <c r="L39" s="78">
        <v>1.2158202</v>
      </c>
      <c r="M39" s="78">
        <v>0.86816839999999995</v>
      </c>
      <c r="N39" s="78">
        <v>1.0736096000000002</v>
      </c>
      <c r="O39" s="78">
        <v>0.98316619999999999</v>
      </c>
      <c r="P39" s="78">
        <v>1.2158202</v>
      </c>
      <c r="Q39" s="78">
        <f t="shared" si="24"/>
        <v>1.007745355</v>
      </c>
      <c r="R39" s="78">
        <f t="shared" si="0"/>
        <v>1.246215705</v>
      </c>
      <c r="S39" s="78">
        <f t="shared" si="25"/>
        <v>0.88987260999999984</v>
      </c>
      <c r="T39" s="78">
        <f t="shared" si="1"/>
        <v>1.10044984</v>
      </c>
      <c r="U39" s="78">
        <f t="shared" si="2"/>
        <v>1.007745355</v>
      </c>
      <c r="V39" s="78">
        <f t="shared" si="3"/>
        <v>1.246215705</v>
      </c>
      <c r="W39" s="78">
        <f t="shared" si="26"/>
        <v>0.94383955199999992</v>
      </c>
      <c r="X39" s="78">
        <f t="shared" si="4"/>
        <v>1.167187392</v>
      </c>
      <c r="Y39" s="78">
        <f t="shared" si="27"/>
        <v>0.83344166399999997</v>
      </c>
      <c r="Z39" s="78">
        <f t="shared" si="5"/>
        <v>1.0306652160000001</v>
      </c>
      <c r="AA39" s="78">
        <f t="shared" si="6"/>
        <v>0.94383955199999992</v>
      </c>
      <c r="AB39" s="78">
        <f t="shared" si="7"/>
        <v>1.167187392</v>
      </c>
      <c r="AC39" s="78">
        <v>0.69791999999999998</v>
      </c>
      <c r="AD39" s="78">
        <v>0.49695</v>
      </c>
      <c r="AE39" s="78">
        <v>0.49746000000000001</v>
      </c>
      <c r="AF39" s="78">
        <v>0.66830000000000001</v>
      </c>
      <c r="AG39" s="78">
        <f t="shared" si="28"/>
        <v>0.69791999999999998</v>
      </c>
      <c r="AH39" s="78">
        <f t="shared" si="29"/>
        <v>0.49695</v>
      </c>
      <c r="AI39" s="78">
        <f t="shared" si="30"/>
        <v>0.71536799999999989</v>
      </c>
      <c r="AJ39" s="78">
        <f t="shared" si="8"/>
        <v>0.50937374999999996</v>
      </c>
      <c r="AK39" s="78">
        <f t="shared" si="31"/>
        <v>0.50989649999999997</v>
      </c>
      <c r="AL39" s="78">
        <f t="shared" si="9"/>
        <v>0.68500749999999999</v>
      </c>
      <c r="AM39" s="78">
        <f t="shared" si="10"/>
        <v>0.71536799999999989</v>
      </c>
      <c r="AN39" s="78">
        <f t="shared" si="11"/>
        <v>0.50937374999999996</v>
      </c>
      <c r="AO39" s="78">
        <f t="shared" si="32"/>
        <v>0.67000319999999991</v>
      </c>
      <c r="AP39" s="78">
        <f t="shared" si="12"/>
        <v>0.477072</v>
      </c>
      <c r="AQ39" s="78">
        <f t="shared" si="33"/>
        <v>0.47756159999999998</v>
      </c>
      <c r="AR39" s="78">
        <f t="shared" si="13"/>
        <v>0.64156800000000003</v>
      </c>
      <c r="AS39" s="78">
        <f t="shared" si="14"/>
        <v>0.67000319999999991</v>
      </c>
      <c r="AT39" s="78">
        <f t="shared" si="15"/>
        <v>0.477072</v>
      </c>
      <c r="AU39" s="78">
        <v>0.78129999999999999</v>
      </c>
      <c r="AV39" s="78">
        <v>0.73877999999999999</v>
      </c>
      <c r="AW39" s="78">
        <v>0.71204000000000001</v>
      </c>
      <c r="AX39" s="78">
        <v>0.98741000000000001</v>
      </c>
      <c r="AY39" s="78">
        <f t="shared" si="34"/>
        <v>0.78129999999999999</v>
      </c>
      <c r="AZ39" s="78">
        <f t="shared" si="35"/>
        <v>0.73877999999999999</v>
      </c>
      <c r="BA39" s="78">
        <f t="shared" si="36"/>
        <v>0.80083249999999995</v>
      </c>
      <c r="BB39" s="78">
        <f t="shared" si="16"/>
        <v>0.75724949999999991</v>
      </c>
      <c r="BC39" s="78">
        <f t="shared" si="37"/>
        <v>0.72984099999999996</v>
      </c>
      <c r="BD39" s="78">
        <f t="shared" si="17"/>
        <v>1.01209525</v>
      </c>
      <c r="BE39" s="78">
        <f t="shared" si="18"/>
        <v>0.80083249999999995</v>
      </c>
      <c r="BF39" s="78">
        <f t="shared" si="19"/>
        <v>0.75724949999999991</v>
      </c>
      <c r="BG39" s="78">
        <f t="shared" si="38"/>
        <v>0.75004799999999994</v>
      </c>
      <c r="BH39" s="78">
        <f t="shared" si="20"/>
        <v>0.70922879999999999</v>
      </c>
      <c r="BI39" s="78">
        <f t="shared" si="39"/>
        <v>0.68355840000000001</v>
      </c>
      <c r="BJ39" s="78">
        <f t="shared" si="21"/>
        <v>0.94791360000000002</v>
      </c>
      <c r="BK39" s="78">
        <f t="shared" si="22"/>
        <v>0.75004799999999994</v>
      </c>
      <c r="BL39" s="78">
        <f t="shared" si="23"/>
        <v>0.70922879999999999</v>
      </c>
      <c r="BM39" s="78">
        <v>0.92312079999999996</v>
      </c>
      <c r="BN39" s="78">
        <v>1.1506323000000001</v>
      </c>
      <c r="BO39" s="78">
        <v>0.92566729999999997</v>
      </c>
      <c r="BP39" s="78">
        <v>1.1447149000000001</v>
      </c>
    </row>
    <row r="40" spans="1:68" ht="13" x14ac:dyDescent="0.25">
      <c r="A40" s="60">
        <v>1</v>
      </c>
      <c r="B40" s="55">
        <v>32</v>
      </c>
      <c r="C40" s="61">
        <v>0.98139255702280925</v>
      </c>
      <c r="D40" s="61">
        <v>1.1372520255109722</v>
      </c>
      <c r="E40" s="81">
        <v>0.9943731203608388</v>
      </c>
      <c r="F40" s="81">
        <v>1.1575097685153282</v>
      </c>
      <c r="G40" s="78">
        <v>1.0144058</v>
      </c>
      <c r="H40" s="78">
        <v>1.0980392000000001</v>
      </c>
      <c r="I40" s="78">
        <v>0.9666652</v>
      </c>
      <c r="J40" s="78">
        <v>1.2086723000000001</v>
      </c>
      <c r="K40" s="78">
        <v>0.99299419999999994</v>
      </c>
      <c r="L40" s="78">
        <v>1.2318096000000001</v>
      </c>
      <c r="M40" s="78">
        <v>0.87684689999999998</v>
      </c>
      <c r="N40" s="78">
        <v>1.0877289000000001</v>
      </c>
      <c r="O40" s="78">
        <v>0.99299419999999994</v>
      </c>
      <c r="P40" s="78">
        <v>1.2318096000000001</v>
      </c>
      <c r="Q40" s="78">
        <f t="shared" si="24"/>
        <v>1.0178190549999999</v>
      </c>
      <c r="R40" s="78">
        <f t="shared" si="0"/>
        <v>1.2626048400000001</v>
      </c>
      <c r="S40" s="78">
        <f t="shared" si="25"/>
        <v>0.8987680724999999</v>
      </c>
      <c r="T40" s="78">
        <f t="shared" si="1"/>
        <v>1.1149221225000001</v>
      </c>
      <c r="U40" s="78">
        <f t="shared" si="2"/>
        <v>1.0178190549999999</v>
      </c>
      <c r="V40" s="78">
        <f t="shared" si="3"/>
        <v>1.2626048400000001</v>
      </c>
      <c r="W40" s="78">
        <f t="shared" si="26"/>
        <v>0.95327443199999995</v>
      </c>
      <c r="X40" s="78">
        <f t="shared" si="4"/>
        <v>1.1825372160000001</v>
      </c>
      <c r="Y40" s="78">
        <f t="shared" si="27"/>
        <v>0.84177302399999998</v>
      </c>
      <c r="Z40" s="78">
        <f t="shared" si="5"/>
        <v>1.0442197440000001</v>
      </c>
      <c r="AA40" s="78">
        <f t="shared" si="6"/>
        <v>0.95327443199999995</v>
      </c>
      <c r="AB40" s="78">
        <f t="shared" si="7"/>
        <v>1.1825372160000001</v>
      </c>
      <c r="AC40" s="78">
        <v>0.69749000000000005</v>
      </c>
      <c r="AD40" s="78">
        <v>0.52176</v>
      </c>
      <c r="AE40" s="78">
        <v>0.49276999999999999</v>
      </c>
      <c r="AF40" s="78">
        <v>0.68762000000000001</v>
      </c>
      <c r="AG40" s="78">
        <f t="shared" si="28"/>
        <v>0.69749000000000005</v>
      </c>
      <c r="AH40" s="78">
        <f t="shared" si="29"/>
        <v>0.52176</v>
      </c>
      <c r="AI40" s="78">
        <f t="shared" si="30"/>
        <v>0.71492725000000001</v>
      </c>
      <c r="AJ40" s="78">
        <f t="shared" si="8"/>
        <v>0.53480399999999995</v>
      </c>
      <c r="AK40" s="78">
        <f t="shared" si="31"/>
        <v>0.50508924999999993</v>
      </c>
      <c r="AL40" s="78">
        <f t="shared" si="9"/>
        <v>0.7048104999999999</v>
      </c>
      <c r="AM40" s="78">
        <f t="shared" si="10"/>
        <v>0.71492725000000001</v>
      </c>
      <c r="AN40" s="78">
        <f t="shared" si="11"/>
        <v>0.53480399999999995</v>
      </c>
      <c r="AO40" s="78">
        <f t="shared" si="32"/>
        <v>0.66959040000000003</v>
      </c>
      <c r="AP40" s="78">
        <f t="shared" si="12"/>
        <v>0.50088959999999993</v>
      </c>
      <c r="AQ40" s="78">
        <f t="shared" si="33"/>
        <v>0.47305919999999996</v>
      </c>
      <c r="AR40" s="78">
        <f t="shared" si="13"/>
        <v>0.66011520000000001</v>
      </c>
      <c r="AS40" s="78">
        <f t="shared" si="14"/>
        <v>0.66959040000000003</v>
      </c>
      <c r="AT40" s="78">
        <f t="shared" si="15"/>
        <v>0.50088959999999993</v>
      </c>
      <c r="AU40" s="78">
        <v>0.78386</v>
      </c>
      <c r="AV40" s="78">
        <v>0.76061999999999996</v>
      </c>
      <c r="AW40" s="78">
        <v>0.71506999999999998</v>
      </c>
      <c r="AX40" s="78">
        <v>1.00281</v>
      </c>
      <c r="AY40" s="78">
        <f t="shared" si="34"/>
        <v>0.78386</v>
      </c>
      <c r="AZ40" s="78">
        <f t="shared" si="35"/>
        <v>0.76061999999999996</v>
      </c>
      <c r="BA40" s="78">
        <f t="shared" si="36"/>
        <v>0.80345649999999991</v>
      </c>
      <c r="BB40" s="78">
        <f t="shared" si="16"/>
        <v>0.77963549999999993</v>
      </c>
      <c r="BC40" s="78">
        <f t="shared" si="37"/>
        <v>0.73294674999999987</v>
      </c>
      <c r="BD40" s="78">
        <f t="shared" si="17"/>
        <v>1.0278802499999999</v>
      </c>
      <c r="BE40" s="78">
        <f t="shared" si="18"/>
        <v>0.80345649999999991</v>
      </c>
      <c r="BF40" s="78">
        <f t="shared" si="19"/>
        <v>0.77963549999999993</v>
      </c>
      <c r="BG40" s="78">
        <f t="shared" si="38"/>
        <v>0.7525056</v>
      </c>
      <c r="BH40" s="78">
        <f t="shared" si="20"/>
        <v>0.73019519999999993</v>
      </c>
      <c r="BI40" s="78">
        <f t="shared" si="39"/>
        <v>0.68646719999999994</v>
      </c>
      <c r="BJ40" s="78">
        <f t="shared" si="21"/>
        <v>0.96269759999999993</v>
      </c>
      <c r="BK40" s="78">
        <f t="shared" si="22"/>
        <v>0.7525056</v>
      </c>
      <c r="BL40" s="78">
        <f t="shared" si="23"/>
        <v>0.73019519999999993</v>
      </c>
      <c r="BM40" s="78">
        <v>0.93234859999999997</v>
      </c>
      <c r="BN40" s="78">
        <v>1.1657644</v>
      </c>
      <c r="BO40" s="78">
        <v>0.93492054999999996</v>
      </c>
      <c r="BP40" s="78">
        <v>1.1597692500000001</v>
      </c>
    </row>
    <row r="41" spans="1:68" ht="13" x14ac:dyDescent="0.25">
      <c r="A41" s="60">
        <v>1</v>
      </c>
      <c r="B41" s="55">
        <v>33</v>
      </c>
      <c r="C41" s="61">
        <v>0.9963313106476569</v>
      </c>
      <c r="D41" s="61">
        <v>1.154712640511091</v>
      </c>
      <c r="E41" s="81">
        <v>1.0095625601159683</v>
      </c>
      <c r="F41" s="81">
        <v>1.1752856902170961</v>
      </c>
      <c r="G41" s="78">
        <v>1.0207823999999999</v>
      </c>
      <c r="H41" s="78">
        <v>1.1144654000000001</v>
      </c>
      <c r="I41" s="78">
        <v>0.99061920000000003</v>
      </c>
      <c r="J41" s="78">
        <v>1.2276737</v>
      </c>
      <c r="K41" s="78">
        <v>1.0176007</v>
      </c>
      <c r="L41" s="78">
        <v>1.2511747</v>
      </c>
      <c r="M41" s="78">
        <v>0.89857519999999991</v>
      </c>
      <c r="N41" s="78">
        <v>1.1048289</v>
      </c>
      <c r="O41" s="78">
        <v>1.0176007</v>
      </c>
      <c r="P41" s="78">
        <v>1.2511747</v>
      </c>
      <c r="Q41" s="78">
        <f t="shared" si="24"/>
        <v>1.0430407174999998</v>
      </c>
      <c r="R41" s="78">
        <f t="shared" si="0"/>
        <v>1.2824540674999998</v>
      </c>
      <c r="S41" s="78">
        <f t="shared" si="25"/>
        <v>0.92103957999999986</v>
      </c>
      <c r="T41" s="78">
        <f t="shared" si="1"/>
        <v>1.1324496224999998</v>
      </c>
      <c r="U41" s="78">
        <f t="shared" si="2"/>
        <v>1.0430407174999998</v>
      </c>
      <c r="V41" s="78">
        <f t="shared" si="3"/>
        <v>1.2824540674999998</v>
      </c>
      <c r="W41" s="78">
        <f t="shared" si="26"/>
        <v>0.97689667199999997</v>
      </c>
      <c r="X41" s="78">
        <f t="shared" si="4"/>
        <v>1.2011277119999999</v>
      </c>
      <c r="Y41" s="78">
        <f t="shared" si="27"/>
        <v>0.86263219199999985</v>
      </c>
      <c r="Z41" s="78">
        <f t="shared" si="5"/>
        <v>1.060635744</v>
      </c>
      <c r="AA41" s="78">
        <f t="shared" si="6"/>
        <v>0.97689667199999997</v>
      </c>
      <c r="AB41" s="78">
        <f t="shared" si="7"/>
        <v>1.2011277119999999</v>
      </c>
      <c r="AC41" s="78">
        <v>0.70726999999999995</v>
      </c>
      <c r="AD41" s="78">
        <v>0.54657</v>
      </c>
      <c r="AE41" s="78">
        <v>0.49520999999999998</v>
      </c>
      <c r="AF41" s="78">
        <v>0.70774999999999999</v>
      </c>
      <c r="AG41" s="78">
        <f t="shared" si="28"/>
        <v>0.70726999999999995</v>
      </c>
      <c r="AH41" s="78">
        <f t="shared" si="29"/>
        <v>0.54657</v>
      </c>
      <c r="AI41" s="78">
        <f t="shared" si="30"/>
        <v>0.72495174999999989</v>
      </c>
      <c r="AJ41" s="78">
        <f t="shared" si="8"/>
        <v>0.56023424999999993</v>
      </c>
      <c r="AK41" s="78">
        <f t="shared" si="31"/>
        <v>0.50759024999999991</v>
      </c>
      <c r="AL41" s="78">
        <f t="shared" si="9"/>
        <v>0.72544374999999994</v>
      </c>
      <c r="AM41" s="78">
        <f t="shared" si="10"/>
        <v>0.72495174999999989</v>
      </c>
      <c r="AN41" s="78">
        <f t="shared" si="11"/>
        <v>0.56023424999999993</v>
      </c>
      <c r="AO41" s="78">
        <f t="shared" si="32"/>
        <v>0.67897919999999989</v>
      </c>
      <c r="AP41" s="78">
        <f t="shared" si="12"/>
        <v>0.52470719999999993</v>
      </c>
      <c r="AQ41" s="78">
        <f t="shared" si="33"/>
        <v>0.47540159999999998</v>
      </c>
      <c r="AR41" s="78">
        <f t="shared" si="13"/>
        <v>0.67943999999999993</v>
      </c>
      <c r="AS41" s="78">
        <f t="shared" si="14"/>
        <v>0.67897919999999989</v>
      </c>
      <c r="AT41" s="78">
        <f t="shared" si="15"/>
        <v>0.52470719999999993</v>
      </c>
      <c r="AU41" s="78">
        <v>0.79798000000000002</v>
      </c>
      <c r="AV41" s="78">
        <v>0.78359999999999996</v>
      </c>
      <c r="AW41" s="78">
        <v>0.72865999999999997</v>
      </c>
      <c r="AX41" s="78">
        <v>1.0205299999999999</v>
      </c>
      <c r="AY41" s="78">
        <f t="shared" si="34"/>
        <v>0.79798000000000002</v>
      </c>
      <c r="AZ41" s="78">
        <f t="shared" si="35"/>
        <v>0.78359999999999996</v>
      </c>
      <c r="BA41" s="78">
        <f t="shared" si="36"/>
        <v>0.81792949999999998</v>
      </c>
      <c r="BB41" s="78">
        <f t="shared" si="16"/>
        <v>0.80318999999999985</v>
      </c>
      <c r="BC41" s="78">
        <f t="shared" si="37"/>
        <v>0.74687649999999994</v>
      </c>
      <c r="BD41" s="78">
        <f t="shared" si="17"/>
        <v>1.0460432499999999</v>
      </c>
      <c r="BE41" s="78">
        <f t="shared" si="18"/>
        <v>0.81792949999999998</v>
      </c>
      <c r="BF41" s="78">
        <f t="shared" si="19"/>
        <v>0.80318999999999985</v>
      </c>
      <c r="BG41" s="78">
        <f t="shared" si="38"/>
        <v>0.76606079999999999</v>
      </c>
      <c r="BH41" s="78">
        <f t="shared" si="20"/>
        <v>0.75225599999999992</v>
      </c>
      <c r="BI41" s="78">
        <f t="shared" si="39"/>
        <v>0.69951359999999996</v>
      </c>
      <c r="BJ41" s="78">
        <f t="shared" si="21"/>
        <v>0.97970879999999994</v>
      </c>
      <c r="BK41" s="78">
        <f t="shared" si="22"/>
        <v>0.76606079999999999</v>
      </c>
      <c r="BL41" s="78">
        <f t="shared" si="23"/>
        <v>0.75225599999999992</v>
      </c>
      <c r="BM41" s="78">
        <v>0.95545230000000003</v>
      </c>
      <c r="BN41" s="78">
        <v>1.1840913</v>
      </c>
      <c r="BO41" s="78">
        <v>0.95808794999999991</v>
      </c>
      <c r="BP41" s="78">
        <v>1.1780018000000001</v>
      </c>
    </row>
    <row r="42" spans="1:68" ht="13" x14ac:dyDescent="0.25">
      <c r="A42" s="60">
        <v>1</v>
      </c>
      <c r="B42" s="55">
        <v>34</v>
      </c>
      <c r="C42" s="61">
        <v>1.0112711333750783</v>
      </c>
      <c r="D42" s="61">
        <v>1.162840891193252</v>
      </c>
      <c r="E42" s="81">
        <v>1.0247911356339716</v>
      </c>
      <c r="F42" s="81">
        <v>1.1838263437520258</v>
      </c>
      <c r="G42" s="78">
        <v>1.0206637000000001</v>
      </c>
      <c r="H42" s="78">
        <v>1.0952955</v>
      </c>
      <c r="I42" s="78">
        <v>1.0211958999999999</v>
      </c>
      <c r="J42" s="78">
        <v>1.2640699</v>
      </c>
      <c r="K42" s="78">
        <v>1.0490102000000001</v>
      </c>
      <c r="L42" s="78">
        <v>1.2882677</v>
      </c>
      <c r="M42" s="78">
        <v>0.92631090000000005</v>
      </c>
      <c r="N42" s="78">
        <v>1.1375831999999999</v>
      </c>
      <c r="O42" s="78">
        <v>1.0490102000000001</v>
      </c>
      <c r="P42" s="78">
        <v>1.2882677</v>
      </c>
      <c r="Q42" s="78">
        <f t="shared" si="24"/>
        <v>1.0752354550000001</v>
      </c>
      <c r="R42" s="78">
        <f t="shared" si="0"/>
        <v>1.3204743925</v>
      </c>
      <c r="S42" s="78">
        <f t="shared" si="25"/>
        <v>0.9494686725</v>
      </c>
      <c r="T42" s="78">
        <f t="shared" si="1"/>
        <v>1.1660227799999998</v>
      </c>
      <c r="U42" s="78">
        <f t="shared" si="2"/>
        <v>1.0752354550000001</v>
      </c>
      <c r="V42" s="78">
        <f t="shared" si="3"/>
        <v>1.3204743925</v>
      </c>
      <c r="W42" s="78">
        <f t="shared" si="26"/>
        <v>1.0070497920000001</v>
      </c>
      <c r="X42" s="78">
        <f t="shared" si="4"/>
        <v>1.236736992</v>
      </c>
      <c r="Y42" s="78">
        <f t="shared" si="27"/>
        <v>0.88925846399999997</v>
      </c>
      <c r="Z42" s="78">
        <f t="shared" si="5"/>
        <v>1.0920798719999998</v>
      </c>
      <c r="AA42" s="78">
        <f t="shared" si="6"/>
        <v>1.0070497920000001</v>
      </c>
      <c r="AB42" s="78">
        <f t="shared" si="7"/>
        <v>1.236736992</v>
      </c>
      <c r="AC42" s="78">
        <v>0.72146999999999994</v>
      </c>
      <c r="AD42" s="78">
        <v>0.59208000000000005</v>
      </c>
      <c r="AE42" s="78">
        <v>0.50066999999999995</v>
      </c>
      <c r="AF42" s="78">
        <v>0.74511000000000005</v>
      </c>
      <c r="AG42" s="78">
        <f t="shared" si="28"/>
        <v>0.72146999999999994</v>
      </c>
      <c r="AH42" s="78">
        <f t="shared" si="29"/>
        <v>0.59208000000000005</v>
      </c>
      <c r="AI42" s="78">
        <f t="shared" si="30"/>
        <v>0.73950674999999988</v>
      </c>
      <c r="AJ42" s="78">
        <f t="shared" si="8"/>
        <v>0.60688200000000003</v>
      </c>
      <c r="AK42" s="78">
        <f t="shared" si="31"/>
        <v>0.51318674999999991</v>
      </c>
      <c r="AL42" s="78">
        <f t="shared" si="9"/>
        <v>0.76373774999999999</v>
      </c>
      <c r="AM42" s="78">
        <f t="shared" si="10"/>
        <v>0.73950674999999988</v>
      </c>
      <c r="AN42" s="78">
        <f t="shared" si="11"/>
        <v>0.60688200000000003</v>
      </c>
      <c r="AO42" s="78">
        <f t="shared" si="32"/>
        <v>0.69261119999999987</v>
      </c>
      <c r="AP42" s="78">
        <f t="shared" si="12"/>
        <v>0.56839680000000004</v>
      </c>
      <c r="AQ42" s="78">
        <f t="shared" si="33"/>
        <v>0.48064319999999994</v>
      </c>
      <c r="AR42" s="78">
        <f t="shared" si="13"/>
        <v>0.71530559999999999</v>
      </c>
      <c r="AS42" s="78">
        <f t="shared" si="14"/>
        <v>0.69261119999999987</v>
      </c>
      <c r="AT42" s="78">
        <f t="shared" si="15"/>
        <v>0.56839680000000004</v>
      </c>
      <c r="AU42" s="78">
        <v>0.81720999999999999</v>
      </c>
      <c r="AV42" s="78">
        <v>0.82628000000000001</v>
      </c>
      <c r="AW42" s="78">
        <v>0.74705999999999995</v>
      </c>
      <c r="AX42" s="78">
        <v>1.0541499999999999</v>
      </c>
      <c r="AY42" s="78">
        <f t="shared" si="34"/>
        <v>0.81720999999999999</v>
      </c>
      <c r="AZ42" s="78">
        <f t="shared" si="35"/>
        <v>0.82628000000000001</v>
      </c>
      <c r="BA42" s="78">
        <f t="shared" si="36"/>
        <v>0.83764024999999986</v>
      </c>
      <c r="BB42" s="78">
        <f t="shared" si="16"/>
        <v>0.84693699999999994</v>
      </c>
      <c r="BC42" s="78">
        <f t="shared" si="37"/>
        <v>0.76573649999999993</v>
      </c>
      <c r="BD42" s="78">
        <f t="shared" si="17"/>
        <v>1.0805037499999999</v>
      </c>
      <c r="BE42" s="78">
        <f t="shared" si="18"/>
        <v>0.83764024999999986</v>
      </c>
      <c r="BF42" s="78">
        <f t="shared" si="19"/>
        <v>0.84693699999999994</v>
      </c>
      <c r="BG42" s="78">
        <f t="shared" si="38"/>
        <v>0.78452159999999993</v>
      </c>
      <c r="BH42" s="78">
        <f t="shared" si="20"/>
        <v>0.79322879999999996</v>
      </c>
      <c r="BI42" s="78">
        <f t="shared" si="39"/>
        <v>0.71717759999999997</v>
      </c>
      <c r="BJ42" s="78">
        <f t="shared" si="21"/>
        <v>1.011984</v>
      </c>
      <c r="BK42" s="78">
        <f t="shared" si="22"/>
        <v>0.78452159999999993</v>
      </c>
      <c r="BL42" s="78">
        <f t="shared" si="23"/>
        <v>0.79322879999999996</v>
      </c>
      <c r="BM42" s="78">
        <v>0.98494349999999997</v>
      </c>
      <c r="BN42" s="78">
        <v>1.2191954</v>
      </c>
      <c r="BO42" s="78">
        <v>0.98766055000000008</v>
      </c>
      <c r="BP42" s="78">
        <v>1.21292545</v>
      </c>
    </row>
    <row r="43" spans="1:68" ht="13" x14ac:dyDescent="0.25">
      <c r="A43" s="60">
        <v>1</v>
      </c>
      <c r="B43" s="55">
        <v>35</v>
      </c>
      <c r="C43" s="61">
        <v>1.0273511440199488</v>
      </c>
      <c r="D43" s="61">
        <v>1.1905794472963578</v>
      </c>
      <c r="E43" s="81">
        <v>1.0411606326860996</v>
      </c>
      <c r="F43" s="81">
        <v>1.212096868751809</v>
      </c>
      <c r="G43" s="78">
        <v>1.024173</v>
      </c>
      <c r="H43" s="78">
        <v>1.1182548999999999</v>
      </c>
      <c r="I43" s="78">
        <v>1.0503991000000001</v>
      </c>
      <c r="J43" s="78">
        <v>1.2974779000000001</v>
      </c>
      <c r="K43" s="78">
        <v>1.0790086999999999</v>
      </c>
      <c r="L43" s="78">
        <v>1.3223151999999998</v>
      </c>
      <c r="M43" s="78">
        <v>0.95280060000000011</v>
      </c>
      <c r="N43" s="78">
        <v>1.1676483</v>
      </c>
      <c r="O43" s="78">
        <v>1.0790086999999999</v>
      </c>
      <c r="P43" s="78">
        <v>1.3223151999999998</v>
      </c>
      <c r="Q43" s="78">
        <f t="shared" si="24"/>
        <v>1.1059839174999999</v>
      </c>
      <c r="R43" s="78">
        <f t="shared" si="0"/>
        <v>1.3553730799999997</v>
      </c>
      <c r="S43" s="78">
        <f t="shared" si="25"/>
        <v>0.97662061500000008</v>
      </c>
      <c r="T43" s="78">
        <f t="shared" si="1"/>
        <v>1.1968395074999998</v>
      </c>
      <c r="U43" s="78">
        <f t="shared" si="2"/>
        <v>1.1059839174999999</v>
      </c>
      <c r="V43" s="78">
        <f t="shared" si="3"/>
        <v>1.3553730799999997</v>
      </c>
      <c r="W43" s="78">
        <f t="shared" si="26"/>
        <v>1.0358483519999999</v>
      </c>
      <c r="X43" s="78">
        <f t="shared" si="4"/>
        <v>1.2694225919999997</v>
      </c>
      <c r="Y43" s="78">
        <f t="shared" si="27"/>
        <v>0.91468857600000009</v>
      </c>
      <c r="Z43" s="78">
        <f t="shared" si="5"/>
        <v>1.1209423679999999</v>
      </c>
      <c r="AA43" s="78">
        <f t="shared" si="6"/>
        <v>1.0358483519999999</v>
      </c>
      <c r="AB43" s="78">
        <f t="shared" si="7"/>
        <v>1.2694225919999997</v>
      </c>
      <c r="AC43" s="78">
        <v>0.73646999999999996</v>
      </c>
      <c r="AD43" s="78">
        <v>0.64020999999999995</v>
      </c>
      <c r="AE43" s="78">
        <v>0.50761000000000001</v>
      </c>
      <c r="AF43" s="78">
        <v>0.78315000000000001</v>
      </c>
      <c r="AG43" s="78">
        <f t="shared" si="28"/>
        <v>0.73646999999999996</v>
      </c>
      <c r="AH43" s="78">
        <f t="shared" si="29"/>
        <v>0.64020999999999995</v>
      </c>
      <c r="AI43" s="78">
        <f t="shared" si="30"/>
        <v>0.75488174999999991</v>
      </c>
      <c r="AJ43" s="78">
        <f t="shared" si="8"/>
        <v>0.65621524999999992</v>
      </c>
      <c r="AK43" s="78">
        <f t="shared" si="31"/>
        <v>0.52030024999999991</v>
      </c>
      <c r="AL43" s="78">
        <f t="shared" si="9"/>
        <v>0.80272874999999999</v>
      </c>
      <c r="AM43" s="78">
        <f t="shared" si="10"/>
        <v>0.75488174999999991</v>
      </c>
      <c r="AN43" s="78">
        <f t="shared" si="11"/>
        <v>0.65621524999999992</v>
      </c>
      <c r="AO43" s="78">
        <f t="shared" si="32"/>
        <v>0.70701119999999995</v>
      </c>
      <c r="AP43" s="78">
        <f t="shared" si="12"/>
        <v>0.61460159999999997</v>
      </c>
      <c r="AQ43" s="78">
        <f t="shared" si="33"/>
        <v>0.48730560000000001</v>
      </c>
      <c r="AR43" s="78">
        <f t="shared" si="13"/>
        <v>0.75182399999999994</v>
      </c>
      <c r="AS43" s="78">
        <f t="shared" si="14"/>
        <v>0.70701119999999995</v>
      </c>
      <c r="AT43" s="78">
        <f t="shared" si="15"/>
        <v>0.61460159999999997</v>
      </c>
      <c r="AU43" s="78">
        <v>0.83658999999999994</v>
      </c>
      <c r="AV43" s="78">
        <v>0.86967000000000005</v>
      </c>
      <c r="AW43" s="78">
        <v>0.76529000000000003</v>
      </c>
      <c r="AX43" s="78">
        <v>1.0859399999999999</v>
      </c>
      <c r="AY43" s="78">
        <f t="shared" si="34"/>
        <v>0.83658999999999994</v>
      </c>
      <c r="AZ43" s="78">
        <f t="shared" si="35"/>
        <v>0.86967000000000005</v>
      </c>
      <c r="BA43" s="78">
        <f t="shared" si="36"/>
        <v>0.85750474999999982</v>
      </c>
      <c r="BB43" s="78">
        <f t="shared" si="16"/>
        <v>0.89141174999999995</v>
      </c>
      <c r="BC43" s="78">
        <f t="shared" si="37"/>
        <v>0.78442224999999999</v>
      </c>
      <c r="BD43" s="78">
        <f t="shared" si="17"/>
        <v>1.1130884999999997</v>
      </c>
      <c r="BE43" s="78">
        <f t="shared" si="18"/>
        <v>0.85750474999999982</v>
      </c>
      <c r="BF43" s="78">
        <f t="shared" si="19"/>
        <v>0.89141174999999995</v>
      </c>
      <c r="BG43" s="78">
        <f t="shared" si="38"/>
        <v>0.80312639999999991</v>
      </c>
      <c r="BH43" s="78">
        <f t="shared" si="20"/>
        <v>0.83488320000000005</v>
      </c>
      <c r="BI43" s="78">
        <f t="shared" si="39"/>
        <v>0.73467839999999995</v>
      </c>
      <c r="BJ43" s="78">
        <f t="shared" si="21"/>
        <v>1.0425023999999998</v>
      </c>
      <c r="BK43" s="78">
        <f t="shared" si="22"/>
        <v>0.80312639999999991</v>
      </c>
      <c r="BL43" s="78">
        <f t="shared" si="23"/>
        <v>0.83488320000000005</v>
      </c>
      <c r="BM43" s="78">
        <v>1.0131099000000001</v>
      </c>
      <c r="BN43" s="78">
        <v>1.2514174</v>
      </c>
      <c r="BO43" s="78">
        <v>1.01590465</v>
      </c>
      <c r="BP43" s="78">
        <v>1.24498175</v>
      </c>
    </row>
    <row r="44" spans="1:68" ht="13" x14ac:dyDescent="0.25">
      <c r="A44" s="60">
        <v>1</v>
      </c>
      <c r="B44" s="55">
        <v>36</v>
      </c>
      <c r="C44" s="61">
        <v>1.0400406393830313</v>
      </c>
      <c r="D44" s="61">
        <v>1.1935738244205703</v>
      </c>
      <c r="E44" s="81">
        <v>1.0541364834090678</v>
      </c>
      <c r="F44" s="81">
        <v>1.2153250633239663</v>
      </c>
      <c r="G44" s="78">
        <v>1.0170561999999999</v>
      </c>
      <c r="H44" s="78">
        <v>1.1029252</v>
      </c>
      <c r="I44" s="78">
        <v>1.0835215</v>
      </c>
      <c r="J44" s="78">
        <v>1.3193799000000002</v>
      </c>
      <c r="K44" s="78">
        <v>1.1111911000000001</v>
      </c>
      <c r="L44" s="78">
        <v>1.3385689999999999</v>
      </c>
      <c r="M44" s="78">
        <v>0.9812187</v>
      </c>
      <c r="N44" s="78">
        <v>1.1820009</v>
      </c>
      <c r="O44" s="78">
        <v>1.1111911000000001</v>
      </c>
      <c r="P44" s="78">
        <v>1.3385689999999999</v>
      </c>
      <c r="Q44" s="78">
        <f t="shared" si="24"/>
        <v>1.1389708775</v>
      </c>
      <c r="R44" s="78">
        <f t="shared" si="0"/>
        <v>1.3720332249999998</v>
      </c>
      <c r="S44" s="78">
        <f t="shared" si="25"/>
        <v>1.0057491674999999</v>
      </c>
      <c r="T44" s="78">
        <f t="shared" si="1"/>
        <v>1.2115509224999998</v>
      </c>
      <c r="U44" s="78">
        <f t="shared" si="2"/>
        <v>1.1389708775</v>
      </c>
      <c r="V44" s="78">
        <f t="shared" si="3"/>
        <v>1.3720332249999998</v>
      </c>
      <c r="W44" s="78">
        <f t="shared" si="26"/>
        <v>1.066743456</v>
      </c>
      <c r="X44" s="78">
        <f t="shared" si="4"/>
        <v>1.2850262399999999</v>
      </c>
      <c r="Y44" s="78">
        <f t="shared" si="27"/>
        <v>0.941969952</v>
      </c>
      <c r="Z44" s="78">
        <f t="shared" si="5"/>
        <v>1.1347208639999999</v>
      </c>
      <c r="AA44" s="78">
        <f t="shared" si="6"/>
        <v>1.066743456</v>
      </c>
      <c r="AB44" s="78">
        <f t="shared" si="7"/>
        <v>1.2850262399999999</v>
      </c>
      <c r="AC44" s="78">
        <v>0.76131000000000004</v>
      </c>
      <c r="AD44" s="78">
        <v>0.67649999999999999</v>
      </c>
      <c r="AE44" s="78">
        <v>0.52644999999999997</v>
      </c>
      <c r="AF44" s="78">
        <v>0.80884</v>
      </c>
      <c r="AG44" s="78">
        <f t="shared" si="28"/>
        <v>0.76131000000000004</v>
      </c>
      <c r="AH44" s="78">
        <f t="shared" si="29"/>
        <v>0.67649999999999999</v>
      </c>
      <c r="AI44" s="78">
        <f t="shared" si="30"/>
        <v>0.78034274999999997</v>
      </c>
      <c r="AJ44" s="78">
        <f t="shared" si="8"/>
        <v>0.69341249999999988</v>
      </c>
      <c r="AK44" s="78">
        <f t="shared" si="31"/>
        <v>0.53961124999999988</v>
      </c>
      <c r="AL44" s="78">
        <f t="shared" si="9"/>
        <v>0.82906099999999994</v>
      </c>
      <c r="AM44" s="78">
        <f t="shared" si="10"/>
        <v>0.78034274999999997</v>
      </c>
      <c r="AN44" s="78">
        <f t="shared" si="11"/>
        <v>0.69341249999999988</v>
      </c>
      <c r="AO44" s="78">
        <f t="shared" si="32"/>
        <v>0.7308576</v>
      </c>
      <c r="AP44" s="78">
        <f t="shared" si="12"/>
        <v>0.64944000000000002</v>
      </c>
      <c r="AQ44" s="78">
        <f t="shared" si="33"/>
        <v>0.50539199999999995</v>
      </c>
      <c r="AR44" s="78">
        <f t="shared" si="13"/>
        <v>0.77648640000000002</v>
      </c>
      <c r="AS44" s="78">
        <f t="shared" si="14"/>
        <v>0.7308576</v>
      </c>
      <c r="AT44" s="78">
        <f t="shared" si="15"/>
        <v>0.64944000000000002</v>
      </c>
      <c r="AU44" s="78">
        <v>0.86358000000000001</v>
      </c>
      <c r="AV44" s="78">
        <v>0.89922000000000002</v>
      </c>
      <c r="AW44" s="78">
        <v>0.78964999999999996</v>
      </c>
      <c r="AX44" s="78">
        <v>1.10273</v>
      </c>
      <c r="AY44" s="78">
        <f t="shared" si="34"/>
        <v>0.86358000000000001</v>
      </c>
      <c r="AZ44" s="78">
        <f t="shared" si="35"/>
        <v>0.89922000000000002</v>
      </c>
      <c r="BA44" s="78">
        <f t="shared" si="36"/>
        <v>0.88516949999999994</v>
      </c>
      <c r="BB44" s="78">
        <f t="shared" si="16"/>
        <v>0.92170049999999992</v>
      </c>
      <c r="BC44" s="78">
        <f t="shared" si="37"/>
        <v>0.8093912499999999</v>
      </c>
      <c r="BD44" s="78">
        <f t="shared" si="17"/>
        <v>1.1302982499999998</v>
      </c>
      <c r="BE44" s="78">
        <f t="shared" si="18"/>
        <v>0.88516949999999994</v>
      </c>
      <c r="BF44" s="78">
        <f t="shared" si="19"/>
        <v>0.92170049999999992</v>
      </c>
      <c r="BG44" s="78">
        <f t="shared" si="38"/>
        <v>0.82903680000000002</v>
      </c>
      <c r="BH44" s="78">
        <f t="shared" si="20"/>
        <v>0.8632512</v>
      </c>
      <c r="BI44" s="78">
        <f t="shared" si="39"/>
        <v>0.75806399999999996</v>
      </c>
      <c r="BJ44" s="78">
        <f t="shared" si="21"/>
        <v>1.0586207999999999</v>
      </c>
      <c r="BK44" s="78">
        <f t="shared" si="22"/>
        <v>0.82903680000000002</v>
      </c>
      <c r="BL44" s="78">
        <f t="shared" si="23"/>
        <v>0.8632512</v>
      </c>
      <c r="BM44" s="78">
        <v>1.0348286</v>
      </c>
      <c r="BN44" s="78">
        <v>1.2564469</v>
      </c>
      <c r="BO44" s="78">
        <v>1.0462049</v>
      </c>
      <c r="BP44" s="78">
        <v>1.26028495</v>
      </c>
    </row>
    <row r="45" spans="1:68" ht="13" x14ac:dyDescent="0.25">
      <c r="A45" s="60">
        <v>1</v>
      </c>
      <c r="B45" s="55">
        <v>37</v>
      </c>
      <c r="C45" s="61">
        <v>1.0524883992791423</v>
      </c>
      <c r="D45" s="61">
        <v>1.1997906885489111</v>
      </c>
      <c r="E45" s="81">
        <v>1.0668060776547661</v>
      </c>
      <c r="F45" s="81">
        <v>1.2217911240909118</v>
      </c>
      <c r="G45" s="78">
        <v>1.0201587999999999</v>
      </c>
      <c r="H45" s="78">
        <v>1.0949495</v>
      </c>
      <c r="I45" s="78">
        <v>1.1057345999999999</v>
      </c>
      <c r="J45" s="78">
        <v>1.3403480999999999</v>
      </c>
      <c r="K45" s="78">
        <v>1.1320977999999999</v>
      </c>
      <c r="L45" s="78">
        <v>1.3537336</v>
      </c>
      <c r="M45" s="78">
        <v>0.99968000000000001</v>
      </c>
      <c r="N45" s="78">
        <v>1.1953918000000001</v>
      </c>
      <c r="O45" s="78">
        <v>1.1320977999999999</v>
      </c>
      <c r="P45" s="78">
        <v>1.3537336</v>
      </c>
      <c r="Q45" s="78">
        <f t="shared" si="24"/>
        <v>1.1604002449999997</v>
      </c>
      <c r="R45" s="78">
        <f t="shared" si="0"/>
        <v>1.3875769399999998</v>
      </c>
      <c r="S45" s="78">
        <f t="shared" si="25"/>
        <v>1.024672</v>
      </c>
      <c r="T45" s="78">
        <f t="shared" si="1"/>
        <v>1.225276595</v>
      </c>
      <c r="U45" s="78">
        <f t="shared" si="2"/>
        <v>1.1604002449999997</v>
      </c>
      <c r="V45" s="78">
        <f t="shared" si="3"/>
        <v>1.3875769399999998</v>
      </c>
      <c r="W45" s="78">
        <f t="shared" si="26"/>
        <v>1.0868138879999998</v>
      </c>
      <c r="X45" s="78">
        <f t="shared" si="4"/>
        <v>1.2995842559999999</v>
      </c>
      <c r="Y45" s="78">
        <f t="shared" si="27"/>
        <v>0.95969280000000001</v>
      </c>
      <c r="Z45" s="78">
        <f t="shared" si="5"/>
        <v>1.1475761280000001</v>
      </c>
      <c r="AA45" s="78">
        <f t="shared" si="6"/>
        <v>1.0868138879999998</v>
      </c>
      <c r="AB45" s="78">
        <f t="shared" si="7"/>
        <v>1.2995842559999999</v>
      </c>
      <c r="AC45" s="78">
        <v>0.78435999999999995</v>
      </c>
      <c r="AD45" s="78">
        <v>0.71933000000000002</v>
      </c>
      <c r="AE45" s="78">
        <v>0.54769999999999996</v>
      </c>
      <c r="AF45" s="78">
        <v>0.83777000000000001</v>
      </c>
      <c r="AG45" s="78">
        <f t="shared" si="28"/>
        <v>0.78435999999999995</v>
      </c>
      <c r="AH45" s="78">
        <f t="shared" si="29"/>
        <v>0.71933000000000002</v>
      </c>
      <c r="AI45" s="78">
        <f t="shared" si="30"/>
        <v>0.80396899999999982</v>
      </c>
      <c r="AJ45" s="78">
        <f t="shared" si="8"/>
        <v>0.73731324999999992</v>
      </c>
      <c r="AK45" s="78">
        <f t="shared" si="31"/>
        <v>0.56139249999999996</v>
      </c>
      <c r="AL45" s="78">
        <f t="shared" si="9"/>
        <v>0.8587142499999999</v>
      </c>
      <c r="AM45" s="78">
        <f t="shared" si="10"/>
        <v>0.80396899999999982</v>
      </c>
      <c r="AN45" s="78">
        <f t="shared" si="11"/>
        <v>0.73731324999999992</v>
      </c>
      <c r="AO45" s="78">
        <f t="shared" si="32"/>
        <v>0.75298559999999992</v>
      </c>
      <c r="AP45" s="78">
        <f t="shared" si="12"/>
        <v>0.69055679999999997</v>
      </c>
      <c r="AQ45" s="78">
        <f t="shared" si="33"/>
        <v>0.52579199999999993</v>
      </c>
      <c r="AR45" s="78">
        <f t="shared" si="13"/>
        <v>0.80425919999999995</v>
      </c>
      <c r="AS45" s="78">
        <f t="shared" si="14"/>
        <v>0.75298559999999992</v>
      </c>
      <c r="AT45" s="78">
        <f t="shared" si="15"/>
        <v>0.69055679999999997</v>
      </c>
      <c r="AU45" s="78">
        <v>0.88600999999999996</v>
      </c>
      <c r="AV45" s="78">
        <v>0.93274000000000001</v>
      </c>
      <c r="AW45" s="78">
        <v>0.80928</v>
      </c>
      <c r="AX45" s="78">
        <v>1.11938</v>
      </c>
      <c r="AY45" s="78">
        <f t="shared" si="34"/>
        <v>0.88600999999999996</v>
      </c>
      <c r="AZ45" s="78">
        <f t="shared" si="35"/>
        <v>0.93274000000000001</v>
      </c>
      <c r="BA45" s="78">
        <f t="shared" si="36"/>
        <v>0.90816024999999989</v>
      </c>
      <c r="BB45" s="78">
        <f t="shared" si="16"/>
        <v>0.95605849999999992</v>
      </c>
      <c r="BC45" s="78">
        <f t="shared" si="37"/>
        <v>0.82951199999999992</v>
      </c>
      <c r="BD45" s="78">
        <f t="shared" si="17"/>
        <v>1.1473644999999999</v>
      </c>
      <c r="BE45" s="78">
        <f t="shared" si="18"/>
        <v>0.90816024999999989</v>
      </c>
      <c r="BF45" s="78">
        <f t="shared" si="19"/>
        <v>0.95605849999999992</v>
      </c>
      <c r="BG45" s="78">
        <f t="shared" si="38"/>
        <v>0.85056959999999993</v>
      </c>
      <c r="BH45" s="78">
        <f t="shared" si="20"/>
        <v>0.89543039999999996</v>
      </c>
      <c r="BI45" s="78">
        <f t="shared" si="39"/>
        <v>0.77690879999999995</v>
      </c>
      <c r="BJ45" s="78">
        <f t="shared" si="21"/>
        <v>1.0746047999999999</v>
      </c>
      <c r="BK45" s="78">
        <f t="shared" si="22"/>
        <v>0.85056959999999993</v>
      </c>
      <c r="BL45" s="78">
        <f t="shared" si="23"/>
        <v>0.89543039999999996</v>
      </c>
      <c r="BM45" s="78">
        <v>1.0456405</v>
      </c>
      <c r="BN45" s="78">
        <v>1.2602111</v>
      </c>
      <c r="BO45" s="78">
        <v>1.0658889</v>
      </c>
      <c r="BP45" s="78">
        <v>1.2745627000000002</v>
      </c>
    </row>
    <row r="46" spans="1:68" ht="13" x14ac:dyDescent="0.25">
      <c r="A46" s="60">
        <v>1</v>
      </c>
      <c r="B46" s="55">
        <v>38</v>
      </c>
      <c r="C46" s="61">
        <v>1.0548443002050611</v>
      </c>
      <c r="D46" s="61">
        <v>1.2164885891707924</v>
      </c>
      <c r="E46" s="81">
        <v>1.0692372476464553</v>
      </c>
      <c r="F46" s="81">
        <v>1.2387799232149117</v>
      </c>
      <c r="G46" s="78">
        <v>1.0150637</v>
      </c>
      <c r="H46" s="78">
        <v>1.1117318</v>
      </c>
      <c r="I46" s="78">
        <v>1.1157306</v>
      </c>
      <c r="J46" s="78">
        <v>1.3574164</v>
      </c>
      <c r="K46" s="78">
        <v>1.1404477</v>
      </c>
      <c r="L46" s="78">
        <v>1.3648412999999999</v>
      </c>
      <c r="M46" s="78">
        <v>1.0070532999999999</v>
      </c>
      <c r="N46" s="78">
        <v>1.2052003</v>
      </c>
      <c r="O46" s="78">
        <v>1.1404477</v>
      </c>
      <c r="P46" s="78">
        <v>1.3648412999999999</v>
      </c>
      <c r="Q46" s="78">
        <f t="shared" si="24"/>
        <v>1.1689588924999998</v>
      </c>
      <c r="R46" s="78">
        <f t="shared" si="0"/>
        <v>1.3989623324999998</v>
      </c>
      <c r="S46" s="78">
        <f t="shared" si="25"/>
        <v>1.0322296324999998</v>
      </c>
      <c r="T46" s="78">
        <f t="shared" si="1"/>
        <v>1.2353303074999999</v>
      </c>
      <c r="U46" s="78">
        <f t="shared" si="2"/>
        <v>1.1689588924999998</v>
      </c>
      <c r="V46" s="78">
        <f t="shared" si="3"/>
        <v>1.3989623324999998</v>
      </c>
      <c r="W46" s="78">
        <f t="shared" si="26"/>
        <v>1.0948297919999999</v>
      </c>
      <c r="X46" s="78">
        <f t="shared" si="4"/>
        <v>1.3102476479999998</v>
      </c>
      <c r="Y46" s="78">
        <f t="shared" si="27"/>
        <v>0.96677116799999985</v>
      </c>
      <c r="Z46" s="78">
        <f t="shared" si="5"/>
        <v>1.1569922879999999</v>
      </c>
      <c r="AA46" s="78">
        <f t="shared" si="6"/>
        <v>1.0948297919999999</v>
      </c>
      <c r="AB46" s="78">
        <f t="shared" si="7"/>
        <v>1.3102476479999998</v>
      </c>
      <c r="AC46" s="78">
        <v>0.80173000000000005</v>
      </c>
      <c r="AD46" s="78">
        <v>0.76424999999999998</v>
      </c>
      <c r="AE46" s="78">
        <v>0.56684999999999997</v>
      </c>
      <c r="AF46" s="78">
        <v>0.86668999999999996</v>
      </c>
      <c r="AG46" s="78">
        <f t="shared" si="28"/>
        <v>0.80173000000000005</v>
      </c>
      <c r="AH46" s="78">
        <f t="shared" si="29"/>
        <v>0.76424999999999998</v>
      </c>
      <c r="AI46" s="78">
        <f t="shared" si="30"/>
        <v>0.82177325000000001</v>
      </c>
      <c r="AJ46" s="78">
        <f t="shared" si="8"/>
        <v>0.78335624999999987</v>
      </c>
      <c r="AK46" s="78">
        <f t="shared" si="31"/>
        <v>0.58102124999999993</v>
      </c>
      <c r="AL46" s="78">
        <f t="shared" si="9"/>
        <v>0.88835724999999988</v>
      </c>
      <c r="AM46" s="78">
        <f t="shared" si="10"/>
        <v>0.82177325000000001</v>
      </c>
      <c r="AN46" s="78">
        <f t="shared" si="11"/>
        <v>0.78335624999999987</v>
      </c>
      <c r="AO46" s="78">
        <f t="shared" si="32"/>
        <v>0.76966080000000003</v>
      </c>
      <c r="AP46" s="78">
        <f t="shared" si="12"/>
        <v>0.73368</v>
      </c>
      <c r="AQ46" s="78">
        <f t="shared" si="33"/>
        <v>0.54417599999999999</v>
      </c>
      <c r="AR46" s="78">
        <f t="shared" si="13"/>
        <v>0.83202239999999994</v>
      </c>
      <c r="AS46" s="78">
        <f t="shared" si="14"/>
        <v>0.76966080000000003</v>
      </c>
      <c r="AT46" s="78">
        <f t="shared" si="15"/>
        <v>0.73368</v>
      </c>
      <c r="AU46" s="78">
        <v>0.90073999999999999</v>
      </c>
      <c r="AV46" s="78">
        <v>0.96628999999999998</v>
      </c>
      <c r="AW46" s="78">
        <v>0.82164999999999999</v>
      </c>
      <c r="AX46" s="78">
        <v>1.1332899999999999</v>
      </c>
      <c r="AY46" s="78">
        <f t="shared" si="34"/>
        <v>0.90073999999999999</v>
      </c>
      <c r="AZ46" s="78">
        <f t="shared" si="35"/>
        <v>0.96628999999999998</v>
      </c>
      <c r="BA46" s="78">
        <f t="shared" si="36"/>
        <v>0.92325849999999987</v>
      </c>
      <c r="BB46" s="78">
        <f t="shared" si="16"/>
        <v>0.99044724999999989</v>
      </c>
      <c r="BC46" s="78">
        <f t="shared" si="37"/>
        <v>0.84219124999999995</v>
      </c>
      <c r="BD46" s="78">
        <f t="shared" si="17"/>
        <v>1.1616222499999997</v>
      </c>
      <c r="BE46" s="78">
        <f t="shared" si="18"/>
        <v>0.92325849999999987</v>
      </c>
      <c r="BF46" s="78">
        <f t="shared" si="19"/>
        <v>0.99044724999999989</v>
      </c>
      <c r="BG46" s="78">
        <f t="shared" si="38"/>
        <v>0.86471039999999999</v>
      </c>
      <c r="BH46" s="78">
        <f t="shared" si="20"/>
        <v>0.92763839999999997</v>
      </c>
      <c r="BI46" s="78">
        <f t="shared" si="39"/>
        <v>0.78878399999999993</v>
      </c>
      <c r="BJ46" s="78">
        <f t="shared" si="21"/>
        <v>1.0879583999999998</v>
      </c>
      <c r="BK46" s="78">
        <f t="shared" si="22"/>
        <v>0.86471039999999999</v>
      </c>
      <c r="BL46" s="78">
        <f t="shared" si="23"/>
        <v>0.92763839999999997</v>
      </c>
      <c r="BM46" s="78">
        <v>1.0446308</v>
      </c>
      <c r="BN46" s="78">
        <v>1.2599955</v>
      </c>
      <c r="BO46" s="78">
        <v>1.0737505000000001</v>
      </c>
      <c r="BP46" s="78">
        <v>1.2850207999999999</v>
      </c>
    </row>
    <row r="47" spans="1:68" ht="13" x14ac:dyDescent="0.25">
      <c r="A47" s="60">
        <v>1</v>
      </c>
      <c r="B47" s="55">
        <v>39</v>
      </c>
      <c r="C47" s="61">
        <v>1.0567501335658049</v>
      </c>
      <c r="D47" s="61">
        <v>1.2163415505458273</v>
      </c>
      <c r="E47" s="81">
        <v>1.0711727680400525</v>
      </c>
      <c r="F47" s="81">
        <v>1.2386124895793873</v>
      </c>
      <c r="G47" s="78">
        <v>1.0162690000000001</v>
      </c>
      <c r="H47" s="78">
        <v>1.1133845</v>
      </c>
      <c r="I47" s="78">
        <v>1.1183871999999999</v>
      </c>
      <c r="J47" s="78">
        <v>1.3554164</v>
      </c>
      <c r="K47" s="78">
        <v>1.1412806</v>
      </c>
      <c r="L47" s="78">
        <v>1.3567628999999999</v>
      </c>
      <c r="M47" s="78">
        <v>1.0077886999999999</v>
      </c>
      <c r="N47" s="78">
        <v>1.1980667</v>
      </c>
      <c r="O47" s="78">
        <v>1.1412806</v>
      </c>
      <c r="P47" s="78">
        <v>1.3567628999999999</v>
      </c>
      <c r="Q47" s="78">
        <f t="shared" si="24"/>
        <v>1.1698126149999999</v>
      </c>
      <c r="R47" s="78">
        <f t="shared" si="0"/>
        <v>1.3906819724999997</v>
      </c>
      <c r="S47" s="78">
        <f t="shared" si="25"/>
        <v>1.0329834174999997</v>
      </c>
      <c r="T47" s="78">
        <f t="shared" si="1"/>
        <v>1.2280183675</v>
      </c>
      <c r="U47" s="78">
        <f t="shared" si="2"/>
        <v>1.1698126149999999</v>
      </c>
      <c r="V47" s="78">
        <f t="shared" si="3"/>
        <v>1.3906819724999997</v>
      </c>
      <c r="W47" s="78">
        <f t="shared" si="26"/>
        <v>1.095629376</v>
      </c>
      <c r="X47" s="78">
        <f t="shared" si="4"/>
        <v>1.3024923839999998</v>
      </c>
      <c r="Y47" s="78">
        <f t="shared" si="27"/>
        <v>0.96747715199999984</v>
      </c>
      <c r="Z47" s="78">
        <f t="shared" si="5"/>
        <v>1.150144032</v>
      </c>
      <c r="AA47" s="78">
        <f t="shared" si="6"/>
        <v>1.095629376</v>
      </c>
      <c r="AB47" s="78">
        <f t="shared" si="7"/>
        <v>1.3024923839999998</v>
      </c>
      <c r="AC47" s="78">
        <v>0.81589999999999996</v>
      </c>
      <c r="AD47" s="78">
        <v>0.79239000000000004</v>
      </c>
      <c r="AE47" s="78">
        <v>0.58492</v>
      </c>
      <c r="AF47" s="78">
        <v>0.88000999999999996</v>
      </c>
      <c r="AG47" s="78">
        <f t="shared" si="28"/>
        <v>0.81589999999999996</v>
      </c>
      <c r="AH47" s="78">
        <f t="shared" si="29"/>
        <v>0.79239000000000004</v>
      </c>
      <c r="AI47" s="78">
        <f t="shared" si="30"/>
        <v>0.83629749999999992</v>
      </c>
      <c r="AJ47" s="78">
        <f t="shared" si="8"/>
        <v>0.81219975</v>
      </c>
      <c r="AK47" s="78">
        <f t="shared" si="31"/>
        <v>0.59954299999999994</v>
      </c>
      <c r="AL47" s="78">
        <f t="shared" si="9"/>
        <v>0.9020102499999999</v>
      </c>
      <c r="AM47" s="78">
        <f t="shared" si="10"/>
        <v>0.83629749999999992</v>
      </c>
      <c r="AN47" s="78">
        <f t="shared" si="11"/>
        <v>0.81219975</v>
      </c>
      <c r="AO47" s="78">
        <f t="shared" si="32"/>
        <v>0.78326399999999996</v>
      </c>
      <c r="AP47" s="78">
        <f t="shared" si="12"/>
        <v>0.76069439999999999</v>
      </c>
      <c r="AQ47" s="78">
        <f t="shared" si="33"/>
        <v>0.5615232</v>
      </c>
      <c r="AR47" s="78">
        <f t="shared" si="13"/>
        <v>0.84480959999999994</v>
      </c>
      <c r="AS47" s="78">
        <f t="shared" si="14"/>
        <v>0.78326399999999996</v>
      </c>
      <c r="AT47" s="78">
        <f t="shared" si="15"/>
        <v>0.76069439999999999</v>
      </c>
      <c r="AU47" s="78">
        <v>0.91100999999999999</v>
      </c>
      <c r="AV47" s="78">
        <v>0.98224</v>
      </c>
      <c r="AW47" s="78">
        <v>0.82969000000000004</v>
      </c>
      <c r="AX47" s="78">
        <v>1.1305400000000001</v>
      </c>
      <c r="AY47" s="78">
        <f t="shared" si="34"/>
        <v>0.91100999999999999</v>
      </c>
      <c r="AZ47" s="78">
        <f t="shared" si="35"/>
        <v>0.98224</v>
      </c>
      <c r="BA47" s="78">
        <f t="shared" si="36"/>
        <v>0.9337852499999999</v>
      </c>
      <c r="BB47" s="78">
        <f t="shared" si="16"/>
        <v>1.006796</v>
      </c>
      <c r="BC47" s="78">
        <f t="shared" si="37"/>
        <v>0.85043225</v>
      </c>
      <c r="BD47" s="78">
        <f t="shared" si="17"/>
        <v>1.1588035000000001</v>
      </c>
      <c r="BE47" s="78">
        <f t="shared" si="18"/>
        <v>0.9337852499999999</v>
      </c>
      <c r="BF47" s="78">
        <f t="shared" si="19"/>
        <v>1.006796</v>
      </c>
      <c r="BG47" s="78">
        <f t="shared" si="38"/>
        <v>0.87456959999999995</v>
      </c>
      <c r="BH47" s="78">
        <f t="shared" si="20"/>
        <v>0.94295039999999997</v>
      </c>
      <c r="BI47" s="78">
        <f t="shared" si="39"/>
        <v>0.79650240000000005</v>
      </c>
      <c r="BJ47" s="78">
        <f t="shared" si="21"/>
        <v>1.0853184</v>
      </c>
      <c r="BK47" s="78">
        <f t="shared" si="22"/>
        <v>0.87456959999999995</v>
      </c>
      <c r="BL47" s="78">
        <f t="shared" si="23"/>
        <v>0.94295039999999997</v>
      </c>
      <c r="BM47" s="78">
        <v>1.0366652999999999</v>
      </c>
      <c r="BN47" s="78">
        <v>1.2420441</v>
      </c>
      <c r="BO47" s="78">
        <v>1.0745346499999999</v>
      </c>
      <c r="BP47" s="78">
        <v>1.2774147999999999</v>
      </c>
    </row>
    <row r="48" spans="1:68" ht="13" x14ac:dyDescent="0.25">
      <c r="A48" s="60">
        <v>1</v>
      </c>
      <c r="B48" s="55">
        <v>40</v>
      </c>
      <c r="C48" s="61">
        <v>1.0543811976191471</v>
      </c>
      <c r="D48" s="61">
        <v>1.2082597372852772</v>
      </c>
      <c r="E48" s="81">
        <v>1.0687589758976461</v>
      </c>
      <c r="F48" s="81">
        <v>1.2303800926688659</v>
      </c>
      <c r="G48" s="78">
        <v>1.0161290000000001</v>
      </c>
      <c r="H48" s="78">
        <v>1.10625</v>
      </c>
      <c r="I48" s="78">
        <v>1.1137006999999999</v>
      </c>
      <c r="J48" s="78">
        <v>1.3461400000000001</v>
      </c>
      <c r="K48" s="78">
        <v>1.1346295</v>
      </c>
      <c r="L48" s="78">
        <v>1.3415047999999998</v>
      </c>
      <c r="M48" s="78">
        <v>1.0019156</v>
      </c>
      <c r="N48" s="78">
        <v>1.1845934</v>
      </c>
      <c r="O48" s="78">
        <v>1.1346295</v>
      </c>
      <c r="P48" s="78">
        <v>1.3415047999999998</v>
      </c>
      <c r="Q48" s="78">
        <f t="shared" si="24"/>
        <v>1.1629952374999999</v>
      </c>
      <c r="R48" s="78">
        <f t="shared" si="0"/>
        <v>1.3750424199999998</v>
      </c>
      <c r="S48" s="78">
        <f t="shared" si="25"/>
        <v>1.02696349</v>
      </c>
      <c r="T48" s="78">
        <f t="shared" si="1"/>
        <v>1.2142082349999999</v>
      </c>
      <c r="U48" s="78">
        <f t="shared" si="2"/>
        <v>1.1629952374999999</v>
      </c>
      <c r="V48" s="78">
        <f t="shared" si="3"/>
        <v>1.3750424199999998</v>
      </c>
      <c r="W48" s="78">
        <f t="shared" si="26"/>
        <v>1.0892443199999999</v>
      </c>
      <c r="X48" s="78">
        <f t="shared" si="4"/>
        <v>1.2878446079999999</v>
      </c>
      <c r="Y48" s="78">
        <f t="shared" si="27"/>
        <v>0.96183897600000001</v>
      </c>
      <c r="Z48" s="78">
        <f t="shared" si="5"/>
        <v>1.137209664</v>
      </c>
      <c r="AA48" s="78">
        <f t="shared" si="6"/>
        <v>1.0892443199999999</v>
      </c>
      <c r="AB48" s="78">
        <f t="shared" si="7"/>
        <v>1.2878446079999999</v>
      </c>
      <c r="AC48" s="78">
        <v>0.82445000000000002</v>
      </c>
      <c r="AD48" s="78">
        <v>0.81105000000000005</v>
      </c>
      <c r="AE48" s="78">
        <v>0.59879000000000004</v>
      </c>
      <c r="AF48" s="78">
        <v>0.88553999999999999</v>
      </c>
      <c r="AG48" s="78">
        <f t="shared" si="28"/>
        <v>0.82445000000000002</v>
      </c>
      <c r="AH48" s="78">
        <f t="shared" si="29"/>
        <v>0.81105000000000005</v>
      </c>
      <c r="AI48" s="78">
        <f t="shared" si="30"/>
        <v>0.84506124999999999</v>
      </c>
      <c r="AJ48" s="78">
        <f t="shared" si="8"/>
        <v>0.83132624999999993</v>
      </c>
      <c r="AK48" s="78">
        <f t="shared" si="31"/>
        <v>0.61375974999999994</v>
      </c>
      <c r="AL48" s="78">
        <f t="shared" si="9"/>
        <v>0.90767849999999994</v>
      </c>
      <c r="AM48" s="78">
        <f t="shared" si="10"/>
        <v>0.84506124999999999</v>
      </c>
      <c r="AN48" s="78">
        <f t="shared" si="11"/>
        <v>0.83132624999999993</v>
      </c>
      <c r="AO48" s="78">
        <f t="shared" si="32"/>
        <v>0.79147199999999995</v>
      </c>
      <c r="AP48" s="78">
        <f t="shared" si="12"/>
        <v>0.77860799999999997</v>
      </c>
      <c r="AQ48" s="78">
        <f t="shared" si="33"/>
        <v>0.57483839999999997</v>
      </c>
      <c r="AR48" s="78">
        <f t="shared" si="13"/>
        <v>0.85011839999999994</v>
      </c>
      <c r="AS48" s="78">
        <f t="shared" si="14"/>
        <v>0.79147199999999995</v>
      </c>
      <c r="AT48" s="78">
        <f t="shared" si="15"/>
        <v>0.77860799999999997</v>
      </c>
      <c r="AU48" s="78">
        <v>0.91512000000000004</v>
      </c>
      <c r="AV48" s="78">
        <v>0.98948999999999998</v>
      </c>
      <c r="AW48" s="78">
        <v>0.83211999999999997</v>
      </c>
      <c r="AX48" s="78">
        <v>1.1210100000000001</v>
      </c>
      <c r="AY48" s="78">
        <f t="shared" si="34"/>
        <v>0.91512000000000004</v>
      </c>
      <c r="AZ48" s="78">
        <f t="shared" si="35"/>
        <v>0.98948999999999998</v>
      </c>
      <c r="BA48" s="78">
        <f t="shared" si="36"/>
        <v>0.937998</v>
      </c>
      <c r="BB48" s="78">
        <f t="shared" si="16"/>
        <v>1.0142272499999998</v>
      </c>
      <c r="BC48" s="78">
        <f t="shared" si="37"/>
        <v>0.85292299999999988</v>
      </c>
      <c r="BD48" s="78">
        <f t="shared" si="17"/>
        <v>1.1490352500000001</v>
      </c>
      <c r="BE48" s="78">
        <f t="shared" si="18"/>
        <v>0.937998</v>
      </c>
      <c r="BF48" s="78">
        <f t="shared" si="19"/>
        <v>1.0142272499999998</v>
      </c>
      <c r="BG48" s="78">
        <f t="shared" si="38"/>
        <v>0.87851520000000005</v>
      </c>
      <c r="BH48" s="78">
        <f t="shared" si="20"/>
        <v>0.94991039999999993</v>
      </c>
      <c r="BI48" s="78">
        <f t="shared" si="39"/>
        <v>0.79883519999999997</v>
      </c>
      <c r="BJ48" s="78">
        <f t="shared" si="21"/>
        <v>1.0761696000000001</v>
      </c>
      <c r="BK48" s="78">
        <f t="shared" si="22"/>
        <v>0.87851520000000005</v>
      </c>
      <c r="BL48" s="78">
        <f t="shared" si="23"/>
        <v>0.94991039999999993</v>
      </c>
      <c r="BM48" s="78">
        <v>1.0219464999999999</v>
      </c>
      <c r="BN48" s="78">
        <v>1.2177007</v>
      </c>
      <c r="BO48" s="78">
        <v>1.0682725500000001</v>
      </c>
      <c r="BP48" s="78">
        <v>1.2630490999999999</v>
      </c>
    </row>
    <row r="49" spans="1:68" ht="13" x14ac:dyDescent="0.25">
      <c r="A49" s="60">
        <v>1</v>
      </c>
      <c r="B49" s="55">
        <v>41</v>
      </c>
      <c r="C49" s="61">
        <v>1.0525555694066113</v>
      </c>
      <c r="D49" s="61">
        <v>1.1992231795492012</v>
      </c>
      <c r="E49" s="81">
        <v>1.0668803476237505</v>
      </c>
      <c r="F49" s="81">
        <v>1.2211794307790591</v>
      </c>
      <c r="G49" s="78">
        <v>1.0191678</v>
      </c>
      <c r="H49" s="78">
        <v>1.0978417</v>
      </c>
      <c r="I49" s="78">
        <v>1.1068815999999999</v>
      </c>
      <c r="J49" s="78">
        <v>1.3362106</v>
      </c>
      <c r="K49" s="78">
        <v>1.1258313</v>
      </c>
      <c r="L49" s="78">
        <v>1.3257334000000001</v>
      </c>
      <c r="M49" s="78">
        <v>0.9941464000000001</v>
      </c>
      <c r="N49" s="78">
        <v>1.1706666999999999</v>
      </c>
      <c r="O49" s="78">
        <v>1.1258313</v>
      </c>
      <c r="P49" s="78">
        <v>1.3257334000000001</v>
      </c>
      <c r="Q49" s="78">
        <f t="shared" si="24"/>
        <v>1.1539770825</v>
      </c>
      <c r="R49" s="78">
        <f t="shared" si="0"/>
        <v>1.3588767349999999</v>
      </c>
      <c r="S49" s="78">
        <f t="shared" si="25"/>
        <v>1.01900006</v>
      </c>
      <c r="T49" s="78">
        <f t="shared" si="1"/>
        <v>1.1999333674999999</v>
      </c>
      <c r="U49" s="78">
        <f t="shared" si="2"/>
        <v>1.1539770825</v>
      </c>
      <c r="V49" s="78">
        <f t="shared" si="3"/>
        <v>1.3588767349999999</v>
      </c>
      <c r="W49" s="78">
        <f t="shared" si="26"/>
        <v>1.0807980479999999</v>
      </c>
      <c r="X49" s="78">
        <f t="shared" si="4"/>
        <v>1.272704064</v>
      </c>
      <c r="Y49" s="78">
        <f t="shared" si="27"/>
        <v>0.95438054400000005</v>
      </c>
      <c r="Z49" s="78">
        <f t="shared" si="5"/>
        <v>1.1238400319999999</v>
      </c>
      <c r="AA49" s="78">
        <f t="shared" si="6"/>
        <v>1.0807980479999999</v>
      </c>
      <c r="AB49" s="78">
        <f t="shared" si="7"/>
        <v>1.272704064</v>
      </c>
      <c r="AC49" s="78">
        <v>0.83094000000000001</v>
      </c>
      <c r="AD49" s="78">
        <v>0.82504</v>
      </c>
      <c r="AE49" s="78">
        <v>0.61085</v>
      </c>
      <c r="AF49" s="78">
        <v>0.88843000000000005</v>
      </c>
      <c r="AG49" s="78">
        <f t="shared" si="28"/>
        <v>0.83094000000000001</v>
      </c>
      <c r="AH49" s="78">
        <f t="shared" si="29"/>
        <v>0.82504</v>
      </c>
      <c r="AI49" s="78">
        <f t="shared" si="30"/>
        <v>0.8517134999999999</v>
      </c>
      <c r="AJ49" s="78">
        <f t="shared" si="8"/>
        <v>0.84566599999999992</v>
      </c>
      <c r="AK49" s="78">
        <f t="shared" si="31"/>
        <v>0.62612124999999996</v>
      </c>
      <c r="AL49" s="78">
        <f t="shared" si="9"/>
        <v>0.91064075</v>
      </c>
      <c r="AM49" s="78">
        <f t="shared" si="10"/>
        <v>0.8517134999999999</v>
      </c>
      <c r="AN49" s="78">
        <f t="shared" si="11"/>
        <v>0.84566599999999992</v>
      </c>
      <c r="AO49" s="78">
        <f t="shared" si="32"/>
        <v>0.79770240000000003</v>
      </c>
      <c r="AP49" s="78">
        <f t="shared" si="12"/>
        <v>0.79203839999999992</v>
      </c>
      <c r="AQ49" s="78">
        <f t="shared" si="33"/>
        <v>0.58641599999999994</v>
      </c>
      <c r="AR49" s="78">
        <f t="shared" si="13"/>
        <v>0.85289280000000001</v>
      </c>
      <c r="AS49" s="78">
        <f t="shared" si="14"/>
        <v>0.79770240000000003</v>
      </c>
      <c r="AT49" s="78">
        <f t="shared" si="15"/>
        <v>0.79203839999999992</v>
      </c>
      <c r="AU49" s="78">
        <v>0.91713</v>
      </c>
      <c r="AV49" s="78">
        <v>0.99348000000000003</v>
      </c>
      <c r="AW49" s="78">
        <v>0.83267999999999998</v>
      </c>
      <c r="AX49" s="78">
        <v>1.11069</v>
      </c>
      <c r="AY49" s="78">
        <f t="shared" si="34"/>
        <v>0.91713</v>
      </c>
      <c r="AZ49" s="78">
        <f t="shared" si="35"/>
        <v>0.99348000000000003</v>
      </c>
      <c r="BA49" s="78">
        <f t="shared" si="36"/>
        <v>0.94005824999999987</v>
      </c>
      <c r="BB49" s="78">
        <f t="shared" si="16"/>
        <v>1.0183169999999999</v>
      </c>
      <c r="BC49" s="78">
        <f t="shared" si="37"/>
        <v>0.85349699999999995</v>
      </c>
      <c r="BD49" s="78">
        <f t="shared" si="17"/>
        <v>1.1384572499999999</v>
      </c>
      <c r="BE49" s="78">
        <f t="shared" si="18"/>
        <v>0.94005824999999987</v>
      </c>
      <c r="BF49" s="78">
        <f t="shared" si="19"/>
        <v>1.0183169999999999</v>
      </c>
      <c r="BG49" s="78">
        <f t="shared" si="38"/>
        <v>0.88044479999999992</v>
      </c>
      <c r="BH49" s="78">
        <f t="shared" si="20"/>
        <v>0.95374079999999994</v>
      </c>
      <c r="BI49" s="78">
        <f t="shared" si="39"/>
        <v>0.79937279999999999</v>
      </c>
      <c r="BJ49" s="78">
        <f t="shared" si="21"/>
        <v>1.0662623999999998</v>
      </c>
      <c r="BK49" s="78">
        <f t="shared" si="22"/>
        <v>0.88044479999999992</v>
      </c>
      <c r="BL49" s="78">
        <f t="shared" si="23"/>
        <v>0.95374079999999994</v>
      </c>
      <c r="BM49" s="78">
        <v>1.0023913</v>
      </c>
      <c r="BN49" s="78">
        <v>1.1865698999999998</v>
      </c>
      <c r="BO49" s="78">
        <v>1.0599888500000001</v>
      </c>
      <c r="BP49" s="78">
        <v>1.2482000499999999</v>
      </c>
    </row>
    <row r="50" spans="1:68" ht="13" x14ac:dyDescent="0.25">
      <c r="A50" s="60">
        <v>1</v>
      </c>
      <c r="B50" s="55">
        <v>42</v>
      </c>
      <c r="C50" s="61">
        <v>1.0532221711836904</v>
      </c>
      <c r="D50" s="61">
        <v>1.2022791625479079</v>
      </c>
      <c r="E50" s="81">
        <v>1.0675599238354092</v>
      </c>
      <c r="F50" s="81">
        <v>1.2242096964349811</v>
      </c>
      <c r="G50" s="78">
        <v>1.0191471000000001</v>
      </c>
      <c r="H50" s="78">
        <v>1.1088844</v>
      </c>
      <c r="I50" s="78">
        <v>1.1082617000000001</v>
      </c>
      <c r="J50" s="78">
        <v>1.3311449</v>
      </c>
      <c r="K50" s="78">
        <v>1.1253877000000001</v>
      </c>
      <c r="L50" s="78">
        <v>1.314905</v>
      </c>
      <c r="M50" s="78">
        <v>0.9937547000000001</v>
      </c>
      <c r="N50" s="78">
        <v>1.1611047999999999</v>
      </c>
      <c r="O50" s="78">
        <v>1.1253877000000001</v>
      </c>
      <c r="P50" s="78">
        <v>1.314905</v>
      </c>
      <c r="Q50" s="78">
        <f t="shared" si="24"/>
        <v>1.1535223925</v>
      </c>
      <c r="R50" s="78">
        <f t="shared" si="0"/>
        <v>1.347777625</v>
      </c>
      <c r="S50" s="78">
        <f t="shared" si="25"/>
        <v>1.0185985675</v>
      </c>
      <c r="T50" s="78">
        <f t="shared" si="1"/>
        <v>1.1901324199999999</v>
      </c>
      <c r="U50" s="78">
        <f t="shared" si="2"/>
        <v>1.1535223925</v>
      </c>
      <c r="V50" s="78">
        <f t="shared" si="3"/>
        <v>1.347777625</v>
      </c>
      <c r="W50" s="78">
        <f t="shared" si="26"/>
        <v>1.080372192</v>
      </c>
      <c r="X50" s="78">
        <f t="shared" si="4"/>
        <v>1.2623088</v>
      </c>
      <c r="Y50" s="78">
        <f t="shared" si="27"/>
        <v>0.95400451200000003</v>
      </c>
      <c r="Z50" s="78">
        <f t="shared" si="5"/>
        <v>1.1146606079999999</v>
      </c>
      <c r="AA50" s="78">
        <f t="shared" si="6"/>
        <v>1.080372192</v>
      </c>
      <c r="AB50" s="78">
        <f t="shared" si="7"/>
        <v>1.2623088</v>
      </c>
      <c r="AC50" s="78">
        <v>0.84419999999999995</v>
      </c>
      <c r="AD50" s="78">
        <v>0.83865999999999996</v>
      </c>
      <c r="AE50" s="78">
        <v>0.62829000000000002</v>
      </c>
      <c r="AF50" s="78">
        <v>0.89268000000000003</v>
      </c>
      <c r="AG50" s="78">
        <f t="shared" si="28"/>
        <v>0.84419999999999995</v>
      </c>
      <c r="AH50" s="78">
        <f t="shared" si="29"/>
        <v>0.83865999999999996</v>
      </c>
      <c r="AI50" s="78">
        <f t="shared" si="30"/>
        <v>0.86530499999999988</v>
      </c>
      <c r="AJ50" s="78">
        <f t="shared" si="8"/>
        <v>0.85962649999999985</v>
      </c>
      <c r="AK50" s="78">
        <f t="shared" si="31"/>
        <v>0.64399724999999997</v>
      </c>
      <c r="AL50" s="78">
        <f t="shared" si="9"/>
        <v>0.91499699999999995</v>
      </c>
      <c r="AM50" s="78">
        <f t="shared" si="10"/>
        <v>0.86530499999999988</v>
      </c>
      <c r="AN50" s="78">
        <f t="shared" si="11"/>
        <v>0.85962649999999985</v>
      </c>
      <c r="AO50" s="78">
        <f t="shared" si="32"/>
        <v>0.81043199999999993</v>
      </c>
      <c r="AP50" s="78">
        <f t="shared" si="12"/>
        <v>0.80511359999999998</v>
      </c>
      <c r="AQ50" s="78">
        <f t="shared" si="33"/>
        <v>0.60315839999999998</v>
      </c>
      <c r="AR50" s="78">
        <f t="shared" si="13"/>
        <v>0.85697279999999998</v>
      </c>
      <c r="AS50" s="78">
        <f t="shared" si="14"/>
        <v>0.81043199999999993</v>
      </c>
      <c r="AT50" s="78">
        <f t="shared" si="15"/>
        <v>0.80511359999999998</v>
      </c>
      <c r="AU50" s="78">
        <v>0.92639000000000005</v>
      </c>
      <c r="AV50" s="78">
        <v>0.99887000000000004</v>
      </c>
      <c r="AW50" s="78">
        <v>0.83980999999999995</v>
      </c>
      <c r="AX50" s="78">
        <v>1.10409</v>
      </c>
      <c r="AY50" s="78">
        <f t="shared" si="34"/>
        <v>0.92639000000000005</v>
      </c>
      <c r="AZ50" s="78">
        <f t="shared" si="35"/>
        <v>0.99887000000000004</v>
      </c>
      <c r="BA50" s="78">
        <f t="shared" si="36"/>
        <v>0.94954974999999997</v>
      </c>
      <c r="BB50" s="78">
        <f t="shared" si="16"/>
        <v>1.0238417499999999</v>
      </c>
      <c r="BC50" s="78">
        <f t="shared" si="37"/>
        <v>0.86080524999999986</v>
      </c>
      <c r="BD50" s="78">
        <f t="shared" si="17"/>
        <v>1.13169225</v>
      </c>
      <c r="BE50" s="78">
        <f t="shared" si="18"/>
        <v>0.94954974999999997</v>
      </c>
      <c r="BF50" s="78">
        <f t="shared" si="19"/>
        <v>1.0238417499999999</v>
      </c>
      <c r="BG50" s="78">
        <f t="shared" si="38"/>
        <v>0.88933439999999997</v>
      </c>
      <c r="BH50" s="78">
        <f t="shared" si="20"/>
        <v>0.95891519999999997</v>
      </c>
      <c r="BI50" s="78">
        <f t="shared" si="39"/>
        <v>0.80621759999999987</v>
      </c>
      <c r="BJ50" s="78">
        <f t="shared" si="21"/>
        <v>1.0599263999999999</v>
      </c>
      <c r="BK50" s="78">
        <f t="shared" si="22"/>
        <v>0.88933439999999997</v>
      </c>
      <c r="BL50" s="78">
        <f t="shared" si="23"/>
        <v>0.95891519999999997</v>
      </c>
      <c r="BM50" s="78">
        <v>0.99037030000000004</v>
      </c>
      <c r="BN50" s="78">
        <v>1.1602005</v>
      </c>
      <c r="BO50" s="78">
        <v>1.0595712000000002</v>
      </c>
      <c r="BP50" s="78">
        <v>1.2380049</v>
      </c>
    </row>
    <row r="51" spans="1:68" ht="13" x14ac:dyDescent="0.25">
      <c r="A51" s="60">
        <v>1</v>
      </c>
      <c r="B51" s="55">
        <v>43</v>
      </c>
      <c r="C51" s="61">
        <v>1.0568173627192909</v>
      </c>
      <c r="D51" s="61">
        <v>1.1997925642569658</v>
      </c>
      <c r="E51" s="81">
        <v>1.0712173402822147</v>
      </c>
      <c r="F51" s="81">
        <v>1.2216605342569054</v>
      </c>
      <c r="G51" s="78">
        <v>1.0203583000000001</v>
      </c>
      <c r="H51" s="78">
        <v>1.1083281</v>
      </c>
      <c r="I51" s="78">
        <v>1.1143561</v>
      </c>
      <c r="J51" s="78">
        <v>1.3266070999999999</v>
      </c>
      <c r="K51" s="78">
        <v>1.1297249</v>
      </c>
      <c r="L51" s="78">
        <v>1.3046905000000002</v>
      </c>
      <c r="M51" s="78">
        <v>0.99758469999999999</v>
      </c>
      <c r="N51" s="78">
        <v>1.1520851000000001</v>
      </c>
      <c r="O51" s="78">
        <v>1.1297249</v>
      </c>
      <c r="P51" s="78">
        <v>1.3046905000000002</v>
      </c>
      <c r="Q51" s="78">
        <f t="shared" si="24"/>
        <v>1.1579680225</v>
      </c>
      <c r="R51" s="78">
        <f t="shared" si="0"/>
        <v>1.3373077625000001</v>
      </c>
      <c r="S51" s="78">
        <f t="shared" si="25"/>
        <v>1.0225243174999998</v>
      </c>
      <c r="T51" s="78">
        <f t="shared" si="1"/>
        <v>1.1808872275</v>
      </c>
      <c r="U51" s="78">
        <f t="shared" si="2"/>
        <v>1.1579680225</v>
      </c>
      <c r="V51" s="78">
        <f t="shared" si="3"/>
        <v>1.3373077625000001</v>
      </c>
      <c r="W51" s="78">
        <f t="shared" si="26"/>
        <v>1.084535904</v>
      </c>
      <c r="X51" s="78">
        <f t="shared" si="4"/>
        <v>1.2525028800000002</v>
      </c>
      <c r="Y51" s="78">
        <f t="shared" si="27"/>
        <v>0.95768131199999995</v>
      </c>
      <c r="Z51" s="78">
        <f t="shared" si="5"/>
        <v>1.1060016960000001</v>
      </c>
      <c r="AA51" s="78">
        <f t="shared" si="6"/>
        <v>1.084535904</v>
      </c>
      <c r="AB51" s="78">
        <f t="shared" si="7"/>
        <v>1.2525028800000002</v>
      </c>
      <c r="AC51" s="78">
        <v>0.86036000000000001</v>
      </c>
      <c r="AD51" s="78">
        <v>0.84763999999999995</v>
      </c>
      <c r="AE51" s="78">
        <v>0.64748000000000006</v>
      </c>
      <c r="AF51" s="78">
        <v>0.89441999999999999</v>
      </c>
      <c r="AG51" s="78">
        <f t="shared" si="28"/>
        <v>0.86036000000000001</v>
      </c>
      <c r="AH51" s="78">
        <f t="shared" si="29"/>
        <v>0.84763999999999995</v>
      </c>
      <c r="AI51" s="78">
        <f t="shared" si="30"/>
        <v>0.8818689999999999</v>
      </c>
      <c r="AJ51" s="78">
        <f t="shared" si="8"/>
        <v>0.86883099999999991</v>
      </c>
      <c r="AK51" s="78">
        <f t="shared" si="31"/>
        <v>0.66366700000000001</v>
      </c>
      <c r="AL51" s="78">
        <f t="shared" si="9"/>
        <v>0.91678049999999989</v>
      </c>
      <c r="AM51" s="78">
        <f t="shared" si="10"/>
        <v>0.8818689999999999</v>
      </c>
      <c r="AN51" s="78">
        <f t="shared" si="11"/>
        <v>0.86883099999999991</v>
      </c>
      <c r="AO51" s="78">
        <f t="shared" si="32"/>
        <v>0.82594559999999995</v>
      </c>
      <c r="AP51" s="78">
        <f t="shared" si="12"/>
        <v>0.81373439999999997</v>
      </c>
      <c r="AQ51" s="78">
        <f t="shared" si="33"/>
        <v>0.62158080000000004</v>
      </c>
      <c r="AR51" s="78">
        <f t="shared" si="13"/>
        <v>0.85864319999999994</v>
      </c>
      <c r="AS51" s="78">
        <f t="shared" si="14"/>
        <v>0.82594559999999995</v>
      </c>
      <c r="AT51" s="78">
        <f t="shared" si="15"/>
        <v>0.81373439999999997</v>
      </c>
      <c r="AU51" s="78">
        <v>0.93910000000000005</v>
      </c>
      <c r="AV51" s="78">
        <v>1.00139</v>
      </c>
      <c r="AW51" s="78">
        <v>0.85011000000000003</v>
      </c>
      <c r="AX51" s="78">
        <v>1.0972999999999999</v>
      </c>
      <c r="AY51" s="78">
        <f t="shared" si="34"/>
        <v>0.93910000000000005</v>
      </c>
      <c r="AZ51" s="78">
        <f t="shared" si="35"/>
        <v>1.00139</v>
      </c>
      <c r="BA51" s="78">
        <f t="shared" si="36"/>
        <v>0.96257749999999997</v>
      </c>
      <c r="BB51" s="78">
        <f t="shared" si="16"/>
        <v>1.0264247499999999</v>
      </c>
      <c r="BC51" s="78">
        <f t="shared" si="37"/>
        <v>0.87136274999999996</v>
      </c>
      <c r="BD51" s="78">
        <f t="shared" si="17"/>
        <v>1.1247324999999999</v>
      </c>
      <c r="BE51" s="78">
        <f t="shared" si="18"/>
        <v>0.96257749999999997</v>
      </c>
      <c r="BF51" s="78">
        <f t="shared" si="19"/>
        <v>1.0264247499999999</v>
      </c>
      <c r="BG51" s="78">
        <f t="shared" si="38"/>
        <v>0.901536</v>
      </c>
      <c r="BH51" s="78">
        <f t="shared" si="20"/>
        <v>0.96133439999999992</v>
      </c>
      <c r="BI51" s="78">
        <f t="shared" si="39"/>
        <v>0.81610559999999999</v>
      </c>
      <c r="BJ51" s="78">
        <f t="shared" si="21"/>
        <v>1.0534079999999999</v>
      </c>
      <c r="BK51" s="78">
        <f t="shared" si="22"/>
        <v>0.901536</v>
      </c>
      <c r="BL51" s="78">
        <f t="shared" si="23"/>
        <v>0.96133439999999992</v>
      </c>
      <c r="BM51" s="78">
        <v>0.98251639999999996</v>
      </c>
      <c r="BN51" s="78">
        <v>1.1346397000000001</v>
      </c>
      <c r="BO51" s="78">
        <v>1.0636548000000001</v>
      </c>
      <c r="BP51" s="78">
        <v>1.2283878000000001</v>
      </c>
    </row>
    <row r="52" spans="1:68" ht="13" x14ac:dyDescent="0.25">
      <c r="A52" s="60">
        <v>1</v>
      </c>
      <c r="B52" s="55">
        <v>44</v>
      </c>
      <c r="C52" s="61">
        <v>1.0599401362907026</v>
      </c>
      <c r="D52" s="61">
        <v>1.1970510802365544</v>
      </c>
      <c r="E52" s="81">
        <v>1.0744190825775946</v>
      </c>
      <c r="F52" s="81">
        <v>1.2189259026181427</v>
      </c>
      <c r="G52" s="78">
        <v>1.0171559000000001</v>
      </c>
      <c r="H52" s="78">
        <v>1.1000592</v>
      </c>
      <c r="I52" s="78">
        <v>1.1239862</v>
      </c>
      <c r="J52" s="78">
        <v>1.3294693000000002</v>
      </c>
      <c r="K52" s="78">
        <v>1.1376264999999999</v>
      </c>
      <c r="L52" s="78">
        <v>1.3018109999999998</v>
      </c>
      <c r="M52" s="78">
        <v>1.0045621</v>
      </c>
      <c r="N52" s="78">
        <v>1.1495424000000001</v>
      </c>
      <c r="O52" s="78">
        <v>1.1376264999999999</v>
      </c>
      <c r="P52" s="78">
        <v>1.3018109999999998</v>
      </c>
      <c r="Q52" s="78">
        <f t="shared" si="24"/>
        <v>1.1660671624999999</v>
      </c>
      <c r="R52" s="78">
        <f t="shared" si="0"/>
        <v>1.3343562749999998</v>
      </c>
      <c r="S52" s="78">
        <f t="shared" si="25"/>
        <v>1.0296761525</v>
      </c>
      <c r="T52" s="78">
        <f t="shared" si="1"/>
        <v>1.1782809599999999</v>
      </c>
      <c r="U52" s="78">
        <f t="shared" si="2"/>
        <v>1.1660671624999999</v>
      </c>
      <c r="V52" s="78">
        <f t="shared" si="3"/>
        <v>1.3343562749999998</v>
      </c>
      <c r="W52" s="78">
        <f t="shared" si="26"/>
        <v>1.0921214399999999</v>
      </c>
      <c r="X52" s="78">
        <f t="shared" si="4"/>
        <v>1.2497385599999997</v>
      </c>
      <c r="Y52" s="78">
        <f t="shared" si="27"/>
        <v>0.964379616</v>
      </c>
      <c r="Z52" s="78">
        <f t="shared" si="5"/>
        <v>1.1035607039999999</v>
      </c>
      <c r="AA52" s="78">
        <f t="shared" si="6"/>
        <v>1.0921214399999999</v>
      </c>
      <c r="AB52" s="78">
        <f t="shared" si="7"/>
        <v>1.2497385599999997</v>
      </c>
      <c r="AC52" s="78">
        <v>0.87955000000000005</v>
      </c>
      <c r="AD52" s="78">
        <v>0.85960999999999999</v>
      </c>
      <c r="AE52" s="78">
        <v>0.66915999999999998</v>
      </c>
      <c r="AF52" s="78">
        <v>0.90029999999999999</v>
      </c>
      <c r="AG52" s="78">
        <f t="shared" si="28"/>
        <v>0.87955000000000005</v>
      </c>
      <c r="AH52" s="78">
        <f t="shared" si="29"/>
        <v>0.85960999999999999</v>
      </c>
      <c r="AI52" s="78">
        <f t="shared" si="30"/>
        <v>0.90153874999999994</v>
      </c>
      <c r="AJ52" s="78">
        <f t="shared" si="8"/>
        <v>0.88110024999999992</v>
      </c>
      <c r="AK52" s="78">
        <f t="shared" si="31"/>
        <v>0.68588899999999997</v>
      </c>
      <c r="AL52" s="78">
        <f t="shared" si="9"/>
        <v>0.92280749999999989</v>
      </c>
      <c r="AM52" s="78">
        <f t="shared" si="10"/>
        <v>0.90153874999999994</v>
      </c>
      <c r="AN52" s="78">
        <f t="shared" si="11"/>
        <v>0.88110024999999992</v>
      </c>
      <c r="AO52" s="78">
        <f t="shared" si="32"/>
        <v>0.84436800000000001</v>
      </c>
      <c r="AP52" s="78">
        <f t="shared" si="12"/>
        <v>0.8252256</v>
      </c>
      <c r="AQ52" s="78">
        <f t="shared" si="33"/>
        <v>0.64239360000000001</v>
      </c>
      <c r="AR52" s="78">
        <f t="shared" si="13"/>
        <v>0.86428799999999995</v>
      </c>
      <c r="AS52" s="78">
        <f t="shared" si="14"/>
        <v>0.84436800000000001</v>
      </c>
      <c r="AT52" s="78">
        <f t="shared" si="15"/>
        <v>0.8252256</v>
      </c>
      <c r="AU52" s="78">
        <v>0.95499000000000001</v>
      </c>
      <c r="AV52" s="78">
        <v>1.0083599999999999</v>
      </c>
      <c r="AW52" s="78">
        <v>0.86329999999999996</v>
      </c>
      <c r="AX52" s="78">
        <v>1.0966</v>
      </c>
      <c r="AY52" s="78">
        <f t="shared" si="34"/>
        <v>0.95499000000000001</v>
      </c>
      <c r="AZ52" s="78">
        <f t="shared" si="35"/>
        <v>1.0083599999999999</v>
      </c>
      <c r="BA52" s="78">
        <f t="shared" si="36"/>
        <v>0.97886474999999995</v>
      </c>
      <c r="BB52" s="78">
        <f t="shared" si="16"/>
        <v>1.0335689999999997</v>
      </c>
      <c r="BC52" s="78">
        <f t="shared" si="37"/>
        <v>0.88488249999999991</v>
      </c>
      <c r="BD52" s="78">
        <f t="shared" si="17"/>
        <v>1.124015</v>
      </c>
      <c r="BE52" s="78">
        <f t="shared" si="18"/>
        <v>0.97886474999999995</v>
      </c>
      <c r="BF52" s="78">
        <f t="shared" si="19"/>
        <v>1.0335689999999997</v>
      </c>
      <c r="BG52" s="78">
        <f t="shared" si="38"/>
        <v>0.91679040000000001</v>
      </c>
      <c r="BH52" s="78">
        <f t="shared" si="20"/>
        <v>0.96802559999999993</v>
      </c>
      <c r="BI52" s="78">
        <f t="shared" si="39"/>
        <v>0.82876799999999995</v>
      </c>
      <c r="BJ52" s="78">
        <f t="shared" si="21"/>
        <v>1.0527359999999999</v>
      </c>
      <c r="BK52" s="78">
        <f t="shared" si="22"/>
        <v>0.91679040000000001</v>
      </c>
      <c r="BL52" s="78">
        <f t="shared" si="23"/>
        <v>0.96802559999999993</v>
      </c>
      <c r="BM52" s="78">
        <v>0.97763589999999989</v>
      </c>
      <c r="BN52" s="78">
        <v>1.1156241</v>
      </c>
      <c r="BO52" s="78">
        <v>1.0710942999999999</v>
      </c>
      <c r="BP52" s="78">
        <v>1.2256767</v>
      </c>
    </row>
    <row r="53" spans="1:68" ht="13" x14ac:dyDescent="0.25">
      <c r="A53" s="60">
        <v>1</v>
      </c>
      <c r="B53" s="55">
        <v>45</v>
      </c>
      <c r="C53" s="61">
        <v>1.0665356591572182</v>
      </c>
      <c r="D53" s="61">
        <v>1.2090549978866756</v>
      </c>
      <c r="E53" s="81">
        <v>1.0811321391294508</v>
      </c>
      <c r="F53" s="81">
        <v>1.2312107005037467</v>
      </c>
      <c r="G53" s="78">
        <v>1.0188010000000001</v>
      </c>
      <c r="H53" s="78">
        <v>1.1048794</v>
      </c>
      <c r="I53" s="78">
        <v>1.1357548</v>
      </c>
      <c r="J53" s="78">
        <v>1.3491822</v>
      </c>
      <c r="K53" s="78">
        <v>1.1476633000000001</v>
      </c>
      <c r="L53" s="78">
        <v>1.3153851000000001</v>
      </c>
      <c r="M53" s="78">
        <v>1.0134249</v>
      </c>
      <c r="N53" s="78">
        <v>1.1615287999999999</v>
      </c>
      <c r="O53" s="78">
        <v>1.1476633000000001</v>
      </c>
      <c r="P53" s="78">
        <v>1.3153851000000001</v>
      </c>
      <c r="Q53" s="78">
        <f t="shared" si="24"/>
        <v>1.1763548824999999</v>
      </c>
      <c r="R53" s="78">
        <f t="shared" si="0"/>
        <v>1.3482697275</v>
      </c>
      <c r="S53" s="78">
        <f t="shared" si="25"/>
        <v>1.0387605224999998</v>
      </c>
      <c r="T53" s="78">
        <f t="shared" si="1"/>
        <v>1.1905670199999998</v>
      </c>
      <c r="U53" s="78">
        <f t="shared" si="2"/>
        <v>1.1763548824999999</v>
      </c>
      <c r="V53" s="78">
        <f t="shared" si="3"/>
        <v>1.3482697275</v>
      </c>
      <c r="W53" s="78">
        <f t="shared" si="26"/>
        <v>1.101756768</v>
      </c>
      <c r="X53" s="78">
        <f t="shared" si="4"/>
        <v>1.2627696960000001</v>
      </c>
      <c r="Y53" s="78">
        <f t="shared" si="27"/>
        <v>0.97288790399999991</v>
      </c>
      <c r="Z53" s="78">
        <f t="shared" si="5"/>
        <v>1.1150676479999999</v>
      </c>
      <c r="AA53" s="78">
        <f t="shared" si="6"/>
        <v>1.101756768</v>
      </c>
      <c r="AB53" s="78">
        <f t="shared" si="7"/>
        <v>1.2627696960000001</v>
      </c>
      <c r="AC53" s="78">
        <v>0.90207000000000004</v>
      </c>
      <c r="AD53" s="78">
        <v>0.88697000000000004</v>
      </c>
      <c r="AE53" s="78">
        <v>0.69421999999999995</v>
      </c>
      <c r="AF53" s="78">
        <v>0.92005000000000003</v>
      </c>
      <c r="AG53" s="78">
        <f t="shared" si="28"/>
        <v>0.90207000000000004</v>
      </c>
      <c r="AH53" s="78">
        <f t="shared" si="29"/>
        <v>0.88697000000000004</v>
      </c>
      <c r="AI53" s="78">
        <f t="shared" si="30"/>
        <v>0.92462174999999991</v>
      </c>
      <c r="AJ53" s="78">
        <f t="shared" si="8"/>
        <v>0.90914424999999999</v>
      </c>
      <c r="AK53" s="78">
        <f t="shared" si="31"/>
        <v>0.71157549999999992</v>
      </c>
      <c r="AL53" s="78">
        <f t="shared" si="9"/>
        <v>0.94305125000000001</v>
      </c>
      <c r="AM53" s="78">
        <f t="shared" si="10"/>
        <v>0.92462174999999991</v>
      </c>
      <c r="AN53" s="78">
        <f t="shared" si="11"/>
        <v>0.90914424999999999</v>
      </c>
      <c r="AO53" s="78">
        <f t="shared" si="32"/>
        <v>0.86598719999999996</v>
      </c>
      <c r="AP53" s="78">
        <f t="shared" si="12"/>
        <v>0.8514912</v>
      </c>
      <c r="AQ53" s="78">
        <f t="shared" si="33"/>
        <v>0.66645119999999991</v>
      </c>
      <c r="AR53" s="78">
        <f t="shared" si="13"/>
        <v>0.88324800000000003</v>
      </c>
      <c r="AS53" s="78">
        <f t="shared" si="14"/>
        <v>0.86598719999999996</v>
      </c>
      <c r="AT53" s="78">
        <f t="shared" si="15"/>
        <v>0.8514912</v>
      </c>
      <c r="AU53" s="78">
        <v>0.97385999999999995</v>
      </c>
      <c r="AV53" s="78">
        <v>1.0310900000000001</v>
      </c>
      <c r="AW53" s="78">
        <v>0.87897000000000003</v>
      </c>
      <c r="AX53" s="78">
        <v>1.11022</v>
      </c>
      <c r="AY53" s="78">
        <f t="shared" si="34"/>
        <v>0.97385999999999995</v>
      </c>
      <c r="AZ53" s="78">
        <f t="shared" si="35"/>
        <v>1.0310900000000001</v>
      </c>
      <c r="BA53" s="78">
        <f t="shared" si="36"/>
        <v>0.99820649999999989</v>
      </c>
      <c r="BB53" s="78">
        <f t="shared" si="16"/>
        <v>1.05686725</v>
      </c>
      <c r="BC53" s="78">
        <f t="shared" si="37"/>
        <v>0.90094425</v>
      </c>
      <c r="BD53" s="78">
        <f t="shared" si="17"/>
        <v>1.1379754999999998</v>
      </c>
      <c r="BE53" s="78">
        <f t="shared" si="18"/>
        <v>0.99820649999999989</v>
      </c>
      <c r="BF53" s="78">
        <f t="shared" si="19"/>
        <v>1.05686725</v>
      </c>
      <c r="BG53" s="78">
        <f t="shared" si="38"/>
        <v>0.93490559999999989</v>
      </c>
      <c r="BH53" s="78">
        <f t="shared" si="20"/>
        <v>0.98984640000000002</v>
      </c>
      <c r="BI53" s="78">
        <f t="shared" si="39"/>
        <v>0.84381119999999998</v>
      </c>
      <c r="BJ53" s="78">
        <f t="shared" si="21"/>
        <v>1.0658112</v>
      </c>
      <c r="BK53" s="78">
        <f t="shared" si="22"/>
        <v>0.93490559999999989</v>
      </c>
      <c r="BL53" s="78">
        <f t="shared" si="23"/>
        <v>0.98984640000000002</v>
      </c>
      <c r="BM53" s="78">
        <v>0.97440499999999997</v>
      </c>
      <c r="BN53" s="78">
        <v>1.1105731000000001</v>
      </c>
      <c r="BO53" s="78">
        <v>1.0805441</v>
      </c>
      <c r="BP53" s="78">
        <v>1.23845695</v>
      </c>
    </row>
    <row r="54" spans="1:68" ht="13" x14ac:dyDescent="0.25">
      <c r="A54" s="60">
        <v>1</v>
      </c>
      <c r="B54" s="55">
        <v>46</v>
      </c>
      <c r="C54" s="61">
        <v>1.0664397234745544</v>
      </c>
      <c r="D54" s="61">
        <v>1.2060795582517256</v>
      </c>
      <c r="E54" s="81">
        <v>1.0810356559641905</v>
      </c>
      <c r="F54" s="81">
        <v>1.2281395763542662</v>
      </c>
      <c r="G54" s="78">
        <v>1.0185786999999999</v>
      </c>
      <c r="H54" s="78">
        <v>1.1063158</v>
      </c>
      <c r="I54" s="78">
        <v>1.1357858000000001</v>
      </c>
      <c r="J54" s="78">
        <v>1.3415926999999999</v>
      </c>
      <c r="K54" s="78">
        <v>1.146034</v>
      </c>
      <c r="L54" s="78">
        <v>1.328063</v>
      </c>
      <c r="M54" s="78">
        <v>1.0119861000000001</v>
      </c>
      <c r="N54" s="78">
        <v>1.1727238</v>
      </c>
      <c r="O54" s="78">
        <v>1.146034</v>
      </c>
      <c r="P54" s="78">
        <v>1.328063</v>
      </c>
      <c r="Q54" s="78">
        <f t="shared" si="24"/>
        <v>1.17468485</v>
      </c>
      <c r="R54" s="78">
        <f t="shared" si="0"/>
        <v>1.3612645749999999</v>
      </c>
      <c r="S54" s="78">
        <f t="shared" si="25"/>
        <v>1.0372857525000001</v>
      </c>
      <c r="T54" s="78">
        <f t="shared" si="1"/>
        <v>1.2020418949999998</v>
      </c>
      <c r="U54" s="78">
        <f t="shared" si="2"/>
        <v>1.17468485</v>
      </c>
      <c r="V54" s="78">
        <f t="shared" si="3"/>
        <v>1.3612645749999999</v>
      </c>
      <c r="W54" s="78">
        <f t="shared" si="26"/>
        <v>1.1001926399999999</v>
      </c>
      <c r="X54" s="78">
        <f t="shared" si="4"/>
        <v>1.2749404799999999</v>
      </c>
      <c r="Y54" s="78">
        <f t="shared" si="27"/>
        <v>0.97150665600000008</v>
      </c>
      <c r="Z54" s="78">
        <f t="shared" si="5"/>
        <v>1.1258148479999999</v>
      </c>
      <c r="AA54" s="78">
        <f t="shared" si="6"/>
        <v>1.1001926399999999</v>
      </c>
      <c r="AB54" s="78">
        <f t="shared" si="7"/>
        <v>1.2749404799999999</v>
      </c>
      <c r="AC54" s="78">
        <v>0.91617000000000004</v>
      </c>
      <c r="AD54" s="78">
        <v>0.91710000000000003</v>
      </c>
      <c r="AE54" s="78">
        <v>0.71326999999999996</v>
      </c>
      <c r="AF54" s="78">
        <v>0.94108999999999998</v>
      </c>
      <c r="AG54" s="78">
        <f t="shared" si="28"/>
        <v>0.91617000000000004</v>
      </c>
      <c r="AH54" s="78">
        <f t="shared" si="29"/>
        <v>0.91710000000000003</v>
      </c>
      <c r="AI54" s="78">
        <f t="shared" si="30"/>
        <v>0.93907425</v>
      </c>
      <c r="AJ54" s="78">
        <f t="shared" si="8"/>
        <v>0.9400274999999999</v>
      </c>
      <c r="AK54" s="78">
        <f t="shared" si="31"/>
        <v>0.73110174999999988</v>
      </c>
      <c r="AL54" s="78">
        <f t="shared" si="9"/>
        <v>0.96461724999999987</v>
      </c>
      <c r="AM54" s="78">
        <f t="shared" si="10"/>
        <v>0.93907425</v>
      </c>
      <c r="AN54" s="78">
        <f t="shared" si="11"/>
        <v>0.9400274999999999</v>
      </c>
      <c r="AO54" s="78">
        <f t="shared" si="32"/>
        <v>0.87952320000000006</v>
      </c>
      <c r="AP54" s="78">
        <f t="shared" si="12"/>
        <v>0.88041599999999998</v>
      </c>
      <c r="AQ54" s="78">
        <f t="shared" si="33"/>
        <v>0.68473919999999988</v>
      </c>
      <c r="AR54" s="78">
        <f t="shared" si="13"/>
        <v>0.90344639999999998</v>
      </c>
      <c r="AS54" s="78">
        <f t="shared" si="14"/>
        <v>0.87952320000000006</v>
      </c>
      <c r="AT54" s="78">
        <f t="shared" si="15"/>
        <v>0.88041599999999998</v>
      </c>
      <c r="AU54" s="78">
        <v>0.98336000000000001</v>
      </c>
      <c r="AV54" s="78">
        <v>1.05535</v>
      </c>
      <c r="AW54" s="78">
        <v>0.88619000000000003</v>
      </c>
      <c r="AX54" s="78">
        <v>1.1235200000000001</v>
      </c>
      <c r="AY54" s="78">
        <f t="shared" si="34"/>
        <v>0.98336000000000001</v>
      </c>
      <c r="AZ54" s="78">
        <f t="shared" si="35"/>
        <v>1.05535</v>
      </c>
      <c r="BA54" s="78">
        <f t="shared" si="36"/>
        <v>1.007944</v>
      </c>
      <c r="BB54" s="78">
        <f t="shared" si="16"/>
        <v>1.0817337499999999</v>
      </c>
      <c r="BC54" s="78">
        <f t="shared" si="37"/>
        <v>0.90834474999999992</v>
      </c>
      <c r="BD54" s="78">
        <f t="shared" si="17"/>
        <v>1.151608</v>
      </c>
      <c r="BE54" s="78">
        <f t="shared" si="18"/>
        <v>1.007944</v>
      </c>
      <c r="BF54" s="78">
        <f t="shared" si="19"/>
        <v>1.0817337499999999</v>
      </c>
      <c r="BG54" s="78">
        <f t="shared" si="38"/>
        <v>0.94402560000000002</v>
      </c>
      <c r="BH54" s="78">
        <f t="shared" si="20"/>
        <v>1.013136</v>
      </c>
      <c r="BI54" s="78">
        <f t="shared" si="39"/>
        <v>0.85074240000000001</v>
      </c>
      <c r="BJ54" s="78">
        <f t="shared" si="21"/>
        <v>1.0785792000000001</v>
      </c>
      <c r="BK54" s="78">
        <f t="shared" si="22"/>
        <v>0.94402560000000002</v>
      </c>
      <c r="BL54" s="78">
        <f t="shared" si="23"/>
        <v>1.013136</v>
      </c>
      <c r="BM54" s="78">
        <v>0.97648709999999994</v>
      </c>
      <c r="BN54" s="78">
        <v>1.1111633000000001</v>
      </c>
      <c r="BO54" s="78">
        <v>1.0790100499999999</v>
      </c>
      <c r="BP54" s="78">
        <v>1.2503934000000001</v>
      </c>
    </row>
    <row r="55" spans="1:68" ht="13" x14ac:dyDescent="0.25">
      <c r="A55" s="60">
        <v>1</v>
      </c>
      <c r="B55" s="55">
        <v>47</v>
      </c>
      <c r="C55" s="61">
        <v>1.0557687836517471</v>
      </c>
      <c r="D55" s="61">
        <v>1.1942412015441803</v>
      </c>
      <c r="E55" s="81">
        <v>1.0701630594165124</v>
      </c>
      <c r="F55" s="81">
        <v>1.2159456955588968</v>
      </c>
      <c r="G55" s="78">
        <v>1.0178801</v>
      </c>
      <c r="H55" s="78">
        <v>1.1094891</v>
      </c>
      <c r="I55" s="78">
        <v>1.1147445</v>
      </c>
      <c r="J55" s="78">
        <v>1.3140076999999999</v>
      </c>
      <c r="K55" s="78">
        <v>1.1287346</v>
      </c>
      <c r="L55" s="78">
        <v>1.3297864000000001</v>
      </c>
      <c r="M55" s="78">
        <v>0.99671019999999999</v>
      </c>
      <c r="N55" s="78">
        <v>1.1742455999999999</v>
      </c>
      <c r="O55" s="78">
        <v>1.1287346</v>
      </c>
      <c r="P55" s="78">
        <v>1.3297864000000001</v>
      </c>
      <c r="Q55" s="78">
        <f t="shared" si="24"/>
        <v>1.1569529649999999</v>
      </c>
      <c r="R55" s="78">
        <f t="shared" si="0"/>
        <v>1.36303106</v>
      </c>
      <c r="S55" s="78">
        <f t="shared" si="25"/>
        <v>1.0216279549999998</v>
      </c>
      <c r="T55" s="78">
        <f t="shared" si="1"/>
        <v>1.2036017399999999</v>
      </c>
      <c r="U55" s="78">
        <f t="shared" si="2"/>
        <v>1.1569529649999999</v>
      </c>
      <c r="V55" s="78">
        <f t="shared" si="3"/>
        <v>1.36303106</v>
      </c>
      <c r="W55" s="78">
        <f t="shared" si="26"/>
        <v>1.0835852159999999</v>
      </c>
      <c r="X55" s="78">
        <f t="shared" si="4"/>
        <v>1.2765949440000002</v>
      </c>
      <c r="Y55" s="78">
        <f t="shared" si="27"/>
        <v>0.95684179199999997</v>
      </c>
      <c r="Z55" s="78">
        <f t="shared" si="5"/>
        <v>1.1272757759999998</v>
      </c>
      <c r="AA55" s="78">
        <f t="shared" si="6"/>
        <v>1.0835852159999999</v>
      </c>
      <c r="AB55" s="78">
        <f t="shared" si="7"/>
        <v>1.2765949440000002</v>
      </c>
      <c r="AC55" s="78">
        <v>0.91747999999999996</v>
      </c>
      <c r="AD55" s="78">
        <v>0.94155999999999995</v>
      </c>
      <c r="AE55" s="78">
        <v>0.72216999999999998</v>
      </c>
      <c r="AF55" s="78">
        <v>0.95538000000000001</v>
      </c>
      <c r="AG55" s="78">
        <f t="shared" si="28"/>
        <v>0.91747999999999996</v>
      </c>
      <c r="AH55" s="78">
        <f t="shared" si="29"/>
        <v>0.94155999999999995</v>
      </c>
      <c r="AI55" s="78">
        <f t="shared" si="30"/>
        <v>0.94041699999999984</v>
      </c>
      <c r="AJ55" s="78">
        <f t="shared" si="8"/>
        <v>0.96509899999999982</v>
      </c>
      <c r="AK55" s="78">
        <f t="shared" si="31"/>
        <v>0.74022424999999992</v>
      </c>
      <c r="AL55" s="78">
        <f t="shared" si="9"/>
        <v>0.97926449999999987</v>
      </c>
      <c r="AM55" s="78">
        <f t="shared" si="10"/>
        <v>0.94041699999999984</v>
      </c>
      <c r="AN55" s="78">
        <f t="shared" si="11"/>
        <v>0.96509899999999982</v>
      </c>
      <c r="AO55" s="78">
        <f t="shared" si="32"/>
        <v>0.88078079999999992</v>
      </c>
      <c r="AP55" s="78">
        <f t="shared" si="12"/>
        <v>0.90389759999999997</v>
      </c>
      <c r="AQ55" s="78">
        <f t="shared" si="33"/>
        <v>0.69328319999999999</v>
      </c>
      <c r="AR55" s="78">
        <f t="shared" si="13"/>
        <v>0.9171648</v>
      </c>
      <c r="AS55" s="78">
        <f t="shared" si="14"/>
        <v>0.88078079999999992</v>
      </c>
      <c r="AT55" s="78">
        <f t="shared" si="15"/>
        <v>0.90389759999999997</v>
      </c>
      <c r="AU55" s="78">
        <v>0.97923000000000004</v>
      </c>
      <c r="AV55" s="78">
        <v>1.07216</v>
      </c>
      <c r="AW55" s="78">
        <v>0.88107999999999997</v>
      </c>
      <c r="AX55" s="78">
        <v>1.1277200000000001</v>
      </c>
      <c r="AY55" s="78">
        <f t="shared" si="34"/>
        <v>0.97923000000000004</v>
      </c>
      <c r="AZ55" s="78">
        <f t="shared" si="35"/>
        <v>1.07216</v>
      </c>
      <c r="BA55" s="78">
        <f t="shared" si="36"/>
        <v>1.00371075</v>
      </c>
      <c r="BB55" s="78">
        <f t="shared" si="16"/>
        <v>1.0989639999999998</v>
      </c>
      <c r="BC55" s="78">
        <f t="shared" si="37"/>
        <v>0.90310699999999988</v>
      </c>
      <c r="BD55" s="78">
        <f t="shared" si="17"/>
        <v>1.155913</v>
      </c>
      <c r="BE55" s="78">
        <f t="shared" si="18"/>
        <v>1.00371075</v>
      </c>
      <c r="BF55" s="78">
        <f t="shared" si="19"/>
        <v>1.0989639999999998</v>
      </c>
      <c r="BG55" s="78">
        <f t="shared" si="38"/>
        <v>0.94006080000000003</v>
      </c>
      <c r="BH55" s="78">
        <f t="shared" si="20"/>
        <v>1.0292736</v>
      </c>
      <c r="BI55" s="78">
        <f t="shared" si="39"/>
        <v>0.84583679999999994</v>
      </c>
      <c r="BJ55" s="78">
        <f t="shared" si="21"/>
        <v>1.0826112000000001</v>
      </c>
      <c r="BK55" s="78">
        <f t="shared" si="22"/>
        <v>0.94006080000000003</v>
      </c>
      <c r="BL55" s="78">
        <f t="shared" si="23"/>
        <v>1.0292736</v>
      </c>
      <c r="BM55" s="78">
        <v>0.9620206</v>
      </c>
      <c r="BN55" s="78">
        <v>1.0993902</v>
      </c>
      <c r="BO55" s="78">
        <v>1.0627224</v>
      </c>
      <c r="BP55" s="78">
        <v>1.252016</v>
      </c>
    </row>
    <row r="56" spans="1:68" ht="13" x14ac:dyDescent="0.25">
      <c r="A56" s="60">
        <v>1</v>
      </c>
      <c r="B56" s="55">
        <v>48</v>
      </c>
      <c r="C56" s="61">
        <v>1.04035047689222</v>
      </c>
      <c r="D56" s="61">
        <v>1.174930705413624</v>
      </c>
      <c r="E56" s="81">
        <v>1.0544451137984892</v>
      </c>
      <c r="F56" s="81">
        <v>1.1961386292159286</v>
      </c>
      <c r="G56" s="78">
        <v>1.0182822</v>
      </c>
      <c r="H56" s="78">
        <v>1.10625</v>
      </c>
      <c r="I56" s="78">
        <v>1.0829035</v>
      </c>
      <c r="J56" s="78">
        <v>1.2776570999999999</v>
      </c>
      <c r="K56" s="78">
        <v>1.1043109</v>
      </c>
      <c r="L56" s="78">
        <v>1.3274630999999999</v>
      </c>
      <c r="M56" s="78">
        <v>0.97514330000000005</v>
      </c>
      <c r="N56" s="78">
        <v>1.1721941</v>
      </c>
      <c r="O56" s="78">
        <v>1.1043109</v>
      </c>
      <c r="P56" s="78">
        <v>1.3274630999999999</v>
      </c>
      <c r="Q56" s="78">
        <f t="shared" si="24"/>
        <v>1.1319186724999999</v>
      </c>
      <c r="R56" s="78">
        <f t="shared" si="0"/>
        <v>1.3606496774999999</v>
      </c>
      <c r="S56" s="78">
        <f t="shared" si="25"/>
        <v>0.99952188249999996</v>
      </c>
      <c r="T56" s="78">
        <f t="shared" si="1"/>
        <v>1.2014989524999999</v>
      </c>
      <c r="U56" s="78">
        <f t="shared" si="2"/>
        <v>1.1319186724999999</v>
      </c>
      <c r="V56" s="78">
        <f t="shared" si="3"/>
        <v>1.3606496774999999</v>
      </c>
      <c r="W56" s="78">
        <f t="shared" si="26"/>
        <v>1.060138464</v>
      </c>
      <c r="X56" s="78">
        <f t="shared" si="4"/>
        <v>1.2743645759999997</v>
      </c>
      <c r="Y56" s="78">
        <f t="shared" si="27"/>
        <v>0.93613756800000003</v>
      </c>
      <c r="Z56" s="78">
        <f t="shared" si="5"/>
        <v>1.125306336</v>
      </c>
      <c r="AA56" s="78">
        <f t="shared" si="6"/>
        <v>1.060138464</v>
      </c>
      <c r="AB56" s="78">
        <f t="shared" si="7"/>
        <v>1.2743645759999997</v>
      </c>
      <c r="AC56" s="78">
        <v>0.91198999999999997</v>
      </c>
      <c r="AD56" s="78">
        <v>0.96372000000000002</v>
      </c>
      <c r="AE56" s="78">
        <v>0.72519999999999996</v>
      </c>
      <c r="AF56" s="78">
        <v>0.96721000000000001</v>
      </c>
      <c r="AG56" s="78">
        <f t="shared" si="28"/>
        <v>0.91198999999999997</v>
      </c>
      <c r="AH56" s="78">
        <f t="shared" si="29"/>
        <v>0.96372000000000002</v>
      </c>
      <c r="AI56" s="78">
        <f t="shared" si="30"/>
        <v>0.93478974999999986</v>
      </c>
      <c r="AJ56" s="78">
        <f t="shared" si="8"/>
        <v>0.98781299999999994</v>
      </c>
      <c r="AK56" s="78">
        <f t="shared" si="31"/>
        <v>0.74332999999999994</v>
      </c>
      <c r="AL56" s="78">
        <f t="shared" si="9"/>
        <v>0.99139024999999992</v>
      </c>
      <c r="AM56" s="78">
        <f t="shared" si="10"/>
        <v>0.93478974999999986</v>
      </c>
      <c r="AN56" s="78">
        <f t="shared" si="11"/>
        <v>0.98781299999999994</v>
      </c>
      <c r="AO56" s="78">
        <f t="shared" si="32"/>
        <v>0.87551039999999991</v>
      </c>
      <c r="AP56" s="78">
        <f t="shared" si="12"/>
        <v>0.92517119999999997</v>
      </c>
      <c r="AQ56" s="78">
        <f t="shared" si="33"/>
        <v>0.69619199999999992</v>
      </c>
      <c r="AR56" s="78">
        <f t="shared" si="13"/>
        <v>0.92852159999999995</v>
      </c>
      <c r="AS56" s="78">
        <f t="shared" si="14"/>
        <v>0.87551039999999991</v>
      </c>
      <c r="AT56" s="78">
        <f t="shared" si="15"/>
        <v>0.92517119999999997</v>
      </c>
      <c r="AU56" s="78">
        <v>0.96821000000000002</v>
      </c>
      <c r="AV56" s="78">
        <v>1.0860799999999999</v>
      </c>
      <c r="AW56" s="78">
        <v>0.86987999999999999</v>
      </c>
      <c r="AX56" s="78">
        <v>1.1286700000000001</v>
      </c>
      <c r="AY56" s="78">
        <f t="shared" si="34"/>
        <v>0.96821000000000002</v>
      </c>
      <c r="AZ56" s="78">
        <f t="shared" si="35"/>
        <v>1.0860799999999999</v>
      </c>
      <c r="BA56" s="78">
        <f t="shared" si="36"/>
        <v>0.99241524999999997</v>
      </c>
      <c r="BB56" s="78">
        <f t="shared" si="16"/>
        <v>1.1132319999999998</v>
      </c>
      <c r="BC56" s="78">
        <f t="shared" si="37"/>
        <v>0.89162699999999995</v>
      </c>
      <c r="BD56" s="78">
        <f t="shared" si="17"/>
        <v>1.15688675</v>
      </c>
      <c r="BE56" s="78">
        <f t="shared" si="18"/>
        <v>0.99241524999999997</v>
      </c>
      <c r="BF56" s="78">
        <f t="shared" si="19"/>
        <v>1.1132319999999998</v>
      </c>
      <c r="BG56" s="78">
        <f t="shared" si="38"/>
        <v>0.92948160000000002</v>
      </c>
      <c r="BH56" s="78">
        <f t="shared" si="20"/>
        <v>1.0426367999999999</v>
      </c>
      <c r="BI56" s="78">
        <f t="shared" si="39"/>
        <v>0.83508479999999996</v>
      </c>
      <c r="BJ56" s="78">
        <f t="shared" si="21"/>
        <v>1.0835231999999999</v>
      </c>
      <c r="BK56" s="78">
        <f t="shared" si="22"/>
        <v>0.92948160000000002</v>
      </c>
      <c r="BL56" s="78">
        <f t="shared" si="23"/>
        <v>1.0426367999999999</v>
      </c>
      <c r="BM56" s="78">
        <v>0.93899670000000002</v>
      </c>
      <c r="BN56" s="78">
        <v>1.0824003</v>
      </c>
      <c r="BO56" s="78">
        <v>1.0397270999999999</v>
      </c>
      <c r="BP56" s="78">
        <v>1.2498285999999998</v>
      </c>
    </row>
    <row r="57" spans="1:68" ht="13" x14ac:dyDescent="0.25">
      <c r="A57" s="60">
        <v>1</v>
      </c>
      <c r="B57" s="55">
        <v>49</v>
      </c>
      <c r="C57" s="61">
        <v>1.0238543847084884</v>
      </c>
      <c r="D57" s="61">
        <v>1.1550694854504504</v>
      </c>
      <c r="E57" s="81">
        <v>1.0376251503489398</v>
      </c>
      <c r="F57" s="81">
        <v>1.1757222445437236</v>
      </c>
      <c r="G57" s="78">
        <v>1.0192734999999999</v>
      </c>
      <c r="H57" s="78">
        <v>1.1074044000000001</v>
      </c>
      <c r="I57" s="78">
        <v>1.0482647</v>
      </c>
      <c r="J57" s="78">
        <v>1.2356612</v>
      </c>
      <c r="K57" s="78">
        <v>1.0817199</v>
      </c>
      <c r="L57" s="78">
        <v>1.3247308000000002</v>
      </c>
      <c r="M57" s="78">
        <v>0.95519469999999995</v>
      </c>
      <c r="N57" s="78">
        <v>1.1697814</v>
      </c>
      <c r="O57" s="78">
        <v>1.0817199</v>
      </c>
      <c r="P57" s="78">
        <v>1.3247308000000002</v>
      </c>
      <c r="Q57" s="78">
        <f t="shared" si="24"/>
        <v>1.1087628974999999</v>
      </c>
      <c r="R57" s="78">
        <f t="shared" si="0"/>
        <v>1.3578490700000001</v>
      </c>
      <c r="S57" s="78">
        <f t="shared" si="25"/>
        <v>0.97907456749999988</v>
      </c>
      <c r="T57" s="78">
        <f t="shared" si="1"/>
        <v>1.1990259349999999</v>
      </c>
      <c r="U57" s="78">
        <f t="shared" si="2"/>
        <v>1.1087628974999999</v>
      </c>
      <c r="V57" s="78">
        <f t="shared" si="3"/>
        <v>1.3578490700000001</v>
      </c>
      <c r="W57" s="78">
        <f t="shared" si="26"/>
        <v>1.038451104</v>
      </c>
      <c r="X57" s="78">
        <f t="shared" si="4"/>
        <v>1.2717415680000002</v>
      </c>
      <c r="Y57" s="78">
        <f t="shared" si="27"/>
        <v>0.91698691199999993</v>
      </c>
      <c r="Z57" s="78">
        <f t="shared" si="5"/>
        <v>1.1229901439999999</v>
      </c>
      <c r="AA57" s="78">
        <f t="shared" si="6"/>
        <v>1.038451104</v>
      </c>
      <c r="AB57" s="78">
        <f t="shared" si="7"/>
        <v>1.2717415680000002</v>
      </c>
      <c r="AC57" s="78">
        <v>0.90708999999999995</v>
      </c>
      <c r="AD57" s="78">
        <v>0.98633999999999999</v>
      </c>
      <c r="AE57" s="78">
        <v>0.72823000000000004</v>
      </c>
      <c r="AF57" s="78">
        <v>0.97907999999999995</v>
      </c>
      <c r="AG57" s="78">
        <f t="shared" si="28"/>
        <v>0.90708999999999995</v>
      </c>
      <c r="AH57" s="78">
        <f t="shared" si="29"/>
        <v>0.98633999999999999</v>
      </c>
      <c r="AI57" s="78">
        <f t="shared" si="30"/>
        <v>0.92976724999999982</v>
      </c>
      <c r="AJ57" s="78">
        <f t="shared" si="8"/>
        <v>1.0109984999999999</v>
      </c>
      <c r="AK57" s="78">
        <f t="shared" si="31"/>
        <v>0.74643574999999995</v>
      </c>
      <c r="AL57" s="78">
        <f t="shared" si="9"/>
        <v>1.0035569999999998</v>
      </c>
      <c r="AM57" s="78">
        <f t="shared" si="10"/>
        <v>0.92976724999999982</v>
      </c>
      <c r="AN57" s="78">
        <f t="shared" si="11"/>
        <v>1.0109984999999999</v>
      </c>
      <c r="AO57" s="78">
        <f t="shared" si="32"/>
        <v>0.87080639999999987</v>
      </c>
      <c r="AP57" s="78">
        <f t="shared" si="12"/>
        <v>0.94688639999999991</v>
      </c>
      <c r="AQ57" s="78">
        <f t="shared" si="33"/>
        <v>0.69910079999999997</v>
      </c>
      <c r="AR57" s="78">
        <f t="shared" si="13"/>
        <v>0.93991679999999989</v>
      </c>
      <c r="AS57" s="78">
        <f t="shared" si="14"/>
        <v>0.87080639999999987</v>
      </c>
      <c r="AT57" s="78">
        <f t="shared" si="15"/>
        <v>0.94688639999999991</v>
      </c>
      <c r="AU57" s="78">
        <v>0.95813000000000004</v>
      </c>
      <c r="AV57" s="78">
        <v>1.1001799999999999</v>
      </c>
      <c r="AW57" s="78">
        <v>0.85960000000000003</v>
      </c>
      <c r="AX57" s="78">
        <v>1.1292899999999999</v>
      </c>
      <c r="AY57" s="78">
        <f t="shared" si="34"/>
        <v>0.95813000000000004</v>
      </c>
      <c r="AZ57" s="78">
        <f t="shared" si="35"/>
        <v>1.1001799999999999</v>
      </c>
      <c r="BA57" s="78">
        <f t="shared" si="36"/>
        <v>0.98208324999999996</v>
      </c>
      <c r="BB57" s="78">
        <f t="shared" si="16"/>
        <v>1.1276844999999998</v>
      </c>
      <c r="BC57" s="78">
        <f t="shared" si="37"/>
        <v>0.88108999999999993</v>
      </c>
      <c r="BD57" s="78">
        <f t="shared" si="17"/>
        <v>1.1575222499999998</v>
      </c>
      <c r="BE57" s="78">
        <f t="shared" si="18"/>
        <v>0.98208324999999996</v>
      </c>
      <c r="BF57" s="78">
        <f t="shared" si="19"/>
        <v>1.1276844999999998</v>
      </c>
      <c r="BG57" s="78">
        <f t="shared" si="38"/>
        <v>0.91980479999999998</v>
      </c>
      <c r="BH57" s="78">
        <f t="shared" si="20"/>
        <v>1.0561727999999999</v>
      </c>
      <c r="BI57" s="78">
        <f t="shared" si="39"/>
        <v>0.82521599999999995</v>
      </c>
      <c r="BJ57" s="78">
        <f t="shared" si="21"/>
        <v>1.0841183999999999</v>
      </c>
      <c r="BK57" s="78">
        <f t="shared" si="22"/>
        <v>0.91980479999999998</v>
      </c>
      <c r="BL57" s="78">
        <f t="shared" si="23"/>
        <v>1.0561727999999999</v>
      </c>
      <c r="BM57" s="78">
        <v>0.91473369999999998</v>
      </c>
      <c r="BN57" s="78">
        <v>1.0626034</v>
      </c>
      <c r="BO57" s="78">
        <v>1.0184572999999999</v>
      </c>
      <c r="BP57" s="78">
        <v>1.2472561</v>
      </c>
    </row>
    <row r="58" spans="1:68" ht="13" x14ac:dyDescent="0.25">
      <c r="A58" s="60">
        <v>1</v>
      </c>
      <c r="B58" s="55">
        <v>50</v>
      </c>
      <c r="C58" s="61">
        <v>1.0344058396732927</v>
      </c>
      <c r="D58" s="61">
        <v>1.1663325876735164</v>
      </c>
      <c r="E58" s="81">
        <v>1.0480690220377171</v>
      </c>
      <c r="F58" s="81">
        <v>1.1865114387567246</v>
      </c>
      <c r="G58" s="78">
        <v>1.0723727999999999</v>
      </c>
      <c r="H58" s="78">
        <v>1.1863789</v>
      </c>
      <c r="I58" s="78">
        <v>1.0156514999999999</v>
      </c>
      <c r="J58" s="78">
        <v>1.1776676000000001</v>
      </c>
      <c r="K58" s="78">
        <v>1.0682574</v>
      </c>
      <c r="L58" s="78">
        <v>1.2864378999999999</v>
      </c>
      <c r="M58" s="78">
        <v>0.9433068</v>
      </c>
      <c r="N58" s="78">
        <v>1.1359675</v>
      </c>
      <c r="O58" s="78">
        <v>1.0682574</v>
      </c>
      <c r="P58" s="78">
        <v>1.2864378999999999</v>
      </c>
      <c r="Q58" s="78">
        <f t="shared" si="24"/>
        <v>1.0949638349999999</v>
      </c>
      <c r="R58" s="78">
        <f t="shared" si="0"/>
        <v>1.3185988474999999</v>
      </c>
      <c r="S58" s="78">
        <f t="shared" si="25"/>
        <v>0.96688946999999992</v>
      </c>
      <c r="T58" s="78">
        <f t="shared" si="1"/>
        <v>1.1643666874999998</v>
      </c>
      <c r="U58" s="78">
        <f t="shared" si="2"/>
        <v>1.0949638349999999</v>
      </c>
      <c r="V58" s="78">
        <f t="shared" si="3"/>
        <v>1.3185988474999999</v>
      </c>
      <c r="W58" s="78">
        <f t="shared" si="26"/>
        <v>1.025527104</v>
      </c>
      <c r="X58" s="78">
        <f t="shared" si="4"/>
        <v>1.2349803839999998</v>
      </c>
      <c r="Y58" s="78">
        <f t="shared" si="27"/>
        <v>0.90557452799999993</v>
      </c>
      <c r="Z58" s="78">
        <f t="shared" si="5"/>
        <v>1.0905288</v>
      </c>
      <c r="AA58" s="78">
        <f t="shared" si="6"/>
        <v>1.025527104</v>
      </c>
      <c r="AB58" s="78">
        <f t="shared" si="7"/>
        <v>1.2349803839999998</v>
      </c>
      <c r="AC58" s="78">
        <v>0.90937999999999997</v>
      </c>
      <c r="AD58" s="78">
        <v>0.97699999999999998</v>
      </c>
      <c r="AE58" s="78">
        <v>0.73682999999999998</v>
      </c>
      <c r="AF58" s="78">
        <v>0.96157000000000004</v>
      </c>
      <c r="AG58" s="78">
        <f t="shared" si="28"/>
        <v>0.90937999999999997</v>
      </c>
      <c r="AH58" s="78">
        <f t="shared" si="29"/>
        <v>0.97699999999999998</v>
      </c>
      <c r="AI58" s="78">
        <f t="shared" si="30"/>
        <v>0.93211449999999985</v>
      </c>
      <c r="AJ58" s="78">
        <f t="shared" si="8"/>
        <v>1.0014249999999998</v>
      </c>
      <c r="AK58" s="78">
        <f t="shared" si="31"/>
        <v>0.75525074999999997</v>
      </c>
      <c r="AL58" s="78">
        <f t="shared" si="9"/>
        <v>0.98560924999999999</v>
      </c>
      <c r="AM58" s="78">
        <f t="shared" si="10"/>
        <v>0.93211449999999985</v>
      </c>
      <c r="AN58" s="78">
        <f t="shared" si="11"/>
        <v>1.0014249999999998</v>
      </c>
      <c r="AO58" s="78">
        <f t="shared" si="32"/>
        <v>0.87300479999999991</v>
      </c>
      <c r="AP58" s="78">
        <f t="shared" si="12"/>
        <v>0.93791999999999998</v>
      </c>
      <c r="AQ58" s="78">
        <f t="shared" si="33"/>
        <v>0.70735680000000001</v>
      </c>
      <c r="AR58" s="78">
        <f t="shared" si="13"/>
        <v>0.92310720000000002</v>
      </c>
      <c r="AS58" s="78">
        <f t="shared" si="14"/>
        <v>0.87300479999999991</v>
      </c>
      <c r="AT58" s="78">
        <f t="shared" si="15"/>
        <v>0.93791999999999998</v>
      </c>
      <c r="AU58" s="78">
        <v>0.95582</v>
      </c>
      <c r="AV58" s="78">
        <v>1.0810900000000001</v>
      </c>
      <c r="AW58" s="78">
        <v>0.85634999999999994</v>
      </c>
      <c r="AX58" s="78">
        <v>1.09894</v>
      </c>
      <c r="AY58" s="78">
        <f t="shared" si="34"/>
        <v>0.95582</v>
      </c>
      <c r="AZ58" s="78">
        <f t="shared" si="35"/>
        <v>1.0810900000000001</v>
      </c>
      <c r="BA58" s="78">
        <f t="shared" si="36"/>
        <v>0.97971549999999996</v>
      </c>
      <c r="BB58" s="78">
        <f t="shared" si="16"/>
        <v>1.1081172500000001</v>
      </c>
      <c r="BC58" s="78">
        <f t="shared" si="37"/>
        <v>0.87775874999999992</v>
      </c>
      <c r="BD58" s="78">
        <f t="shared" si="17"/>
        <v>1.1264135</v>
      </c>
      <c r="BE58" s="78">
        <f t="shared" si="18"/>
        <v>0.97971549999999996</v>
      </c>
      <c r="BF58" s="78">
        <f t="shared" si="19"/>
        <v>1.1081172500000001</v>
      </c>
      <c r="BG58" s="78">
        <f t="shared" si="38"/>
        <v>0.91758719999999994</v>
      </c>
      <c r="BH58" s="78">
        <f t="shared" si="20"/>
        <v>1.0378464000000001</v>
      </c>
      <c r="BI58" s="78">
        <f t="shared" si="39"/>
        <v>0.82209599999999994</v>
      </c>
      <c r="BJ58" s="78">
        <f t="shared" si="21"/>
        <v>1.0549824000000001</v>
      </c>
      <c r="BK58" s="78">
        <f t="shared" si="22"/>
        <v>0.91758719999999994</v>
      </c>
      <c r="BL58" s="78">
        <f t="shared" si="23"/>
        <v>1.0378464000000001</v>
      </c>
      <c r="BM58" s="78">
        <v>0.8944880999999999</v>
      </c>
      <c r="BN58" s="78">
        <v>1.0209336999999998</v>
      </c>
      <c r="BO58" s="78">
        <v>1.0057821</v>
      </c>
      <c r="BP58" s="78">
        <v>1.2112026999999999</v>
      </c>
    </row>
    <row r="59" spans="1:68" ht="13" x14ac:dyDescent="0.25">
      <c r="A59" s="60">
        <v>1</v>
      </c>
      <c r="B59" s="55">
        <v>51</v>
      </c>
      <c r="C59" s="61">
        <v>1.0218931662442154</v>
      </c>
      <c r="D59" s="61">
        <v>1.140118461132503</v>
      </c>
      <c r="E59" s="81">
        <v>1.0355243407779489</v>
      </c>
      <c r="F59" s="81">
        <v>1.1596833030071538</v>
      </c>
      <c r="G59" s="78">
        <v>1.0715744999999999</v>
      </c>
      <c r="H59" s="78">
        <v>1.1896709000000001</v>
      </c>
      <c r="I59" s="78">
        <v>0.99095730000000004</v>
      </c>
      <c r="J59" s="78">
        <v>1.1204219</v>
      </c>
      <c r="K59" s="78">
        <v>1.0616391000000001</v>
      </c>
      <c r="L59" s="78">
        <v>1.2292532</v>
      </c>
      <c r="M59" s="78">
        <v>0.93746269999999998</v>
      </c>
      <c r="N59" s="78">
        <v>1.0854714999999999</v>
      </c>
      <c r="O59" s="78">
        <v>1.0616391000000001</v>
      </c>
      <c r="P59" s="78">
        <v>1.2292532</v>
      </c>
      <c r="Q59" s="78">
        <f t="shared" si="24"/>
        <v>1.0881800774999999</v>
      </c>
      <c r="R59" s="78">
        <f t="shared" si="0"/>
        <v>1.2599845299999999</v>
      </c>
      <c r="S59" s="78">
        <f t="shared" si="25"/>
        <v>0.96089926749999988</v>
      </c>
      <c r="T59" s="78">
        <f t="shared" si="1"/>
        <v>1.1126082874999998</v>
      </c>
      <c r="U59" s="78">
        <f t="shared" si="2"/>
        <v>1.0881800774999999</v>
      </c>
      <c r="V59" s="78">
        <f t="shared" si="3"/>
        <v>1.2599845299999999</v>
      </c>
      <c r="W59" s="78">
        <f t="shared" si="26"/>
        <v>1.019173536</v>
      </c>
      <c r="X59" s="78">
        <f t="shared" si="4"/>
        <v>1.180083072</v>
      </c>
      <c r="Y59" s="78">
        <f t="shared" si="27"/>
        <v>0.899964192</v>
      </c>
      <c r="Z59" s="78">
        <f t="shared" si="5"/>
        <v>1.0420526399999999</v>
      </c>
      <c r="AA59" s="78">
        <f t="shared" si="6"/>
        <v>1.019173536</v>
      </c>
      <c r="AB59" s="78">
        <f t="shared" si="7"/>
        <v>1.180083072</v>
      </c>
      <c r="AC59" s="78">
        <v>0.91591999999999996</v>
      </c>
      <c r="AD59" s="78">
        <v>0.94769999999999999</v>
      </c>
      <c r="AE59" s="78">
        <v>0.74807000000000001</v>
      </c>
      <c r="AF59" s="78">
        <v>0.92676999999999998</v>
      </c>
      <c r="AG59" s="78">
        <f t="shared" si="28"/>
        <v>0.91591999999999996</v>
      </c>
      <c r="AH59" s="78">
        <f t="shared" si="29"/>
        <v>0.94769999999999999</v>
      </c>
      <c r="AI59" s="78">
        <f t="shared" si="30"/>
        <v>0.93881799999999982</v>
      </c>
      <c r="AJ59" s="78">
        <f t="shared" si="8"/>
        <v>0.97139249999999988</v>
      </c>
      <c r="AK59" s="78">
        <f t="shared" si="31"/>
        <v>0.76677174999999997</v>
      </c>
      <c r="AL59" s="78">
        <f t="shared" si="9"/>
        <v>0.9499392499999999</v>
      </c>
      <c r="AM59" s="78">
        <f t="shared" si="10"/>
        <v>0.93881799999999982</v>
      </c>
      <c r="AN59" s="78">
        <f t="shared" si="11"/>
        <v>0.97139249999999988</v>
      </c>
      <c r="AO59" s="78">
        <f t="shared" si="32"/>
        <v>0.87928319999999993</v>
      </c>
      <c r="AP59" s="78">
        <f t="shared" si="12"/>
        <v>0.90979199999999993</v>
      </c>
      <c r="AQ59" s="78">
        <f t="shared" si="33"/>
        <v>0.71814719999999999</v>
      </c>
      <c r="AR59" s="78">
        <f t="shared" si="13"/>
        <v>0.88969919999999991</v>
      </c>
      <c r="AS59" s="78">
        <f t="shared" si="14"/>
        <v>0.87928319999999993</v>
      </c>
      <c r="AT59" s="78">
        <f t="shared" si="15"/>
        <v>0.90979199999999993</v>
      </c>
      <c r="AU59" s="78">
        <v>0.95852000000000004</v>
      </c>
      <c r="AV59" s="78">
        <v>1.0424199999999999</v>
      </c>
      <c r="AW59" s="78">
        <v>0.85768</v>
      </c>
      <c r="AX59" s="78">
        <v>1.05175</v>
      </c>
      <c r="AY59" s="78">
        <f t="shared" si="34"/>
        <v>0.95852000000000004</v>
      </c>
      <c r="AZ59" s="78">
        <f t="shared" si="35"/>
        <v>1.0424199999999999</v>
      </c>
      <c r="BA59" s="78">
        <f t="shared" si="36"/>
        <v>0.982483</v>
      </c>
      <c r="BB59" s="78">
        <f t="shared" si="16"/>
        <v>1.0684804999999997</v>
      </c>
      <c r="BC59" s="78">
        <f t="shared" si="37"/>
        <v>0.87912199999999996</v>
      </c>
      <c r="BD59" s="78">
        <f t="shared" si="17"/>
        <v>1.07804375</v>
      </c>
      <c r="BE59" s="78">
        <f t="shared" si="18"/>
        <v>0.982483</v>
      </c>
      <c r="BF59" s="78">
        <f t="shared" si="19"/>
        <v>1.0684804999999997</v>
      </c>
      <c r="BG59" s="78">
        <f t="shared" si="38"/>
        <v>0.92017919999999997</v>
      </c>
      <c r="BH59" s="78">
        <f t="shared" si="20"/>
        <v>1.0007231999999999</v>
      </c>
      <c r="BI59" s="78">
        <f t="shared" si="39"/>
        <v>0.82337280000000002</v>
      </c>
      <c r="BJ59" s="78">
        <f t="shared" si="21"/>
        <v>1.0096799999999999</v>
      </c>
      <c r="BK59" s="78">
        <f t="shared" si="22"/>
        <v>0.92017919999999997</v>
      </c>
      <c r="BL59" s="78">
        <f t="shared" si="23"/>
        <v>1.0007231999999999</v>
      </c>
      <c r="BM59" s="78">
        <v>0.87995829999999997</v>
      </c>
      <c r="BN59" s="78">
        <v>0.98603379999999996</v>
      </c>
      <c r="BO59" s="78">
        <v>0.99955090000000002</v>
      </c>
      <c r="BP59" s="78">
        <v>1.1573623500000001</v>
      </c>
    </row>
    <row r="60" spans="1:68" ht="13" x14ac:dyDescent="0.25">
      <c r="A60" s="60">
        <v>1</v>
      </c>
      <c r="B60" s="55">
        <v>52</v>
      </c>
      <c r="C60" s="61">
        <v>1.0161935164196605</v>
      </c>
      <c r="D60" s="61">
        <v>1.1206025030243962</v>
      </c>
      <c r="E60" s="81">
        <v>1.0299093754788953</v>
      </c>
      <c r="F60" s="81">
        <v>1.139767399301113</v>
      </c>
      <c r="G60" s="78">
        <v>1.0734330000000001</v>
      </c>
      <c r="H60" s="78">
        <v>1.1898763999999999</v>
      </c>
      <c r="I60" s="78">
        <v>0.97744389999999992</v>
      </c>
      <c r="J60" s="78">
        <v>1.0801103000000001</v>
      </c>
      <c r="K60" s="78">
        <v>1.058376</v>
      </c>
      <c r="L60" s="78">
        <v>1.1899909</v>
      </c>
      <c r="M60" s="78">
        <v>0.93458119999999989</v>
      </c>
      <c r="N60" s="78">
        <v>1.0508014999999999</v>
      </c>
      <c r="O60" s="78">
        <v>1.058376</v>
      </c>
      <c r="P60" s="78">
        <v>1.1899909</v>
      </c>
      <c r="Q60" s="78">
        <f t="shared" si="24"/>
        <v>1.0848353999999998</v>
      </c>
      <c r="R60" s="78">
        <f t="shared" si="0"/>
        <v>1.2197406725</v>
      </c>
      <c r="S60" s="78">
        <f t="shared" si="25"/>
        <v>0.95794572999999983</v>
      </c>
      <c r="T60" s="78">
        <f t="shared" si="1"/>
        <v>1.0770715375</v>
      </c>
      <c r="U60" s="78">
        <f t="shared" si="2"/>
        <v>1.0848353999999998</v>
      </c>
      <c r="V60" s="78">
        <f t="shared" si="3"/>
        <v>1.2197406725</v>
      </c>
      <c r="W60" s="78">
        <f t="shared" si="26"/>
        <v>1.01604096</v>
      </c>
      <c r="X60" s="78">
        <f t="shared" si="4"/>
        <v>1.142391264</v>
      </c>
      <c r="Y60" s="78">
        <f t="shared" si="27"/>
        <v>0.89719795199999985</v>
      </c>
      <c r="Z60" s="78">
        <f t="shared" si="5"/>
        <v>1.00876944</v>
      </c>
      <c r="AA60" s="78">
        <f t="shared" si="6"/>
        <v>1.01604096</v>
      </c>
      <c r="AB60" s="78">
        <f t="shared" si="7"/>
        <v>1.142391264</v>
      </c>
      <c r="AC60" s="78">
        <v>0.92313999999999996</v>
      </c>
      <c r="AD60" s="78">
        <v>0.93142999999999998</v>
      </c>
      <c r="AE60" s="78">
        <v>0.75882000000000005</v>
      </c>
      <c r="AF60" s="78">
        <v>0.90505000000000002</v>
      </c>
      <c r="AG60" s="78">
        <f t="shared" si="28"/>
        <v>0.92313999999999996</v>
      </c>
      <c r="AH60" s="78">
        <f t="shared" si="29"/>
        <v>0.93142999999999998</v>
      </c>
      <c r="AI60" s="78">
        <f t="shared" si="30"/>
        <v>0.94621849999999985</v>
      </c>
      <c r="AJ60" s="78">
        <f t="shared" si="8"/>
        <v>0.95471574999999986</v>
      </c>
      <c r="AK60" s="78">
        <f t="shared" si="31"/>
        <v>0.77779049999999994</v>
      </c>
      <c r="AL60" s="78">
        <f t="shared" si="9"/>
        <v>0.92767624999999998</v>
      </c>
      <c r="AM60" s="78">
        <f t="shared" si="10"/>
        <v>0.94621849999999985</v>
      </c>
      <c r="AN60" s="78">
        <f t="shared" si="11"/>
        <v>0.95471574999999986</v>
      </c>
      <c r="AO60" s="78">
        <f t="shared" si="32"/>
        <v>0.88621439999999996</v>
      </c>
      <c r="AP60" s="78">
        <f t="shared" si="12"/>
        <v>0.89417279999999999</v>
      </c>
      <c r="AQ60" s="78">
        <f t="shared" si="33"/>
        <v>0.72846719999999998</v>
      </c>
      <c r="AR60" s="78">
        <f t="shared" si="13"/>
        <v>0.86884799999999995</v>
      </c>
      <c r="AS60" s="78">
        <f t="shared" si="14"/>
        <v>0.88621439999999996</v>
      </c>
      <c r="AT60" s="78">
        <f t="shared" si="15"/>
        <v>0.89417279999999999</v>
      </c>
      <c r="AU60" s="78">
        <v>0.96267000000000003</v>
      </c>
      <c r="AV60" s="78">
        <v>1.01841</v>
      </c>
      <c r="AW60" s="78">
        <v>0.86055000000000004</v>
      </c>
      <c r="AX60" s="78">
        <v>1.01983</v>
      </c>
      <c r="AY60" s="78">
        <f t="shared" si="34"/>
        <v>0.96267000000000003</v>
      </c>
      <c r="AZ60" s="78">
        <f t="shared" si="35"/>
        <v>1.01841</v>
      </c>
      <c r="BA60" s="78">
        <f t="shared" si="36"/>
        <v>0.98673674999999994</v>
      </c>
      <c r="BB60" s="78">
        <f t="shared" si="16"/>
        <v>1.0438702499999999</v>
      </c>
      <c r="BC60" s="78">
        <f t="shared" si="37"/>
        <v>0.88206374999999992</v>
      </c>
      <c r="BD60" s="78">
        <f t="shared" si="17"/>
        <v>1.0453257499999999</v>
      </c>
      <c r="BE60" s="78">
        <f t="shared" si="18"/>
        <v>0.98673674999999994</v>
      </c>
      <c r="BF60" s="78">
        <f t="shared" si="19"/>
        <v>1.0438702499999999</v>
      </c>
      <c r="BG60" s="78">
        <f t="shared" si="38"/>
        <v>0.92416319999999996</v>
      </c>
      <c r="BH60" s="78">
        <f t="shared" si="20"/>
        <v>0.97767360000000003</v>
      </c>
      <c r="BI60" s="78">
        <f t="shared" si="39"/>
        <v>0.82612799999999997</v>
      </c>
      <c r="BJ60" s="78">
        <f t="shared" si="21"/>
        <v>0.97903679999999993</v>
      </c>
      <c r="BK60" s="78">
        <f t="shared" si="22"/>
        <v>0.92416319999999996</v>
      </c>
      <c r="BL60" s="78">
        <f t="shared" si="23"/>
        <v>0.97767360000000003</v>
      </c>
      <c r="BM60" s="78">
        <v>0.8720618</v>
      </c>
      <c r="BN60" s="78">
        <v>0.9612788000000001</v>
      </c>
      <c r="BO60" s="78">
        <v>0.99647859999999988</v>
      </c>
      <c r="BP60" s="78">
        <v>1.1203962000000001</v>
      </c>
    </row>
    <row r="61" spans="1:68" ht="13" x14ac:dyDescent="0.25">
      <c r="A61" s="60">
        <v>1</v>
      </c>
      <c r="B61" s="55">
        <v>53</v>
      </c>
      <c r="C61" s="61">
        <v>1.0141721825140995</v>
      </c>
      <c r="D61" s="61">
        <v>1.1056161608975108</v>
      </c>
      <c r="E61" s="81">
        <v>1.0280518678331845</v>
      </c>
      <c r="F61" s="81">
        <v>1.1245388454040424</v>
      </c>
      <c r="G61" s="78">
        <v>1.0739048</v>
      </c>
      <c r="H61" s="78">
        <v>1.1865668</v>
      </c>
      <c r="I61" s="78">
        <v>0.97284229999999994</v>
      </c>
      <c r="J61" s="78">
        <v>1.0527173000000001</v>
      </c>
      <c r="K61" s="78">
        <v>1.0595731000000002</v>
      </c>
      <c r="L61" s="78">
        <v>1.1627803000000001</v>
      </c>
      <c r="M61" s="78">
        <v>0.93563829999999992</v>
      </c>
      <c r="N61" s="78">
        <v>1.0267736999999999</v>
      </c>
      <c r="O61" s="78">
        <v>1.0595731000000002</v>
      </c>
      <c r="P61" s="78">
        <v>1.1627803000000001</v>
      </c>
      <c r="Q61" s="78">
        <f t="shared" si="24"/>
        <v>1.0860624275000001</v>
      </c>
      <c r="R61" s="78">
        <f t="shared" si="0"/>
        <v>1.1918498074999999</v>
      </c>
      <c r="S61" s="78">
        <f t="shared" si="25"/>
        <v>0.95902925749999979</v>
      </c>
      <c r="T61" s="78">
        <f t="shared" si="1"/>
        <v>1.0524430424999998</v>
      </c>
      <c r="U61" s="78">
        <f t="shared" si="2"/>
        <v>1.0860624275000001</v>
      </c>
      <c r="V61" s="78">
        <f t="shared" si="3"/>
        <v>1.1918498074999999</v>
      </c>
      <c r="W61" s="78">
        <f t="shared" si="26"/>
        <v>1.0171901760000002</v>
      </c>
      <c r="X61" s="78">
        <f t="shared" si="4"/>
        <v>1.1162690880000001</v>
      </c>
      <c r="Y61" s="78">
        <f t="shared" si="27"/>
        <v>0.89821276799999994</v>
      </c>
      <c r="Z61" s="78">
        <f t="shared" si="5"/>
        <v>0.9857027519999999</v>
      </c>
      <c r="AA61" s="78">
        <f t="shared" si="6"/>
        <v>1.0171901760000002</v>
      </c>
      <c r="AB61" s="78">
        <f t="shared" si="7"/>
        <v>1.1162690880000001</v>
      </c>
      <c r="AC61" s="78">
        <v>0.93281000000000003</v>
      </c>
      <c r="AD61" s="78">
        <v>0.92374999999999996</v>
      </c>
      <c r="AE61" s="78">
        <v>0.77088999999999996</v>
      </c>
      <c r="AF61" s="78">
        <v>0.89205000000000001</v>
      </c>
      <c r="AG61" s="78">
        <f t="shared" si="28"/>
        <v>0.93281000000000003</v>
      </c>
      <c r="AH61" s="78">
        <f t="shared" si="29"/>
        <v>0.92374999999999996</v>
      </c>
      <c r="AI61" s="78">
        <f t="shared" si="30"/>
        <v>0.95613024999999996</v>
      </c>
      <c r="AJ61" s="78">
        <f t="shared" si="8"/>
        <v>0.94684374999999987</v>
      </c>
      <c r="AK61" s="78">
        <f t="shared" si="31"/>
        <v>0.79016224999999984</v>
      </c>
      <c r="AL61" s="78">
        <f t="shared" si="9"/>
        <v>0.91435124999999995</v>
      </c>
      <c r="AM61" s="78">
        <f t="shared" si="10"/>
        <v>0.95613024999999996</v>
      </c>
      <c r="AN61" s="78">
        <f t="shared" si="11"/>
        <v>0.94684374999999987</v>
      </c>
      <c r="AO61" s="78">
        <f t="shared" si="32"/>
        <v>0.8954976</v>
      </c>
      <c r="AP61" s="78">
        <f t="shared" si="12"/>
        <v>0.88679999999999992</v>
      </c>
      <c r="AQ61" s="78">
        <f t="shared" si="33"/>
        <v>0.74005439999999989</v>
      </c>
      <c r="AR61" s="78">
        <f t="shared" si="13"/>
        <v>0.85636800000000002</v>
      </c>
      <c r="AS61" s="78">
        <f t="shared" si="14"/>
        <v>0.8954976</v>
      </c>
      <c r="AT61" s="78">
        <f t="shared" si="15"/>
        <v>0.88679999999999992</v>
      </c>
      <c r="AU61" s="78">
        <v>0.96986000000000006</v>
      </c>
      <c r="AV61" s="78">
        <v>1.0041599999999999</v>
      </c>
      <c r="AW61" s="78">
        <v>0.86624999999999996</v>
      </c>
      <c r="AX61" s="78">
        <v>0.99816000000000005</v>
      </c>
      <c r="AY61" s="78">
        <f t="shared" si="34"/>
        <v>0.96986000000000006</v>
      </c>
      <c r="AZ61" s="78">
        <f t="shared" si="35"/>
        <v>1.0041599999999999</v>
      </c>
      <c r="BA61" s="78">
        <f t="shared" si="36"/>
        <v>0.9941065</v>
      </c>
      <c r="BB61" s="78">
        <f t="shared" si="16"/>
        <v>1.029264</v>
      </c>
      <c r="BC61" s="78">
        <f t="shared" si="37"/>
        <v>0.8879062499999999</v>
      </c>
      <c r="BD61" s="78">
        <f t="shared" si="17"/>
        <v>1.0231139999999999</v>
      </c>
      <c r="BE61" s="78">
        <f t="shared" si="18"/>
        <v>0.9941065</v>
      </c>
      <c r="BF61" s="78">
        <f t="shared" si="19"/>
        <v>1.029264</v>
      </c>
      <c r="BG61" s="78">
        <f t="shared" si="38"/>
        <v>0.93106560000000005</v>
      </c>
      <c r="BH61" s="78">
        <f t="shared" si="20"/>
        <v>0.9639935999999999</v>
      </c>
      <c r="BI61" s="78">
        <f t="shared" si="39"/>
        <v>0.83159999999999989</v>
      </c>
      <c r="BJ61" s="78">
        <f t="shared" si="21"/>
        <v>0.95823360000000002</v>
      </c>
      <c r="BK61" s="78">
        <f t="shared" si="22"/>
        <v>0.93106560000000005</v>
      </c>
      <c r="BL61" s="78">
        <f t="shared" si="23"/>
        <v>0.9639935999999999</v>
      </c>
      <c r="BM61" s="78">
        <v>0.86979850000000003</v>
      </c>
      <c r="BN61" s="78">
        <v>0.94371219999999989</v>
      </c>
      <c r="BO61" s="78">
        <v>0.99760570000000004</v>
      </c>
      <c r="BP61" s="78">
        <v>1.0947770000000001</v>
      </c>
    </row>
    <row r="62" spans="1:68" ht="13" x14ac:dyDescent="0.25">
      <c r="A62" s="60">
        <v>1</v>
      </c>
      <c r="B62" s="55">
        <v>54</v>
      </c>
      <c r="C62" s="61">
        <v>1.0130727087039049</v>
      </c>
      <c r="D62" s="61">
        <v>1.0971468332680199</v>
      </c>
      <c r="E62" s="81">
        <v>1.0271433611847562</v>
      </c>
      <c r="F62" s="81">
        <v>1.1159549916977092</v>
      </c>
      <c r="G62" s="78">
        <v>1.0726087</v>
      </c>
      <c r="H62" s="78">
        <v>1.1885543000000001</v>
      </c>
      <c r="I62" s="78">
        <v>0.97192210000000001</v>
      </c>
      <c r="J62" s="78">
        <v>1.0332729999999999</v>
      </c>
      <c r="K62" s="78">
        <v>1.0619240000000001</v>
      </c>
      <c r="L62" s="78">
        <v>1.1411793000000001</v>
      </c>
      <c r="M62" s="78">
        <v>0.93771420000000005</v>
      </c>
      <c r="N62" s="78">
        <v>1.0076993000000001</v>
      </c>
      <c r="O62" s="78">
        <v>1.0619240000000001</v>
      </c>
      <c r="P62" s="78">
        <v>1.1411793000000001</v>
      </c>
      <c r="Q62" s="78">
        <f t="shared" si="24"/>
        <v>1.0884720999999999</v>
      </c>
      <c r="R62" s="78">
        <f t="shared" si="0"/>
        <v>1.1697087825000001</v>
      </c>
      <c r="S62" s="78">
        <f t="shared" si="25"/>
        <v>0.96115705499999993</v>
      </c>
      <c r="T62" s="78">
        <f t="shared" si="1"/>
        <v>1.0328917824999999</v>
      </c>
      <c r="U62" s="78">
        <f t="shared" si="2"/>
        <v>1.0884720999999999</v>
      </c>
      <c r="V62" s="78">
        <f t="shared" si="3"/>
        <v>1.1697087825000001</v>
      </c>
      <c r="W62" s="78">
        <f t="shared" si="26"/>
        <v>1.01944704</v>
      </c>
      <c r="X62" s="78">
        <f t="shared" si="4"/>
        <v>1.0955321280000001</v>
      </c>
      <c r="Y62" s="78">
        <f t="shared" si="27"/>
        <v>0.90020563200000003</v>
      </c>
      <c r="Z62" s="78">
        <f t="shared" si="5"/>
        <v>0.96739132800000005</v>
      </c>
      <c r="AA62" s="78">
        <f t="shared" si="6"/>
        <v>1.01944704</v>
      </c>
      <c r="AB62" s="78">
        <f t="shared" si="7"/>
        <v>1.0955321280000001</v>
      </c>
      <c r="AC62" s="78">
        <v>0.94257000000000002</v>
      </c>
      <c r="AD62" s="78">
        <v>0.91964999999999997</v>
      </c>
      <c r="AE62" s="78">
        <v>0.78259000000000001</v>
      </c>
      <c r="AF62" s="78">
        <v>0.88282000000000005</v>
      </c>
      <c r="AG62" s="78">
        <f t="shared" si="28"/>
        <v>0.94257000000000002</v>
      </c>
      <c r="AH62" s="78">
        <f t="shared" si="29"/>
        <v>0.91964999999999997</v>
      </c>
      <c r="AI62" s="78">
        <f t="shared" si="30"/>
        <v>0.96613424999999997</v>
      </c>
      <c r="AJ62" s="78">
        <f t="shared" si="8"/>
        <v>0.94264124999999988</v>
      </c>
      <c r="AK62" s="78">
        <f t="shared" si="31"/>
        <v>0.80215474999999992</v>
      </c>
      <c r="AL62" s="78">
        <f t="shared" si="9"/>
        <v>0.90489049999999993</v>
      </c>
      <c r="AM62" s="78">
        <f t="shared" si="10"/>
        <v>0.96613424999999997</v>
      </c>
      <c r="AN62" s="78">
        <f t="shared" si="11"/>
        <v>0.94264124999999988</v>
      </c>
      <c r="AO62" s="78">
        <f t="shared" si="32"/>
        <v>0.90486719999999998</v>
      </c>
      <c r="AP62" s="78">
        <f t="shared" si="12"/>
        <v>0.88286399999999998</v>
      </c>
      <c r="AQ62" s="78">
        <f t="shared" si="33"/>
        <v>0.75128640000000002</v>
      </c>
      <c r="AR62" s="78">
        <f t="shared" si="13"/>
        <v>0.84750720000000002</v>
      </c>
      <c r="AS62" s="78">
        <f t="shared" si="14"/>
        <v>0.90486719999999998</v>
      </c>
      <c r="AT62" s="78">
        <f t="shared" si="15"/>
        <v>0.88286399999999998</v>
      </c>
      <c r="AU62" s="78">
        <v>0.97746</v>
      </c>
      <c r="AV62" s="78">
        <v>0.99417</v>
      </c>
      <c r="AW62" s="78">
        <v>0.87236999999999998</v>
      </c>
      <c r="AX62" s="78">
        <v>0.98116000000000003</v>
      </c>
      <c r="AY62" s="78">
        <f t="shared" si="34"/>
        <v>0.97746</v>
      </c>
      <c r="AZ62" s="78">
        <f t="shared" si="35"/>
        <v>0.99417</v>
      </c>
      <c r="BA62" s="78">
        <f t="shared" si="36"/>
        <v>1.0018965</v>
      </c>
      <c r="BB62" s="78">
        <f t="shared" si="16"/>
        <v>1.01902425</v>
      </c>
      <c r="BC62" s="78">
        <f t="shared" si="37"/>
        <v>0.89417924999999987</v>
      </c>
      <c r="BD62" s="78">
        <f t="shared" si="17"/>
        <v>1.0056890000000001</v>
      </c>
      <c r="BE62" s="78">
        <f t="shared" si="18"/>
        <v>1.0018965</v>
      </c>
      <c r="BF62" s="78">
        <f t="shared" si="19"/>
        <v>1.01902425</v>
      </c>
      <c r="BG62" s="78">
        <f t="shared" si="38"/>
        <v>0.93836159999999991</v>
      </c>
      <c r="BH62" s="78">
        <f t="shared" si="20"/>
        <v>0.95440320000000001</v>
      </c>
      <c r="BI62" s="78">
        <f t="shared" si="39"/>
        <v>0.83747519999999998</v>
      </c>
      <c r="BJ62" s="78">
        <f t="shared" si="21"/>
        <v>0.94191360000000002</v>
      </c>
      <c r="BK62" s="78">
        <f t="shared" si="22"/>
        <v>0.93836159999999991</v>
      </c>
      <c r="BL62" s="78">
        <f t="shared" si="23"/>
        <v>0.95440320000000001</v>
      </c>
      <c r="BM62" s="78">
        <v>0.8692107</v>
      </c>
      <c r="BN62" s="78">
        <v>0.92936220000000003</v>
      </c>
      <c r="BO62" s="78">
        <v>0.99981910000000007</v>
      </c>
      <c r="BP62" s="78">
        <v>1.0744393000000001</v>
      </c>
    </row>
    <row r="63" spans="1:68" ht="13" x14ac:dyDescent="0.25">
      <c r="A63" s="60">
        <v>1</v>
      </c>
      <c r="B63" s="55">
        <v>55</v>
      </c>
      <c r="C63" s="61">
        <v>0.91662871740003704</v>
      </c>
      <c r="D63" s="61">
        <v>1.0466593482810045</v>
      </c>
      <c r="E63" s="81">
        <v>0.92997822231261273</v>
      </c>
      <c r="F63" s="81">
        <v>1.0650085776401645</v>
      </c>
      <c r="G63" s="78">
        <v>0.88226709999999997</v>
      </c>
      <c r="H63" s="78">
        <v>1.1042380000000001</v>
      </c>
      <c r="I63" s="78">
        <v>0.96932660000000004</v>
      </c>
      <c r="J63" s="78">
        <v>1.0161583000000001</v>
      </c>
      <c r="K63" s="78">
        <v>1.0612192</v>
      </c>
      <c r="L63" s="78">
        <v>1.1207612</v>
      </c>
      <c r="M63" s="78">
        <v>0.93709180000000003</v>
      </c>
      <c r="N63" s="78">
        <v>0.98966939999999992</v>
      </c>
      <c r="O63" s="78">
        <v>1.0612192</v>
      </c>
      <c r="P63" s="78">
        <v>1.1207612</v>
      </c>
      <c r="Q63" s="78">
        <f t="shared" si="24"/>
        <v>1.0877496799999999</v>
      </c>
      <c r="R63" s="78">
        <f t="shared" si="0"/>
        <v>1.1487802299999998</v>
      </c>
      <c r="S63" s="78">
        <f t="shared" si="25"/>
        <v>0.96051909499999999</v>
      </c>
      <c r="T63" s="78">
        <f t="shared" si="1"/>
        <v>1.0144111349999998</v>
      </c>
      <c r="U63" s="78">
        <f t="shared" si="2"/>
        <v>1.0877496799999999</v>
      </c>
      <c r="V63" s="78">
        <f t="shared" si="3"/>
        <v>1.1487802299999998</v>
      </c>
      <c r="W63" s="78">
        <f t="shared" si="26"/>
        <v>1.0187704319999999</v>
      </c>
      <c r="X63" s="78">
        <f t="shared" si="4"/>
        <v>1.0759307519999999</v>
      </c>
      <c r="Y63" s="78">
        <f t="shared" si="27"/>
        <v>0.89960812800000001</v>
      </c>
      <c r="Z63" s="78">
        <f t="shared" si="5"/>
        <v>0.95008262399999988</v>
      </c>
      <c r="AA63" s="78">
        <f t="shared" si="6"/>
        <v>1.0187704319999999</v>
      </c>
      <c r="AB63" s="78">
        <f t="shared" si="7"/>
        <v>1.0759307519999999</v>
      </c>
      <c r="AC63" s="78">
        <v>0.94896000000000003</v>
      </c>
      <c r="AD63" s="78">
        <v>0.91596999999999995</v>
      </c>
      <c r="AE63" s="78">
        <v>0.79117999999999999</v>
      </c>
      <c r="AF63" s="78">
        <v>0.87426000000000004</v>
      </c>
      <c r="AG63" s="78">
        <f t="shared" si="28"/>
        <v>0.94896000000000003</v>
      </c>
      <c r="AH63" s="78">
        <f t="shared" si="29"/>
        <v>0.91596999999999995</v>
      </c>
      <c r="AI63" s="78">
        <f t="shared" si="30"/>
        <v>0.97268399999999999</v>
      </c>
      <c r="AJ63" s="78">
        <f t="shared" si="8"/>
        <v>0.93886924999999988</v>
      </c>
      <c r="AK63" s="78">
        <f t="shared" si="31"/>
        <v>0.81095949999999994</v>
      </c>
      <c r="AL63" s="78">
        <f t="shared" si="9"/>
        <v>0.89611649999999998</v>
      </c>
      <c r="AM63" s="78">
        <f t="shared" si="10"/>
        <v>0.97268399999999999</v>
      </c>
      <c r="AN63" s="78">
        <f t="shared" si="11"/>
        <v>0.93886924999999988</v>
      </c>
      <c r="AO63" s="78">
        <f t="shared" si="32"/>
        <v>0.91100159999999997</v>
      </c>
      <c r="AP63" s="78">
        <f t="shared" si="12"/>
        <v>0.87933119999999987</v>
      </c>
      <c r="AQ63" s="78">
        <f t="shared" si="33"/>
        <v>0.75953280000000001</v>
      </c>
      <c r="AR63" s="78">
        <f t="shared" si="13"/>
        <v>0.83928959999999997</v>
      </c>
      <c r="AS63" s="78">
        <f t="shared" si="14"/>
        <v>0.91100159999999997</v>
      </c>
      <c r="AT63" s="78">
        <f t="shared" si="15"/>
        <v>0.87933119999999987</v>
      </c>
      <c r="AU63" s="78">
        <v>0.98177000000000003</v>
      </c>
      <c r="AV63" s="78">
        <v>0.98485999999999996</v>
      </c>
      <c r="AW63" s="78">
        <v>0.87563000000000002</v>
      </c>
      <c r="AX63" s="78">
        <v>0.96516999999999997</v>
      </c>
      <c r="AY63" s="78">
        <f t="shared" si="34"/>
        <v>0.98177000000000003</v>
      </c>
      <c r="AZ63" s="78">
        <f t="shared" si="35"/>
        <v>0.98485999999999996</v>
      </c>
      <c r="BA63" s="78">
        <f t="shared" si="36"/>
        <v>1.00631425</v>
      </c>
      <c r="BB63" s="78">
        <f t="shared" si="16"/>
        <v>1.0094814999999999</v>
      </c>
      <c r="BC63" s="78">
        <f t="shared" si="37"/>
        <v>0.89752074999999998</v>
      </c>
      <c r="BD63" s="78">
        <f t="shared" si="17"/>
        <v>0.98929924999999985</v>
      </c>
      <c r="BE63" s="78">
        <f t="shared" si="18"/>
        <v>1.00631425</v>
      </c>
      <c r="BF63" s="78">
        <f t="shared" si="19"/>
        <v>1.0094814999999999</v>
      </c>
      <c r="BG63" s="78">
        <f t="shared" si="38"/>
        <v>0.94249919999999998</v>
      </c>
      <c r="BH63" s="78">
        <f t="shared" si="20"/>
        <v>0.94546559999999991</v>
      </c>
      <c r="BI63" s="78">
        <f t="shared" si="39"/>
        <v>0.84060480000000004</v>
      </c>
      <c r="BJ63" s="78">
        <f t="shared" si="21"/>
        <v>0.92656319999999992</v>
      </c>
      <c r="BK63" s="78">
        <f t="shared" si="22"/>
        <v>0.94249919999999998</v>
      </c>
      <c r="BL63" s="78">
        <f t="shared" si="23"/>
        <v>0.94546559999999991</v>
      </c>
      <c r="BM63" s="78">
        <v>0.86606610000000006</v>
      </c>
      <c r="BN63" s="78">
        <v>0.91366820000000004</v>
      </c>
      <c r="BO63" s="78">
        <v>0.99915550000000009</v>
      </c>
      <c r="BP63" s="78">
        <v>1.0552153</v>
      </c>
    </row>
    <row r="64" spans="1:68" ht="13" x14ac:dyDescent="0.25">
      <c r="A64" s="60">
        <v>1</v>
      </c>
      <c r="B64" s="55">
        <v>56</v>
      </c>
      <c r="C64" s="61">
        <v>0.91331775605647147</v>
      </c>
      <c r="D64" s="61">
        <v>1.0368321551683053</v>
      </c>
      <c r="E64" s="81">
        <v>0.92677074536371684</v>
      </c>
      <c r="F64" s="81">
        <v>1.055038965574058</v>
      </c>
      <c r="G64" s="78">
        <v>0.88266169999999999</v>
      </c>
      <c r="H64" s="78">
        <v>1.1042581</v>
      </c>
      <c r="I64" s="78">
        <v>0.9621748</v>
      </c>
      <c r="J64" s="78">
        <v>0.99594510000000003</v>
      </c>
      <c r="K64" s="78">
        <v>1.0554728</v>
      </c>
      <c r="L64" s="78">
        <v>1.096951</v>
      </c>
      <c r="M64" s="78">
        <v>0.93201759999999989</v>
      </c>
      <c r="N64" s="78">
        <v>0.96864419999999996</v>
      </c>
      <c r="O64" s="78">
        <v>1.0554728</v>
      </c>
      <c r="P64" s="78">
        <v>1.096951</v>
      </c>
      <c r="Q64" s="78">
        <f t="shared" si="24"/>
        <v>1.0818596199999999</v>
      </c>
      <c r="R64" s="78">
        <f t="shared" si="0"/>
        <v>1.1243747749999999</v>
      </c>
      <c r="S64" s="78">
        <f t="shared" si="25"/>
        <v>0.95531803999999976</v>
      </c>
      <c r="T64" s="78">
        <f t="shared" si="1"/>
        <v>0.99286030499999989</v>
      </c>
      <c r="U64" s="78">
        <f t="shared" si="2"/>
        <v>1.0818596199999999</v>
      </c>
      <c r="V64" s="78">
        <f t="shared" si="3"/>
        <v>1.1243747749999999</v>
      </c>
      <c r="W64" s="78">
        <f t="shared" si="26"/>
        <v>1.0132538879999999</v>
      </c>
      <c r="X64" s="78">
        <f t="shared" si="4"/>
        <v>1.0530729599999999</v>
      </c>
      <c r="Y64" s="78">
        <f t="shared" si="27"/>
        <v>0.89473689599999984</v>
      </c>
      <c r="Z64" s="78">
        <f t="shared" si="5"/>
        <v>0.92989843199999989</v>
      </c>
      <c r="AA64" s="78">
        <f t="shared" si="6"/>
        <v>1.0132538879999999</v>
      </c>
      <c r="AB64" s="78">
        <f t="shared" si="7"/>
        <v>1.0530729599999999</v>
      </c>
      <c r="AC64" s="78">
        <v>0.94787999999999994</v>
      </c>
      <c r="AD64" s="78">
        <v>0.93813000000000002</v>
      </c>
      <c r="AE64" s="78">
        <v>0.78454999999999997</v>
      </c>
      <c r="AF64" s="78">
        <v>0.85902000000000001</v>
      </c>
      <c r="AG64" s="78">
        <f t="shared" si="28"/>
        <v>0.94787999999999994</v>
      </c>
      <c r="AH64" s="78">
        <f t="shared" si="29"/>
        <v>0.93813000000000002</v>
      </c>
      <c r="AI64" s="78">
        <f t="shared" si="30"/>
        <v>0.97157699999999991</v>
      </c>
      <c r="AJ64" s="78">
        <f t="shared" si="8"/>
        <v>0.96158324999999989</v>
      </c>
      <c r="AK64" s="78">
        <f t="shared" si="31"/>
        <v>0.80416374999999984</v>
      </c>
      <c r="AL64" s="78">
        <f t="shared" si="9"/>
        <v>0.88049549999999988</v>
      </c>
      <c r="AM64" s="78">
        <f t="shared" si="10"/>
        <v>0.97157699999999991</v>
      </c>
      <c r="AN64" s="78">
        <f t="shared" si="11"/>
        <v>0.96158324999999989</v>
      </c>
      <c r="AO64" s="78">
        <f t="shared" si="32"/>
        <v>0.90996479999999991</v>
      </c>
      <c r="AP64" s="78">
        <f t="shared" si="12"/>
        <v>0.90060479999999998</v>
      </c>
      <c r="AQ64" s="78">
        <f t="shared" si="33"/>
        <v>0.75316799999999995</v>
      </c>
      <c r="AR64" s="78">
        <f t="shared" si="13"/>
        <v>0.82465919999999993</v>
      </c>
      <c r="AS64" s="78">
        <f t="shared" si="14"/>
        <v>0.90996479999999991</v>
      </c>
      <c r="AT64" s="78">
        <f t="shared" si="15"/>
        <v>0.90060479999999998</v>
      </c>
      <c r="AU64" s="78">
        <v>0.97640000000000005</v>
      </c>
      <c r="AV64" s="78">
        <v>1.0011399999999999</v>
      </c>
      <c r="AW64" s="78">
        <v>0.85435000000000005</v>
      </c>
      <c r="AX64" s="78">
        <v>0.94887999999999995</v>
      </c>
      <c r="AY64" s="78">
        <f t="shared" si="34"/>
        <v>0.97640000000000005</v>
      </c>
      <c r="AZ64" s="78">
        <f t="shared" si="35"/>
        <v>1.0011399999999999</v>
      </c>
      <c r="BA64" s="78">
        <f t="shared" si="36"/>
        <v>1.00081</v>
      </c>
      <c r="BB64" s="78">
        <f t="shared" si="16"/>
        <v>1.0261684999999998</v>
      </c>
      <c r="BC64" s="78">
        <f t="shared" si="37"/>
        <v>0.87570874999999992</v>
      </c>
      <c r="BD64" s="78">
        <f t="shared" si="17"/>
        <v>0.97260199999999986</v>
      </c>
      <c r="BE64" s="78">
        <f t="shared" si="18"/>
        <v>1.00081</v>
      </c>
      <c r="BF64" s="78">
        <f t="shared" si="19"/>
        <v>1.0261684999999998</v>
      </c>
      <c r="BG64" s="78">
        <f t="shared" si="38"/>
        <v>0.93734399999999996</v>
      </c>
      <c r="BH64" s="78">
        <f t="shared" si="20"/>
        <v>0.9610943999999999</v>
      </c>
      <c r="BI64" s="78">
        <f t="shared" si="39"/>
        <v>0.82017600000000002</v>
      </c>
      <c r="BJ64" s="78">
        <f t="shared" si="21"/>
        <v>0.91092479999999987</v>
      </c>
      <c r="BK64" s="78">
        <f t="shared" si="22"/>
        <v>0.93734399999999996</v>
      </c>
      <c r="BL64" s="78">
        <f t="shared" si="23"/>
        <v>0.9610943999999999</v>
      </c>
      <c r="BM64" s="78">
        <v>0.85828700000000002</v>
      </c>
      <c r="BN64" s="78">
        <v>0.89239599999999997</v>
      </c>
      <c r="BO64" s="78">
        <v>0.9937452</v>
      </c>
      <c r="BP64" s="78">
        <v>1.0327975999999999</v>
      </c>
    </row>
    <row r="65" spans="1:68" ht="13" x14ac:dyDescent="0.25">
      <c r="A65" s="60">
        <v>1</v>
      </c>
      <c r="B65" s="55">
        <v>57</v>
      </c>
      <c r="C65" s="61">
        <v>0.90708595254467816</v>
      </c>
      <c r="D65" s="61">
        <v>1.0235491170415223</v>
      </c>
      <c r="E65" s="81">
        <v>0.92058807357528127</v>
      </c>
      <c r="F65" s="81">
        <v>1.0415324647880293</v>
      </c>
      <c r="G65" s="78">
        <v>0.88268809999999998</v>
      </c>
      <c r="H65" s="78">
        <v>1.1027958</v>
      </c>
      <c r="I65" s="78">
        <v>0.94944400000000007</v>
      </c>
      <c r="J65" s="78">
        <v>0.97015410000000002</v>
      </c>
      <c r="K65" s="78">
        <v>1.0443587999999999</v>
      </c>
      <c r="L65" s="78">
        <v>1.0681187999999999</v>
      </c>
      <c r="M65" s="78">
        <v>0.92220360000000001</v>
      </c>
      <c r="N65" s="78">
        <v>0.94318439999999992</v>
      </c>
      <c r="O65" s="78">
        <v>1.0443587999999999</v>
      </c>
      <c r="P65" s="78">
        <v>1.0681187999999999</v>
      </c>
      <c r="Q65" s="78">
        <f t="shared" si="24"/>
        <v>1.0704677699999998</v>
      </c>
      <c r="R65" s="78">
        <f t="shared" si="0"/>
        <v>1.0948217699999998</v>
      </c>
      <c r="S65" s="78">
        <f t="shared" si="25"/>
        <v>0.94525868999999996</v>
      </c>
      <c r="T65" s="78">
        <f t="shared" si="1"/>
        <v>0.96676400999999978</v>
      </c>
      <c r="U65" s="78">
        <f t="shared" si="2"/>
        <v>1.0704677699999998</v>
      </c>
      <c r="V65" s="78">
        <f t="shared" si="3"/>
        <v>1.0948217699999998</v>
      </c>
      <c r="W65" s="78">
        <f t="shared" si="26"/>
        <v>1.0025844479999999</v>
      </c>
      <c r="X65" s="78">
        <f t="shared" si="4"/>
        <v>1.0253940479999999</v>
      </c>
      <c r="Y65" s="78">
        <f t="shared" si="27"/>
        <v>0.88531545599999995</v>
      </c>
      <c r="Z65" s="78">
        <f t="shared" si="5"/>
        <v>0.90545702399999994</v>
      </c>
      <c r="AA65" s="78">
        <f t="shared" si="6"/>
        <v>1.0025844479999999</v>
      </c>
      <c r="AB65" s="78">
        <f t="shared" si="7"/>
        <v>1.0253940479999999</v>
      </c>
      <c r="AC65" s="78">
        <v>0.93801999999999996</v>
      </c>
      <c r="AD65" s="78">
        <v>0.93559000000000003</v>
      </c>
      <c r="AE65" s="78">
        <v>0.77232000000000001</v>
      </c>
      <c r="AF65" s="78">
        <v>0.83642000000000005</v>
      </c>
      <c r="AG65" s="78">
        <f t="shared" si="28"/>
        <v>0.93801999999999996</v>
      </c>
      <c r="AH65" s="78">
        <f t="shared" si="29"/>
        <v>0.93559000000000003</v>
      </c>
      <c r="AI65" s="78">
        <f t="shared" si="30"/>
        <v>0.96147049999999989</v>
      </c>
      <c r="AJ65" s="78">
        <f t="shared" si="8"/>
        <v>0.95897974999999991</v>
      </c>
      <c r="AK65" s="78">
        <f t="shared" si="31"/>
        <v>0.79162799999999989</v>
      </c>
      <c r="AL65" s="78">
        <f t="shared" si="9"/>
        <v>0.8573305</v>
      </c>
      <c r="AM65" s="78">
        <f t="shared" si="10"/>
        <v>0.96147049999999989</v>
      </c>
      <c r="AN65" s="78">
        <f t="shared" si="11"/>
        <v>0.95897974999999991</v>
      </c>
      <c r="AO65" s="78">
        <f t="shared" si="32"/>
        <v>0.90049919999999994</v>
      </c>
      <c r="AP65" s="78">
        <f t="shared" si="12"/>
        <v>0.89816640000000003</v>
      </c>
      <c r="AQ65" s="78">
        <f t="shared" si="33"/>
        <v>0.74142719999999995</v>
      </c>
      <c r="AR65" s="78">
        <f t="shared" si="13"/>
        <v>0.80296319999999999</v>
      </c>
      <c r="AS65" s="78">
        <f t="shared" si="14"/>
        <v>0.90049919999999994</v>
      </c>
      <c r="AT65" s="78">
        <f t="shared" si="15"/>
        <v>0.89816640000000003</v>
      </c>
      <c r="AU65" s="78">
        <v>0.96065999999999996</v>
      </c>
      <c r="AV65" s="78">
        <v>0.99504999999999999</v>
      </c>
      <c r="AW65" s="78">
        <v>0.84894999999999998</v>
      </c>
      <c r="AX65" s="78">
        <v>0.91781999999999997</v>
      </c>
      <c r="AY65" s="78">
        <f t="shared" si="34"/>
        <v>0.96065999999999996</v>
      </c>
      <c r="AZ65" s="78">
        <f t="shared" si="35"/>
        <v>0.99504999999999999</v>
      </c>
      <c r="BA65" s="78">
        <f t="shared" si="36"/>
        <v>0.98467649999999984</v>
      </c>
      <c r="BB65" s="78">
        <f t="shared" si="16"/>
        <v>1.0199262499999999</v>
      </c>
      <c r="BC65" s="78">
        <f t="shared" si="37"/>
        <v>0.87017374999999986</v>
      </c>
      <c r="BD65" s="78">
        <f t="shared" si="17"/>
        <v>0.94076549999999992</v>
      </c>
      <c r="BE65" s="78">
        <f t="shared" si="18"/>
        <v>0.98467649999999984</v>
      </c>
      <c r="BF65" s="78">
        <f t="shared" si="19"/>
        <v>1.0199262499999999</v>
      </c>
      <c r="BG65" s="78">
        <f t="shared" si="38"/>
        <v>0.92223359999999988</v>
      </c>
      <c r="BH65" s="78">
        <f t="shared" si="20"/>
        <v>0.95524799999999999</v>
      </c>
      <c r="BI65" s="78">
        <f t="shared" si="39"/>
        <v>0.81499199999999994</v>
      </c>
      <c r="BJ65" s="78">
        <f t="shared" si="21"/>
        <v>0.88110719999999998</v>
      </c>
      <c r="BK65" s="78">
        <f t="shared" si="22"/>
        <v>0.92223359999999988</v>
      </c>
      <c r="BL65" s="78">
        <f t="shared" si="23"/>
        <v>0.95524799999999999</v>
      </c>
      <c r="BM65" s="78">
        <v>0.84542760000000006</v>
      </c>
      <c r="BN65" s="78">
        <v>0.86419309999999994</v>
      </c>
      <c r="BO65" s="78">
        <v>0.98328119999999997</v>
      </c>
      <c r="BP65" s="78">
        <v>1.0056516</v>
      </c>
    </row>
    <row r="66" spans="1:68" ht="13" x14ac:dyDescent="0.25">
      <c r="A66" s="60">
        <v>1</v>
      </c>
      <c r="B66" s="55">
        <v>58</v>
      </c>
      <c r="C66" s="61">
        <v>0.89793079724726754</v>
      </c>
      <c r="D66" s="61">
        <v>1.0101612872738037</v>
      </c>
      <c r="E66" s="81">
        <v>0.91143093007201192</v>
      </c>
      <c r="F66" s="81">
        <v>1.0278845240477856</v>
      </c>
      <c r="G66" s="78">
        <v>0.88153879999999996</v>
      </c>
      <c r="H66" s="78">
        <v>1.1050622999999999</v>
      </c>
      <c r="I66" s="78">
        <v>0.93195210000000006</v>
      </c>
      <c r="J66" s="78">
        <v>0.94031690000000001</v>
      </c>
      <c r="K66" s="78">
        <v>1.0292604000000001</v>
      </c>
      <c r="L66" s="78">
        <v>1.0351152000000001</v>
      </c>
      <c r="M66" s="78">
        <v>0.90887119999999999</v>
      </c>
      <c r="N66" s="78">
        <v>0.91404110000000005</v>
      </c>
      <c r="O66" s="78">
        <v>1.0292604000000001</v>
      </c>
      <c r="P66" s="78">
        <v>1.0351152000000001</v>
      </c>
      <c r="Q66" s="78">
        <f t="shared" si="24"/>
        <v>1.05499191</v>
      </c>
      <c r="R66" s="78">
        <f t="shared" si="0"/>
        <v>1.06099308</v>
      </c>
      <c r="S66" s="78">
        <f t="shared" si="25"/>
        <v>0.9315929799999999</v>
      </c>
      <c r="T66" s="78">
        <f t="shared" si="1"/>
        <v>0.93689212749999995</v>
      </c>
      <c r="U66" s="78">
        <f t="shared" si="2"/>
        <v>1.05499191</v>
      </c>
      <c r="V66" s="78">
        <f t="shared" si="3"/>
        <v>1.06099308</v>
      </c>
      <c r="W66" s="78">
        <f t="shared" si="26"/>
        <v>0.98808998400000003</v>
      </c>
      <c r="X66" s="78">
        <f t="shared" si="4"/>
        <v>0.99371059200000011</v>
      </c>
      <c r="Y66" s="78">
        <f t="shared" si="27"/>
        <v>0.872516352</v>
      </c>
      <c r="Z66" s="78">
        <f t="shared" si="5"/>
        <v>0.87747945599999999</v>
      </c>
      <c r="AA66" s="78">
        <f t="shared" si="6"/>
        <v>0.98808998400000003</v>
      </c>
      <c r="AB66" s="78">
        <f t="shared" si="7"/>
        <v>0.99371059200000011</v>
      </c>
      <c r="AC66" s="78">
        <v>0.92144999999999999</v>
      </c>
      <c r="AD66" s="78">
        <v>0.91500000000000004</v>
      </c>
      <c r="AE66" s="78">
        <v>0.75649999999999995</v>
      </c>
      <c r="AF66" s="78">
        <v>0.80847999999999998</v>
      </c>
      <c r="AG66" s="78">
        <f t="shared" si="28"/>
        <v>0.92144999999999999</v>
      </c>
      <c r="AH66" s="78">
        <f t="shared" si="29"/>
        <v>0.91500000000000004</v>
      </c>
      <c r="AI66" s="78">
        <f t="shared" si="30"/>
        <v>0.94448624999999986</v>
      </c>
      <c r="AJ66" s="78">
        <f t="shared" si="8"/>
        <v>0.9378749999999999</v>
      </c>
      <c r="AK66" s="78">
        <f t="shared" si="31"/>
        <v>0.77541249999999984</v>
      </c>
      <c r="AL66" s="78">
        <f t="shared" si="9"/>
        <v>0.82869199999999987</v>
      </c>
      <c r="AM66" s="78">
        <f t="shared" si="10"/>
        <v>0.94448624999999986</v>
      </c>
      <c r="AN66" s="78">
        <f t="shared" si="11"/>
        <v>0.9378749999999999</v>
      </c>
      <c r="AO66" s="78">
        <f t="shared" si="32"/>
        <v>0.88459199999999993</v>
      </c>
      <c r="AP66" s="78">
        <f t="shared" si="12"/>
        <v>0.87839999999999996</v>
      </c>
      <c r="AQ66" s="78">
        <f t="shared" si="33"/>
        <v>0.72623999999999989</v>
      </c>
      <c r="AR66" s="78">
        <f t="shared" si="13"/>
        <v>0.77614079999999996</v>
      </c>
      <c r="AS66" s="78">
        <f t="shared" si="14"/>
        <v>0.88459199999999993</v>
      </c>
      <c r="AT66" s="78">
        <f t="shared" si="15"/>
        <v>0.87839999999999996</v>
      </c>
      <c r="AU66" s="78">
        <v>0.93628999999999996</v>
      </c>
      <c r="AV66" s="78">
        <v>0.97277000000000002</v>
      </c>
      <c r="AW66" s="78">
        <v>0.83452000000000004</v>
      </c>
      <c r="AX66" s="78">
        <v>0.87604000000000004</v>
      </c>
      <c r="AY66" s="78">
        <f t="shared" si="34"/>
        <v>0.93628999999999996</v>
      </c>
      <c r="AZ66" s="78">
        <f t="shared" si="35"/>
        <v>0.97277000000000002</v>
      </c>
      <c r="BA66" s="78">
        <f t="shared" si="36"/>
        <v>0.95969724999999984</v>
      </c>
      <c r="BB66" s="78">
        <f t="shared" si="16"/>
        <v>0.99708924999999993</v>
      </c>
      <c r="BC66" s="78">
        <f t="shared" si="37"/>
        <v>0.855383</v>
      </c>
      <c r="BD66" s="78">
        <f t="shared" si="17"/>
        <v>0.89794099999999999</v>
      </c>
      <c r="BE66" s="78">
        <f t="shared" si="18"/>
        <v>0.95969724999999984</v>
      </c>
      <c r="BF66" s="78">
        <f t="shared" si="19"/>
        <v>0.99708924999999993</v>
      </c>
      <c r="BG66" s="78">
        <f t="shared" si="38"/>
        <v>0.89883839999999993</v>
      </c>
      <c r="BH66" s="78">
        <f t="shared" si="20"/>
        <v>0.9338592</v>
      </c>
      <c r="BI66" s="78">
        <f t="shared" si="39"/>
        <v>0.80113920000000005</v>
      </c>
      <c r="BJ66" s="78">
        <f t="shared" si="21"/>
        <v>0.84099840000000003</v>
      </c>
      <c r="BK66" s="78">
        <f t="shared" si="22"/>
        <v>0.89883839999999993</v>
      </c>
      <c r="BL66" s="78">
        <f t="shared" si="23"/>
        <v>0.9338592</v>
      </c>
      <c r="BM66" s="78">
        <v>0.82864389999999999</v>
      </c>
      <c r="BN66" s="78">
        <v>0.83143600000000006</v>
      </c>
      <c r="BO66" s="78">
        <v>0.96906580000000009</v>
      </c>
      <c r="BP66" s="78">
        <v>0.97457815000000014</v>
      </c>
    </row>
    <row r="67" spans="1:68" ht="13" x14ac:dyDescent="0.25">
      <c r="A67" s="60">
        <v>1</v>
      </c>
      <c r="B67" s="55">
        <v>59</v>
      </c>
      <c r="C67" s="61">
        <v>0.88830962914581346</v>
      </c>
      <c r="D67" s="61">
        <v>0.99498872175869346</v>
      </c>
      <c r="E67" s="81">
        <v>0.90179391399927333</v>
      </c>
      <c r="F67" s="81">
        <v>1.0124291427931951</v>
      </c>
      <c r="G67" s="78">
        <v>0.88149829999999996</v>
      </c>
      <c r="H67" s="78">
        <v>1.1044471</v>
      </c>
      <c r="I67" s="78">
        <v>0.91237989999999991</v>
      </c>
      <c r="J67" s="78">
        <v>0.9097731</v>
      </c>
      <c r="K67" s="78">
        <v>1.0123926000000001</v>
      </c>
      <c r="L67" s="78">
        <v>0.99976960000000004</v>
      </c>
      <c r="M67" s="78">
        <v>0.8939764</v>
      </c>
      <c r="N67" s="78">
        <v>0.8828298</v>
      </c>
      <c r="O67" s="78">
        <v>1.0123926000000001</v>
      </c>
      <c r="P67" s="78">
        <v>0.99976960000000004</v>
      </c>
      <c r="Q67" s="78">
        <f t="shared" si="24"/>
        <v>1.037702415</v>
      </c>
      <c r="R67" s="78">
        <f t="shared" si="0"/>
        <v>1.0247638399999999</v>
      </c>
      <c r="S67" s="78">
        <f t="shared" si="25"/>
        <v>0.91632580999999991</v>
      </c>
      <c r="T67" s="78">
        <f t="shared" si="1"/>
        <v>0.90490054499999995</v>
      </c>
      <c r="U67" s="78">
        <f t="shared" si="2"/>
        <v>1.037702415</v>
      </c>
      <c r="V67" s="78">
        <f t="shared" si="3"/>
        <v>1.0247638399999999</v>
      </c>
      <c r="W67" s="78">
        <f t="shared" si="26"/>
        <v>0.97189689600000007</v>
      </c>
      <c r="X67" s="78">
        <f t="shared" si="4"/>
        <v>0.95977881600000003</v>
      </c>
      <c r="Y67" s="78">
        <f t="shared" si="27"/>
        <v>0.85821734399999994</v>
      </c>
      <c r="Z67" s="78">
        <f t="shared" si="5"/>
        <v>0.84751660799999995</v>
      </c>
      <c r="AA67" s="78">
        <f t="shared" si="6"/>
        <v>0.97189689600000007</v>
      </c>
      <c r="AB67" s="78">
        <f t="shared" si="7"/>
        <v>0.95977881600000003</v>
      </c>
      <c r="AC67" s="78">
        <v>0.90188999999999997</v>
      </c>
      <c r="AD67" s="78">
        <v>0.88446999999999998</v>
      </c>
      <c r="AE67" s="78">
        <v>0.74024000000000001</v>
      </c>
      <c r="AF67" s="78">
        <v>0.77885000000000004</v>
      </c>
      <c r="AG67" s="78">
        <f t="shared" si="28"/>
        <v>0.90188999999999997</v>
      </c>
      <c r="AH67" s="78">
        <f t="shared" si="29"/>
        <v>0.88446999999999998</v>
      </c>
      <c r="AI67" s="78">
        <f t="shared" si="30"/>
        <v>0.92443724999999988</v>
      </c>
      <c r="AJ67" s="78">
        <f t="shared" si="8"/>
        <v>0.90658174999999985</v>
      </c>
      <c r="AK67" s="78">
        <f t="shared" si="31"/>
        <v>0.75874599999999992</v>
      </c>
      <c r="AL67" s="78">
        <f t="shared" si="9"/>
        <v>0.79832124999999998</v>
      </c>
      <c r="AM67" s="78">
        <f t="shared" si="10"/>
        <v>0.92443724999999988</v>
      </c>
      <c r="AN67" s="78">
        <f t="shared" si="11"/>
        <v>0.90658174999999985</v>
      </c>
      <c r="AO67" s="78">
        <f t="shared" si="32"/>
        <v>0.86581439999999998</v>
      </c>
      <c r="AP67" s="78">
        <f t="shared" si="12"/>
        <v>0.84909119999999993</v>
      </c>
      <c r="AQ67" s="78">
        <f t="shared" si="33"/>
        <v>0.7106304</v>
      </c>
      <c r="AR67" s="78">
        <f t="shared" si="13"/>
        <v>0.74769600000000003</v>
      </c>
      <c r="AS67" s="78">
        <f t="shared" si="14"/>
        <v>0.86581439999999998</v>
      </c>
      <c r="AT67" s="78">
        <f t="shared" si="15"/>
        <v>0.84909119999999993</v>
      </c>
      <c r="AU67" s="78">
        <v>0.92535999999999996</v>
      </c>
      <c r="AV67" s="78">
        <v>0.94206000000000001</v>
      </c>
      <c r="AW67" s="78">
        <v>0.81432000000000004</v>
      </c>
      <c r="AX67" s="78">
        <v>0.85680000000000001</v>
      </c>
      <c r="AY67" s="78">
        <f t="shared" si="34"/>
        <v>0.92535999999999996</v>
      </c>
      <c r="AZ67" s="78">
        <f t="shared" si="35"/>
        <v>0.94206000000000001</v>
      </c>
      <c r="BA67" s="78">
        <f t="shared" si="36"/>
        <v>0.94849399999999984</v>
      </c>
      <c r="BB67" s="78">
        <f t="shared" si="16"/>
        <v>0.96561149999999996</v>
      </c>
      <c r="BC67" s="78">
        <f t="shared" si="37"/>
        <v>0.83467799999999992</v>
      </c>
      <c r="BD67" s="78">
        <f t="shared" si="17"/>
        <v>0.87821999999999989</v>
      </c>
      <c r="BE67" s="78">
        <f t="shared" si="18"/>
        <v>0.94849399999999984</v>
      </c>
      <c r="BF67" s="78">
        <f t="shared" si="19"/>
        <v>0.96561149999999996</v>
      </c>
      <c r="BG67" s="78">
        <f t="shared" si="38"/>
        <v>0.88834559999999996</v>
      </c>
      <c r="BH67" s="78">
        <f t="shared" si="20"/>
        <v>0.9043776</v>
      </c>
      <c r="BI67" s="78">
        <f t="shared" si="39"/>
        <v>0.78174719999999998</v>
      </c>
      <c r="BJ67" s="78">
        <f t="shared" si="21"/>
        <v>0.82252799999999993</v>
      </c>
      <c r="BK67" s="78">
        <f t="shared" si="22"/>
        <v>0.88834559999999996</v>
      </c>
      <c r="BL67" s="78">
        <f t="shared" si="23"/>
        <v>0.9043776</v>
      </c>
      <c r="BM67" s="78">
        <v>0.81068740000000006</v>
      </c>
      <c r="BN67" s="78">
        <v>0.79804789999999992</v>
      </c>
      <c r="BO67" s="78">
        <v>0.9531845000000001</v>
      </c>
      <c r="BP67" s="78">
        <v>0.94129970000000007</v>
      </c>
    </row>
    <row r="68" spans="1:68" ht="13" x14ac:dyDescent="0.25">
      <c r="A68" s="60">
        <v>1</v>
      </c>
      <c r="B68" s="55">
        <v>60</v>
      </c>
      <c r="C68" s="61">
        <v>0.87167621810103424</v>
      </c>
      <c r="D68" s="61">
        <v>0.85909501640402652</v>
      </c>
      <c r="E68" s="81">
        <v>0.88506094473075603</v>
      </c>
      <c r="F68" s="81">
        <v>0.87507188612320197</v>
      </c>
      <c r="G68" s="78">
        <v>0.868425</v>
      </c>
      <c r="H68" s="78">
        <v>0.8612569000000001</v>
      </c>
      <c r="I68" s="78">
        <v>0.89179710000000001</v>
      </c>
      <c r="J68" s="78">
        <v>0.88039299999999998</v>
      </c>
      <c r="K68" s="78">
        <v>0.99611839999999996</v>
      </c>
      <c r="L68" s="78">
        <v>0.96838399999999991</v>
      </c>
      <c r="M68" s="78">
        <v>0.87960570000000005</v>
      </c>
      <c r="N68" s="78">
        <v>0.85511520000000008</v>
      </c>
      <c r="O68" s="78">
        <v>0.99611839999999996</v>
      </c>
      <c r="P68" s="78">
        <v>0.96838399999999991</v>
      </c>
      <c r="Q68" s="78">
        <f t="shared" si="24"/>
        <v>1.0210213599999998</v>
      </c>
      <c r="R68" s="78">
        <f t="shared" si="0"/>
        <v>0.99259359999999985</v>
      </c>
      <c r="S68" s="78">
        <f t="shared" si="25"/>
        <v>0.90159584250000002</v>
      </c>
      <c r="T68" s="78">
        <f t="shared" si="1"/>
        <v>0.87649308000000004</v>
      </c>
      <c r="U68" s="78">
        <f t="shared" si="2"/>
        <v>1.0210213599999998</v>
      </c>
      <c r="V68" s="78">
        <f t="shared" si="3"/>
        <v>0.99259359999999985</v>
      </c>
      <c r="W68" s="78">
        <f t="shared" si="26"/>
        <v>0.95627366399999991</v>
      </c>
      <c r="X68" s="78">
        <f t="shared" si="4"/>
        <v>0.92964863999999992</v>
      </c>
      <c r="Y68" s="78">
        <f t="shared" si="27"/>
        <v>0.84442147200000006</v>
      </c>
      <c r="Z68" s="78">
        <f t="shared" si="5"/>
        <v>0.82091059200000005</v>
      </c>
      <c r="AA68" s="78">
        <f t="shared" si="6"/>
        <v>0.95627366399999991</v>
      </c>
      <c r="AB68" s="78">
        <f t="shared" si="7"/>
        <v>0.92964863999999992</v>
      </c>
      <c r="AC68" s="78">
        <v>0.88127999999999995</v>
      </c>
      <c r="AD68" s="78">
        <v>0.85002</v>
      </c>
      <c r="AE68" s="78">
        <v>0.72507999999999995</v>
      </c>
      <c r="AF68" s="78">
        <v>0.74980999999999998</v>
      </c>
      <c r="AG68" s="78">
        <f t="shared" si="28"/>
        <v>0.88127999999999995</v>
      </c>
      <c r="AH68" s="78">
        <f t="shared" si="29"/>
        <v>0.85002</v>
      </c>
      <c r="AI68" s="78">
        <f t="shared" si="30"/>
        <v>0.90331199999999989</v>
      </c>
      <c r="AJ68" s="78">
        <f t="shared" si="8"/>
        <v>0.87127049999999995</v>
      </c>
      <c r="AK68" s="78">
        <f t="shared" si="31"/>
        <v>0.74320699999999984</v>
      </c>
      <c r="AL68" s="78">
        <f t="shared" si="9"/>
        <v>0.76855524999999991</v>
      </c>
      <c r="AM68" s="78">
        <f t="shared" si="10"/>
        <v>0.90331199999999989</v>
      </c>
      <c r="AN68" s="78">
        <f t="shared" si="11"/>
        <v>0.87127049999999995</v>
      </c>
      <c r="AO68" s="78">
        <f t="shared" si="32"/>
        <v>0.84602879999999991</v>
      </c>
      <c r="AP68" s="78">
        <f t="shared" si="12"/>
        <v>0.81601919999999994</v>
      </c>
      <c r="AQ68" s="78">
        <f t="shared" si="33"/>
        <v>0.69607679999999994</v>
      </c>
      <c r="AR68" s="78">
        <f t="shared" si="13"/>
        <v>0.71981759999999995</v>
      </c>
      <c r="AS68" s="78">
        <f t="shared" si="14"/>
        <v>0.84602879999999991</v>
      </c>
      <c r="AT68" s="78">
        <f t="shared" si="15"/>
        <v>0.81601919999999994</v>
      </c>
      <c r="AU68" s="78">
        <v>0.90776000000000001</v>
      </c>
      <c r="AV68" s="78">
        <v>0.90849000000000002</v>
      </c>
      <c r="AW68" s="78">
        <v>0.80689999999999995</v>
      </c>
      <c r="AX68" s="78">
        <v>0.82977000000000001</v>
      </c>
      <c r="AY68" s="78">
        <f t="shared" si="34"/>
        <v>0.90776000000000001</v>
      </c>
      <c r="AZ68" s="78">
        <f t="shared" si="35"/>
        <v>0.90849000000000002</v>
      </c>
      <c r="BA68" s="78">
        <f t="shared" si="36"/>
        <v>0.93045399999999989</v>
      </c>
      <c r="BB68" s="78">
        <f t="shared" si="16"/>
        <v>0.9312022499999999</v>
      </c>
      <c r="BC68" s="78">
        <f t="shared" si="37"/>
        <v>0.82707249999999988</v>
      </c>
      <c r="BD68" s="78">
        <f t="shared" si="17"/>
        <v>0.85051424999999992</v>
      </c>
      <c r="BE68" s="78">
        <f t="shared" si="18"/>
        <v>0.93045399999999989</v>
      </c>
      <c r="BF68" s="78">
        <f t="shared" si="19"/>
        <v>0.9312022499999999</v>
      </c>
      <c r="BG68" s="78">
        <f t="shared" si="38"/>
        <v>0.87144959999999994</v>
      </c>
      <c r="BH68" s="78">
        <f t="shared" si="20"/>
        <v>0.87215039999999999</v>
      </c>
      <c r="BI68" s="78">
        <f t="shared" si="39"/>
        <v>0.77462399999999998</v>
      </c>
      <c r="BJ68" s="78">
        <f t="shared" si="21"/>
        <v>0.79657919999999993</v>
      </c>
      <c r="BK68" s="78">
        <f t="shared" si="22"/>
        <v>0.87144959999999994</v>
      </c>
      <c r="BL68" s="78">
        <f t="shared" si="23"/>
        <v>0.87215039999999999</v>
      </c>
      <c r="BM68" s="78">
        <v>0.79280620000000002</v>
      </c>
      <c r="BN68" s="78">
        <v>0.76646409999999998</v>
      </c>
      <c r="BO68" s="78">
        <v>0.93786205</v>
      </c>
      <c r="BP68" s="78">
        <v>0.91174960000000005</v>
      </c>
    </row>
    <row r="69" spans="1:68" ht="13" x14ac:dyDescent="0.25">
      <c r="A69" s="60">
        <v>1</v>
      </c>
      <c r="B69" s="55">
        <v>61</v>
      </c>
      <c r="C69" s="61">
        <v>0.86150480896048587</v>
      </c>
      <c r="D69" s="61">
        <v>0.84580874947445273</v>
      </c>
      <c r="E69" s="81">
        <v>0.87469667474771207</v>
      </c>
      <c r="F69" s="81">
        <v>0.861435571845097</v>
      </c>
      <c r="G69" s="78">
        <v>0.86759870000000006</v>
      </c>
      <c r="H69" s="78">
        <v>0.85969430000000002</v>
      </c>
      <c r="I69" s="78">
        <v>0.87190420000000002</v>
      </c>
      <c r="J69" s="78">
        <v>0.85469840000000008</v>
      </c>
      <c r="K69" s="78">
        <v>0.98300749999999992</v>
      </c>
      <c r="L69" s="78">
        <v>0.94396720000000001</v>
      </c>
      <c r="M69" s="78">
        <v>0.86802829999999997</v>
      </c>
      <c r="N69" s="78">
        <v>0.83355450000000009</v>
      </c>
      <c r="O69" s="78">
        <v>0.98300749999999992</v>
      </c>
      <c r="P69" s="78">
        <v>0.94396720000000001</v>
      </c>
      <c r="Q69" s="78">
        <f t="shared" si="24"/>
        <v>1.0075826874999998</v>
      </c>
      <c r="R69" s="78">
        <f t="shared" si="0"/>
        <v>0.96756637999999995</v>
      </c>
      <c r="S69" s="78">
        <f t="shared" si="25"/>
        <v>0.88972900749999995</v>
      </c>
      <c r="T69" s="78">
        <f t="shared" si="1"/>
        <v>0.85439336249999998</v>
      </c>
      <c r="U69" s="78">
        <f t="shared" si="2"/>
        <v>1.0075826874999998</v>
      </c>
      <c r="V69" s="78">
        <f t="shared" si="3"/>
        <v>0.96756637999999995</v>
      </c>
      <c r="W69" s="78">
        <f t="shared" si="26"/>
        <v>0.94368719999999984</v>
      </c>
      <c r="X69" s="78">
        <f t="shared" si="4"/>
        <v>0.90620851199999997</v>
      </c>
      <c r="Y69" s="78">
        <f t="shared" si="27"/>
        <v>0.83330716799999993</v>
      </c>
      <c r="Z69" s="78">
        <f t="shared" si="5"/>
        <v>0.80021232000000009</v>
      </c>
      <c r="AA69" s="78">
        <f t="shared" si="6"/>
        <v>0.94368719999999984</v>
      </c>
      <c r="AB69" s="78">
        <f t="shared" si="7"/>
        <v>0.90620851199999997</v>
      </c>
      <c r="AC69" s="78">
        <v>0.86190999999999995</v>
      </c>
      <c r="AD69" s="78">
        <v>0.81737000000000004</v>
      </c>
      <c r="AE69" s="78">
        <v>0.71265999999999996</v>
      </c>
      <c r="AF69" s="78">
        <v>0.72414000000000001</v>
      </c>
      <c r="AG69" s="78">
        <f t="shared" si="28"/>
        <v>0.86190999999999995</v>
      </c>
      <c r="AH69" s="78">
        <f t="shared" si="29"/>
        <v>0.81737000000000004</v>
      </c>
      <c r="AI69" s="78">
        <f t="shared" si="30"/>
        <v>0.88345774999999993</v>
      </c>
      <c r="AJ69" s="78">
        <f t="shared" si="8"/>
        <v>0.83780424999999992</v>
      </c>
      <c r="AK69" s="78">
        <f t="shared" si="31"/>
        <v>0.73047649999999986</v>
      </c>
      <c r="AL69" s="78">
        <f t="shared" si="9"/>
        <v>0.74224349999999994</v>
      </c>
      <c r="AM69" s="78">
        <f t="shared" si="10"/>
        <v>0.88345774999999993</v>
      </c>
      <c r="AN69" s="78">
        <f t="shared" si="11"/>
        <v>0.83780424999999992</v>
      </c>
      <c r="AO69" s="78">
        <f t="shared" si="32"/>
        <v>0.82743359999999988</v>
      </c>
      <c r="AP69" s="78">
        <f t="shared" si="12"/>
        <v>0.78467520000000002</v>
      </c>
      <c r="AQ69" s="78">
        <f t="shared" si="33"/>
        <v>0.68415359999999992</v>
      </c>
      <c r="AR69" s="78">
        <f t="shared" si="13"/>
        <v>0.69517439999999997</v>
      </c>
      <c r="AS69" s="78">
        <f t="shared" si="14"/>
        <v>0.82743359999999988</v>
      </c>
      <c r="AT69" s="78">
        <f t="shared" si="15"/>
        <v>0.78467520000000002</v>
      </c>
      <c r="AU69" s="78">
        <v>0.88624000000000003</v>
      </c>
      <c r="AV69" s="78">
        <v>0.87736000000000003</v>
      </c>
      <c r="AW69" s="78">
        <v>0.79456000000000004</v>
      </c>
      <c r="AX69" s="78">
        <v>0.80001999999999995</v>
      </c>
      <c r="AY69" s="78">
        <f t="shared" si="34"/>
        <v>0.88624000000000003</v>
      </c>
      <c r="AZ69" s="78">
        <f t="shared" si="35"/>
        <v>0.87736000000000003</v>
      </c>
      <c r="BA69" s="78">
        <f t="shared" si="36"/>
        <v>0.90839599999999998</v>
      </c>
      <c r="BB69" s="78">
        <f t="shared" si="16"/>
        <v>0.89929399999999993</v>
      </c>
      <c r="BC69" s="78">
        <f t="shared" si="37"/>
        <v>0.81442399999999993</v>
      </c>
      <c r="BD69" s="78">
        <f t="shared" si="17"/>
        <v>0.82002049999999993</v>
      </c>
      <c r="BE69" s="78">
        <f t="shared" si="18"/>
        <v>0.90839599999999998</v>
      </c>
      <c r="BF69" s="78">
        <f t="shared" si="19"/>
        <v>0.89929399999999993</v>
      </c>
      <c r="BG69" s="78">
        <f t="shared" si="38"/>
        <v>0.85079039999999995</v>
      </c>
      <c r="BH69" s="78">
        <f t="shared" si="20"/>
        <v>0.84226559999999995</v>
      </c>
      <c r="BI69" s="78">
        <f t="shared" si="39"/>
        <v>0.76277760000000006</v>
      </c>
      <c r="BJ69" s="78">
        <f t="shared" si="21"/>
        <v>0.7680191999999999</v>
      </c>
      <c r="BK69" s="78">
        <f t="shared" si="22"/>
        <v>0.85079039999999995</v>
      </c>
      <c r="BL69" s="78">
        <f t="shared" si="23"/>
        <v>0.84226559999999995</v>
      </c>
      <c r="BM69" s="78">
        <v>0.77674319999999997</v>
      </c>
      <c r="BN69" s="78">
        <v>0.73945740000000004</v>
      </c>
      <c r="BO69" s="78">
        <v>0.9255179</v>
      </c>
      <c r="BP69" s="78">
        <v>0.88876085000000005</v>
      </c>
    </row>
    <row r="70" spans="1:68" ht="13" x14ac:dyDescent="0.25">
      <c r="A70" s="60">
        <v>1</v>
      </c>
      <c r="B70" s="55">
        <v>62</v>
      </c>
      <c r="C70" s="61">
        <v>0.85321458632316405</v>
      </c>
      <c r="D70" s="61">
        <v>0.83624454155414352</v>
      </c>
      <c r="E70" s="81">
        <v>0.86624448824202649</v>
      </c>
      <c r="F70" s="81">
        <v>0.85160048744336592</v>
      </c>
      <c r="G70" s="78">
        <v>0.86813630000000008</v>
      </c>
      <c r="H70" s="78">
        <v>0.86072680000000001</v>
      </c>
      <c r="I70" s="78">
        <v>0.8544562</v>
      </c>
      <c r="J70" s="78">
        <v>0.83398550000000005</v>
      </c>
      <c r="K70" s="78">
        <v>0.974603</v>
      </c>
      <c r="L70" s="78">
        <v>0.9269428999999999</v>
      </c>
      <c r="M70" s="78">
        <v>0.86060680000000001</v>
      </c>
      <c r="N70" s="78">
        <v>0.81852140000000007</v>
      </c>
      <c r="O70" s="78">
        <v>0.974603</v>
      </c>
      <c r="P70" s="78">
        <v>0.9269428999999999</v>
      </c>
      <c r="Q70" s="78">
        <f t="shared" si="24"/>
        <v>0.99896807499999996</v>
      </c>
      <c r="R70" s="78">
        <f t="shared" si="0"/>
        <v>0.95011647249999986</v>
      </c>
      <c r="S70" s="78">
        <f t="shared" si="25"/>
        <v>0.88212196999999992</v>
      </c>
      <c r="T70" s="78">
        <f t="shared" si="1"/>
        <v>0.83898443499999997</v>
      </c>
      <c r="U70" s="78">
        <f t="shared" si="2"/>
        <v>0.99896807499999996</v>
      </c>
      <c r="V70" s="78">
        <f t="shared" si="3"/>
        <v>0.95011647249999986</v>
      </c>
      <c r="W70" s="78">
        <f t="shared" si="26"/>
        <v>0.93561887999999993</v>
      </c>
      <c r="X70" s="78">
        <f t="shared" si="4"/>
        <v>0.88986518399999992</v>
      </c>
      <c r="Y70" s="78">
        <f t="shared" si="27"/>
        <v>0.82618252800000003</v>
      </c>
      <c r="Z70" s="78">
        <f t="shared" si="5"/>
        <v>0.78578054400000008</v>
      </c>
      <c r="AA70" s="78">
        <f t="shared" si="6"/>
        <v>0.93561887999999993</v>
      </c>
      <c r="AB70" s="78">
        <f t="shared" si="7"/>
        <v>0.88986518399999992</v>
      </c>
      <c r="AC70" s="78">
        <v>0.84596000000000005</v>
      </c>
      <c r="AD70" s="78">
        <v>0.79012000000000004</v>
      </c>
      <c r="AE70" s="78">
        <v>0.70438000000000001</v>
      </c>
      <c r="AF70" s="78">
        <v>0.70359000000000005</v>
      </c>
      <c r="AG70" s="78">
        <f t="shared" si="28"/>
        <v>0.84596000000000005</v>
      </c>
      <c r="AH70" s="78">
        <f t="shared" si="29"/>
        <v>0.79012000000000004</v>
      </c>
      <c r="AI70" s="78">
        <f t="shared" si="30"/>
        <v>0.86710900000000002</v>
      </c>
      <c r="AJ70" s="78">
        <f t="shared" si="8"/>
        <v>0.80987299999999995</v>
      </c>
      <c r="AK70" s="78">
        <f t="shared" si="31"/>
        <v>0.72198949999999995</v>
      </c>
      <c r="AL70" s="78">
        <f t="shared" si="9"/>
        <v>0.72117975000000001</v>
      </c>
      <c r="AM70" s="78">
        <f t="shared" si="10"/>
        <v>0.86710900000000002</v>
      </c>
      <c r="AN70" s="78">
        <f t="shared" si="11"/>
        <v>0.80987299999999995</v>
      </c>
      <c r="AO70" s="78">
        <f t="shared" si="32"/>
        <v>0.8121216</v>
      </c>
      <c r="AP70" s="78">
        <f t="shared" si="12"/>
        <v>0.75851520000000006</v>
      </c>
      <c r="AQ70" s="78">
        <f t="shared" si="33"/>
        <v>0.67620479999999994</v>
      </c>
      <c r="AR70" s="78">
        <f t="shared" si="13"/>
        <v>0.6754464</v>
      </c>
      <c r="AS70" s="78">
        <f t="shared" si="14"/>
        <v>0.8121216</v>
      </c>
      <c r="AT70" s="78">
        <f t="shared" si="15"/>
        <v>0.75851520000000006</v>
      </c>
      <c r="AU70" s="78">
        <v>0.87733000000000005</v>
      </c>
      <c r="AV70" s="78">
        <v>0.85177999999999998</v>
      </c>
      <c r="AW70" s="78">
        <v>0.77985000000000004</v>
      </c>
      <c r="AX70" s="78">
        <v>0.79000999999999999</v>
      </c>
      <c r="AY70" s="78">
        <f t="shared" si="34"/>
        <v>0.87733000000000005</v>
      </c>
      <c r="AZ70" s="78">
        <f t="shared" si="35"/>
        <v>0.85177999999999998</v>
      </c>
      <c r="BA70" s="78">
        <f t="shared" si="36"/>
        <v>0.89926324999999996</v>
      </c>
      <c r="BB70" s="78">
        <f t="shared" si="16"/>
        <v>0.87307449999999986</v>
      </c>
      <c r="BC70" s="78">
        <f t="shared" si="37"/>
        <v>0.79934624999999992</v>
      </c>
      <c r="BD70" s="78">
        <f t="shared" si="17"/>
        <v>0.80976024999999996</v>
      </c>
      <c r="BE70" s="78">
        <f t="shared" si="18"/>
        <v>0.89926324999999996</v>
      </c>
      <c r="BF70" s="78">
        <f t="shared" si="19"/>
        <v>0.87307449999999986</v>
      </c>
      <c r="BG70" s="78">
        <f t="shared" si="38"/>
        <v>0.84223680000000001</v>
      </c>
      <c r="BH70" s="78">
        <f t="shared" si="20"/>
        <v>0.8177087999999999</v>
      </c>
      <c r="BI70" s="78">
        <f t="shared" si="39"/>
        <v>0.74865599999999999</v>
      </c>
      <c r="BJ70" s="78">
        <f t="shared" si="21"/>
        <v>0.75840960000000002</v>
      </c>
      <c r="BK70" s="78">
        <f t="shared" si="22"/>
        <v>0.84223680000000001</v>
      </c>
      <c r="BL70" s="78">
        <f t="shared" si="23"/>
        <v>0.8177087999999999</v>
      </c>
      <c r="BM70" s="78">
        <v>0.76423669999999999</v>
      </c>
      <c r="BN70" s="78">
        <v>0.71850520000000007</v>
      </c>
      <c r="BO70" s="78">
        <v>0.91760489999999995</v>
      </c>
      <c r="BP70" s="78">
        <v>0.87273215000000004</v>
      </c>
    </row>
    <row r="71" spans="1:68" ht="13" x14ac:dyDescent="0.25">
      <c r="A71" s="60">
        <v>1</v>
      </c>
      <c r="B71" s="55">
        <v>63</v>
      </c>
      <c r="C71" s="61">
        <v>0.84541703334076712</v>
      </c>
      <c r="D71" s="61">
        <v>0.82769541662713408</v>
      </c>
      <c r="E71" s="81">
        <v>0.85829797389972684</v>
      </c>
      <c r="F71" s="81">
        <v>0.84281647319774111</v>
      </c>
      <c r="G71" s="78">
        <v>0.86778490000000008</v>
      </c>
      <c r="H71" s="78">
        <v>0.86082320000000001</v>
      </c>
      <c r="I71" s="78">
        <v>0.83891859999999996</v>
      </c>
      <c r="J71" s="78">
        <v>0.81632009999999999</v>
      </c>
      <c r="K71" s="78">
        <v>0.97050669999999994</v>
      </c>
      <c r="L71" s="78">
        <v>0.91529329999999998</v>
      </c>
      <c r="M71" s="78">
        <v>0.85698970000000008</v>
      </c>
      <c r="N71" s="78">
        <v>0.80823440000000002</v>
      </c>
      <c r="O71" s="78">
        <v>0.97050669999999994</v>
      </c>
      <c r="P71" s="78">
        <v>0.91529329999999998</v>
      </c>
      <c r="Q71" s="78">
        <f t="shared" si="24"/>
        <v>0.99476936749999989</v>
      </c>
      <c r="R71" s="78">
        <f t="shared" si="0"/>
        <v>0.93817563249999991</v>
      </c>
      <c r="S71" s="78">
        <f t="shared" si="25"/>
        <v>0.8784144425</v>
      </c>
      <c r="T71" s="78">
        <f t="shared" si="1"/>
        <v>0.82844025999999993</v>
      </c>
      <c r="U71" s="78">
        <f t="shared" si="2"/>
        <v>0.99476936749999989</v>
      </c>
      <c r="V71" s="78">
        <f t="shared" si="3"/>
        <v>0.93817563249999991</v>
      </c>
      <c r="W71" s="78">
        <f t="shared" si="26"/>
        <v>0.9316864319999999</v>
      </c>
      <c r="X71" s="78">
        <f t="shared" si="4"/>
        <v>0.87868156799999997</v>
      </c>
      <c r="Y71" s="78">
        <f t="shared" si="27"/>
        <v>0.82271011199999999</v>
      </c>
      <c r="Z71" s="78">
        <f t="shared" si="5"/>
        <v>0.77590502399999994</v>
      </c>
      <c r="AA71" s="78">
        <f t="shared" si="6"/>
        <v>0.9316864319999999</v>
      </c>
      <c r="AB71" s="78">
        <f t="shared" si="7"/>
        <v>0.87868156799999997</v>
      </c>
      <c r="AC71" s="78">
        <v>0.83328000000000002</v>
      </c>
      <c r="AD71" s="78">
        <v>0.76783000000000001</v>
      </c>
      <c r="AE71" s="78">
        <v>0.69957000000000003</v>
      </c>
      <c r="AF71" s="78">
        <v>0.68720000000000003</v>
      </c>
      <c r="AG71" s="78">
        <f t="shared" si="28"/>
        <v>0.83328000000000002</v>
      </c>
      <c r="AH71" s="78">
        <f t="shared" si="29"/>
        <v>0.76783000000000001</v>
      </c>
      <c r="AI71" s="78">
        <f t="shared" si="30"/>
        <v>0.85411199999999998</v>
      </c>
      <c r="AJ71" s="78">
        <f t="shared" si="8"/>
        <v>0.78702574999999997</v>
      </c>
      <c r="AK71" s="78">
        <f t="shared" si="31"/>
        <v>0.71705924999999993</v>
      </c>
      <c r="AL71" s="78">
        <f t="shared" si="9"/>
        <v>0.70438000000000001</v>
      </c>
      <c r="AM71" s="78">
        <f t="shared" si="10"/>
        <v>0.85411199999999998</v>
      </c>
      <c r="AN71" s="78">
        <f t="shared" si="11"/>
        <v>0.78702574999999997</v>
      </c>
      <c r="AO71" s="78">
        <f t="shared" si="32"/>
        <v>0.79994880000000002</v>
      </c>
      <c r="AP71" s="78">
        <f t="shared" si="12"/>
        <v>0.73711680000000002</v>
      </c>
      <c r="AQ71" s="78">
        <f t="shared" si="33"/>
        <v>0.67158720000000005</v>
      </c>
      <c r="AR71" s="78">
        <f t="shared" si="13"/>
        <v>0.65971199999999997</v>
      </c>
      <c r="AS71" s="78">
        <f t="shared" si="14"/>
        <v>0.79994880000000002</v>
      </c>
      <c r="AT71" s="78">
        <f t="shared" si="15"/>
        <v>0.73711680000000002</v>
      </c>
      <c r="AU71" s="78">
        <v>0.87744999999999995</v>
      </c>
      <c r="AV71" s="78">
        <v>0.83077999999999996</v>
      </c>
      <c r="AW71" s="78">
        <v>0.77571999999999997</v>
      </c>
      <c r="AX71" s="78">
        <v>0.77598</v>
      </c>
      <c r="AY71" s="78">
        <f t="shared" si="34"/>
        <v>0.87744999999999995</v>
      </c>
      <c r="AZ71" s="78">
        <f t="shared" si="35"/>
        <v>0.83077999999999996</v>
      </c>
      <c r="BA71" s="78">
        <f t="shared" si="36"/>
        <v>0.89938624999999983</v>
      </c>
      <c r="BB71" s="78">
        <f t="shared" si="16"/>
        <v>0.85154949999999985</v>
      </c>
      <c r="BC71" s="78">
        <f t="shared" si="37"/>
        <v>0.79511299999999985</v>
      </c>
      <c r="BD71" s="78">
        <f t="shared" si="17"/>
        <v>0.79537949999999991</v>
      </c>
      <c r="BE71" s="78">
        <f t="shared" si="18"/>
        <v>0.89938624999999983</v>
      </c>
      <c r="BF71" s="78">
        <f t="shared" si="19"/>
        <v>0.85154949999999985</v>
      </c>
      <c r="BG71" s="78">
        <f t="shared" si="38"/>
        <v>0.84235199999999988</v>
      </c>
      <c r="BH71" s="78">
        <f t="shared" si="20"/>
        <v>0.79754879999999995</v>
      </c>
      <c r="BI71" s="78">
        <f t="shared" si="39"/>
        <v>0.74469119999999989</v>
      </c>
      <c r="BJ71" s="78">
        <f t="shared" si="21"/>
        <v>0.74494079999999996</v>
      </c>
      <c r="BK71" s="78">
        <f t="shared" si="22"/>
        <v>0.84235199999999988</v>
      </c>
      <c r="BL71" s="78">
        <f t="shared" si="23"/>
        <v>0.79754879999999995</v>
      </c>
      <c r="BM71" s="78">
        <v>0.75493460000000001</v>
      </c>
      <c r="BN71" s="78">
        <v>0.70212059999999998</v>
      </c>
      <c r="BO71" s="78">
        <v>0.91374820000000001</v>
      </c>
      <c r="BP71" s="78">
        <v>0.86176385</v>
      </c>
    </row>
    <row r="72" spans="1:68" ht="13" x14ac:dyDescent="0.25">
      <c r="A72" s="60">
        <v>1</v>
      </c>
      <c r="B72" s="55">
        <v>64</v>
      </c>
      <c r="C72" s="61">
        <v>0.83814039512414196</v>
      </c>
      <c r="D72" s="61">
        <v>0.81899914471643753</v>
      </c>
      <c r="E72" s="81">
        <v>0.85087978714163537</v>
      </c>
      <c r="F72" s="81">
        <v>0.83388698830642394</v>
      </c>
      <c r="G72" s="78">
        <v>0.86810109999999996</v>
      </c>
      <c r="H72" s="78">
        <v>0.86026820000000004</v>
      </c>
      <c r="I72" s="78">
        <v>0.82376240000000001</v>
      </c>
      <c r="J72" s="78">
        <v>0.7990216</v>
      </c>
      <c r="K72" s="78">
        <v>0.96883330000000001</v>
      </c>
      <c r="L72" s="78">
        <v>0.90660059999999998</v>
      </c>
      <c r="M72" s="78">
        <v>0.85551199999999994</v>
      </c>
      <c r="N72" s="78">
        <v>0.80055850000000006</v>
      </c>
      <c r="O72" s="78">
        <v>0.96883330000000001</v>
      </c>
      <c r="P72" s="78">
        <v>0.90660059999999998</v>
      </c>
      <c r="Q72" s="78">
        <f t="shared" si="24"/>
        <v>0.99305413249999996</v>
      </c>
      <c r="R72" s="78">
        <f t="shared" ref="R72:R123" si="40">L72*1.025</f>
        <v>0.92926561499999993</v>
      </c>
      <c r="S72" s="78">
        <f t="shared" si="25"/>
        <v>0.8768997999999999</v>
      </c>
      <c r="T72" s="78">
        <f t="shared" ref="T72:T123" si="41">N72*1.025</f>
        <v>0.82057246250000004</v>
      </c>
      <c r="U72" s="78">
        <f t="shared" ref="U72:U123" si="42">O72*1.025</f>
        <v>0.99305413249999996</v>
      </c>
      <c r="V72" s="78">
        <f t="shared" ref="V72:V123" si="43">P72*1.025</f>
        <v>0.92926561499999993</v>
      </c>
      <c r="W72" s="78">
        <f t="shared" si="26"/>
        <v>0.93007996799999992</v>
      </c>
      <c r="X72" s="78">
        <f t="shared" ref="X72:X123" si="44">L72*0.96</f>
        <v>0.87033657599999992</v>
      </c>
      <c r="Y72" s="78">
        <f t="shared" si="27"/>
        <v>0.82129151999999994</v>
      </c>
      <c r="Z72" s="78">
        <f t="shared" ref="Z72:Z123" si="45">N72*0.96</f>
        <v>0.76853616000000002</v>
      </c>
      <c r="AA72" s="78">
        <f t="shared" ref="AA72:AA123" si="46">O72*0.96</f>
        <v>0.93007996799999992</v>
      </c>
      <c r="AB72" s="78">
        <f t="shared" ref="AB72:AB123" si="47">P72*0.96</f>
        <v>0.87033657599999992</v>
      </c>
      <c r="AC72" s="78">
        <v>0.82262999999999997</v>
      </c>
      <c r="AD72" s="78">
        <v>0.74856999999999996</v>
      </c>
      <c r="AE72" s="78">
        <v>0.69657999999999998</v>
      </c>
      <c r="AF72" s="78">
        <v>0.67332999999999998</v>
      </c>
      <c r="AG72" s="78">
        <f t="shared" si="28"/>
        <v>0.82262999999999997</v>
      </c>
      <c r="AH72" s="78">
        <f t="shared" si="29"/>
        <v>0.74856999999999996</v>
      </c>
      <c r="AI72" s="78">
        <f t="shared" si="30"/>
        <v>0.84319574999999991</v>
      </c>
      <c r="AJ72" s="78">
        <f t="shared" ref="AJ72:AJ123" si="48">AD72*1.025</f>
        <v>0.76728424999999989</v>
      </c>
      <c r="AK72" s="78">
        <f t="shared" si="31"/>
        <v>0.71399449999999987</v>
      </c>
      <c r="AL72" s="78">
        <f t="shared" ref="AL72:AL123" si="49">AF72*1.025</f>
        <v>0.69016324999999989</v>
      </c>
      <c r="AM72" s="78">
        <f t="shared" ref="AM72:AM123" si="50">AG72*1.025</f>
        <v>0.84319574999999991</v>
      </c>
      <c r="AN72" s="78">
        <f t="shared" ref="AN72:AN123" si="51">AH72*1.025</f>
        <v>0.76728424999999989</v>
      </c>
      <c r="AO72" s="78">
        <f t="shared" si="32"/>
        <v>0.78972479999999989</v>
      </c>
      <c r="AP72" s="78">
        <f t="shared" ref="AP72:AP123" si="52">AD72*0.96</f>
        <v>0.71862719999999991</v>
      </c>
      <c r="AQ72" s="78">
        <f t="shared" si="33"/>
        <v>0.6687168</v>
      </c>
      <c r="AR72" s="78">
        <f t="shared" ref="AR72:AR123" si="53">AF72*0.96</f>
        <v>0.64639679999999999</v>
      </c>
      <c r="AS72" s="78">
        <f t="shared" ref="AS72:AS123" si="54">AG72*0.96</f>
        <v>0.78972479999999989</v>
      </c>
      <c r="AT72" s="78">
        <f t="shared" ref="AT72:AT123" si="55">AH72*0.96</f>
        <v>0.71862719999999991</v>
      </c>
      <c r="AU72" s="78">
        <v>0.87089000000000005</v>
      </c>
      <c r="AV72" s="78">
        <v>0.81211</v>
      </c>
      <c r="AW72" s="78">
        <v>0.77798999999999996</v>
      </c>
      <c r="AX72" s="78">
        <v>0.75705999999999996</v>
      </c>
      <c r="AY72" s="78">
        <f t="shared" si="34"/>
        <v>0.87089000000000005</v>
      </c>
      <c r="AZ72" s="78">
        <f t="shared" si="35"/>
        <v>0.81211</v>
      </c>
      <c r="BA72" s="78">
        <f t="shared" si="36"/>
        <v>0.89266224999999999</v>
      </c>
      <c r="BB72" s="78">
        <f t="shared" ref="BB72:BB123" si="56">AV72*1.025</f>
        <v>0.83241274999999992</v>
      </c>
      <c r="BC72" s="78">
        <f t="shared" si="37"/>
        <v>0.79743974999999989</v>
      </c>
      <c r="BD72" s="78">
        <f t="shared" ref="BD72:BD123" si="57">AX72*1.025</f>
        <v>0.77598649999999991</v>
      </c>
      <c r="BE72" s="78">
        <f t="shared" ref="BE72:BE123" si="58">AY72*1.025</f>
        <v>0.89266224999999999</v>
      </c>
      <c r="BF72" s="78">
        <f t="shared" ref="BF72:BF123" si="59">AZ72*1.025</f>
        <v>0.83241274999999992</v>
      </c>
      <c r="BG72" s="78">
        <f t="shared" si="38"/>
        <v>0.83605439999999998</v>
      </c>
      <c r="BH72" s="78">
        <f t="shared" ref="BH72:BH123" si="60">AV72*0.96</f>
        <v>0.77962559999999992</v>
      </c>
      <c r="BI72" s="78">
        <f t="shared" si="39"/>
        <v>0.74687039999999993</v>
      </c>
      <c r="BJ72" s="78">
        <f t="shared" ref="BJ72:BJ123" si="61">AX72*0.96</f>
        <v>0.72677759999999991</v>
      </c>
      <c r="BK72" s="78">
        <f t="shared" ref="BK72:BK123" si="62">AY72*0.96</f>
        <v>0.83605439999999998</v>
      </c>
      <c r="BL72" s="78">
        <f t="shared" ref="BL72:BL123" si="63">AZ72*0.96</f>
        <v>0.77962559999999992</v>
      </c>
      <c r="BM72" s="78">
        <v>0.74751220000000007</v>
      </c>
      <c r="BN72" s="78">
        <v>0.68801829999999997</v>
      </c>
      <c r="BO72" s="78">
        <v>0.91217265000000003</v>
      </c>
      <c r="BP72" s="78">
        <v>0.85357955000000008</v>
      </c>
    </row>
    <row r="73" spans="1:68" ht="13" x14ac:dyDescent="0.25">
      <c r="A73" s="60">
        <v>1</v>
      </c>
      <c r="B73" s="55">
        <v>65</v>
      </c>
      <c r="C73" s="61">
        <v>0.80449021307988977</v>
      </c>
      <c r="D73" s="61">
        <v>0.84161206009881762</v>
      </c>
      <c r="E73" s="81">
        <v>0.81685116880401099</v>
      </c>
      <c r="F73" s="81">
        <v>0.85673363338135589</v>
      </c>
      <c r="G73" s="78">
        <v>0.79948980000000003</v>
      </c>
      <c r="H73" s="78">
        <v>0.90427040000000003</v>
      </c>
      <c r="I73" s="78">
        <v>0.82509860000000002</v>
      </c>
      <c r="J73" s="78">
        <v>0.8002786999999999</v>
      </c>
      <c r="K73" s="78">
        <v>0.98846050000000008</v>
      </c>
      <c r="L73" s="78">
        <v>0.92099039999999999</v>
      </c>
      <c r="M73" s="78">
        <v>0.87284349999999999</v>
      </c>
      <c r="N73" s="78">
        <v>0.81326509999999996</v>
      </c>
      <c r="O73" s="78">
        <v>0.98846050000000008</v>
      </c>
      <c r="P73" s="78">
        <v>0.92099039999999999</v>
      </c>
      <c r="Q73" s="78">
        <f t="shared" ref="Q73:Q123" si="64">K73*1.025</f>
        <v>1.0131720124999999</v>
      </c>
      <c r="R73" s="78">
        <f t="shared" si="40"/>
        <v>0.94401515999999985</v>
      </c>
      <c r="S73" s="78">
        <f t="shared" ref="S73:S123" si="65">M73*1.025</f>
        <v>0.89466458749999989</v>
      </c>
      <c r="T73" s="78">
        <f t="shared" si="41"/>
        <v>0.83359672749999991</v>
      </c>
      <c r="U73" s="78">
        <f t="shared" si="42"/>
        <v>1.0131720124999999</v>
      </c>
      <c r="V73" s="78">
        <f t="shared" si="43"/>
        <v>0.94401515999999985</v>
      </c>
      <c r="W73" s="78">
        <f t="shared" ref="W73:W123" si="66">K73*0.96</f>
        <v>0.94892208</v>
      </c>
      <c r="X73" s="78">
        <f t="shared" si="44"/>
        <v>0.88415078399999991</v>
      </c>
      <c r="Y73" s="78">
        <f t="shared" ref="Y73:Y123" si="67">M73*0.96</f>
        <v>0.83792975999999997</v>
      </c>
      <c r="Z73" s="78">
        <f t="shared" si="45"/>
        <v>0.78073449599999989</v>
      </c>
      <c r="AA73" s="78">
        <f t="shared" si="46"/>
        <v>0.94892208</v>
      </c>
      <c r="AB73" s="78">
        <f t="shared" si="47"/>
        <v>0.88415078399999991</v>
      </c>
      <c r="AC73" s="78">
        <v>0.83035999999999999</v>
      </c>
      <c r="AD73" s="78">
        <v>0.74929999999999997</v>
      </c>
      <c r="AE73" s="78">
        <v>0.70882000000000001</v>
      </c>
      <c r="AF73" s="78">
        <v>0.67781999999999998</v>
      </c>
      <c r="AG73" s="78">
        <f t="shared" ref="AG73:AG124" si="68">AC73</f>
        <v>0.83035999999999999</v>
      </c>
      <c r="AH73" s="78">
        <f t="shared" ref="AH73:AH124" si="69">AD73</f>
        <v>0.74929999999999997</v>
      </c>
      <c r="AI73" s="78">
        <f t="shared" ref="AI73:AI123" si="70">AC73*1.025</f>
        <v>0.85111899999999996</v>
      </c>
      <c r="AJ73" s="78">
        <f t="shared" si="48"/>
        <v>0.7680324999999999</v>
      </c>
      <c r="AK73" s="78">
        <f t="shared" ref="AK73:AK123" si="71">AE73*1.025</f>
        <v>0.72654049999999992</v>
      </c>
      <c r="AL73" s="78">
        <f t="shared" si="49"/>
        <v>0.69476549999999992</v>
      </c>
      <c r="AM73" s="78">
        <f t="shared" si="50"/>
        <v>0.85111899999999996</v>
      </c>
      <c r="AN73" s="78">
        <f t="shared" si="51"/>
        <v>0.7680324999999999</v>
      </c>
      <c r="AO73" s="78">
        <f t="shared" ref="AO73:AO123" si="72">AC73*0.96</f>
        <v>0.79714560000000001</v>
      </c>
      <c r="AP73" s="78">
        <f t="shared" si="52"/>
        <v>0.71932799999999997</v>
      </c>
      <c r="AQ73" s="78">
        <f t="shared" ref="AQ73:AQ123" si="73">AE73*0.96</f>
        <v>0.68046719999999994</v>
      </c>
      <c r="AR73" s="78">
        <f t="shared" si="53"/>
        <v>0.65070719999999993</v>
      </c>
      <c r="AS73" s="78">
        <f t="shared" si="54"/>
        <v>0.79714560000000001</v>
      </c>
      <c r="AT73" s="78">
        <f t="shared" si="55"/>
        <v>0.71932799999999997</v>
      </c>
      <c r="AU73" s="78">
        <v>0.88639999999999997</v>
      </c>
      <c r="AV73" s="78">
        <v>0.81440999999999997</v>
      </c>
      <c r="AW73" s="78">
        <v>0.78910999999999998</v>
      </c>
      <c r="AX73" s="78">
        <v>0.76561000000000001</v>
      </c>
      <c r="AY73" s="78">
        <f t="shared" ref="AY73:AY124" si="74">AU73</f>
        <v>0.88639999999999997</v>
      </c>
      <c r="AZ73" s="78">
        <f t="shared" ref="AZ73:AZ124" si="75">AV73</f>
        <v>0.81440999999999997</v>
      </c>
      <c r="BA73" s="78">
        <f t="shared" ref="BA73:BA123" si="76">AU73*1.025</f>
        <v>0.90855999999999992</v>
      </c>
      <c r="BB73" s="78">
        <f t="shared" si="56"/>
        <v>0.83477024999999994</v>
      </c>
      <c r="BC73" s="78">
        <f t="shared" ref="BC73:BC123" si="77">AW73*1.025</f>
        <v>0.80883774999999991</v>
      </c>
      <c r="BD73" s="78">
        <f t="shared" si="57"/>
        <v>0.78475024999999998</v>
      </c>
      <c r="BE73" s="78">
        <f t="shared" si="58"/>
        <v>0.90855999999999992</v>
      </c>
      <c r="BF73" s="78">
        <f t="shared" si="59"/>
        <v>0.83477024999999994</v>
      </c>
      <c r="BG73" s="78">
        <f t="shared" ref="BG73:BG123" si="78">AU73*0.96</f>
        <v>0.85094399999999992</v>
      </c>
      <c r="BH73" s="78">
        <f t="shared" si="60"/>
        <v>0.78183359999999991</v>
      </c>
      <c r="BI73" s="78">
        <f t="shared" ref="BI73:BI123" si="79">AW73*0.96</f>
        <v>0.75754559999999993</v>
      </c>
      <c r="BJ73" s="78">
        <f t="shared" si="61"/>
        <v>0.73498560000000002</v>
      </c>
      <c r="BK73" s="78">
        <f t="shared" si="62"/>
        <v>0.85094399999999992</v>
      </c>
      <c r="BL73" s="78">
        <f t="shared" si="63"/>
        <v>0.78183359999999991</v>
      </c>
      <c r="BM73" s="78">
        <v>0.75669520000000001</v>
      </c>
      <c r="BN73" s="78">
        <v>0.69175410000000004</v>
      </c>
      <c r="BO73" s="78">
        <v>0.93065200000000003</v>
      </c>
      <c r="BP73" s="78">
        <v>0.86712774999999997</v>
      </c>
    </row>
    <row r="74" spans="1:68" ht="13" x14ac:dyDescent="0.25">
      <c r="A74" s="60">
        <v>1</v>
      </c>
      <c r="B74" s="55">
        <v>66</v>
      </c>
      <c r="C74" s="61">
        <v>0.81168850638329015</v>
      </c>
      <c r="D74" s="61">
        <v>0.84940990635608993</v>
      </c>
      <c r="E74" s="81">
        <v>0.82418812713577028</v>
      </c>
      <c r="F74" s="81">
        <v>0.86474070831525573</v>
      </c>
      <c r="G74" s="78">
        <v>0.79952190000000001</v>
      </c>
      <c r="H74" s="78">
        <v>0.90475559999999999</v>
      </c>
      <c r="I74" s="78">
        <v>0.83974000000000004</v>
      </c>
      <c r="J74" s="78">
        <v>0.8158029</v>
      </c>
      <c r="K74" s="78">
        <v>1.0270710999999999</v>
      </c>
      <c r="L74" s="78">
        <v>0.95339870000000004</v>
      </c>
      <c r="M74" s="78">
        <v>0.90693799999999991</v>
      </c>
      <c r="N74" s="78">
        <v>0.84188280000000004</v>
      </c>
      <c r="O74" s="78">
        <v>1.0270710999999999</v>
      </c>
      <c r="P74" s="78">
        <v>0.95339870000000004</v>
      </c>
      <c r="Q74" s="78">
        <f t="shared" si="64"/>
        <v>1.0527478774999999</v>
      </c>
      <c r="R74" s="78">
        <f t="shared" si="40"/>
        <v>0.97723366749999996</v>
      </c>
      <c r="S74" s="78">
        <f t="shared" si="65"/>
        <v>0.92961144999999978</v>
      </c>
      <c r="T74" s="78">
        <f t="shared" si="41"/>
        <v>0.86292986999999999</v>
      </c>
      <c r="U74" s="78">
        <f t="shared" si="42"/>
        <v>1.0527478774999999</v>
      </c>
      <c r="V74" s="78">
        <f t="shared" si="43"/>
        <v>0.97723366749999996</v>
      </c>
      <c r="W74" s="78">
        <f t="shared" si="66"/>
        <v>0.98598825599999984</v>
      </c>
      <c r="X74" s="78">
        <f t="shared" si="44"/>
        <v>0.91526275199999996</v>
      </c>
      <c r="Y74" s="78">
        <f t="shared" si="67"/>
        <v>0.87066047999999985</v>
      </c>
      <c r="Z74" s="78">
        <f t="shared" si="45"/>
        <v>0.80820748799999997</v>
      </c>
      <c r="AA74" s="78">
        <f t="shared" si="46"/>
        <v>0.98598825599999984</v>
      </c>
      <c r="AB74" s="78">
        <f t="shared" si="47"/>
        <v>0.91526275199999996</v>
      </c>
      <c r="AC74" s="78">
        <v>0.85372999999999999</v>
      </c>
      <c r="AD74" s="78">
        <v>0.76568000000000003</v>
      </c>
      <c r="AE74" s="78">
        <v>0.73380999999999996</v>
      </c>
      <c r="AF74" s="78">
        <v>0.69757999999999998</v>
      </c>
      <c r="AG74" s="78">
        <f t="shared" si="68"/>
        <v>0.85372999999999999</v>
      </c>
      <c r="AH74" s="78">
        <f t="shared" si="69"/>
        <v>0.76568000000000003</v>
      </c>
      <c r="AI74" s="78">
        <f t="shared" si="70"/>
        <v>0.87507324999999991</v>
      </c>
      <c r="AJ74" s="78">
        <f t="shared" si="48"/>
        <v>0.78482199999999991</v>
      </c>
      <c r="AK74" s="78">
        <f t="shared" si="71"/>
        <v>0.75215524999999994</v>
      </c>
      <c r="AL74" s="78">
        <f t="shared" si="49"/>
        <v>0.71501949999999992</v>
      </c>
      <c r="AM74" s="78">
        <f t="shared" si="50"/>
        <v>0.87507324999999991</v>
      </c>
      <c r="AN74" s="78">
        <f t="shared" si="51"/>
        <v>0.78482199999999991</v>
      </c>
      <c r="AO74" s="78">
        <f t="shared" si="72"/>
        <v>0.8195808</v>
      </c>
      <c r="AP74" s="78">
        <f t="shared" si="52"/>
        <v>0.73505279999999995</v>
      </c>
      <c r="AQ74" s="78">
        <f t="shared" si="73"/>
        <v>0.70445759999999991</v>
      </c>
      <c r="AR74" s="78">
        <f t="shared" si="53"/>
        <v>0.66967679999999996</v>
      </c>
      <c r="AS74" s="78">
        <f t="shared" si="54"/>
        <v>0.8195808</v>
      </c>
      <c r="AT74" s="78">
        <f t="shared" si="55"/>
        <v>0.73505279999999995</v>
      </c>
      <c r="AU74" s="78">
        <v>0.90912999999999999</v>
      </c>
      <c r="AV74" s="78">
        <v>0.83343999999999996</v>
      </c>
      <c r="AW74" s="78">
        <v>0.81718999999999997</v>
      </c>
      <c r="AX74" s="78">
        <v>0.79481000000000002</v>
      </c>
      <c r="AY74" s="78">
        <f t="shared" si="74"/>
        <v>0.90912999999999999</v>
      </c>
      <c r="AZ74" s="78">
        <f t="shared" si="75"/>
        <v>0.83343999999999996</v>
      </c>
      <c r="BA74" s="78">
        <f t="shared" si="76"/>
        <v>0.93185824999999989</v>
      </c>
      <c r="BB74" s="78">
        <f t="shared" si="56"/>
        <v>0.85427599999999992</v>
      </c>
      <c r="BC74" s="78">
        <f t="shared" si="77"/>
        <v>0.83761974999999989</v>
      </c>
      <c r="BD74" s="78">
        <f t="shared" si="57"/>
        <v>0.81468024999999999</v>
      </c>
      <c r="BE74" s="78">
        <f t="shared" si="58"/>
        <v>0.93185824999999989</v>
      </c>
      <c r="BF74" s="78">
        <f t="shared" si="59"/>
        <v>0.85427599999999992</v>
      </c>
      <c r="BG74" s="78">
        <f t="shared" si="78"/>
        <v>0.87276480000000001</v>
      </c>
      <c r="BH74" s="78">
        <f t="shared" si="60"/>
        <v>0.80010239999999988</v>
      </c>
      <c r="BI74" s="78">
        <f t="shared" si="79"/>
        <v>0.78450239999999993</v>
      </c>
      <c r="BJ74" s="78">
        <f t="shared" si="61"/>
        <v>0.76301759999999996</v>
      </c>
      <c r="BK74" s="78">
        <f t="shared" si="62"/>
        <v>0.87276480000000001</v>
      </c>
      <c r="BL74" s="78">
        <f t="shared" si="63"/>
        <v>0.80010239999999988</v>
      </c>
      <c r="BM74" s="78">
        <v>0.77994320000000006</v>
      </c>
      <c r="BN74" s="78">
        <v>0.70954049999999991</v>
      </c>
      <c r="BO74" s="78">
        <v>0.96700454999999996</v>
      </c>
      <c r="BP74" s="78">
        <v>0.8976407500000001</v>
      </c>
    </row>
    <row r="75" spans="1:68" ht="13" x14ac:dyDescent="0.25">
      <c r="A75" s="60">
        <v>1</v>
      </c>
      <c r="B75" s="55">
        <v>67</v>
      </c>
      <c r="C75" s="61">
        <v>0.8164762295605611</v>
      </c>
      <c r="D75" s="61">
        <v>0.85410437560689123</v>
      </c>
      <c r="E75" s="81">
        <v>0.82906943685077716</v>
      </c>
      <c r="F75" s="81">
        <v>0.86956130112209629</v>
      </c>
      <c r="G75" s="78">
        <v>0.7991988000000001</v>
      </c>
      <c r="H75" s="78">
        <v>0.90502899999999997</v>
      </c>
      <c r="I75" s="78">
        <v>0.84982939999999996</v>
      </c>
      <c r="J75" s="78">
        <v>0.82516800000000001</v>
      </c>
      <c r="K75" s="78">
        <v>1.0629125000000001</v>
      </c>
      <c r="L75" s="78">
        <v>0.9804486</v>
      </c>
      <c r="M75" s="78">
        <v>0.93858710000000001</v>
      </c>
      <c r="N75" s="78">
        <v>0.86576869999999995</v>
      </c>
      <c r="O75" s="78">
        <v>1.0629125000000001</v>
      </c>
      <c r="P75" s="78">
        <v>0.9804486</v>
      </c>
      <c r="Q75" s="78">
        <f t="shared" si="64"/>
        <v>1.0894853125000001</v>
      </c>
      <c r="R75" s="78">
        <f t="shared" si="40"/>
        <v>1.0049598149999999</v>
      </c>
      <c r="S75" s="78">
        <f t="shared" si="65"/>
        <v>0.96205177749999993</v>
      </c>
      <c r="T75" s="78">
        <f t="shared" si="41"/>
        <v>0.88741291749999984</v>
      </c>
      <c r="U75" s="78">
        <f t="shared" si="42"/>
        <v>1.0894853125000001</v>
      </c>
      <c r="V75" s="78">
        <f t="shared" si="43"/>
        <v>1.0049598149999999</v>
      </c>
      <c r="W75" s="78">
        <f t="shared" si="66"/>
        <v>1.0203960000000001</v>
      </c>
      <c r="X75" s="78">
        <f t="shared" si="44"/>
        <v>0.941230656</v>
      </c>
      <c r="Y75" s="78">
        <f t="shared" si="67"/>
        <v>0.90104361599999994</v>
      </c>
      <c r="Z75" s="78">
        <f t="shared" si="45"/>
        <v>0.83113795199999996</v>
      </c>
      <c r="AA75" s="78">
        <f t="shared" si="46"/>
        <v>1.0203960000000001</v>
      </c>
      <c r="AB75" s="78">
        <f t="shared" si="47"/>
        <v>0.941230656</v>
      </c>
      <c r="AC75" s="78">
        <v>0.87488999999999995</v>
      </c>
      <c r="AD75" s="78">
        <v>0.77819000000000005</v>
      </c>
      <c r="AE75" s="78">
        <v>0.75592000000000004</v>
      </c>
      <c r="AF75" s="78">
        <v>0.71536999999999995</v>
      </c>
      <c r="AG75" s="78">
        <f t="shared" si="68"/>
        <v>0.87488999999999995</v>
      </c>
      <c r="AH75" s="78">
        <f t="shared" si="69"/>
        <v>0.77819000000000005</v>
      </c>
      <c r="AI75" s="78">
        <f t="shared" si="70"/>
        <v>0.89676224999999987</v>
      </c>
      <c r="AJ75" s="78">
        <f t="shared" si="48"/>
        <v>0.79764475000000001</v>
      </c>
      <c r="AK75" s="78">
        <f t="shared" si="71"/>
        <v>0.77481800000000001</v>
      </c>
      <c r="AL75" s="78">
        <f t="shared" si="49"/>
        <v>0.73325424999999989</v>
      </c>
      <c r="AM75" s="78">
        <f t="shared" si="50"/>
        <v>0.89676224999999987</v>
      </c>
      <c r="AN75" s="78">
        <f t="shared" si="51"/>
        <v>0.79764475000000001</v>
      </c>
      <c r="AO75" s="78">
        <f t="shared" si="72"/>
        <v>0.83989439999999993</v>
      </c>
      <c r="AP75" s="78">
        <f t="shared" si="52"/>
        <v>0.74706240000000002</v>
      </c>
      <c r="AQ75" s="78">
        <f t="shared" si="73"/>
        <v>0.72568319999999997</v>
      </c>
      <c r="AR75" s="78">
        <f t="shared" si="53"/>
        <v>0.6867551999999999</v>
      </c>
      <c r="AS75" s="78">
        <f t="shared" si="54"/>
        <v>0.83989439999999993</v>
      </c>
      <c r="AT75" s="78">
        <f t="shared" si="55"/>
        <v>0.74706240000000002</v>
      </c>
      <c r="AU75" s="78">
        <v>0.93922000000000005</v>
      </c>
      <c r="AV75" s="78">
        <v>0.84823999999999999</v>
      </c>
      <c r="AW75" s="78">
        <v>0.84338000000000002</v>
      </c>
      <c r="AX75" s="78">
        <v>0.81013999999999997</v>
      </c>
      <c r="AY75" s="78">
        <f t="shared" si="74"/>
        <v>0.93922000000000005</v>
      </c>
      <c r="AZ75" s="78">
        <f t="shared" si="75"/>
        <v>0.84823999999999999</v>
      </c>
      <c r="BA75" s="78">
        <f t="shared" si="76"/>
        <v>0.96270049999999996</v>
      </c>
      <c r="BB75" s="78">
        <f t="shared" si="56"/>
        <v>0.86944599999999994</v>
      </c>
      <c r="BC75" s="78">
        <f t="shared" si="77"/>
        <v>0.86446449999999997</v>
      </c>
      <c r="BD75" s="78">
        <f t="shared" si="57"/>
        <v>0.8303934999999999</v>
      </c>
      <c r="BE75" s="78">
        <f t="shared" si="58"/>
        <v>0.96270049999999996</v>
      </c>
      <c r="BF75" s="78">
        <f t="shared" si="59"/>
        <v>0.86944599999999994</v>
      </c>
      <c r="BG75" s="78">
        <f t="shared" si="78"/>
        <v>0.90165119999999999</v>
      </c>
      <c r="BH75" s="78">
        <f t="shared" si="60"/>
        <v>0.81431039999999999</v>
      </c>
      <c r="BI75" s="78">
        <f t="shared" si="79"/>
        <v>0.80964479999999994</v>
      </c>
      <c r="BJ75" s="78">
        <f t="shared" si="61"/>
        <v>0.77773439999999994</v>
      </c>
      <c r="BK75" s="78">
        <f t="shared" si="62"/>
        <v>0.90165119999999999</v>
      </c>
      <c r="BL75" s="78">
        <f t="shared" si="63"/>
        <v>0.81431039999999999</v>
      </c>
      <c r="BM75" s="78">
        <v>0.80079939999999994</v>
      </c>
      <c r="BN75" s="78">
        <v>0.72333500000000006</v>
      </c>
      <c r="BO75" s="78">
        <v>1.0007498000000001</v>
      </c>
      <c r="BP75" s="78">
        <v>0.92310864999999998</v>
      </c>
    </row>
    <row r="76" spans="1:68" ht="13" x14ac:dyDescent="0.25">
      <c r="A76" s="60">
        <v>1</v>
      </c>
      <c r="B76" s="55">
        <v>68</v>
      </c>
      <c r="C76" s="61">
        <v>0.81931071818903878</v>
      </c>
      <c r="D76" s="61">
        <v>0.85616314585789788</v>
      </c>
      <c r="E76" s="81">
        <v>0.83195822028570887</v>
      </c>
      <c r="F76" s="81">
        <v>0.87168249841880496</v>
      </c>
      <c r="G76" s="78">
        <v>0.79928949999999999</v>
      </c>
      <c r="H76" s="78">
        <v>0.90433639999999993</v>
      </c>
      <c r="I76" s="78">
        <v>0.85551519999999992</v>
      </c>
      <c r="J76" s="78">
        <v>0.83010980000000001</v>
      </c>
      <c r="K76" s="78">
        <v>1.094516</v>
      </c>
      <c r="L76" s="78">
        <v>1.0021363999999999</v>
      </c>
      <c r="M76" s="78">
        <v>0.96649399999999996</v>
      </c>
      <c r="N76" s="78">
        <v>0.88491980000000003</v>
      </c>
      <c r="O76" s="78">
        <v>1.094516</v>
      </c>
      <c r="P76" s="78">
        <v>1.0021363999999999</v>
      </c>
      <c r="Q76" s="78">
        <f t="shared" si="64"/>
        <v>1.1218789</v>
      </c>
      <c r="R76" s="78">
        <f t="shared" si="40"/>
        <v>1.0271898099999999</v>
      </c>
      <c r="S76" s="78">
        <f t="shared" si="65"/>
        <v>0.99065634999999985</v>
      </c>
      <c r="T76" s="78">
        <f t="shared" si="41"/>
        <v>0.90704279499999996</v>
      </c>
      <c r="U76" s="78">
        <f t="shared" si="42"/>
        <v>1.1218789</v>
      </c>
      <c r="V76" s="78">
        <f t="shared" si="43"/>
        <v>1.0271898099999999</v>
      </c>
      <c r="W76" s="78">
        <f t="shared" si="66"/>
        <v>1.05073536</v>
      </c>
      <c r="X76" s="78">
        <f t="shared" si="44"/>
        <v>0.96205094399999991</v>
      </c>
      <c r="Y76" s="78">
        <f t="shared" si="67"/>
        <v>0.92783423999999992</v>
      </c>
      <c r="Z76" s="78">
        <f t="shared" si="45"/>
        <v>0.84952300800000002</v>
      </c>
      <c r="AA76" s="78">
        <f t="shared" si="46"/>
        <v>1.05073536</v>
      </c>
      <c r="AB76" s="78">
        <f t="shared" si="47"/>
        <v>0.96205094399999991</v>
      </c>
      <c r="AC76" s="78">
        <v>0.89383000000000001</v>
      </c>
      <c r="AD76" s="78">
        <v>0.78786</v>
      </c>
      <c r="AE76" s="78">
        <v>0.77485999999999999</v>
      </c>
      <c r="AF76" s="78">
        <v>0.73189000000000004</v>
      </c>
      <c r="AG76" s="78">
        <f t="shared" si="68"/>
        <v>0.89383000000000001</v>
      </c>
      <c r="AH76" s="78">
        <f t="shared" si="69"/>
        <v>0.78786</v>
      </c>
      <c r="AI76" s="78">
        <f t="shared" si="70"/>
        <v>0.91617574999999996</v>
      </c>
      <c r="AJ76" s="78">
        <f t="shared" si="48"/>
        <v>0.8075564999999999</v>
      </c>
      <c r="AK76" s="78">
        <f t="shared" si="71"/>
        <v>0.79423149999999998</v>
      </c>
      <c r="AL76" s="78">
        <f t="shared" si="49"/>
        <v>0.75018724999999997</v>
      </c>
      <c r="AM76" s="78">
        <f t="shared" si="50"/>
        <v>0.91617574999999996</v>
      </c>
      <c r="AN76" s="78">
        <f t="shared" si="51"/>
        <v>0.8075564999999999</v>
      </c>
      <c r="AO76" s="78">
        <f t="shared" si="72"/>
        <v>0.85807679999999997</v>
      </c>
      <c r="AP76" s="78">
        <f t="shared" si="52"/>
        <v>0.75634559999999995</v>
      </c>
      <c r="AQ76" s="78">
        <f t="shared" si="73"/>
        <v>0.74386560000000002</v>
      </c>
      <c r="AR76" s="78">
        <f t="shared" si="53"/>
        <v>0.70261439999999997</v>
      </c>
      <c r="AS76" s="78">
        <f t="shared" si="54"/>
        <v>0.85807679999999997</v>
      </c>
      <c r="AT76" s="78">
        <f t="shared" si="55"/>
        <v>0.75634559999999995</v>
      </c>
      <c r="AU76" s="78">
        <v>0.96396999999999999</v>
      </c>
      <c r="AV76" s="78">
        <v>0.85992000000000002</v>
      </c>
      <c r="AW76" s="78">
        <v>0.86578999999999995</v>
      </c>
      <c r="AX76" s="78">
        <v>0.83587999999999996</v>
      </c>
      <c r="AY76" s="78">
        <f t="shared" si="74"/>
        <v>0.96396999999999999</v>
      </c>
      <c r="AZ76" s="78">
        <f t="shared" si="75"/>
        <v>0.85992000000000002</v>
      </c>
      <c r="BA76" s="78">
        <f t="shared" si="76"/>
        <v>0.9880692499999999</v>
      </c>
      <c r="BB76" s="78">
        <f t="shared" si="56"/>
        <v>0.88141799999999992</v>
      </c>
      <c r="BC76" s="78">
        <f t="shared" si="77"/>
        <v>0.88743474999999983</v>
      </c>
      <c r="BD76" s="78">
        <f t="shared" si="57"/>
        <v>0.8567769999999999</v>
      </c>
      <c r="BE76" s="78">
        <f t="shared" si="58"/>
        <v>0.9880692499999999</v>
      </c>
      <c r="BF76" s="78">
        <f t="shared" si="59"/>
        <v>0.88141799999999992</v>
      </c>
      <c r="BG76" s="78">
        <f t="shared" si="78"/>
        <v>0.92541119999999999</v>
      </c>
      <c r="BH76" s="78">
        <f t="shared" si="60"/>
        <v>0.82552320000000001</v>
      </c>
      <c r="BI76" s="78">
        <f t="shared" si="79"/>
        <v>0.83115839999999996</v>
      </c>
      <c r="BJ76" s="78">
        <f t="shared" si="61"/>
        <v>0.80244479999999996</v>
      </c>
      <c r="BK76" s="78">
        <f t="shared" si="62"/>
        <v>0.92541119999999999</v>
      </c>
      <c r="BL76" s="78">
        <f t="shared" si="63"/>
        <v>0.82552320000000001</v>
      </c>
      <c r="BM76" s="78">
        <v>0.81897369999999992</v>
      </c>
      <c r="BN76" s="78">
        <v>0.73396780000000006</v>
      </c>
      <c r="BO76" s="78">
        <v>1.030505</v>
      </c>
      <c r="BP76" s="78">
        <v>0.94352809999999998</v>
      </c>
    </row>
    <row r="77" spans="1:68" ht="13" x14ac:dyDescent="0.25">
      <c r="A77" s="60">
        <v>1</v>
      </c>
      <c r="B77" s="55">
        <v>69</v>
      </c>
      <c r="C77" s="61">
        <v>0.82029680686684525</v>
      </c>
      <c r="D77" s="61">
        <v>0.85844669532428519</v>
      </c>
      <c r="E77" s="81">
        <v>0.83296223901072708</v>
      </c>
      <c r="F77" s="81">
        <v>0.87402287264909406</v>
      </c>
      <c r="G77" s="78">
        <v>0.79956430000000001</v>
      </c>
      <c r="H77" s="78">
        <v>0.90498630000000002</v>
      </c>
      <c r="I77" s="78">
        <v>0.85724529999999999</v>
      </c>
      <c r="J77" s="78">
        <v>0.83413430000000011</v>
      </c>
      <c r="K77" s="78">
        <v>1.1219218</v>
      </c>
      <c r="L77" s="78">
        <v>1.0211570000000001</v>
      </c>
      <c r="M77" s="78">
        <v>0.99069429999999992</v>
      </c>
      <c r="N77" s="78">
        <v>0.90171559999999995</v>
      </c>
      <c r="O77" s="78">
        <v>1.1219218</v>
      </c>
      <c r="P77" s="78">
        <v>1.0211570000000001</v>
      </c>
      <c r="Q77" s="78">
        <f t="shared" si="64"/>
        <v>1.1499698449999998</v>
      </c>
      <c r="R77" s="78">
        <f t="shared" si="40"/>
        <v>1.046685925</v>
      </c>
      <c r="S77" s="78">
        <f t="shared" si="65"/>
        <v>1.0154616574999997</v>
      </c>
      <c r="T77" s="78">
        <f t="shared" si="41"/>
        <v>0.92425848999999982</v>
      </c>
      <c r="U77" s="78">
        <f t="shared" si="42"/>
        <v>1.1499698449999998</v>
      </c>
      <c r="V77" s="78">
        <f t="shared" si="43"/>
        <v>1.046685925</v>
      </c>
      <c r="W77" s="78">
        <f t="shared" si="66"/>
        <v>1.0770449279999998</v>
      </c>
      <c r="X77" s="78">
        <f t="shared" si="44"/>
        <v>0.98031072000000008</v>
      </c>
      <c r="Y77" s="78">
        <f t="shared" si="67"/>
        <v>0.95106652799999991</v>
      </c>
      <c r="Z77" s="78">
        <f t="shared" si="45"/>
        <v>0.86564697599999996</v>
      </c>
      <c r="AA77" s="78">
        <f t="shared" si="46"/>
        <v>1.0770449279999998</v>
      </c>
      <c r="AB77" s="78">
        <f t="shared" si="47"/>
        <v>0.98031072000000008</v>
      </c>
      <c r="AC77" s="78">
        <v>0.91064999999999996</v>
      </c>
      <c r="AD77" s="78">
        <v>0.79732000000000003</v>
      </c>
      <c r="AE77" s="78">
        <v>0.79066999999999998</v>
      </c>
      <c r="AF77" s="78">
        <v>0.74870999999999999</v>
      </c>
      <c r="AG77" s="78">
        <f t="shared" si="68"/>
        <v>0.91064999999999996</v>
      </c>
      <c r="AH77" s="78">
        <f t="shared" si="69"/>
        <v>0.79732000000000003</v>
      </c>
      <c r="AI77" s="78">
        <f t="shared" si="70"/>
        <v>0.93341624999999984</v>
      </c>
      <c r="AJ77" s="78">
        <f t="shared" si="48"/>
        <v>0.81725300000000001</v>
      </c>
      <c r="AK77" s="78">
        <f t="shared" si="71"/>
        <v>0.81043674999999993</v>
      </c>
      <c r="AL77" s="78">
        <f t="shared" si="49"/>
        <v>0.76742774999999996</v>
      </c>
      <c r="AM77" s="78">
        <f t="shared" si="50"/>
        <v>0.93341624999999984</v>
      </c>
      <c r="AN77" s="78">
        <f t="shared" si="51"/>
        <v>0.81725300000000001</v>
      </c>
      <c r="AO77" s="78">
        <f t="shared" si="72"/>
        <v>0.87422399999999989</v>
      </c>
      <c r="AP77" s="78">
        <f t="shared" si="52"/>
        <v>0.76542719999999997</v>
      </c>
      <c r="AQ77" s="78">
        <f t="shared" si="73"/>
        <v>0.75904319999999992</v>
      </c>
      <c r="AR77" s="78">
        <f t="shared" si="53"/>
        <v>0.7187616</v>
      </c>
      <c r="AS77" s="78">
        <f t="shared" si="54"/>
        <v>0.87422399999999989</v>
      </c>
      <c r="AT77" s="78">
        <f t="shared" si="55"/>
        <v>0.76542719999999997</v>
      </c>
      <c r="AU77" s="78">
        <v>0.98192000000000002</v>
      </c>
      <c r="AV77" s="78">
        <v>0.87100999999999995</v>
      </c>
      <c r="AW77" s="78">
        <v>0.89115999999999995</v>
      </c>
      <c r="AX77" s="78">
        <v>0.84916999999999998</v>
      </c>
      <c r="AY77" s="78">
        <f t="shared" si="74"/>
        <v>0.98192000000000002</v>
      </c>
      <c r="AZ77" s="78">
        <f t="shared" si="75"/>
        <v>0.87100999999999995</v>
      </c>
      <c r="BA77" s="78">
        <f t="shared" si="76"/>
        <v>1.0064679999999999</v>
      </c>
      <c r="BB77" s="78">
        <f t="shared" si="56"/>
        <v>0.89278524999999986</v>
      </c>
      <c r="BC77" s="78">
        <f t="shared" si="77"/>
        <v>0.91343899999999989</v>
      </c>
      <c r="BD77" s="78">
        <f t="shared" si="57"/>
        <v>0.87039924999999996</v>
      </c>
      <c r="BE77" s="78">
        <f t="shared" si="58"/>
        <v>1.0064679999999999</v>
      </c>
      <c r="BF77" s="78">
        <f t="shared" si="59"/>
        <v>0.89278524999999986</v>
      </c>
      <c r="BG77" s="78">
        <f t="shared" si="78"/>
        <v>0.94264320000000001</v>
      </c>
      <c r="BH77" s="78">
        <f t="shared" si="60"/>
        <v>0.83616959999999996</v>
      </c>
      <c r="BI77" s="78">
        <f t="shared" si="79"/>
        <v>0.85551359999999987</v>
      </c>
      <c r="BJ77" s="78">
        <f t="shared" si="61"/>
        <v>0.81520319999999991</v>
      </c>
      <c r="BK77" s="78">
        <f t="shared" si="62"/>
        <v>0.94264320000000001</v>
      </c>
      <c r="BL77" s="78">
        <f t="shared" si="63"/>
        <v>0.83616959999999996</v>
      </c>
      <c r="BM77" s="78">
        <v>0.83431700000000009</v>
      </c>
      <c r="BN77" s="78">
        <v>0.74374359999999995</v>
      </c>
      <c r="BO77" s="78">
        <v>1.0563080499999999</v>
      </c>
      <c r="BP77" s="78">
        <v>0.96143630000000002</v>
      </c>
    </row>
    <row r="78" spans="1:68" ht="13" x14ac:dyDescent="0.25">
      <c r="A78" s="60">
        <v>1</v>
      </c>
      <c r="B78" s="55">
        <v>70</v>
      </c>
      <c r="C78" s="61">
        <v>0.83457649516048071</v>
      </c>
      <c r="D78" s="61">
        <v>0.90384647165267362</v>
      </c>
      <c r="E78" s="81">
        <v>0.8473985066271652</v>
      </c>
      <c r="F78" s="81">
        <v>0.91992367921106055</v>
      </c>
      <c r="G78" s="78">
        <v>0.8296983</v>
      </c>
      <c r="H78" s="78">
        <v>0.98970089999999999</v>
      </c>
      <c r="I78" s="78">
        <v>0.85564040000000008</v>
      </c>
      <c r="J78" s="78">
        <v>0.84038579999999996</v>
      </c>
      <c r="K78" s="78">
        <v>1.1449590999999999</v>
      </c>
      <c r="L78" s="78">
        <v>1.0408455999999999</v>
      </c>
      <c r="M78" s="78">
        <v>1.011037</v>
      </c>
      <c r="N78" s="78">
        <v>0.91910120000000006</v>
      </c>
      <c r="O78" s="78">
        <v>1.1449590999999999</v>
      </c>
      <c r="P78" s="78">
        <v>1.0408455999999999</v>
      </c>
      <c r="Q78" s="78">
        <f t="shared" si="64"/>
        <v>1.1735830774999998</v>
      </c>
      <c r="R78" s="78">
        <f t="shared" si="40"/>
        <v>1.0668667399999998</v>
      </c>
      <c r="S78" s="78">
        <f t="shared" si="65"/>
        <v>1.0363129249999998</v>
      </c>
      <c r="T78" s="78">
        <f t="shared" si="41"/>
        <v>0.94207872999999998</v>
      </c>
      <c r="U78" s="78">
        <f t="shared" si="42"/>
        <v>1.1735830774999998</v>
      </c>
      <c r="V78" s="78">
        <f t="shared" si="43"/>
        <v>1.0668667399999998</v>
      </c>
      <c r="W78" s="78">
        <f t="shared" si="66"/>
        <v>1.0991607359999997</v>
      </c>
      <c r="X78" s="78">
        <f t="shared" si="44"/>
        <v>0.99921177599999988</v>
      </c>
      <c r="Y78" s="78">
        <f t="shared" si="67"/>
        <v>0.97059551999999993</v>
      </c>
      <c r="Z78" s="78">
        <f t="shared" si="45"/>
        <v>0.88233715200000007</v>
      </c>
      <c r="AA78" s="78">
        <f t="shared" si="46"/>
        <v>1.0991607359999997</v>
      </c>
      <c r="AB78" s="78">
        <f t="shared" si="47"/>
        <v>0.99921177599999988</v>
      </c>
      <c r="AC78" s="78">
        <v>0.92545999999999995</v>
      </c>
      <c r="AD78" s="78">
        <v>0.80884999999999996</v>
      </c>
      <c r="AE78" s="78">
        <v>0.80354000000000003</v>
      </c>
      <c r="AF78" s="78">
        <v>0.76665000000000005</v>
      </c>
      <c r="AG78" s="78">
        <f t="shared" si="68"/>
        <v>0.92545999999999995</v>
      </c>
      <c r="AH78" s="78">
        <f t="shared" si="69"/>
        <v>0.80884999999999996</v>
      </c>
      <c r="AI78" s="78">
        <f t="shared" si="70"/>
        <v>0.94859649999999984</v>
      </c>
      <c r="AJ78" s="78">
        <f t="shared" si="48"/>
        <v>0.82907124999999993</v>
      </c>
      <c r="AK78" s="78">
        <f t="shared" si="71"/>
        <v>0.82362849999999999</v>
      </c>
      <c r="AL78" s="78">
        <f t="shared" si="49"/>
        <v>0.78581624999999999</v>
      </c>
      <c r="AM78" s="78">
        <f t="shared" si="50"/>
        <v>0.94859649999999984</v>
      </c>
      <c r="AN78" s="78">
        <f t="shared" si="51"/>
        <v>0.82907124999999993</v>
      </c>
      <c r="AO78" s="78">
        <f t="shared" si="72"/>
        <v>0.88844159999999994</v>
      </c>
      <c r="AP78" s="78">
        <f t="shared" si="52"/>
        <v>0.77649599999999996</v>
      </c>
      <c r="AQ78" s="78">
        <f t="shared" si="73"/>
        <v>0.77139840000000004</v>
      </c>
      <c r="AR78" s="78">
        <f t="shared" si="53"/>
        <v>0.73598399999999997</v>
      </c>
      <c r="AS78" s="78">
        <f t="shared" si="54"/>
        <v>0.88844159999999994</v>
      </c>
      <c r="AT78" s="78">
        <f t="shared" si="55"/>
        <v>0.77649599999999996</v>
      </c>
      <c r="AU78" s="78">
        <v>0.99963999999999997</v>
      </c>
      <c r="AV78" s="78">
        <v>0.88356000000000001</v>
      </c>
      <c r="AW78" s="78">
        <v>0.90119000000000005</v>
      </c>
      <c r="AX78" s="78">
        <v>0.86299999999999999</v>
      </c>
      <c r="AY78" s="78">
        <f t="shared" si="74"/>
        <v>0.99963999999999997</v>
      </c>
      <c r="AZ78" s="78">
        <f t="shared" si="75"/>
        <v>0.88356000000000001</v>
      </c>
      <c r="BA78" s="78">
        <f t="shared" si="76"/>
        <v>1.0246309999999998</v>
      </c>
      <c r="BB78" s="78">
        <f t="shared" si="56"/>
        <v>0.90564899999999993</v>
      </c>
      <c r="BC78" s="78">
        <f t="shared" si="77"/>
        <v>0.92371974999999995</v>
      </c>
      <c r="BD78" s="78">
        <f t="shared" si="57"/>
        <v>0.88457499999999989</v>
      </c>
      <c r="BE78" s="78">
        <f t="shared" si="58"/>
        <v>1.0246309999999998</v>
      </c>
      <c r="BF78" s="78">
        <f t="shared" si="59"/>
        <v>0.90564899999999993</v>
      </c>
      <c r="BG78" s="78">
        <f t="shared" si="78"/>
        <v>0.95965439999999991</v>
      </c>
      <c r="BH78" s="78">
        <f t="shared" si="60"/>
        <v>0.84821760000000002</v>
      </c>
      <c r="BI78" s="78">
        <f t="shared" si="79"/>
        <v>0.86514239999999998</v>
      </c>
      <c r="BJ78" s="78">
        <f t="shared" si="61"/>
        <v>0.82847999999999999</v>
      </c>
      <c r="BK78" s="78">
        <f t="shared" si="62"/>
        <v>0.95965439999999991</v>
      </c>
      <c r="BL78" s="78">
        <f t="shared" si="63"/>
        <v>0.84821760000000002</v>
      </c>
      <c r="BM78" s="78">
        <v>0.84675839999999991</v>
      </c>
      <c r="BN78" s="78">
        <v>0.75470539999999997</v>
      </c>
      <c r="BO78" s="78">
        <v>1.0779980499999999</v>
      </c>
      <c r="BP78" s="78">
        <v>0.97997339999999999</v>
      </c>
    </row>
    <row r="79" spans="1:68" ht="13" x14ac:dyDescent="0.25">
      <c r="A79" s="60">
        <v>1</v>
      </c>
      <c r="B79" s="55">
        <v>71</v>
      </c>
      <c r="C79" s="61">
        <v>0.83252422982954044</v>
      </c>
      <c r="D79" s="61">
        <v>0.90902287050879726</v>
      </c>
      <c r="E79" s="81">
        <v>0.84530603367093837</v>
      </c>
      <c r="F79" s="81">
        <v>0.92523652667583078</v>
      </c>
      <c r="G79" s="78">
        <v>0.82986009999999988</v>
      </c>
      <c r="H79" s="78">
        <v>0.99030190000000007</v>
      </c>
      <c r="I79" s="78">
        <v>0.85129180000000004</v>
      </c>
      <c r="J79" s="78">
        <v>0.85040459999999995</v>
      </c>
      <c r="K79" s="78">
        <v>1.1627654000000001</v>
      </c>
      <c r="L79" s="78">
        <v>1.0614794000000001</v>
      </c>
      <c r="M79" s="78">
        <v>1.0267605</v>
      </c>
      <c r="N79" s="78">
        <v>0.93732159999999998</v>
      </c>
      <c r="O79" s="78">
        <v>1.1627654000000001</v>
      </c>
      <c r="P79" s="78">
        <v>1.0614794000000001</v>
      </c>
      <c r="Q79" s="78">
        <f t="shared" si="64"/>
        <v>1.1918345349999999</v>
      </c>
      <c r="R79" s="78">
        <f t="shared" si="40"/>
        <v>1.088016385</v>
      </c>
      <c r="S79" s="78">
        <f t="shared" si="65"/>
        <v>1.0524295124999998</v>
      </c>
      <c r="T79" s="78">
        <f t="shared" si="41"/>
        <v>0.96075463999999988</v>
      </c>
      <c r="U79" s="78">
        <f t="shared" si="42"/>
        <v>1.1918345349999999</v>
      </c>
      <c r="V79" s="78">
        <f t="shared" si="43"/>
        <v>1.088016385</v>
      </c>
      <c r="W79" s="78">
        <f t="shared" si="66"/>
        <v>1.1162547840000001</v>
      </c>
      <c r="X79" s="78">
        <f t="shared" si="44"/>
        <v>1.0190202240000001</v>
      </c>
      <c r="Y79" s="78">
        <f t="shared" si="67"/>
        <v>0.98569007999999991</v>
      </c>
      <c r="Z79" s="78">
        <f t="shared" si="45"/>
        <v>0.89982873599999991</v>
      </c>
      <c r="AA79" s="78">
        <f t="shared" si="46"/>
        <v>1.1162547840000001</v>
      </c>
      <c r="AB79" s="78">
        <f t="shared" si="47"/>
        <v>1.0190202240000001</v>
      </c>
      <c r="AC79" s="78">
        <v>0.93822000000000005</v>
      </c>
      <c r="AD79" s="78">
        <v>0.82303000000000004</v>
      </c>
      <c r="AE79" s="78">
        <v>0.81354000000000004</v>
      </c>
      <c r="AF79" s="78">
        <v>0.78520000000000001</v>
      </c>
      <c r="AG79" s="78">
        <f t="shared" si="68"/>
        <v>0.93822000000000005</v>
      </c>
      <c r="AH79" s="78">
        <f t="shared" si="69"/>
        <v>0.82303000000000004</v>
      </c>
      <c r="AI79" s="78">
        <f t="shared" si="70"/>
        <v>0.96167550000000002</v>
      </c>
      <c r="AJ79" s="78">
        <f t="shared" si="48"/>
        <v>0.84360574999999993</v>
      </c>
      <c r="AK79" s="78">
        <f t="shared" si="71"/>
        <v>0.83387849999999997</v>
      </c>
      <c r="AL79" s="78">
        <f t="shared" si="49"/>
        <v>0.80482999999999993</v>
      </c>
      <c r="AM79" s="78">
        <f t="shared" si="50"/>
        <v>0.96167550000000002</v>
      </c>
      <c r="AN79" s="78">
        <f t="shared" si="51"/>
        <v>0.84360574999999993</v>
      </c>
      <c r="AO79" s="78">
        <f t="shared" si="72"/>
        <v>0.90069120000000003</v>
      </c>
      <c r="AP79" s="78">
        <f t="shared" si="52"/>
        <v>0.79010880000000006</v>
      </c>
      <c r="AQ79" s="78">
        <f t="shared" si="73"/>
        <v>0.78099839999999998</v>
      </c>
      <c r="AR79" s="78">
        <f t="shared" si="53"/>
        <v>0.75379200000000002</v>
      </c>
      <c r="AS79" s="78">
        <f t="shared" si="54"/>
        <v>0.90069120000000003</v>
      </c>
      <c r="AT79" s="78">
        <f t="shared" si="55"/>
        <v>0.79010880000000006</v>
      </c>
      <c r="AU79" s="78">
        <v>1.0143800000000001</v>
      </c>
      <c r="AV79" s="78">
        <v>0.89795999999999998</v>
      </c>
      <c r="AW79" s="78">
        <v>0.91776999999999997</v>
      </c>
      <c r="AX79" s="78">
        <v>0.88558999999999999</v>
      </c>
      <c r="AY79" s="78">
        <f t="shared" si="74"/>
        <v>1.0143800000000001</v>
      </c>
      <c r="AZ79" s="78">
        <f t="shared" si="75"/>
        <v>0.89795999999999998</v>
      </c>
      <c r="BA79" s="78">
        <f t="shared" si="76"/>
        <v>1.0397395</v>
      </c>
      <c r="BB79" s="78">
        <f t="shared" si="56"/>
        <v>0.92040899999999992</v>
      </c>
      <c r="BC79" s="78">
        <f t="shared" si="77"/>
        <v>0.94071424999999986</v>
      </c>
      <c r="BD79" s="78">
        <f t="shared" si="57"/>
        <v>0.90772974999999989</v>
      </c>
      <c r="BE79" s="78">
        <f t="shared" si="58"/>
        <v>1.0397395</v>
      </c>
      <c r="BF79" s="78">
        <f t="shared" si="59"/>
        <v>0.92040899999999992</v>
      </c>
      <c r="BG79" s="78">
        <f t="shared" si="78"/>
        <v>0.97380480000000003</v>
      </c>
      <c r="BH79" s="78">
        <f t="shared" si="60"/>
        <v>0.86204159999999996</v>
      </c>
      <c r="BI79" s="78">
        <f t="shared" si="79"/>
        <v>0.88105919999999993</v>
      </c>
      <c r="BJ79" s="78">
        <f t="shared" si="61"/>
        <v>0.85016639999999999</v>
      </c>
      <c r="BK79" s="78">
        <f t="shared" si="62"/>
        <v>0.97380480000000003</v>
      </c>
      <c r="BL79" s="78">
        <f t="shared" si="63"/>
        <v>0.86204159999999996</v>
      </c>
      <c r="BM79" s="78">
        <v>0.85616490000000001</v>
      </c>
      <c r="BN79" s="78">
        <v>0.76758930000000003</v>
      </c>
      <c r="BO79" s="78">
        <v>1.09476295</v>
      </c>
      <c r="BP79" s="78">
        <v>0.99940050000000002</v>
      </c>
    </row>
    <row r="80" spans="1:68" ht="13" x14ac:dyDescent="0.25">
      <c r="A80" s="60">
        <v>1</v>
      </c>
      <c r="B80" s="55">
        <v>72</v>
      </c>
      <c r="C80" s="61">
        <v>0.82966995737312133</v>
      </c>
      <c r="D80" s="61">
        <v>0.91590296285059114</v>
      </c>
      <c r="E80" s="81">
        <v>0.84239588199334892</v>
      </c>
      <c r="F80" s="81">
        <v>0.93230532948719114</v>
      </c>
      <c r="G80" s="78">
        <v>0.8300746</v>
      </c>
      <c r="H80" s="78">
        <v>0.99026099999999995</v>
      </c>
      <c r="I80" s="78">
        <v>0.84525459999999997</v>
      </c>
      <c r="J80" s="78">
        <v>0.86458340000000011</v>
      </c>
      <c r="K80" s="78">
        <v>1.1754521</v>
      </c>
      <c r="L80" s="78">
        <v>1.0825588000000002</v>
      </c>
      <c r="M80" s="78">
        <v>1.0379632999999999</v>
      </c>
      <c r="N80" s="78">
        <v>0.95593539999999999</v>
      </c>
      <c r="O80" s="78">
        <v>1.1754521</v>
      </c>
      <c r="P80" s="78">
        <v>1.0825588000000002</v>
      </c>
      <c r="Q80" s="78">
        <f t="shared" si="64"/>
        <v>1.2048384024999998</v>
      </c>
      <c r="R80" s="78">
        <f t="shared" si="40"/>
        <v>1.1096227700000001</v>
      </c>
      <c r="S80" s="78">
        <f t="shared" si="65"/>
        <v>1.0639123824999999</v>
      </c>
      <c r="T80" s="78">
        <f t="shared" si="41"/>
        <v>0.97983378499999996</v>
      </c>
      <c r="U80" s="78">
        <f t="shared" si="42"/>
        <v>1.2048384024999998</v>
      </c>
      <c r="V80" s="78">
        <f t="shared" si="43"/>
        <v>1.1096227700000001</v>
      </c>
      <c r="W80" s="78">
        <f t="shared" si="66"/>
        <v>1.1284340159999999</v>
      </c>
      <c r="X80" s="78">
        <f t="shared" si="44"/>
        <v>1.0392564480000002</v>
      </c>
      <c r="Y80" s="78">
        <f t="shared" si="67"/>
        <v>0.99644476799999993</v>
      </c>
      <c r="Z80" s="78">
        <f t="shared" si="45"/>
        <v>0.91769798399999991</v>
      </c>
      <c r="AA80" s="78">
        <f t="shared" si="46"/>
        <v>1.1284340159999999</v>
      </c>
      <c r="AB80" s="78">
        <f t="shared" si="47"/>
        <v>1.0392564480000002</v>
      </c>
      <c r="AC80" s="78">
        <v>0.94928999999999997</v>
      </c>
      <c r="AD80" s="78">
        <v>0.83913000000000004</v>
      </c>
      <c r="AE80" s="78">
        <v>0.82125000000000004</v>
      </c>
      <c r="AF80" s="78">
        <v>0.80332999999999999</v>
      </c>
      <c r="AG80" s="78">
        <f t="shared" si="68"/>
        <v>0.94928999999999997</v>
      </c>
      <c r="AH80" s="78">
        <f t="shared" si="69"/>
        <v>0.83913000000000004</v>
      </c>
      <c r="AI80" s="78">
        <f t="shared" si="70"/>
        <v>0.97302224999999987</v>
      </c>
      <c r="AJ80" s="78">
        <f t="shared" si="48"/>
        <v>0.86010825000000002</v>
      </c>
      <c r="AK80" s="78">
        <f t="shared" si="71"/>
        <v>0.84178124999999993</v>
      </c>
      <c r="AL80" s="78">
        <f t="shared" si="49"/>
        <v>0.82341324999999987</v>
      </c>
      <c r="AM80" s="78">
        <f t="shared" si="50"/>
        <v>0.97302224999999987</v>
      </c>
      <c r="AN80" s="78">
        <f t="shared" si="51"/>
        <v>0.86010825000000002</v>
      </c>
      <c r="AO80" s="78">
        <f t="shared" si="72"/>
        <v>0.91131839999999997</v>
      </c>
      <c r="AP80" s="78">
        <f t="shared" si="52"/>
        <v>0.80556479999999997</v>
      </c>
      <c r="AQ80" s="78">
        <f t="shared" si="73"/>
        <v>0.78839999999999999</v>
      </c>
      <c r="AR80" s="78">
        <f t="shared" si="53"/>
        <v>0.77119680000000002</v>
      </c>
      <c r="AS80" s="78">
        <f t="shared" si="54"/>
        <v>0.91131839999999997</v>
      </c>
      <c r="AT80" s="78">
        <f t="shared" si="55"/>
        <v>0.80556479999999997</v>
      </c>
      <c r="AU80" s="78">
        <v>1.0307200000000001</v>
      </c>
      <c r="AV80" s="78">
        <v>0.91339999999999999</v>
      </c>
      <c r="AW80" s="78">
        <v>0.92452999999999996</v>
      </c>
      <c r="AX80" s="78">
        <v>0.90558000000000005</v>
      </c>
      <c r="AY80" s="78">
        <f t="shared" si="74"/>
        <v>1.0307200000000001</v>
      </c>
      <c r="AZ80" s="78">
        <f t="shared" si="75"/>
        <v>0.91339999999999999</v>
      </c>
      <c r="BA80" s="78">
        <f t="shared" si="76"/>
        <v>1.0564880000000001</v>
      </c>
      <c r="BB80" s="78">
        <f t="shared" si="56"/>
        <v>0.93623499999999993</v>
      </c>
      <c r="BC80" s="78">
        <f t="shared" si="77"/>
        <v>0.94764324999999983</v>
      </c>
      <c r="BD80" s="78">
        <f t="shared" si="57"/>
        <v>0.92821949999999998</v>
      </c>
      <c r="BE80" s="78">
        <f t="shared" si="58"/>
        <v>1.0564880000000001</v>
      </c>
      <c r="BF80" s="78">
        <f t="shared" si="59"/>
        <v>0.93623499999999993</v>
      </c>
      <c r="BG80" s="78">
        <f t="shared" si="78"/>
        <v>0.98949120000000002</v>
      </c>
      <c r="BH80" s="78">
        <f t="shared" si="60"/>
        <v>0.87686399999999998</v>
      </c>
      <c r="BI80" s="78">
        <f t="shared" si="79"/>
        <v>0.88754879999999992</v>
      </c>
      <c r="BJ80" s="78">
        <f t="shared" si="61"/>
        <v>0.86935680000000004</v>
      </c>
      <c r="BK80" s="78">
        <f t="shared" si="62"/>
        <v>0.98949120000000002</v>
      </c>
      <c r="BL80" s="78">
        <f t="shared" si="63"/>
        <v>0.87686399999999998</v>
      </c>
      <c r="BM80" s="78">
        <v>0.86288670000000001</v>
      </c>
      <c r="BN80" s="78">
        <v>0.78227119999999994</v>
      </c>
      <c r="BO80" s="78">
        <v>1.1067076999999998</v>
      </c>
      <c r="BP80" s="78">
        <v>1.0192471000000001</v>
      </c>
    </row>
    <row r="81" spans="1:68" ht="13" x14ac:dyDescent="0.25">
      <c r="A81" s="60">
        <v>1</v>
      </c>
      <c r="B81" s="55">
        <v>73</v>
      </c>
      <c r="C81" s="61">
        <v>0.82670975743679664</v>
      </c>
      <c r="D81" s="61">
        <v>0.92456247438090833</v>
      </c>
      <c r="E81" s="81">
        <v>0.83937814200265914</v>
      </c>
      <c r="F81" s="81">
        <v>0.94120323870459099</v>
      </c>
      <c r="G81" s="78">
        <v>0.83019229999999988</v>
      </c>
      <c r="H81" s="78">
        <v>0.99010909999999996</v>
      </c>
      <c r="I81" s="78">
        <v>0.83909999999999996</v>
      </c>
      <c r="J81" s="78">
        <v>0.88253270000000006</v>
      </c>
      <c r="K81" s="78">
        <v>1.1845064000000001</v>
      </c>
      <c r="L81" s="78">
        <v>1.1039634999999999</v>
      </c>
      <c r="M81" s="78">
        <v>1.0459585</v>
      </c>
      <c r="N81" s="78">
        <v>0.97483649999999999</v>
      </c>
      <c r="O81" s="78">
        <v>1.1845064000000001</v>
      </c>
      <c r="P81" s="78">
        <v>1.1039634999999999</v>
      </c>
      <c r="Q81" s="78">
        <f t="shared" si="64"/>
        <v>1.21411906</v>
      </c>
      <c r="R81" s="78">
        <f t="shared" si="40"/>
        <v>1.1315625874999997</v>
      </c>
      <c r="S81" s="78">
        <f t="shared" si="65"/>
        <v>1.0721074625</v>
      </c>
      <c r="T81" s="78">
        <f t="shared" si="41"/>
        <v>0.99920741249999989</v>
      </c>
      <c r="U81" s="78">
        <f t="shared" si="42"/>
        <v>1.21411906</v>
      </c>
      <c r="V81" s="78">
        <f t="shared" si="43"/>
        <v>1.1315625874999997</v>
      </c>
      <c r="W81" s="78">
        <f t="shared" si="66"/>
        <v>1.137126144</v>
      </c>
      <c r="X81" s="78">
        <f t="shared" si="44"/>
        <v>1.0598049599999999</v>
      </c>
      <c r="Y81" s="78">
        <f t="shared" si="67"/>
        <v>1.00412016</v>
      </c>
      <c r="Z81" s="78">
        <f t="shared" si="45"/>
        <v>0.93584303999999996</v>
      </c>
      <c r="AA81" s="78">
        <f t="shared" si="46"/>
        <v>1.137126144</v>
      </c>
      <c r="AB81" s="78">
        <f t="shared" si="47"/>
        <v>1.0598049599999999</v>
      </c>
      <c r="AC81" s="78">
        <v>0.95940999999999999</v>
      </c>
      <c r="AD81" s="78">
        <v>0.85550999999999999</v>
      </c>
      <c r="AE81" s="78">
        <v>0.82784999999999997</v>
      </c>
      <c r="AF81" s="78">
        <v>0.82018000000000002</v>
      </c>
      <c r="AG81" s="78">
        <f t="shared" si="68"/>
        <v>0.95940999999999999</v>
      </c>
      <c r="AH81" s="78">
        <f t="shared" si="69"/>
        <v>0.85550999999999999</v>
      </c>
      <c r="AI81" s="78">
        <f t="shared" si="70"/>
        <v>0.98339524999999994</v>
      </c>
      <c r="AJ81" s="78">
        <f t="shared" si="48"/>
        <v>0.87689774999999992</v>
      </c>
      <c r="AK81" s="78">
        <f t="shared" si="71"/>
        <v>0.84854624999999995</v>
      </c>
      <c r="AL81" s="78">
        <f t="shared" si="49"/>
        <v>0.84068449999999995</v>
      </c>
      <c r="AM81" s="78">
        <f t="shared" si="50"/>
        <v>0.98339524999999994</v>
      </c>
      <c r="AN81" s="78">
        <f t="shared" si="51"/>
        <v>0.87689774999999992</v>
      </c>
      <c r="AO81" s="78">
        <f t="shared" si="72"/>
        <v>0.9210335999999999</v>
      </c>
      <c r="AP81" s="78">
        <f t="shared" si="52"/>
        <v>0.82128959999999995</v>
      </c>
      <c r="AQ81" s="78">
        <f t="shared" si="73"/>
        <v>0.794736</v>
      </c>
      <c r="AR81" s="78">
        <f t="shared" si="53"/>
        <v>0.78737279999999998</v>
      </c>
      <c r="AS81" s="78">
        <f t="shared" si="54"/>
        <v>0.9210335999999999</v>
      </c>
      <c r="AT81" s="78">
        <f t="shared" si="55"/>
        <v>0.82128959999999995</v>
      </c>
      <c r="AU81" s="78">
        <v>1.0407599999999999</v>
      </c>
      <c r="AV81" s="78">
        <v>0.92842000000000002</v>
      </c>
      <c r="AW81" s="78">
        <v>0.93386999999999998</v>
      </c>
      <c r="AX81" s="78">
        <v>0.92161000000000004</v>
      </c>
      <c r="AY81" s="78">
        <f t="shared" si="74"/>
        <v>1.0407599999999999</v>
      </c>
      <c r="AZ81" s="78">
        <f t="shared" si="75"/>
        <v>0.92842000000000002</v>
      </c>
      <c r="BA81" s="78">
        <f t="shared" si="76"/>
        <v>1.0667789999999999</v>
      </c>
      <c r="BB81" s="78">
        <f t="shared" si="56"/>
        <v>0.95163049999999993</v>
      </c>
      <c r="BC81" s="78">
        <f t="shared" si="77"/>
        <v>0.95721674999999995</v>
      </c>
      <c r="BD81" s="78">
        <f t="shared" si="57"/>
        <v>0.94465024999999991</v>
      </c>
      <c r="BE81" s="78">
        <f t="shared" si="58"/>
        <v>1.0667789999999999</v>
      </c>
      <c r="BF81" s="78">
        <f t="shared" si="59"/>
        <v>0.95163049999999993</v>
      </c>
      <c r="BG81" s="78">
        <f t="shared" si="78"/>
        <v>0.99912959999999984</v>
      </c>
      <c r="BH81" s="78">
        <f t="shared" si="60"/>
        <v>0.89128319999999994</v>
      </c>
      <c r="BI81" s="78">
        <f t="shared" si="79"/>
        <v>0.89651519999999996</v>
      </c>
      <c r="BJ81" s="78">
        <f t="shared" si="61"/>
        <v>0.88474560000000002</v>
      </c>
      <c r="BK81" s="78">
        <f t="shared" si="62"/>
        <v>0.99912959999999984</v>
      </c>
      <c r="BL81" s="78">
        <f t="shared" si="63"/>
        <v>0.89128319999999994</v>
      </c>
      <c r="BM81" s="78">
        <v>0.86788470000000006</v>
      </c>
      <c r="BN81" s="78">
        <v>0.79815799999999992</v>
      </c>
      <c r="BO81" s="78">
        <v>1.1152324500000002</v>
      </c>
      <c r="BP81" s="78">
        <v>1.0393999999999999</v>
      </c>
    </row>
    <row r="82" spans="1:68" ht="13" x14ac:dyDescent="0.25">
      <c r="A82" s="60">
        <v>1</v>
      </c>
      <c r="B82" s="55">
        <v>74</v>
      </c>
      <c r="C82" s="61">
        <v>0.82435606225409785</v>
      </c>
      <c r="D82" s="61">
        <v>0.93444447652009011</v>
      </c>
      <c r="E82" s="81">
        <v>0.83697966752417952</v>
      </c>
      <c r="F82" s="81">
        <v>0.9513534518470077</v>
      </c>
      <c r="G82" s="78">
        <v>0.83003929999999992</v>
      </c>
      <c r="H82" s="78">
        <v>0.99037439999999999</v>
      </c>
      <c r="I82" s="78">
        <v>0.83445780000000003</v>
      </c>
      <c r="J82" s="78">
        <v>0.90256519999999996</v>
      </c>
      <c r="K82" s="78">
        <v>1.1909482</v>
      </c>
      <c r="L82" s="78">
        <v>1.1228800999999999</v>
      </c>
      <c r="M82" s="78">
        <v>1.0516468000000001</v>
      </c>
      <c r="N82" s="78">
        <v>0.99154049999999994</v>
      </c>
      <c r="O82" s="78">
        <v>1.1909482</v>
      </c>
      <c r="P82" s="78">
        <v>1.1228800999999999</v>
      </c>
      <c r="Q82" s="78">
        <f t="shared" si="64"/>
        <v>1.220721905</v>
      </c>
      <c r="R82" s="78">
        <f t="shared" si="40"/>
        <v>1.1509521024999998</v>
      </c>
      <c r="S82" s="78">
        <f t="shared" si="65"/>
        <v>1.07793797</v>
      </c>
      <c r="T82" s="78">
        <f t="shared" si="41"/>
        <v>1.0163290124999997</v>
      </c>
      <c r="U82" s="78">
        <f t="shared" si="42"/>
        <v>1.220721905</v>
      </c>
      <c r="V82" s="78">
        <f t="shared" si="43"/>
        <v>1.1509521024999998</v>
      </c>
      <c r="W82" s="78">
        <f t="shared" si="66"/>
        <v>1.1433102719999999</v>
      </c>
      <c r="X82" s="78">
        <f t="shared" si="44"/>
        <v>1.0779648959999999</v>
      </c>
      <c r="Y82" s="78">
        <f t="shared" si="67"/>
        <v>1.0095809280000001</v>
      </c>
      <c r="Z82" s="78">
        <f t="shared" si="45"/>
        <v>0.95187887999999987</v>
      </c>
      <c r="AA82" s="78">
        <f t="shared" si="46"/>
        <v>1.1433102719999999</v>
      </c>
      <c r="AB82" s="78">
        <f t="shared" si="47"/>
        <v>1.0779648959999999</v>
      </c>
      <c r="AC82" s="78">
        <v>0.96918000000000004</v>
      </c>
      <c r="AD82" s="78">
        <v>0.86963000000000001</v>
      </c>
      <c r="AE82" s="78">
        <v>0.83472000000000002</v>
      </c>
      <c r="AF82" s="78">
        <v>0.83455999999999997</v>
      </c>
      <c r="AG82" s="78">
        <f t="shared" si="68"/>
        <v>0.96918000000000004</v>
      </c>
      <c r="AH82" s="78">
        <f t="shared" si="69"/>
        <v>0.86963000000000001</v>
      </c>
      <c r="AI82" s="78">
        <f t="shared" si="70"/>
        <v>0.99340949999999995</v>
      </c>
      <c r="AJ82" s="78">
        <f t="shared" si="48"/>
        <v>0.89137074999999999</v>
      </c>
      <c r="AK82" s="78">
        <f t="shared" si="71"/>
        <v>0.8555879999999999</v>
      </c>
      <c r="AL82" s="78">
        <f t="shared" si="49"/>
        <v>0.85542399999999985</v>
      </c>
      <c r="AM82" s="78">
        <f t="shared" si="50"/>
        <v>0.99340949999999995</v>
      </c>
      <c r="AN82" s="78">
        <f t="shared" si="51"/>
        <v>0.89137074999999999</v>
      </c>
      <c r="AO82" s="78">
        <f t="shared" si="72"/>
        <v>0.93041280000000004</v>
      </c>
      <c r="AP82" s="78">
        <f t="shared" si="52"/>
        <v>0.83484479999999994</v>
      </c>
      <c r="AQ82" s="78">
        <f t="shared" si="73"/>
        <v>0.80133120000000002</v>
      </c>
      <c r="AR82" s="78">
        <f t="shared" si="53"/>
        <v>0.80117759999999993</v>
      </c>
      <c r="AS82" s="78">
        <f t="shared" si="54"/>
        <v>0.93041280000000004</v>
      </c>
      <c r="AT82" s="78">
        <f t="shared" si="55"/>
        <v>0.83484479999999994</v>
      </c>
      <c r="AU82" s="78">
        <v>1.0500400000000001</v>
      </c>
      <c r="AV82" s="78">
        <v>0.94086000000000003</v>
      </c>
      <c r="AW82" s="78">
        <v>0.93898000000000004</v>
      </c>
      <c r="AX82" s="78">
        <v>0.93811999999999995</v>
      </c>
      <c r="AY82" s="78">
        <f t="shared" si="74"/>
        <v>1.0500400000000001</v>
      </c>
      <c r="AZ82" s="78">
        <f t="shared" si="75"/>
        <v>0.94086000000000003</v>
      </c>
      <c r="BA82" s="78">
        <f t="shared" si="76"/>
        <v>1.0762909999999999</v>
      </c>
      <c r="BB82" s="78">
        <f t="shared" si="56"/>
        <v>0.96438149999999989</v>
      </c>
      <c r="BC82" s="78">
        <f t="shared" si="77"/>
        <v>0.96245449999999999</v>
      </c>
      <c r="BD82" s="78">
        <f t="shared" si="57"/>
        <v>0.9615729999999999</v>
      </c>
      <c r="BE82" s="78">
        <f t="shared" si="58"/>
        <v>1.0762909999999999</v>
      </c>
      <c r="BF82" s="78">
        <f t="shared" si="59"/>
        <v>0.96438149999999989</v>
      </c>
      <c r="BG82" s="78">
        <f t="shared" si="78"/>
        <v>1.0080384</v>
      </c>
      <c r="BH82" s="78">
        <f t="shared" si="60"/>
        <v>0.90322559999999996</v>
      </c>
      <c r="BI82" s="78">
        <f t="shared" si="79"/>
        <v>0.90142080000000002</v>
      </c>
      <c r="BJ82" s="78">
        <f t="shared" si="61"/>
        <v>0.90059519999999993</v>
      </c>
      <c r="BK82" s="78">
        <f t="shared" si="62"/>
        <v>1.0080384</v>
      </c>
      <c r="BL82" s="78">
        <f t="shared" si="63"/>
        <v>0.90322559999999996</v>
      </c>
      <c r="BM82" s="78">
        <v>0.87231069999999999</v>
      </c>
      <c r="BN82" s="78">
        <v>0.81377869999999997</v>
      </c>
      <c r="BO82" s="78">
        <v>1.1212975000000001</v>
      </c>
      <c r="BP82" s="78">
        <v>1.0572102999999999</v>
      </c>
    </row>
    <row r="83" spans="1:68" ht="13" x14ac:dyDescent="0.25">
      <c r="A83" s="60">
        <v>1</v>
      </c>
      <c r="B83" s="55">
        <v>75</v>
      </c>
      <c r="C83" s="61">
        <v>0.82900644038072402</v>
      </c>
      <c r="D83" s="61">
        <v>0.98347473865714408</v>
      </c>
      <c r="E83" s="81">
        <v>0.84167606185096155</v>
      </c>
      <c r="F83" s="81">
        <v>1.0010416319381288</v>
      </c>
      <c r="G83" s="78">
        <v>0.84111559999999996</v>
      </c>
      <c r="H83" s="78">
        <v>1.0685232</v>
      </c>
      <c r="I83" s="78">
        <v>0.8326481</v>
      </c>
      <c r="J83" s="78">
        <v>0.92302210000000007</v>
      </c>
      <c r="K83" s="78">
        <v>1.1958648999999999</v>
      </c>
      <c r="L83" s="78">
        <v>1.1376674</v>
      </c>
      <c r="M83" s="78">
        <v>1.0559885</v>
      </c>
      <c r="N83" s="78">
        <v>1.0045980999999999</v>
      </c>
      <c r="O83" s="78">
        <v>1.1958648999999999</v>
      </c>
      <c r="P83" s="78">
        <v>1.1376674</v>
      </c>
      <c r="Q83" s="78">
        <f t="shared" si="64"/>
        <v>1.2257615224999998</v>
      </c>
      <c r="R83" s="78">
        <f t="shared" si="40"/>
        <v>1.166109085</v>
      </c>
      <c r="S83" s="78">
        <f t="shared" si="65"/>
        <v>1.0823882124999999</v>
      </c>
      <c r="T83" s="78">
        <f t="shared" si="41"/>
        <v>1.0297130524999998</v>
      </c>
      <c r="U83" s="78">
        <f t="shared" si="42"/>
        <v>1.2257615224999998</v>
      </c>
      <c r="V83" s="78">
        <f t="shared" si="43"/>
        <v>1.166109085</v>
      </c>
      <c r="W83" s="78">
        <f t="shared" si="66"/>
        <v>1.1480303039999999</v>
      </c>
      <c r="X83" s="78">
        <f t="shared" si="44"/>
        <v>1.0921607039999999</v>
      </c>
      <c r="Y83" s="78">
        <f t="shared" si="67"/>
        <v>1.01374896</v>
      </c>
      <c r="Z83" s="78">
        <f t="shared" si="45"/>
        <v>0.9644141759999999</v>
      </c>
      <c r="AA83" s="78">
        <f t="shared" si="46"/>
        <v>1.1480303039999999</v>
      </c>
      <c r="AB83" s="78">
        <f t="shared" si="47"/>
        <v>1.0921607039999999</v>
      </c>
      <c r="AC83" s="78">
        <v>0.97860999999999998</v>
      </c>
      <c r="AD83" s="78">
        <v>0.87977000000000005</v>
      </c>
      <c r="AE83" s="78">
        <v>0.84292</v>
      </c>
      <c r="AF83" s="78">
        <v>0.84599999999999997</v>
      </c>
      <c r="AG83" s="78">
        <f t="shared" si="68"/>
        <v>0.97860999999999998</v>
      </c>
      <c r="AH83" s="78">
        <f t="shared" si="69"/>
        <v>0.87977000000000005</v>
      </c>
      <c r="AI83" s="78">
        <f t="shared" si="70"/>
        <v>1.00307525</v>
      </c>
      <c r="AJ83" s="78">
        <f t="shared" si="48"/>
        <v>0.90176424999999993</v>
      </c>
      <c r="AK83" s="78">
        <f t="shared" si="71"/>
        <v>0.8639929999999999</v>
      </c>
      <c r="AL83" s="78">
        <f t="shared" si="49"/>
        <v>0.86714999999999987</v>
      </c>
      <c r="AM83" s="78">
        <f t="shared" si="50"/>
        <v>1.00307525</v>
      </c>
      <c r="AN83" s="78">
        <f t="shared" si="51"/>
        <v>0.90176424999999993</v>
      </c>
      <c r="AO83" s="78">
        <f t="shared" si="72"/>
        <v>0.9394655999999999</v>
      </c>
      <c r="AP83" s="78">
        <f t="shared" si="52"/>
        <v>0.84457919999999997</v>
      </c>
      <c r="AQ83" s="78">
        <f t="shared" si="73"/>
        <v>0.80920320000000001</v>
      </c>
      <c r="AR83" s="78">
        <f t="shared" si="53"/>
        <v>0.81215999999999999</v>
      </c>
      <c r="AS83" s="78">
        <f t="shared" si="54"/>
        <v>0.9394655999999999</v>
      </c>
      <c r="AT83" s="78">
        <f t="shared" si="55"/>
        <v>0.84457919999999997</v>
      </c>
      <c r="AU83" s="78">
        <v>1.0622400000000001</v>
      </c>
      <c r="AV83" s="78">
        <v>0.94969999999999999</v>
      </c>
      <c r="AW83" s="78">
        <v>0.94923999999999997</v>
      </c>
      <c r="AX83" s="78">
        <v>0.95179000000000002</v>
      </c>
      <c r="AY83" s="78">
        <f t="shared" si="74"/>
        <v>1.0622400000000001</v>
      </c>
      <c r="AZ83" s="78">
        <f t="shared" si="75"/>
        <v>0.94969999999999999</v>
      </c>
      <c r="BA83" s="78">
        <f t="shared" si="76"/>
        <v>1.0887959999999999</v>
      </c>
      <c r="BB83" s="78">
        <f t="shared" si="56"/>
        <v>0.97344249999999988</v>
      </c>
      <c r="BC83" s="78">
        <f t="shared" si="77"/>
        <v>0.97297099999999992</v>
      </c>
      <c r="BD83" s="78">
        <f t="shared" si="57"/>
        <v>0.97558474999999989</v>
      </c>
      <c r="BE83" s="78">
        <f t="shared" si="58"/>
        <v>1.0887959999999999</v>
      </c>
      <c r="BF83" s="78">
        <f t="shared" si="59"/>
        <v>0.97344249999999988</v>
      </c>
      <c r="BG83" s="78">
        <f t="shared" si="78"/>
        <v>1.0197503999999999</v>
      </c>
      <c r="BH83" s="78">
        <f t="shared" si="60"/>
        <v>0.91171199999999997</v>
      </c>
      <c r="BI83" s="78">
        <f t="shared" si="79"/>
        <v>0.91127039999999992</v>
      </c>
      <c r="BJ83" s="78">
        <f t="shared" si="61"/>
        <v>0.91371840000000004</v>
      </c>
      <c r="BK83" s="78">
        <f t="shared" si="62"/>
        <v>1.0197503999999999</v>
      </c>
      <c r="BL83" s="78">
        <f t="shared" si="63"/>
        <v>0.91171199999999997</v>
      </c>
      <c r="BM83" s="78">
        <v>0.87713419999999998</v>
      </c>
      <c r="BN83" s="78">
        <v>0.82800640000000003</v>
      </c>
      <c r="BO83" s="78">
        <v>1.1259266999999999</v>
      </c>
      <c r="BP83" s="78">
        <v>1.0711327499999999</v>
      </c>
    </row>
    <row r="84" spans="1:68" ht="13" x14ac:dyDescent="0.25">
      <c r="A84" s="60">
        <v>1</v>
      </c>
      <c r="B84" s="55">
        <v>76</v>
      </c>
      <c r="C84" s="61">
        <v>0.82978301645442243</v>
      </c>
      <c r="D84" s="61">
        <v>0.99321817574925508</v>
      </c>
      <c r="E84" s="81">
        <v>0.84246776803569035</v>
      </c>
      <c r="F84" s="81">
        <v>1.0110536417743348</v>
      </c>
      <c r="G84" s="78">
        <v>0.84107580000000004</v>
      </c>
      <c r="H84" s="78">
        <v>1.068314</v>
      </c>
      <c r="I84" s="78">
        <v>0.83427170000000006</v>
      </c>
      <c r="J84" s="78">
        <v>0.94325729999999997</v>
      </c>
      <c r="K84" s="78">
        <v>1.2001448000000001</v>
      </c>
      <c r="L84" s="78">
        <v>1.1490918000000001</v>
      </c>
      <c r="M84" s="78">
        <v>1.0597678000000001</v>
      </c>
      <c r="N84" s="78">
        <v>1.0146862000000001</v>
      </c>
      <c r="O84" s="78">
        <v>1.2001448000000001</v>
      </c>
      <c r="P84" s="78">
        <v>1.1490918000000001</v>
      </c>
      <c r="Q84" s="78">
        <f t="shared" si="64"/>
        <v>1.2301484199999999</v>
      </c>
      <c r="R84" s="78">
        <f t="shared" si="40"/>
        <v>1.177819095</v>
      </c>
      <c r="S84" s="78">
        <f t="shared" si="65"/>
        <v>1.0862619950000001</v>
      </c>
      <c r="T84" s="78">
        <f t="shared" si="41"/>
        <v>1.040053355</v>
      </c>
      <c r="U84" s="78">
        <f t="shared" si="42"/>
        <v>1.2301484199999999</v>
      </c>
      <c r="V84" s="78">
        <f t="shared" si="43"/>
        <v>1.177819095</v>
      </c>
      <c r="W84" s="78">
        <f t="shared" si="66"/>
        <v>1.152139008</v>
      </c>
      <c r="X84" s="78">
        <f t="shared" si="44"/>
        <v>1.103128128</v>
      </c>
      <c r="Y84" s="78">
        <f t="shared" si="67"/>
        <v>1.0173770880000002</v>
      </c>
      <c r="Z84" s="78">
        <f t="shared" si="45"/>
        <v>0.97409875200000007</v>
      </c>
      <c r="AA84" s="78">
        <f t="shared" si="46"/>
        <v>1.152139008</v>
      </c>
      <c r="AB84" s="78">
        <f t="shared" si="47"/>
        <v>1.103128128</v>
      </c>
      <c r="AC84" s="78">
        <v>0.98680000000000001</v>
      </c>
      <c r="AD84" s="78">
        <v>0.88612999999999997</v>
      </c>
      <c r="AE84" s="78">
        <v>0.85260000000000002</v>
      </c>
      <c r="AF84" s="78">
        <v>0.85528999999999999</v>
      </c>
      <c r="AG84" s="78">
        <f t="shared" si="68"/>
        <v>0.98680000000000001</v>
      </c>
      <c r="AH84" s="78">
        <f t="shared" si="69"/>
        <v>0.88612999999999997</v>
      </c>
      <c r="AI84" s="78">
        <f t="shared" si="70"/>
        <v>1.0114699999999999</v>
      </c>
      <c r="AJ84" s="78">
        <f t="shared" si="48"/>
        <v>0.90828324999999988</v>
      </c>
      <c r="AK84" s="78">
        <f t="shared" si="71"/>
        <v>0.873915</v>
      </c>
      <c r="AL84" s="78">
        <f t="shared" si="49"/>
        <v>0.87667224999999993</v>
      </c>
      <c r="AM84" s="78">
        <f t="shared" si="50"/>
        <v>1.0114699999999999</v>
      </c>
      <c r="AN84" s="78">
        <f t="shared" si="51"/>
        <v>0.90828324999999988</v>
      </c>
      <c r="AO84" s="78">
        <f t="shared" si="72"/>
        <v>0.94732799999999995</v>
      </c>
      <c r="AP84" s="78">
        <f t="shared" si="52"/>
        <v>0.85068479999999991</v>
      </c>
      <c r="AQ84" s="78">
        <f t="shared" si="73"/>
        <v>0.818496</v>
      </c>
      <c r="AR84" s="78">
        <f t="shared" si="53"/>
        <v>0.82107839999999999</v>
      </c>
      <c r="AS84" s="78">
        <f t="shared" si="54"/>
        <v>0.94732799999999995</v>
      </c>
      <c r="AT84" s="78">
        <f t="shared" si="55"/>
        <v>0.85068479999999991</v>
      </c>
      <c r="AU84" s="78">
        <v>1.0669</v>
      </c>
      <c r="AV84" s="78">
        <v>0.95596999999999999</v>
      </c>
      <c r="AW84" s="78">
        <v>0.95779000000000003</v>
      </c>
      <c r="AX84" s="78">
        <v>0.96657999999999999</v>
      </c>
      <c r="AY84" s="78">
        <f t="shared" si="74"/>
        <v>1.0669</v>
      </c>
      <c r="AZ84" s="78">
        <f t="shared" si="75"/>
        <v>0.95596999999999999</v>
      </c>
      <c r="BA84" s="78">
        <f t="shared" si="76"/>
        <v>1.0935724999999998</v>
      </c>
      <c r="BB84" s="78">
        <f t="shared" si="56"/>
        <v>0.97986924999999991</v>
      </c>
      <c r="BC84" s="78">
        <f t="shared" si="77"/>
        <v>0.98173474999999999</v>
      </c>
      <c r="BD84" s="78">
        <f t="shared" si="57"/>
        <v>0.99074449999999992</v>
      </c>
      <c r="BE84" s="78">
        <f t="shared" si="58"/>
        <v>1.0935724999999998</v>
      </c>
      <c r="BF84" s="78">
        <f t="shared" si="59"/>
        <v>0.97986924999999991</v>
      </c>
      <c r="BG84" s="78">
        <f t="shared" si="78"/>
        <v>1.024224</v>
      </c>
      <c r="BH84" s="78">
        <f t="shared" si="60"/>
        <v>0.91773119999999997</v>
      </c>
      <c r="BI84" s="78">
        <f t="shared" si="79"/>
        <v>0.91947840000000003</v>
      </c>
      <c r="BJ84" s="78">
        <f t="shared" si="61"/>
        <v>0.92791679999999999</v>
      </c>
      <c r="BK84" s="78">
        <f t="shared" si="62"/>
        <v>1.024224</v>
      </c>
      <c r="BL84" s="78">
        <f t="shared" si="63"/>
        <v>0.91773119999999997</v>
      </c>
      <c r="BM84" s="78">
        <v>0.88269599999999993</v>
      </c>
      <c r="BN84" s="78">
        <v>0.8408907000000001</v>
      </c>
      <c r="BO84" s="78">
        <v>1.1299563000000001</v>
      </c>
      <c r="BP84" s="78">
        <v>1.0818890000000001</v>
      </c>
    </row>
    <row r="85" spans="1:68" ht="13" x14ac:dyDescent="0.25">
      <c r="A85" s="60">
        <v>1</v>
      </c>
      <c r="B85" s="55">
        <v>77</v>
      </c>
      <c r="C85" s="61">
        <v>0.83240575403613404</v>
      </c>
      <c r="D85" s="61">
        <v>1.0025084462299849</v>
      </c>
      <c r="E85" s="81">
        <v>0.84514048835377942</v>
      </c>
      <c r="F85" s="81">
        <v>1.0205979885281717</v>
      </c>
      <c r="G85" s="78">
        <v>0.84122470000000005</v>
      </c>
      <c r="H85" s="78">
        <v>1.0683435000000001</v>
      </c>
      <c r="I85" s="78">
        <v>0.83946659999999995</v>
      </c>
      <c r="J85" s="78">
        <v>0.96231620000000007</v>
      </c>
      <c r="K85" s="78">
        <v>1.2037477000000001</v>
      </c>
      <c r="L85" s="78">
        <v>1.1566324000000001</v>
      </c>
      <c r="M85" s="78">
        <v>1.0629492999999999</v>
      </c>
      <c r="N85" s="78">
        <v>1.0213448999999999</v>
      </c>
      <c r="O85" s="78">
        <v>1.2037477000000001</v>
      </c>
      <c r="P85" s="78">
        <v>1.1566324000000001</v>
      </c>
      <c r="Q85" s="78">
        <f t="shared" si="64"/>
        <v>1.2338413925</v>
      </c>
      <c r="R85" s="78">
        <f t="shared" si="40"/>
        <v>1.1855482100000001</v>
      </c>
      <c r="S85" s="78">
        <f t="shared" si="65"/>
        <v>1.0895230324999998</v>
      </c>
      <c r="T85" s="78">
        <f t="shared" si="41"/>
        <v>1.0468785224999997</v>
      </c>
      <c r="U85" s="78">
        <f t="shared" si="42"/>
        <v>1.2338413925</v>
      </c>
      <c r="V85" s="78">
        <f t="shared" si="43"/>
        <v>1.1855482100000001</v>
      </c>
      <c r="W85" s="78">
        <f t="shared" si="66"/>
        <v>1.155597792</v>
      </c>
      <c r="X85" s="78">
        <f t="shared" si="44"/>
        <v>1.110367104</v>
      </c>
      <c r="Y85" s="78">
        <f t="shared" si="67"/>
        <v>1.0204313279999999</v>
      </c>
      <c r="Z85" s="78">
        <f t="shared" si="45"/>
        <v>0.98049110399999984</v>
      </c>
      <c r="AA85" s="78">
        <f t="shared" si="46"/>
        <v>1.155597792</v>
      </c>
      <c r="AB85" s="78">
        <f t="shared" si="47"/>
        <v>1.110367104</v>
      </c>
      <c r="AC85" s="78">
        <v>0.99256</v>
      </c>
      <c r="AD85" s="78">
        <v>0.88937999999999995</v>
      </c>
      <c r="AE85" s="78">
        <v>0.86319000000000001</v>
      </c>
      <c r="AF85" s="78">
        <v>0.86278999999999995</v>
      </c>
      <c r="AG85" s="78">
        <f t="shared" si="68"/>
        <v>0.99256</v>
      </c>
      <c r="AH85" s="78">
        <f t="shared" si="69"/>
        <v>0.88937999999999995</v>
      </c>
      <c r="AI85" s="78">
        <f t="shared" si="70"/>
        <v>1.017374</v>
      </c>
      <c r="AJ85" s="78">
        <f t="shared" si="48"/>
        <v>0.91161449999999988</v>
      </c>
      <c r="AK85" s="78">
        <f t="shared" si="71"/>
        <v>0.88476974999999991</v>
      </c>
      <c r="AL85" s="78">
        <f t="shared" si="49"/>
        <v>0.88435974999999989</v>
      </c>
      <c r="AM85" s="78">
        <f t="shared" si="50"/>
        <v>1.017374</v>
      </c>
      <c r="AN85" s="78">
        <f t="shared" si="51"/>
        <v>0.91161449999999988</v>
      </c>
      <c r="AO85" s="78">
        <f t="shared" si="72"/>
        <v>0.95285759999999997</v>
      </c>
      <c r="AP85" s="78">
        <f t="shared" si="52"/>
        <v>0.85380479999999992</v>
      </c>
      <c r="AQ85" s="78">
        <f t="shared" si="73"/>
        <v>0.82866240000000002</v>
      </c>
      <c r="AR85" s="78">
        <f t="shared" si="53"/>
        <v>0.82827839999999997</v>
      </c>
      <c r="AS85" s="78">
        <f t="shared" si="54"/>
        <v>0.95285759999999997</v>
      </c>
      <c r="AT85" s="78">
        <f t="shared" si="55"/>
        <v>0.85380479999999992</v>
      </c>
      <c r="AU85" s="78">
        <v>1.0718300000000001</v>
      </c>
      <c r="AV85" s="78">
        <v>0.96089000000000002</v>
      </c>
      <c r="AW85" s="78">
        <v>0.96716999999999997</v>
      </c>
      <c r="AX85" s="78">
        <v>0.97487999999999997</v>
      </c>
      <c r="AY85" s="78">
        <f t="shared" si="74"/>
        <v>1.0718300000000001</v>
      </c>
      <c r="AZ85" s="78">
        <f t="shared" si="75"/>
        <v>0.96089000000000002</v>
      </c>
      <c r="BA85" s="78">
        <f t="shared" si="76"/>
        <v>1.0986257500000001</v>
      </c>
      <c r="BB85" s="78">
        <f t="shared" si="56"/>
        <v>0.98491224999999993</v>
      </c>
      <c r="BC85" s="78">
        <f t="shared" si="77"/>
        <v>0.99134924999999985</v>
      </c>
      <c r="BD85" s="78">
        <f t="shared" si="57"/>
        <v>0.99925199999999992</v>
      </c>
      <c r="BE85" s="78">
        <f t="shared" si="58"/>
        <v>1.0986257500000001</v>
      </c>
      <c r="BF85" s="78">
        <f t="shared" si="59"/>
        <v>0.98491224999999993</v>
      </c>
      <c r="BG85" s="78">
        <f t="shared" si="78"/>
        <v>1.0289568</v>
      </c>
      <c r="BH85" s="78">
        <f t="shared" si="60"/>
        <v>0.92245440000000001</v>
      </c>
      <c r="BI85" s="78">
        <f t="shared" si="79"/>
        <v>0.92848319999999995</v>
      </c>
      <c r="BJ85" s="78">
        <f t="shared" si="61"/>
        <v>0.93588479999999996</v>
      </c>
      <c r="BK85" s="78">
        <f t="shared" si="62"/>
        <v>1.0289568</v>
      </c>
      <c r="BL85" s="78">
        <f t="shared" si="63"/>
        <v>0.92245440000000001</v>
      </c>
      <c r="BM85" s="78">
        <v>0.88896750000000002</v>
      </c>
      <c r="BN85" s="78">
        <v>0.85235169999999993</v>
      </c>
      <c r="BO85" s="78">
        <v>1.1333484999999999</v>
      </c>
      <c r="BP85" s="78">
        <v>1.0889886500000001</v>
      </c>
    </row>
    <row r="86" spans="1:68" ht="13" x14ac:dyDescent="0.25">
      <c r="A86" s="60">
        <v>1</v>
      </c>
      <c r="B86" s="55">
        <v>78</v>
      </c>
      <c r="C86" s="61">
        <v>0.83679020441055918</v>
      </c>
      <c r="D86" s="61">
        <v>1.0102215253110272</v>
      </c>
      <c r="E86" s="81">
        <v>0.84960906227205613</v>
      </c>
      <c r="F86" s="81">
        <v>1.0285234060159896</v>
      </c>
      <c r="G86" s="78">
        <v>0.84132969999999996</v>
      </c>
      <c r="H86" s="78">
        <v>1.0682086</v>
      </c>
      <c r="I86" s="78">
        <v>0.84829750000000004</v>
      </c>
      <c r="J86" s="78">
        <v>0.97830329999999999</v>
      </c>
      <c r="K86" s="78">
        <v>1.2064722999999999</v>
      </c>
      <c r="L86" s="78">
        <v>1.1594438</v>
      </c>
      <c r="M86" s="78">
        <v>1.0653551000000001</v>
      </c>
      <c r="N86" s="78">
        <v>1.0238275000000001</v>
      </c>
      <c r="O86" s="78">
        <v>1.2064722999999999</v>
      </c>
      <c r="P86" s="78">
        <v>1.1594438</v>
      </c>
      <c r="Q86" s="78">
        <f t="shared" si="64"/>
        <v>1.2366341074999998</v>
      </c>
      <c r="R86" s="78">
        <f t="shared" si="40"/>
        <v>1.1884298949999998</v>
      </c>
      <c r="S86" s="78">
        <f t="shared" si="65"/>
        <v>1.0919889775</v>
      </c>
      <c r="T86" s="78">
        <f t="shared" si="41"/>
        <v>1.0494231875</v>
      </c>
      <c r="U86" s="78">
        <f t="shared" si="42"/>
        <v>1.2366341074999998</v>
      </c>
      <c r="V86" s="78">
        <f t="shared" si="43"/>
        <v>1.1884298949999998</v>
      </c>
      <c r="W86" s="78">
        <f t="shared" si="66"/>
        <v>1.1582134079999999</v>
      </c>
      <c r="X86" s="78">
        <f t="shared" si="44"/>
        <v>1.1130660480000001</v>
      </c>
      <c r="Y86" s="78">
        <f t="shared" si="67"/>
        <v>1.0227408960000002</v>
      </c>
      <c r="Z86" s="78">
        <f t="shared" si="45"/>
        <v>0.98287440000000004</v>
      </c>
      <c r="AA86" s="78">
        <f t="shared" si="46"/>
        <v>1.1582134079999999</v>
      </c>
      <c r="AB86" s="78">
        <f t="shared" si="47"/>
        <v>1.1130660480000001</v>
      </c>
      <c r="AC86" s="78">
        <v>0.99546000000000001</v>
      </c>
      <c r="AD86" s="78">
        <v>0.88975000000000004</v>
      </c>
      <c r="AE86" s="78">
        <v>0.87387999999999999</v>
      </c>
      <c r="AF86" s="78">
        <v>0.86758999999999997</v>
      </c>
      <c r="AG86" s="78">
        <f t="shared" si="68"/>
        <v>0.99546000000000001</v>
      </c>
      <c r="AH86" s="78">
        <f t="shared" si="69"/>
        <v>0.88975000000000004</v>
      </c>
      <c r="AI86" s="78">
        <f t="shared" si="70"/>
        <v>1.0203464999999998</v>
      </c>
      <c r="AJ86" s="78">
        <f t="shared" si="48"/>
        <v>0.91199374999999994</v>
      </c>
      <c r="AK86" s="78">
        <f t="shared" si="71"/>
        <v>0.89572699999999994</v>
      </c>
      <c r="AL86" s="78">
        <f t="shared" si="49"/>
        <v>0.88927974999999992</v>
      </c>
      <c r="AM86" s="78">
        <f t="shared" si="50"/>
        <v>1.0203464999999998</v>
      </c>
      <c r="AN86" s="78">
        <f t="shared" si="51"/>
        <v>0.91199374999999994</v>
      </c>
      <c r="AO86" s="78">
        <f t="shared" si="72"/>
        <v>0.95564159999999998</v>
      </c>
      <c r="AP86" s="78">
        <f t="shared" si="52"/>
        <v>0.85416000000000003</v>
      </c>
      <c r="AQ86" s="78">
        <f t="shared" si="73"/>
        <v>0.83892479999999992</v>
      </c>
      <c r="AR86" s="78">
        <f t="shared" si="53"/>
        <v>0.83288639999999992</v>
      </c>
      <c r="AS86" s="78">
        <f t="shared" si="54"/>
        <v>0.95564159999999998</v>
      </c>
      <c r="AT86" s="78">
        <f t="shared" si="55"/>
        <v>0.85416000000000003</v>
      </c>
      <c r="AU86" s="78">
        <v>1.0722700000000001</v>
      </c>
      <c r="AV86" s="78">
        <v>0.96457000000000004</v>
      </c>
      <c r="AW86" s="78">
        <v>0.97245000000000004</v>
      </c>
      <c r="AX86" s="78">
        <v>0.97960999999999998</v>
      </c>
      <c r="AY86" s="78">
        <f t="shared" si="74"/>
        <v>1.0722700000000001</v>
      </c>
      <c r="AZ86" s="78">
        <f t="shared" si="75"/>
        <v>0.96457000000000004</v>
      </c>
      <c r="BA86" s="78">
        <f t="shared" si="76"/>
        <v>1.09907675</v>
      </c>
      <c r="BB86" s="78">
        <f t="shared" si="56"/>
        <v>0.98868424999999993</v>
      </c>
      <c r="BC86" s="78">
        <f t="shared" si="77"/>
        <v>0.99676124999999993</v>
      </c>
      <c r="BD86" s="78">
        <f t="shared" si="57"/>
        <v>1.0041002499999998</v>
      </c>
      <c r="BE86" s="78">
        <f t="shared" si="58"/>
        <v>1.09907675</v>
      </c>
      <c r="BF86" s="78">
        <f t="shared" si="59"/>
        <v>0.98868424999999993</v>
      </c>
      <c r="BG86" s="78">
        <f t="shared" si="78"/>
        <v>1.0293791999999999</v>
      </c>
      <c r="BH86" s="78">
        <f t="shared" si="60"/>
        <v>0.92598720000000001</v>
      </c>
      <c r="BI86" s="78">
        <f t="shared" si="79"/>
        <v>0.93355200000000005</v>
      </c>
      <c r="BJ86" s="78">
        <f t="shared" si="61"/>
        <v>0.94042559999999997</v>
      </c>
      <c r="BK86" s="78">
        <f t="shared" si="62"/>
        <v>1.0293791999999999</v>
      </c>
      <c r="BL86" s="78">
        <f t="shared" si="63"/>
        <v>0.92598720000000001</v>
      </c>
      <c r="BM86" s="78">
        <v>0.89597150000000003</v>
      </c>
      <c r="BN86" s="78">
        <v>0.86149759999999997</v>
      </c>
      <c r="BO86" s="78">
        <v>1.1359137000000001</v>
      </c>
      <c r="BP86" s="78">
        <v>1.0916356500000002</v>
      </c>
    </row>
    <row r="87" spans="1:68" ht="13" x14ac:dyDescent="0.25">
      <c r="A87" s="60">
        <v>1</v>
      </c>
      <c r="B87" s="55">
        <v>79</v>
      </c>
      <c r="C87" s="61">
        <v>0.84239624830935755</v>
      </c>
      <c r="D87" s="61">
        <v>1.0154601753317403</v>
      </c>
      <c r="E87" s="81">
        <v>0.85532347927463914</v>
      </c>
      <c r="F87" s="81">
        <v>1.0339036783745732</v>
      </c>
      <c r="G87" s="78">
        <v>0.84125820000000007</v>
      </c>
      <c r="H87" s="78">
        <v>1.0684134000000001</v>
      </c>
      <c r="I87" s="78">
        <v>0.85979859999999997</v>
      </c>
      <c r="J87" s="78">
        <v>0.98885699999999999</v>
      </c>
      <c r="K87" s="78">
        <v>1.2068877</v>
      </c>
      <c r="L87" s="78">
        <v>1.1563275</v>
      </c>
      <c r="M87" s="78">
        <v>1.0657220000000001</v>
      </c>
      <c r="N87" s="78">
        <v>1.0210756999999999</v>
      </c>
      <c r="O87" s="78">
        <v>1.2068877</v>
      </c>
      <c r="P87" s="78">
        <v>1.1563275</v>
      </c>
      <c r="Q87" s="78">
        <f t="shared" si="64"/>
        <v>1.2370598924999998</v>
      </c>
      <c r="R87" s="78">
        <f t="shared" si="40"/>
        <v>1.1852356874999999</v>
      </c>
      <c r="S87" s="78">
        <f t="shared" si="65"/>
        <v>1.0923650499999999</v>
      </c>
      <c r="T87" s="78">
        <f t="shared" si="41"/>
        <v>1.0466025924999998</v>
      </c>
      <c r="U87" s="78">
        <f t="shared" si="42"/>
        <v>1.2370598924999998</v>
      </c>
      <c r="V87" s="78">
        <f t="shared" si="43"/>
        <v>1.1852356874999999</v>
      </c>
      <c r="W87" s="78">
        <f t="shared" si="66"/>
        <v>1.1586121919999999</v>
      </c>
      <c r="X87" s="78">
        <f t="shared" si="44"/>
        <v>1.1100744</v>
      </c>
      <c r="Y87" s="78">
        <f t="shared" si="67"/>
        <v>1.02309312</v>
      </c>
      <c r="Z87" s="78">
        <f t="shared" si="45"/>
        <v>0.98023267199999986</v>
      </c>
      <c r="AA87" s="78">
        <f t="shared" si="46"/>
        <v>1.1586121919999999</v>
      </c>
      <c r="AB87" s="78">
        <f t="shared" si="47"/>
        <v>1.1100744</v>
      </c>
      <c r="AC87" s="78">
        <v>0.99511000000000005</v>
      </c>
      <c r="AD87" s="78">
        <v>0.88700000000000001</v>
      </c>
      <c r="AE87" s="78">
        <v>0.88270999999999999</v>
      </c>
      <c r="AF87" s="78">
        <v>0.86795999999999995</v>
      </c>
      <c r="AG87" s="78">
        <f t="shared" si="68"/>
        <v>0.99511000000000005</v>
      </c>
      <c r="AH87" s="78">
        <f t="shared" si="69"/>
        <v>0.88700000000000001</v>
      </c>
      <c r="AI87" s="78">
        <f t="shared" si="70"/>
        <v>1.0199877499999999</v>
      </c>
      <c r="AJ87" s="78">
        <f t="shared" si="48"/>
        <v>0.90917499999999996</v>
      </c>
      <c r="AK87" s="78">
        <f t="shared" si="71"/>
        <v>0.90477774999999994</v>
      </c>
      <c r="AL87" s="78">
        <f t="shared" si="49"/>
        <v>0.88965899999999987</v>
      </c>
      <c r="AM87" s="78">
        <f t="shared" si="50"/>
        <v>1.0199877499999999</v>
      </c>
      <c r="AN87" s="78">
        <f t="shared" si="51"/>
        <v>0.90917499999999996</v>
      </c>
      <c r="AO87" s="78">
        <f t="shared" si="72"/>
        <v>0.95530559999999998</v>
      </c>
      <c r="AP87" s="78">
        <f t="shared" si="52"/>
        <v>0.85151999999999994</v>
      </c>
      <c r="AQ87" s="78">
        <f t="shared" si="73"/>
        <v>0.84740159999999998</v>
      </c>
      <c r="AR87" s="78">
        <f t="shared" si="53"/>
        <v>0.83324159999999992</v>
      </c>
      <c r="AS87" s="78">
        <f t="shared" si="54"/>
        <v>0.95530559999999998</v>
      </c>
      <c r="AT87" s="78">
        <f t="shared" si="55"/>
        <v>0.85151999999999994</v>
      </c>
      <c r="AU87" s="78">
        <v>1.0700400000000001</v>
      </c>
      <c r="AV87" s="78">
        <v>0.96606999999999998</v>
      </c>
      <c r="AW87" s="78">
        <v>0.97824</v>
      </c>
      <c r="AX87" s="78">
        <v>0.97782999999999998</v>
      </c>
      <c r="AY87" s="78">
        <f t="shared" si="74"/>
        <v>1.0700400000000001</v>
      </c>
      <c r="AZ87" s="78">
        <f t="shared" si="75"/>
        <v>0.96606999999999998</v>
      </c>
      <c r="BA87" s="78">
        <f t="shared" si="76"/>
        <v>1.0967910000000001</v>
      </c>
      <c r="BB87" s="78">
        <f t="shared" si="56"/>
        <v>0.9902217499999999</v>
      </c>
      <c r="BC87" s="78">
        <f t="shared" si="77"/>
        <v>1.0026959999999998</v>
      </c>
      <c r="BD87" s="78">
        <f t="shared" si="57"/>
        <v>1.0022757499999999</v>
      </c>
      <c r="BE87" s="78">
        <f t="shared" si="58"/>
        <v>1.0967910000000001</v>
      </c>
      <c r="BF87" s="78">
        <f t="shared" si="59"/>
        <v>0.9902217499999999</v>
      </c>
      <c r="BG87" s="78">
        <f t="shared" si="78"/>
        <v>1.0272384000000001</v>
      </c>
      <c r="BH87" s="78">
        <f t="shared" si="60"/>
        <v>0.9274271999999999</v>
      </c>
      <c r="BI87" s="78">
        <f t="shared" si="79"/>
        <v>0.93911040000000001</v>
      </c>
      <c r="BJ87" s="78">
        <f t="shared" si="61"/>
        <v>0.93871679999999991</v>
      </c>
      <c r="BK87" s="78">
        <f t="shared" si="62"/>
        <v>1.0272384000000001</v>
      </c>
      <c r="BL87" s="78">
        <f t="shared" si="63"/>
        <v>0.9274271999999999</v>
      </c>
      <c r="BM87" s="78">
        <v>0.9027771</v>
      </c>
      <c r="BN87" s="78">
        <v>0.86694599999999999</v>
      </c>
      <c r="BO87" s="78">
        <v>1.1363048500000001</v>
      </c>
      <c r="BP87" s="78">
        <v>1.0887015999999998</v>
      </c>
    </row>
    <row r="88" spans="1:68" ht="13" x14ac:dyDescent="0.25">
      <c r="A88" s="60">
        <v>1</v>
      </c>
      <c r="B88" s="55">
        <v>80</v>
      </c>
      <c r="C88" s="61">
        <v>0.86683019413371376</v>
      </c>
      <c r="D88" s="61">
        <v>0.96633916388653041</v>
      </c>
      <c r="E88" s="81">
        <v>0.88008155821821377</v>
      </c>
      <c r="F88" s="81">
        <v>0.98430958220016551</v>
      </c>
      <c r="G88" s="78">
        <v>0.87855649999999996</v>
      </c>
      <c r="H88" s="78">
        <v>0.96887429999999997</v>
      </c>
      <c r="I88" s="78">
        <v>0.87159139999999991</v>
      </c>
      <c r="J88" s="78">
        <v>0.99018960000000011</v>
      </c>
      <c r="K88" s="78">
        <v>1.2023099000000002</v>
      </c>
      <c r="L88" s="78">
        <v>1.143661</v>
      </c>
      <c r="M88" s="78">
        <v>1.0616795999999999</v>
      </c>
      <c r="N88" s="78">
        <v>1.0098906999999999</v>
      </c>
      <c r="O88" s="78">
        <v>1.2023099000000002</v>
      </c>
      <c r="P88" s="78">
        <v>1.143661</v>
      </c>
      <c r="Q88" s="78">
        <f t="shared" si="64"/>
        <v>1.2323676475000001</v>
      </c>
      <c r="R88" s="78">
        <f t="shared" si="40"/>
        <v>1.172252525</v>
      </c>
      <c r="S88" s="78">
        <f t="shared" si="65"/>
        <v>1.0882215899999998</v>
      </c>
      <c r="T88" s="78">
        <f t="shared" si="41"/>
        <v>1.0351379674999999</v>
      </c>
      <c r="U88" s="78">
        <f t="shared" si="42"/>
        <v>1.2323676475000001</v>
      </c>
      <c r="V88" s="78">
        <f t="shared" si="43"/>
        <v>1.172252525</v>
      </c>
      <c r="W88" s="78">
        <f t="shared" si="66"/>
        <v>1.154217504</v>
      </c>
      <c r="X88" s="78">
        <f t="shared" si="44"/>
        <v>1.09791456</v>
      </c>
      <c r="Y88" s="78">
        <f t="shared" si="67"/>
        <v>1.019212416</v>
      </c>
      <c r="Z88" s="78">
        <f t="shared" si="45"/>
        <v>0.96949507199999985</v>
      </c>
      <c r="AA88" s="78">
        <f t="shared" si="46"/>
        <v>1.154217504</v>
      </c>
      <c r="AB88" s="78">
        <f t="shared" si="47"/>
        <v>1.09791456</v>
      </c>
      <c r="AC88" s="78">
        <v>0.99077999999999999</v>
      </c>
      <c r="AD88" s="78">
        <v>0.87922999999999996</v>
      </c>
      <c r="AE88" s="78">
        <v>0.88648000000000005</v>
      </c>
      <c r="AF88" s="78">
        <v>0.86073999999999995</v>
      </c>
      <c r="AG88" s="78">
        <f t="shared" si="68"/>
        <v>0.99077999999999999</v>
      </c>
      <c r="AH88" s="78">
        <f t="shared" si="69"/>
        <v>0.87922999999999996</v>
      </c>
      <c r="AI88" s="78">
        <f t="shared" si="70"/>
        <v>1.0155494999999999</v>
      </c>
      <c r="AJ88" s="78">
        <f t="shared" si="48"/>
        <v>0.90121074999999984</v>
      </c>
      <c r="AK88" s="78">
        <f t="shared" si="71"/>
        <v>0.90864199999999995</v>
      </c>
      <c r="AL88" s="78">
        <f t="shared" si="49"/>
        <v>0.88225849999999983</v>
      </c>
      <c r="AM88" s="78">
        <f t="shared" si="50"/>
        <v>1.0155494999999999</v>
      </c>
      <c r="AN88" s="78">
        <f t="shared" si="51"/>
        <v>0.90121074999999984</v>
      </c>
      <c r="AO88" s="78">
        <f t="shared" si="72"/>
        <v>0.95114879999999991</v>
      </c>
      <c r="AP88" s="78">
        <f t="shared" si="52"/>
        <v>0.84406079999999994</v>
      </c>
      <c r="AQ88" s="78">
        <f t="shared" si="73"/>
        <v>0.85102080000000002</v>
      </c>
      <c r="AR88" s="78">
        <f t="shared" si="53"/>
        <v>0.82631039999999989</v>
      </c>
      <c r="AS88" s="78">
        <f t="shared" si="54"/>
        <v>0.95114879999999991</v>
      </c>
      <c r="AT88" s="78">
        <f t="shared" si="55"/>
        <v>0.84406079999999994</v>
      </c>
      <c r="AU88" s="78">
        <v>1.0618799999999999</v>
      </c>
      <c r="AV88" s="78">
        <v>0.96223999999999998</v>
      </c>
      <c r="AW88" s="78">
        <v>0.97784000000000004</v>
      </c>
      <c r="AX88" s="78">
        <v>0.96908000000000005</v>
      </c>
      <c r="AY88" s="78">
        <f t="shared" si="74"/>
        <v>1.0618799999999999</v>
      </c>
      <c r="AZ88" s="78">
        <f t="shared" si="75"/>
        <v>0.96223999999999998</v>
      </c>
      <c r="BA88" s="78">
        <f t="shared" si="76"/>
        <v>1.0884269999999998</v>
      </c>
      <c r="BB88" s="78">
        <f t="shared" si="56"/>
        <v>0.98629599999999995</v>
      </c>
      <c r="BC88" s="78">
        <f t="shared" si="77"/>
        <v>1.002286</v>
      </c>
      <c r="BD88" s="78">
        <f t="shared" si="57"/>
        <v>0.99330699999999994</v>
      </c>
      <c r="BE88" s="78">
        <f t="shared" si="58"/>
        <v>1.0884269999999998</v>
      </c>
      <c r="BF88" s="78">
        <f t="shared" si="59"/>
        <v>0.98629599999999995</v>
      </c>
      <c r="BG88" s="78">
        <f t="shared" si="78"/>
        <v>1.0194048</v>
      </c>
      <c r="BH88" s="78">
        <f t="shared" si="60"/>
        <v>0.92375039999999997</v>
      </c>
      <c r="BI88" s="78">
        <f t="shared" si="79"/>
        <v>0.93872639999999996</v>
      </c>
      <c r="BJ88" s="78">
        <f t="shared" si="61"/>
        <v>0.93031680000000005</v>
      </c>
      <c r="BK88" s="78">
        <f t="shared" si="62"/>
        <v>1.0194048</v>
      </c>
      <c r="BL88" s="78">
        <f t="shared" si="63"/>
        <v>0.92375039999999997</v>
      </c>
      <c r="BM88" s="78">
        <v>0.90712879999999996</v>
      </c>
      <c r="BN88" s="78">
        <v>0.86590090000000008</v>
      </c>
      <c r="BO88" s="78">
        <v>1.13199475</v>
      </c>
      <c r="BP88" s="78">
        <v>1.07677585</v>
      </c>
    </row>
    <row r="89" spans="1:68" ht="13" x14ac:dyDescent="0.25">
      <c r="A89" s="60">
        <v>1</v>
      </c>
      <c r="B89" s="55">
        <v>81</v>
      </c>
      <c r="C89" s="61">
        <v>0.87362159067494061</v>
      </c>
      <c r="D89" s="61">
        <v>0.96301616998414752</v>
      </c>
      <c r="E89" s="81">
        <v>0.88673377859987645</v>
      </c>
      <c r="F89" s="81">
        <v>0.98063588998037754</v>
      </c>
      <c r="G89" s="78">
        <v>0.8784820000000001</v>
      </c>
      <c r="H89" s="78">
        <v>0.96883740000000007</v>
      </c>
      <c r="I89" s="78">
        <v>0.88551190000000002</v>
      </c>
      <c r="J89" s="78">
        <v>0.98339949999999998</v>
      </c>
      <c r="K89" s="78">
        <v>1.1959195</v>
      </c>
      <c r="L89" s="78">
        <v>1.1234169000000001</v>
      </c>
      <c r="M89" s="78">
        <v>1.0560366999999999</v>
      </c>
      <c r="N89" s="78">
        <v>0.99201449999999991</v>
      </c>
      <c r="O89" s="78">
        <v>1.1959195</v>
      </c>
      <c r="P89" s="78">
        <v>1.1234169000000001</v>
      </c>
      <c r="Q89" s="78">
        <f t="shared" si="64"/>
        <v>1.2258174874999999</v>
      </c>
      <c r="R89" s="78">
        <f t="shared" si="40"/>
        <v>1.1515023225000001</v>
      </c>
      <c r="S89" s="78">
        <f t="shared" si="65"/>
        <v>1.0824376174999999</v>
      </c>
      <c r="T89" s="78">
        <f t="shared" si="41"/>
        <v>1.0168148624999997</v>
      </c>
      <c r="U89" s="78">
        <f t="shared" si="42"/>
        <v>1.2258174874999999</v>
      </c>
      <c r="V89" s="78">
        <f t="shared" si="43"/>
        <v>1.1515023225000001</v>
      </c>
      <c r="W89" s="78">
        <f t="shared" si="66"/>
        <v>1.1480827199999999</v>
      </c>
      <c r="X89" s="78">
        <f t="shared" si="44"/>
        <v>1.078480224</v>
      </c>
      <c r="Y89" s="78">
        <f t="shared" si="67"/>
        <v>1.0137952319999999</v>
      </c>
      <c r="Z89" s="78">
        <f t="shared" si="45"/>
        <v>0.95233391999999983</v>
      </c>
      <c r="AA89" s="78">
        <f t="shared" si="46"/>
        <v>1.1480827199999999</v>
      </c>
      <c r="AB89" s="78">
        <f t="shared" si="47"/>
        <v>1.078480224</v>
      </c>
      <c r="AC89" s="78">
        <v>0.98740000000000006</v>
      </c>
      <c r="AD89" s="78">
        <v>0.86821000000000004</v>
      </c>
      <c r="AE89" s="78">
        <v>0.88668000000000002</v>
      </c>
      <c r="AF89" s="78">
        <v>0.84697</v>
      </c>
      <c r="AG89" s="78">
        <f t="shared" si="68"/>
        <v>0.98740000000000006</v>
      </c>
      <c r="AH89" s="78">
        <f t="shared" si="69"/>
        <v>0.86821000000000004</v>
      </c>
      <c r="AI89" s="78">
        <f t="shared" si="70"/>
        <v>1.0120849999999999</v>
      </c>
      <c r="AJ89" s="78">
        <f t="shared" si="48"/>
        <v>0.88991524999999994</v>
      </c>
      <c r="AK89" s="78">
        <f t="shared" si="71"/>
        <v>0.90884699999999996</v>
      </c>
      <c r="AL89" s="78">
        <f t="shared" si="49"/>
        <v>0.86814424999999995</v>
      </c>
      <c r="AM89" s="78">
        <f t="shared" si="50"/>
        <v>1.0120849999999999</v>
      </c>
      <c r="AN89" s="78">
        <f t="shared" si="51"/>
        <v>0.88991524999999994</v>
      </c>
      <c r="AO89" s="78">
        <f t="shared" si="72"/>
        <v>0.94790399999999997</v>
      </c>
      <c r="AP89" s="78">
        <f t="shared" si="52"/>
        <v>0.83348160000000004</v>
      </c>
      <c r="AQ89" s="78">
        <f t="shared" si="73"/>
        <v>0.85121279999999999</v>
      </c>
      <c r="AR89" s="78">
        <f t="shared" si="53"/>
        <v>0.81309120000000001</v>
      </c>
      <c r="AS89" s="78">
        <f t="shared" si="54"/>
        <v>0.94790399999999997</v>
      </c>
      <c r="AT89" s="78">
        <f t="shared" si="55"/>
        <v>0.83348160000000004</v>
      </c>
      <c r="AU89" s="78">
        <v>1.0547899999999999</v>
      </c>
      <c r="AV89" s="78">
        <v>0.95389000000000002</v>
      </c>
      <c r="AW89" s="78">
        <v>0.97348000000000001</v>
      </c>
      <c r="AX89" s="78">
        <v>0.95338000000000001</v>
      </c>
      <c r="AY89" s="78">
        <f t="shared" si="74"/>
        <v>1.0547899999999999</v>
      </c>
      <c r="AZ89" s="78">
        <f t="shared" si="75"/>
        <v>0.95389000000000002</v>
      </c>
      <c r="BA89" s="78">
        <f t="shared" si="76"/>
        <v>1.0811597499999999</v>
      </c>
      <c r="BB89" s="78">
        <f t="shared" si="56"/>
        <v>0.97773724999999989</v>
      </c>
      <c r="BC89" s="78">
        <f t="shared" si="77"/>
        <v>0.99781699999999995</v>
      </c>
      <c r="BD89" s="78">
        <f t="shared" si="57"/>
        <v>0.97721449999999987</v>
      </c>
      <c r="BE89" s="78">
        <f t="shared" si="58"/>
        <v>1.0811597499999999</v>
      </c>
      <c r="BF89" s="78">
        <f t="shared" si="59"/>
        <v>0.97773724999999989</v>
      </c>
      <c r="BG89" s="78">
        <f t="shared" si="78"/>
        <v>1.0125983999999999</v>
      </c>
      <c r="BH89" s="78">
        <f t="shared" si="60"/>
        <v>0.91573439999999995</v>
      </c>
      <c r="BI89" s="78">
        <f t="shared" si="79"/>
        <v>0.93454079999999995</v>
      </c>
      <c r="BJ89" s="78">
        <f t="shared" si="61"/>
        <v>0.91524479999999997</v>
      </c>
      <c r="BK89" s="78">
        <f t="shared" si="62"/>
        <v>1.0125983999999999</v>
      </c>
      <c r="BL89" s="78">
        <f t="shared" si="63"/>
        <v>0.91573439999999995</v>
      </c>
      <c r="BM89" s="78">
        <v>0.91131010000000001</v>
      </c>
      <c r="BN89" s="78">
        <v>0.85961200000000004</v>
      </c>
      <c r="BO89" s="78">
        <v>1.1259781</v>
      </c>
      <c r="BP89" s="78">
        <v>1.0577156999999999</v>
      </c>
    </row>
    <row r="90" spans="1:68" ht="13" x14ac:dyDescent="0.25">
      <c r="A90" s="60">
        <v>1</v>
      </c>
      <c r="B90" s="55">
        <v>82</v>
      </c>
      <c r="C90" s="61">
        <v>0.88291813023470089</v>
      </c>
      <c r="D90" s="61">
        <v>0.95790528907272043</v>
      </c>
      <c r="E90" s="81">
        <v>0.89593883506256644</v>
      </c>
      <c r="F90" s="81">
        <v>0.97512434273493431</v>
      </c>
      <c r="G90" s="78">
        <v>0.87863550000000001</v>
      </c>
      <c r="H90" s="78">
        <v>0.96894729999999996</v>
      </c>
      <c r="I90" s="78">
        <v>0.90430699999999997</v>
      </c>
      <c r="J90" s="78">
        <v>0.9727849999999999</v>
      </c>
      <c r="K90" s="78">
        <v>1.1917144</v>
      </c>
      <c r="L90" s="78">
        <v>1.1011572999999999</v>
      </c>
      <c r="M90" s="78">
        <v>1.0523235</v>
      </c>
      <c r="N90" s="78">
        <v>0.97235850000000001</v>
      </c>
      <c r="O90" s="78">
        <v>1.1917144</v>
      </c>
      <c r="P90" s="78">
        <v>1.1011572999999999</v>
      </c>
      <c r="Q90" s="78">
        <f t="shared" si="64"/>
        <v>1.2215072599999999</v>
      </c>
      <c r="R90" s="78">
        <f t="shared" si="40"/>
        <v>1.1286862324999998</v>
      </c>
      <c r="S90" s="78">
        <f t="shared" si="65"/>
        <v>1.0786315874999999</v>
      </c>
      <c r="T90" s="78">
        <f t="shared" si="41"/>
        <v>0.99666746249999993</v>
      </c>
      <c r="U90" s="78">
        <f t="shared" si="42"/>
        <v>1.2215072599999999</v>
      </c>
      <c r="V90" s="78">
        <f t="shared" si="43"/>
        <v>1.1286862324999998</v>
      </c>
      <c r="W90" s="78">
        <f t="shared" si="66"/>
        <v>1.144045824</v>
      </c>
      <c r="X90" s="78">
        <f t="shared" si="44"/>
        <v>1.0571110079999999</v>
      </c>
      <c r="Y90" s="78">
        <f t="shared" si="67"/>
        <v>1.0102305599999999</v>
      </c>
      <c r="Z90" s="78">
        <f t="shared" si="45"/>
        <v>0.93346415999999999</v>
      </c>
      <c r="AA90" s="78">
        <f t="shared" si="46"/>
        <v>1.144045824</v>
      </c>
      <c r="AB90" s="78">
        <f t="shared" si="47"/>
        <v>1.0571110079999999</v>
      </c>
      <c r="AC90" s="78">
        <v>0.99078999999999995</v>
      </c>
      <c r="AD90" s="78">
        <v>0.85782000000000003</v>
      </c>
      <c r="AE90" s="78">
        <v>0.88595999999999997</v>
      </c>
      <c r="AF90" s="78">
        <v>0.83040000000000003</v>
      </c>
      <c r="AG90" s="78">
        <f t="shared" si="68"/>
        <v>0.99078999999999995</v>
      </c>
      <c r="AH90" s="78">
        <f t="shared" si="69"/>
        <v>0.85782000000000003</v>
      </c>
      <c r="AI90" s="78">
        <f t="shared" si="70"/>
        <v>1.0155597499999998</v>
      </c>
      <c r="AJ90" s="78">
        <f t="shared" si="48"/>
        <v>0.87926549999999992</v>
      </c>
      <c r="AK90" s="78">
        <f t="shared" si="71"/>
        <v>0.90810899999999994</v>
      </c>
      <c r="AL90" s="78">
        <f t="shared" si="49"/>
        <v>0.85115999999999992</v>
      </c>
      <c r="AM90" s="78">
        <f t="shared" si="50"/>
        <v>1.0155597499999998</v>
      </c>
      <c r="AN90" s="78">
        <f t="shared" si="51"/>
        <v>0.87926549999999992</v>
      </c>
      <c r="AO90" s="78">
        <f t="shared" si="72"/>
        <v>0.95115839999999996</v>
      </c>
      <c r="AP90" s="78">
        <f t="shared" si="52"/>
        <v>0.82350719999999999</v>
      </c>
      <c r="AQ90" s="78">
        <f t="shared" si="73"/>
        <v>0.85052159999999999</v>
      </c>
      <c r="AR90" s="78">
        <f t="shared" si="53"/>
        <v>0.797184</v>
      </c>
      <c r="AS90" s="78">
        <f t="shared" si="54"/>
        <v>0.95115839999999996</v>
      </c>
      <c r="AT90" s="78">
        <f t="shared" si="55"/>
        <v>0.82350719999999999</v>
      </c>
      <c r="AU90" s="78">
        <v>1.05494</v>
      </c>
      <c r="AV90" s="78">
        <v>0.94437000000000004</v>
      </c>
      <c r="AW90" s="78">
        <v>0.97055000000000002</v>
      </c>
      <c r="AX90" s="78">
        <v>0.93418999999999996</v>
      </c>
      <c r="AY90" s="78">
        <f t="shared" si="74"/>
        <v>1.05494</v>
      </c>
      <c r="AZ90" s="78">
        <f t="shared" si="75"/>
        <v>0.94437000000000004</v>
      </c>
      <c r="BA90" s="78">
        <f t="shared" si="76"/>
        <v>1.0813134999999998</v>
      </c>
      <c r="BB90" s="78">
        <f t="shared" si="56"/>
        <v>0.96797924999999996</v>
      </c>
      <c r="BC90" s="78">
        <f t="shared" si="77"/>
        <v>0.99481374999999994</v>
      </c>
      <c r="BD90" s="78">
        <f t="shared" si="57"/>
        <v>0.95754474999999983</v>
      </c>
      <c r="BE90" s="78">
        <f t="shared" si="58"/>
        <v>1.0813134999999998</v>
      </c>
      <c r="BF90" s="78">
        <f t="shared" si="59"/>
        <v>0.96797924999999996</v>
      </c>
      <c r="BG90" s="78">
        <f t="shared" si="78"/>
        <v>1.0127424</v>
      </c>
      <c r="BH90" s="78">
        <f t="shared" si="60"/>
        <v>0.90659520000000005</v>
      </c>
      <c r="BI90" s="78">
        <f t="shared" si="79"/>
        <v>0.931728</v>
      </c>
      <c r="BJ90" s="78">
        <f t="shared" si="61"/>
        <v>0.89682239999999991</v>
      </c>
      <c r="BK90" s="78">
        <f t="shared" si="62"/>
        <v>1.0127424</v>
      </c>
      <c r="BL90" s="78">
        <f t="shared" si="63"/>
        <v>0.90659520000000005</v>
      </c>
      <c r="BM90" s="78">
        <v>0.91850269999999989</v>
      </c>
      <c r="BN90" s="78">
        <v>0.85187979999999996</v>
      </c>
      <c r="BO90" s="78">
        <v>1.12201895</v>
      </c>
      <c r="BP90" s="78">
        <v>1.0367579</v>
      </c>
    </row>
    <row r="91" spans="1:68" ht="13" x14ac:dyDescent="0.25">
      <c r="A91" s="60">
        <v>1</v>
      </c>
      <c r="B91" s="55">
        <v>83</v>
      </c>
      <c r="C91" s="61">
        <v>0.89364961175807112</v>
      </c>
      <c r="D91" s="61">
        <v>0.95192879933597641</v>
      </c>
      <c r="E91" s="81">
        <v>0.90660814530086409</v>
      </c>
      <c r="F91" s="81">
        <v>0.96872425273887164</v>
      </c>
      <c r="G91" s="78">
        <v>0.87851029999999997</v>
      </c>
      <c r="H91" s="78">
        <v>0.96900490000000006</v>
      </c>
      <c r="I91" s="78">
        <v>0.92631150000000007</v>
      </c>
      <c r="J91" s="78">
        <v>0.96044569999999996</v>
      </c>
      <c r="K91" s="78">
        <v>1.1879888999999999</v>
      </c>
      <c r="L91" s="78">
        <v>1.0793504</v>
      </c>
      <c r="M91" s="78">
        <v>1.0490336999999998</v>
      </c>
      <c r="N91" s="78">
        <v>0.95310230000000007</v>
      </c>
      <c r="O91" s="78">
        <v>1.1879888999999999</v>
      </c>
      <c r="P91" s="78">
        <v>1.0793504</v>
      </c>
      <c r="Q91" s="78">
        <f t="shared" si="64"/>
        <v>1.2176886224999999</v>
      </c>
      <c r="R91" s="78">
        <f t="shared" si="40"/>
        <v>1.1063341599999998</v>
      </c>
      <c r="S91" s="78">
        <f t="shared" si="65"/>
        <v>1.0752595424999998</v>
      </c>
      <c r="T91" s="78">
        <f t="shared" si="41"/>
        <v>0.97692985749999994</v>
      </c>
      <c r="U91" s="78">
        <f t="shared" si="42"/>
        <v>1.2176886224999999</v>
      </c>
      <c r="V91" s="78">
        <f t="shared" si="43"/>
        <v>1.1063341599999998</v>
      </c>
      <c r="W91" s="78">
        <f t="shared" si="66"/>
        <v>1.1404693439999998</v>
      </c>
      <c r="X91" s="78">
        <f t="shared" si="44"/>
        <v>1.036176384</v>
      </c>
      <c r="Y91" s="78">
        <f t="shared" si="67"/>
        <v>1.0070723519999998</v>
      </c>
      <c r="Z91" s="78">
        <f t="shared" si="45"/>
        <v>0.91497820800000007</v>
      </c>
      <c r="AA91" s="78">
        <f t="shared" si="46"/>
        <v>1.1404693439999998</v>
      </c>
      <c r="AB91" s="78">
        <f t="shared" si="47"/>
        <v>1.036176384</v>
      </c>
      <c r="AC91" s="78">
        <v>1.00136</v>
      </c>
      <c r="AD91" s="78">
        <v>0.84957000000000005</v>
      </c>
      <c r="AE91" s="78">
        <v>0.88273999999999997</v>
      </c>
      <c r="AF91" s="78">
        <v>0.81277999999999995</v>
      </c>
      <c r="AG91" s="78">
        <f t="shared" si="68"/>
        <v>1.00136</v>
      </c>
      <c r="AH91" s="78">
        <f t="shared" si="69"/>
        <v>0.84957000000000005</v>
      </c>
      <c r="AI91" s="78">
        <f t="shared" si="70"/>
        <v>1.026394</v>
      </c>
      <c r="AJ91" s="78">
        <f t="shared" si="48"/>
        <v>0.87080924999999998</v>
      </c>
      <c r="AK91" s="78">
        <f t="shared" si="71"/>
        <v>0.9048084999999999</v>
      </c>
      <c r="AL91" s="78">
        <f t="shared" si="49"/>
        <v>0.83309949999999988</v>
      </c>
      <c r="AM91" s="78">
        <f t="shared" si="50"/>
        <v>1.026394</v>
      </c>
      <c r="AN91" s="78">
        <f t="shared" si="51"/>
        <v>0.87080924999999998</v>
      </c>
      <c r="AO91" s="78">
        <f t="shared" si="72"/>
        <v>0.96130559999999998</v>
      </c>
      <c r="AP91" s="78">
        <f t="shared" si="52"/>
        <v>0.81558720000000007</v>
      </c>
      <c r="AQ91" s="78">
        <f t="shared" si="73"/>
        <v>0.84743039999999992</v>
      </c>
      <c r="AR91" s="78">
        <f t="shared" si="53"/>
        <v>0.78026879999999987</v>
      </c>
      <c r="AS91" s="78">
        <f t="shared" si="54"/>
        <v>0.96130559999999998</v>
      </c>
      <c r="AT91" s="78">
        <f t="shared" si="55"/>
        <v>0.81558720000000007</v>
      </c>
      <c r="AU91" s="78">
        <v>1.0583199999999999</v>
      </c>
      <c r="AV91" s="78">
        <v>0.93478000000000006</v>
      </c>
      <c r="AW91" s="78">
        <v>0.96699000000000002</v>
      </c>
      <c r="AX91" s="78">
        <v>0.91300999999999999</v>
      </c>
      <c r="AY91" s="78">
        <f t="shared" si="74"/>
        <v>1.0583199999999999</v>
      </c>
      <c r="AZ91" s="78">
        <f t="shared" si="75"/>
        <v>0.93478000000000006</v>
      </c>
      <c r="BA91" s="78">
        <f t="shared" si="76"/>
        <v>1.0847779999999998</v>
      </c>
      <c r="BB91" s="78">
        <f t="shared" si="56"/>
        <v>0.95814949999999999</v>
      </c>
      <c r="BC91" s="78">
        <f t="shared" si="77"/>
        <v>0.99116474999999993</v>
      </c>
      <c r="BD91" s="78">
        <f t="shared" si="57"/>
        <v>0.9358352499999999</v>
      </c>
      <c r="BE91" s="78">
        <f t="shared" si="58"/>
        <v>1.0847779999999998</v>
      </c>
      <c r="BF91" s="78">
        <f t="shared" si="59"/>
        <v>0.95814949999999999</v>
      </c>
      <c r="BG91" s="78">
        <f t="shared" si="78"/>
        <v>1.0159871999999999</v>
      </c>
      <c r="BH91" s="78">
        <f t="shared" si="60"/>
        <v>0.89738879999999999</v>
      </c>
      <c r="BI91" s="78">
        <f t="shared" si="79"/>
        <v>0.92831039999999998</v>
      </c>
      <c r="BJ91" s="78">
        <f t="shared" si="61"/>
        <v>0.87648959999999998</v>
      </c>
      <c r="BK91" s="78">
        <f t="shared" si="62"/>
        <v>1.0159871999999999</v>
      </c>
      <c r="BL91" s="78">
        <f t="shared" si="63"/>
        <v>0.89738879999999999</v>
      </c>
      <c r="BM91" s="78">
        <v>0.92731300000000005</v>
      </c>
      <c r="BN91" s="78">
        <v>0.84442909999999993</v>
      </c>
      <c r="BO91" s="78">
        <v>1.1185112999999998</v>
      </c>
      <c r="BP91" s="78">
        <v>1.0162263500000002</v>
      </c>
    </row>
    <row r="92" spans="1:68" ht="13" x14ac:dyDescent="0.25">
      <c r="A92" s="60">
        <v>1</v>
      </c>
      <c r="B92" s="55">
        <v>84</v>
      </c>
      <c r="C92" s="61">
        <v>0.90459141684906563</v>
      </c>
      <c r="D92" s="61">
        <v>0.94599410401741491</v>
      </c>
      <c r="E92" s="81">
        <v>0.91749174830113123</v>
      </c>
      <c r="F92" s="81">
        <v>0.96236870461135948</v>
      </c>
      <c r="G92" s="78">
        <v>0.8784904</v>
      </c>
      <c r="H92" s="78">
        <v>0.96892889999999998</v>
      </c>
      <c r="I92" s="78">
        <v>0.94863730000000002</v>
      </c>
      <c r="J92" s="78">
        <v>0.94832949999999994</v>
      </c>
      <c r="K92" s="78">
        <v>1.1815345000000002</v>
      </c>
      <c r="L92" s="78">
        <v>1.0598516</v>
      </c>
      <c r="M92" s="78">
        <v>1.0433342000000001</v>
      </c>
      <c r="N92" s="78">
        <v>0.93588419999999994</v>
      </c>
      <c r="O92" s="78">
        <v>1.1815345000000002</v>
      </c>
      <c r="P92" s="78">
        <v>1.0598516</v>
      </c>
      <c r="Q92" s="78">
        <f t="shared" si="64"/>
        <v>1.2110728625</v>
      </c>
      <c r="R92" s="78">
        <f t="shared" si="40"/>
        <v>1.0863478899999999</v>
      </c>
      <c r="S92" s="78">
        <f t="shared" si="65"/>
        <v>1.069417555</v>
      </c>
      <c r="T92" s="78">
        <f t="shared" si="41"/>
        <v>0.95928130499999986</v>
      </c>
      <c r="U92" s="78">
        <f t="shared" si="42"/>
        <v>1.2110728625</v>
      </c>
      <c r="V92" s="78">
        <f t="shared" si="43"/>
        <v>1.0863478899999999</v>
      </c>
      <c r="W92" s="78">
        <f t="shared" si="66"/>
        <v>1.13427312</v>
      </c>
      <c r="X92" s="78">
        <f t="shared" si="44"/>
        <v>1.017457536</v>
      </c>
      <c r="Y92" s="78">
        <f t="shared" si="67"/>
        <v>1.0016008320000001</v>
      </c>
      <c r="Z92" s="78">
        <f t="shared" si="45"/>
        <v>0.89844883199999992</v>
      </c>
      <c r="AA92" s="78">
        <f t="shared" si="46"/>
        <v>1.13427312</v>
      </c>
      <c r="AB92" s="78">
        <f t="shared" si="47"/>
        <v>1.017457536</v>
      </c>
      <c r="AC92" s="78">
        <v>1.0177</v>
      </c>
      <c r="AD92" s="78">
        <v>0.84467000000000003</v>
      </c>
      <c r="AE92" s="78">
        <v>0.87463000000000002</v>
      </c>
      <c r="AF92" s="78">
        <v>0.79569999999999996</v>
      </c>
      <c r="AG92" s="78">
        <f t="shared" si="68"/>
        <v>1.0177</v>
      </c>
      <c r="AH92" s="78">
        <f t="shared" si="69"/>
        <v>0.84467000000000003</v>
      </c>
      <c r="AI92" s="78">
        <f t="shared" si="70"/>
        <v>1.0431424999999999</v>
      </c>
      <c r="AJ92" s="78">
        <f t="shared" si="48"/>
        <v>0.86578674999999994</v>
      </c>
      <c r="AK92" s="78">
        <f t="shared" si="71"/>
        <v>0.89649574999999992</v>
      </c>
      <c r="AL92" s="78">
        <f t="shared" si="49"/>
        <v>0.81559249999999994</v>
      </c>
      <c r="AM92" s="78">
        <f t="shared" si="50"/>
        <v>1.0431424999999999</v>
      </c>
      <c r="AN92" s="78">
        <f t="shared" si="51"/>
        <v>0.86578674999999994</v>
      </c>
      <c r="AO92" s="78">
        <f t="shared" si="72"/>
        <v>0.97699199999999997</v>
      </c>
      <c r="AP92" s="78">
        <f t="shared" si="52"/>
        <v>0.81088320000000003</v>
      </c>
      <c r="AQ92" s="78">
        <f t="shared" si="73"/>
        <v>0.83964479999999997</v>
      </c>
      <c r="AR92" s="78">
        <f t="shared" si="53"/>
        <v>0.76387199999999988</v>
      </c>
      <c r="AS92" s="78">
        <f t="shared" si="54"/>
        <v>0.97699199999999997</v>
      </c>
      <c r="AT92" s="78">
        <f t="shared" si="55"/>
        <v>0.81088320000000003</v>
      </c>
      <c r="AU92" s="78">
        <v>1.06674</v>
      </c>
      <c r="AV92" s="78">
        <v>0.92618999999999996</v>
      </c>
      <c r="AW92" s="78">
        <v>0.95831</v>
      </c>
      <c r="AX92" s="78">
        <v>0.89336000000000004</v>
      </c>
      <c r="AY92" s="78">
        <f t="shared" si="74"/>
        <v>1.06674</v>
      </c>
      <c r="AZ92" s="78">
        <f t="shared" si="75"/>
        <v>0.92618999999999996</v>
      </c>
      <c r="BA92" s="78">
        <f t="shared" si="76"/>
        <v>1.0934085</v>
      </c>
      <c r="BB92" s="78">
        <f t="shared" si="56"/>
        <v>0.94934474999999985</v>
      </c>
      <c r="BC92" s="78">
        <f t="shared" si="77"/>
        <v>0.98226774999999988</v>
      </c>
      <c r="BD92" s="78">
        <f t="shared" si="57"/>
        <v>0.91569400000000001</v>
      </c>
      <c r="BE92" s="78">
        <f t="shared" si="58"/>
        <v>1.0934085</v>
      </c>
      <c r="BF92" s="78">
        <f t="shared" si="59"/>
        <v>0.94934474999999985</v>
      </c>
      <c r="BG92" s="78">
        <f t="shared" si="78"/>
        <v>1.0240704</v>
      </c>
      <c r="BH92" s="78">
        <f t="shared" si="60"/>
        <v>0.88914239999999989</v>
      </c>
      <c r="BI92" s="78">
        <f t="shared" si="79"/>
        <v>0.91997759999999995</v>
      </c>
      <c r="BJ92" s="78">
        <f t="shared" si="61"/>
        <v>0.85762559999999999</v>
      </c>
      <c r="BK92" s="78">
        <f t="shared" si="62"/>
        <v>1.0240704</v>
      </c>
      <c r="BL92" s="78">
        <f t="shared" si="63"/>
        <v>0.88914239999999989</v>
      </c>
      <c r="BM92" s="78">
        <v>0.93520049999999999</v>
      </c>
      <c r="BN92" s="78">
        <v>0.83878699999999995</v>
      </c>
      <c r="BO92" s="78">
        <v>1.11243435</v>
      </c>
      <c r="BP92" s="78">
        <v>0.99786789999999992</v>
      </c>
    </row>
    <row r="93" spans="1:68" ht="13" x14ac:dyDescent="0.25">
      <c r="A93" s="60">
        <v>1</v>
      </c>
      <c r="B93" s="55">
        <v>85</v>
      </c>
      <c r="C93" s="61">
        <v>0.96011751612266483</v>
      </c>
      <c r="D93" s="61">
        <v>0.91043205189180121</v>
      </c>
      <c r="E93" s="81">
        <v>0.97332053991808209</v>
      </c>
      <c r="F93" s="81">
        <v>0.92619391294324205</v>
      </c>
      <c r="G93" s="78">
        <v>0.96962909999999991</v>
      </c>
      <c r="H93" s="78">
        <v>0.90755600000000003</v>
      </c>
      <c r="I93" s="78">
        <v>0.96893479999999998</v>
      </c>
      <c r="J93" s="78">
        <v>0.93831130000000007</v>
      </c>
      <c r="K93" s="78">
        <v>1.1700443</v>
      </c>
      <c r="L93" s="78">
        <v>1.0444934000000001</v>
      </c>
      <c r="M93" s="78">
        <v>1.033188</v>
      </c>
      <c r="N93" s="78">
        <v>0.92232249999999993</v>
      </c>
      <c r="O93" s="78">
        <v>1.1700443</v>
      </c>
      <c r="P93" s="78">
        <v>1.0444934000000001</v>
      </c>
      <c r="Q93" s="78">
        <f t="shared" si="64"/>
        <v>1.1992954075</v>
      </c>
      <c r="R93" s="78">
        <f t="shared" si="40"/>
        <v>1.070605735</v>
      </c>
      <c r="S93" s="78">
        <f t="shared" si="65"/>
        <v>1.0590176999999998</v>
      </c>
      <c r="T93" s="78">
        <f t="shared" si="41"/>
        <v>0.9453805624999998</v>
      </c>
      <c r="U93" s="78">
        <f t="shared" si="42"/>
        <v>1.1992954075</v>
      </c>
      <c r="V93" s="78">
        <f t="shared" si="43"/>
        <v>1.070605735</v>
      </c>
      <c r="W93" s="78">
        <f t="shared" si="66"/>
        <v>1.123242528</v>
      </c>
      <c r="X93" s="78">
        <f t="shared" si="44"/>
        <v>1.0027136640000001</v>
      </c>
      <c r="Y93" s="78">
        <f t="shared" si="67"/>
        <v>0.99186047999999993</v>
      </c>
      <c r="Z93" s="78">
        <f t="shared" si="45"/>
        <v>0.88542959999999993</v>
      </c>
      <c r="AA93" s="78">
        <f t="shared" si="46"/>
        <v>1.123242528</v>
      </c>
      <c r="AB93" s="78">
        <f t="shared" si="47"/>
        <v>1.0027136640000001</v>
      </c>
      <c r="AC93" s="78">
        <v>1.0383599999999999</v>
      </c>
      <c r="AD93" s="78">
        <v>0.84435000000000004</v>
      </c>
      <c r="AE93" s="78">
        <v>0.86016999999999999</v>
      </c>
      <c r="AF93" s="78">
        <v>0.78064999999999996</v>
      </c>
      <c r="AG93" s="78">
        <f t="shared" si="68"/>
        <v>1.0383599999999999</v>
      </c>
      <c r="AH93" s="78">
        <f t="shared" si="69"/>
        <v>0.84435000000000004</v>
      </c>
      <c r="AI93" s="78">
        <f t="shared" si="70"/>
        <v>1.0643189999999998</v>
      </c>
      <c r="AJ93" s="78">
        <f t="shared" si="48"/>
        <v>0.86545874999999994</v>
      </c>
      <c r="AK93" s="78">
        <f t="shared" si="71"/>
        <v>0.88167424999999988</v>
      </c>
      <c r="AL93" s="78">
        <f t="shared" si="49"/>
        <v>0.80016624999999986</v>
      </c>
      <c r="AM93" s="78">
        <f t="shared" si="50"/>
        <v>1.0643189999999998</v>
      </c>
      <c r="AN93" s="78">
        <f t="shared" si="51"/>
        <v>0.86545874999999994</v>
      </c>
      <c r="AO93" s="78">
        <f t="shared" si="72"/>
        <v>0.99682559999999987</v>
      </c>
      <c r="AP93" s="78">
        <f t="shared" si="52"/>
        <v>0.81057599999999996</v>
      </c>
      <c r="AQ93" s="78">
        <f t="shared" si="73"/>
        <v>0.82576319999999992</v>
      </c>
      <c r="AR93" s="78">
        <f t="shared" si="53"/>
        <v>0.74942399999999998</v>
      </c>
      <c r="AS93" s="78">
        <f t="shared" si="54"/>
        <v>0.99682559999999987</v>
      </c>
      <c r="AT93" s="78">
        <f t="shared" si="55"/>
        <v>0.81057599999999996</v>
      </c>
      <c r="AU93" s="78">
        <v>1.0748599999999999</v>
      </c>
      <c r="AV93" s="78">
        <v>0.91986999999999997</v>
      </c>
      <c r="AW93" s="78">
        <v>0.94599</v>
      </c>
      <c r="AX93" s="78">
        <v>0.87778</v>
      </c>
      <c r="AY93" s="78">
        <f t="shared" si="74"/>
        <v>1.0748599999999999</v>
      </c>
      <c r="AZ93" s="78">
        <f t="shared" si="75"/>
        <v>0.91986999999999997</v>
      </c>
      <c r="BA93" s="78">
        <f t="shared" si="76"/>
        <v>1.1017314999999999</v>
      </c>
      <c r="BB93" s="78">
        <f t="shared" si="56"/>
        <v>0.94286674999999986</v>
      </c>
      <c r="BC93" s="78">
        <f t="shared" si="77"/>
        <v>0.96963974999999991</v>
      </c>
      <c r="BD93" s="78">
        <f t="shared" si="57"/>
        <v>0.89972449999999993</v>
      </c>
      <c r="BE93" s="78">
        <f t="shared" si="58"/>
        <v>1.1017314999999999</v>
      </c>
      <c r="BF93" s="78">
        <f t="shared" si="59"/>
        <v>0.94286674999999986</v>
      </c>
      <c r="BG93" s="78">
        <f t="shared" si="78"/>
        <v>1.0318655999999999</v>
      </c>
      <c r="BH93" s="78">
        <f t="shared" si="60"/>
        <v>0.88307519999999995</v>
      </c>
      <c r="BI93" s="78">
        <f t="shared" si="79"/>
        <v>0.90815039999999991</v>
      </c>
      <c r="BJ93" s="78">
        <f t="shared" si="61"/>
        <v>0.8426688</v>
      </c>
      <c r="BK93" s="78">
        <f t="shared" si="62"/>
        <v>1.0318655999999999</v>
      </c>
      <c r="BL93" s="78">
        <f t="shared" si="63"/>
        <v>0.88307519999999995</v>
      </c>
      <c r="BM93" s="78">
        <v>0.94027730000000009</v>
      </c>
      <c r="BN93" s="78">
        <v>0.8364201</v>
      </c>
      <c r="BO93" s="78">
        <v>1.1016161499999999</v>
      </c>
      <c r="BP93" s="78">
        <v>0.98340795000000003</v>
      </c>
    </row>
    <row r="94" spans="1:68" ht="13" x14ac:dyDescent="0.25">
      <c r="A94" s="60">
        <v>1</v>
      </c>
      <c r="B94" s="55">
        <v>86</v>
      </c>
      <c r="C94" s="61">
        <v>0.96159560561840884</v>
      </c>
      <c r="D94" s="61">
        <v>0.91002820437055387</v>
      </c>
      <c r="E94" s="81">
        <v>0.97453029228793253</v>
      </c>
      <c r="F94" s="81">
        <v>0.92553716664904606</v>
      </c>
      <c r="G94" s="78">
        <v>0.96971069999999993</v>
      </c>
      <c r="H94" s="78">
        <v>0.90753150000000005</v>
      </c>
      <c r="I94" s="78">
        <v>0.97186470000000003</v>
      </c>
      <c r="J94" s="78">
        <v>0.93750670000000003</v>
      </c>
      <c r="K94" s="78">
        <v>1.1533367999999999</v>
      </c>
      <c r="L94" s="78">
        <v>1.0340581</v>
      </c>
      <c r="M94" s="78">
        <v>1.0184347</v>
      </c>
      <c r="N94" s="78">
        <v>0.91310770000000008</v>
      </c>
      <c r="O94" s="78">
        <v>1.1533367999999999</v>
      </c>
      <c r="P94" s="78">
        <v>1.0340581</v>
      </c>
      <c r="Q94" s="78">
        <f t="shared" si="64"/>
        <v>1.1821702199999999</v>
      </c>
      <c r="R94" s="78">
        <f t="shared" si="40"/>
        <v>1.0599095525</v>
      </c>
      <c r="S94" s="78">
        <f t="shared" si="65"/>
        <v>1.0438955674999999</v>
      </c>
      <c r="T94" s="78">
        <f t="shared" si="41"/>
        <v>0.93593539250000002</v>
      </c>
      <c r="U94" s="78">
        <f t="shared" si="42"/>
        <v>1.1821702199999999</v>
      </c>
      <c r="V94" s="78">
        <f t="shared" si="43"/>
        <v>1.0599095525</v>
      </c>
      <c r="W94" s="78">
        <f t="shared" si="66"/>
        <v>1.107203328</v>
      </c>
      <c r="X94" s="78">
        <f t="shared" si="44"/>
        <v>0.99269577599999992</v>
      </c>
      <c r="Y94" s="78">
        <f t="shared" si="67"/>
        <v>0.97769731199999999</v>
      </c>
      <c r="Z94" s="78">
        <f t="shared" si="45"/>
        <v>0.87658339200000002</v>
      </c>
      <c r="AA94" s="78">
        <f t="shared" si="46"/>
        <v>1.107203328</v>
      </c>
      <c r="AB94" s="78">
        <f t="shared" si="47"/>
        <v>0.99269577599999992</v>
      </c>
      <c r="AC94" s="78">
        <v>1.0405899999999999</v>
      </c>
      <c r="AD94" s="78">
        <v>0.86355999999999999</v>
      </c>
      <c r="AE94" s="78">
        <v>0.87031000000000003</v>
      </c>
      <c r="AF94" s="78">
        <v>0.79242999999999997</v>
      </c>
      <c r="AG94" s="78">
        <f t="shared" si="68"/>
        <v>1.0405899999999999</v>
      </c>
      <c r="AH94" s="78">
        <f t="shared" si="69"/>
        <v>0.86355999999999999</v>
      </c>
      <c r="AI94" s="78">
        <f t="shared" si="70"/>
        <v>1.0666047499999998</v>
      </c>
      <c r="AJ94" s="78">
        <f t="shared" si="48"/>
        <v>0.88514899999999996</v>
      </c>
      <c r="AK94" s="78">
        <f t="shared" si="71"/>
        <v>0.89206774999999994</v>
      </c>
      <c r="AL94" s="78">
        <f t="shared" si="49"/>
        <v>0.81224074999999984</v>
      </c>
      <c r="AM94" s="78">
        <f t="shared" si="50"/>
        <v>1.0666047499999998</v>
      </c>
      <c r="AN94" s="78">
        <f t="shared" si="51"/>
        <v>0.88514899999999996</v>
      </c>
      <c r="AO94" s="78">
        <f t="shared" si="72"/>
        <v>0.99896639999999992</v>
      </c>
      <c r="AP94" s="78">
        <f t="shared" si="52"/>
        <v>0.82901759999999991</v>
      </c>
      <c r="AQ94" s="78">
        <f t="shared" si="73"/>
        <v>0.83549759999999995</v>
      </c>
      <c r="AR94" s="78">
        <f t="shared" si="53"/>
        <v>0.76073279999999999</v>
      </c>
      <c r="AS94" s="78">
        <f t="shared" si="54"/>
        <v>0.99896639999999992</v>
      </c>
      <c r="AT94" s="78">
        <f t="shared" si="55"/>
        <v>0.82901759999999991</v>
      </c>
      <c r="AU94" s="78">
        <v>1.07185</v>
      </c>
      <c r="AV94" s="78">
        <v>0.92789999999999995</v>
      </c>
      <c r="AW94" s="78">
        <v>0.94377999999999995</v>
      </c>
      <c r="AX94" s="78">
        <v>0.87517</v>
      </c>
      <c r="AY94" s="78">
        <f t="shared" si="74"/>
        <v>1.07185</v>
      </c>
      <c r="AZ94" s="78">
        <f t="shared" si="75"/>
        <v>0.92789999999999995</v>
      </c>
      <c r="BA94" s="78">
        <f t="shared" si="76"/>
        <v>1.0986462499999998</v>
      </c>
      <c r="BB94" s="78">
        <f t="shared" si="56"/>
        <v>0.95109749999999982</v>
      </c>
      <c r="BC94" s="78">
        <f t="shared" si="77"/>
        <v>0.96737449999999992</v>
      </c>
      <c r="BD94" s="78">
        <f t="shared" si="57"/>
        <v>0.89704924999999991</v>
      </c>
      <c r="BE94" s="78">
        <f t="shared" si="58"/>
        <v>1.0986462499999998</v>
      </c>
      <c r="BF94" s="78">
        <f t="shared" si="59"/>
        <v>0.95109749999999982</v>
      </c>
      <c r="BG94" s="78">
        <f t="shared" si="78"/>
        <v>1.0289759999999999</v>
      </c>
      <c r="BH94" s="78">
        <f t="shared" si="60"/>
        <v>0.89078399999999991</v>
      </c>
      <c r="BI94" s="78">
        <f t="shared" si="79"/>
        <v>0.90602879999999997</v>
      </c>
      <c r="BJ94" s="78">
        <f t="shared" si="61"/>
        <v>0.8401632</v>
      </c>
      <c r="BK94" s="78">
        <f t="shared" si="62"/>
        <v>1.0289759999999999</v>
      </c>
      <c r="BL94" s="78">
        <f t="shared" si="63"/>
        <v>0.89078399999999991</v>
      </c>
      <c r="BM94" s="78">
        <v>0.94678970000000007</v>
      </c>
      <c r="BN94" s="78">
        <v>0.84419200000000005</v>
      </c>
      <c r="BO94" s="78">
        <v>1.0858857500000001</v>
      </c>
      <c r="BP94" s="78">
        <v>0.97358290000000003</v>
      </c>
    </row>
    <row r="95" spans="1:68" ht="13" x14ac:dyDescent="0.25">
      <c r="A95" s="60">
        <v>1</v>
      </c>
      <c r="B95" s="55">
        <v>87</v>
      </c>
      <c r="C95" s="61">
        <v>0.96120490484014465</v>
      </c>
      <c r="D95" s="61">
        <v>0.91173760599285147</v>
      </c>
      <c r="E95" s="81">
        <v>0.97383615440437665</v>
      </c>
      <c r="F95" s="81">
        <v>0.92705105201518267</v>
      </c>
      <c r="G95" s="78">
        <v>0.96969980000000011</v>
      </c>
      <c r="H95" s="78">
        <v>0.90758059999999996</v>
      </c>
      <c r="I95" s="78">
        <v>0.97107940000000004</v>
      </c>
      <c r="J95" s="78">
        <v>0.94096860000000004</v>
      </c>
      <c r="K95" s="78">
        <v>1.1328617000000001</v>
      </c>
      <c r="L95" s="78">
        <v>1.0284751999999999</v>
      </c>
      <c r="M95" s="78">
        <v>1.0003546000000001</v>
      </c>
      <c r="N95" s="78">
        <v>0.90817780000000004</v>
      </c>
      <c r="O95" s="78">
        <v>1.1328617000000001</v>
      </c>
      <c r="P95" s="78">
        <v>1.0284751999999999</v>
      </c>
      <c r="Q95" s="78">
        <f t="shared" si="64"/>
        <v>1.1611832424999999</v>
      </c>
      <c r="R95" s="78">
        <f t="shared" si="40"/>
        <v>1.0541870799999997</v>
      </c>
      <c r="S95" s="78">
        <f t="shared" si="65"/>
        <v>1.0253634650000001</v>
      </c>
      <c r="T95" s="78">
        <f t="shared" si="41"/>
        <v>0.93088224499999994</v>
      </c>
      <c r="U95" s="78">
        <f t="shared" si="42"/>
        <v>1.1611832424999999</v>
      </c>
      <c r="V95" s="78">
        <f t="shared" si="43"/>
        <v>1.0541870799999997</v>
      </c>
      <c r="W95" s="78">
        <f t="shared" si="66"/>
        <v>1.0875472320000001</v>
      </c>
      <c r="X95" s="78">
        <f t="shared" si="44"/>
        <v>0.98733619199999989</v>
      </c>
      <c r="Y95" s="78">
        <f t="shared" si="67"/>
        <v>0.96034041600000009</v>
      </c>
      <c r="Z95" s="78">
        <f t="shared" si="45"/>
        <v>0.87185068799999998</v>
      </c>
      <c r="AA95" s="78">
        <f t="shared" si="46"/>
        <v>1.0875472320000001</v>
      </c>
      <c r="AB95" s="78">
        <f t="shared" si="47"/>
        <v>0.98733619199999989</v>
      </c>
      <c r="AC95" s="78">
        <v>1.0366</v>
      </c>
      <c r="AD95" s="78">
        <v>0.88258999999999999</v>
      </c>
      <c r="AE95" s="78">
        <v>0.87387999999999999</v>
      </c>
      <c r="AF95" s="78">
        <v>0.80491999999999997</v>
      </c>
      <c r="AG95" s="78">
        <f t="shared" si="68"/>
        <v>1.0366</v>
      </c>
      <c r="AH95" s="78">
        <f t="shared" si="69"/>
        <v>0.88258999999999999</v>
      </c>
      <c r="AI95" s="78">
        <f t="shared" si="70"/>
        <v>1.0625149999999999</v>
      </c>
      <c r="AJ95" s="78">
        <f t="shared" si="48"/>
        <v>0.90465474999999995</v>
      </c>
      <c r="AK95" s="78">
        <f t="shared" si="71"/>
        <v>0.89572699999999994</v>
      </c>
      <c r="AL95" s="78">
        <f t="shared" si="49"/>
        <v>0.82504299999999986</v>
      </c>
      <c r="AM95" s="78">
        <f t="shared" si="50"/>
        <v>1.0625149999999999</v>
      </c>
      <c r="AN95" s="78">
        <f t="shared" si="51"/>
        <v>0.90465474999999995</v>
      </c>
      <c r="AO95" s="78">
        <f t="shared" si="72"/>
        <v>0.99513599999999991</v>
      </c>
      <c r="AP95" s="78">
        <f t="shared" si="52"/>
        <v>0.8472864</v>
      </c>
      <c r="AQ95" s="78">
        <f t="shared" si="73"/>
        <v>0.83892479999999992</v>
      </c>
      <c r="AR95" s="78">
        <f t="shared" si="53"/>
        <v>0.77272319999999994</v>
      </c>
      <c r="AS95" s="78">
        <f t="shared" si="54"/>
        <v>0.99513599999999991</v>
      </c>
      <c r="AT95" s="78">
        <f t="shared" si="55"/>
        <v>0.8472864</v>
      </c>
      <c r="AU95" s="78">
        <v>1.06328</v>
      </c>
      <c r="AV95" s="78">
        <v>0.93764000000000003</v>
      </c>
      <c r="AW95" s="78">
        <v>0.93662000000000001</v>
      </c>
      <c r="AX95" s="78">
        <v>0.87570999999999999</v>
      </c>
      <c r="AY95" s="78">
        <f t="shared" si="74"/>
        <v>1.06328</v>
      </c>
      <c r="AZ95" s="78">
        <f t="shared" si="75"/>
        <v>0.93764000000000003</v>
      </c>
      <c r="BA95" s="78">
        <f t="shared" si="76"/>
        <v>1.0898619999999999</v>
      </c>
      <c r="BB95" s="78">
        <f t="shared" si="56"/>
        <v>0.96108099999999996</v>
      </c>
      <c r="BC95" s="78">
        <f t="shared" si="77"/>
        <v>0.96003549999999993</v>
      </c>
      <c r="BD95" s="78">
        <f t="shared" si="57"/>
        <v>0.89760274999999989</v>
      </c>
      <c r="BE95" s="78">
        <f t="shared" si="58"/>
        <v>1.0898619999999999</v>
      </c>
      <c r="BF95" s="78">
        <f t="shared" si="59"/>
        <v>0.96108099999999996</v>
      </c>
      <c r="BG95" s="78">
        <f t="shared" si="78"/>
        <v>1.0207488</v>
      </c>
      <c r="BH95" s="78">
        <f t="shared" si="60"/>
        <v>0.9001344</v>
      </c>
      <c r="BI95" s="78">
        <f t="shared" si="79"/>
        <v>0.89915519999999993</v>
      </c>
      <c r="BJ95" s="78">
        <f t="shared" si="61"/>
        <v>0.84068159999999992</v>
      </c>
      <c r="BK95" s="78">
        <f t="shared" si="62"/>
        <v>1.0207488</v>
      </c>
      <c r="BL95" s="78">
        <f t="shared" si="63"/>
        <v>0.9001344</v>
      </c>
      <c r="BM95" s="78">
        <v>0.9502815</v>
      </c>
      <c r="BN95" s="78">
        <v>0.85608230000000007</v>
      </c>
      <c r="BO95" s="78">
        <v>1.06660815</v>
      </c>
      <c r="BP95" s="78">
        <v>0.96832649999999998</v>
      </c>
    </row>
    <row r="96" spans="1:68" ht="13" x14ac:dyDescent="0.25">
      <c r="A96" s="60">
        <v>1</v>
      </c>
      <c r="B96" s="55">
        <v>88</v>
      </c>
      <c r="C96" s="61">
        <v>0.95983926084026383</v>
      </c>
      <c r="D96" s="61">
        <v>0.91556158137776811</v>
      </c>
      <c r="E96" s="81">
        <v>0.97214871264134628</v>
      </c>
      <c r="F96" s="81">
        <v>0.9307379298680627</v>
      </c>
      <c r="G96" s="78">
        <v>0.96968689999999991</v>
      </c>
      <c r="H96" s="78">
        <v>0.90760620000000003</v>
      </c>
      <c r="I96" s="78">
        <v>0.96830859999999996</v>
      </c>
      <c r="J96" s="78">
        <v>0.94879959999999997</v>
      </c>
      <c r="K96" s="78">
        <v>1.1107918999999999</v>
      </c>
      <c r="L96" s="78">
        <v>1.027725</v>
      </c>
      <c r="M96" s="78">
        <v>0.98086619999999991</v>
      </c>
      <c r="N96" s="78">
        <v>0.90751540000000008</v>
      </c>
      <c r="O96" s="78">
        <v>1.1107918999999999</v>
      </c>
      <c r="P96" s="78">
        <v>1.027725</v>
      </c>
      <c r="Q96" s="78">
        <f t="shared" si="64"/>
        <v>1.1385616974999999</v>
      </c>
      <c r="R96" s="78">
        <f t="shared" si="40"/>
        <v>1.0534181249999999</v>
      </c>
      <c r="S96" s="78">
        <f t="shared" si="65"/>
        <v>1.0053878549999997</v>
      </c>
      <c r="T96" s="78">
        <f t="shared" si="41"/>
        <v>0.93020328500000005</v>
      </c>
      <c r="U96" s="78">
        <f t="shared" si="42"/>
        <v>1.1385616974999999</v>
      </c>
      <c r="V96" s="78">
        <f t="shared" si="43"/>
        <v>1.0534181249999999</v>
      </c>
      <c r="W96" s="78">
        <f t="shared" si="66"/>
        <v>1.0663602239999999</v>
      </c>
      <c r="X96" s="78">
        <f t="shared" si="44"/>
        <v>0.98661599999999994</v>
      </c>
      <c r="Y96" s="78">
        <f t="shared" si="67"/>
        <v>0.94163155199999993</v>
      </c>
      <c r="Z96" s="78">
        <f t="shared" si="45"/>
        <v>0.87121478400000008</v>
      </c>
      <c r="AA96" s="78">
        <f t="shared" si="46"/>
        <v>1.0663602239999999</v>
      </c>
      <c r="AB96" s="78">
        <f t="shared" si="47"/>
        <v>0.98661599999999994</v>
      </c>
      <c r="AC96" s="78">
        <v>1.02868</v>
      </c>
      <c r="AD96" s="78">
        <v>0.90232000000000001</v>
      </c>
      <c r="AE96" s="78">
        <v>0.87297999999999998</v>
      </c>
      <c r="AF96" s="78">
        <v>0.81874999999999998</v>
      </c>
      <c r="AG96" s="78">
        <f t="shared" si="68"/>
        <v>1.02868</v>
      </c>
      <c r="AH96" s="78">
        <f t="shared" si="69"/>
        <v>0.90232000000000001</v>
      </c>
      <c r="AI96" s="78">
        <f t="shared" si="70"/>
        <v>1.054397</v>
      </c>
      <c r="AJ96" s="78">
        <f t="shared" si="48"/>
        <v>0.92487799999999998</v>
      </c>
      <c r="AK96" s="78">
        <f t="shared" si="71"/>
        <v>0.89480449999999989</v>
      </c>
      <c r="AL96" s="78">
        <f t="shared" si="49"/>
        <v>0.8392187499999999</v>
      </c>
      <c r="AM96" s="78">
        <f t="shared" si="50"/>
        <v>1.054397</v>
      </c>
      <c r="AN96" s="78">
        <f t="shared" si="51"/>
        <v>0.92487799999999998</v>
      </c>
      <c r="AO96" s="78">
        <f t="shared" si="72"/>
        <v>0.98753279999999999</v>
      </c>
      <c r="AP96" s="78">
        <f t="shared" si="52"/>
        <v>0.86622719999999997</v>
      </c>
      <c r="AQ96" s="78">
        <f t="shared" si="73"/>
        <v>0.83806079999999994</v>
      </c>
      <c r="AR96" s="78">
        <f t="shared" si="53"/>
        <v>0.78599999999999992</v>
      </c>
      <c r="AS96" s="78">
        <f t="shared" si="54"/>
        <v>0.98753279999999999</v>
      </c>
      <c r="AT96" s="78">
        <f t="shared" si="55"/>
        <v>0.86622719999999997</v>
      </c>
      <c r="AU96" s="78">
        <v>1.0514399999999999</v>
      </c>
      <c r="AV96" s="78">
        <v>0.94964000000000004</v>
      </c>
      <c r="AW96" s="78">
        <v>0.92649999999999999</v>
      </c>
      <c r="AX96" s="78">
        <v>0.87961</v>
      </c>
      <c r="AY96" s="78">
        <f t="shared" si="74"/>
        <v>1.0514399999999999</v>
      </c>
      <c r="AZ96" s="78">
        <f t="shared" si="75"/>
        <v>0.94964000000000004</v>
      </c>
      <c r="BA96" s="78">
        <f t="shared" si="76"/>
        <v>1.0777259999999997</v>
      </c>
      <c r="BB96" s="78">
        <f t="shared" si="56"/>
        <v>0.97338099999999994</v>
      </c>
      <c r="BC96" s="78">
        <f t="shared" si="77"/>
        <v>0.94966249999999985</v>
      </c>
      <c r="BD96" s="78">
        <f t="shared" si="57"/>
        <v>0.90160024999999988</v>
      </c>
      <c r="BE96" s="78">
        <f t="shared" si="58"/>
        <v>1.0777259999999997</v>
      </c>
      <c r="BF96" s="78">
        <f t="shared" si="59"/>
        <v>0.97338099999999994</v>
      </c>
      <c r="BG96" s="78">
        <f t="shared" si="78"/>
        <v>1.0093823999999998</v>
      </c>
      <c r="BH96" s="78">
        <f t="shared" si="60"/>
        <v>0.91165439999999998</v>
      </c>
      <c r="BI96" s="78">
        <f t="shared" si="79"/>
        <v>0.88944000000000001</v>
      </c>
      <c r="BJ96" s="78">
        <f t="shared" si="61"/>
        <v>0.8444256</v>
      </c>
      <c r="BK96" s="78">
        <f t="shared" si="62"/>
        <v>1.0093823999999998</v>
      </c>
      <c r="BL96" s="78">
        <f t="shared" si="63"/>
        <v>0.91165439999999998</v>
      </c>
      <c r="BM96" s="78">
        <v>0.95240480000000005</v>
      </c>
      <c r="BN96" s="78">
        <v>0.87231979999999998</v>
      </c>
      <c r="BO96" s="78">
        <v>1.04582905</v>
      </c>
      <c r="BP96" s="78">
        <v>0.96762020000000004</v>
      </c>
    </row>
    <row r="97" spans="1:68" ht="13" x14ac:dyDescent="0.25">
      <c r="A97" s="60">
        <v>1</v>
      </c>
      <c r="B97" s="55">
        <v>89</v>
      </c>
      <c r="C97" s="61">
        <v>0.95841220460300869</v>
      </c>
      <c r="D97" s="61">
        <v>0.92157639005475189</v>
      </c>
      <c r="E97" s="81">
        <v>0.97039927949205307</v>
      </c>
      <c r="F97" s="81">
        <v>0.93667648810139337</v>
      </c>
      <c r="G97" s="78">
        <v>0.96964699999999993</v>
      </c>
      <c r="H97" s="78">
        <v>0.90757929999999998</v>
      </c>
      <c r="I97" s="78">
        <v>0.96544010000000002</v>
      </c>
      <c r="J97" s="78">
        <v>0.9611862000000001</v>
      </c>
      <c r="K97" s="78">
        <v>1.0893358</v>
      </c>
      <c r="L97" s="78">
        <v>1.0318788000000001</v>
      </c>
      <c r="M97" s="78">
        <v>0.96191969999999993</v>
      </c>
      <c r="N97" s="78">
        <v>0.91118330000000003</v>
      </c>
      <c r="O97" s="78">
        <v>1.0893358</v>
      </c>
      <c r="P97" s="78">
        <v>1.0318788000000001</v>
      </c>
      <c r="Q97" s="78">
        <f t="shared" si="64"/>
        <v>1.1165691949999998</v>
      </c>
      <c r="R97" s="78">
        <f t="shared" si="40"/>
        <v>1.0576757699999999</v>
      </c>
      <c r="S97" s="78">
        <f t="shared" si="65"/>
        <v>0.98596769249999983</v>
      </c>
      <c r="T97" s="78">
        <f t="shared" si="41"/>
        <v>0.93396288249999992</v>
      </c>
      <c r="U97" s="78">
        <f t="shared" si="42"/>
        <v>1.1165691949999998</v>
      </c>
      <c r="V97" s="78">
        <f t="shared" si="43"/>
        <v>1.0576757699999999</v>
      </c>
      <c r="W97" s="78">
        <f t="shared" si="66"/>
        <v>1.0457623679999999</v>
      </c>
      <c r="X97" s="78">
        <f t="shared" si="44"/>
        <v>0.990603648</v>
      </c>
      <c r="Y97" s="78">
        <f t="shared" si="67"/>
        <v>0.92344291199999995</v>
      </c>
      <c r="Z97" s="78">
        <f t="shared" si="45"/>
        <v>0.87473596799999997</v>
      </c>
      <c r="AA97" s="78">
        <f t="shared" si="46"/>
        <v>1.0457623679999999</v>
      </c>
      <c r="AB97" s="78">
        <f t="shared" si="47"/>
        <v>0.990603648</v>
      </c>
      <c r="AC97" s="78">
        <v>1.0192300000000001</v>
      </c>
      <c r="AD97" s="78">
        <v>0.92354999999999998</v>
      </c>
      <c r="AE97" s="78">
        <v>0.86980999999999997</v>
      </c>
      <c r="AF97" s="78">
        <v>0.83450999999999997</v>
      </c>
      <c r="AG97" s="78">
        <f t="shared" si="68"/>
        <v>1.0192300000000001</v>
      </c>
      <c r="AH97" s="78">
        <f t="shared" si="69"/>
        <v>0.92354999999999998</v>
      </c>
      <c r="AI97" s="78">
        <f t="shared" si="70"/>
        <v>1.0447107499999999</v>
      </c>
      <c r="AJ97" s="78">
        <f t="shared" si="48"/>
        <v>0.94663874999999986</v>
      </c>
      <c r="AK97" s="78">
        <f t="shared" si="71"/>
        <v>0.89155524999999991</v>
      </c>
      <c r="AL97" s="78">
        <f t="shared" si="49"/>
        <v>0.8553727499999999</v>
      </c>
      <c r="AM97" s="78">
        <f t="shared" si="50"/>
        <v>1.0447107499999999</v>
      </c>
      <c r="AN97" s="78">
        <f t="shared" si="51"/>
        <v>0.94663874999999986</v>
      </c>
      <c r="AO97" s="78">
        <f t="shared" si="72"/>
        <v>0.97846080000000002</v>
      </c>
      <c r="AP97" s="78">
        <f t="shared" si="52"/>
        <v>0.88660799999999995</v>
      </c>
      <c r="AQ97" s="78">
        <f t="shared" si="73"/>
        <v>0.83501759999999992</v>
      </c>
      <c r="AR97" s="78">
        <f t="shared" si="53"/>
        <v>0.8011296</v>
      </c>
      <c r="AS97" s="78">
        <f t="shared" si="54"/>
        <v>0.97846080000000002</v>
      </c>
      <c r="AT97" s="78">
        <f t="shared" si="55"/>
        <v>0.88660799999999995</v>
      </c>
      <c r="AU97" s="78">
        <v>1.0386599999999999</v>
      </c>
      <c r="AV97" s="78">
        <v>0.96443000000000001</v>
      </c>
      <c r="AW97" s="78">
        <v>0.91549999999999998</v>
      </c>
      <c r="AX97" s="78">
        <v>0.88707999999999998</v>
      </c>
      <c r="AY97" s="78">
        <f t="shared" si="74"/>
        <v>1.0386599999999999</v>
      </c>
      <c r="AZ97" s="78">
        <f t="shared" si="75"/>
        <v>0.96443000000000001</v>
      </c>
      <c r="BA97" s="78">
        <f t="shared" si="76"/>
        <v>1.0646264999999999</v>
      </c>
      <c r="BB97" s="78">
        <f t="shared" si="56"/>
        <v>0.98854074999999997</v>
      </c>
      <c r="BC97" s="78">
        <f t="shared" si="77"/>
        <v>0.93838749999999993</v>
      </c>
      <c r="BD97" s="78">
        <f t="shared" si="57"/>
        <v>0.90925699999999987</v>
      </c>
      <c r="BE97" s="78">
        <f t="shared" si="58"/>
        <v>1.0646264999999999</v>
      </c>
      <c r="BF97" s="78">
        <f t="shared" si="59"/>
        <v>0.98854074999999997</v>
      </c>
      <c r="BG97" s="78">
        <f t="shared" si="78"/>
        <v>0.99711359999999993</v>
      </c>
      <c r="BH97" s="78">
        <f t="shared" si="60"/>
        <v>0.92585279999999992</v>
      </c>
      <c r="BI97" s="78">
        <f t="shared" si="79"/>
        <v>0.87887999999999999</v>
      </c>
      <c r="BJ97" s="78">
        <f t="shared" si="61"/>
        <v>0.85159679999999993</v>
      </c>
      <c r="BK97" s="78">
        <f t="shared" si="62"/>
        <v>0.99711359999999993</v>
      </c>
      <c r="BL97" s="78">
        <f t="shared" si="63"/>
        <v>0.92585279999999992</v>
      </c>
      <c r="BM97" s="78">
        <v>0.95497200000000004</v>
      </c>
      <c r="BN97" s="78">
        <v>0.89323490000000005</v>
      </c>
      <c r="BO97" s="78">
        <v>1.0256277499999999</v>
      </c>
      <c r="BP97" s="78">
        <v>0.97153105000000006</v>
      </c>
    </row>
    <row r="98" spans="1:68" ht="13" x14ac:dyDescent="0.25">
      <c r="A98" s="60">
        <v>1</v>
      </c>
      <c r="B98" s="55">
        <v>90</v>
      </c>
      <c r="C98" s="61">
        <v>0.95522072254850732</v>
      </c>
      <c r="D98" s="61">
        <v>0.96217447880006646</v>
      </c>
      <c r="E98" s="81">
        <v>0.96689281030867402</v>
      </c>
      <c r="F98" s="81">
        <v>0.9774142902028814</v>
      </c>
      <c r="G98" s="78">
        <v>0.96375389999999994</v>
      </c>
      <c r="H98" s="78">
        <v>0.97153750000000005</v>
      </c>
      <c r="I98" s="78">
        <v>0.96494079999999993</v>
      </c>
      <c r="J98" s="78">
        <v>0.97889610000000005</v>
      </c>
      <c r="K98" s="78">
        <v>1.0712023000000002</v>
      </c>
      <c r="L98" s="78">
        <v>1.0416238</v>
      </c>
      <c r="M98" s="78">
        <v>0.94590720000000006</v>
      </c>
      <c r="N98" s="78">
        <v>0.9197884999999999</v>
      </c>
      <c r="O98" s="78">
        <v>1.0712023000000002</v>
      </c>
      <c r="P98" s="78">
        <v>1.0416238</v>
      </c>
      <c r="Q98" s="78">
        <f t="shared" si="64"/>
        <v>1.0979823575000001</v>
      </c>
      <c r="R98" s="78">
        <f t="shared" si="40"/>
        <v>1.067664395</v>
      </c>
      <c r="S98" s="78">
        <f t="shared" si="65"/>
        <v>0.96955488000000001</v>
      </c>
      <c r="T98" s="78">
        <f t="shared" si="41"/>
        <v>0.94278321249999986</v>
      </c>
      <c r="U98" s="78">
        <f t="shared" si="42"/>
        <v>1.0979823575000001</v>
      </c>
      <c r="V98" s="78">
        <f t="shared" si="43"/>
        <v>1.067664395</v>
      </c>
      <c r="W98" s="78">
        <f t="shared" si="66"/>
        <v>1.0283542080000001</v>
      </c>
      <c r="X98" s="78">
        <f t="shared" si="44"/>
        <v>0.9999588479999999</v>
      </c>
      <c r="Y98" s="78">
        <f t="shared" si="67"/>
        <v>0.90807091200000001</v>
      </c>
      <c r="Z98" s="78">
        <f t="shared" si="45"/>
        <v>0.88299695999999983</v>
      </c>
      <c r="AA98" s="78">
        <f t="shared" si="46"/>
        <v>1.0283542080000001</v>
      </c>
      <c r="AB98" s="78">
        <f t="shared" si="47"/>
        <v>0.9999588479999999</v>
      </c>
      <c r="AC98" s="78">
        <v>1.01115</v>
      </c>
      <c r="AD98" s="78">
        <v>0.94754000000000005</v>
      </c>
      <c r="AE98" s="78">
        <v>0.86699999999999999</v>
      </c>
      <c r="AF98" s="78">
        <v>0.85319</v>
      </c>
      <c r="AG98" s="78">
        <f t="shared" si="68"/>
        <v>1.01115</v>
      </c>
      <c r="AH98" s="78">
        <f t="shared" si="69"/>
        <v>0.94754000000000005</v>
      </c>
      <c r="AI98" s="78">
        <f t="shared" si="70"/>
        <v>1.03642875</v>
      </c>
      <c r="AJ98" s="78">
        <f t="shared" si="48"/>
        <v>0.97122849999999994</v>
      </c>
      <c r="AK98" s="78">
        <f t="shared" si="71"/>
        <v>0.88867499999999988</v>
      </c>
      <c r="AL98" s="78">
        <f t="shared" si="49"/>
        <v>0.87451974999999993</v>
      </c>
      <c r="AM98" s="78">
        <f t="shared" si="50"/>
        <v>1.03642875</v>
      </c>
      <c r="AN98" s="78">
        <f t="shared" si="51"/>
        <v>0.97122849999999994</v>
      </c>
      <c r="AO98" s="78">
        <f t="shared" si="72"/>
        <v>0.97070400000000001</v>
      </c>
      <c r="AP98" s="78">
        <f t="shared" si="52"/>
        <v>0.90963839999999996</v>
      </c>
      <c r="AQ98" s="78">
        <f t="shared" si="73"/>
        <v>0.83231999999999995</v>
      </c>
      <c r="AR98" s="78">
        <f t="shared" si="53"/>
        <v>0.81906239999999997</v>
      </c>
      <c r="AS98" s="78">
        <f t="shared" si="54"/>
        <v>0.97070400000000001</v>
      </c>
      <c r="AT98" s="78">
        <f t="shared" si="55"/>
        <v>0.90963839999999996</v>
      </c>
      <c r="AU98" s="78">
        <v>1.0278</v>
      </c>
      <c r="AV98" s="78">
        <v>0.98304000000000002</v>
      </c>
      <c r="AW98" s="78">
        <v>0.90613999999999995</v>
      </c>
      <c r="AX98" s="78">
        <v>0.89885000000000004</v>
      </c>
      <c r="AY98" s="78">
        <f t="shared" si="74"/>
        <v>1.0278</v>
      </c>
      <c r="AZ98" s="78">
        <f t="shared" si="75"/>
        <v>0.98304000000000002</v>
      </c>
      <c r="BA98" s="78">
        <f t="shared" si="76"/>
        <v>1.0534949999999998</v>
      </c>
      <c r="BB98" s="78">
        <f t="shared" si="56"/>
        <v>1.0076159999999998</v>
      </c>
      <c r="BC98" s="78">
        <f t="shared" si="77"/>
        <v>0.92879349999999983</v>
      </c>
      <c r="BD98" s="78">
        <f t="shared" si="57"/>
        <v>0.92132124999999998</v>
      </c>
      <c r="BE98" s="78">
        <f t="shared" si="58"/>
        <v>1.0534949999999998</v>
      </c>
      <c r="BF98" s="78">
        <f t="shared" si="59"/>
        <v>1.0076159999999998</v>
      </c>
      <c r="BG98" s="78">
        <f t="shared" si="78"/>
        <v>0.98668800000000001</v>
      </c>
      <c r="BH98" s="78">
        <f t="shared" si="60"/>
        <v>0.94371839999999996</v>
      </c>
      <c r="BI98" s="78">
        <f t="shared" si="79"/>
        <v>0.86989439999999996</v>
      </c>
      <c r="BJ98" s="78">
        <f t="shared" si="61"/>
        <v>0.862896</v>
      </c>
      <c r="BK98" s="78">
        <f t="shared" si="62"/>
        <v>0.98668800000000001</v>
      </c>
      <c r="BL98" s="78">
        <f t="shared" si="63"/>
        <v>0.94371839999999996</v>
      </c>
      <c r="BM98" s="78">
        <v>0.96041700000000008</v>
      </c>
      <c r="BN98" s="78">
        <v>0.91972399999999999</v>
      </c>
      <c r="BO98" s="78">
        <v>1.0085547500000001</v>
      </c>
      <c r="BP98" s="78">
        <v>0.98070614999999994</v>
      </c>
    </row>
    <row r="99" spans="1:68" ht="13" x14ac:dyDescent="0.25">
      <c r="A99" s="60">
        <v>1</v>
      </c>
      <c r="B99" s="55">
        <v>91</v>
      </c>
      <c r="C99" s="61">
        <v>0.95646530546503017</v>
      </c>
      <c r="D99" s="61">
        <v>0.97252804457184339</v>
      </c>
      <c r="E99" s="81">
        <v>0.96797844926759502</v>
      </c>
      <c r="F99" s="81">
        <v>0.987904638396367</v>
      </c>
      <c r="G99" s="78">
        <v>0.96376540000000011</v>
      </c>
      <c r="H99" s="78">
        <v>0.97148909999999999</v>
      </c>
      <c r="I99" s="78">
        <v>0.96746619999999994</v>
      </c>
      <c r="J99" s="78">
        <v>1.0002198</v>
      </c>
      <c r="K99" s="78">
        <v>1.0569493000000001</v>
      </c>
      <c r="L99" s="78">
        <v>1.0550101999999999</v>
      </c>
      <c r="M99" s="78">
        <v>0.93332139999999997</v>
      </c>
      <c r="N99" s="78">
        <v>0.93160909999999997</v>
      </c>
      <c r="O99" s="78">
        <v>1.0569493000000001</v>
      </c>
      <c r="P99" s="78">
        <v>1.0550101999999999</v>
      </c>
      <c r="Q99" s="78">
        <f t="shared" si="64"/>
        <v>1.0833730324999999</v>
      </c>
      <c r="R99" s="78">
        <f t="shared" si="40"/>
        <v>1.0813854549999997</v>
      </c>
      <c r="S99" s="78">
        <f t="shared" si="65"/>
        <v>0.95665443499999991</v>
      </c>
      <c r="T99" s="78">
        <f t="shared" si="41"/>
        <v>0.95489932749999984</v>
      </c>
      <c r="U99" s="78">
        <f t="shared" si="42"/>
        <v>1.0833730324999999</v>
      </c>
      <c r="V99" s="78">
        <f t="shared" si="43"/>
        <v>1.0813854549999997</v>
      </c>
      <c r="W99" s="78">
        <f t="shared" si="66"/>
        <v>1.0146713280000002</v>
      </c>
      <c r="X99" s="78">
        <f t="shared" si="44"/>
        <v>1.0128097919999999</v>
      </c>
      <c r="Y99" s="78">
        <f t="shared" si="67"/>
        <v>0.89598854399999994</v>
      </c>
      <c r="Z99" s="78">
        <f t="shared" si="45"/>
        <v>0.89434473599999997</v>
      </c>
      <c r="AA99" s="78">
        <f t="shared" si="46"/>
        <v>1.0146713280000002</v>
      </c>
      <c r="AB99" s="78">
        <f t="shared" si="47"/>
        <v>1.0128097919999999</v>
      </c>
      <c r="AC99" s="78">
        <v>1.0053000000000001</v>
      </c>
      <c r="AD99" s="78">
        <v>0.97299999999999998</v>
      </c>
      <c r="AE99" s="78">
        <v>0.86546000000000001</v>
      </c>
      <c r="AF99" s="78">
        <v>0.87356</v>
      </c>
      <c r="AG99" s="78">
        <f t="shared" si="68"/>
        <v>1.0053000000000001</v>
      </c>
      <c r="AH99" s="78">
        <f t="shared" si="69"/>
        <v>0.97299999999999998</v>
      </c>
      <c r="AI99" s="78">
        <f t="shared" si="70"/>
        <v>1.0304325000000001</v>
      </c>
      <c r="AJ99" s="78">
        <f t="shared" si="48"/>
        <v>0.99732499999999991</v>
      </c>
      <c r="AK99" s="78">
        <f t="shared" si="71"/>
        <v>0.88709649999999995</v>
      </c>
      <c r="AL99" s="78">
        <f t="shared" si="49"/>
        <v>0.89539899999999994</v>
      </c>
      <c r="AM99" s="78">
        <f t="shared" si="50"/>
        <v>1.0304325000000001</v>
      </c>
      <c r="AN99" s="78">
        <f t="shared" si="51"/>
        <v>0.99732499999999991</v>
      </c>
      <c r="AO99" s="78">
        <f t="shared" si="72"/>
        <v>0.96508800000000006</v>
      </c>
      <c r="AP99" s="78">
        <f t="shared" si="52"/>
        <v>0.93407999999999991</v>
      </c>
      <c r="AQ99" s="78">
        <f t="shared" si="73"/>
        <v>0.83084159999999996</v>
      </c>
      <c r="AR99" s="78">
        <f t="shared" si="53"/>
        <v>0.83861759999999996</v>
      </c>
      <c r="AS99" s="78">
        <f t="shared" si="54"/>
        <v>0.96508800000000006</v>
      </c>
      <c r="AT99" s="78">
        <f t="shared" si="55"/>
        <v>0.93407999999999991</v>
      </c>
      <c r="AU99" s="78">
        <v>1.01962</v>
      </c>
      <c r="AV99" s="78">
        <v>1.0039499999999999</v>
      </c>
      <c r="AW99" s="78">
        <v>0.89912000000000003</v>
      </c>
      <c r="AX99" s="78">
        <v>0.91335999999999995</v>
      </c>
      <c r="AY99" s="78">
        <f t="shared" si="74"/>
        <v>1.01962</v>
      </c>
      <c r="AZ99" s="78">
        <f t="shared" si="75"/>
        <v>1.0039499999999999</v>
      </c>
      <c r="BA99" s="78">
        <f t="shared" si="76"/>
        <v>1.0451104999999998</v>
      </c>
      <c r="BB99" s="78">
        <f t="shared" si="56"/>
        <v>1.0290487499999998</v>
      </c>
      <c r="BC99" s="78">
        <f t="shared" si="77"/>
        <v>0.92159799999999992</v>
      </c>
      <c r="BD99" s="78">
        <f t="shared" si="57"/>
        <v>0.93619399999999986</v>
      </c>
      <c r="BE99" s="78">
        <f t="shared" si="58"/>
        <v>1.0451104999999998</v>
      </c>
      <c r="BF99" s="78">
        <f t="shared" si="59"/>
        <v>1.0290487499999998</v>
      </c>
      <c r="BG99" s="78">
        <f t="shared" si="78"/>
        <v>0.97883519999999991</v>
      </c>
      <c r="BH99" s="78">
        <f t="shared" si="60"/>
        <v>0.96379199999999987</v>
      </c>
      <c r="BI99" s="78">
        <f t="shared" si="79"/>
        <v>0.86315520000000001</v>
      </c>
      <c r="BJ99" s="78">
        <f t="shared" si="61"/>
        <v>0.87682559999999987</v>
      </c>
      <c r="BK99" s="78">
        <f t="shared" si="62"/>
        <v>0.97883519999999991</v>
      </c>
      <c r="BL99" s="78">
        <f t="shared" si="63"/>
        <v>0.96379199999999987</v>
      </c>
      <c r="BM99" s="78">
        <v>0.95659000000000005</v>
      </c>
      <c r="BN99" s="78">
        <v>0.94492390000000004</v>
      </c>
      <c r="BO99" s="78">
        <v>0.99513534999999997</v>
      </c>
      <c r="BP99" s="78">
        <v>0.99330964999999993</v>
      </c>
    </row>
    <row r="100" spans="1:68" ht="13" x14ac:dyDescent="0.25">
      <c r="A100" s="60">
        <v>1</v>
      </c>
      <c r="B100" s="55">
        <v>92</v>
      </c>
      <c r="C100" s="61">
        <v>0.95869927335165872</v>
      </c>
      <c r="D100" s="61">
        <v>0.98247507591177885</v>
      </c>
      <c r="E100" s="81">
        <v>0.97007258078046799</v>
      </c>
      <c r="F100" s="81">
        <v>0.99797610999202524</v>
      </c>
      <c r="G100" s="78">
        <v>0.96379389999999998</v>
      </c>
      <c r="H100" s="78">
        <v>0.97155420000000003</v>
      </c>
      <c r="I100" s="78">
        <v>0.9719913</v>
      </c>
      <c r="J100" s="78">
        <v>1.0205916000000002</v>
      </c>
      <c r="K100" s="78">
        <v>1.0452923000000001</v>
      </c>
      <c r="L100" s="78">
        <v>1.0671691999999999</v>
      </c>
      <c r="M100" s="78">
        <v>0.92302790000000001</v>
      </c>
      <c r="N100" s="78">
        <v>0.94234589999999996</v>
      </c>
      <c r="O100" s="78">
        <v>1.0452923000000001</v>
      </c>
      <c r="P100" s="78">
        <v>1.0671691999999999</v>
      </c>
      <c r="Q100" s="78">
        <f t="shared" si="64"/>
        <v>1.0714246075</v>
      </c>
      <c r="R100" s="78">
        <f t="shared" si="40"/>
        <v>1.0938484299999998</v>
      </c>
      <c r="S100" s="78">
        <f t="shared" si="65"/>
        <v>0.94610359749999995</v>
      </c>
      <c r="T100" s="78">
        <f t="shared" si="41"/>
        <v>0.96590454749999988</v>
      </c>
      <c r="U100" s="78">
        <f t="shared" si="42"/>
        <v>1.0714246075</v>
      </c>
      <c r="V100" s="78">
        <f t="shared" si="43"/>
        <v>1.0938484299999998</v>
      </c>
      <c r="W100" s="78">
        <f t="shared" si="66"/>
        <v>1.0034806080000001</v>
      </c>
      <c r="X100" s="78">
        <f t="shared" si="44"/>
        <v>1.0244824319999999</v>
      </c>
      <c r="Y100" s="78">
        <f t="shared" si="67"/>
        <v>0.88610678399999998</v>
      </c>
      <c r="Z100" s="78">
        <f t="shared" si="45"/>
        <v>0.90465206399999998</v>
      </c>
      <c r="AA100" s="78">
        <f t="shared" si="46"/>
        <v>1.0034806080000001</v>
      </c>
      <c r="AB100" s="78">
        <f t="shared" si="47"/>
        <v>1.0244824319999999</v>
      </c>
      <c r="AC100" s="78">
        <v>1.00075</v>
      </c>
      <c r="AD100" s="78">
        <v>0.99577000000000004</v>
      </c>
      <c r="AE100" s="78">
        <v>0.86451</v>
      </c>
      <c r="AF100" s="78">
        <v>0.89180999999999999</v>
      </c>
      <c r="AG100" s="78">
        <f t="shared" si="68"/>
        <v>1.00075</v>
      </c>
      <c r="AH100" s="78">
        <f t="shared" si="69"/>
        <v>0.99577000000000004</v>
      </c>
      <c r="AI100" s="78">
        <f t="shared" si="70"/>
        <v>1.0257687499999999</v>
      </c>
      <c r="AJ100" s="78">
        <f t="shared" si="48"/>
        <v>1.0206642500000001</v>
      </c>
      <c r="AK100" s="78">
        <f t="shared" si="71"/>
        <v>0.88612274999999996</v>
      </c>
      <c r="AL100" s="78">
        <f t="shared" si="49"/>
        <v>0.91410524999999987</v>
      </c>
      <c r="AM100" s="78">
        <f t="shared" si="50"/>
        <v>1.0257687499999999</v>
      </c>
      <c r="AN100" s="78">
        <f t="shared" si="51"/>
        <v>1.0206642500000001</v>
      </c>
      <c r="AO100" s="78">
        <f t="shared" si="72"/>
        <v>0.96072000000000002</v>
      </c>
      <c r="AP100" s="78">
        <f t="shared" si="52"/>
        <v>0.95593919999999999</v>
      </c>
      <c r="AQ100" s="78">
        <f t="shared" si="73"/>
        <v>0.82992959999999993</v>
      </c>
      <c r="AR100" s="78">
        <f t="shared" si="53"/>
        <v>0.85613759999999994</v>
      </c>
      <c r="AS100" s="78">
        <f t="shared" si="54"/>
        <v>0.96072000000000002</v>
      </c>
      <c r="AT100" s="78">
        <f t="shared" si="55"/>
        <v>0.95593919999999999</v>
      </c>
      <c r="AU100" s="78">
        <v>1.0130999999999999</v>
      </c>
      <c r="AV100" s="78">
        <v>1.02271</v>
      </c>
      <c r="AW100" s="78">
        <v>0.89354</v>
      </c>
      <c r="AX100" s="78">
        <v>0.92645999999999995</v>
      </c>
      <c r="AY100" s="78">
        <f t="shared" si="74"/>
        <v>1.0130999999999999</v>
      </c>
      <c r="AZ100" s="78">
        <f t="shared" si="75"/>
        <v>1.02271</v>
      </c>
      <c r="BA100" s="78">
        <f t="shared" si="76"/>
        <v>1.0384274999999998</v>
      </c>
      <c r="BB100" s="78">
        <f t="shared" si="56"/>
        <v>1.04827775</v>
      </c>
      <c r="BC100" s="78">
        <f t="shared" si="77"/>
        <v>0.91587849999999993</v>
      </c>
      <c r="BD100" s="78">
        <f t="shared" si="57"/>
        <v>0.9496214999999999</v>
      </c>
      <c r="BE100" s="78">
        <f t="shared" si="58"/>
        <v>1.0384274999999998</v>
      </c>
      <c r="BF100" s="78">
        <f t="shared" si="59"/>
        <v>1.04827775</v>
      </c>
      <c r="BG100" s="78">
        <f t="shared" si="78"/>
        <v>0.97257599999999989</v>
      </c>
      <c r="BH100" s="78">
        <f t="shared" si="60"/>
        <v>0.98180159999999994</v>
      </c>
      <c r="BI100" s="78">
        <f t="shared" si="79"/>
        <v>0.85779839999999996</v>
      </c>
      <c r="BJ100" s="78">
        <f t="shared" si="61"/>
        <v>0.8894015999999999</v>
      </c>
      <c r="BK100" s="78">
        <f t="shared" si="62"/>
        <v>0.97257599999999989</v>
      </c>
      <c r="BL100" s="78">
        <f t="shared" si="63"/>
        <v>0.98180159999999994</v>
      </c>
      <c r="BM100" s="78">
        <v>0.95489310000000005</v>
      </c>
      <c r="BN100" s="78">
        <v>0.96934849999999995</v>
      </c>
      <c r="BO100" s="78">
        <v>0.98416009999999998</v>
      </c>
      <c r="BP100" s="78">
        <v>1.0047575499999999</v>
      </c>
    </row>
    <row r="101" spans="1:68" ht="13" x14ac:dyDescent="0.25">
      <c r="A101" s="60">
        <v>1</v>
      </c>
      <c r="B101" s="55">
        <v>93</v>
      </c>
      <c r="C101" s="61">
        <v>0.961708800431474</v>
      </c>
      <c r="D101" s="61">
        <v>0.98980743582030417</v>
      </c>
      <c r="E101" s="81">
        <v>0.97295770656547509</v>
      </c>
      <c r="F101" s="81">
        <v>1.0053624887166108</v>
      </c>
      <c r="G101" s="78">
        <v>0.96377859999999993</v>
      </c>
      <c r="H101" s="78">
        <v>0.97152879999999997</v>
      </c>
      <c r="I101" s="78">
        <v>0.97814199999999996</v>
      </c>
      <c r="J101" s="78">
        <v>1.0356839</v>
      </c>
      <c r="K101" s="78">
        <v>1.0357155</v>
      </c>
      <c r="L101" s="78">
        <v>1.0736462</v>
      </c>
      <c r="M101" s="78">
        <v>0.91457120000000003</v>
      </c>
      <c r="N101" s="78">
        <v>0.9480653</v>
      </c>
      <c r="O101" s="78">
        <v>1.0357155</v>
      </c>
      <c r="P101" s="78">
        <v>1.0736462</v>
      </c>
      <c r="Q101" s="78">
        <f t="shared" si="64"/>
        <v>1.0616083875</v>
      </c>
      <c r="R101" s="78">
        <f t="shared" si="40"/>
        <v>1.1004873549999998</v>
      </c>
      <c r="S101" s="78">
        <f t="shared" si="65"/>
        <v>0.93743547999999999</v>
      </c>
      <c r="T101" s="78">
        <f t="shared" si="41"/>
        <v>0.9717669324999999</v>
      </c>
      <c r="U101" s="78">
        <f t="shared" si="42"/>
        <v>1.0616083875</v>
      </c>
      <c r="V101" s="78">
        <f t="shared" si="43"/>
        <v>1.1004873549999998</v>
      </c>
      <c r="W101" s="78">
        <f t="shared" si="66"/>
        <v>0.99428687999999998</v>
      </c>
      <c r="X101" s="78">
        <f t="shared" si="44"/>
        <v>1.030700352</v>
      </c>
      <c r="Y101" s="78">
        <f t="shared" si="67"/>
        <v>0.87798835200000003</v>
      </c>
      <c r="Z101" s="78">
        <f t="shared" si="45"/>
        <v>0.91014268799999998</v>
      </c>
      <c r="AA101" s="78">
        <f t="shared" si="46"/>
        <v>0.99428687999999998</v>
      </c>
      <c r="AB101" s="78">
        <f t="shared" si="47"/>
        <v>1.030700352</v>
      </c>
      <c r="AC101" s="78">
        <v>0.99722</v>
      </c>
      <c r="AD101" s="78">
        <v>1.0118199999999999</v>
      </c>
      <c r="AE101" s="78">
        <v>0.86399999999999999</v>
      </c>
      <c r="AF101" s="78">
        <v>0.90429999999999999</v>
      </c>
      <c r="AG101" s="78">
        <f t="shared" si="68"/>
        <v>0.99722</v>
      </c>
      <c r="AH101" s="78">
        <f t="shared" si="69"/>
        <v>1.0118199999999999</v>
      </c>
      <c r="AI101" s="78">
        <f t="shared" si="70"/>
        <v>1.0221505</v>
      </c>
      <c r="AJ101" s="78">
        <f t="shared" si="48"/>
        <v>1.0371154999999999</v>
      </c>
      <c r="AK101" s="78">
        <f t="shared" si="71"/>
        <v>0.88559999999999994</v>
      </c>
      <c r="AL101" s="78">
        <f t="shared" si="49"/>
        <v>0.92690749999999988</v>
      </c>
      <c r="AM101" s="78">
        <f t="shared" si="50"/>
        <v>1.0221505</v>
      </c>
      <c r="AN101" s="78">
        <f t="shared" si="51"/>
        <v>1.0371154999999999</v>
      </c>
      <c r="AO101" s="78">
        <f t="shared" si="72"/>
        <v>0.95733119999999994</v>
      </c>
      <c r="AP101" s="78">
        <f t="shared" si="52"/>
        <v>0.97134719999999986</v>
      </c>
      <c r="AQ101" s="78">
        <f t="shared" si="73"/>
        <v>0.82943999999999996</v>
      </c>
      <c r="AR101" s="78">
        <f t="shared" si="53"/>
        <v>0.86812800000000001</v>
      </c>
      <c r="AS101" s="78">
        <f t="shared" si="54"/>
        <v>0.95733119999999994</v>
      </c>
      <c r="AT101" s="78">
        <f t="shared" si="55"/>
        <v>0.97134719999999986</v>
      </c>
      <c r="AU101" s="78">
        <v>1.00789</v>
      </c>
      <c r="AV101" s="78">
        <v>1.03515</v>
      </c>
      <c r="AW101" s="78">
        <v>0.88907999999999998</v>
      </c>
      <c r="AX101" s="78">
        <v>0.93430999999999997</v>
      </c>
      <c r="AY101" s="78">
        <f t="shared" si="74"/>
        <v>1.00789</v>
      </c>
      <c r="AZ101" s="78">
        <f t="shared" si="75"/>
        <v>1.03515</v>
      </c>
      <c r="BA101" s="78">
        <f t="shared" si="76"/>
        <v>1.0330872499999999</v>
      </c>
      <c r="BB101" s="78">
        <f t="shared" si="56"/>
        <v>1.06102875</v>
      </c>
      <c r="BC101" s="78">
        <f t="shared" si="77"/>
        <v>0.91130699999999987</v>
      </c>
      <c r="BD101" s="78">
        <f t="shared" si="57"/>
        <v>0.95766774999999993</v>
      </c>
      <c r="BE101" s="78">
        <f t="shared" si="58"/>
        <v>1.0330872499999999</v>
      </c>
      <c r="BF101" s="78">
        <f t="shared" si="59"/>
        <v>1.06102875</v>
      </c>
      <c r="BG101" s="78">
        <f t="shared" si="78"/>
        <v>0.96757439999999995</v>
      </c>
      <c r="BH101" s="78">
        <f t="shared" si="60"/>
        <v>0.99374399999999996</v>
      </c>
      <c r="BI101" s="78">
        <f t="shared" si="79"/>
        <v>0.85351679999999996</v>
      </c>
      <c r="BJ101" s="78">
        <f t="shared" si="61"/>
        <v>0.89693759999999989</v>
      </c>
      <c r="BK101" s="78">
        <f t="shared" si="62"/>
        <v>0.96757439999999995</v>
      </c>
      <c r="BL101" s="78">
        <f t="shared" si="63"/>
        <v>0.99374399999999996</v>
      </c>
      <c r="BM101" s="78">
        <v>0.9549166</v>
      </c>
      <c r="BN101" s="78">
        <v>0.9888482999999999</v>
      </c>
      <c r="BO101" s="78">
        <v>0.97514334999999996</v>
      </c>
      <c r="BP101" s="78">
        <v>1.0108557499999999</v>
      </c>
    </row>
    <row r="102" spans="1:68" ht="13" x14ac:dyDescent="0.25">
      <c r="A102" s="60">
        <v>1</v>
      </c>
      <c r="B102" s="55">
        <v>94</v>
      </c>
      <c r="C102" s="61">
        <v>0.96536684038673493</v>
      </c>
      <c r="D102" s="61">
        <v>0.99253446583700056</v>
      </c>
      <c r="E102" s="81">
        <v>0.97650380423515792</v>
      </c>
      <c r="F102" s="81">
        <v>1.0080170924682992</v>
      </c>
      <c r="G102" s="78">
        <v>0.96379059999999994</v>
      </c>
      <c r="H102" s="78">
        <v>0.97154319999999994</v>
      </c>
      <c r="I102" s="78">
        <v>0.98558689999999993</v>
      </c>
      <c r="J102" s="78">
        <v>1.0412725</v>
      </c>
      <c r="K102" s="78">
        <v>1.0277786999999998</v>
      </c>
      <c r="L102" s="78">
        <v>1.0702449000000001</v>
      </c>
      <c r="M102" s="78">
        <v>0.9075628</v>
      </c>
      <c r="N102" s="78">
        <v>0.94506179999999995</v>
      </c>
      <c r="O102" s="78">
        <v>1.0277786999999998</v>
      </c>
      <c r="P102" s="78">
        <v>1.0702449000000001</v>
      </c>
      <c r="Q102" s="78">
        <f t="shared" si="64"/>
        <v>1.0534731674999998</v>
      </c>
      <c r="R102" s="78">
        <f t="shared" si="40"/>
        <v>1.0970010225</v>
      </c>
      <c r="S102" s="78">
        <f t="shared" si="65"/>
        <v>0.93025186999999987</v>
      </c>
      <c r="T102" s="78">
        <f t="shared" si="41"/>
        <v>0.9686883449999999</v>
      </c>
      <c r="U102" s="78">
        <f t="shared" si="42"/>
        <v>1.0534731674999998</v>
      </c>
      <c r="V102" s="78">
        <f t="shared" si="43"/>
        <v>1.0970010225</v>
      </c>
      <c r="W102" s="78">
        <f t="shared" si="66"/>
        <v>0.98666755199999978</v>
      </c>
      <c r="X102" s="78">
        <f t="shared" si="44"/>
        <v>1.027435104</v>
      </c>
      <c r="Y102" s="78">
        <f t="shared" si="67"/>
        <v>0.87126028799999999</v>
      </c>
      <c r="Z102" s="78">
        <f t="shared" si="45"/>
        <v>0.90725932799999986</v>
      </c>
      <c r="AA102" s="78">
        <f t="shared" si="46"/>
        <v>0.98666755199999978</v>
      </c>
      <c r="AB102" s="78">
        <f t="shared" si="47"/>
        <v>1.027435104</v>
      </c>
      <c r="AC102" s="78">
        <v>0.99446000000000001</v>
      </c>
      <c r="AD102" s="78">
        <v>1.0172000000000001</v>
      </c>
      <c r="AE102" s="78">
        <v>0.86378999999999995</v>
      </c>
      <c r="AF102" s="78">
        <v>0.90751000000000004</v>
      </c>
      <c r="AG102" s="78">
        <f t="shared" si="68"/>
        <v>0.99446000000000001</v>
      </c>
      <c r="AH102" s="78">
        <f t="shared" si="69"/>
        <v>1.0172000000000001</v>
      </c>
      <c r="AI102" s="78">
        <f t="shared" si="70"/>
        <v>1.0193215</v>
      </c>
      <c r="AJ102" s="78">
        <f t="shared" si="48"/>
        <v>1.0426299999999999</v>
      </c>
      <c r="AK102" s="78">
        <f t="shared" si="71"/>
        <v>0.88538474999999983</v>
      </c>
      <c r="AL102" s="78">
        <f t="shared" si="49"/>
        <v>0.93019774999999993</v>
      </c>
      <c r="AM102" s="78">
        <f t="shared" si="50"/>
        <v>1.0193215</v>
      </c>
      <c r="AN102" s="78">
        <f t="shared" si="51"/>
        <v>1.0426299999999999</v>
      </c>
      <c r="AO102" s="78">
        <f t="shared" si="72"/>
        <v>0.95468160000000002</v>
      </c>
      <c r="AP102" s="78">
        <f t="shared" si="52"/>
        <v>0.97651200000000005</v>
      </c>
      <c r="AQ102" s="78">
        <f t="shared" si="73"/>
        <v>0.82923839999999993</v>
      </c>
      <c r="AR102" s="78">
        <f t="shared" si="53"/>
        <v>0.87120960000000003</v>
      </c>
      <c r="AS102" s="78">
        <f t="shared" si="54"/>
        <v>0.95468160000000002</v>
      </c>
      <c r="AT102" s="78">
        <f t="shared" si="55"/>
        <v>0.97651200000000005</v>
      </c>
      <c r="AU102" s="78">
        <v>1.0037</v>
      </c>
      <c r="AV102" s="78">
        <v>1.03721</v>
      </c>
      <c r="AW102" s="78">
        <v>0.88549999999999995</v>
      </c>
      <c r="AX102" s="78">
        <v>0.93325999999999998</v>
      </c>
      <c r="AY102" s="78">
        <f t="shared" si="74"/>
        <v>1.0037</v>
      </c>
      <c r="AZ102" s="78">
        <f t="shared" si="75"/>
        <v>1.03721</v>
      </c>
      <c r="BA102" s="78">
        <f t="shared" si="76"/>
        <v>1.0287925</v>
      </c>
      <c r="BB102" s="78">
        <f t="shared" si="56"/>
        <v>1.0631402499999998</v>
      </c>
      <c r="BC102" s="78">
        <f t="shared" si="77"/>
        <v>0.90763749999999987</v>
      </c>
      <c r="BD102" s="78">
        <f t="shared" si="57"/>
        <v>0.95659149999999993</v>
      </c>
      <c r="BE102" s="78">
        <f t="shared" si="58"/>
        <v>1.0287925</v>
      </c>
      <c r="BF102" s="78">
        <f t="shared" si="59"/>
        <v>1.0631402499999998</v>
      </c>
      <c r="BG102" s="78">
        <f t="shared" si="78"/>
        <v>0.96355199999999996</v>
      </c>
      <c r="BH102" s="78">
        <f t="shared" si="60"/>
        <v>0.99572159999999998</v>
      </c>
      <c r="BI102" s="78">
        <f t="shared" si="79"/>
        <v>0.85007999999999995</v>
      </c>
      <c r="BJ102" s="78">
        <f t="shared" si="61"/>
        <v>0.89592959999999999</v>
      </c>
      <c r="BK102" s="78">
        <f t="shared" si="62"/>
        <v>0.96355199999999996</v>
      </c>
      <c r="BL102" s="78">
        <f t="shared" si="63"/>
        <v>0.99572159999999998</v>
      </c>
      <c r="BM102" s="78">
        <v>0.95630380000000004</v>
      </c>
      <c r="BN102" s="78">
        <v>0.99928889999999992</v>
      </c>
      <c r="BO102" s="78">
        <v>0.96767074999999991</v>
      </c>
      <c r="BP102" s="78">
        <v>1.00765335</v>
      </c>
    </row>
    <row r="103" spans="1:68" ht="13" x14ac:dyDescent="0.25">
      <c r="A103" s="60">
        <v>1</v>
      </c>
      <c r="B103" s="55">
        <v>95</v>
      </c>
      <c r="C103" s="61">
        <v>1.0030962754990143</v>
      </c>
      <c r="D103" s="61">
        <v>0.97125928076712464</v>
      </c>
      <c r="E103" s="81">
        <v>1.0143513008015137</v>
      </c>
      <c r="F103" s="81">
        <v>0.98650227947382818</v>
      </c>
      <c r="G103" s="78">
        <v>1.0175486999999999</v>
      </c>
      <c r="H103" s="78">
        <v>0.93135429999999997</v>
      </c>
      <c r="I103" s="78">
        <v>1.0077061</v>
      </c>
      <c r="J103" s="78">
        <v>1.0388463999999999</v>
      </c>
      <c r="K103" s="78">
        <v>1.0351528999999999</v>
      </c>
      <c r="L103" s="78">
        <v>1.0587328</v>
      </c>
      <c r="M103" s="78">
        <v>0.91407450000000001</v>
      </c>
      <c r="N103" s="78">
        <v>0.93489630000000001</v>
      </c>
      <c r="O103" s="78">
        <v>1.0351528999999999</v>
      </c>
      <c r="P103" s="78">
        <v>1.0587328</v>
      </c>
      <c r="Q103" s="78">
        <f t="shared" si="64"/>
        <v>1.0610317224999999</v>
      </c>
      <c r="R103" s="78">
        <f t="shared" si="40"/>
        <v>1.08520112</v>
      </c>
      <c r="S103" s="78">
        <f t="shared" si="65"/>
        <v>0.93692636249999994</v>
      </c>
      <c r="T103" s="78">
        <f t="shared" si="41"/>
        <v>0.95826870749999993</v>
      </c>
      <c r="U103" s="78">
        <f t="shared" si="42"/>
        <v>1.0610317224999999</v>
      </c>
      <c r="V103" s="78">
        <f t="shared" si="43"/>
        <v>1.08520112</v>
      </c>
      <c r="W103" s="78">
        <f t="shared" si="66"/>
        <v>0.99374678399999994</v>
      </c>
      <c r="X103" s="78">
        <f t="shared" si="44"/>
        <v>1.016383488</v>
      </c>
      <c r="Y103" s="78">
        <f t="shared" si="67"/>
        <v>0.87751151999999999</v>
      </c>
      <c r="Z103" s="78">
        <f t="shared" si="45"/>
        <v>0.89750044799999995</v>
      </c>
      <c r="AA103" s="78">
        <f t="shared" si="46"/>
        <v>0.99374678399999994</v>
      </c>
      <c r="AB103" s="78">
        <f t="shared" si="47"/>
        <v>1.016383488</v>
      </c>
      <c r="AC103" s="78">
        <v>1.0058800000000001</v>
      </c>
      <c r="AD103" s="78">
        <v>1.0135400000000001</v>
      </c>
      <c r="AE103" s="78">
        <v>0.87561999999999995</v>
      </c>
      <c r="AF103" s="78">
        <v>0.90290999999999999</v>
      </c>
      <c r="AG103" s="78">
        <f t="shared" si="68"/>
        <v>1.0058800000000001</v>
      </c>
      <c r="AH103" s="78">
        <f t="shared" si="69"/>
        <v>1.0135400000000001</v>
      </c>
      <c r="AI103" s="78">
        <f t="shared" si="70"/>
        <v>1.0310269999999999</v>
      </c>
      <c r="AJ103" s="78">
        <f t="shared" si="48"/>
        <v>1.0388785</v>
      </c>
      <c r="AK103" s="78">
        <f t="shared" si="71"/>
        <v>0.89751049999999988</v>
      </c>
      <c r="AL103" s="78">
        <f t="shared" si="49"/>
        <v>0.92548274999999991</v>
      </c>
      <c r="AM103" s="78">
        <f t="shared" si="50"/>
        <v>1.0310269999999999</v>
      </c>
      <c r="AN103" s="78">
        <f t="shared" si="51"/>
        <v>1.0388785</v>
      </c>
      <c r="AO103" s="78">
        <f t="shared" si="72"/>
        <v>0.96564480000000008</v>
      </c>
      <c r="AP103" s="78">
        <f t="shared" si="52"/>
        <v>0.97299840000000004</v>
      </c>
      <c r="AQ103" s="78">
        <f t="shared" si="73"/>
        <v>0.84059519999999988</v>
      </c>
      <c r="AR103" s="78">
        <f t="shared" si="53"/>
        <v>0.86679359999999994</v>
      </c>
      <c r="AS103" s="78">
        <f t="shared" si="54"/>
        <v>0.96564480000000008</v>
      </c>
      <c r="AT103" s="78">
        <f t="shared" si="55"/>
        <v>0.97299840000000004</v>
      </c>
      <c r="AU103" s="78">
        <v>1.014</v>
      </c>
      <c r="AV103" s="78">
        <v>1.0306</v>
      </c>
      <c r="AW103" s="78">
        <v>0.89468999999999999</v>
      </c>
      <c r="AX103" s="78">
        <v>0.92484</v>
      </c>
      <c r="AY103" s="78">
        <f t="shared" si="74"/>
        <v>1.014</v>
      </c>
      <c r="AZ103" s="78">
        <f t="shared" si="75"/>
        <v>1.0306</v>
      </c>
      <c r="BA103" s="78">
        <f t="shared" si="76"/>
        <v>1.03935</v>
      </c>
      <c r="BB103" s="78">
        <f t="shared" si="56"/>
        <v>1.0563649999999998</v>
      </c>
      <c r="BC103" s="78">
        <f t="shared" si="77"/>
        <v>0.91705724999999993</v>
      </c>
      <c r="BD103" s="78">
        <f t="shared" si="57"/>
        <v>0.94796099999999994</v>
      </c>
      <c r="BE103" s="78">
        <f t="shared" si="58"/>
        <v>1.03935</v>
      </c>
      <c r="BF103" s="78">
        <f t="shared" si="59"/>
        <v>1.0563649999999998</v>
      </c>
      <c r="BG103" s="78">
        <f t="shared" si="78"/>
        <v>0.97343999999999997</v>
      </c>
      <c r="BH103" s="78">
        <f t="shared" si="60"/>
        <v>0.98937599999999992</v>
      </c>
      <c r="BI103" s="78">
        <f t="shared" si="79"/>
        <v>0.85890239999999995</v>
      </c>
      <c r="BJ103" s="78">
        <f t="shared" si="61"/>
        <v>0.88784639999999992</v>
      </c>
      <c r="BK103" s="78">
        <f t="shared" si="62"/>
        <v>0.97343999999999997</v>
      </c>
      <c r="BL103" s="78">
        <f t="shared" si="63"/>
        <v>0.98937599999999992</v>
      </c>
      <c r="BM103" s="78">
        <v>0.97193250000000009</v>
      </c>
      <c r="BN103" s="78">
        <v>1.0019674000000001</v>
      </c>
      <c r="BO103" s="78">
        <v>0.97461369999999992</v>
      </c>
      <c r="BP103" s="78">
        <v>0.99681455000000008</v>
      </c>
    </row>
    <row r="104" spans="1:68" ht="13" x14ac:dyDescent="0.25">
      <c r="A104" s="60">
        <v>1</v>
      </c>
      <c r="B104" s="55">
        <v>96</v>
      </c>
      <c r="C104" s="61">
        <v>1.0089513188140973</v>
      </c>
      <c r="D104" s="61">
        <v>0.96875384755059835</v>
      </c>
      <c r="E104" s="81">
        <v>1.0201270505102049</v>
      </c>
      <c r="F104" s="81">
        <v>0.98378763873262265</v>
      </c>
      <c r="G104" s="78">
        <v>1.0175448</v>
      </c>
      <c r="H104" s="78">
        <v>0.93135270000000003</v>
      </c>
      <c r="I104" s="78">
        <v>1.0196460000000001</v>
      </c>
      <c r="J104" s="78">
        <v>1.0337000000000001</v>
      </c>
      <c r="K104" s="78">
        <v>1.047418</v>
      </c>
      <c r="L104" s="78">
        <v>1.0534878999999999</v>
      </c>
      <c r="M104" s="78">
        <v>0.92490489999999992</v>
      </c>
      <c r="N104" s="78">
        <v>0.93026480000000011</v>
      </c>
      <c r="O104" s="78">
        <v>1.047418</v>
      </c>
      <c r="P104" s="78">
        <v>1.0534878999999999</v>
      </c>
      <c r="Q104" s="78">
        <f t="shared" si="64"/>
        <v>1.0736034499999998</v>
      </c>
      <c r="R104" s="78">
        <f t="shared" si="40"/>
        <v>1.0798250974999999</v>
      </c>
      <c r="S104" s="78">
        <f t="shared" si="65"/>
        <v>0.94802752249999989</v>
      </c>
      <c r="T104" s="78">
        <f t="shared" si="41"/>
        <v>0.95352142000000006</v>
      </c>
      <c r="U104" s="78">
        <f t="shared" si="42"/>
        <v>1.0736034499999998</v>
      </c>
      <c r="V104" s="78">
        <f t="shared" si="43"/>
        <v>1.0798250974999999</v>
      </c>
      <c r="W104" s="78">
        <f t="shared" si="66"/>
        <v>1.00552128</v>
      </c>
      <c r="X104" s="78">
        <f t="shared" si="44"/>
        <v>1.0113483839999999</v>
      </c>
      <c r="Y104" s="78">
        <f t="shared" si="67"/>
        <v>0.88790870399999988</v>
      </c>
      <c r="Z104" s="78">
        <f t="shared" si="45"/>
        <v>0.89305420800000013</v>
      </c>
      <c r="AA104" s="78">
        <f t="shared" si="46"/>
        <v>1.00552128</v>
      </c>
      <c r="AB104" s="78">
        <f t="shared" si="47"/>
        <v>1.0113483839999999</v>
      </c>
      <c r="AC104" s="78">
        <v>1.02156</v>
      </c>
      <c r="AD104" s="78">
        <v>1.0147299999999999</v>
      </c>
      <c r="AE104" s="78">
        <v>0.89093</v>
      </c>
      <c r="AF104" s="78">
        <v>0.90283000000000002</v>
      </c>
      <c r="AG104" s="78">
        <f t="shared" si="68"/>
        <v>1.02156</v>
      </c>
      <c r="AH104" s="78">
        <f t="shared" si="69"/>
        <v>1.0147299999999999</v>
      </c>
      <c r="AI104" s="78">
        <f t="shared" si="70"/>
        <v>1.047099</v>
      </c>
      <c r="AJ104" s="78">
        <f t="shared" si="48"/>
        <v>1.0400982499999998</v>
      </c>
      <c r="AK104" s="78">
        <f t="shared" si="71"/>
        <v>0.91320324999999991</v>
      </c>
      <c r="AL104" s="78">
        <f t="shared" si="49"/>
        <v>0.92540074999999999</v>
      </c>
      <c r="AM104" s="78">
        <f t="shared" si="50"/>
        <v>1.047099</v>
      </c>
      <c r="AN104" s="78">
        <f t="shared" si="51"/>
        <v>1.0400982499999998</v>
      </c>
      <c r="AO104" s="78">
        <f t="shared" si="72"/>
        <v>0.98069759999999995</v>
      </c>
      <c r="AP104" s="78">
        <f t="shared" si="52"/>
        <v>0.97414079999999992</v>
      </c>
      <c r="AQ104" s="78">
        <f t="shared" si="73"/>
        <v>0.85529279999999996</v>
      </c>
      <c r="AR104" s="78">
        <f t="shared" si="53"/>
        <v>0.86671679999999995</v>
      </c>
      <c r="AS104" s="78">
        <f t="shared" si="54"/>
        <v>0.98069759999999995</v>
      </c>
      <c r="AT104" s="78">
        <f t="shared" si="55"/>
        <v>0.97414079999999992</v>
      </c>
      <c r="AU104" s="78">
        <v>1.0287299999999999</v>
      </c>
      <c r="AV104" s="78">
        <v>1.02935</v>
      </c>
      <c r="AW104" s="78">
        <v>0.90778000000000003</v>
      </c>
      <c r="AX104" s="78">
        <v>0.92164000000000001</v>
      </c>
      <c r="AY104" s="78">
        <f t="shared" si="74"/>
        <v>1.0287299999999999</v>
      </c>
      <c r="AZ104" s="78">
        <f t="shared" si="75"/>
        <v>1.02935</v>
      </c>
      <c r="BA104" s="78">
        <f t="shared" si="76"/>
        <v>1.0544482499999999</v>
      </c>
      <c r="BB104" s="78">
        <f t="shared" si="56"/>
        <v>1.0550837499999999</v>
      </c>
      <c r="BC104" s="78">
        <f t="shared" si="77"/>
        <v>0.93047449999999998</v>
      </c>
      <c r="BD104" s="78">
        <f t="shared" si="57"/>
        <v>0.94468099999999988</v>
      </c>
      <c r="BE104" s="78">
        <f t="shared" si="58"/>
        <v>1.0544482499999999</v>
      </c>
      <c r="BF104" s="78">
        <f t="shared" si="59"/>
        <v>1.0550837499999999</v>
      </c>
      <c r="BG104" s="78">
        <f t="shared" si="78"/>
        <v>0.98758079999999993</v>
      </c>
      <c r="BH104" s="78">
        <f t="shared" si="60"/>
        <v>0.98817599999999994</v>
      </c>
      <c r="BI104" s="78">
        <f t="shared" si="79"/>
        <v>0.87146880000000004</v>
      </c>
      <c r="BJ104" s="78">
        <f t="shared" si="61"/>
        <v>0.88477439999999996</v>
      </c>
      <c r="BK104" s="78">
        <f t="shared" si="62"/>
        <v>0.98758079999999993</v>
      </c>
      <c r="BL104" s="78">
        <f t="shared" si="63"/>
        <v>0.98817599999999994</v>
      </c>
      <c r="BM104" s="78">
        <v>0.98344849999999995</v>
      </c>
      <c r="BN104" s="78">
        <v>0.99700359999999999</v>
      </c>
      <c r="BO104" s="78">
        <v>0.98616144999999999</v>
      </c>
      <c r="BP104" s="78">
        <v>0.99187635000000007</v>
      </c>
    </row>
    <row r="105" spans="1:68" ht="13" x14ac:dyDescent="0.25">
      <c r="A105" s="60">
        <v>1</v>
      </c>
      <c r="B105" s="55">
        <v>97</v>
      </c>
      <c r="C105" s="61">
        <v>1.0084077431901883</v>
      </c>
      <c r="D105" s="61">
        <v>0.9705553688260431</v>
      </c>
      <c r="E105" s="81">
        <v>1.0193810542709472</v>
      </c>
      <c r="F105" s="81">
        <v>0.98549778516396269</v>
      </c>
      <c r="G105" s="78">
        <v>1.0175316999999999</v>
      </c>
      <c r="H105" s="78">
        <v>0.9313652</v>
      </c>
      <c r="I105" s="78">
        <v>1.0185511</v>
      </c>
      <c r="J105" s="78">
        <v>1.0373888</v>
      </c>
      <c r="K105" s="78">
        <v>1.0462932999999999</v>
      </c>
      <c r="L105" s="78">
        <v>1.0572473</v>
      </c>
      <c r="M105" s="78">
        <v>0.92391180000000006</v>
      </c>
      <c r="N105" s="78">
        <v>0.93358450000000004</v>
      </c>
      <c r="O105" s="78">
        <v>1.0462932999999999</v>
      </c>
      <c r="P105" s="78">
        <v>1.0572473</v>
      </c>
      <c r="Q105" s="78">
        <f t="shared" si="64"/>
        <v>1.0724506324999998</v>
      </c>
      <c r="R105" s="78">
        <f t="shared" si="40"/>
        <v>1.0836784824999999</v>
      </c>
      <c r="S105" s="78">
        <f t="shared" si="65"/>
        <v>0.94700959499999993</v>
      </c>
      <c r="T105" s="78">
        <f t="shared" si="41"/>
        <v>0.95692411249999998</v>
      </c>
      <c r="U105" s="78">
        <f t="shared" si="42"/>
        <v>1.0724506324999998</v>
      </c>
      <c r="V105" s="78">
        <f t="shared" si="43"/>
        <v>1.0836784824999999</v>
      </c>
      <c r="W105" s="78">
        <f t="shared" si="66"/>
        <v>1.0044415679999998</v>
      </c>
      <c r="X105" s="78">
        <f t="shared" si="44"/>
        <v>1.0149574079999999</v>
      </c>
      <c r="Y105" s="78">
        <f t="shared" si="67"/>
        <v>0.88695532799999999</v>
      </c>
      <c r="Z105" s="78">
        <f t="shared" si="45"/>
        <v>0.89624112</v>
      </c>
      <c r="AA105" s="78">
        <f t="shared" si="46"/>
        <v>1.0044415679999998</v>
      </c>
      <c r="AB105" s="78">
        <f t="shared" si="47"/>
        <v>1.0149574079999999</v>
      </c>
      <c r="AC105" s="78">
        <v>1.02372</v>
      </c>
      <c r="AD105" s="78">
        <v>1.0236700000000001</v>
      </c>
      <c r="AE105" s="78">
        <v>0.89424999999999999</v>
      </c>
      <c r="AF105" s="78">
        <v>0.90981999999999996</v>
      </c>
      <c r="AG105" s="78">
        <f t="shared" si="68"/>
        <v>1.02372</v>
      </c>
      <c r="AH105" s="78">
        <f t="shared" si="69"/>
        <v>1.0236700000000001</v>
      </c>
      <c r="AI105" s="78">
        <f t="shared" si="70"/>
        <v>1.0493129999999999</v>
      </c>
      <c r="AJ105" s="78">
        <f t="shared" si="48"/>
        <v>1.0492617499999999</v>
      </c>
      <c r="AK105" s="78">
        <f t="shared" si="71"/>
        <v>0.91660624999999996</v>
      </c>
      <c r="AL105" s="78">
        <f t="shared" si="49"/>
        <v>0.93256549999999983</v>
      </c>
      <c r="AM105" s="78">
        <f t="shared" si="50"/>
        <v>1.0493129999999999</v>
      </c>
      <c r="AN105" s="78">
        <f t="shared" si="51"/>
        <v>1.0492617499999999</v>
      </c>
      <c r="AO105" s="78">
        <f t="shared" si="72"/>
        <v>0.98277119999999996</v>
      </c>
      <c r="AP105" s="78">
        <f t="shared" si="52"/>
        <v>0.98272320000000002</v>
      </c>
      <c r="AQ105" s="78">
        <f t="shared" si="73"/>
        <v>0.85847999999999991</v>
      </c>
      <c r="AR105" s="78">
        <f t="shared" si="53"/>
        <v>0.87342719999999996</v>
      </c>
      <c r="AS105" s="78">
        <f t="shared" si="54"/>
        <v>0.98277119999999996</v>
      </c>
      <c r="AT105" s="78">
        <f t="shared" si="55"/>
        <v>0.98272320000000002</v>
      </c>
      <c r="AU105" s="78">
        <v>1.0299799999999999</v>
      </c>
      <c r="AV105" s="78">
        <v>1.03634</v>
      </c>
      <c r="AW105" s="78">
        <v>0.90895999999999999</v>
      </c>
      <c r="AX105" s="78">
        <v>0.92610999999999999</v>
      </c>
      <c r="AY105" s="78">
        <f t="shared" si="74"/>
        <v>1.0299799999999999</v>
      </c>
      <c r="AZ105" s="78">
        <f t="shared" si="75"/>
        <v>1.03634</v>
      </c>
      <c r="BA105" s="78">
        <f t="shared" si="76"/>
        <v>1.0557294999999998</v>
      </c>
      <c r="BB105" s="78">
        <f t="shared" si="56"/>
        <v>1.0622484999999999</v>
      </c>
      <c r="BC105" s="78">
        <f t="shared" si="77"/>
        <v>0.93168399999999996</v>
      </c>
      <c r="BD105" s="78">
        <f t="shared" si="57"/>
        <v>0.94926274999999993</v>
      </c>
      <c r="BE105" s="78">
        <f t="shared" si="58"/>
        <v>1.0557294999999998</v>
      </c>
      <c r="BF105" s="78">
        <f t="shared" si="59"/>
        <v>1.0622484999999999</v>
      </c>
      <c r="BG105" s="78">
        <f t="shared" si="78"/>
        <v>0.9887807999999999</v>
      </c>
      <c r="BH105" s="78">
        <f t="shared" si="60"/>
        <v>0.99488639999999995</v>
      </c>
      <c r="BI105" s="78">
        <f t="shared" si="79"/>
        <v>0.87260159999999998</v>
      </c>
      <c r="BJ105" s="78">
        <f t="shared" si="61"/>
        <v>0.88906560000000001</v>
      </c>
      <c r="BK105" s="78">
        <f t="shared" si="62"/>
        <v>0.9887807999999999</v>
      </c>
      <c r="BL105" s="78">
        <f t="shared" si="63"/>
        <v>0.99488639999999995</v>
      </c>
      <c r="BM105" s="78">
        <v>0.98239260000000006</v>
      </c>
      <c r="BN105" s="78">
        <v>1.0005615000000001</v>
      </c>
      <c r="BO105" s="78">
        <v>0.98510254999999991</v>
      </c>
      <c r="BP105" s="78">
        <v>0.99541590000000002</v>
      </c>
    </row>
    <row r="106" spans="1:68" ht="13" x14ac:dyDescent="0.25">
      <c r="A106" s="60">
        <v>1</v>
      </c>
      <c r="B106" s="55">
        <v>98</v>
      </c>
      <c r="C106" s="61">
        <v>1.0084448091300242</v>
      </c>
      <c r="D106" s="61">
        <v>0.97230005354208482</v>
      </c>
      <c r="E106" s="81">
        <v>1.0192268068083685</v>
      </c>
      <c r="F106" s="81">
        <v>0.98715009372994</v>
      </c>
      <c r="G106" s="78">
        <v>1.0175494999999999</v>
      </c>
      <c r="H106" s="78">
        <v>0.93134130000000004</v>
      </c>
      <c r="I106" s="78">
        <v>1.0186086000000001</v>
      </c>
      <c r="J106" s="78">
        <v>1.0409983</v>
      </c>
      <c r="K106" s="78">
        <v>1.0463524</v>
      </c>
      <c r="L106" s="78">
        <v>1.0609257999999999</v>
      </c>
      <c r="M106" s="78">
        <v>0.92396400000000001</v>
      </c>
      <c r="N106" s="78">
        <v>0.93683279999999991</v>
      </c>
      <c r="O106" s="78">
        <v>1.0463524</v>
      </c>
      <c r="P106" s="78">
        <v>1.0609257999999999</v>
      </c>
      <c r="Q106" s="78">
        <f t="shared" si="64"/>
        <v>1.0725112099999998</v>
      </c>
      <c r="R106" s="78">
        <f t="shared" si="40"/>
        <v>1.0874489449999998</v>
      </c>
      <c r="S106" s="78">
        <f t="shared" si="65"/>
        <v>0.94706309999999994</v>
      </c>
      <c r="T106" s="78">
        <f t="shared" si="41"/>
        <v>0.96025361999999981</v>
      </c>
      <c r="U106" s="78">
        <f t="shared" si="42"/>
        <v>1.0725112099999998</v>
      </c>
      <c r="V106" s="78">
        <f t="shared" si="43"/>
        <v>1.0874489449999998</v>
      </c>
      <c r="W106" s="78">
        <f t="shared" si="66"/>
        <v>1.004498304</v>
      </c>
      <c r="X106" s="78">
        <f t="shared" si="44"/>
        <v>1.0184887679999999</v>
      </c>
      <c r="Y106" s="78">
        <f t="shared" si="67"/>
        <v>0.88700543999999992</v>
      </c>
      <c r="Z106" s="78">
        <f t="shared" si="45"/>
        <v>0.89935948799999987</v>
      </c>
      <c r="AA106" s="78">
        <f t="shared" si="46"/>
        <v>1.004498304</v>
      </c>
      <c r="AB106" s="78">
        <f t="shared" si="47"/>
        <v>1.0184887679999999</v>
      </c>
      <c r="AC106" s="78">
        <v>1.0266</v>
      </c>
      <c r="AD106" s="78">
        <v>1.0318000000000001</v>
      </c>
      <c r="AE106" s="78">
        <v>0.89802000000000004</v>
      </c>
      <c r="AF106" s="78">
        <v>0.91622000000000003</v>
      </c>
      <c r="AG106" s="78">
        <f t="shared" si="68"/>
        <v>1.0266</v>
      </c>
      <c r="AH106" s="78">
        <f t="shared" si="69"/>
        <v>1.0318000000000001</v>
      </c>
      <c r="AI106" s="78">
        <f t="shared" si="70"/>
        <v>1.0522649999999998</v>
      </c>
      <c r="AJ106" s="78">
        <f t="shared" si="48"/>
        <v>1.0575950000000001</v>
      </c>
      <c r="AK106" s="78">
        <f t="shared" si="71"/>
        <v>0.92047049999999997</v>
      </c>
      <c r="AL106" s="78">
        <f t="shared" si="49"/>
        <v>0.93912549999999995</v>
      </c>
      <c r="AM106" s="78">
        <f t="shared" si="50"/>
        <v>1.0522649999999998</v>
      </c>
      <c r="AN106" s="78">
        <f t="shared" si="51"/>
        <v>1.0575950000000001</v>
      </c>
      <c r="AO106" s="78">
        <f t="shared" si="72"/>
        <v>0.98553599999999997</v>
      </c>
      <c r="AP106" s="78">
        <f t="shared" si="52"/>
        <v>0.99052799999999996</v>
      </c>
      <c r="AQ106" s="78">
        <f t="shared" si="73"/>
        <v>0.86209919999999995</v>
      </c>
      <c r="AR106" s="78">
        <f t="shared" si="53"/>
        <v>0.8795712</v>
      </c>
      <c r="AS106" s="78">
        <f t="shared" si="54"/>
        <v>0.98553599999999997</v>
      </c>
      <c r="AT106" s="78">
        <f t="shared" si="55"/>
        <v>0.99052799999999996</v>
      </c>
      <c r="AU106" s="78">
        <v>1.0320800000000001</v>
      </c>
      <c r="AV106" s="78">
        <v>1.0427900000000001</v>
      </c>
      <c r="AW106" s="78">
        <v>0.91088999999999998</v>
      </c>
      <c r="AX106" s="78">
        <v>0.93035000000000001</v>
      </c>
      <c r="AY106" s="78">
        <f t="shared" si="74"/>
        <v>1.0320800000000001</v>
      </c>
      <c r="AZ106" s="78">
        <f t="shared" si="75"/>
        <v>1.0427900000000001</v>
      </c>
      <c r="BA106" s="78">
        <f t="shared" si="76"/>
        <v>1.057882</v>
      </c>
      <c r="BB106" s="78">
        <f t="shared" si="56"/>
        <v>1.0688597500000001</v>
      </c>
      <c r="BC106" s="78">
        <f t="shared" si="77"/>
        <v>0.93366224999999992</v>
      </c>
      <c r="BD106" s="78">
        <f t="shared" si="57"/>
        <v>0.95360874999999989</v>
      </c>
      <c r="BE106" s="78">
        <f t="shared" si="58"/>
        <v>1.057882</v>
      </c>
      <c r="BF106" s="78">
        <f t="shared" si="59"/>
        <v>1.0688597500000001</v>
      </c>
      <c r="BG106" s="78">
        <f t="shared" si="78"/>
        <v>0.99079680000000003</v>
      </c>
      <c r="BH106" s="78">
        <f t="shared" si="60"/>
        <v>1.0010784000000001</v>
      </c>
      <c r="BI106" s="78">
        <f t="shared" si="79"/>
        <v>0.87445439999999997</v>
      </c>
      <c r="BJ106" s="78">
        <f t="shared" si="61"/>
        <v>0.89313599999999993</v>
      </c>
      <c r="BK106" s="78">
        <f t="shared" si="62"/>
        <v>0.99079680000000003</v>
      </c>
      <c r="BL106" s="78">
        <f t="shared" si="63"/>
        <v>1.0010784000000001</v>
      </c>
      <c r="BM106" s="78">
        <v>0.98244799999999999</v>
      </c>
      <c r="BN106" s="78">
        <v>1.0040427999999999</v>
      </c>
      <c r="BO106" s="78">
        <v>0.98515819999999998</v>
      </c>
      <c r="BP106" s="78">
        <v>0.99887929999999991</v>
      </c>
    </row>
    <row r="107" spans="1:68" ht="13" x14ac:dyDescent="0.25">
      <c r="A107" s="60">
        <v>1</v>
      </c>
      <c r="B107" s="55">
        <v>99</v>
      </c>
      <c r="C107" s="61">
        <v>1.0086832962073671</v>
      </c>
      <c r="D107" s="61">
        <v>0.97386443068373085</v>
      </c>
      <c r="E107" s="81">
        <v>1.0192783696413974</v>
      </c>
      <c r="F107" s="81">
        <v>0.98861687548040578</v>
      </c>
      <c r="G107" s="78">
        <v>1.0175277</v>
      </c>
      <c r="H107" s="78">
        <v>0.93134780000000006</v>
      </c>
      <c r="I107" s="78">
        <v>1.0191170000000001</v>
      </c>
      <c r="J107" s="78">
        <v>1.044206</v>
      </c>
      <c r="K107" s="78">
        <v>1.0468746</v>
      </c>
      <c r="L107" s="78">
        <v>1.0641948999999999</v>
      </c>
      <c r="M107" s="78">
        <v>0.9244251</v>
      </c>
      <c r="N107" s="78">
        <v>0.93971950000000004</v>
      </c>
      <c r="O107" s="78">
        <v>1.0468746</v>
      </c>
      <c r="P107" s="78">
        <v>1.0641948999999999</v>
      </c>
      <c r="Q107" s="78">
        <f t="shared" si="64"/>
        <v>1.073046465</v>
      </c>
      <c r="R107" s="78">
        <f t="shared" si="40"/>
        <v>1.0907997724999998</v>
      </c>
      <c r="S107" s="78">
        <f t="shared" si="65"/>
        <v>0.94753572749999992</v>
      </c>
      <c r="T107" s="78">
        <f t="shared" si="41"/>
        <v>0.96321248749999999</v>
      </c>
      <c r="U107" s="78">
        <f t="shared" si="42"/>
        <v>1.073046465</v>
      </c>
      <c r="V107" s="78">
        <f t="shared" si="43"/>
        <v>1.0907997724999998</v>
      </c>
      <c r="W107" s="78">
        <f t="shared" si="66"/>
        <v>1.0049996159999999</v>
      </c>
      <c r="X107" s="78">
        <f t="shared" si="44"/>
        <v>1.021627104</v>
      </c>
      <c r="Y107" s="78">
        <f t="shared" si="67"/>
        <v>0.88744809599999996</v>
      </c>
      <c r="Z107" s="78">
        <f t="shared" si="45"/>
        <v>0.90213072000000005</v>
      </c>
      <c r="AA107" s="78">
        <f t="shared" si="46"/>
        <v>1.0049996159999999</v>
      </c>
      <c r="AB107" s="78">
        <f t="shared" si="47"/>
        <v>1.021627104</v>
      </c>
      <c r="AC107" s="78">
        <v>1.0295799999999999</v>
      </c>
      <c r="AD107" s="78">
        <v>1.03891</v>
      </c>
      <c r="AE107" s="78">
        <v>0.90169999999999995</v>
      </c>
      <c r="AF107" s="78">
        <v>0.92181999999999997</v>
      </c>
      <c r="AG107" s="78">
        <f t="shared" si="68"/>
        <v>1.0295799999999999</v>
      </c>
      <c r="AH107" s="78">
        <f t="shared" si="69"/>
        <v>1.03891</v>
      </c>
      <c r="AI107" s="78">
        <f t="shared" si="70"/>
        <v>1.0553194999999997</v>
      </c>
      <c r="AJ107" s="78">
        <f t="shared" si="48"/>
        <v>1.06488275</v>
      </c>
      <c r="AK107" s="78">
        <f t="shared" si="71"/>
        <v>0.92424249999999986</v>
      </c>
      <c r="AL107" s="78">
        <f t="shared" si="49"/>
        <v>0.94486549999999991</v>
      </c>
      <c r="AM107" s="78">
        <f t="shared" si="50"/>
        <v>1.0553194999999997</v>
      </c>
      <c r="AN107" s="78">
        <f t="shared" si="51"/>
        <v>1.06488275</v>
      </c>
      <c r="AO107" s="78">
        <f t="shared" si="72"/>
        <v>0.98839679999999985</v>
      </c>
      <c r="AP107" s="78">
        <f t="shared" si="52"/>
        <v>0.99735359999999995</v>
      </c>
      <c r="AQ107" s="78">
        <f t="shared" si="73"/>
        <v>0.86563199999999996</v>
      </c>
      <c r="AR107" s="78">
        <f t="shared" si="53"/>
        <v>0.88494719999999993</v>
      </c>
      <c r="AS107" s="78">
        <f t="shared" si="54"/>
        <v>0.98839679999999985</v>
      </c>
      <c r="AT107" s="78">
        <f t="shared" si="55"/>
        <v>0.99735359999999995</v>
      </c>
      <c r="AU107" s="78">
        <v>1.03437</v>
      </c>
      <c r="AV107" s="78">
        <v>1.0484500000000001</v>
      </c>
      <c r="AW107" s="78">
        <v>0.91296999999999995</v>
      </c>
      <c r="AX107" s="78">
        <v>0.93408999999999998</v>
      </c>
      <c r="AY107" s="78">
        <f t="shared" si="74"/>
        <v>1.03437</v>
      </c>
      <c r="AZ107" s="78">
        <f t="shared" si="75"/>
        <v>1.0484500000000001</v>
      </c>
      <c r="BA107" s="78">
        <f t="shared" si="76"/>
        <v>1.0602292499999999</v>
      </c>
      <c r="BB107" s="78">
        <f t="shared" si="56"/>
        <v>1.0746612500000001</v>
      </c>
      <c r="BC107" s="78">
        <f t="shared" si="77"/>
        <v>0.93579424999999983</v>
      </c>
      <c r="BD107" s="78">
        <f t="shared" si="57"/>
        <v>0.95744224999999994</v>
      </c>
      <c r="BE107" s="78">
        <f t="shared" si="58"/>
        <v>1.0602292499999999</v>
      </c>
      <c r="BF107" s="78">
        <f t="shared" si="59"/>
        <v>1.0746612500000001</v>
      </c>
      <c r="BG107" s="78">
        <f t="shared" si="78"/>
        <v>0.99299519999999997</v>
      </c>
      <c r="BH107" s="78">
        <f t="shared" si="60"/>
        <v>1.0065120000000001</v>
      </c>
      <c r="BI107" s="78">
        <f t="shared" si="79"/>
        <v>0.87645119999999987</v>
      </c>
      <c r="BJ107" s="78">
        <f t="shared" si="61"/>
        <v>0.89672639999999992</v>
      </c>
      <c r="BK107" s="78">
        <f t="shared" si="62"/>
        <v>0.99299519999999997</v>
      </c>
      <c r="BL107" s="78">
        <f t="shared" si="63"/>
        <v>1.0065120000000001</v>
      </c>
      <c r="BM107" s="78">
        <v>0.98293839999999999</v>
      </c>
      <c r="BN107" s="78">
        <v>1.0071367</v>
      </c>
      <c r="BO107" s="78">
        <v>0.98564984999999994</v>
      </c>
      <c r="BP107" s="78">
        <v>1.0019572000000001</v>
      </c>
    </row>
    <row r="108" spans="1:68" ht="13" x14ac:dyDescent="0.25">
      <c r="A108" s="60">
        <v>1</v>
      </c>
      <c r="B108" s="55">
        <v>100</v>
      </c>
      <c r="C108" s="61">
        <v>1.0070231681920323</v>
      </c>
      <c r="D108" s="61">
        <v>1.0135869760667373</v>
      </c>
      <c r="E108" s="81">
        <v>1.0173692349472367</v>
      </c>
      <c r="F108" s="81">
        <v>1.0281345555581418</v>
      </c>
      <c r="G108" s="78">
        <v>1.0203915000000001</v>
      </c>
      <c r="H108" s="78">
        <v>1.020402</v>
      </c>
      <c r="I108" s="78">
        <v>1.0128136999999999</v>
      </c>
      <c r="J108" s="78">
        <v>1.0343338</v>
      </c>
      <c r="K108" s="78">
        <v>1.0403996</v>
      </c>
      <c r="L108" s="78">
        <v>1.0541338</v>
      </c>
      <c r="M108" s="78">
        <v>0.91870750000000001</v>
      </c>
      <c r="N108" s="78">
        <v>0.93083519999999997</v>
      </c>
      <c r="O108" s="78">
        <v>1.0403996</v>
      </c>
      <c r="P108" s="78">
        <v>1.0541338</v>
      </c>
      <c r="Q108" s="78">
        <f t="shared" si="64"/>
        <v>1.0664095899999999</v>
      </c>
      <c r="R108" s="78">
        <f t="shared" si="40"/>
        <v>1.080487145</v>
      </c>
      <c r="S108" s="78">
        <f t="shared" si="65"/>
        <v>0.9416751874999999</v>
      </c>
      <c r="T108" s="78">
        <f t="shared" si="41"/>
        <v>0.95410607999999986</v>
      </c>
      <c r="U108" s="78">
        <f t="shared" si="42"/>
        <v>1.0664095899999999</v>
      </c>
      <c r="V108" s="78">
        <f t="shared" si="43"/>
        <v>1.080487145</v>
      </c>
      <c r="W108" s="78">
        <f t="shared" si="66"/>
        <v>0.99878361599999999</v>
      </c>
      <c r="X108" s="78">
        <f t="shared" si="44"/>
        <v>1.011968448</v>
      </c>
      <c r="Y108" s="78">
        <f t="shared" si="67"/>
        <v>0.88195919999999994</v>
      </c>
      <c r="Z108" s="78">
        <f t="shared" si="45"/>
        <v>0.89360179199999989</v>
      </c>
      <c r="AA108" s="78">
        <f t="shared" si="46"/>
        <v>0.99878361599999999</v>
      </c>
      <c r="AB108" s="78">
        <f t="shared" si="47"/>
        <v>1.011968448</v>
      </c>
      <c r="AC108" s="78">
        <v>1.0253399999999999</v>
      </c>
      <c r="AD108" s="78">
        <v>1.03244</v>
      </c>
      <c r="AE108" s="78">
        <v>0.89893000000000001</v>
      </c>
      <c r="AF108" s="78">
        <v>0.91547999999999996</v>
      </c>
      <c r="AG108" s="78">
        <f t="shared" si="68"/>
        <v>1.0253399999999999</v>
      </c>
      <c r="AH108" s="78">
        <f t="shared" si="69"/>
        <v>1.03244</v>
      </c>
      <c r="AI108" s="78">
        <f t="shared" si="70"/>
        <v>1.0509734999999998</v>
      </c>
      <c r="AJ108" s="78">
        <f t="shared" si="48"/>
        <v>1.0582509999999998</v>
      </c>
      <c r="AK108" s="78">
        <f t="shared" si="71"/>
        <v>0.9214032499999999</v>
      </c>
      <c r="AL108" s="78">
        <f t="shared" si="49"/>
        <v>0.93836699999999984</v>
      </c>
      <c r="AM108" s="78">
        <f t="shared" si="50"/>
        <v>1.0509734999999998</v>
      </c>
      <c r="AN108" s="78">
        <f t="shared" si="51"/>
        <v>1.0582509999999998</v>
      </c>
      <c r="AO108" s="78">
        <f t="shared" si="72"/>
        <v>0.98432639999999993</v>
      </c>
      <c r="AP108" s="78">
        <f t="shared" si="52"/>
        <v>0.99114239999999998</v>
      </c>
      <c r="AQ108" s="78">
        <f t="shared" si="73"/>
        <v>0.86297279999999998</v>
      </c>
      <c r="AR108" s="78">
        <f t="shared" si="53"/>
        <v>0.87886079999999989</v>
      </c>
      <c r="AS108" s="78">
        <f t="shared" si="54"/>
        <v>0.98432639999999993</v>
      </c>
      <c r="AT108" s="78">
        <f t="shared" si="55"/>
        <v>0.99114239999999998</v>
      </c>
      <c r="AU108" s="78">
        <v>1.02952</v>
      </c>
      <c r="AV108" s="78">
        <v>1.0406299999999999</v>
      </c>
      <c r="AW108" s="78">
        <v>0.90873999999999999</v>
      </c>
      <c r="AX108" s="78">
        <v>0.92601</v>
      </c>
      <c r="AY108" s="78">
        <f t="shared" si="74"/>
        <v>1.02952</v>
      </c>
      <c r="AZ108" s="78">
        <f t="shared" si="75"/>
        <v>1.0406299999999999</v>
      </c>
      <c r="BA108" s="78">
        <f t="shared" si="76"/>
        <v>1.0552579999999998</v>
      </c>
      <c r="BB108" s="78">
        <f t="shared" si="56"/>
        <v>1.0666457499999999</v>
      </c>
      <c r="BC108" s="78">
        <f t="shared" si="77"/>
        <v>0.93145849999999986</v>
      </c>
      <c r="BD108" s="78">
        <f t="shared" si="57"/>
        <v>0.94916024999999993</v>
      </c>
      <c r="BE108" s="78">
        <f t="shared" si="58"/>
        <v>1.0552579999999998</v>
      </c>
      <c r="BF108" s="78">
        <f t="shared" si="59"/>
        <v>1.0666457499999999</v>
      </c>
      <c r="BG108" s="78">
        <f t="shared" si="78"/>
        <v>0.98833919999999997</v>
      </c>
      <c r="BH108" s="78">
        <f t="shared" si="60"/>
        <v>0.99900479999999992</v>
      </c>
      <c r="BI108" s="78">
        <f t="shared" si="79"/>
        <v>0.87239040000000001</v>
      </c>
      <c r="BJ108" s="78">
        <f t="shared" si="61"/>
        <v>0.88896959999999992</v>
      </c>
      <c r="BK108" s="78">
        <f t="shared" si="62"/>
        <v>0.98833919999999997</v>
      </c>
      <c r="BL108" s="78">
        <f t="shared" si="63"/>
        <v>0.99900479999999992</v>
      </c>
      <c r="BM108" s="78">
        <v>0.97685880000000003</v>
      </c>
      <c r="BN108" s="78">
        <v>0.99761500000000003</v>
      </c>
      <c r="BO108" s="78">
        <v>0.97955355</v>
      </c>
      <c r="BP108" s="78">
        <v>0.99248449999999999</v>
      </c>
    </row>
    <row r="109" spans="1:68" ht="13" x14ac:dyDescent="0.25">
      <c r="A109" s="60">
        <v>1</v>
      </c>
      <c r="B109" s="55">
        <v>101</v>
      </c>
      <c r="C109" s="61">
        <v>1.0029420504672786</v>
      </c>
      <c r="D109" s="61">
        <v>1.0072745575178921</v>
      </c>
      <c r="E109" s="81">
        <v>1.0130558380229027</v>
      </c>
      <c r="F109" s="81">
        <v>1.0214956917309244</v>
      </c>
      <c r="G109" s="78">
        <v>1.0203968000000001</v>
      </c>
      <c r="H109" s="78">
        <v>1.0204089000000001</v>
      </c>
      <c r="I109" s="78">
        <v>1.0044886</v>
      </c>
      <c r="J109" s="78">
        <v>1.0213563000000001</v>
      </c>
      <c r="K109" s="78">
        <v>1.0318478</v>
      </c>
      <c r="L109" s="78">
        <v>1.0409078999999999</v>
      </c>
      <c r="M109" s="78">
        <v>0.91115590000000002</v>
      </c>
      <c r="N109" s="78">
        <v>0.91915629999999993</v>
      </c>
      <c r="O109" s="78">
        <v>1.0318478</v>
      </c>
      <c r="P109" s="78">
        <v>1.0409078999999999</v>
      </c>
      <c r="Q109" s="78">
        <f t="shared" si="64"/>
        <v>1.0576439949999998</v>
      </c>
      <c r="R109" s="78">
        <f t="shared" si="40"/>
        <v>1.0669305974999999</v>
      </c>
      <c r="S109" s="78">
        <f t="shared" si="65"/>
        <v>0.93393479749999997</v>
      </c>
      <c r="T109" s="78">
        <f t="shared" si="41"/>
        <v>0.94213520749999979</v>
      </c>
      <c r="U109" s="78">
        <f t="shared" si="42"/>
        <v>1.0576439949999998</v>
      </c>
      <c r="V109" s="78">
        <f t="shared" si="43"/>
        <v>1.0669305974999999</v>
      </c>
      <c r="W109" s="78">
        <f t="shared" si="66"/>
        <v>0.9905738879999999</v>
      </c>
      <c r="X109" s="78">
        <f t="shared" si="44"/>
        <v>0.99927158399999982</v>
      </c>
      <c r="Y109" s="78">
        <f t="shared" si="67"/>
        <v>0.87470966399999994</v>
      </c>
      <c r="Z109" s="78">
        <f t="shared" si="45"/>
        <v>0.88239004799999987</v>
      </c>
      <c r="AA109" s="78">
        <f t="shared" si="46"/>
        <v>0.9905738879999999</v>
      </c>
      <c r="AB109" s="78">
        <f t="shared" si="47"/>
        <v>0.99927158399999982</v>
      </c>
      <c r="AC109" s="78">
        <v>1.01877</v>
      </c>
      <c r="AD109" s="78">
        <v>1.0223599999999999</v>
      </c>
      <c r="AE109" s="78">
        <v>0.89398</v>
      </c>
      <c r="AF109" s="78">
        <v>0.90603</v>
      </c>
      <c r="AG109" s="78">
        <f t="shared" si="68"/>
        <v>1.01877</v>
      </c>
      <c r="AH109" s="78">
        <f t="shared" si="69"/>
        <v>1.0223599999999999</v>
      </c>
      <c r="AI109" s="78">
        <f t="shared" si="70"/>
        <v>1.04423925</v>
      </c>
      <c r="AJ109" s="78">
        <f t="shared" si="48"/>
        <v>1.0479189999999998</v>
      </c>
      <c r="AK109" s="78">
        <f t="shared" si="71"/>
        <v>0.91632949999999991</v>
      </c>
      <c r="AL109" s="78">
        <f t="shared" si="49"/>
        <v>0.92868074999999994</v>
      </c>
      <c r="AM109" s="78">
        <f t="shared" si="50"/>
        <v>1.04423925</v>
      </c>
      <c r="AN109" s="78">
        <f t="shared" si="51"/>
        <v>1.0479189999999998</v>
      </c>
      <c r="AO109" s="78">
        <f t="shared" si="72"/>
        <v>0.97801919999999987</v>
      </c>
      <c r="AP109" s="78">
        <f t="shared" si="52"/>
        <v>0.98146559999999994</v>
      </c>
      <c r="AQ109" s="78">
        <f t="shared" si="73"/>
        <v>0.85822080000000001</v>
      </c>
      <c r="AR109" s="78">
        <f t="shared" si="53"/>
        <v>0.86978879999999992</v>
      </c>
      <c r="AS109" s="78">
        <f t="shared" si="54"/>
        <v>0.97801919999999987</v>
      </c>
      <c r="AT109" s="78">
        <f t="shared" si="55"/>
        <v>0.98146559999999994</v>
      </c>
      <c r="AU109" s="78">
        <v>1.0224</v>
      </c>
      <c r="AV109" s="78">
        <v>1.0293600000000001</v>
      </c>
      <c r="AW109" s="78">
        <v>0.90249999999999997</v>
      </c>
      <c r="AX109" s="78">
        <v>0.91503000000000001</v>
      </c>
      <c r="AY109" s="78">
        <f t="shared" si="74"/>
        <v>1.0224</v>
      </c>
      <c r="AZ109" s="78">
        <f t="shared" si="75"/>
        <v>1.0293600000000001</v>
      </c>
      <c r="BA109" s="78">
        <f t="shared" si="76"/>
        <v>1.0479599999999998</v>
      </c>
      <c r="BB109" s="78">
        <f t="shared" si="56"/>
        <v>1.055094</v>
      </c>
      <c r="BC109" s="78">
        <f t="shared" si="77"/>
        <v>0.9250624999999999</v>
      </c>
      <c r="BD109" s="78">
        <f t="shared" si="57"/>
        <v>0.93790574999999998</v>
      </c>
      <c r="BE109" s="78">
        <f t="shared" si="58"/>
        <v>1.0479599999999998</v>
      </c>
      <c r="BF109" s="78">
        <f t="shared" si="59"/>
        <v>1.055094</v>
      </c>
      <c r="BG109" s="78">
        <f t="shared" si="78"/>
        <v>0.98150399999999993</v>
      </c>
      <c r="BH109" s="78">
        <f t="shared" si="60"/>
        <v>0.9881856</v>
      </c>
      <c r="BI109" s="78">
        <f t="shared" si="79"/>
        <v>0.86639999999999995</v>
      </c>
      <c r="BJ109" s="78">
        <f t="shared" si="61"/>
        <v>0.87842880000000001</v>
      </c>
      <c r="BK109" s="78">
        <f t="shared" si="62"/>
        <v>0.98150399999999993</v>
      </c>
      <c r="BL109" s="78">
        <f t="shared" si="63"/>
        <v>0.9881856</v>
      </c>
      <c r="BM109" s="78">
        <v>0.9688293</v>
      </c>
      <c r="BN109" s="78">
        <v>0.98509820000000003</v>
      </c>
      <c r="BO109" s="78">
        <v>0.97150185</v>
      </c>
      <c r="BP109" s="78">
        <v>0.98003209999999985</v>
      </c>
    </row>
    <row r="110" spans="1:68" ht="13" x14ac:dyDescent="0.25">
      <c r="A110" s="60">
        <v>1</v>
      </c>
      <c r="B110" s="55">
        <v>102</v>
      </c>
      <c r="C110" s="61">
        <v>1.0029531785562866</v>
      </c>
      <c r="D110" s="61">
        <v>1.007979839296345</v>
      </c>
      <c r="E110" s="81">
        <v>1.0129135615929279</v>
      </c>
      <c r="F110" s="81">
        <v>1.0220669055460807</v>
      </c>
      <c r="G110" s="78">
        <v>1.0204169000000001</v>
      </c>
      <c r="H110" s="78">
        <v>1.0204043</v>
      </c>
      <c r="I110" s="78">
        <v>1.0044909</v>
      </c>
      <c r="J110" s="78">
        <v>1.0228101999999999</v>
      </c>
      <c r="K110" s="78">
        <v>1.0318502000000001</v>
      </c>
      <c r="L110" s="78">
        <v>1.0423896000000001</v>
      </c>
      <c r="M110" s="78">
        <v>0.91115799999999991</v>
      </c>
      <c r="N110" s="78">
        <v>0.92046470000000002</v>
      </c>
      <c r="O110" s="78">
        <v>1.0318502000000001</v>
      </c>
      <c r="P110" s="78">
        <v>1.0423896000000001</v>
      </c>
      <c r="Q110" s="78">
        <f t="shared" si="64"/>
        <v>1.057646455</v>
      </c>
      <c r="R110" s="78">
        <f t="shared" si="40"/>
        <v>1.0684493400000001</v>
      </c>
      <c r="S110" s="78">
        <f t="shared" si="65"/>
        <v>0.93393694999999988</v>
      </c>
      <c r="T110" s="78">
        <f t="shared" si="41"/>
        <v>0.94347631749999994</v>
      </c>
      <c r="U110" s="78">
        <f t="shared" si="42"/>
        <v>1.057646455</v>
      </c>
      <c r="V110" s="78">
        <f t="shared" si="43"/>
        <v>1.0684493400000001</v>
      </c>
      <c r="W110" s="78">
        <f t="shared" si="66"/>
        <v>0.99057619200000002</v>
      </c>
      <c r="X110" s="78">
        <f t="shared" si="44"/>
        <v>1.0006940160000002</v>
      </c>
      <c r="Y110" s="78">
        <f t="shared" si="67"/>
        <v>0.87471167999999988</v>
      </c>
      <c r="Z110" s="78">
        <f t="shared" si="45"/>
        <v>0.88364611199999998</v>
      </c>
      <c r="AA110" s="78">
        <f t="shared" si="46"/>
        <v>0.99057619200000002</v>
      </c>
      <c r="AB110" s="78">
        <f t="shared" si="47"/>
        <v>1.0006940160000002</v>
      </c>
      <c r="AC110" s="78">
        <v>1.02041</v>
      </c>
      <c r="AD110" s="78">
        <v>1.0263100000000001</v>
      </c>
      <c r="AE110" s="78">
        <v>0.89612999999999998</v>
      </c>
      <c r="AF110" s="78">
        <v>0.90908</v>
      </c>
      <c r="AG110" s="78">
        <f t="shared" si="68"/>
        <v>1.02041</v>
      </c>
      <c r="AH110" s="78">
        <f t="shared" si="69"/>
        <v>1.0263100000000001</v>
      </c>
      <c r="AI110" s="78">
        <f t="shared" si="70"/>
        <v>1.04592025</v>
      </c>
      <c r="AJ110" s="78">
        <f t="shared" si="48"/>
        <v>1.05196775</v>
      </c>
      <c r="AK110" s="78">
        <f t="shared" si="71"/>
        <v>0.91853324999999986</v>
      </c>
      <c r="AL110" s="78">
        <f t="shared" si="49"/>
        <v>0.93180699999999994</v>
      </c>
      <c r="AM110" s="78">
        <f t="shared" si="50"/>
        <v>1.04592025</v>
      </c>
      <c r="AN110" s="78">
        <f t="shared" si="51"/>
        <v>1.05196775</v>
      </c>
      <c r="AO110" s="78">
        <f t="shared" si="72"/>
        <v>0.97959359999999995</v>
      </c>
      <c r="AP110" s="78">
        <f t="shared" si="52"/>
        <v>0.98525760000000007</v>
      </c>
      <c r="AQ110" s="78">
        <f t="shared" si="73"/>
        <v>0.86028479999999996</v>
      </c>
      <c r="AR110" s="78">
        <f t="shared" si="53"/>
        <v>0.87271679999999996</v>
      </c>
      <c r="AS110" s="78">
        <f t="shared" si="54"/>
        <v>0.97959359999999995</v>
      </c>
      <c r="AT110" s="78">
        <f t="shared" si="55"/>
        <v>0.98525760000000007</v>
      </c>
      <c r="AU110" s="78">
        <v>1.0235799999999999</v>
      </c>
      <c r="AV110" s="78">
        <v>1.0323800000000001</v>
      </c>
      <c r="AW110" s="78">
        <v>0.90358000000000005</v>
      </c>
      <c r="AX110" s="78">
        <v>0.91688999999999998</v>
      </c>
      <c r="AY110" s="78">
        <f t="shared" si="74"/>
        <v>1.0235799999999999</v>
      </c>
      <c r="AZ110" s="78">
        <f t="shared" si="75"/>
        <v>1.0323800000000001</v>
      </c>
      <c r="BA110" s="78">
        <f t="shared" si="76"/>
        <v>1.0491694999999999</v>
      </c>
      <c r="BB110" s="78">
        <f t="shared" si="56"/>
        <v>1.0581894999999999</v>
      </c>
      <c r="BC110" s="78">
        <f t="shared" si="77"/>
        <v>0.92616949999999998</v>
      </c>
      <c r="BD110" s="78">
        <f t="shared" si="57"/>
        <v>0.9398122499999999</v>
      </c>
      <c r="BE110" s="78">
        <f t="shared" si="58"/>
        <v>1.0491694999999999</v>
      </c>
      <c r="BF110" s="78">
        <f t="shared" si="59"/>
        <v>1.0581894999999999</v>
      </c>
      <c r="BG110" s="78">
        <f t="shared" si="78"/>
        <v>0.98263679999999987</v>
      </c>
      <c r="BH110" s="78">
        <f t="shared" si="60"/>
        <v>0.99108479999999999</v>
      </c>
      <c r="BI110" s="78">
        <f t="shared" si="79"/>
        <v>0.86743680000000001</v>
      </c>
      <c r="BJ110" s="78">
        <f t="shared" si="61"/>
        <v>0.88021439999999995</v>
      </c>
      <c r="BK110" s="78">
        <f t="shared" si="62"/>
        <v>0.98263679999999987</v>
      </c>
      <c r="BL110" s="78">
        <f t="shared" si="63"/>
        <v>0.99108479999999999</v>
      </c>
      <c r="BM110" s="78">
        <v>0.96883149999999996</v>
      </c>
      <c r="BN110" s="78">
        <v>0.98650049999999989</v>
      </c>
      <c r="BO110" s="78">
        <v>0.97150409999999998</v>
      </c>
      <c r="BP110" s="78">
        <v>0.98142715000000003</v>
      </c>
    </row>
    <row r="111" spans="1:68" ht="13" x14ac:dyDescent="0.25">
      <c r="A111" s="60">
        <v>1</v>
      </c>
      <c r="B111" s="55">
        <v>103</v>
      </c>
      <c r="C111" s="61">
        <v>1.0027808190491232</v>
      </c>
      <c r="D111" s="61">
        <v>1.0085465436846572</v>
      </c>
      <c r="E111" s="81">
        <v>1.0125846757620474</v>
      </c>
      <c r="F111" s="81">
        <v>1.0224958477322077</v>
      </c>
      <c r="G111" s="78">
        <v>1.0204031999999998</v>
      </c>
      <c r="H111" s="78">
        <v>1.0204002999999999</v>
      </c>
      <c r="I111" s="78">
        <v>1.0041535000000001</v>
      </c>
      <c r="J111" s="78">
        <v>1.0239787</v>
      </c>
      <c r="K111" s="78">
        <v>1.0315036</v>
      </c>
      <c r="L111" s="78">
        <v>1.0435804</v>
      </c>
      <c r="M111" s="78">
        <v>0.91085189999999994</v>
      </c>
      <c r="N111" s="78">
        <v>0.9215161999999999</v>
      </c>
      <c r="O111" s="78">
        <v>1.0315036</v>
      </c>
      <c r="P111" s="78">
        <v>1.0435804</v>
      </c>
      <c r="Q111" s="78">
        <f t="shared" si="64"/>
        <v>1.0572911899999999</v>
      </c>
      <c r="R111" s="78">
        <f t="shared" si="40"/>
        <v>1.0696699099999998</v>
      </c>
      <c r="S111" s="78">
        <f t="shared" si="65"/>
        <v>0.93362319749999989</v>
      </c>
      <c r="T111" s="78">
        <f t="shared" si="41"/>
        <v>0.94455410499999981</v>
      </c>
      <c r="U111" s="78">
        <f t="shared" si="42"/>
        <v>1.0572911899999999</v>
      </c>
      <c r="V111" s="78">
        <f t="shared" si="43"/>
        <v>1.0696699099999998</v>
      </c>
      <c r="W111" s="78">
        <f t="shared" si="66"/>
        <v>0.99024345599999997</v>
      </c>
      <c r="X111" s="78">
        <f t="shared" si="44"/>
        <v>1.001837184</v>
      </c>
      <c r="Y111" s="78">
        <f t="shared" si="67"/>
        <v>0.8744178239999999</v>
      </c>
      <c r="Z111" s="78">
        <f t="shared" si="45"/>
        <v>0.8846555519999999</v>
      </c>
      <c r="AA111" s="78">
        <f t="shared" si="46"/>
        <v>0.99024345599999997</v>
      </c>
      <c r="AB111" s="78">
        <f t="shared" si="47"/>
        <v>1.001837184</v>
      </c>
      <c r="AC111" s="78">
        <v>1.02152</v>
      </c>
      <c r="AD111" s="78">
        <v>1.0296700000000001</v>
      </c>
      <c r="AE111" s="78">
        <v>0.89773000000000003</v>
      </c>
      <c r="AF111" s="78">
        <v>0.91166999999999998</v>
      </c>
      <c r="AG111" s="78">
        <f t="shared" si="68"/>
        <v>1.02152</v>
      </c>
      <c r="AH111" s="78">
        <f t="shared" si="69"/>
        <v>1.0296700000000001</v>
      </c>
      <c r="AI111" s="78">
        <f t="shared" si="70"/>
        <v>1.0470579999999998</v>
      </c>
      <c r="AJ111" s="78">
        <f t="shared" si="48"/>
        <v>1.05541175</v>
      </c>
      <c r="AK111" s="78">
        <f t="shared" si="71"/>
        <v>0.92017324999999994</v>
      </c>
      <c r="AL111" s="78">
        <f t="shared" si="49"/>
        <v>0.93446174999999987</v>
      </c>
      <c r="AM111" s="78">
        <f t="shared" si="50"/>
        <v>1.0470579999999998</v>
      </c>
      <c r="AN111" s="78">
        <f t="shared" si="51"/>
        <v>1.05541175</v>
      </c>
      <c r="AO111" s="78">
        <f t="shared" si="72"/>
        <v>0.98065919999999995</v>
      </c>
      <c r="AP111" s="78">
        <f t="shared" si="52"/>
        <v>0.98848320000000001</v>
      </c>
      <c r="AQ111" s="78">
        <f t="shared" si="73"/>
        <v>0.86182079999999994</v>
      </c>
      <c r="AR111" s="78">
        <f t="shared" si="53"/>
        <v>0.87520319999999996</v>
      </c>
      <c r="AS111" s="78">
        <f t="shared" si="54"/>
        <v>0.98065919999999995</v>
      </c>
      <c r="AT111" s="78">
        <f t="shared" si="55"/>
        <v>0.98848320000000001</v>
      </c>
      <c r="AU111" s="78">
        <v>1.0242899999999999</v>
      </c>
      <c r="AV111" s="78">
        <v>1.0349200000000001</v>
      </c>
      <c r="AW111" s="78">
        <v>0.90424000000000004</v>
      </c>
      <c r="AX111" s="78">
        <v>0.91842000000000001</v>
      </c>
      <c r="AY111" s="78">
        <f t="shared" si="74"/>
        <v>1.0242899999999999</v>
      </c>
      <c r="AZ111" s="78">
        <f t="shared" si="75"/>
        <v>1.0349200000000001</v>
      </c>
      <c r="BA111" s="78">
        <f t="shared" si="76"/>
        <v>1.0498972499999999</v>
      </c>
      <c r="BB111" s="78">
        <f t="shared" si="56"/>
        <v>1.0607929999999999</v>
      </c>
      <c r="BC111" s="78">
        <f t="shared" si="77"/>
        <v>0.92684599999999995</v>
      </c>
      <c r="BD111" s="78">
        <f t="shared" si="57"/>
        <v>0.94138049999999995</v>
      </c>
      <c r="BE111" s="78">
        <f t="shared" si="58"/>
        <v>1.0498972499999999</v>
      </c>
      <c r="BF111" s="78">
        <f t="shared" si="59"/>
        <v>1.0607929999999999</v>
      </c>
      <c r="BG111" s="78">
        <f t="shared" si="78"/>
        <v>0.98331839999999993</v>
      </c>
      <c r="BH111" s="78">
        <f t="shared" si="60"/>
        <v>0.99352320000000005</v>
      </c>
      <c r="BI111" s="78">
        <f t="shared" si="79"/>
        <v>0.86807040000000002</v>
      </c>
      <c r="BJ111" s="78">
        <f t="shared" si="61"/>
        <v>0.8816832</v>
      </c>
      <c r="BK111" s="78">
        <f t="shared" si="62"/>
        <v>0.98331839999999993</v>
      </c>
      <c r="BL111" s="78">
        <f t="shared" si="63"/>
        <v>0.99352320000000005</v>
      </c>
      <c r="BM111" s="78">
        <v>0.96850610000000004</v>
      </c>
      <c r="BN111" s="78">
        <v>0.98762739999999993</v>
      </c>
      <c r="BO111" s="78">
        <v>0.97117774999999995</v>
      </c>
      <c r="BP111" s="78">
        <v>0.98254829999999993</v>
      </c>
    </row>
    <row r="112" spans="1:68" ht="13" x14ac:dyDescent="0.25">
      <c r="A112" s="60">
        <v>1</v>
      </c>
      <c r="B112" s="55">
        <v>104</v>
      </c>
      <c r="C112" s="61">
        <v>0.98559194384718585</v>
      </c>
      <c r="D112" s="61">
        <v>1.0090574751998196</v>
      </c>
      <c r="E112" s="81">
        <v>0.99509442217388389</v>
      </c>
      <c r="F112" s="81">
        <v>1.0228673498442447</v>
      </c>
      <c r="G112" s="78">
        <v>1.0010929</v>
      </c>
      <c r="H112" s="78">
        <v>1.0204148000000002</v>
      </c>
      <c r="I112" s="78">
        <v>0.98879549999999994</v>
      </c>
      <c r="J112" s="78">
        <v>1.0250136000000001</v>
      </c>
      <c r="K112" s="78">
        <v>1.0157273</v>
      </c>
      <c r="L112" s="78">
        <v>1.0446352000000001</v>
      </c>
      <c r="M112" s="78">
        <v>0.89692099999999997</v>
      </c>
      <c r="N112" s="78">
        <v>0.92244760000000003</v>
      </c>
      <c r="O112" s="78">
        <v>1.0157273</v>
      </c>
      <c r="P112" s="78">
        <v>1.0446352000000001</v>
      </c>
      <c r="Q112" s="78">
        <f t="shared" si="64"/>
        <v>1.0411204825</v>
      </c>
      <c r="R112" s="78">
        <f t="shared" si="40"/>
        <v>1.07075108</v>
      </c>
      <c r="S112" s="78">
        <f t="shared" si="65"/>
        <v>0.9193440249999999</v>
      </c>
      <c r="T112" s="78">
        <f t="shared" si="41"/>
        <v>0.94550878999999999</v>
      </c>
      <c r="U112" s="78">
        <f t="shared" si="42"/>
        <v>1.0411204825</v>
      </c>
      <c r="V112" s="78">
        <f t="shared" si="43"/>
        <v>1.07075108</v>
      </c>
      <c r="W112" s="78">
        <f t="shared" si="66"/>
        <v>0.97509820799999991</v>
      </c>
      <c r="X112" s="78">
        <f t="shared" si="44"/>
        <v>1.0028497920000001</v>
      </c>
      <c r="Y112" s="78">
        <f t="shared" si="67"/>
        <v>0.86104415999999995</v>
      </c>
      <c r="Z112" s="78">
        <f t="shared" si="45"/>
        <v>0.885549696</v>
      </c>
      <c r="AA112" s="78">
        <f t="shared" si="46"/>
        <v>0.97509820799999991</v>
      </c>
      <c r="AB112" s="78">
        <f t="shared" si="47"/>
        <v>1.0028497920000001</v>
      </c>
      <c r="AC112" s="78">
        <v>1.0071600000000001</v>
      </c>
      <c r="AD112" s="78">
        <v>1.0326299999999999</v>
      </c>
      <c r="AE112" s="78">
        <v>0.88566999999999996</v>
      </c>
      <c r="AF112" s="78">
        <v>0.91395000000000004</v>
      </c>
      <c r="AG112" s="78">
        <f t="shared" si="68"/>
        <v>1.0071600000000001</v>
      </c>
      <c r="AH112" s="78">
        <f t="shared" si="69"/>
        <v>1.0326299999999999</v>
      </c>
      <c r="AI112" s="78">
        <f t="shared" si="70"/>
        <v>1.0323389999999999</v>
      </c>
      <c r="AJ112" s="78">
        <f t="shared" si="48"/>
        <v>1.0584457499999997</v>
      </c>
      <c r="AK112" s="78">
        <f t="shared" si="71"/>
        <v>0.90781174999999992</v>
      </c>
      <c r="AL112" s="78">
        <f t="shared" si="49"/>
        <v>0.93679875000000001</v>
      </c>
      <c r="AM112" s="78">
        <f t="shared" si="50"/>
        <v>1.0323389999999999</v>
      </c>
      <c r="AN112" s="78">
        <f t="shared" si="51"/>
        <v>1.0584457499999997</v>
      </c>
      <c r="AO112" s="78">
        <f t="shared" si="72"/>
        <v>0.9668736</v>
      </c>
      <c r="AP112" s="78">
        <f t="shared" si="52"/>
        <v>0.99132479999999989</v>
      </c>
      <c r="AQ112" s="78">
        <f t="shared" si="73"/>
        <v>0.85024319999999998</v>
      </c>
      <c r="AR112" s="78">
        <f t="shared" si="53"/>
        <v>0.87739200000000006</v>
      </c>
      <c r="AS112" s="78">
        <f t="shared" si="54"/>
        <v>0.9668736</v>
      </c>
      <c r="AT112" s="78">
        <f t="shared" si="55"/>
        <v>0.99132479999999989</v>
      </c>
      <c r="AU112" s="78">
        <v>1.0095400000000001</v>
      </c>
      <c r="AV112" s="78">
        <v>1.0371600000000001</v>
      </c>
      <c r="AW112" s="78">
        <v>0.89124999999999999</v>
      </c>
      <c r="AX112" s="78">
        <v>0.91978000000000004</v>
      </c>
      <c r="AY112" s="78">
        <f t="shared" si="74"/>
        <v>1.0095400000000001</v>
      </c>
      <c r="AZ112" s="78">
        <f t="shared" si="75"/>
        <v>1.0371600000000001</v>
      </c>
      <c r="BA112" s="78">
        <f t="shared" si="76"/>
        <v>1.0347785</v>
      </c>
      <c r="BB112" s="78">
        <f t="shared" si="56"/>
        <v>1.063089</v>
      </c>
      <c r="BC112" s="78">
        <f t="shared" si="77"/>
        <v>0.91353124999999991</v>
      </c>
      <c r="BD112" s="78">
        <f t="shared" si="57"/>
        <v>0.94277449999999996</v>
      </c>
      <c r="BE112" s="78">
        <f t="shared" si="58"/>
        <v>1.0347785</v>
      </c>
      <c r="BF112" s="78">
        <f t="shared" si="59"/>
        <v>1.063089</v>
      </c>
      <c r="BG112" s="78">
        <f t="shared" si="78"/>
        <v>0.96915840000000009</v>
      </c>
      <c r="BH112" s="78">
        <f t="shared" si="60"/>
        <v>0.99567360000000005</v>
      </c>
      <c r="BI112" s="78">
        <f t="shared" si="79"/>
        <v>0.85559999999999992</v>
      </c>
      <c r="BJ112" s="78">
        <f t="shared" si="61"/>
        <v>0.88298880000000002</v>
      </c>
      <c r="BK112" s="78">
        <f t="shared" si="62"/>
        <v>0.96915840000000009</v>
      </c>
      <c r="BL112" s="78">
        <f t="shared" si="63"/>
        <v>0.99567360000000005</v>
      </c>
      <c r="BM112" s="78">
        <v>0.95369330000000008</v>
      </c>
      <c r="BN112" s="78">
        <v>0.98862570000000005</v>
      </c>
      <c r="BO112" s="78">
        <v>0.95632414999999993</v>
      </c>
      <c r="BP112" s="78">
        <v>0.98354140000000001</v>
      </c>
    </row>
    <row r="113" spans="1:68" ht="13" x14ac:dyDescent="0.25">
      <c r="A113" s="60">
        <v>1</v>
      </c>
      <c r="B113" s="55">
        <v>105</v>
      </c>
      <c r="C113" s="61">
        <v>0.93713393037559523</v>
      </c>
      <c r="D113" s="61">
        <v>1.01001003233984</v>
      </c>
      <c r="E113" s="81">
        <v>0.94613142265201844</v>
      </c>
      <c r="F113" s="81">
        <v>1.0236930002254456</v>
      </c>
      <c r="G113" s="78">
        <v>0.94097639999999994</v>
      </c>
      <c r="H113" s="78">
        <v>1.0204051999999999</v>
      </c>
      <c r="I113" s="78">
        <v>0.95128649999999992</v>
      </c>
      <c r="J113" s="78">
        <v>1.0269808</v>
      </c>
      <c r="K113" s="78">
        <v>0.97719660000000008</v>
      </c>
      <c r="L113" s="78">
        <v>1.04664</v>
      </c>
      <c r="M113" s="78">
        <v>0.86289709999999997</v>
      </c>
      <c r="N113" s="78">
        <v>0.92421790000000004</v>
      </c>
      <c r="O113" s="78">
        <v>0.97719660000000008</v>
      </c>
      <c r="P113" s="78">
        <v>1.04664</v>
      </c>
      <c r="Q113" s="78">
        <f t="shared" si="64"/>
        <v>1.0016265150000001</v>
      </c>
      <c r="R113" s="78">
        <f t="shared" si="40"/>
        <v>1.0728059999999999</v>
      </c>
      <c r="S113" s="78">
        <f t="shared" si="65"/>
        <v>0.88446952749999985</v>
      </c>
      <c r="T113" s="78">
        <f t="shared" si="41"/>
        <v>0.94732334749999991</v>
      </c>
      <c r="U113" s="78">
        <f t="shared" si="42"/>
        <v>1.0016265150000001</v>
      </c>
      <c r="V113" s="78">
        <f t="shared" si="43"/>
        <v>1.0728059999999999</v>
      </c>
      <c r="W113" s="78">
        <f t="shared" si="66"/>
        <v>0.938108736</v>
      </c>
      <c r="X113" s="78">
        <f t="shared" si="44"/>
        <v>1.0047744000000001</v>
      </c>
      <c r="Y113" s="78">
        <f t="shared" si="67"/>
        <v>0.82838121599999992</v>
      </c>
      <c r="Z113" s="78">
        <f t="shared" si="45"/>
        <v>0.88724918399999997</v>
      </c>
      <c r="AA113" s="78">
        <f t="shared" si="46"/>
        <v>0.938108736</v>
      </c>
      <c r="AB113" s="78">
        <f t="shared" si="47"/>
        <v>1.0047744000000001</v>
      </c>
      <c r="AC113" s="78">
        <v>0.97004999999999997</v>
      </c>
      <c r="AD113" s="78">
        <v>1.0363199999999999</v>
      </c>
      <c r="AE113" s="78">
        <v>0.85350999999999999</v>
      </c>
      <c r="AF113" s="78">
        <v>0.91691</v>
      </c>
      <c r="AG113" s="78">
        <f t="shared" si="68"/>
        <v>0.97004999999999997</v>
      </c>
      <c r="AH113" s="78">
        <f t="shared" si="69"/>
        <v>1.0363199999999999</v>
      </c>
      <c r="AI113" s="78">
        <f t="shared" si="70"/>
        <v>0.99430124999999991</v>
      </c>
      <c r="AJ113" s="78">
        <f t="shared" si="48"/>
        <v>1.0622279999999997</v>
      </c>
      <c r="AK113" s="78">
        <f t="shared" si="71"/>
        <v>0.87484774999999992</v>
      </c>
      <c r="AL113" s="78">
        <f t="shared" si="49"/>
        <v>0.93983274999999988</v>
      </c>
      <c r="AM113" s="78">
        <f t="shared" si="50"/>
        <v>0.99430124999999991</v>
      </c>
      <c r="AN113" s="78">
        <f t="shared" si="51"/>
        <v>1.0622279999999997</v>
      </c>
      <c r="AO113" s="78">
        <f t="shared" si="72"/>
        <v>0.93124799999999996</v>
      </c>
      <c r="AP113" s="78">
        <f t="shared" si="52"/>
        <v>0.99486719999999984</v>
      </c>
      <c r="AQ113" s="78">
        <f t="shared" si="73"/>
        <v>0.81936959999999992</v>
      </c>
      <c r="AR113" s="78">
        <f t="shared" si="53"/>
        <v>0.88023359999999995</v>
      </c>
      <c r="AS113" s="78">
        <f t="shared" si="54"/>
        <v>0.93124799999999996</v>
      </c>
      <c r="AT113" s="78">
        <f t="shared" si="55"/>
        <v>0.99486719999999984</v>
      </c>
      <c r="AU113" s="78">
        <v>0.97202999999999995</v>
      </c>
      <c r="AV113" s="78">
        <v>1.0402100000000001</v>
      </c>
      <c r="AW113" s="78">
        <v>0.85816999999999999</v>
      </c>
      <c r="AX113" s="78">
        <v>0.92191999999999996</v>
      </c>
      <c r="AY113" s="78">
        <f t="shared" si="74"/>
        <v>0.97202999999999995</v>
      </c>
      <c r="AZ113" s="78">
        <f t="shared" si="75"/>
        <v>1.0402100000000001</v>
      </c>
      <c r="BA113" s="78">
        <f t="shared" si="76"/>
        <v>0.99633074999999982</v>
      </c>
      <c r="BB113" s="78">
        <f t="shared" si="56"/>
        <v>1.0662152499999999</v>
      </c>
      <c r="BC113" s="78">
        <f t="shared" si="77"/>
        <v>0.87962424999999989</v>
      </c>
      <c r="BD113" s="78">
        <f t="shared" si="57"/>
        <v>0.94496799999999992</v>
      </c>
      <c r="BE113" s="78">
        <f t="shared" si="58"/>
        <v>0.99633074999999982</v>
      </c>
      <c r="BF113" s="78">
        <f t="shared" si="59"/>
        <v>1.0662152499999999</v>
      </c>
      <c r="BG113" s="78">
        <f t="shared" si="78"/>
        <v>0.93314879999999989</v>
      </c>
      <c r="BH113" s="78">
        <f t="shared" si="60"/>
        <v>0.99860160000000009</v>
      </c>
      <c r="BI113" s="78">
        <f t="shared" si="79"/>
        <v>0.8238432</v>
      </c>
      <c r="BJ113" s="78">
        <f t="shared" si="61"/>
        <v>0.88504319999999992</v>
      </c>
      <c r="BK113" s="78">
        <f t="shared" si="62"/>
        <v>0.93314879999999989</v>
      </c>
      <c r="BL113" s="78">
        <f t="shared" si="63"/>
        <v>0.99860160000000009</v>
      </c>
      <c r="BM113" s="78">
        <v>0.91751579999999999</v>
      </c>
      <c r="BN113" s="78">
        <v>0.99052300000000004</v>
      </c>
      <c r="BO113" s="78">
        <v>0.92004685000000008</v>
      </c>
      <c r="BP113" s="78">
        <v>0.98542894999999997</v>
      </c>
    </row>
    <row r="114" spans="1:68" ht="13" x14ac:dyDescent="0.25">
      <c r="A114" s="60">
        <v>1</v>
      </c>
      <c r="B114" s="55">
        <v>106</v>
      </c>
      <c r="C114" s="61">
        <v>0.87923605787579029</v>
      </c>
      <c r="D114" s="61">
        <v>1.013900238238679</v>
      </c>
      <c r="E114" s="81">
        <v>0.88786004018607056</v>
      </c>
      <c r="F114" s="81">
        <v>1.0277040535859094</v>
      </c>
      <c r="G114" s="78">
        <v>0.86392409999999997</v>
      </c>
      <c r="H114" s="78">
        <v>1.0193570999999999</v>
      </c>
      <c r="I114" s="78">
        <v>0.91179599999999994</v>
      </c>
      <c r="J114" s="78">
        <v>1.0360509999999998</v>
      </c>
      <c r="K114" s="78">
        <v>0.93663050000000003</v>
      </c>
      <c r="L114" s="78">
        <v>1.0558839</v>
      </c>
      <c r="M114" s="78">
        <v>0.82707589999999997</v>
      </c>
      <c r="N114" s="78">
        <v>0.9323806</v>
      </c>
      <c r="O114" s="78">
        <v>0.93663050000000003</v>
      </c>
      <c r="P114" s="78">
        <v>1.0558839</v>
      </c>
      <c r="Q114" s="78">
        <f t="shared" si="64"/>
        <v>0.96004626249999991</v>
      </c>
      <c r="R114" s="78">
        <f t="shared" si="40"/>
        <v>1.0822809974999998</v>
      </c>
      <c r="S114" s="78">
        <f t="shared" si="65"/>
        <v>0.84775279749999988</v>
      </c>
      <c r="T114" s="78">
        <f t="shared" si="41"/>
        <v>0.9556901149999999</v>
      </c>
      <c r="U114" s="78">
        <f t="shared" si="42"/>
        <v>0.96004626249999991</v>
      </c>
      <c r="V114" s="78">
        <f t="shared" si="43"/>
        <v>1.0822809974999998</v>
      </c>
      <c r="W114" s="78">
        <f t="shared" si="66"/>
        <v>0.89916527999999996</v>
      </c>
      <c r="X114" s="78">
        <f t="shared" si="44"/>
        <v>1.013648544</v>
      </c>
      <c r="Y114" s="78">
        <f t="shared" si="67"/>
        <v>0.79399286399999991</v>
      </c>
      <c r="Z114" s="78">
        <f t="shared" si="45"/>
        <v>0.89508537599999993</v>
      </c>
      <c r="AA114" s="78">
        <f t="shared" si="46"/>
        <v>0.89916527999999996</v>
      </c>
      <c r="AB114" s="78">
        <f t="shared" si="47"/>
        <v>1.013648544</v>
      </c>
      <c r="AC114" s="78">
        <v>0.93072999999999995</v>
      </c>
      <c r="AD114" s="78">
        <v>1.0469999999999999</v>
      </c>
      <c r="AE114" s="78">
        <v>0.81932000000000005</v>
      </c>
      <c r="AF114" s="78">
        <v>0.92608999999999997</v>
      </c>
      <c r="AG114" s="78">
        <f t="shared" si="68"/>
        <v>0.93072999999999995</v>
      </c>
      <c r="AH114" s="78">
        <f t="shared" si="69"/>
        <v>1.0469999999999999</v>
      </c>
      <c r="AI114" s="78">
        <f t="shared" si="70"/>
        <v>0.95399824999999983</v>
      </c>
      <c r="AJ114" s="78">
        <f t="shared" si="48"/>
        <v>1.0731749999999998</v>
      </c>
      <c r="AK114" s="78">
        <f t="shared" si="71"/>
        <v>0.83980299999999997</v>
      </c>
      <c r="AL114" s="78">
        <f t="shared" si="49"/>
        <v>0.94924224999999984</v>
      </c>
      <c r="AM114" s="78">
        <f t="shared" si="50"/>
        <v>0.95399824999999983</v>
      </c>
      <c r="AN114" s="78">
        <f t="shared" si="51"/>
        <v>1.0731749999999998</v>
      </c>
      <c r="AO114" s="78">
        <f t="shared" si="72"/>
        <v>0.89350079999999987</v>
      </c>
      <c r="AP114" s="78">
        <f t="shared" si="52"/>
        <v>1.0051199999999998</v>
      </c>
      <c r="AQ114" s="78">
        <f t="shared" si="73"/>
        <v>0.7865472</v>
      </c>
      <c r="AR114" s="78">
        <f t="shared" si="53"/>
        <v>0.8890463999999999</v>
      </c>
      <c r="AS114" s="78">
        <f t="shared" si="54"/>
        <v>0.89350079999999987</v>
      </c>
      <c r="AT114" s="78">
        <f t="shared" si="55"/>
        <v>1.0051199999999998</v>
      </c>
      <c r="AU114" s="78">
        <v>0.93235999999999997</v>
      </c>
      <c r="AV114" s="78">
        <v>1.0503499999999999</v>
      </c>
      <c r="AW114" s="78">
        <v>0.82316999999999996</v>
      </c>
      <c r="AX114" s="78">
        <v>0.9304</v>
      </c>
      <c r="AY114" s="78">
        <f t="shared" si="74"/>
        <v>0.93235999999999997</v>
      </c>
      <c r="AZ114" s="78">
        <f t="shared" si="75"/>
        <v>1.0503499999999999</v>
      </c>
      <c r="BA114" s="78">
        <f t="shared" si="76"/>
        <v>0.95566899999999988</v>
      </c>
      <c r="BB114" s="78">
        <f t="shared" si="56"/>
        <v>1.0766087499999999</v>
      </c>
      <c r="BC114" s="78">
        <f t="shared" si="77"/>
        <v>0.8437492499999999</v>
      </c>
      <c r="BD114" s="78">
        <f t="shared" si="57"/>
        <v>0.95365999999999995</v>
      </c>
      <c r="BE114" s="78">
        <f t="shared" si="58"/>
        <v>0.95566899999999988</v>
      </c>
      <c r="BF114" s="78">
        <f t="shared" si="59"/>
        <v>1.0766087499999999</v>
      </c>
      <c r="BG114" s="78">
        <f t="shared" si="78"/>
        <v>0.89506559999999991</v>
      </c>
      <c r="BH114" s="78">
        <f t="shared" si="60"/>
        <v>1.0083359999999999</v>
      </c>
      <c r="BI114" s="78">
        <f t="shared" si="79"/>
        <v>0.79024319999999992</v>
      </c>
      <c r="BJ114" s="78">
        <f t="shared" si="61"/>
        <v>0.89318399999999998</v>
      </c>
      <c r="BK114" s="78">
        <f t="shared" si="62"/>
        <v>0.89506559999999991</v>
      </c>
      <c r="BL114" s="78">
        <f t="shared" si="63"/>
        <v>1.0083359999999999</v>
      </c>
      <c r="BM114" s="78">
        <v>0.87942730000000002</v>
      </c>
      <c r="BN114" s="78">
        <v>0.99927120000000003</v>
      </c>
      <c r="BO114" s="78">
        <v>0.8818532</v>
      </c>
      <c r="BP114" s="78">
        <v>0.99413225000000005</v>
      </c>
    </row>
    <row r="115" spans="1:68" ht="13" x14ac:dyDescent="0.25">
      <c r="A115" s="60">
        <v>1</v>
      </c>
      <c r="B115" s="55">
        <v>107</v>
      </c>
      <c r="C115" s="61">
        <v>0.82374271275485322</v>
      </c>
      <c r="D115" s="61">
        <v>0.98469718508125226</v>
      </c>
      <c r="E115" s="81">
        <v>0.8319771440630489</v>
      </c>
      <c r="F115" s="81">
        <v>0.99830736386081609</v>
      </c>
      <c r="G115" s="78">
        <v>0.79334470000000001</v>
      </c>
      <c r="H115" s="78">
        <v>0.9750972</v>
      </c>
      <c r="I115" s="78">
        <v>0.87060959999999998</v>
      </c>
      <c r="J115" s="78">
        <v>1.0215175999999999</v>
      </c>
      <c r="K115" s="78">
        <v>0.89432230000000001</v>
      </c>
      <c r="L115" s="78">
        <v>1.0410721999999999</v>
      </c>
      <c r="M115" s="78">
        <v>0.78971630000000004</v>
      </c>
      <c r="N115" s="78">
        <v>0.91930139999999994</v>
      </c>
      <c r="O115" s="78">
        <v>0.89432230000000001</v>
      </c>
      <c r="P115" s="78">
        <v>1.0410721999999999</v>
      </c>
      <c r="Q115" s="78">
        <f t="shared" si="64"/>
        <v>0.91668035749999999</v>
      </c>
      <c r="R115" s="78">
        <f t="shared" si="40"/>
        <v>1.0670990049999998</v>
      </c>
      <c r="S115" s="78">
        <f t="shared" si="65"/>
        <v>0.8094592075</v>
      </c>
      <c r="T115" s="78">
        <f t="shared" si="41"/>
        <v>0.94228393499999985</v>
      </c>
      <c r="U115" s="78">
        <f t="shared" si="42"/>
        <v>0.91668035749999999</v>
      </c>
      <c r="V115" s="78">
        <f t="shared" si="43"/>
        <v>1.0670990049999998</v>
      </c>
      <c r="W115" s="78">
        <f t="shared" si="66"/>
        <v>0.85854940800000001</v>
      </c>
      <c r="X115" s="78">
        <f t="shared" si="44"/>
        <v>0.99942931199999985</v>
      </c>
      <c r="Y115" s="78">
        <f t="shared" si="67"/>
        <v>0.75812764799999999</v>
      </c>
      <c r="Z115" s="78">
        <f t="shared" si="45"/>
        <v>0.88252934399999994</v>
      </c>
      <c r="AA115" s="78">
        <f t="shared" si="46"/>
        <v>0.85854940800000001</v>
      </c>
      <c r="AB115" s="78">
        <f t="shared" si="47"/>
        <v>0.99942931199999985</v>
      </c>
      <c r="AC115" s="78">
        <v>0.88949999999999996</v>
      </c>
      <c r="AD115" s="78">
        <v>1.03366</v>
      </c>
      <c r="AE115" s="78">
        <v>0.78337999999999997</v>
      </c>
      <c r="AF115" s="78">
        <v>0.91405999999999998</v>
      </c>
      <c r="AG115" s="78">
        <f t="shared" si="68"/>
        <v>0.88949999999999996</v>
      </c>
      <c r="AH115" s="78">
        <f t="shared" si="69"/>
        <v>1.03366</v>
      </c>
      <c r="AI115" s="78">
        <f t="shared" si="70"/>
        <v>0.91173749999999987</v>
      </c>
      <c r="AJ115" s="78">
        <f t="shared" si="48"/>
        <v>1.0595014999999999</v>
      </c>
      <c r="AK115" s="78">
        <f t="shared" si="71"/>
        <v>0.80296449999999986</v>
      </c>
      <c r="AL115" s="78">
        <f t="shared" si="49"/>
        <v>0.9369114999999999</v>
      </c>
      <c r="AM115" s="78">
        <f t="shared" si="50"/>
        <v>0.91173749999999987</v>
      </c>
      <c r="AN115" s="78">
        <f t="shared" si="51"/>
        <v>1.0595014999999999</v>
      </c>
      <c r="AO115" s="78">
        <f t="shared" si="72"/>
        <v>0.8539199999999999</v>
      </c>
      <c r="AP115" s="78">
        <f t="shared" si="52"/>
        <v>0.99231360000000002</v>
      </c>
      <c r="AQ115" s="78">
        <f t="shared" si="73"/>
        <v>0.75204479999999996</v>
      </c>
      <c r="AR115" s="78">
        <f t="shared" si="53"/>
        <v>0.87749759999999999</v>
      </c>
      <c r="AS115" s="78">
        <f t="shared" si="54"/>
        <v>0.8539199999999999</v>
      </c>
      <c r="AT115" s="78">
        <f t="shared" si="55"/>
        <v>0.99231360000000002</v>
      </c>
      <c r="AU115" s="78">
        <v>0.89083999999999997</v>
      </c>
      <c r="AV115" s="78">
        <v>1.0364599999999999</v>
      </c>
      <c r="AW115" s="78">
        <v>0.78652999999999995</v>
      </c>
      <c r="AX115" s="78">
        <v>0.91764999999999997</v>
      </c>
      <c r="AY115" s="78">
        <f t="shared" si="74"/>
        <v>0.89083999999999997</v>
      </c>
      <c r="AZ115" s="78">
        <f t="shared" si="75"/>
        <v>1.0364599999999999</v>
      </c>
      <c r="BA115" s="78">
        <f t="shared" si="76"/>
        <v>0.91311099999999989</v>
      </c>
      <c r="BB115" s="78">
        <f t="shared" si="56"/>
        <v>1.0623714999999998</v>
      </c>
      <c r="BC115" s="78">
        <f t="shared" si="77"/>
        <v>0.80619324999999986</v>
      </c>
      <c r="BD115" s="78">
        <f t="shared" si="57"/>
        <v>0.94059124999999988</v>
      </c>
      <c r="BE115" s="78">
        <f t="shared" si="58"/>
        <v>0.91311099999999989</v>
      </c>
      <c r="BF115" s="78">
        <f t="shared" si="59"/>
        <v>1.0623714999999998</v>
      </c>
      <c r="BG115" s="78">
        <f t="shared" si="78"/>
        <v>0.85520639999999992</v>
      </c>
      <c r="BH115" s="78">
        <f t="shared" si="60"/>
        <v>0.99500159999999993</v>
      </c>
      <c r="BI115" s="78">
        <f t="shared" si="79"/>
        <v>0.75506879999999987</v>
      </c>
      <c r="BJ115" s="78">
        <f t="shared" si="61"/>
        <v>0.88094399999999995</v>
      </c>
      <c r="BK115" s="78">
        <f t="shared" si="62"/>
        <v>0.85520639999999992</v>
      </c>
      <c r="BL115" s="78">
        <f t="shared" si="63"/>
        <v>0.99500159999999993</v>
      </c>
      <c r="BM115" s="78">
        <v>0.83970290000000003</v>
      </c>
      <c r="BN115" s="78">
        <v>0.9852536999999999</v>
      </c>
      <c r="BO115" s="78">
        <v>0.84201930000000003</v>
      </c>
      <c r="BP115" s="78">
        <v>0.98018679999999991</v>
      </c>
    </row>
    <row r="116" spans="1:68" ht="13" x14ac:dyDescent="0.25">
      <c r="A116" s="60">
        <v>1</v>
      </c>
      <c r="B116" s="55">
        <v>108</v>
      </c>
      <c r="C116" s="61">
        <v>0.77059933898685107</v>
      </c>
      <c r="D116" s="61">
        <v>0.90366445264853201</v>
      </c>
      <c r="E116" s="81">
        <v>0.77843219201821567</v>
      </c>
      <c r="F116" s="81">
        <v>0.91643841433306017</v>
      </c>
      <c r="G116" s="78">
        <v>0.7287129</v>
      </c>
      <c r="H116" s="78">
        <v>0.87412190000000001</v>
      </c>
      <c r="I116" s="78">
        <v>0.82815150000000004</v>
      </c>
      <c r="J116" s="78">
        <v>0.95875489999999997</v>
      </c>
      <c r="K116" s="78">
        <v>0.85070780000000001</v>
      </c>
      <c r="L116" s="78">
        <v>0.97710809999999992</v>
      </c>
      <c r="M116" s="78">
        <v>0.75120329999999991</v>
      </c>
      <c r="N116" s="78">
        <v>0.86281899999999989</v>
      </c>
      <c r="O116" s="78">
        <v>0.85070780000000001</v>
      </c>
      <c r="P116" s="78">
        <v>0.97710809999999992</v>
      </c>
      <c r="Q116" s="78">
        <f t="shared" si="64"/>
        <v>0.87197549499999993</v>
      </c>
      <c r="R116" s="78">
        <f t="shared" si="40"/>
        <v>1.0015358024999998</v>
      </c>
      <c r="S116" s="78">
        <f t="shared" si="65"/>
        <v>0.76998338249999987</v>
      </c>
      <c r="T116" s="78">
        <f t="shared" si="41"/>
        <v>0.88438947499999976</v>
      </c>
      <c r="U116" s="78">
        <f t="shared" si="42"/>
        <v>0.87197549499999993</v>
      </c>
      <c r="V116" s="78">
        <f t="shared" si="43"/>
        <v>1.0015358024999998</v>
      </c>
      <c r="W116" s="78">
        <f t="shared" si="66"/>
        <v>0.81667948800000001</v>
      </c>
      <c r="X116" s="78">
        <f t="shared" si="44"/>
        <v>0.93802377599999986</v>
      </c>
      <c r="Y116" s="78">
        <f t="shared" si="67"/>
        <v>0.7211551679999999</v>
      </c>
      <c r="Z116" s="78">
        <f t="shared" si="45"/>
        <v>0.82830623999999986</v>
      </c>
      <c r="AA116" s="78">
        <f t="shared" si="46"/>
        <v>0.81667948800000001</v>
      </c>
      <c r="AB116" s="78">
        <f t="shared" si="47"/>
        <v>0.93802377599999986</v>
      </c>
      <c r="AC116" s="78">
        <v>0.84682999999999997</v>
      </c>
      <c r="AD116" s="78">
        <v>0.97130000000000005</v>
      </c>
      <c r="AE116" s="78">
        <v>0.74611000000000005</v>
      </c>
      <c r="AF116" s="78">
        <v>0.85870999999999997</v>
      </c>
      <c r="AG116" s="78">
        <f t="shared" si="68"/>
        <v>0.84682999999999997</v>
      </c>
      <c r="AH116" s="78">
        <f t="shared" si="69"/>
        <v>0.97130000000000005</v>
      </c>
      <c r="AI116" s="78">
        <f t="shared" si="70"/>
        <v>0.86800074999999988</v>
      </c>
      <c r="AJ116" s="78">
        <f t="shared" si="48"/>
        <v>0.99558249999999993</v>
      </c>
      <c r="AK116" s="78">
        <f t="shared" si="71"/>
        <v>0.76476274999999994</v>
      </c>
      <c r="AL116" s="78">
        <f t="shared" si="49"/>
        <v>0.88017774999999987</v>
      </c>
      <c r="AM116" s="78">
        <f t="shared" si="50"/>
        <v>0.86800074999999988</v>
      </c>
      <c r="AN116" s="78">
        <f t="shared" si="51"/>
        <v>0.99558249999999993</v>
      </c>
      <c r="AO116" s="78">
        <f t="shared" si="72"/>
        <v>0.81295679999999992</v>
      </c>
      <c r="AP116" s="78">
        <f t="shared" si="52"/>
        <v>0.93244800000000005</v>
      </c>
      <c r="AQ116" s="78">
        <f t="shared" si="73"/>
        <v>0.71626560000000006</v>
      </c>
      <c r="AR116" s="78">
        <f t="shared" si="53"/>
        <v>0.82436159999999992</v>
      </c>
      <c r="AS116" s="78">
        <f t="shared" si="54"/>
        <v>0.81295679999999992</v>
      </c>
      <c r="AT116" s="78">
        <f t="shared" si="55"/>
        <v>0.93244800000000005</v>
      </c>
      <c r="AU116" s="78">
        <v>0.84791000000000005</v>
      </c>
      <c r="AV116" s="78">
        <v>0.97348999999999997</v>
      </c>
      <c r="AW116" s="78">
        <v>0.74863999999999997</v>
      </c>
      <c r="AX116" s="78">
        <v>0.86153000000000002</v>
      </c>
      <c r="AY116" s="78">
        <f t="shared" si="74"/>
        <v>0.84791000000000005</v>
      </c>
      <c r="AZ116" s="78">
        <f t="shared" si="75"/>
        <v>0.97348999999999997</v>
      </c>
      <c r="BA116" s="78">
        <f t="shared" si="76"/>
        <v>0.86910774999999996</v>
      </c>
      <c r="BB116" s="78">
        <f t="shared" si="56"/>
        <v>0.99782724999999983</v>
      </c>
      <c r="BC116" s="78">
        <f t="shared" si="77"/>
        <v>0.76735599999999993</v>
      </c>
      <c r="BD116" s="78">
        <f t="shared" si="57"/>
        <v>0.88306824999999989</v>
      </c>
      <c r="BE116" s="78">
        <f t="shared" si="58"/>
        <v>0.86910774999999996</v>
      </c>
      <c r="BF116" s="78">
        <f t="shared" si="59"/>
        <v>0.99782724999999983</v>
      </c>
      <c r="BG116" s="78">
        <f t="shared" si="78"/>
        <v>0.81399359999999998</v>
      </c>
      <c r="BH116" s="78">
        <f t="shared" si="60"/>
        <v>0.93455039999999989</v>
      </c>
      <c r="BI116" s="78">
        <f t="shared" si="79"/>
        <v>0.71869439999999996</v>
      </c>
      <c r="BJ116" s="78">
        <f t="shared" si="61"/>
        <v>0.82706879999999994</v>
      </c>
      <c r="BK116" s="78">
        <f t="shared" si="62"/>
        <v>0.81399359999999998</v>
      </c>
      <c r="BL116" s="78">
        <f t="shared" si="63"/>
        <v>0.93455039999999989</v>
      </c>
      <c r="BM116" s="78">
        <v>0.79875220000000002</v>
      </c>
      <c r="BN116" s="78">
        <v>0.92471909999999991</v>
      </c>
      <c r="BO116" s="78">
        <v>0.80095554999999996</v>
      </c>
      <c r="BP116" s="78">
        <v>0.91996354999999985</v>
      </c>
    </row>
    <row r="117" spans="1:68" ht="13" x14ac:dyDescent="0.25">
      <c r="A117" s="60">
        <v>1</v>
      </c>
      <c r="B117" s="55">
        <v>109</v>
      </c>
      <c r="C117" s="61">
        <v>0.71977876169816912</v>
      </c>
      <c r="D117" s="61">
        <v>0.82664795385980638</v>
      </c>
      <c r="E117" s="81">
        <v>0.72720209994107732</v>
      </c>
      <c r="F117" s="81">
        <v>0.83857168657515135</v>
      </c>
      <c r="G117" s="78">
        <v>0.66954980000000008</v>
      </c>
      <c r="H117" s="78">
        <v>0.78220270000000003</v>
      </c>
      <c r="I117" s="78">
        <v>0.78485439999999995</v>
      </c>
      <c r="J117" s="78">
        <v>0.89494069999999992</v>
      </c>
      <c r="K117" s="78">
        <v>0.80623140000000004</v>
      </c>
      <c r="L117" s="78">
        <v>0.91207229999999995</v>
      </c>
      <c r="M117" s="78">
        <v>0.71192909999999998</v>
      </c>
      <c r="N117" s="78">
        <v>0.80539019999999995</v>
      </c>
      <c r="O117" s="78">
        <v>0.80623140000000004</v>
      </c>
      <c r="P117" s="78">
        <v>0.91207229999999995</v>
      </c>
      <c r="Q117" s="78">
        <f t="shared" si="64"/>
        <v>0.82638718499999997</v>
      </c>
      <c r="R117" s="78">
        <f t="shared" si="40"/>
        <v>0.93487410749999988</v>
      </c>
      <c r="S117" s="78">
        <f t="shared" si="65"/>
        <v>0.72972732749999991</v>
      </c>
      <c r="T117" s="78">
        <f t="shared" si="41"/>
        <v>0.82552495499999989</v>
      </c>
      <c r="U117" s="78">
        <f t="shared" si="42"/>
        <v>0.82638718499999997</v>
      </c>
      <c r="V117" s="78">
        <f t="shared" si="43"/>
        <v>0.93487410749999988</v>
      </c>
      <c r="W117" s="78">
        <f t="shared" si="66"/>
        <v>0.77398214399999998</v>
      </c>
      <c r="X117" s="78">
        <f t="shared" si="44"/>
        <v>0.87558940799999996</v>
      </c>
      <c r="Y117" s="78">
        <f t="shared" si="67"/>
        <v>0.68345193599999998</v>
      </c>
      <c r="Z117" s="78">
        <f t="shared" si="45"/>
        <v>0.77317459199999994</v>
      </c>
      <c r="AA117" s="78">
        <f t="shared" si="46"/>
        <v>0.77398214399999998</v>
      </c>
      <c r="AB117" s="78">
        <f t="shared" si="47"/>
        <v>0.87558940799999996</v>
      </c>
      <c r="AC117" s="78">
        <v>0.80318000000000001</v>
      </c>
      <c r="AD117" s="78">
        <v>0.90761999999999998</v>
      </c>
      <c r="AE117" s="78">
        <v>0.70791999999999999</v>
      </c>
      <c r="AF117" s="78">
        <v>0.80223999999999995</v>
      </c>
      <c r="AG117" s="78">
        <f t="shared" si="68"/>
        <v>0.80318000000000001</v>
      </c>
      <c r="AH117" s="78">
        <f t="shared" si="69"/>
        <v>0.90761999999999998</v>
      </c>
      <c r="AI117" s="78">
        <f t="shared" si="70"/>
        <v>0.82325949999999992</v>
      </c>
      <c r="AJ117" s="78">
        <f t="shared" si="48"/>
        <v>0.93031049999999993</v>
      </c>
      <c r="AK117" s="78">
        <f t="shared" si="71"/>
        <v>0.72561799999999999</v>
      </c>
      <c r="AL117" s="78">
        <f t="shared" si="49"/>
        <v>0.82229599999999992</v>
      </c>
      <c r="AM117" s="78">
        <f t="shared" si="50"/>
        <v>0.82325949999999992</v>
      </c>
      <c r="AN117" s="78">
        <f t="shared" si="51"/>
        <v>0.93031049999999993</v>
      </c>
      <c r="AO117" s="78">
        <f t="shared" si="72"/>
        <v>0.77105279999999998</v>
      </c>
      <c r="AP117" s="78">
        <f t="shared" si="52"/>
        <v>0.87131519999999996</v>
      </c>
      <c r="AQ117" s="78">
        <f t="shared" si="73"/>
        <v>0.67960319999999996</v>
      </c>
      <c r="AR117" s="78">
        <f t="shared" si="53"/>
        <v>0.7701503999999999</v>
      </c>
      <c r="AS117" s="78">
        <f t="shared" si="54"/>
        <v>0.77105279999999998</v>
      </c>
      <c r="AT117" s="78">
        <f t="shared" si="55"/>
        <v>0.87131519999999996</v>
      </c>
      <c r="AU117" s="78">
        <v>0.80403000000000002</v>
      </c>
      <c r="AV117" s="78">
        <v>0.9093</v>
      </c>
      <c r="AW117" s="78">
        <v>0.70991000000000004</v>
      </c>
      <c r="AX117" s="78">
        <v>0.8044</v>
      </c>
      <c r="AY117" s="78">
        <f t="shared" si="74"/>
        <v>0.80403000000000002</v>
      </c>
      <c r="AZ117" s="78">
        <f t="shared" si="75"/>
        <v>0.9093</v>
      </c>
      <c r="BA117" s="78">
        <f t="shared" si="76"/>
        <v>0.82413074999999991</v>
      </c>
      <c r="BB117" s="78">
        <f t="shared" si="56"/>
        <v>0.93203249999999993</v>
      </c>
      <c r="BC117" s="78">
        <f t="shared" si="77"/>
        <v>0.72765774999999999</v>
      </c>
      <c r="BD117" s="78">
        <f t="shared" si="57"/>
        <v>0.82450999999999997</v>
      </c>
      <c r="BE117" s="78">
        <f t="shared" si="58"/>
        <v>0.82413074999999991</v>
      </c>
      <c r="BF117" s="78">
        <f t="shared" si="59"/>
        <v>0.93203249999999993</v>
      </c>
      <c r="BG117" s="78">
        <f t="shared" si="78"/>
        <v>0.77186880000000002</v>
      </c>
      <c r="BH117" s="78">
        <f t="shared" si="60"/>
        <v>0.87292799999999993</v>
      </c>
      <c r="BI117" s="78">
        <f t="shared" si="79"/>
        <v>0.68151360000000005</v>
      </c>
      <c r="BJ117" s="78">
        <f t="shared" si="61"/>
        <v>0.77222400000000002</v>
      </c>
      <c r="BK117" s="78">
        <f t="shared" si="62"/>
        <v>0.77186880000000002</v>
      </c>
      <c r="BL117" s="78">
        <f t="shared" si="63"/>
        <v>0.87292799999999993</v>
      </c>
      <c r="BM117" s="78">
        <v>0.756992</v>
      </c>
      <c r="BN117" s="78">
        <v>0.86317030000000006</v>
      </c>
      <c r="BO117" s="78">
        <v>0.75908025000000001</v>
      </c>
      <c r="BP117" s="78">
        <v>0.85873124999999995</v>
      </c>
    </row>
    <row r="118" spans="1:68" ht="13" x14ac:dyDescent="0.25">
      <c r="A118" s="60">
        <v>1</v>
      </c>
      <c r="B118" s="55">
        <v>110</v>
      </c>
      <c r="C118" s="61">
        <v>0.67125518336947121</v>
      </c>
      <c r="D118" s="61">
        <v>0.75447355925784321</v>
      </c>
      <c r="E118" s="81">
        <v>0.67826475447711687</v>
      </c>
      <c r="F118" s="81">
        <v>0.7655547637189194</v>
      </c>
      <c r="G118" s="78">
        <v>0.61542189999999997</v>
      </c>
      <c r="H118" s="78">
        <v>0.69940520000000006</v>
      </c>
      <c r="I118" s="78">
        <v>0.74110759999999998</v>
      </c>
      <c r="J118" s="78">
        <v>0.83170429999999995</v>
      </c>
      <c r="K118" s="78">
        <v>0.76129310000000006</v>
      </c>
      <c r="L118" s="78">
        <v>0.84762550000000003</v>
      </c>
      <c r="M118" s="78">
        <v>0.67224709999999999</v>
      </c>
      <c r="N118" s="78">
        <v>0.74848150000000002</v>
      </c>
      <c r="O118" s="78">
        <v>0.76129310000000006</v>
      </c>
      <c r="P118" s="78">
        <v>0.84762550000000003</v>
      </c>
      <c r="Q118" s="78">
        <f t="shared" si="64"/>
        <v>0.7803254275</v>
      </c>
      <c r="R118" s="78">
        <f t="shared" si="40"/>
        <v>0.86881613749999997</v>
      </c>
      <c r="S118" s="78">
        <f t="shared" si="65"/>
        <v>0.68905327749999989</v>
      </c>
      <c r="T118" s="78">
        <f t="shared" si="41"/>
        <v>0.76719353749999997</v>
      </c>
      <c r="U118" s="78">
        <f t="shared" si="42"/>
        <v>0.7803254275</v>
      </c>
      <c r="V118" s="78">
        <f t="shared" si="43"/>
        <v>0.86881613749999997</v>
      </c>
      <c r="W118" s="78">
        <f t="shared" si="66"/>
        <v>0.73084137599999999</v>
      </c>
      <c r="X118" s="78">
        <f t="shared" si="44"/>
        <v>0.81372047999999997</v>
      </c>
      <c r="Y118" s="78">
        <f t="shared" si="67"/>
        <v>0.64535721599999996</v>
      </c>
      <c r="Z118" s="78">
        <f t="shared" si="45"/>
        <v>0.71854224</v>
      </c>
      <c r="AA118" s="78">
        <f t="shared" si="46"/>
        <v>0.73084137599999999</v>
      </c>
      <c r="AB118" s="78">
        <f t="shared" si="47"/>
        <v>0.81372047999999997</v>
      </c>
      <c r="AC118" s="78">
        <v>0.75895999999999997</v>
      </c>
      <c r="AD118" s="78">
        <v>0.84430000000000005</v>
      </c>
      <c r="AE118" s="78">
        <v>0.66918</v>
      </c>
      <c r="AF118" s="78">
        <v>0.74612999999999996</v>
      </c>
      <c r="AG118" s="78">
        <f t="shared" si="68"/>
        <v>0.75895999999999997</v>
      </c>
      <c r="AH118" s="78">
        <f t="shared" si="69"/>
        <v>0.84430000000000005</v>
      </c>
      <c r="AI118" s="78">
        <f t="shared" si="70"/>
        <v>0.7779339999999999</v>
      </c>
      <c r="AJ118" s="78">
        <f t="shared" si="48"/>
        <v>0.8654075</v>
      </c>
      <c r="AK118" s="78">
        <f t="shared" si="71"/>
        <v>0.68590949999999995</v>
      </c>
      <c r="AL118" s="78">
        <f t="shared" si="49"/>
        <v>0.76478324999999991</v>
      </c>
      <c r="AM118" s="78">
        <f t="shared" si="50"/>
        <v>0.7779339999999999</v>
      </c>
      <c r="AN118" s="78">
        <f t="shared" si="51"/>
        <v>0.8654075</v>
      </c>
      <c r="AO118" s="78">
        <f t="shared" si="72"/>
        <v>0.72860159999999996</v>
      </c>
      <c r="AP118" s="78">
        <f t="shared" si="52"/>
        <v>0.81052800000000003</v>
      </c>
      <c r="AQ118" s="78">
        <f t="shared" si="73"/>
        <v>0.64241280000000001</v>
      </c>
      <c r="AR118" s="78">
        <f t="shared" si="53"/>
        <v>0.71628479999999994</v>
      </c>
      <c r="AS118" s="78">
        <f t="shared" si="54"/>
        <v>0.72860159999999996</v>
      </c>
      <c r="AT118" s="78">
        <f t="shared" si="55"/>
        <v>0.81052800000000003</v>
      </c>
      <c r="AU118" s="78">
        <v>0.75960000000000005</v>
      </c>
      <c r="AV118" s="78">
        <v>0.84555999999999998</v>
      </c>
      <c r="AW118" s="78">
        <v>0.67069999999999996</v>
      </c>
      <c r="AX118" s="78">
        <v>0.74773999999999996</v>
      </c>
      <c r="AY118" s="78">
        <f t="shared" si="74"/>
        <v>0.75960000000000005</v>
      </c>
      <c r="AZ118" s="78">
        <f t="shared" si="75"/>
        <v>0.84555999999999998</v>
      </c>
      <c r="BA118" s="78">
        <f t="shared" si="76"/>
        <v>0.77859</v>
      </c>
      <c r="BB118" s="78">
        <f t="shared" si="56"/>
        <v>0.86669899999999989</v>
      </c>
      <c r="BC118" s="78">
        <f t="shared" si="77"/>
        <v>0.6874674999999999</v>
      </c>
      <c r="BD118" s="78">
        <f t="shared" si="57"/>
        <v>0.76643349999999988</v>
      </c>
      <c r="BE118" s="78">
        <f t="shared" si="58"/>
        <v>0.77859</v>
      </c>
      <c r="BF118" s="78">
        <f t="shared" si="59"/>
        <v>0.86669899999999989</v>
      </c>
      <c r="BG118" s="78">
        <f t="shared" si="78"/>
        <v>0.72921599999999998</v>
      </c>
      <c r="BH118" s="78">
        <f t="shared" si="60"/>
        <v>0.81173759999999995</v>
      </c>
      <c r="BI118" s="78">
        <f t="shared" si="79"/>
        <v>0.64387199999999989</v>
      </c>
      <c r="BJ118" s="78">
        <f t="shared" si="61"/>
        <v>0.71783039999999998</v>
      </c>
      <c r="BK118" s="78">
        <f t="shared" si="62"/>
        <v>0.72921599999999998</v>
      </c>
      <c r="BL118" s="78">
        <f t="shared" si="63"/>
        <v>0.81173759999999995</v>
      </c>
      <c r="BM118" s="78">
        <v>0.71479830000000011</v>
      </c>
      <c r="BN118" s="78">
        <v>0.80217879999999997</v>
      </c>
      <c r="BO118" s="78">
        <v>0.71677009999999997</v>
      </c>
      <c r="BP118" s="78">
        <v>0.79805349999999997</v>
      </c>
    </row>
    <row r="119" spans="1:68" ht="13" x14ac:dyDescent="0.25">
      <c r="A119" s="60">
        <v>1</v>
      </c>
      <c r="B119" s="55">
        <v>111</v>
      </c>
      <c r="C119" s="61">
        <v>0.62501033313527288</v>
      </c>
      <c r="D119" s="61">
        <v>0.68764509727223977</v>
      </c>
      <c r="E119" s="81">
        <v>0.63160530350855837</v>
      </c>
      <c r="F119" s="81">
        <v>0.69790867879771801</v>
      </c>
      <c r="G119" s="78">
        <v>0.56593789999999999</v>
      </c>
      <c r="H119" s="78">
        <v>0.62548000000000004</v>
      </c>
      <c r="I119" s="78">
        <v>0.69727270000000008</v>
      </c>
      <c r="J119" s="78">
        <v>0.7703373</v>
      </c>
      <c r="K119" s="78">
        <v>0.71626429999999996</v>
      </c>
      <c r="L119" s="78">
        <v>0.78508369999999994</v>
      </c>
      <c r="M119" s="78">
        <v>0.63248519999999997</v>
      </c>
      <c r="N119" s="78">
        <v>0.69325500000000007</v>
      </c>
      <c r="O119" s="78">
        <v>0.71626429999999996</v>
      </c>
      <c r="P119" s="78">
        <v>0.78508369999999994</v>
      </c>
      <c r="Q119" s="78">
        <f t="shared" si="64"/>
        <v>0.73417090749999991</v>
      </c>
      <c r="R119" s="78">
        <f t="shared" si="40"/>
        <v>0.80471079249999988</v>
      </c>
      <c r="S119" s="78">
        <f t="shared" si="65"/>
        <v>0.64829732999999989</v>
      </c>
      <c r="T119" s="78">
        <f t="shared" si="41"/>
        <v>0.71058637499999999</v>
      </c>
      <c r="U119" s="78">
        <f t="shared" si="42"/>
        <v>0.73417090749999991</v>
      </c>
      <c r="V119" s="78">
        <f t="shared" si="43"/>
        <v>0.80471079249999988</v>
      </c>
      <c r="W119" s="78">
        <f t="shared" si="66"/>
        <v>0.68761372799999998</v>
      </c>
      <c r="X119" s="78">
        <f t="shared" si="44"/>
        <v>0.75368035199999994</v>
      </c>
      <c r="Y119" s="78">
        <f t="shared" si="67"/>
        <v>0.607185792</v>
      </c>
      <c r="Z119" s="78">
        <f t="shared" si="45"/>
        <v>0.66552480000000003</v>
      </c>
      <c r="AA119" s="78">
        <f t="shared" si="46"/>
        <v>0.68761372799999998</v>
      </c>
      <c r="AB119" s="78">
        <f t="shared" si="47"/>
        <v>0.75368035199999994</v>
      </c>
      <c r="AC119" s="78">
        <v>0.71455000000000002</v>
      </c>
      <c r="AD119" s="78">
        <v>0.78271000000000002</v>
      </c>
      <c r="AE119" s="78">
        <v>0.63022999999999996</v>
      </c>
      <c r="AF119" s="78">
        <v>0.69157000000000002</v>
      </c>
      <c r="AG119" s="78">
        <f t="shared" si="68"/>
        <v>0.71455000000000002</v>
      </c>
      <c r="AH119" s="78">
        <f t="shared" si="69"/>
        <v>0.78271000000000002</v>
      </c>
      <c r="AI119" s="78">
        <f t="shared" si="70"/>
        <v>0.73241374999999997</v>
      </c>
      <c r="AJ119" s="78">
        <f t="shared" si="48"/>
        <v>0.8022777499999999</v>
      </c>
      <c r="AK119" s="78">
        <f t="shared" si="71"/>
        <v>0.64598574999999991</v>
      </c>
      <c r="AL119" s="78">
        <f t="shared" si="49"/>
        <v>0.70885924999999994</v>
      </c>
      <c r="AM119" s="78">
        <f t="shared" si="50"/>
        <v>0.73241374999999997</v>
      </c>
      <c r="AN119" s="78">
        <f t="shared" si="51"/>
        <v>0.8022777499999999</v>
      </c>
      <c r="AO119" s="78">
        <f t="shared" si="72"/>
        <v>0.68596800000000002</v>
      </c>
      <c r="AP119" s="78">
        <f t="shared" si="52"/>
        <v>0.7514016</v>
      </c>
      <c r="AQ119" s="78">
        <f t="shared" si="73"/>
        <v>0.60502079999999991</v>
      </c>
      <c r="AR119" s="78">
        <f t="shared" si="53"/>
        <v>0.66390720000000003</v>
      </c>
      <c r="AS119" s="78">
        <f t="shared" si="54"/>
        <v>0.68596800000000002</v>
      </c>
      <c r="AT119" s="78">
        <f t="shared" si="55"/>
        <v>0.7514016</v>
      </c>
      <c r="AU119" s="78">
        <v>0.71501999999999999</v>
      </c>
      <c r="AV119" s="78">
        <v>0.78359999999999996</v>
      </c>
      <c r="AW119" s="78">
        <v>0.63134999999999997</v>
      </c>
      <c r="AX119" s="78">
        <v>0.69272999999999996</v>
      </c>
      <c r="AY119" s="78">
        <f t="shared" si="74"/>
        <v>0.71501999999999999</v>
      </c>
      <c r="AZ119" s="78">
        <f t="shared" si="75"/>
        <v>0.78359999999999996</v>
      </c>
      <c r="BA119" s="78">
        <f t="shared" si="76"/>
        <v>0.73289549999999992</v>
      </c>
      <c r="BB119" s="78">
        <f t="shared" si="56"/>
        <v>0.80318999999999985</v>
      </c>
      <c r="BC119" s="78">
        <f t="shared" si="77"/>
        <v>0.64713374999999995</v>
      </c>
      <c r="BD119" s="78">
        <f t="shared" si="57"/>
        <v>0.71004824999999994</v>
      </c>
      <c r="BE119" s="78">
        <f t="shared" si="58"/>
        <v>0.73289549999999992</v>
      </c>
      <c r="BF119" s="78">
        <f t="shared" si="59"/>
        <v>0.80318999999999985</v>
      </c>
      <c r="BG119" s="78">
        <f t="shared" si="78"/>
        <v>0.68641920000000001</v>
      </c>
      <c r="BH119" s="78">
        <f t="shared" si="60"/>
        <v>0.75225599999999992</v>
      </c>
      <c r="BI119" s="78">
        <f t="shared" si="79"/>
        <v>0.60609599999999997</v>
      </c>
      <c r="BJ119" s="78">
        <f t="shared" si="61"/>
        <v>0.66502079999999997</v>
      </c>
      <c r="BK119" s="78">
        <f t="shared" si="62"/>
        <v>0.68641920000000001</v>
      </c>
      <c r="BL119" s="78">
        <f t="shared" si="63"/>
        <v>0.75225599999999992</v>
      </c>
      <c r="BM119" s="78">
        <v>0.67251949999999994</v>
      </c>
      <c r="BN119" s="78">
        <v>0.74299029999999999</v>
      </c>
      <c r="BO119" s="78">
        <v>0.67437474999999991</v>
      </c>
      <c r="BP119" s="78">
        <v>0.73916935000000006</v>
      </c>
    </row>
    <row r="120" spans="1:68" ht="13" x14ac:dyDescent="0.25">
      <c r="A120" s="60">
        <v>1</v>
      </c>
      <c r="B120" s="55">
        <v>112</v>
      </c>
      <c r="C120" s="61">
        <v>0.81895873397559316</v>
      </c>
      <c r="D120" s="61">
        <v>0.84297922539231618</v>
      </c>
      <c r="E120" s="81">
        <v>0.82510864325041222</v>
      </c>
      <c r="F120" s="81">
        <v>0.85236878964712048</v>
      </c>
      <c r="G120" s="78">
        <v>1</v>
      </c>
      <c r="H120" s="78">
        <v>1</v>
      </c>
      <c r="I120" s="78">
        <v>0.6502173</v>
      </c>
      <c r="J120" s="78">
        <v>0.70473759999999996</v>
      </c>
      <c r="K120" s="78">
        <v>0.66792720000000005</v>
      </c>
      <c r="L120" s="78">
        <v>0.71822819999999998</v>
      </c>
      <c r="M120" s="78">
        <v>0.58980200000000005</v>
      </c>
      <c r="N120" s="78">
        <v>0.63421939999999999</v>
      </c>
      <c r="O120" s="78">
        <v>0.66792720000000005</v>
      </c>
      <c r="P120" s="78">
        <v>0.71822819999999998</v>
      </c>
      <c r="Q120" s="78">
        <f t="shared" si="64"/>
        <v>0.68462537999999995</v>
      </c>
      <c r="R120" s="78">
        <f t="shared" si="40"/>
        <v>0.73618390499999997</v>
      </c>
      <c r="S120" s="78">
        <f t="shared" si="65"/>
        <v>0.60454704999999997</v>
      </c>
      <c r="T120" s="78">
        <f t="shared" si="41"/>
        <v>0.65007488499999988</v>
      </c>
      <c r="U120" s="78">
        <f t="shared" si="42"/>
        <v>0.68462537999999995</v>
      </c>
      <c r="V120" s="78">
        <f t="shared" si="43"/>
        <v>0.73618390499999997</v>
      </c>
      <c r="W120" s="78">
        <f t="shared" si="66"/>
        <v>0.641210112</v>
      </c>
      <c r="X120" s="78">
        <f t="shared" si="44"/>
        <v>0.68949907199999994</v>
      </c>
      <c r="Y120" s="78">
        <f t="shared" si="67"/>
        <v>0.56620992000000003</v>
      </c>
      <c r="Z120" s="78">
        <f t="shared" si="45"/>
        <v>0.60885062400000001</v>
      </c>
      <c r="AA120" s="78">
        <f t="shared" si="46"/>
        <v>0.641210112</v>
      </c>
      <c r="AB120" s="78">
        <f t="shared" si="47"/>
        <v>0.68949907199999994</v>
      </c>
      <c r="AC120" s="78">
        <v>0.66674</v>
      </c>
      <c r="AD120" s="78">
        <v>0.71662999999999999</v>
      </c>
      <c r="AE120" s="78">
        <v>0.58823999999999999</v>
      </c>
      <c r="AF120" s="78">
        <v>0.63309000000000004</v>
      </c>
      <c r="AG120" s="78">
        <f t="shared" si="68"/>
        <v>0.66674</v>
      </c>
      <c r="AH120" s="78">
        <f t="shared" si="69"/>
        <v>0.71662999999999999</v>
      </c>
      <c r="AI120" s="78">
        <f t="shared" si="70"/>
        <v>0.68340849999999997</v>
      </c>
      <c r="AJ120" s="78">
        <f t="shared" si="48"/>
        <v>0.73454574999999989</v>
      </c>
      <c r="AK120" s="78">
        <f t="shared" si="71"/>
        <v>0.60294599999999998</v>
      </c>
      <c r="AL120" s="78">
        <f t="shared" si="49"/>
        <v>0.64891725</v>
      </c>
      <c r="AM120" s="78">
        <f t="shared" si="50"/>
        <v>0.68340849999999997</v>
      </c>
      <c r="AN120" s="78">
        <f t="shared" si="51"/>
        <v>0.73454574999999989</v>
      </c>
      <c r="AO120" s="78">
        <f t="shared" si="72"/>
        <v>0.64007039999999993</v>
      </c>
      <c r="AP120" s="78">
        <f t="shared" si="52"/>
        <v>0.68796479999999993</v>
      </c>
      <c r="AQ120" s="78">
        <f t="shared" si="73"/>
        <v>0.56471039999999995</v>
      </c>
      <c r="AR120" s="78">
        <f t="shared" si="53"/>
        <v>0.60776640000000004</v>
      </c>
      <c r="AS120" s="78">
        <f t="shared" si="54"/>
        <v>0.64007039999999993</v>
      </c>
      <c r="AT120" s="78">
        <f t="shared" si="55"/>
        <v>0.68796479999999993</v>
      </c>
      <c r="AU120" s="78">
        <v>0.66707000000000005</v>
      </c>
      <c r="AV120" s="78">
        <v>0.71723000000000003</v>
      </c>
      <c r="AW120" s="78">
        <v>0.58901999999999999</v>
      </c>
      <c r="AX120" s="78">
        <v>0.63385999999999998</v>
      </c>
      <c r="AY120" s="78">
        <f t="shared" si="74"/>
        <v>0.66707000000000005</v>
      </c>
      <c r="AZ120" s="78">
        <f t="shared" si="75"/>
        <v>0.71723000000000003</v>
      </c>
      <c r="BA120" s="78">
        <f t="shared" si="76"/>
        <v>0.68374674999999996</v>
      </c>
      <c r="BB120" s="78">
        <f t="shared" si="56"/>
        <v>0.73516074999999992</v>
      </c>
      <c r="BC120" s="78">
        <f t="shared" si="77"/>
        <v>0.60374549999999993</v>
      </c>
      <c r="BD120" s="78">
        <f t="shared" si="57"/>
        <v>0.64970649999999996</v>
      </c>
      <c r="BE120" s="78">
        <f t="shared" si="58"/>
        <v>0.68374674999999996</v>
      </c>
      <c r="BF120" s="78">
        <f t="shared" si="59"/>
        <v>0.73516074999999992</v>
      </c>
      <c r="BG120" s="78">
        <f t="shared" si="78"/>
        <v>0.64038720000000005</v>
      </c>
      <c r="BH120" s="78">
        <f t="shared" si="60"/>
        <v>0.68854079999999995</v>
      </c>
      <c r="BI120" s="78">
        <f t="shared" si="79"/>
        <v>0.56545919999999994</v>
      </c>
      <c r="BJ120" s="78">
        <f t="shared" si="61"/>
        <v>0.60850559999999998</v>
      </c>
      <c r="BK120" s="78">
        <f t="shared" si="62"/>
        <v>0.64038720000000005</v>
      </c>
      <c r="BL120" s="78">
        <f t="shared" si="63"/>
        <v>0.68854079999999995</v>
      </c>
      <c r="BM120" s="78">
        <v>0.62713459999999999</v>
      </c>
      <c r="BN120" s="78">
        <v>0.67971940000000008</v>
      </c>
      <c r="BO120" s="78">
        <v>0.6288646</v>
      </c>
      <c r="BP120" s="78">
        <v>0.67622380000000004</v>
      </c>
    </row>
    <row r="121" spans="1:68" ht="13" x14ac:dyDescent="0.25">
      <c r="A121" s="60">
        <v>1</v>
      </c>
      <c r="B121" s="55">
        <v>113</v>
      </c>
      <c r="C121" s="61">
        <v>0.79372386076289092</v>
      </c>
      <c r="D121" s="61">
        <v>0.80765443348041921</v>
      </c>
      <c r="E121" s="81">
        <v>0.7993872113059769</v>
      </c>
      <c r="F121" s="81">
        <v>0.81607692819981825</v>
      </c>
      <c r="G121" s="78">
        <v>1</v>
      </c>
      <c r="H121" s="78">
        <v>1.0000001000000001</v>
      </c>
      <c r="I121" s="78">
        <v>0.59877449999999999</v>
      </c>
      <c r="J121" s="78">
        <v>0.63215379999999999</v>
      </c>
      <c r="K121" s="78">
        <v>0.61508319999999994</v>
      </c>
      <c r="L121" s="78">
        <v>0.64425500000000002</v>
      </c>
      <c r="M121" s="78">
        <v>0.54313899999999993</v>
      </c>
      <c r="N121" s="78">
        <v>0.56889860000000003</v>
      </c>
      <c r="O121" s="78">
        <v>0.61508319999999994</v>
      </c>
      <c r="P121" s="78">
        <v>0.64425500000000002</v>
      </c>
      <c r="Q121" s="78">
        <f t="shared" si="64"/>
        <v>0.63046027999999987</v>
      </c>
      <c r="R121" s="78">
        <f t="shared" si="40"/>
        <v>0.66036137499999992</v>
      </c>
      <c r="S121" s="78">
        <f t="shared" si="65"/>
        <v>0.55671747499999991</v>
      </c>
      <c r="T121" s="78">
        <f t="shared" si="41"/>
        <v>0.58312106499999994</v>
      </c>
      <c r="U121" s="78">
        <f t="shared" si="42"/>
        <v>0.63046027999999987</v>
      </c>
      <c r="V121" s="78">
        <f t="shared" si="43"/>
        <v>0.66036137499999992</v>
      </c>
      <c r="W121" s="78">
        <f t="shared" si="66"/>
        <v>0.59047987199999996</v>
      </c>
      <c r="X121" s="78">
        <f t="shared" si="44"/>
        <v>0.61848479999999995</v>
      </c>
      <c r="Y121" s="78">
        <f t="shared" si="67"/>
        <v>0.52141343999999989</v>
      </c>
      <c r="Z121" s="78">
        <f t="shared" si="45"/>
        <v>0.546142656</v>
      </c>
      <c r="AA121" s="78">
        <f t="shared" si="46"/>
        <v>0.59047987199999996</v>
      </c>
      <c r="AB121" s="78">
        <f t="shared" si="47"/>
        <v>0.61848479999999995</v>
      </c>
      <c r="AC121" s="78">
        <v>0.61434999999999995</v>
      </c>
      <c r="AD121" s="78">
        <v>0.64329999999999998</v>
      </c>
      <c r="AE121" s="78">
        <v>0.54218</v>
      </c>
      <c r="AF121" s="78">
        <v>0.56821999999999995</v>
      </c>
      <c r="AG121" s="78">
        <f t="shared" si="68"/>
        <v>0.61434999999999995</v>
      </c>
      <c r="AH121" s="78">
        <f t="shared" si="69"/>
        <v>0.64329999999999998</v>
      </c>
      <c r="AI121" s="78">
        <f t="shared" si="70"/>
        <v>0.62970874999999993</v>
      </c>
      <c r="AJ121" s="78">
        <f t="shared" si="48"/>
        <v>0.65938249999999987</v>
      </c>
      <c r="AK121" s="78">
        <f t="shared" si="71"/>
        <v>0.55573449999999991</v>
      </c>
      <c r="AL121" s="78">
        <f t="shared" si="49"/>
        <v>0.58242549999999993</v>
      </c>
      <c r="AM121" s="78">
        <f t="shared" si="50"/>
        <v>0.62970874999999993</v>
      </c>
      <c r="AN121" s="78">
        <f t="shared" si="51"/>
        <v>0.65938249999999987</v>
      </c>
      <c r="AO121" s="78">
        <f t="shared" si="72"/>
        <v>0.58977599999999997</v>
      </c>
      <c r="AP121" s="78">
        <f t="shared" si="52"/>
        <v>0.61756800000000001</v>
      </c>
      <c r="AQ121" s="78">
        <f t="shared" si="73"/>
        <v>0.52049279999999998</v>
      </c>
      <c r="AR121" s="78">
        <f t="shared" si="53"/>
        <v>0.54549119999999995</v>
      </c>
      <c r="AS121" s="78">
        <f t="shared" si="54"/>
        <v>0.58977599999999997</v>
      </c>
      <c r="AT121" s="78">
        <f t="shared" si="55"/>
        <v>0.61756800000000001</v>
      </c>
      <c r="AU121" s="78">
        <v>0.61456</v>
      </c>
      <c r="AV121" s="78">
        <v>0.64366000000000001</v>
      </c>
      <c r="AW121" s="78">
        <v>0.54266000000000003</v>
      </c>
      <c r="AX121" s="78">
        <v>0.56869000000000003</v>
      </c>
      <c r="AY121" s="78">
        <f t="shared" si="74"/>
        <v>0.61456</v>
      </c>
      <c r="AZ121" s="78">
        <f t="shared" si="75"/>
        <v>0.64366000000000001</v>
      </c>
      <c r="BA121" s="78">
        <f t="shared" si="76"/>
        <v>0.62992399999999993</v>
      </c>
      <c r="BB121" s="78">
        <f t="shared" si="56"/>
        <v>0.65975149999999994</v>
      </c>
      <c r="BC121" s="78">
        <f t="shared" si="77"/>
        <v>0.55622649999999996</v>
      </c>
      <c r="BD121" s="78">
        <f t="shared" si="57"/>
        <v>0.58290724999999999</v>
      </c>
      <c r="BE121" s="78">
        <f t="shared" si="58"/>
        <v>0.62992399999999993</v>
      </c>
      <c r="BF121" s="78">
        <f t="shared" si="59"/>
        <v>0.65975149999999994</v>
      </c>
      <c r="BG121" s="78">
        <f t="shared" si="78"/>
        <v>0.58997759999999999</v>
      </c>
      <c r="BH121" s="78">
        <f t="shared" si="60"/>
        <v>0.61791359999999995</v>
      </c>
      <c r="BI121" s="78">
        <f t="shared" si="79"/>
        <v>0.52095360000000002</v>
      </c>
      <c r="BJ121" s="78">
        <f t="shared" si="61"/>
        <v>0.54594240000000005</v>
      </c>
      <c r="BK121" s="78">
        <f t="shared" si="62"/>
        <v>0.58997759999999999</v>
      </c>
      <c r="BL121" s="78">
        <f t="shared" si="63"/>
        <v>0.61791359999999995</v>
      </c>
      <c r="BM121" s="78">
        <v>0.57751799999999998</v>
      </c>
      <c r="BN121" s="78">
        <v>0.60971229999999998</v>
      </c>
      <c r="BO121" s="78">
        <v>0.57911109999999999</v>
      </c>
      <c r="BP121" s="78">
        <v>0.60657680000000003</v>
      </c>
    </row>
    <row r="122" spans="1:68" ht="13" x14ac:dyDescent="0.25">
      <c r="A122" s="60">
        <v>1</v>
      </c>
      <c r="B122" s="55">
        <v>114</v>
      </c>
      <c r="C122" s="61">
        <v>0.77077592428286335</v>
      </c>
      <c r="D122" s="61">
        <v>0.77676928183084015</v>
      </c>
      <c r="E122" s="81">
        <v>0.77599681010518529</v>
      </c>
      <c r="F122" s="81">
        <v>0.78434625003529168</v>
      </c>
      <c r="G122" s="78">
        <v>1</v>
      </c>
      <c r="H122" s="78">
        <v>1</v>
      </c>
      <c r="I122" s="78">
        <v>0.55199359999999997</v>
      </c>
      <c r="J122" s="78">
        <v>0.56869250000000005</v>
      </c>
      <c r="K122" s="78">
        <v>0.56702819999999998</v>
      </c>
      <c r="L122" s="78">
        <v>0.57957880000000006</v>
      </c>
      <c r="M122" s="78">
        <v>0.5007047</v>
      </c>
      <c r="N122" s="78">
        <v>0.5117874</v>
      </c>
      <c r="O122" s="78">
        <v>0.56702819999999998</v>
      </c>
      <c r="P122" s="78">
        <v>0.57957880000000006</v>
      </c>
      <c r="Q122" s="78">
        <f t="shared" si="64"/>
        <v>0.58120390499999997</v>
      </c>
      <c r="R122" s="78">
        <f t="shared" si="40"/>
        <v>0.59406827000000006</v>
      </c>
      <c r="S122" s="78">
        <f t="shared" si="65"/>
        <v>0.51322231749999991</v>
      </c>
      <c r="T122" s="78">
        <f t="shared" si="41"/>
        <v>0.52458208499999992</v>
      </c>
      <c r="U122" s="78">
        <f t="shared" si="42"/>
        <v>0.58120390499999997</v>
      </c>
      <c r="V122" s="78">
        <f t="shared" si="43"/>
        <v>0.59406827000000006</v>
      </c>
      <c r="W122" s="78">
        <f t="shared" si="66"/>
        <v>0.54434707199999999</v>
      </c>
      <c r="X122" s="78">
        <f t="shared" si="44"/>
        <v>0.55639564800000008</v>
      </c>
      <c r="Y122" s="78">
        <f t="shared" si="67"/>
        <v>0.480676512</v>
      </c>
      <c r="Z122" s="78">
        <f t="shared" si="45"/>
        <v>0.49131590399999997</v>
      </c>
      <c r="AA122" s="78">
        <f t="shared" si="46"/>
        <v>0.54434707199999999</v>
      </c>
      <c r="AB122" s="78">
        <f t="shared" si="47"/>
        <v>0.55639564800000008</v>
      </c>
      <c r="AC122" s="78">
        <v>0.56669000000000003</v>
      </c>
      <c r="AD122" s="78">
        <v>0.57915000000000005</v>
      </c>
      <c r="AE122" s="78">
        <v>0.50026000000000004</v>
      </c>
      <c r="AF122" s="78">
        <v>0.51148000000000005</v>
      </c>
      <c r="AG122" s="78">
        <f t="shared" si="68"/>
        <v>0.56669000000000003</v>
      </c>
      <c r="AH122" s="78">
        <f t="shared" si="69"/>
        <v>0.57915000000000005</v>
      </c>
      <c r="AI122" s="78">
        <f t="shared" si="70"/>
        <v>0.58085724999999999</v>
      </c>
      <c r="AJ122" s="78">
        <f t="shared" si="48"/>
        <v>0.59362875000000004</v>
      </c>
      <c r="AK122" s="78">
        <f t="shared" si="71"/>
        <v>0.51276650000000001</v>
      </c>
      <c r="AL122" s="78">
        <f t="shared" si="49"/>
        <v>0.52426700000000004</v>
      </c>
      <c r="AM122" s="78">
        <f t="shared" si="50"/>
        <v>0.58085724999999999</v>
      </c>
      <c r="AN122" s="78">
        <f t="shared" si="51"/>
        <v>0.59362875000000004</v>
      </c>
      <c r="AO122" s="78">
        <f t="shared" si="72"/>
        <v>0.54402240000000002</v>
      </c>
      <c r="AP122" s="78">
        <f t="shared" si="52"/>
        <v>0.55598400000000003</v>
      </c>
      <c r="AQ122" s="78">
        <f t="shared" si="73"/>
        <v>0.4802496</v>
      </c>
      <c r="AR122" s="78">
        <f t="shared" si="53"/>
        <v>0.49102080000000004</v>
      </c>
      <c r="AS122" s="78">
        <f t="shared" si="54"/>
        <v>0.54402240000000002</v>
      </c>
      <c r="AT122" s="78">
        <f t="shared" si="55"/>
        <v>0.55598400000000003</v>
      </c>
      <c r="AU122" s="78">
        <v>0.56679000000000002</v>
      </c>
      <c r="AV122" s="78">
        <v>0.57930999999999999</v>
      </c>
      <c r="AW122" s="78">
        <v>0.50048000000000004</v>
      </c>
      <c r="AX122" s="78">
        <v>0.51168999999999998</v>
      </c>
      <c r="AY122" s="78">
        <f t="shared" si="74"/>
        <v>0.56679000000000002</v>
      </c>
      <c r="AZ122" s="78">
        <f t="shared" si="75"/>
        <v>0.57930999999999999</v>
      </c>
      <c r="BA122" s="78">
        <f t="shared" si="76"/>
        <v>0.58095975</v>
      </c>
      <c r="BB122" s="78">
        <f t="shared" si="56"/>
        <v>0.59379274999999998</v>
      </c>
      <c r="BC122" s="78">
        <f t="shared" si="77"/>
        <v>0.512992</v>
      </c>
      <c r="BD122" s="78">
        <f t="shared" si="57"/>
        <v>0.52448224999999993</v>
      </c>
      <c r="BE122" s="78">
        <f t="shared" si="58"/>
        <v>0.58095975</v>
      </c>
      <c r="BF122" s="78">
        <f t="shared" si="59"/>
        <v>0.59379274999999998</v>
      </c>
      <c r="BG122" s="78">
        <f t="shared" si="78"/>
        <v>0.5441184</v>
      </c>
      <c r="BH122" s="78">
        <f t="shared" si="60"/>
        <v>0.55613760000000001</v>
      </c>
      <c r="BI122" s="78">
        <f t="shared" si="79"/>
        <v>0.48046080000000002</v>
      </c>
      <c r="BJ122" s="78">
        <f t="shared" si="61"/>
        <v>0.49122239999999995</v>
      </c>
      <c r="BK122" s="78">
        <f t="shared" si="62"/>
        <v>0.5441184</v>
      </c>
      <c r="BL122" s="78">
        <f t="shared" si="63"/>
        <v>0.55613760000000001</v>
      </c>
      <c r="BM122" s="78">
        <v>0.53239780000000003</v>
      </c>
      <c r="BN122" s="78">
        <v>0.54850389999999993</v>
      </c>
      <c r="BO122" s="78">
        <v>0.53386644999999999</v>
      </c>
      <c r="BP122" s="78">
        <v>0.54568309999999998</v>
      </c>
    </row>
    <row r="123" spans="1:68" ht="13" x14ac:dyDescent="0.25">
      <c r="A123" s="60">
        <v>1</v>
      </c>
      <c r="B123" s="55">
        <v>115</v>
      </c>
      <c r="C123" s="61">
        <v>1</v>
      </c>
      <c r="D123" s="61">
        <v>1</v>
      </c>
      <c r="E123" s="81">
        <v>1</v>
      </c>
      <c r="F123" s="81">
        <v>1</v>
      </c>
      <c r="G123" s="78">
        <v>1</v>
      </c>
      <c r="H123" s="78">
        <v>1</v>
      </c>
      <c r="I123" s="78">
        <v>1</v>
      </c>
      <c r="J123" s="78">
        <v>1</v>
      </c>
      <c r="K123" s="78">
        <v>1</v>
      </c>
      <c r="L123" s="78">
        <v>1</v>
      </c>
      <c r="M123" s="78">
        <v>0.92457400000000012</v>
      </c>
      <c r="N123" s="78">
        <v>0.92457400000000012</v>
      </c>
      <c r="O123" s="78">
        <v>1</v>
      </c>
      <c r="P123" s="78">
        <v>1</v>
      </c>
      <c r="Q123" s="78">
        <f t="shared" si="64"/>
        <v>1.0249999999999999</v>
      </c>
      <c r="R123" s="78">
        <f t="shared" si="40"/>
        <v>1.0249999999999999</v>
      </c>
      <c r="S123" s="78">
        <f t="shared" si="65"/>
        <v>0.94768835000000007</v>
      </c>
      <c r="T123" s="78">
        <f t="shared" si="41"/>
        <v>0.94768835000000007</v>
      </c>
      <c r="U123" s="78">
        <f t="shared" si="42"/>
        <v>1.0249999999999999</v>
      </c>
      <c r="V123" s="78">
        <f t="shared" si="43"/>
        <v>1.0249999999999999</v>
      </c>
      <c r="W123" s="78">
        <f t="shared" si="66"/>
        <v>0.96</v>
      </c>
      <c r="X123" s="78">
        <f t="shared" si="44"/>
        <v>0.96</v>
      </c>
      <c r="Y123" s="78">
        <f t="shared" si="67"/>
        <v>0.88759104000000011</v>
      </c>
      <c r="Z123" s="78">
        <f t="shared" si="45"/>
        <v>0.88759104000000011</v>
      </c>
      <c r="AA123" s="78">
        <f t="shared" si="46"/>
        <v>0.96</v>
      </c>
      <c r="AB123" s="78">
        <f t="shared" si="47"/>
        <v>0.96</v>
      </c>
      <c r="AC123" s="78">
        <v>1</v>
      </c>
      <c r="AD123" s="78">
        <v>1</v>
      </c>
      <c r="AE123" s="78">
        <v>0.92457</v>
      </c>
      <c r="AF123" s="78">
        <v>1</v>
      </c>
      <c r="AG123" s="78">
        <f t="shared" si="68"/>
        <v>1</v>
      </c>
      <c r="AH123" s="78">
        <f t="shared" si="69"/>
        <v>1</v>
      </c>
      <c r="AI123" s="78">
        <f t="shared" si="70"/>
        <v>1.0249999999999999</v>
      </c>
      <c r="AJ123" s="78">
        <f t="shared" si="48"/>
        <v>1.0249999999999999</v>
      </c>
      <c r="AK123" s="78">
        <f t="shared" si="71"/>
        <v>0.94768424999999989</v>
      </c>
      <c r="AL123" s="78">
        <f t="shared" si="49"/>
        <v>1.0249999999999999</v>
      </c>
      <c r="AM123" s="78">
        <f t="shared" si="50"/>
        <v>1.0249999999999999</v>
      </c>
      <c r="AN123" s="78">
        <f t="shared" si="51"/>
        <v>1.0249999999999999</v>
      </c>
      <c r="AO123" s="78">
        <f t="shared" si="72"/>
        <v>0.96</v>
      </c>
      <c r="AP123" s="78">
        <f t="shared" si="52"/>
        <v>0.96</v>
      </c>
      <c r="AQ123" s="78">
        <f t="shared" si="73"/>
        <v>0.88758720000000002</v>
      </c>
      <c r="AR123" s="78">
        <f t="shared" si="53"/>
        <v>0.96</v>
      </c>
      <c r="AS123" s="78">
        <f t="shared" si="54"/>
        <v>0.96</v>
      </c>
      <c r="AT123" s="78">
        <f t="shared" si="55"/>
        <v>0.96</v>
      </c>
      <c r="AU123" s="78">
        <v>1</v>
      </c>
      <c r="AV123" s="78">
        <v>1</v>
      </c>
      <c r="AW123" s="78">
        <v>1</v>
      </c>
      <c r="AX123" s="78">
        <v>1</v>
      </c>
      <c r="AY123" s="78">
        <f t="shared" si="74"/>
        <v>1</v>
      </c>
      <c r="AZ123" s="78">
        <f t="shared" si="75"/>
        <v>1</v>
      </c>
      <c r="BA123" s="78">
        <f t="shared" si="76"/>
        <v>1.0249999999999999</v>
      </c>
      <c r="BB123" s="78">
        <f t="shared" si="56"/>
        <v>1.0249999999999999</v>
      </c>
      <c r="BC123" s="78">
        <f t="shared" si="77"/>
        <v>1.0249999999999999</v>
      </c>
      <c r="BD123" s="78">
        <f t="shared" si="57"/>
        <v>1.0249999999999999</v>
      </c>
      <c r="BE123" s="78">
        <f t="shared" si="58"/>
        <v>1.0249999999999999</v>
      </c>
      <c r="BF123" s="78">
        <f t="shared" si="59"/>
        <v>1.0249999999999999</v>
      </c>
      <c r="BG123" s="78">
        <f t="shared" si="78"/>
        <v>0.96</v>
      </c>
      <c r="BH123" s="78">
        <f t="shared" si="60"/>
        <v>0.96</v>
      </c>
      <c r="BI123" s="78">
        <f t="shared" si="79"/>
        <v>0.96</v>
      </c>
      <c r="BJ123" s="78">
        <f t="shared" si="61"/>
        <v>0.96</v>
      </c>
      <c r="BK123" s="78">
        <f t="shared" si="62"/>
        <v>0.96</v>
      </c>
      <c r="BL123" s="78">
        <f t="shared" si="63"/>
        <v>0.96</v>
      </c>
      <c r="BM123" s="78">
        <v>1</v>
      </c>
      <c r="BN123" s="78">
        <v>1</v>
      </c>
      <c r="BO123" s="78">
        <v>0.96228700000000011</v>
      </c>
      <c r="BP123" s="78">
        <v>0.96228700000000011</v>
      </c>
    </row>
    <row r="124" spans="1:68" ht="13" x14ac:dyDescent="0.25">
      <c r="A124" s="60">
        <v>1</v>
      </c>
      <c r="B124" s="55">
        <v>116</v>
      </c>
      <c r="C124" s="61">
        <v>1</v>
      </c>
      <c r="D124" s="61">
        <v>1</v>
      </c>
      <c r="E124" s="81">
        <v>1</v>
      </c>
      <c r="F124" s="81">
        <v>1</v>
      </c>
      <c r="G124" s="78">
        <v>1</v>
      </c>
      <c r="H124" s="78">
        <v>1</v>
      </c>
      <c r="I124" s="78">
        <v>1</v>
      </c>
      <c r="J124" s="78">
        <v>1</v>
      </c>
      <c r="K124" s="78">
        <v>1</v>
      </c>
      <c r="L124" s="78">
        <v>1</v>
      </c>
      <c r="M124" s="78">
        <v>1</v>
      </c>
      <c r="N124" s="78">
        <v>1</v>
      </c>
      <c r="O124" s="78">
        <v>1</v>
      </c>
      <c r="P124" s="78">
        <v>1</v>
      </c>
      <c r="Q124" s="78">
        <f>K124</f>
        <v>1</v>
      </c>
      <c r="R124" s="78">
        <f t="shared" ref="R124" si="80">L124</f>
        <v>1</v>
      </c>
      <c r="S124" s="78">
        <f>M124</f>
        <v>1</v>
      </c>
      <c r="T124" s="78">
        <f t="shared" ref="T124:V124" si="81">N124</f>
        <v>1</v>
      </c>
      <c r="U124" s="78">
        <f t="shared" si="81"/>
        <v>1</v>
      </c>
      <c r="V124" s="78">
        <f t="shared" si="81"/>
        <v>1</v>
      </c>
      <c r="W124" s="78">
        <f>K124</f>
        <v>1</v>
      </c>
      <c r="X124" s="78">
        <f t="shared" ref="X124" si="82">L124</f>
        <v>1</v>
      </c>
      <c r="Y124" s="78">
        <f>M124</f>
        <v>1</v>
      </c>
      <c r="Z124" s="78">
        <f t="shared" ref="Z124:AB124" si="83">N124</f>
        <v>1</v>
      </c>
      <c r="AA124" s="78">
        <f t="shared" si="83"/>
        <v>1</v>
      </c>
      <c r="AB124" s="78">
        <f t="shared" si="83"/>
        <v>1</v>
      </c>
      <c r="AC124" s="78">
        <v>1</v>
      </c>
      <c r="AD124" s="78">
        <v>1</v>
      </c>
      <c r="AE124" s="78">
        <v>1</v>
      </c>
      <c r="AF124" s="78">
        <v>1</v>
      </c>
      <c r="AG124" s="78">
        <f t="shared" si="68"/>
        <v>1</v>
      </c>
      <c r="AH124" s="78">
        <f t="shared" si="69"/>
        <v>1</v>
      </c>
      <c r="AI124" s="78">
        <f>AC124</f>
        <v>1</v>
      </c>
      <c r="AJ124" s="78">
        <f t="shared" ref="AJ124" si="84">AD124</f>
        <v>1</v>
      </c>
      <c r="AK124" s="78">
        <f>AE124</f>
        <v>1</v>
      </c>
      <c r="AL124" s="78">
        <f t="shared" ref="AL124" si="85">AF124</f>
        <v>1</v>
      </c>
      <c r="AM124" s="78">
        <f t="shared" ref="AM124" si="86">AG124</f>
        <v>1</v>
      </c>
      <c r="AN124" s="78">
        <f t="shared" ref="AN124" si="87">AH124</f>
        <v>1</v>
      </c>
      <c r="AO124" s="78">
        <f>AC124</f>
        <v>1</v>
      </c>
      <c r="AP124" s="78">
        <f t="shared" ref="AP124" si="88">AD124</f>
        <v>1</v>
      </c>
      <c r="AQ124" s="78">
        <f>AE124</f>
        <v>1</v>
      </c>
      <c r="AR124" s="78">
        <f t="shared" ref="AR124" si="89">AF124</f>
        <v>1</v>
      </c>
      <c r="AS124" s="78">
        <f t="shared" ref="AS124" si="90">AG124</f>
        <v>1</v>
      </c>
      <c r="AT124" s="78">
        <f t="shared" ref="AT124" si="91">AH124</f>
        <v>1</v>
      </c>
      <c r="AU124" s="78">
        <v>1</v>
      </c>
      <c r="AV124" s="78">
        <v>1</v>
      </c>
      <c r="AW124" s="78">
        <v>1</v>
      </c>
      <c r="AX124" s="78">
        <v>1</v>
      </c>
      <c r="AY124" s="78">
        <f t="shared" si="74"/>
        <v>1</v>
      </c>
      <c r="AZ124" s="78">
        <f t="shared" si="75"/>
        <v>1</v>
      </c>
      <c r="BA124" s="78">
        <f>AU124</f>
        <v>1</v>
      </c>
      <c r="BB124" s="78">
        <f t="shared" ref="BB124" si="92">AV124</f>
        <v>1</v>
      </c>
      <c r="BC124" s="78">
        <f>AW124</f>
        <v>1</v>
      </c>
      <c r="BD124" s="78">
        <f t="shared" ref="BD124" si="93">AX124</f>
        <v>1</v>
      </c>
      <c r="BE124" s="78">
        <f t="shared" ref="BE124" si="94">AY124</f>
        <v>1</v>
      </c>
      <c r="BF124" s="78">
        <f t="shared" ref="BF124" si="95">AZ124</f>
        <v>1</v>
      </c>
      <c r="BG124" s="78">
        <f>AU124</f>
        <v>1</v>
      </c>
      <c r="BH124" s="78">
        <f t="shared" ref="BH124" si="96">AV124</f>
        <v>1</v>
      </c>
      <c r="BI124" s="78">
        <f>AW124</f>
        <v>1</v>
      </c>
      <c r="BJ124" s="78">
        <f t="shared" ref="BJ124" si="97">AX124</f>
        <v>1</v>
      </c>
      <c r="BK124" s="78">
        <f t="shared" ref="BK124" si="98">AY124</f>
        <v>1</v>
      </c>
      <c r="BL124" s="78">
        <f t="shared" ref="BL124" si="99">AZ124</f>
        <v>1</v>
      </c>
      <c r="BM124" s="78">
        <v>1</v>
      </c>
      <c r="BN124" s="78">
        <v>1</v>
      </c>
      <c r="BO124" s="78">
        <v>1</v>
      </c>
      <c r="BP124" s="78">
        <v>1</v>
      </c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12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I8" sqref="I8"/>
    </sheetView>
  </sheetViews>
  <sheetFormatPr defaultRowHeight="12.5" x14ac:dyDescent="0.25"/>
  <cols>
    <col min="1" max="1" width="9.81640625" bestFit="1" customWidth="1"/>
    <col min="3" max="14" width="13.26953125" style="50" customWidth="1"/>
  </cols>
  <sheetData>
    <row r="1" spans="1:14" ht="15.5" x14ac:dyDescent="0.25">
      <c r="A1" s="16" t="s">
        <v>6</v>
      </c>
      <c r="B1" s="15" t="s">
        <v>27</v>
      </c>
      <c r="C1" s="44"/>
      <c r="D1" s="45"/>
      <c r="E1" s="45"/>
      <c r="F1" s="45"/>
      <c r="G1" s="44"/>
      <c r="H1" s="45"/>
      <c r="I1" s="44"/>
      <c r="J1" s="45"/>
      <c r="K1" s="44"/>
      <c r="L1" s="45"/>
      <c r="M1" s="44"/>
      <c r="N1" s="45"/>
    </row>
    <row r="2" spans="1:14" ht="15.5" x14ac:dyDescent="0.25">
      <c r="A2" s="16"/>
      <c r="B2" s="15"/>
      <c r="C2" s="44"/>
      <c r="D2" s="45"/>
      <c r="E2" s="45"/>
      <c r="F2" s="45"/>
      <c r="G2" s="44"/>
      <c r="H2" s="45"/>
      <c r="I2" s="44"/>
      <c r="J2" s="45"/>
      <c r="K2" s="44"/>
      <c r="L2" s="45"/>
      <c r="M2" s="44"/>
      <c r="N2" s="45"/>
    </row>
    <row r="3" spans="1:14" ht="13" x14ac:dyDescent="0.25">
      <c r="A3" s="17"/>
      <c r="B3" s="18" t="e">
        <f>GetNameRange(B5)</f>
        <v>#VALUE!</v>
      </c>
      <c r="C3" s="87" t="s">
        <v>40</v>
      </c>
      <c r="D3" s="45"/>
      <c r="E3" s="17" t="s">
        <v>38</v>
      </c>
      <c r="F3" s="45"/>
      <c r="G3" s="87" t="s">
        <v>39</v>
      </c>
      <c r="H3" s="45"/>
      <c r="I3" s="87" t="s">
        <v>41</v>
      </c>
      <c r="J3" s="45"/>
      <c r="K3" s="87" t="s">
        <v>41</v>
      </c>
      <c r="L3" s="45"/>
      <c r="M3" s="87" t="s">
        <v>41</v>
      </c>
      <c r="N3" s="45"/>
    </row>
    <row r="4" spans="1:14" ht="13.5" customHeight="1" x14ac:dyDescent="0.3">
      <c r="A4" s="17" t="s">
        <v>7</v>
      </c>
      <c r="B4" s="52" t="s">
        <v>9</v>
      </c>
      <c r="C4" s="68" t="s">
        <v>25</v>
      </c>
      <c r="D4" s="68" t="s">
        <v>25</v>
      </c>
      <c r="E4" s="82" t="s">
        <v>37</v>
      </c>
      <c r="F4" s="82" t="s">
        <v>37</v>
      </c>
      <c r="G4" s="73" t="s">
        <v>31</v>
      </c>
      <c r="H4" s="73" t="s">
        <v>31</v>
      </c>
      <c r="I4" s="73" t="s">
        <v>43</v>
      </c>
      <c r="J4" s="73" t="s">
        <v>43</v>
      </c>
      <c r="K4" s="73" t="s">
        <v>44</v>
      </c>
      <c r="L4" s="73" t="s">
        <v>44</v>
      </c>
      <c r="M4" s="46" t="s">
        <v>42</v>
      </c>
      <c r="N4" s="46" t="s">
        <v>42</v>
      </c>
    </row>
    <row r="5" spans="1:14" ht="13" x14ac:dyDescent="0.3">
      <c r="A5" s="37"/>
      <c r="B5" s="53" t="s">
        <v>10</v>
      </c>
      <c r="C5" s="69" t="s">
        <v>12</v>
      </c>
      <c r="D5" s="69" t="s">
        <v>18</v>
      </c>
      <c r="E5" s="83" t="s">
        <v>12</v>
      </c>
      <c r="F5" s="83" t="s">
        <v>18</v>
      </c>
      <c r="G5" s="47" t="s">
        <v>12</v>
      </c>
      <c r="H5" s="47" t="s">
        <v>18</v>
      </c>
      <c r="I5" s="47" t="s">
        <v>12</v>
      </c>
      <c r="J5" s="47" t="s">
        <v>18</v>
      </c>
      <c r="K5" s="47" t="s">
        <v>12</v>
      </c>
      <c r="L5" s="47" t="s">
        <v>18</v>
      </c>
      <c r="M5" s="47" t="s">
        <v>12</v>
      </c>
      <c r="N5" s="47" t="s">
        <v>18</v>
      </c>
    </row>
    <row r="6" spans="1:14" ht="13" x14ac:dyDescent="0.3">
      <c r="A6" s="37" t="s">
        <v>5</v>
      </c>
      <c r="B6" s="51" t="s">
        <v>24</v>
      </c>
      <c r="C6" s="41"/>
      <c r="D6" s="42"/>
      <c r="E6" s="84"/>
      <c r="F6" s="84"/>
      <c r="G6" s="41"/>
      <c r="H6" s="42"/>
      <c r="I6" s="41"/>
      <c r="J6" s="42"/>
      <c r="K6" s="41"/>
      <c r="L6" s="42"/>
      <c r="M6" s="48"/>
      <c r="N6" s="49"/>
    </row>
    <row r="7" spans="1:14" x14ac:dyDescent="0.25">
      <c r="A7" s="22">
        <v>1</v>
      </c>
      <c r="B7" s="47">
        <v>0</v>
      </c>
      <c r="C7" s="88">
        <v>0</v>
      </c>
      <c r="D7" s="88">
        <v>0</v>
      </c>
      <c r="E7" s="85">
        <v>0.01</v>
      </c>
      <c r="F7" s="85">
        <v>0.01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88">
        <v>0.01</v>
      </c>
      <c r="N7" s="88">
        <v>0.01</v>
      </c>
    </row>
    <row r="8" spans="1:14" x14ac:dyDescent="0.25">
      <c r="A8" s="17"/>
      <c r="B8" s="47">
        <v>1</v>
      </c>
      <c r="C8" s="12">
        <v>0</v>
      </c>
      <c r="D8" s="14">
        <v>0</v>
      </c>
      <c r="E8" s="86">
        <v>0.01</v>
      </c>
      <c r="F8" s="86">
        <v>0.01</v>
      </c>
      <c r="G8" s="90">
        <v>0.01</v>
      </c>
      <c r="H8" s="90">
        <v>0.01</v>
      </c>
      <c r="I8" s="90">
        <f>M8*0.6</f>
        <v>6.0000000000000001E-3</v>
      </c>
      <c r="J8" s="90">
        <f>N8*0.6</f>
        <v>6.0000000000000001E-3</v>
      </c>
      <c r="K8" s="90">
        <f>M8*1.4</f>
        <v>1.3999999999999999E-2</v>
      </c>
      <c r="L8" s="90">
        <f>N8*1.4</f>
        <v>1.3999999999999999E-2</v>
      </c>
      <c r="M8" s="88">
        <v>0.01</v>
      </c>
      <c r="N8" s="88">
        <v>0.01</v>
      </c>
    </row>
    <row r="9" spans="1:14" x14ac:dyDescent="0.25">
      <c r="A9" s="17"/>
      <c r="B9" s="47">
        <v>2</v>
      </c>
      <c r="C9" s="12">
        <v>0</v>
      </c>
      <c r="D9" s="12">
        <v>0</v>
      </c>
      <c r="E9" s="86">
        <v>0.01</v>
      </c>
      <c r="F9" s="86">
        <v>0.01</v>
      </c>
      <c r="G9" s="90">
        <v>0.01</v>
      </c>
      <c r="H9" s="90">
        <v>0.01</v>
      </c>
      <c r="I9" s="90">
        <f t="shared" ref="I9:I72" si="0">M9*0.6</f>
        <v>6.0000000000000001E-3</v>
      </c>
      <c r="J9" s="90">
        <f t="shared" ref="J9:J72" si="1">N9*0.6</f>
        <v>6.0000000000000001E-3</v>
      </c>
      <c r="K9" s="90">
        <f t="shared" ref="K9:K72" si="2">M9*1.4</f>
        <v>1.3999999999999999E-2</v>
      </c>
      <c r="L9" s="90">
        <f t="shared" ref="L9:L72" si="3">N9*1.4</f>
        <v>1.3999999999999999E-2</v>
      </c>
      <c r="M9" s="88">
        <v>0.01</v>
      </c>
      <c r="N9" s="88">
        <v>0.01</v>
      </c>
    </row>
    <row r="10" spans="1:14" x14ac:dyDescent="0.25">
      <c r="A10" s="17"/>
      <c r="B10" s="47">
        <v>3</v>
      </c>
      <c r="C10" s="12">
        <v>0</v>
      </c>
      <c r="D10" s="12">
        <v>0</v>
      </c>
      <c r="E10" s="86">
        <v>0.01</v>
      </c>
      <c r="F10" s="86">
        <v>0.01</v>
      </c>
      <c r="G10" s="90">
        <v>0.01</v>
      </c>
      <c r="H10" s="90">
        <v>0.01</v>
      </c>
      <c r="I10" s="90">
        <f t="shared" si="0"/>
        <v>6.0000000000000001E-3</v>
      </c>
      <c r="J10" s="90">
        <f t="shared" si="1"/>
        <v>6.0000000000000001E-3</v>
      </c>
      <c r="K10" s="90">
        <f t="shared" si="2"/>
        <v>1.3999999999999999E-2</v>
      </c>
      <c r="L10" s="90">
        <f t="shared" si="3"/>
        <v>1.3999999999999999E-2</v>
      </c>
      <c r="M10" s="88">
        <v>0.01</v>
      </c>
      <c r="N10" s="88">
        <v>0.01</v>
      </c>
    </row>
    <row r="11" spans="1:14" x14ac:dyDescent="0.25">
      <c r="A11" s="17"/>
      <c r="B11" s="47">
        <v>4</v>
      </c>
      <c r="C11" s="12">
        <v>0</v>
      </c>
      <c r="D11" s="12">
        <v>0</v>
      </c>
      <c r="E11" s="86">
        <v>0.01</v>
      </c>
      <c r="F11" s="86">
        <v>0.01</v>
      </c>
      <c r="G11" s="90">
        <v>0.01</v>
      </c>
      <c r="H11" s="90">
        <v>0.01</v>
      </c>
      <c r="I11" s="90">
        <f t="shared" si="0"/>
        <v>6.0000000000000001E-3</v>
      </c>
      <c r="J11" s="90">
        <f t="shared" si="1"/>
        <v>6.0000000000000001E-3</v>
      </c>
      <c r="K11" s="90">
        <f t="shared" si="2"/>
        <v>1.3999999999999999E-2</v>
      </c>
      <c r="L11" s="90">
        <f t="shared" si="3"/>
        <v>1.3999999999999999E-2</v>
      </c>
      <c r="M11" s="88">
        <v>0.01</v>
      </c>
      <c r="N11" s="88">
        <v>0.01</v>
      </c>
    </row>
    <row r="12" spans="1:14" x14ac:dyDescent="0.25">
      <c r="A12" s="17"/>
      <c r="B12" s="47">
        <v>5</v>
      </c>
      <c r="C12" s="12">
        <v>0.01</v>
      </c>
      <c r="D12" s="12">
        <v>0.01</v>
      </c>
      <c r="E12" s="86">
        <v>0.01</v>
      </c>
      <c r="F12" s="86">
        <v>0.01</v>
      </c>
      <c r="G12" s="90">
        <v>0.01</v>
      </c>
      <c r="H12" s="90">
        <v>0.01</v>
      </c>
      <c r="I12" s="90">
        <f t="shared" si="0"/>
        <v>6.0000000000000001E-3</v>
      </c>
      <c r="J12" s="90">
        <f t="shared" si="1"/>
        <v>6.0000000000000001E-3</v>
      </c>
      <c r="K12" s="90">
        <f t="shared" si="2"/>
        <v>1.3999999999999999E-2</v>
      </c>
      <c r="L12" s="90">
        <f t="shared" si="3"/>
        <v>1.3999999999999999E-2</v>
      </c>
      <c r="M12" s="88">
        <v>0.01</v>
      </c>
      <c r="N12" s="88">
        <v>0.01</v>
      </c>
    </row>
    <row r="13" spans="1:14" x14ac:dyDescent="0.25">
      <c r="A13" s="17"/>
      <c r="B13" s="47">
        <v>6</v>
      </c>
      <c r="C13" s="12">
        <v>0.01</v>
      </c>
      <c r="D13" s="12">
        <v>0.01</v>
      </c>
      <c r="E13" s="86">
        <v>0.01</v>
      </c>
      <c r="F13" s="86">
        <v>0.01</v>
      </c>
      <c r="G13" s="90">
        <v>0.01</v>
      </c>
      <c r="H13" s="90">
        <v>0.01</v>
      </c>
      <c r="I13" s="90">
        <f t="shared" si="0"/>
        <v>6.0000000000000001E-3</v>
      </c>
      <c r="J13" s="90">
        <f t="shared" si="1"/>
        <v>6.0000000000000001E-3</v>
      </c>
      <c r="K13" s="90">
        <f t="shared" si="2"/>
        <v>1.3999999999999999E-2</v>
      </c>
      <c r="L13" s="90">
        <f t="shared" si="3"/>
        <v>1.3999999999999999E-2</v>
      </c>
      <c r="M13" s="88">
        <v>0.01</v>
      </c>
      <c r="N13" s="88">
        <v>0.01</v>
      </c>
    </row>
    <row r="14" spans="1:14" x14ac:dyDescent="0.25">
      <c r="B14" s="47">
        <v>7</v>
      </c>
      <c r="C14" s="89">
        <v>0.01</v>
      </c>
      <c r="D14" s="89">
        <v>0.01</v>
      </c>
      <c r="E14" s="85">
        <v>0.01</v>
      </c>
      <c r="F14" s="85">
        <v>0.01</v>
      </c>
      <c r="G14" s="90">
        <v>0.01</v>
      </c>
      <c r="H14" s="90">
        <v>0.01</v>
      </c>
      <c r="I14" s="90">
        <f t="shared" si="0"/>
        <v>6.0000000000000001E-3</v>
      </c>
      <c r="J14" s="90">
        <f t="shared" si="1"/>
        <v>6.0000000000000001E-3</v>
      </c>
      <c r="K14" s="90">
        <f t="shared" si="2"/>
        <v>1.3999999999999999E-2</v>
      </c>
      <c r="L14" s="90">
        <f t="shared" si="3"/>
        <v>1.3999999999999999E-2</v>
      </c>
      <c r="M14" s="88">
        <v>0.01</v>
      </c>
      <c r="N14" s="88">
        <v>0.01</v>
      </c>
    </row>
    <row r="15" spans="1:14" x14ac:dyDescent="0.25">
      <c r="B15" s="47">
        <v>8</v>
      </c>
      <c r="C15" s="89">
        <v>0.01</v>
      </c>
      <c r="D15" s="89">
        <v>0.01</v>
      </c>
      <c r="E15" s="85">
        <v>0.01</v>
      </c>
      <c r="F15" s="85">
        <v>0.01</v>
      </c>
      <c r="G15" s="90">
        <v>0.01</v>
      </c>
      <c r="H15" s="90">
        <v>0.01</v>
      </c>
      <c r="I15" s="90">
        <f t="shared" si="0"/>
        <v>6.0000000000000001E-3</v>
      </c>
      <c r="J15" s="90">
        <f t="shared" si="1"/>
        <v>6.0000000000000001E-3</v>
      </c>
      <c r="K15" s="90">
        <f t="shared" si="2"/>
        <v>1.3999999999999999E-2</v>
      </c>
      <c r="L15" s="90">
        <f t="shared" si="3"/>
        <v>1.3999999999999999E-2</v>
      </c>
      <c r="M15" s="88">
        <v>0.01</v>
      </c>
      <c r="N15" s="88">
        <v>0.01</v>
      </c>
    </row>
    <row r="16" spans="1:14" x14ac:dyDescent="0.25">
      <c r="B16" s="47">
        <v>9</v>
      </c>
      <c r="C16" s="89">
        <v>0.01</v>
      </c>
      <c r="D16" s="89">
        <v>0.01</v>
      </c>
      <c r="E16" s="85">
        <v>0.01</v>
      </c>
      <c r="F16" s="85">
        <v>0.01</v>
      </c>
      <c r="G16" s="90">
        <v>0.01</v>
      </c>
      <c r="H16" s="90">
        <v>0.01</v>
      </c>
      <c r="I16" s="90">
        <f t="shared" si="0"/>
        <v>6.0000000000000001E-3</v>
      </c>
      <c r="J16" s="90">
        <f t="shared" si="1"/>
        <v>6.0000000000000001E-3</v>
      </c>
      <c r="K16" s="90">
        <f t="shared" si="2"/>
        <v>1.3999999999999999E-2</v>
      </c>
      <c r="L16" s="90">
        <f t="shared" si="3"/>
        <v>1.3999999999999999E-2</v>
      </c>
      <c r="M16" s="88">
        <v>0.01</v>
      </c>
      <c r="N16" s="88">
        <v>0.01</v>
      </c>
    </row>
    <row r="17" spans="2:14" x14ac:dyDescent="0.25">
      <c r="B17" s="47">
        <v>10</v>
      </c>
      <c r="C17" s="89">
        <v>0.01</v>
      </c>
      <c r="D17" s="89">
        <v>0.01</v>
      </c>
      <c r="E17" s="85">
        <v>0.01</v>
      </c>
      <c r="F17" s="85">
        <v>0.01</v>
      </c>
      <c r="G17" s="90">
        <v>0.01</v>
      </c>
      <c r="H17" s="90">
        <v>0.01</v>
      </c>
      <c r="I17" s="90">
        <f t="shared" si="0"/>
        <v>6.0000000000000001E-3</v>
      </c>
      <c r="J17" s="90">
        <f t="shared" si="1"/>
        <v>6.0000000000000001E-3</v>
      </c>
      <c r="K17" s="90">
        <f t="shared" si="2"/>
        <v>1.3999999999999999E-2</v>
      </c>
      <c r="L17" s="90">
        <f t="shared" si="3"/>
        <v>1.3999999999999999E-2</v>
      </c>
      <c r="M17" s="88">
        <v>0.01</v>
      </c>
      <c r="N17" s="88">
        <v>0.01</v>
      </c>
    </row>
    <row r="18" spans="2:14" x14ac:dyDescent="0.25">
      <c r="B18" s="47">
        <v>11</v>
      </c>
      <c r="C18" s="89">
        <v>0.01</v>
      </c>
      <c r="D18" s="89">
        <v>0.01</v>
      </c>
      <c r="E18" s="85">
        <v>0.01</v>
      </c>
      <c r="F18" s="85">
        <v>0.01</v>
      </c>
      <c r="G18" s="90">
        <v>0.01</v>
      </c>
      <c r="H18" s="90">
        <v>0.01</v>
      </c>
      <c r="I18" s="90">
        <f t="shared" si="0"/>
        <v>6.0000000000000001E-3</v>
      </c>
      <c r="J18" s="90">
        <f t="shared" si="1"/>
        <v>6.0000000000000001E-3</v>
      </c>
      <c r="K18" s="90">
        <f t="shared" si="2"/>
        <v>1.3999999999999999E-2</v>
      </c>
      <c r="L18" s="90">
        <f t="shared" si="3"/>
        <v>1.3999999999999999E-2</v>
      </c>
      <c r="M18" s="88">
        <v>0.01</v>
      </c>
      <c r="N18" s="88">
        <v>0.01</v>
      </c>
    </row>
    <row r="19" spans="2:14" x14ac:dyDescent="0.25">
      <c r="B19" s="47">
        <v>12</v>
      </c>
      <c r="C19" s="89">
        <v>0.01</v>
      </c>
      <c r="D19" s="89">
        <v>0.01</v>
      </c>
      <c r="E19" s="85">
        <v>0.01</v>
      </c>
      <c r="F19" s="85">
        <v>0.01</v>
      </c>
      <c r="G19" s="90">
        <v>0.01</v>
      </c>
      <c r="H19" s="90">
        <v>0.01</v>
      </c>
      <c r="I19" s="90">
        <f t="shared" si="0"/>
        <v>6.0000000000000001E-3</v>
      </c>
      <c r="J19" s="90">
        <f t="shared" si="1"/>
        <v>6.0000000000000001E-3</v>
      </c>
      <c r="K19" s="90">
        <f t="shared" si="2"/>
        <v>1.3999999999999999E-2</v>
      </c>
      <c r="L19" s="90">
        <f t="shared" si="3"/>
        <v>1.3999999999999999E-2</v>
      </c>
      <c r="M19" s="88">
        <v>0.01</v>
      </c>
      <c r="N19" s="88">
        <v>0.01</v>
      </c>
    </row>
    <row r="20" spans="2:14" x14ac:dyDescent="0.25">
      <c r="B20" s="47">
        <v>13</v>
      </c>
      <c r="C20" s="89">
        <v>0.01</v>
      </c>
      <c r="D20" s="89">
        <v>0.01</v>
      </c>
      <c r="E20" s="85">
        <v>0.01</v>
      </c>
      <c r="F20" s="85">
        <v>0.01</v>
      </c>
      <c r="G20" s="90">
        <v>0.01</v>
      </c>
      <c r="H20" s="90">
        <v>0.01</v>
      </c>
      <c r="I20" s="90">
        <f t="shared" si="0"/>
        <v>6.0000000000000001E-3</v>
      </c>
      <c r="J20" s="90">
        <f t="shared" si="1"/>
        <v>6.0000000000000001E-3</v>
      </c>
      <c r="K20" s="90">
        <f t="shared" si="2"/>
        <v>1.3999999999999999E-2</v>
      </c>
      <c r="L20" s="90">
        <f t="shared" si="3"/>
        <v>1.3999999999999999E-2</v>
      </c>
      <c r="M20" s="88">
        <v>0.01</v>
      </c>
      <c r="N20" s="88">
        <v>0.01</v>
      </c>
    </row>
    <row r="21" spans="2:14" x14ac:dyDescent="0.25">
      <c r="B21" s="47">
        <v>14</v>
      </c>
      <c r="C21" s="89">
        <v>0.01</v>
      </c>
      <c r="D21" s="89">
        <v>0.01</v>
      </c>
      <c r="E21" s="85">
        <v>0.01</v>
      </c>
      <c r="F21" s="85">
        <v>0.01</v>
      </c>
      <c r="G21" s="90">
        <v>0.01</v>
      </c>
      <c r="H21" s="90">
        <v>0.01</v>
      </c>
      <c r="I21" s="90">
        <f t="shared" si="0"/>
        <v>6.0000000000000001E-3</v>
      </c>
      <c r="J21" s="90">
        <f t="shared" si="1"/>
        <v>6.0000000000000001E-3</v>
      </c>
      <c r="K21" s="90">
        <f t="shared" si="2"/>
        <v>1.3999999999999999E-2</v>
      </c>
      <c r="L21" s="90">
        <f t="shared" si="3"/>
        <v>1.3999999999999999E-2</v>
      </c>
      <c r="M21" s="88">
        <v>0.01</v>
      </c>
      <c r="N21" s="88">
        <v>0.01</v>
      </c>
    </row>
    <row r="22" spans="2:14" x14ac:dyDescent="0.25">
      <c r="B22" s="47">
        <v>15</v>
      </c>
      <c r="C22" s="89">
        <v>0.01</v>
      </c>
      <c r="D22" s="89">
        <v>0.01</v>
      </c>
      <c r="E22" s="85">
        <v>0.01</v>
      </c>
      <c r="F22" s="85">
        <v>0.01</v>
      </c>
      <c r="G22" s="90">
        <v>0.01</v>
      </c>
      <c r="H22" s="90">
        <v>0.01</v>
      </c>
      <c r="I22" s="90">
        <f t="shared" si="0"/>
        <v>6.0000000000000001E-3</v>
      </c>
      <c r="J22" s="90">
        <f t="shared" si="1"/>
        <v>6.0000000000000001E-3</v>
      </c>
      <c r="K22" s="90">
        <f t="shared" si="2"/>
        <v>1.3999999999999999E-2</v>
      </c>
      <c r="L22" s="90">
        <f t="shared" si="3"/>
        <v>1.3999999999999999E-2</v>
      </c>
      <c r="M22" s="88">
        <v>0.01</v>
      </c>
      <c r="N22" s="88">
        <v>0.01</v>
      </c>
    </row>
    <row r="23" spans="2:14" x14ac:dyDescent="0.25">
      <c r="B23" s="47">
        <v>16</v>
      </c>
      <c r="C23" s="89">
        <v>0.01</v>
      </c>
      <c r="D23" s="89">
        <v>0.01</v>
      </c>
      <c r="E23" s="85">
        <v>0.01</v>
      </c>
      <c r="F23" s="85">
        <v>0.01</v>
      </c>
      <c r="G23" s="90">
        <v>0.01</v>
      </c>
      <c r="H23" s="90">
        <v>0.01</v>
      </c>
      <c r="I23" s="90">
        <f t="shared" si="0"/>
        <v>6.0000000000000001E-3</v>
      </c>
      <c r="J23" s="90">
        <f t="shared" si="1"/>
        <v>6.0000000000000001E-3</v>
      </c>
      <c r="K23" s="90">
        <f t="shared" si="2"/>
        <v>1.3999999999999999E-2</v>
      </c>
      <c r="L23" s="90">
        <f t="shared" si="3"/>
        <v>1.3999999999999999E-2</v>
      </c>
      <c r="M23" s="88">
        <v>0.01</v>
      </c>
      <c r="N23" s="88">
        <v>0.01</v>
      </c>
    </row>
    <row r="24" spans="2:14" x14ac:dyDescent="0.25">
      <c r="B24" s="47">
        <v>17</v>
      </c>
      <c r="C24" s="89">
        <v>0.01</v>
      </c>
      <c r="D24" s="89">
        <v>0.01</v>
      </c>
      <c r="E24" s="85">
        <v>0.01</v>
      </c>
      <c r="F24" s="85">
        <v>0.01</v>
      </c>
      <c r="G24" s="90">
        <v>0.01</v>
      </c>
      <c r="H24" s="90">
        <v>0.01</v>
      </c>
      <c r="I24" s="90">
        <f t="shared" si="0"/>
        <v>6.0000000000000001E-3</v>
      </c>
      <c r="J24" s="90">
        <f t="shared" si="1"/>
        <v>6.0000000000000001E-3</v>
      </c>
      <c r="K24" s="90">
        <f t="shared" si="2"/>
        <v>1.3999999999999999E-2</v>
      </c>
      <c r="L24" s="90">
        <f t="shared" si="3"/>
        <v>1.3999999999999999E-2</v>
      </c>
      <c r="M24" s="88">
        <v>0.01</v>
      </c>
      <c r="N24" s="88">
        <v>0.01</v>
      </c>
    </row>
    <row r="25" spans="2:14" x14ac:dyDescent="0.25">
      <c r="B25" s="47">
        <v>18</v>
      </c>
      <c r="C25" s="89">
        <v>0.01</v>
      </c>
      <c r="D25" s="89">
        <v>0.01</v>
      </c>
      <c r="E25" s="85">
        <v>0.01</v>
      </c>
      <c r="F25" s="85">
        <v>0.01</v>
      </c>
      <c r="G25" s="90">
        <v>0.01</v>
      </c>
      <c r="H25" s="90">
        <v>0.01</v>
      </c>
      <c r="I25" s="90">
        <f t="shared" si="0"/>
        <v>6.0000000000000001E-3</v>
      </c>
      <c r="J25" s="90">
        <f t="shared" si="1"/>
        <v>6.0000000000000001E-3</v>
      </c>
      <c r="K25" s="90">
        <f t="shared" si="2"/>
        <v>1.3999999999999999E-2</v>
      </c>
      <c r="L25" s="90">
        <f t="shared" si="3"/>
        <v>1.3999999999999999E-2</v>
      </c>
      <c r="M25" s="88">
        <v>0.01</v>
      </c>
      <c r="N25" s="88">
        <v>0.01</v>
      </c>
    </row>
    <row r="26" spans="2:14" x14ac:dyDescent="0.25">
      <c r="B26" s="47">
        <v>19</v>
      </c>
      <c r="C26" s="89">
        <v>0.01</v>
      </c>
      <c r="D26" s="89">
        <v>0.01</v>
      </c>
      <c r="E26" s="85">
        <v>0.01</v>
      </c>
      <c r="F26" s="85">
        <v>0.01</v>
      </c>
      <c r="G26" s="90">
        <v>0.01</v>
      </c>
      <c r="H26" s="90">
        <v>0.01</v>
      </c>
      <c r="I26" s="90">
        <f t="shared" si="0"/>
        <v>6.0000000000000001E-3</v>
      </c>
      <c r="J26" s="90">
        <f t="shared" si="1"/>
        <v>6.0000000000000001E-3</v>
      </c>
      <c r="K26" s="90">
        <f t="shared" si="2"/>
        <v>1.3999999999999999E-2</v>
      </c>
      <c r="L26" s="90">
        <f t="shared" si="3"/>
        <v>1.3999999999999999E-2</v>
      </c>
      <c r="M26" s="88">
        <v>0.01</v>
      </c>
      <c r="N26" s="88">
        <v>0.01</v>
      </c>
    </row>
    <row r="27" spans="2:14" x14ac:dyDescent="0.25">
      <c r="B27" s="47">
        <v>20</v>
      </c>
      <c r="C27" s="89">
        <v>0.01</v>
      </c>
      <c r="D27" s="89">
        <v>0.01</v>
      </c>
      <c r="E27" s="85">
        <v>0.01</v>
      </c>
      <c r="F27" s="85">
        <v>0.01</v>
      </c>
      <c r="G27" s="90">
        <v>0.01</v>
      </c>
      <c r="H27" s="90">
        <v>0.01</v>
      </c>
      <c r="I27" s="90">
        <f t="shared" si="0"/>
        <v>6.0000000000000001E-3</v>
      </c>
      <c r="J27" s="90">
        <f t="shared" si="1"/>
        <v>6.0000000000000001E-3</v>
      </c>
      <c r="K27" s="90">
        <f t="shared" si="2"/>
        <v>1.3999999999999999E-2</v>
      </c>
      <c r="L27" s="90">
        <f t="shared" si="3"/>
        <v>1.3999999999999999E-2</v>
      </c>
      <c r="M27" s="88">
        <v>0.01</v>
      </c>
      <c r="N27" s="88">
        <v>0.01</v>
      </c>
    </row>
    <row r="28" spans="2:14" x14ac:dyDescent="0.25">
      <c r="B28" s="47">
        <v>21</v>
      </c>
      <c r="C28" s="89">
        <v>0.01</v>
      </c>
      <c r="D28" s="89">
        <v>0.01</v>
      </c>
      <c r="E28" s="85">
        <v>0.01</v>
      </c>
      <c r="F28" s="85">
        <v>0.01</v>
      </c>
      <c r="G28" s="90">
        <v>0.01</v>
      </c>
      <c r="H28" s="90">
        <v>0.01</v>
      </c>
      <c r="I28" s="90">
        <f t="shared" si="0"/>
        <v>6.0000000000000001E-3</v>
      </c>
      <c r="J28" s="90">
        <f t="shared" si="1"/>
        <v>6.0000000000000001E-3</v>
      </c>
      <c r="K28" s="90">
        <f t="shared" si="2"/>
        <v>1.3999999999999999E-2</v>
      </c>
      <c r="L28" s="90">
        <f t="shared" si="3"/>
        <v>1.3999999999999999E-2</v>
      </c>
      <c r="M28" s="88">
        <v>0.01</v>
      </c>
      <c r="N28" s="88">
        <v>0.01</v>
      </c>
    </row>
    <row r="29" spans="2:14" x14ac:dyDescent="0.25">
      <c r="B29" s="47">
        <v>22</v>
      </c>
      <c r="C29" s="89">
        <v>0.01</v>
      </c>
      <c r="D29" s="89">
        <v>0.01</v>
      </c>
      <c r="E29" s="85">
        <v>0.01</v>
      </c>
      <c r="F29" s="85">
        <v>0.01</v>
      </c>
      <c r="G29" s="90">
        <v>0.01</v>
      </c>
      <c r="H29" s="90">
        <v>0.01</v>
      </c>
      <c r="I29" s="90">
        <f t="shared" si="0"/>
        <v>6.0000000000000001E-3</v>
      </c>
      <c r="J29" s="90">
        <f t="shared" si="1"/>
        <v>6.0000000000000001E-3</v>
      </c>
      <c r="K29" s="90">
        <f t="shared" si="2"/>
        <v>1.3999999999999999E-2</v>
      </c>
      <c r="L29" s="90">
        <f t="shared" si="3"/>
        <v>1.3999999999999999E-2</v>
      </c>
      <c r="M29" s="88">
        <v>0.01</v>
      </c>
      <c r="N29" s="88">
        <v>0.01</v>
      </c>
    </row>
    <row r="30" spans="2:14" x14ac:dyDescent="0.25">
      <c r="B30" s="47">
        <v>23</v>
      </c>
      <c r="C30" s="89">
        <v>0.01</v>
      </c>
      <c r="D30" s="89">
        <v>0.01</v>
      </c>
      <c r="E30" s="85">
        <v>0.01</v>
      </c>
      <c r="F30" s="85">
        <v>0.01</v>
      </c>
      <c r="G30" s="90">
        <v>0.01</v>
      </c>
      <c r="H30" s="90">
        <v>0.01</v>
      </c>
      <c r="I30" s="90">
        <f t="shared" si="0"/>
        <v>6.0000000000000001E-3</v>
      </c>
      <c r="J30" s="90">
        <f t="shared" si="1"/>
        <v>6.0000000000000001E-3</v>
      </c>
      <c r="K30" s="90">
        <f t="shared" si="2"/>
        <v>1.3999999999999999E-2</v>
      </c>
      <c r="L30" s="90">
        <f t="shared" si="3"/>
        <v>1.3999999999999999E-2</v>
      </c>
      <c r="M30" s="88">
        <v>0.01</v>
      </c>
      <c r="N30" s="88">
        <v>0.01</v>
      </c>
    </row>
    <row r="31" spans="2:14" x14ac:dyDescent="0.25">
      <c r="B31" s="47">
        <v>24</v>
      </c>
      <c r="C31" s="89">
        <v>0.01</v>
      </c>
      <c r="D31" s="89">
        <v>0.01</v>
      </c>
      <c r="E31" s="85">
        <v>0.01</v>
      </c>
      <c r="F31" s="85">
        <v>0.01</v>
      </c>
      <c r="G31" s="90">
        <v>0.01</v>
      </c>
      <c r="H31" s="90">
        <v>0.01</v>
      </c>
      <c r="I31" s="90">
        <f t="shared" si="0"/>
        <v>6.0000000000000001E-3</v>
      </c>
      <c r="J31" s="90">
        <f t="shared" si="1"/>
        <v>6.0000000000000001E-3</v>
      </c>
      <c r="K31" s="90">
        <f t="shared" si="2"/>
        <v>1.3999999999999999E-2</v>
      </c>
      <c r="L31" s="90">
        <f t="shared" si="3"/>
        <v>1.3999999999999999E-2</v>
      </c>
      <c r="M31" s="88">
        <v>0.01</v>
      </c>
      <c r="N31" s="88">
        <v>0.01</v>
      </c>
    </row>
    <row r="32" spans="2:14" x14ac:dyDescent="0.25">
      <c r="B32" s="47">
        <v>25</v>
      </c>
      <c r="C32" s="89">
        <v>0.01</v>
      </c>
      <c r="D32" s="89">
        <v>0.01</v>
      </c>
      <c r="E32" s="85">
        <v>0.01</v>
      </c>
      <c r="F32" s="85">
        <v>0.01</v>
      </c>
      <c r="G32" s="90">
        <v>0.01</v>
      </c>
      <c r="H32" s="90">
        <v>0.01</v>
      </c>
      <c r="I32" s="90">
        <f t="shared" si="0"/>
        <v>6.0000000000000001E-3</v>
      </c>
      <c r="J32" s="90">
        <f t="shared" si="1"/>
        <v>6.0000000000000001E-3</v>
      </c>
      <c r="K32" s="90">
        <f t="shared" si="2"/>
        <v>1.3999999999999999E-2</v>
      </c>
      <c r="L32" s="90">
        <f t="shared" si="3"/>
        <v>1.3999999999999999E-2</v>
      </c>
      <c r="M32" s="88">
        <v>0.01</v>
      </c>
      <c r="N32" s="88">
        <v>0.01</v>
      </c>
    </row>
    <row r="33" spans="2:14" x14ac:dyDescent="0.25">
      <c r="B33" s="47">
        <v>26</v>
      </c>
      <c r="C33" s="89">
        <v>0.01</v>
      </c>
      <c r="D33" s="89">
        <v>0.01</v>
      </c>
      <c r="E33" s="85">
        <v>0.01</v>
      </c>
      <c r="F33" s="85">
        <v>0.01</v>
      </c>
      <c r="G33" s="90">
        <v>0.01</v>
      </c>
      <c r="H33" s="90">
        <v>0.01</v>
      </c>
      <c r="I33" s="90">
        <f t="shared" si="0"/>
        <v>6.0000000000000001E-3</v>
      </c>
      <c r="J33" s="90">
        <f t="shared" si="1"/>
        <v>6.0000000000000001E-3</v>
      </c>
      <c r="K33" s="90">
        <f t="shared" si="2"/>
        <v>1.3999999999999999E-2</v>
      </c>
      <c r="L33" s="90">
        <f t="shared" si="3"/>
        <v>1.3999999999999999E-2</v>
      </c>
      <c r="M33" s="88">
        <v>0.01</v>
      </c>
      <c r="N33" s="88">
        <v>0.01</v>
      </c>
    </row>
    <row r="34" spans="2:14" x14ac:dyDescent="0.25">
      <c r="B34" s="47">
        <v>27</v>
      </c>
      <c r="C34" s="89">
        <v>0.01</v>
      </c>
      <c r="D34" s="89">
        <v>0.01</v>
      </c>
      <c r="E34" s="85">
        <v>0.01</v>
      </c>
      <c r="F34" s="85">
        <v>0.01</v>
      </c>
      <c r="G34" s="90">
        <v>0.01</v>
      </c>
      <c r="H34" s="90">
        <v>0.01</v>
      </c>
      <c r="I34" s="90">
        <f t="shared" si="0"/>
        <v>6.0000000000000001E-3</v>
      </c>
      <c r="J34" s="90">
        <f t="shared" si="1"/>
        <v>6.0000000000000001E-3</v>
      </c>
      <c r="K34" s="90">
        <f t="shared" si="2"/>
        <v>1.3999999999999999E-2</v>
      </c>
      <c r="L34" s="90">
        <f t="shared" si="3"/>
        <v>1.3999999999999999E-2</v>
      </c>
      <c r="M34" s="88">
        <v>0.01</v>
      </c>
      <c r="N34" s="88">
        <v>0.01</v>
      </c>
    </row>
    <row r="35" spans="2:14" x14ac:dyDescent="0.25">
      <c r="B35" s="47">
        <v>28</v>
      </c>
      <c r="C35" s="89">
        <v>0.01</v>
      </c>
      <c r="D35" s="89">
        <v>0.01</v>
      </c>
      <c r="E35" s="85">
        <v>0.01</v>
      </c>
      <c r="F35" s="85">
        <v>0.01</v>
      </c>
      <c r="G35" s="90">
        <v>0.01</v>
      </c>
      <c r="H35" s="90">
        <v>0.01</v>
      </c>
      <c r="I35" s="90">
        <f t="shared" si="0"/>
        <v>6.0000000000000001E-3</v>
      </c>
      <c r="J35" s="90">
        <f t="shared" si="1"/>
        <v>6.0000000000000001E-3</v>
      </c>
      <c r="K35" s="90">
        <f t="shared" si="2"/>
        <v>1.3999999999999999E-2</v>
      </c>
      <c r="L35" s="90">
        <f t="shared" si="3"/>
        <v>1.3999999999999999E-2</v>
      </c>
      <c r="M35" s="88">
        <v>0.01</v>
      </c>
      <c r="N35" s="88">
        <v>0.01</v>
      </c>
    </row>
    <row r="36" spans="2:14" x14ac:dyDescent="0.25">
      <c r="B36" s="47">
        <v>29</v>
      </c>
      <c r="C36" s="89">
        <v>0.01</v>
      </c>
      <c r="D36" s="89">
        <v>0.01</v>
      </c>
      <c r="E36" s="85">
        <v>0.01</v>
      </c>
      <c r="F36" s="85">
        <v>0.01</v>
      </c>
      <c r="G36" s="90">
        <v>0.01</v>
      </c>
      <c r="H36" s="90">
        <v>0.01</v>
      </c>
      <c r="I36" s="90">
        <f t="shared" si="0"/>
        <v>6.0000000000000001E-3</v>
      </c>
      <c r="J36" s="90">
        <f t="shared" si="1"/>
        <v>6.0000000000000001E-3</v>
      </c>
      <c r="K36" s="90">
        <f t="shared" si="2"/>
        <v>1.3999999999999999E-2</v>
      </c>
      <c r="L36" s="90">
        <f t="shared" si="3"/>
        <v>1.3999999999999999E-2</v>
      </c>
      <c r="M36" s="88">
        <v>0.01</v>
      </c>
      <c r="N36" s="88">
        <v>0.01</v>
      </c>
    </row>
    <row r="37" spans="2:14" x14ac:dyDescent="0.25">
      <c r="B37" s="47">
        <v>30</v>
      </c>
      <c r="C37" s="89">
        <v>0.01</v>
      </c>
      <c r="D37" s="89">
        <v>0.01</v>
      </c>
      <c r="E37" s="85">
        <v>0.01</v>
      </c>
      <c r="F37" s="85">
        <v>0.01</v>
      </c>
      <c r="G37" s="90">
        <v>0.01</v>
      </c>
      <c r="H37" s="90">
        <v>0.01</v>
      </c>
      <c r="I37" s="90">
        <f t="shared" si="0"/>
        <v>6.0000000000000001E-3</v>
      </c>
      <c r="J37" s="90">
        <f t="shared" si="1"/>
        <v>6.0000000000000001E-3</v>
      </c>
      <c r="K37" s="90">
        <f t="shared" si="2"/>
        <v>1.3999999999999999E-2</v>
      </c>
      <c r="L37" s="90">
        <f t="shared" si="3"/>
        <v>1.3999999999999999E-2</v>
      </c>
      <c r="M37" s="88">
        <v>0.01</v>
      </c>
      <c r="N37" s="88">
        <v>0.01</v>
      </c>
    </row>
    <row r="38" spans="2:14" x14ac:dyDescent="0.25">
      <c r="B38" s="47">
        <v>31</v>
      </c>
      <c r="C38" s="89">
        <v>0.01</v>
      </c>
      <c r="D38" s="89">
        <v>0.01</v>
      </c>
      <c r="E38" s="85">
        <v>0.01</v>
      </c>
      <c r="F38" s="85">
        <v>0.01</v>
      </c>
      <c r="G38" s="90">
        <v>0.01</v>
      </c>
      <c r="H38" s="90">
        <v>0.01</v>
      </c>
      <c r="I38" s="90">
        <f t="shared" si="0"/>
        <v>6.0000000000000001E-3</v>
      </c>
      <c r="J38" s="90">
        <f t="shared" si="1"/>
        <v>6.0000000000000001E-3</v>
      </c>
      <c r="K38" s="90">
        <f t="shared" si="2"/>
        <v>1.3999999999999999E-2</v>
      </c>
      <c r="L38" s="90">
        <f t="shared" si="3"/>
        <v>1.3999999999999999E-2</v>
      </c>
      <c r="M38" s="88">
        <v>0.01</v>
      </c>
      <c r="N38" s="88">
        <v>0.01</v>
      </c>
    </row>
    <row r="39" spans="2:14" x14ac:dyDescent="0.25">
      <c r="B39" s="47">
        <v>32</v>
      </c>
      <c r="C39" s="89">
        <v>0.01</v>
      </c>
      <c r="D39" s="89">
        <v>0.01</v>
      </c>
      <c r="E39" s="85">
        <v>0.01</v>
      </c>
      <c r="F39" s="85">
        <v>0.01</v>
      </c>
      <c r="G39" s="90">
        <v>0.01</v>
      </c>
      <c r="H39" s="90">
        <v>0.01</v>
      </c>
      <c r="I39" s="90">
        <f t="shared" si="0"/>
        <v>6.0000000000000001E-3</v>
      </c>
      <c r="J39" s="90">
        <f t="shared" si="1"/>
        <v>6.0000000000000001E-3</v>
      </c>
      <c r="K39" s="90">
        <f t="shared" si="2"/>
        <v>1.3999999999999999E-2</v>
      </c>
      <c r="L39" s="90">
        <f t="shared" si="3"/>
        <v>1.3999999999999999E-2</v>
      </c>
      <c r="M39" s="88">
        <v>0.01</v>
      </c>
      <c r="N39" s="88">
        <v>0.01</v>
      </c>
    </row>
    <row r="40" spans="2:14" x14ac:dyDescent="0.25">
      <c r="B40" s="47">
        <v>33</v>
      </c>
      <c r="C40">
        <v>0.01</v>
      </c>
      <c r="D40">
        <v>0.01</v>
      </c>
      <c r="E40" s="85">
        <v>0.01</v>
      </c>
      <c r="F40" s="85">
        <v>0.01</v>
      </c>
      <c r="G40" s="90">
        <v>0.01</v>
      </c>
      <c r="H40" s="90">
        <v>0.01</v>
      </c>
      <c r="I40" s="90">
        <f t="shared" si="0"/>
        <v>6.0000000000000001E-3</v>
      </c>
      <c r="J40" s="90">
        <f t="shared" si="1"/>
        <v>6.0000000000000001E-3</v>
      </c>
      <c r="K40" s="90">
        <f t="shared" si="2"/>
        <v>1.3999999999999999E-2</v>
      </c>
      <c r="L40" s="90">
        <f t="shared" si="3"/>
        <v>1.3999999999999999E-2</v>
      </c>
      <c r="M40" s="88">
        <v>0.01</v>
      </c>
      <c r="N40" s="88">
        <v>0.01</v>
      </c>
    </row>
    <row r="41" spans="2:14" x14ac:dyDescent="0.25">
      <c r="B41" s="47">
        <v>34</v>
      </c>
      <c r="C41">
        <v>0.01</v>
      </c>
      <c r="D41">
        <v>0.01</v>
      </c>
      <c r="E41" s="85">
        <v>0.01</v>
      </c>
      <c r="F41" s="85">
        <v>0.01</v>
      </c>
      <c r="G41" s="90">
        <v>0.01</v>
      </c>
      <c r="H41" s="90">
        <v>0.01</v>
      </c>
      <c r="I41" s="90">
        <f t="shared" si="0"/>
        <v>6.0000000000000001E-3</v>
      </c>
      <c r="J41" s="90">
        <f t="shared" si="1"/>
        <v>6.0000000000000001E-3</v>
      </c>
      <c r="K41" s="90">
        <f t="shared" si="2"/>
        <v>1.3999999999999999E-2</v>
      </c>
      <c r="L41" s="90">
        <f t="shared" si="3"/>
        <v>1.3999999999999999E-2</v>
      </c>
      <c r="M41" s="88">
        <v>0.01</v>
      </c>
      <c r="N41" s="88">
        <v>0.01</v>
      </c>
    </row>
    <row r="42" spans="2:14" x14ac:dyDescent="0.25">
      <c r="B42" s="47">
        <v>35</v>
      </c>
      <c r="C42">
        <v>0.01</v>
      </c>
      <c r="D42">
        <v>0.01</v>
      </c>
      <c r="E42" s="85">
        <v>0.01</v>
      </c>
      <c r="F42" s="85">
        <v>0.01</v>
      </c>
      <c r="G42" s="90">
        <v>0.01</v>
      </c>
      <c r="H42" s="90">
        <v>0.01</v>
      </c>
      <c r="I42" s="90">
        <f t="shared" si="0"/>
        <v>6.0000000000000001E-3</v>
      </c>
      <c r="J42" s="90">
        <f t="shared" si="1"/>
        <v>6.0000000000000001E-3</v>
      </c>
      <c r="K42" s="90">
        <f t="shared" si="2"/>
        <v>1.3999999999999999E-2</v>
      </c>
      <c r="L42" s="90">
        <f t="shared" si="3"/>
        <v>1.3999999999999999E-2</v>
      </c>
      <c r="M42" s="88">
        <v>0.01</v>
      </c>
      <c r="N42" s="88">
        <v>0.01</v>
      </c>
    </row>
    <row r="43" spans="2:14" x14ac:dyDescent="0.25">
      <c r="B43" s="47">
        <v>36</v>
      </c>
      <c r="C43">
        <v>0.01</v>
      </c>
      <c r="D43">
        <v>0.01</v>
      </c>
      <c r="E43" s="85">
        <v>0.01</v>
      </c>
      <c r="F43" s="85">
        <v>0.01</v>
      </c>
      <c r="G43" s="90">
        <v>0.01</v>
      </c>
      <c r="H43" s="90">
        <v>0.01</v>
      </c>
      <c r="I43" s="90">
        <f t="shared" si="0"/>
        <v>6.0000000000000001E-3</v>
      </c>
      <c r="J43" s="90">
        <f t="shared" si="1"/>
        <v>6.0000000000000001E-3</v>
      </c>
      <c r="K43" s="90">
        <f t="shared" si="2"/>
        <v>1.3999999999999999E-2</v>
      </c>
      <c r="L43" s="90">
        <f t="shared" si="3"/>
        <v>1.3999999999999999E-2</v>
      </c>
      <c r="M43" s="88">
        <v>0.01</v>
      </c>
      <c r="N43" s="88">
        <v>0.01</v>
      </c>
    </row>
    <row r="44" spans="2:14" x14ac:dyDescent="0.25">
      <c r="B44" s="47">
        <v>37</v>
      </c>
      <c r="C44">
        <v>0.01</v>
      </c>
      <c r="D44">
        <v>0.01</v>
      </c>
      <c r="E44" s="85">
        <v>0.01</v>
      </c>
      <c r="F44" s="85">
        <v>0.01</v>
      </c>
      <c r="G44" s="88">
        <v>0.01</v>
      </c>
      <c r="H44" s="88">
        <v>0.01</v>
      </c>
      <c r="I44" s="90">
        <f t="shared" si="0"/>
        <v>6.0000000000000001E-3</v>
      </c>
      <c r="J44" s="90">
        <f t="shared" si="1"/>
        <v>6.0000000000000001E-3</v>
      </c>
      <c r="K44" s="90">
        <f t="shared" si="2"/>
        <v>1.3999999999999999E-2</v>
      </c>
      <c r="L44" s="90">
        <f t="shared" si="3"/>
        <v>1.3999999999999999E-2</v>
      </c>
      <c r="M44" s="88">
        <v>0.01</v>
      </c>
      <c r="N44" s="88">
        <v>0.01</v>
      </c>
    </row>
    <row r="45" spans="2:14" x14ac:dyDescent="0.25">
      <c r="B45" s="47">
        <v>38</v>
      </c>
      <c r="C45">
        <v>0.01</v>
      </c>
      <c r="D45">
        <v>0.01</v>
      </c>
      <c r="E45" s="85">
        <v>0.01</v>
      </c>
      <c r="F45" s="85">
        <v>0.01</v>
      </c>
      <c r="G45" s="88">
        <v>0.01</v>
      </c>
      <c r="H45" s="88">
        <v>0.01</v>
      </c>
      <c r="I45" s="90">
        <f t="shared" si="0"/>
        <v>6.0000000000000001E-3</v>
      </c>
      <c r="J45" s="90">
        <f t="shared" si="1"/>
        <v>6.0000000000000001E-3</v>
      </c>
      <c r="K45" s="90">
        <f t="shared" si="2"/>
        <v>1.3999999999999999E-2</v>
      </c>
      <c r="L45" s="90">
        <f t="shared" si="3"/>
        <v>1.3999999999999999E-2</v>
      </c>
      <c r="M45" s="88">
        <v>0.01</v>
      </c>
      <c r="N45" s="88">
        <v>0.01</v>
      </c>
    </row>
    <row r="46" spans="2:14" x14ac:dyDescent="0.25">
      <c r="B46" s="47">
        <v>39</v>
      </c>
      <c r="C46">
        <v>0.01</v>
      </c>
      <c r="D46">
        <v>0.01</v>
      </c>
      <c r="E46" s="85">
        <v>0.01</v>
      </c>
      <c r="F46" s="85">
        <v>0.01</v>
      </c>
      <c r="G46" s="88">
        <v>0.01</v>
      </c>
      <c r="H46" s="88">
        <v>0.01</v>
      </c>
      <c r="I46" s="90">
        <f t="shared" si="0"/>
        <v>6.0000000000000001E-3</v>
      </c>
      <c r="J46" s="90">
        <f t="shared" si="1"/>
        <v>6.0000000000000001E-3</v>
      </c>
      <c r="K46" s="90">
        <f t="shared" si="2"/>
        <v>1.3999999999999999E-2</v>
      </c>
      <c r="L46" s="90">
        <f t="shared" si="3"/>
        <v>1.3999999999999999E-2</v>
      </c>
      <c r="M46" s="88">
        <v>0.01</v>
      </c>
      <c r="N46" s="88">
        <v>0.01</v>
      </c>
    </row>
    <row r="47" spans="2:14" x14ac:dyDescent="0.25">
      <c r="B47" s="47">
        <v>40</v>
      </c>
      <c r="C47">
        <v>0.01</v>
      </c>
      <c r="D47">
        <v>0.01</v>
      </c>
      <c r="E47" s="85">
        <v>0.01</v>
      </c>
      <c r="F47" s="85">
        <v>0.01</v>
      </c>
      <c r="G47" s="88">
        <v>0.01</v>
      </c>
      <c r="H47" s="88">
        <v>0.01</v>
      </c>
      <c r="I47" s="90">
        <f t="shared" si="0"/>
        <v>6.0000000000000001E-3</v>
      </c>
      <c r="J47" s="90">
        <f t="shared" si="1"/>
        <v>6.0000000000000001E-3</v>
      </c>
      <c r="K47" s="90">
        <f t="shared" si="2"/>
        <v>1.3999999999999999E-2</v>
      </c>
      <c r="L47" s="90">
        <f t="shared" si="3"/>
        <v>1.3999999999999999E-2</v>
      </c>
      <c r="M47" s="88">
        <v>0.01</v>
      </c>
      <c r="N47" s="88">
        <v>0.01</v>
      </c>
    </row>
    <row r="48" spans="2:14" x14ac:dyDescent="0.25">
      <c r="B48" s="47">
        <v>41</v>
      </c>
      <c r="C48">
        <v>0.01</v>
      </c>
      <c r="D48">
        <v>0.01</v>
      </c>
      <c r="E48" s="85">
        <v>0.01</v>
      </c>
      <c r="F48" s="85">
        <v>0.01</v>
      </c>
      <c r="G48" s="88">
        <v>0.01</v>
      </c>
      <c r="H48" s="88">
        <v>0.01</v>
      </c>
      <c r="I48" s="90">
        <f t="shared" si="0"/>
        <v>6.0000000000000001E-3</v>
      </c>
      <c r="J48" s="90">
        <f t="shared" si="1"/>
        <v>6.0000000000000001E-3</v>
      </c>
      <c r="K48" s="90">
        <f t="shared" si="2"/>
        <v>1.3999999999999999E-2</v>
      </c>
      <c r="L48" s="90">
        <f t="shared" si="3"/>
        <v>1.3999999999999999E-2</v>
      </c>
      <c r="M48" s="88">
        <v>0.01</v>
      </c>
      <c r="N48" s="88">
        <v>0.01</v>
      </c>
    </row>
    <row r="49" spans="2:14" x14ac:dyDescent="0.25">
      <c r="B49" s="47">
        <v>42</v>
      </c>
      <c r="C49">
        <v>0.01</v>
      </c>
      <c r="D49">
        <v>0.01</v>
      </c>
      <c r="E49" s="85">
        <v>0.01</v>
      </c>
      <c r="F49" s="85">
        <v>0.01</v>
      </c>
      <c r="G49" s="88">
        <v>0.01</v>
      </c>
      <c r="H49" s="88">
        <v>0.01</v>
      </c>
      <c r="I49" s="90">
        <f t="shared" si="0"/>
        <v>6.0000000000000001E-3</v>
      </c>
      <c r="J49" s="90">
        <f t="shared" si="1"/>
        <v>6.0000000000000001E-3</v>
      </c>
      <c r="K49" s="90">
        <f t="shared" si="2"/>
        <v>1.3999999999999999E-2</v>
      </c>
      <c r="L49" s="90">
        <f t="shared" si="3"/>
        <v>1.3999999999999999E-2</v>
      </c>
      <c r="M49" s="88">
        <v>0.01</v>
      </c>
      <c r="N49" s="88">
        <v>0.01</v>
      </c>
    </row>
    <row r="50" spans="2:14" x14ac:dyDescent="0.25">
      <c r="B50" s="47">
        <v>43</v>
      </c>
      <c r="C50">
        <v>0.01</v>
      </c>
      <c r="D50">
        <v>0.01</v>
      </c>
      <c r="E50" s="85">
        <v>0.01</v>
      </c>
      <c r="F50" s="85">
        <v>0.01</v>
      </c>
      <c r="G50" s="88">
        <v>0.01</v>
      </c>
      <c r="H50" s="88">
        <v>0.01</v>
      </c>
      <c r="I50" s="90">
        <f t="shared" si="0"/>
        <v>6.0000000000000001E-3</v>
      </c>
      <c r="J50" s="90">
        <f t="shared" si="1"/>
        <v>6.0000000000000001E-3</v>
      </c>
      <c r="K50" s="90">
        <f t="shared" si="2"/>
        <v>1.3999999999999999E-2</v>
      </c>
      <c r="L50" s="90">
        <f t="shared" si="3"/>
        <v>1.3999999999999999E-2</v>
      </c>
      <c r="M50" s="88">
        <v>0.01</v>
      </c>
      <c r="N50" s="88">
        <v>0.01</v>
      </c>
    </row>
    <row r="51" spans="2:14" x14ac:dyDescent="0.25">
      <c r="B51" s="47">
        <v>44</v>
      </c>
      <c r="C51">
        <v>0.01</v>
      </c>
      <c r="D51">
        <v>0.01</v>
      </c>
      <c r="E51" s="85">
        <v>0.01</v>
      </c>
      <c r="F51" s="85">
        <v>0.01</v>
      </c>
      <c r="G51" s="88">
        <v>0.01</v>
      </c>
      <c r="H51" s="88">
        <v>0.01</v>
      </c>
      <c r="I51" s="90">
        <f t="shared" si="0"/>
        <v>6.0000000000000001E-3</v>
      </c>
      <c r="J51" s="90">
        <f t="shared" si="1"/>
        <v>6.0000000000000001E-3</v>
      </c>
      <c r="K51" s="90">
        <f t="shared" si="2"/>
        <v>1.3999999999999999E-2</v>
      </c>
      <c r="L51" s="90">
        <f t="shared" si="3"/>
        <v>1.3999999999999999E-2</v>
      </c>
      <c r="M51" s="88">
        <v>0.01</v>
      </c>
      <c r="N51" s="88">
        <v>0.01</v>
      </c>
    </row>
    <row r="52" spans="2:14" x14ac:dyDescent="0.25">
      <c r="B52" s="47">
        <v>45</v>
      </c>
      <c r="C52">
        <v>0.01</v>
      </c>
      <c r="D52">
        <v>0.01</v>
      </c>
      <c r="E52" s="85">
        <v>0.01</v>
      </c>
      <c r="F52" s="85">
        <v>0.01</v>
      </c>
      <c r="G52" s="88">
        <v>0.01</v>
      </c>
      <c r="H52" s="88">
        <v>0.01</v>
      </c>
      <c r="I52" s="90">
        <f t="shared" si="0"/>
        <v>6.0000000000000001E-3</v>
      </c>
      <c r="J52" s="90">
        <f t="shared" si="1"/>
        <v>6.0000000000000001E-3</v>
      </c>
      <c r="K52" s="90">
        <f t="shared" si="2"/>
        <v>1.3999999999999999E-2</v>
      </c>
      <c r="L52" s="90">
        <f t="shared" si="3"/>
        <v>1.3999999999999999E-2</v>
      </c>
      <c r="M52" s="88">
        <v>0.01</v>
      </c>
      <c r="N52" s="88">
        <v>0.01</v>
      </c>
    </row>
    <row r="53" spans="2:14" x14ac:dyDescent="0.25">
      <c r="B53" s="47">
        <v>46</v>
      </c>
      <c r="C53">
        <v>0.01</v>
      </c>
      <c r="D53">
        <v>0.01</v>
      </c>
      <c r="E53" s="85">
        <v>0.01</v>
      </c>
      <c r="F53" s="85">
        <v>0.01</v>
      </c>
      <c r="G53" s="88">
        <v>0.01</v>
      </c>
      <c r="H53" s="88">
        <v>0.01</v>
      </c>
      <c r="I53" s="90">
        <f t="shared" si="0"/>
        <v>6.0000000000000001E-3</v>
      </c>
      <c r="J53" s="90">
        <f t="shared" si="1"/>
        <v>6.0000000000000001E-3</v>
      </c>
      <c r="K53" s="90">
        <f t="shared" si="2"/>
        <v>1.3999999999999999E-2</v>
      </c>
      <c r="L53" s="90">
        <f t="shared" si="3"/>
        <v>1.3999999999999999E-2</v>
      </c>
      <c r="M53" s="88">
        <v>0.01</v>
      </c>
      <c r="N53" s="88">
        <v>0.01</v>
      </c>
    </row>
    <row r="54" spans="2:14" x14ac:dyDescent="0.25">
      <c r="B54" s="47">
        <v>47</v>
      </c>
      <c r="C54">
        <v>0.01</v>
      </c>
      <c r="D54">
        <v>0.01</v>
      </c>
      <c r="E54" s="85">
        <v>0.01</v>
      </c>
      <c r="F54" s="85">
        <v>0.01</v>
      </c>
      <c r="G54" s="88">
        <v>0.01</v>
      </c>
      <c r="H54" s="88">
        <v>0.01</v>
      </c>
      <c r="I54" s="90">
        <f t="shared" si="0"/>
        <v>6.0000000000000001E-3</v>
      </c>
      <c r="J54" s="90">
        <f t="shared" si="1"/>
        <v>6.0000000000000001E-3</v>
      </c>
      <c r="K54" s="90">
        <f t="shared" si="2"/>
        <v>1.3999999999999999E-2</v>
      </c>
      <c r="L54" s="90">
        <f t="shared" si="3"/>
        <v>1.3999999999999999E-2</v>
      </c>
      <c r="M54" s="88">
        <v>0.01</v>
      </c>
      <c r="N54" s="88">
        <v>0.01</v>
      </c>
    </row>
    <row r="55" spans="2:14" x14ac:dyDescent="0.25">
      <c r="B55" s="47">
        <v>48</v>
      </c>
      <c r="C55">
        <v>0.01</v>
      </c>
      <c r="D55">
        <v>0.01</v>
      </c>
      <c r="E55" s="85">
        <v>0.01</v>
      </c>
      <c r="F55" s="85">
        <v>0.01</v>
      </c>
      <c r="G55" s="88">
        <v>0.01</v>
      </c>
      <c r="H55" s="88">
        <v>0.01</v>
      </c>
      <c r="I55" s="90">
        <f t="shared" si="0"/>
        <v>6.0000000000000001E-3</v>
      </c>
      <c r="J55" s="90">
        <f t="shared" si="1"/>
        <v>6.0000000000000001E-3</v>
      </c>
      <c r="K55" s="90">
        <f t="shared" si="2"/>
        <v>1.3999999999999999E-2</v>
      </c>
      <c r="L55" s="90">
        <f t="shared" si="3"/>
        <v>1.3999999999999999E-2</v>
      </c>
      <c r="M55" s="88">
        <v>0.01</v>
      </c>
      <c r="N55" s="88">
        <v>0.01</v>
      </c>
    </row>
    <row r="56" spans="2:14" x14ac:dyDescent="0.25">
      <c r="B56" s="47">
        <v>49</v>
      </c>
      <c r="C56">
        <v>0.01</v>
      </c>
      <c r="D56">
        <v>0.01</v>
      </c>
      <c r="E56" s="85">
        <v>0.01</v>
      </c>
      <c r="F56" s="85">
        <v>0.01</v>
      </c>
      <c r="G56" s="88">
        <v>0.01</v>
      </c>
      <c r="H56" s="88">
        <v>0.01</v>
      </c>
      <c r="I56" s="90">
        <f t="shared" si="0"/>
        <v>6.0000000000000001E-3</v>
      </c>
      <c r="J56" s="90">
        <f t="shared" si="1"/>
        <v>6.0000000000000001E-3</v>
      </c>
      <c r="K56" s="90">
        <f t="shared" si="2"/>
        <v>1.3999999999999999E-2</v>
      </c>
      <c r="L56" s="90">
        <f t="shared" si="3"/>
        <v>1.3999999999999999E-2</v>
      </c>
      <c r="M56" s="88">
        <v>0.01</v>
      </c>
      <c r="N56" s="88">
        <v>0.01</v>
      </c>
    </row>
    <row r="57" spans="2:14" x14ac:dyDescent="0.25">
      <c r="B57" s="47">
        <v>50</v>
      </c>
      <c r="C57">
        <v>0.01</v>
      </c>
      <c r="D57">
        <v>0.01</v>
      </c>
      <c r="E57" s="85">
        <v>0.01</v>
      </c>
      <c r="F57" s="85">
        <v>0.01</v>
      </c>
      <c r="G57" s="88">
        <v>0.01</v>
      </c>
      <c r="H57" s="88">
        <v>0.01</v>
      </c>
      <c r="I57" s="90">
        <f t="shared" si="0"/>
        <v>6.3E-3</v>
      </c>
      <c r="J57" s="90">
        <f t="shared" si="1"/>
        <v>6.0000000000000001E-3</v>
      </c>
      <c r="K57" s="90">
        <f t="shared" si="2"/>
        <v>1.47E-2</v>
      </c>
      <c r="L57" s="90">
        <f t="shared" si="3"/>
        <v>1.3999999999999999E-2</v>
      </c>
      <c r="M57" s="70">
        <v>1.0500000000000001E-2</v>
      </c>
      <c r="N57" s="70">
        <v>0.01</v>
      </c>
    </row>
    <row r="58" spans="2:14" x14ac:dyDescent="0.25">
      <c r="B58" s="47">
        <v>51</v>
      </c>
      <c r="C58">
        <v>1.0500000000000001E-2</v>
      </c>
      <c r="D58">
        <v>1.03E-2</v>
      </c>
      <c r="E58" s="85">
        <v>1.100000023842E-2</v>
      </c>
      <c r="F58" s="85">
        <v>0.01</v>
      </c>
      <c r="G58" s="88">
        <v>0.01</v>
      </c>
      <c r="H58" s="88">
        <v>0.01</v>
      </c>
      <c r="I58" s="90">
        <f t="shared" si="0"/>
        <v>6.5999999999999991E-3</v>
      </c>
      <c r="J58" s="90">
        <f t="shared" si="1"/>
        <v>6.3E-3</v>
      </c>
      <c r="K58" s="90">
        <f t="shared" si="2"/>
        <v>1.5399999999999999E-2</v>
      </c>
      <c r="L58" s="90">
        <f t="shared" si="3"/>
        <v>1.47E-2</v>
      </c>
      <c r="M58" s="70">
        <v>1.0999999999999999E-2</v>
      </c>
      <c r="N58" s="70">
        <v>1.0500000000000001E-2</v>
      </c>
    </row>
    <row r="59" spans="2:14" x14ac:dyDescent="0.25">
      <c r="B59" s="47">
        <v>52</v>
      </c>
      <c r="C59">
        <v>1.0999999999999999E-2</v>
      </c>
      <c r="D59">
        <v>1.06E-2</v>
      </c>
      <c r="E59" s="85">
        <v>1.100000023842E-2</v>
      </c>
      <c r="F59" s="85">
        <v>1.100000023842E-2</v>
      </c>
      <c r="G59" s="88">
        <v>1.0999999999999999E-2</v>
      </c>
      <c r="H59" s="88">
        <v>0.01</v>
      </c>
      <c r="I59" s="90">
        <f t="shared" si="0"/>
        <v>6.8999999999999999E-3</v>
      </c>
      <c r="J59" s="90">
        <f t="shared" si="1"/>
        <v>6.5999999999999991E-3</v>
      </c>
      <c r="K59" s="90">
        <f t="shared" si="2"/>
        <v>1.61E-2</v>
      </c>
      <c r="L59" s="90">
        <f t="shared" si="3"/>
        <v>1.5399999999999999E-2</v>
      </c>
      <c r="M59" s="70">
        <v>1.15E-2</v>
      </c>
      <c r="N59" s="70">
        <v>1.0999999999999999E-2</v>
      </c>
    </row>
    <row r="60" spans="2:14" x14ac:dyDescent="0.25">
      <c r="B60" s="47">
        <v>53</v>
      </c>
      <c r="C60">
        <v>1.15E-2</v>
      </c>
      <c r="D60">
        <v>1.09E-2</v>
      </c>
      <c r="E60" s="85">
        <v>1.200000047684E-2</v>
      </c>
      <c r="F60" s="85">
        <v>1.100000023842E-2</v>
      </c>
      <c r="G60" s="88">
        <v>1.0999999999999999E-2</v>
      </c>
      <c r="H60" s="88">
        <v>1.0999999999999999E-2</v>
      </c>
      <c r="I60" s="90">
        <f t="shared" si="0"/>
        <v>7.1999999999999998E-3</v>
      </c>
      <c r="J60" s="90">
        <f t="shared" si="1"/>
        <v>6.5999999999999991E-3</v>
      </c>
      <c r="K60" s="90">
        <f t="shared" si="2"/>
        <v>1.6799999999999999E-2</v>
      </c>
      <c r="L60" s="90">
        <f t="shared" si="3"/>
        <v>1.5399999999999999E-2</v>
      </c>
      <c r="M60" s="70">
        <v>1.2E-2</v>
      </c>
      <c r="N60" s="70">
        <v>1.0999999999999999E-2</v>
      </c>
    </row>
    <row r="61" spans="2:14" x14ac:dyDescent="0.25">
      <c r="B61" s="47">
        <v>54</v>
      </c>
      <c r="C61">
        <v>1.2E-2</v>
      </c>
      <c r="D61">
        <v>1.12E-2</v>
      </c>
      <c r="E61" s="85">
        <v>1.200000047684E-2</v>
      </c>
      <c r="F61" s="85">
        <v>1.100000023842E-2</v>
      </c>
      <c r="G61" s="88">
        <v>1.2E-2</v>
      </c>
      <c r="H61" s="88">
        <v>1.0999999999999999E-2</v>
      </c>
      <c r="I61" s="90">
        <f t="shared" si="0"/>
        <v>7.4999999999999997E-3</v>
      </c>
      <c r="J61" s="90">
        <f t="shared" si="1"/>
        <v>6.8999999999999999E-3</v>
      </c>
      <c r="K61" s="90">
        <f t="shared" si="2"/>
        <v>1.7499999999999998E-2</v>
      </c>
      <c r="L61" s="90">
        <f t="shared" si="3"/>
        <v>1.61E-2</v>
      </c>
      <c r="M61" s="70">
        <v>1.2500000000000001E-2</v>
      </c>
      <c r="N61" s="70">
        <v>1.15E-2</v>
      </c>
    </row>
    <row r="62" spans="2:14" x14ac:dyDescent="0.25">
      <c r="B62" s="47">
        <v>55</v>
      </c>
      <c r="C62">
        <v>1.2500000000000001E-2</v>
      </c>
      <c r="D62">
        <v>1.15E-2</v>
      </c>
      <c r="E62" s="85">
        <v>1.299999952316E-2</v>
      </c>
      <c r="F62" s="85">
        <v>1.200000047684E-2</v>
      </c>
      <c r="G62" s="88">
        <v>1.2E-2</v>
      </c>
      <c r="H62" s="88">
        <v>1.0999999999999999E-2</v>
      </c>
      <c r="I62" s="90">
        <f t="shared" si="0"/>
        <v>7.7999999999999996E-3</v>
      </c>
      <c r="J62" s="90">
        <f t="shared" si="1"/>
        <v>7.1999999999999998E-3</v>
      </c>
      <c r="K62" s="90">
        <f t="shared" si="2"/>
        <v>1.8199999999999997E-2</v>
      </c>
      <c r="L62" s="90">
        <f t="shared" si="3"/>
        <v>1.6799999999999999E-2</v>
      </c>
      <c r="M62" s="70">
        <v>1.2999999999999999E-2</v>
      </c>
      <c r="N62" s="70">
        <v>1.2E-2</v>
      </c>
    </row>
    <row r="63" spans="2:14" x14ac:dyDescent="0.25">
      <c r="B63" s="47">
        <v>56</v>
      </c>
      <c r="C63">
        <v>1.2999999999999999E-2</v>
      </c>
      <c r="D63">
        <v>1.18E-2</v>
      </c>
      <c r="E63" s="85">
        <v>1.299999952316E-2</v>
      </c>
      <c r="F63" s="85">
        <v>1.200000047684E-2</v>
      </c>
      <c r="G63" s="88">
        <v>1.2999999999999999E-2</v>
      </c>
      <c r="H63" s="88">
        <v>1.2E-2</v>
      </c>
      <c r="I63" s="90">
        <f t="shared" si="0"/>
        <v>8.0999999999999996E-3</v>
      </c>
      <c r="J63" s="90">
        <f t="shared" si="1"/>
        <v>7.1999999999999998E-3</v>
      </c>
      <c r="K63" s="90">
        <f t="shared" si="2"/>
        <v>1.89E-2</v>
      </c>
      <c r="L63" s="90">
        <f t="shared" si="3"/>
        <v>1.6799999999999999E-2</v>
      </c>
      <c r="M63" s="70">
        <v>1.35E-2</v>
      </c>
      <c r="N63" s="70">
        <v>1.2E-2</v>
      </c>
    </row>
    <row r="64" spans="2:14" x14ac:dyDescent="0.25">
      <c r="B64" s="47">
        <v>57</v>
      </c>
      <c r="C64">
        <v>1.35E-2</v>
      </c>
      <c r="D64">
        <v>1.21E-2</v>
      </c>
      <c r="E64" s="85">
        <v>1.399999976158E-2</v>
      </c>
      <c r="F64" s="85">
        <v>1.200000047684E-2</v>
      </c>
      <c r="G64" s="88">
        <v>1.2999999999999999E-2</v>
      </c>
      <c r="H64" s="88">
        <v>1.2E-2</v>
      </c>
      <c r="I64" s="90">
        <f t="shared" si="0"/>
        <v>8.3999999999999995E-3</v>
      </c>
      <c r="J64" s="90">
        <f t="shared" si="1"/>
        <v>7.1999999999999998E-3</v>
      </c>
      <c r="K64" s="90">
        <f t="shared" si="2"/>
        <v>1.9599999999999999E-2</v>
      </c>
      <c r="L64" s="90">
        <f t="shared" si="3"/>
        <v>1.6799999999999999E-2</v>
      </c>
      <c r="M64" s="70">
        <v>1.4E-2</v>
      </c>
      <c r="N64" s="70">
        <v>1.2E-2</v>
      </c>
    </row>
    <row r="65" spans="2:14" x14ac:dyDescent="0.25">
      <c r="B65" s="47">
        <v>58</v>
      </c>
      <c r="C65">
        <v>1.4E-2</v>
      </c>
      <c r="D65">
        <v>1.24E-2</v>
      </c>
      <c r="E65" s="85">
        <v>1.399999976158E-2</v>
      </c>
      <c r="F65" s="85">
        <v>1.200000047684E-2</v>
      </c>
      <c r="G65" s="88">
        <v>1.4E-2</v>
      </c>
      <c r="H65" s="88">
        <v>1.2E-2</v>
      </c>
      <c r="I65" s="90">
        <f t="shared" si="0"/>
        <v>8.6999999999999994E-3</v>
      </c>
      <c r="J65" s="90">
        <f t="shared" si="1"/>
        <v>7.4999999999999997E-3</v>
      </c>
      <c r="K65" s="90">
        <f t="shared" si="2"/>
        <v>2.0299999999999999E-2</v>
      </c>
      <c r="L65" s="90">
        <f t="shared" si="3"/>
        <v>1.7499999999999998E-2</v>
      </c>
      <c r="M65" s="70">
        <v>1.4500000000000001E-2</v>
      </c>
      <c r="N65" s="70">
        <v>1.2500000000000001E-2</v>
      </c>
    </row>
    <row r="66" spans="2:14" x14ac:dyDescent="0.25">
      <c r="B66" s="47">
        <v>59</v>
      </c>
      <c r="C66">
        <v>1.4500000000000001E-2</v>
      </c>
      <c r="D66">
        <v>1.2699999999999999E-2</v>
      </c>
      <c r="E66" s="85">
        <v>1.4999999999999999E-2</v>
      </c>
      <c r="F66" s="85">
        <v>1.299999952316E-2</v>
      </c>
      <c r="G66" s="88">
        <v>1.4E-2</v>
      </c>
      <c r="H66" s="88">
        <v>1.2E-2</v>
      </c>
      <c r="I66" s="90">
        <f t="shared" si="0"/>
        <v>8.9999999999999993E-3</v>
      </c>
      <c r="J66" s="90">
        <f t="shared" si="1"/>
        <v>7.7999999999999996E-3</v>
      </c>
      <c r="K66" s="90">
        <f t="shared" si="2"/>
        <v>2.0999999999999998E-2</v>
      </c>
      <c r="L66" s="90">
        <f t="shared" si="3"/>
        <v>1.8199999999999997E-2</v>
      </c>
      <c r="M66" s="70">
        <v>1.4999999999999999E-2</v>
      </c>
      <c r="N66" s="70">
        <v>1.2999999999999999E-2</v>
      </c>
    </row>
    <row r="67" spans="2:14" x14ac:dyDescent="0.25">
      <c r="B67" s="47">
        <v>60</v>
      </c>
      <c r="C67">
        <v>1.4999999999999999E-2</v>
      </c>
      <c r="D67">
        <v>1.2999999999999999E-2</v>
      </c>
      <c r="E67" s="85">
        <v>1.4999999999999999E-2</v>
      </c>
      <c r="F67" s="85">
        <v>1.299999952316E-2</v>
      </c>
      <c r="G67" s="88">
        <v>1.4999999999999999E-2</v>
      </c>
      <c r="H67" s="88">
        <v>1.2999999999999999E-2</v>
      </c>
      <c r="I67" s="90">
        <f t="shared" si="0"/>
        <v>8.9999999999999993E-3</v>
      </c>
      <c r="J67" s="90">
        <f t="shared" si="1"/>
        <v>7.7999999999999996E-3</v>
      </c>
      <c r="K67" s="90">
        <f t="shared" si="2"/>
        <v>2.0999999999999998E-2</v>
      </c>
      <c r="L67" s="90">
        <f t="shared" si="3"/>
        <v>1.8199999999999997E-2</v>
      </c>
      <c r="M67" s="70">
        <v>1.4999999999999999E-2</v>
      </c>
      <c r="N67" s="70">
        <v>1.2999999999999999E-2</v>
      </c>
    </row>
    <row r="68" spans="2:14" x14ac:dyDescent="0.25">
      <c r="B68" s="47">
        <v>61</v>
      </c>
      <c r="C68">
        <v>1.4999999999999999E-2</v>
      </c>
      <c r="D68">
        <v>1.2999999999999999E-2</v>
      </c>
      <c r="E68" s="85">
        <v>1.4999999999999999E-2</v>
      </c>
      <c r="F68" s="85">
        <v>1.299999952316E-2</v>
      </c>
      <c r="G68" s="88">
        <v>1.4999999999999999E-2</v>
      </c>
      <c r="H68" s="88">
        <v>1.2999999999999999E-2</v>
      </c>
      <c r="I68" s="90">
        <f t="shared" si="0"/>
        <v>8.9999999999999993E-3</v>
      </c>
      <c r="J68" s="90">
        <f t="shared" si="1"/>
        <v>7.7999999999999996E-3</v>
      </c>
      <c r="K68" s="90">
        <f t="shared" si="2"/>
        <v>2.0999999999999998E-2</v>
      </c>
      <c r="L68" s="90">
        <f t="shared" si="3"/>
        <v>1.8199999999999997E-2</v>
      </c>
      <c r="M68" s="70">
        <v>1.4999999999999999E-2</v>
      </c>
      <c r="N68" s="70">
        <v>1.2999999999999999E-2</v>
      </c>
    </row>
    <row r="69" spans="2:14" x14ac:dyDescent="0.25">
      <c r="B69" s="47">
        <v>62</v>
      </c>
      <c r="C69">
        <v>1.4999999999999999E-2</v>
      </c>
      <c r="D69">
        <v>1.2999999999999999E-2</v>
      </c>
      <c r="E69" s="85">
        <v>1.4999999999999999E-2</v>
      </c>
      <c r="F69" s="85">
        <v>1.299999952316E-2</v>
      </c>
      <c r="G69" s="88">
        <v>1.4999999999999999E-2</v>
      </c>
      <c r="H69" s="88">
        <v>1.2999999999999999E-2</v>
      </c>
      <c r="I69" s="90">
        <f t="shared" si="0"/>
        <v>8.9999999999999993E-3</v>
      </c>
      <c r="J69" s="90">
        <f t="shared" si="1"/>
        <v>7.7999999999999996E-3</v>
      </c>
      <c r="K69" s="90">
        <f t="shared" si="2"/>
        <v>2.0999999999999998E-2</v>
      </c>
      <c r="L69" s="90">
        <f t="shared" si="3"/>
        <v>1.8199999999999997E-2</v>
      </c>
      <c r="M69" s="70">
        <v>1.4999999999999999E-2</v>
      </c>
      <c r="N69" s="70">
        <v>1.2999999999999999E-2</v>
      </c>
    </row>
    <row r="70" spans="2:14" x14ac:dyDescent="0.25">
      <c r="B70" s="47">
        <v>63</v>
      </c>
      <c r="C70">
        <v>1.4999999999999999E-2</v>
      </c>
      <c r="D70">
        <v>1.2999999999999999E-2</v>
      </c>
      <c r="E70" s="85">
        <v>1.4999999999999999E-2</v>
      </c>
      <c r="F70" s="85">
        <v>1.299999952316E-2</v>
      </c>
      <c r="G70" s="88">
        <v>1.4999999999999999E-2</v>
      </c>
      <c r="H70" s="88">
        <v>1.2999999999999999E-2</v>
      </c>
      <c r="I70" s="90">
        <f t="shared" si="0"/>
        <v>8.9999999999999993E-3</v>
      </c>
      <c r="J70" s="90">
        <f t="shared" si="1"/>
        <v>7.7999999999999996E-3</v>
      </c>
      <c r="K70" s="90">
        <f t="shared" si="2"/>
        <v>2.0999999999999998E-2</v>
      </c>
      <c r="L70" s="90">
        <f t="shared" si="3"/>
        <v>1.8199999999999997E-2</v>
      </c>
      <c r="M70" s="70">
        <v>1.4999999999999999E-2</v>
      </c>
      <c r="N70" s="70">
        <v>1.2999999999999999E-2</v>
      </c>
    </row>
    <row r="71" spans="2:14" x14ac:dyDescent="0.25">
      <c r="B71" s="47">
        <v>64</v>
      </c>
      <c r="C71">
        <v>1.4999999999999999E-2</v>
      </c>
      <c r="D71">
        <v>1.2999999999999999E-2</v>
      </c>
      <c r="E71" s="85">
        <v>1.4999999999999999E-2</v>
      </c>
      <c r="F71" s="85">
        <v>1.299999952316E-2</v>
      </c>
      <c r="G71" s="88">
        <v>1.4999999999999999E-2</v>
      </c>
      <c r="H71" s="88">
        <v>1.2999999999999999E-2</v>
      </c>
      <c r="I71" s="90">
        <f t="shared" si="0"/>
        <v>8.9999999999999993E-3</v>
      </c>
      <c r="J71" s="90">
        <f t="shared" si="1"/>
        <v>7.7999999999999996E-3</v>
      </c>
      <c r="K71" s="90">
        <f t="shared" si="2"/>
        <v>2.0999999999999998E-2</v>
      </c>
      <c r="L71" s="90">
        <f t="shared" si="3"/>
        <v>1.8199999999999997E-2</v>
      </c>
      <c r="M71" s="70">
        <v>1.4999999999999999E-2</v>
      </c>
      <c r="N71" s="70">
        <v>1.2999999999999999E-2</v>
      </c>
    </row>
    <row r="72" spans="2:14" x14ac:dyDescent="0.25">
      <c r="B72" s="47">
        <v>65</v>
      </c>
      <c r="C72">
        <v>1.4999999999999999E-2</v>
      </c>
      <c r="D72">
        <v>1.2999999999999999E-2</v>
      </c>
      <c r="E72" s="85">
        <v>1.4999999999999999E-2</v>
      </c>
      <c r="F72" s="85">
        <v>1.299999952316E-2</v>
      </c>
      <c r="G72" s="88">
        <v>1.4999999999999999E-2</v>
      </c>
      <c r="H72" s="88">
        <v>1.2999999999999999E-2</v>
      </c>
      <c r="I72" s="90">
        <f t="shared" si="0"/>
        <v>8.9999999999999993E-3</v>
      </c>
      <c r="J72" s="90">
        <f t="shared" si="1"/>
        <v>7.7999999999999996E-3</v>
      </c>
      <c r="K72" s="90">
        <f t="shared" si="2"/>
        <v>2.0999999999999998E-2</v>
      </c>
      <c r="L72" s="90">
        <f t="shared" si="3"/>
        <v>1.8199999999999997E-2</v>
      </c>
      <c r="M72" s="70">
        <v>1.4999999999999999E-2</v>
      </c>
      <c r="N72" s="70">
        <v>1.2999999999999999E-2</v>
      </c>
    </row>
    <row r="73" spans="2:14" x14ac:dyDescent="0.25">
      <c r="B73" s="47">
        <v>66</v>
      </c>
      <c r="C73">
        <v>1.4999999999999999E-2</v>
      </c>
      <c r="D73">
        <v>1.2999999999999999E-2</v>
      </c>
      <c r="E73" s="85">
        <v>1.4999999999999999E-2</v>
      </c>
      <c r="F73" s="85">
        <v>1.299999952316E-2</v>
      </c>
      <c r="G73" s="88">
        <v>1.4999999999999999E-2</v>
      </c>
      <c r="H73" s="88">
        <v>1.2999999999999999E-2</v>
      </c>
      <c r="I73" s="90">
        <f t="shared" ref="I73:I126" si="4">M73*0.6</f>
        <v>8.9999999999999993E-3</v>
      </c>
      <c r="J73" s="90">
        <f t="shared" ref="J73:J126" si="5">N73*0.6</f>
        <v>7.7999999999999996E-3</v>
      </c>
      <c r="K73" s="90">
        <f t="shared" ref="K73:K126" si="6">M73*1.4</f>
        <v>2.0999999999999998E-2</v>
      </c>
      <c r="L73" s="90">
        <f t="shared" ref="L73:L126" si="7">N73*1.4</f>
        <v>1.8199999999999997E-2</v>
      </c>
      <c r="M73" s="70">
        <v>1.4999999999999999E-2</v>
      </c>
      <c r="N73" s="70">
        <v>1.2999999999999999E-2</v>
      </c>
    </row>
    <row r="74" spans="2:14" x14ac:dyDescent="0.25">
      <c r="B74" s="47">
        <v>67</v>
      </c>
      <c r="C74">
        <v>1.4999999999999999E-2</v>
      </c>
      <c r="D74">
        <v>1.2999999999999999E-2</v>
      </c>
      <c r="E74" s="85">
        <v>1.4999999999999999E-2</v>
      </c>
      <c r="F74" s="85">
        <v>1.299999952316E-2</v>
      </c>
      <c r="G74" s="88">
        <v>1.4999999999999999E-2</v>
      </c>
      <c r="H74" s="88">
        <v>1.2999999999999999E-2</v>
      </c>
      <c r="I74" s="90">
        <f t="shared" si="4"/>
        <v>8.9999999999999993E-3</v>
      </c>
      <c r="J74" s="90">
        <f t="shared" si="5"/>
        <v>7.7999999999999996E-3</v>
      </c>
      <c r="K74" s="90">
        <f t="shared" si="6"/>
        <v>2.0999999999999998E-2</v>
      </c>
      <c r="L74" s="90">
        <f t="shared" si="7"/>
        <v>1.8199999999999997E-2</v>
      </c>
      <c r="M74" s="70">
        <v>1.4999999999999999E-2</v>
      </c>
      <c r="N74" s="70">
        <v>1.2999999999999999E-2</v>
      </c>
    </row>
    <row r="75" spans="2:14" x14ac:dyDescent="0.25">
      <c r="B75" s="47">
        <v>68</v>
      </c>
      <c r="C75">
        <v>1.4999999999999999E-2</v>
      </c>
      <c r="D75">
        <v>1.2999999999999999E-2</v>
      </c>
      <c r="E75" s="85">
        <v>1.4999999999999999E-2</v>
      </c>
      <c r="F75" s="85">
        <v>1.299999952316E-2</v>
      </c>
      <c r="G75" s="88">
        <v>1.4999999999999999E-2</v>
      </c>
      <c r="H75" s="88">
        <v>1.2999999999999999E-2</v>
      </c>
      <c r="I75" s="90">
        <f t="shared" si="4"/>
        <v>8.9999999999999993E-3</v>
      </c>
      <c r="J75" s="90">
        <f t="shared" si="5"/>
        <v>7.7999999999999996E-3</v>
      </c>
      <c r="K75" s="90">
        <f t="shared" si="6"/>
        <v>2.0999999999999998E-2</v>
      </c>
      <c r="L75" s="90">
        <f t="shared" si="7"/>
        <v>1.8199999999999997E-2</v>
      </c>
      <c r="M75" s="70">
        <v>1.4999999999999999E-2</v>
      </c>
      <c r="N75" s="70">
        <v>1.2999999999999999E-2</v>
      </c>
    </row>
    <row r="76" spans="2:14" x14ac:dyDescent="0.25">
      <c r="B76" s="47">
        <v>69</v>
      </c>
      <c r="C76">
        <v>1.4999999999999999E-2</v>
      </c>
      <c r="D76">
        <v>1.2999999999999999E-2</v>
      </c>
      <c r="E76" s="85">
        <v>1.4999999999999999E-2</v>
      </c>
      <c r="F76" s="85">
        <v>1.299999952316E-2</v>
      </c>
      <c r="G76" s="88">
        <v>1.4999999999999999E-2</v>
      </c>
      <c r="H76" s="88">
        <v>1.2999999999999999E-2</v>
      </c>
      <c r="I76" s="90">
        <f t="shared" si="4"/>
        <v>8.9999999999999993E-3</v>
      </c>
      <c r="J76" s="90">
        <f t="shared" si="5"/>
        <v>7.7999999999999996E-3</v>
      </c>
      <c r="K76" s="90">
        <f t="shared" si="6"/>
        <v>2.0999999999999998E-2</v>
      </c>
      <c r="L76" s="90">
        <f t="shared" si="7"/>
        <v>1.8199999999999997E-2</v>
      </c>
      <c r="M76" s="70">
        <v>1.4999999999999999E-2</v>
      </c>
      <c r="N76" s="70">
        <v>1.2999999999999999E-2</v>
      </c>
    </row>
    <row r="77" spans="2:14" x14ac:dyDescent="0.25">
      <c r="B77" s="47">
        <v>70</v>
      </c>
      <c r="C77">
        <v>1.4999999999999999E-2</v>
      </c>
      <c r="D77">
        <v>1.2999999999999999E-2</v>
      </c>
      <c r="E77" s="85">
        <v>1.4999999999999999E-2</v>
      </c>
      <c r="F77" s="85">
        <v>1.299999952316E-2</v>
      </c>
      <c r="G77" s="88">
        <v>1.4999999999999999E-2</v>
      </c>
      <c r="H77" s="88">
        <v>1.2999999999999999E-2</v>
      </c>
      <c r="I77" s="90">
        <f t="shared" si="4"/>
        <v>8.9999999999999993E-3</v>
      </c>
      <c r="J77" s="90">
        <f t="shared" si="5"/>
        <v>7.7999999999999996E-3</v>
      </c>
      <c r="K77" s="90">
        <f t="shared" si="6"/>
        <v>2.0999999999999998E-2</v>
      </c>
      <c r="L77" s="90">
        <f t="shared" si="7"/>
        <v>1.8199999999999997E-2</v>
      </c>
      <c r="M77" s="70">
        <v>1.4999999999999999E-2</v>
      </c>
      <c r="N77" s="70">
        <v>1.2999999999999999E-2</v>
      </c>
    </row>
    <row r="78" spans="2:14" x14ac:dyDescent="0.25">
      <c r="B78" s="47">
        <v>71</v>
      </c>
      <c r="C78">
        <v>1.4999999999999999E-2</v>
      </c>
      <c r="D78">
        <v>1.2999999999999999E-2</v>
      </c>
      <c r="E78" s="85">
        <v>1.4999999999999999E-2</v>
      </c>
      <c r="F78" s="85">
        <v>1.299999952316E-2</v>
      </c>
      <c r="G78" s="88">
        <v>1.4999999999999999E-2</v>
      </c>
      <c r="H78" s="88">
        <v>1.2999999999999999E-2</v>
      </c>
      <c r="I78" s="90">
        <f t="shared" si="4"/>
        <v>8.9999999999999993E-3</v>
      </c>
      <c r="J78" s="90">
        <f t="shared" si="5"/>
        <v>7.7999999999999996E-3</v>
      </c>
      <c r="K78" s="90">
        <f t="shared" si="6"/>
        <v>2.0999999999999998E-2</v>
      </c>
      <c r="L78" s="90">
        <f t="shared" si="7"/>
        <v>1.8199999999999997E-2</v>
      </c>
      <c r="M78" s="70">
        <v>1.4999999999999999E-2</v>
      </c>
      <c r="N78" s="70">
        <v>1.2999999999999999E-2</v>
      </c>
    </row>
    <row r="79" spans="2:14" x14ac:dyDescent="0.25">
      <c r="B79" s="47">
        <v>72</v>
      </c>
      <c r="C79">
        <v>1.4999999999999999E-2</v>
      </c>
      <c r="D79">
        <v>1.2999999999999999E-2</v>
      </c>
      <c r="E79" s="85">
        <v>1.4999999999999999E-2</v>
      </c>
      <c r="F79" s="85">
        <v>1.299999952316E-2</v>
      </c>
      <c r="G79" s="88">
        <v>1.4999999999999999E-2</v>
      </c>
      <c r="H79" s="88">
        <v>1.2999999999999999E-2</v>
      </c>
      <c r="I79" s="90">
        <f t="shared" si="4"/>
        <v>8.9999999999999993E-3</v>
      </c>
      <c r="J79" s="90">
        <f t="shared" si="5"/>
        <v>7.7999999999999996E-3</v>
      </c>
      <c r="K79" s="90">
        <f t="shared" si="6"/>
        <v>2.0999999999999998E-2</v>
      </c>
      <c r="L79" s="90">
        <f t="shared" si="7"/>
        <v>1.8199999999999997E-2</v>
      </c>
      <c r="M79" s="70">
        <v>1.4999999999999999E-2</v>
      </c>
      <c r="N79" s="70">
        <v>1.2999999999999999E-2</v>
      </c>
    </row>
    <row r="80" spans="2:14" x14ac:dyDescent="0.25">
      <c r="B80" s="47">
        <v>73</v>
      </c>
      <c r="C80">
        <v>1.4999999999999999E-2</v>
      </c>
      <c r="D80">
        <v>1.2999999999999999E-2</v>
      </c>
      <c r="E80" s="85">
        <v>1.4999999999999999E-2</v>
      </c>
      <c r="F80" s="85">
        <v>1.299999952316E-2</v>
      </c>
      <c r="G80" s="88">
        <v>1.4999999999999999E-2</v>
      </c>
      <c r="H80" s="88">
        <v>1.2999999999999999E-2</v>
      </c>
      <c r="I80" s="90">
        <f t="shared" si="4"/>
        <v>8.9999999999999993E-3</v>
      </c>
      <c r="J80" s="90">
        <f t="shared" si="5"/>
        <v>7.7999999999999996E-3</v>
      </c>
      <c r="K80" s="90">
        <f t="shared" si="6"/>
        <v>2.0999999999999998E-2</v>
      </c>
      <c r="L80" s="90">
        <f t="shared" si="7"/>
        <v>1.8199999999999997E-2</v>
      </c>
      <c r="M80" s="70">
        <v>1.4999999999999999E-2</v>
      </c>
      <c r="N80" s="70">
        <v>1.2999999999999999E-2</v>
      </c>
    </row>
    <row r="81" spans="2:14" x14ac:dyDescent="0.25">
      <c r="B81" s="47">
        <v>74</v>
      </c>
      <c r="C81">
        <v>1.4999999999999999E-2</v>
      </c>
      <c r="D81">
        <v>1.2999999999999999E-2</v>
      </c>
      <c r="E81" s="85">
        <v>1.4999999999999999E-2</v>
      </c>
      <c r="F81" s="85">
        <v>1.299999952316E-2</v>
      </c>
      <c r="G81" s="88">
        <v>1.4999999999999999E-2</v>
      </c>
      <c r="H81" s="88">
        <v>1.2999999999999999E-2</v>
      </c>
      <c r="I81" s="90">
        <f t="shared" si="4"/>
        <v>8.9999999999999993E-3</v>
      </c>
      <c r="J81" s="90">
        <f t="shared" si="5"/>
        <v>7.7999999999999996E-3</v>
      </c>
      <c r="K81" s="90">
        <f t="shared" si="6"/>
        <v>2.0999999999999998E-2</v>
      </c>
      <c r="L81" s="90">
        <f t="shared" si="7"/>
        <v>1.8199999999999997E-2</v>
      </c>
      <c r="M81" s="70">
        <v>1.4999999999999999E-2</v>
      </c>
      <c r="N81" s="70">
        <v>1.2999999999999999E-2</v>
      </c>
    </row>
    <row r="82" spans="2:14" x14ac:dyDescent="0.25">
      <c r="B82" s="47">
        <v>75</v>
      </c>
      <c r="C82">
        <v>1.4999999999999999E-2</v>
      </c>
      <c r="D82">
        <v>1.2999999999999999E-2</v>
      </c>
      <c r="E82" s="85">
        <v>1.4999999999999999E-2</v>
      </c>
      <c r="F82" s="85">
        <v>1.299999952316E-2</v>
      </c>
      <c r="G82" s="88">
        <v>1.4999999999999999E-2</v>
      </c>
      <c r="H82" s="88">
        <v>1.2999999999999999E-2</v>
      </c>
      <c r="I82" s="90">
        <f t="shared" si="4"/>
        <v>8.9999999999999993E-3</v>
      </c>
      <c r="J82" s="90">
        <f t="shared" si="5"/>
        <v>7.7999999999999996E-3</v>
      </c>
      <c r="K82" s="90">
        <f t="shared" si="6"/>
        <v>2.0999999999999998E-2</v>
      </c>
      <c r="L82" s="90">
        <f t="shared" si="7"/>
        <v>1.8199999999999997E-2</v>
      </c>
      <c r="M82" s="70">
        <v>1.4999999999999999E-2</v>
      </c>
      <c r="N82" s="70">
        <v>1.2999999999999999E-2</v>
      </c>
    </row>
    <row r="83" spans="2:14" x14ac:dyDescent="0.25">
      <c r="B83" s="47">
        <v>76</v>
      </c>
      <c r="C83">
        <v>1.4999999999999999E-2</v>
      </c>
      <c r="D83">
        <v>1.2999999999999999E-2</v>
      </c>
      <c r="E83" s="85">
        <v>1.4999999999999999E-2</v>
      </c>
      <c r="F83" s="85">
        <v>1.299999952316E-2</v>
      </c>
      <c r="G83" s="88">
        <v>1.4999999999999999E-2</v>
      </c>
      <c r="H83" s="88">
        <v>1.2999999999999999E-2</v>
      </c>
      <c r="I83" s="90">
        <f t="shared" si="4"/>
        <v>8.9999999999999993E-3</v>
      </c>
      <c r="J83" s="90">
        <f t="shared" si="5"/>
        <v>7.7999999999999996E-3</v>
      </c>
      <c r="K83" s="90">
        <f t="shared" si="6"/>
        <v>2.0999999999999998E-2</v>
      </c>
      <c r="L83" s="90">
        <f t="shared" si="7"/>
        <v>1.8199999999999997E-2</v>
      </c>
      <c r="M83" s="70">
        <v>1.4999999999999999E-2</v>
      </c>
      <c r="N83" s="70">
        <v>1.2999999999999999E-2</v>
      </c>
    </row>
    <row r="84" spans="2:14" x14ac:dyDescent="0.25">
      <c r="B84" s="47">
        <v>77</v>
      </c>
      <c r="C84">
        <v>1.4999999999999999E-2</v>
      </c>
      <c r="D84">
        <v>1.2999999999999999E-2</v>
      </c>
      <c r="E84" s="85">
        <v>1.4999999999999999E-2</v>
      </c>
      <c r="F84" s="85">
        <v>1.299999952316E-2</v>
      </c>
      <c r="G84" s="88">
        <v>1.4999999999999999E-2</v>
      </c>
      <c r="H84" s="88">
        <v>1.2999999999999999E-2</v>
      </c>
      <c r="I84" s="90">
        <f t="shared" si="4"/>
        <v>8.9999999999999993E-3</v>
      </c>
      <c r="J84" s="90">
        <f t="shared" si="5"/>
        <v>7.7999999999999996E-3</v>
      </c>
      <c r="K84" s="90">
        <f t="shared" si="6"/>
        <v>2.0999999999999998E-2</v>
      </c>
      <c r="L84" s="90">
        <f t="shared" si="7"/>
        <v>1.8199999999999997E-2</v>
      </c>
      <c r="M84" s="70">
        <v>1.4999999999999999E-2</v>
      </c>
      <c r="N84" s="70">
        <v>1.2999999999999999E-2</v>
      </c>
    </row>
    <row r="85" spans="2:14" x14ac:dyDescent="0.25">
      <c r="B85" s="47">
        <v>78</v>
      </c>
      <c r="C85">
        <v>1.4999999999999999E-2</v>
      </c>
      <c r="D85">
        <v>1.2999999999999999E-2</v>
      </c>
      <c r="E85" s="85">
        <v>1.4999999999999999E-2</v>
      </c>
      <c r="F85" s="85">
        <v>1.299999952316E-2</v>
      </c>
      <c r="G85" s="88">
        <v>1.4999999999999999E-2</v>
      </c>
      <c r="H85" s="88">
        <v>1.2999999999999999E-2</v>
      </c>
      <c r="I85" s="90">
        <f t="shared" si="4"/>
        <v>8.9999999999999993E-3</v>
      </c>
      <c r="J85" s="90">
        <f t="shared" si="5"/>
        <v>7.7999999999999996E-3</v>
      </c>
      <c r="K85" s="90">
        <f t="shared" si="6"/>
        <v>2.0999999999999998E-2</v>
      </c>
      <c r="L85" s="90">
        <f t="shared" si="7"/>
        <v>1.8199999999999997E-2</v>
      </c>
      <c r="M85" s="70">
        <v>1.4999999999999999E-2</v>
      </c>
      <c r="N85" s="70">
        <v>1.2999999999999999E-2</v>
      </c>
    </row>
    <row r="86" spans="2:14" x14ac:dyDescent="0.25">
      <c r="B86" s="47">
        <v>79</v>
      </c>
      <c r="C86">
        <v>1.4999999999999999E-2</v>
      </c>
      <c r="D86">
        <v>1.2999999999999999E-2</v>
      </c>
      <c r="E86" s="85">
        <v>1.4999999999999999E-2</v>
      </c>
      <c r="F86" s="85">
        <v>1.299999952316E-2</v>
      </c>
      <c r="G86" s="88">
        <v>1.4999999999999999E-2</v>
      </c>
      <c r="H86" s="88">
        <v>1.2999999999999999E-2</v>
      </c>
      <c r="I86" s="90">
        <f t="shared" si="4"/>
        <v>8.9999999999999993E-3</v>
      </c>
      <c r="J86" s="90">
        <f t="shared" si="5"/>
        <v>7.7999999999999996E-3</v>
      </c>
      <c r="K86" s="90">
        <f t="shared" si="6"/>
        <v>2.0999999999999998E-2</v>
      </c>
      <c r="L86" s="90">
        <f t="shared" si="7"/>
        <v>1.8199999999999997E-2</v>
      </c>
      <c r="M86" s="70">
        <v>1.4999999999999999E-2</v>
      </c>
      <c r="N86" s="70">
        <v>1.2999999999999999E-2</v>
      </c>
    </row>
    <row r="87" spans="2:14" x14ac:dyDescent="0.25">
      <c r="B87" s="47">
        <v>80</v>
      </c>
      <c r="C87">
        <v>1.4999999999999999E-2</v>
      </c>
      <c r="D87">
        <v>1.2999999999999999E-2</v>
      </c>
      <c r="E87" s="85">
        <v>1.4999999999999999E-2</v>
      </c>
      <c r="F87" s="85">
        <v>1.299999952316E-2</v>
      </c>
      <c r="G87" s="88">
        <v>1.4999999999999999E-2</v>
      </c>
      <c r="H87" s="88">
        <v>1.2999999999999999E-2</v>
      </c>
      <c r="I87" s="90">
        <f t="shared" si="4"/>
        <v>8.6999999999999994E-3</v>
      </c>
      <c r="J87" s="90">
        <f t="shared" si="5"/>
        <v>7.4999999999999997E-3</v>
      </c>
      <c r="K87" s="90">
        <f t="shared" si="6"/>
        <v>2.0299999999999999E-2</v>
      </c>
      <c r="L87" s="90">
        <f t="shared" si="7"/>
        <v>1.7499999999999998E-2</v>
      </c>
      <c r="M87" s="70">
        <v>1.4500000000000001E-2</v>
      </c>
      <c r="N87" s="70">
        <v>1.2500000000000001E-2</v>
      </c>
    </row>
    <row r="88" spans="2:14" x14ac:dyDescent="0.25">
      <c r="B88" s="47">
        <v>81</v>
      </c>
      <c r="C88">
        <v>1.4200000000000001E-2</v>
      </c>
      <c r="D88">
        <v>1.23E-2</v>
      </c>
      <c r="E88" s="85">
        <v>1.399999976158E-2</v>
      </c>
      <c r="F88" s="85">
        <v>1.200000047684E-2</v>
      </c>
      <c r="G88" s="88">
        <v>1.4999999999999999E-2</v>
      </c>
      <c r="H88" s="88">
        <v>1.2999999999999999E-2</v>
      </c>
      <c r="I88" s="90">
        <f t="shared" si="4"/>
        <v>8.0999999999999996E-3</v>
      </c>
      <c r="J88" s="90">
        <f t="shared" si="5"/>
        <v>7.1999999999999998E-3</v>
      </c>
      <c r="K88" s="90">
        <f t="shared" si="6"/>
        <v>1.89E-2</v>
      </c>
      <c r="L88" s="90">
        <f t="shared" si="7"/>
        <v>1.6799999999999999E-2</v>
      </c>
      <c r="M88" s="70">
        <v>1.35E-2</v>
      </c>
      <c r="N88" s="70">
        <v>1.2E-2</v>
      </c>
    </row>
    <row r="89" spans="2:14" x14ac:dyDescent="0.25">
      <c r="B89" s="47">
        <v>82</v>
      </c>
      <c r="C89">
        <v>1.34E-2</v>
      </c>
      <c r="D89">
        <v>1.1599999999999999E-2</v>
      </c>
      <c r="E89" s="85">
        <v>1.299999952316E-2</v>
      </c>
      <c r="F89" s="85">
        <v>1.200000047684E-2</v>
      </c>
      <c r="G89" s="88">
        <v>1.4E-2</v>
      </c>
      <c r="H89" s="88">
        <v>1.2E-2</v>
      </c>
      <c r="I89" s="90">
        <f t="shared" si="4"/>
        <v>7.7999999999999996E-3</v>
      </c>
      <c r="J89" s="90">
        <f t="shared" si="5"/>
        <v>6.8999999999999999E-3</v>
      </c>
      <c r="K89" s="90">
        <f t="shared" si="6"/>
        <v>1.8199999999999997E-2</v>
      </c>
      <c r="L89" s="90">
        <f t="shared" si="7"/>
        <v>1.61E-2</v>
      </c>
      <c r="M89" s="70">
        <v>1.2999999999999999E-2</v>
      </c>
      <c r="N89" s="70">
        <v>1.15E-2</v>
      </c>
    </row>
    <row r="90" spans="2:14" x14ac:dyDescent="0.25">
      <c r="B90" s="47">
        <v>83</v>
      </c>
      <c r="C90">
        <v>1.26E-2</v>
      </c>
      <c r="D90">
        <v>1.09E-2</v>
      </c>
      <c r="E90" s="85">
        <v>1.299999952316E-2</v>
      </c>
      <c r="F90" s="85">
        <v>1.100000023842E-2</v>
      </c>
      <c r="G90" s="88">
        <v>1.2999999999999999E-2</v>
      </c>
      <c r="H90" s="88">
        <v>1.2E-2</v>
      </c>
      <c r="I90" s="90">
        <f t="shared" si="4"/>
        <v>7.4999999999999997E-3</v>
      </c>
      <c r="J90" s="90">
        <f t="shared" si="5"/>
        <v>6.3E-3</v>
      </c>
      <c r="K90" s="90">
        <f t="shared" si="6"/>
        <v>1.7499999999999998E-2</v>
      </c>
      <c r="L90" s="90">
        <f t="shared" si="7"/>
        <v>1.47E-2</v>
      </c>
      <c r="M90" s="70">
        <v>1.2500000000000001E-2</v>
      </c>
      <c r="N90" s="70">
        <v>1.0500000000000001E-2</v>
      </c>
    </row>
    <row r="91" spans="2:14" x14ac:dyDescent="0.25">
      <c r="B91" s="47">
        <v>84</v>
      </c>
      <c r="C91">
        <v>1.18E-2</v>
      </c>
      <c r="D91">
        <v>1.0200000000000001E-2</v>
      </c>
      <c r="E91" s="85">
        <v>1.200000047684E-2</v>
      </c>
      <c r="F91" s="85">
        <v>0.01</v>
      </c>
      <c r="G91" s="88">
        <v>1.2999999999999999E-2</v>
      </c>
      <c r="H91" s="88">
        <v>1.0999999999999999E-2</v>
      </c>
      <c r="I91" s="90">
        <f t="shared" si="4"/>
        <v>6.8999999999999999E-3</v>
      </c>
      <c r="J91" s="90">
        <f t="shared" si="5"/>
        <v>6.0000000000000001E-3</v>
      </c>
      <c r="K91" s="90">
        <f t="shared" si="6"/>
        <v>1.61E-2</v>
      </c>
      <c r="L91" s="90">
        <f t="shared" si="7"/>
        <v>1.3999999999999999E-2</v>
      </c>
      <c r="M91" s="70">
        <v>1.15E-2</v>
      </c>
      <c r="N91" s="70">
        <v>0.01</v>
      </c>
    </row>
    <row r="92" spans="2:14" x14ac:dyDescent="0.25">
      <c r="B92" s="47">
        <v>85</v>
      </c>
      <c r="C92">
        <v>1.0999999999999999E-2</v>
      </c>
      <c r="D92">
        <v>9.4999999999999998E-3</v>
      </c>
      <c r="E92" s="85">
        <v>1.100000023842E-2</v>
      </c>
      <c r="F92" s="85">
        <v>0.01</v>
      </c>
      <c r="G92" s="88">
        <v>1.2E-2</v>
      </c>
      <c r="H92" s="88">
        <v>0.01</v>
      </c>
      <c r="I92" s="90">
        <f t="shared" si="4"/>
        <v>6.3E-3</v>
      </c>
      <c r="J92" s="90">
        <f t="shared" si="5"/>
        <v>5.6999999999999993E-3</v>
      </c>
      <c r="K92" s="90">
        <f t="shared" si="6"/>
        <v>1.47E-2</v>
      </c>
      <c r="L92" s="90">
        <f t="shared" si="7"/>
        <v>1.3299999999999999E-2</v>
      </c>
      <c r="M92" s="70">
        <v>1.0500000000000001E-2</v>
      </c>
      <c r="N92" s="70">
        <v>9.4999999999999998E-3</v>
      </c>
    </row>
    <row r="93" spans="2:14" x14ac:dyDescent="0.25">
      <c r="B93" s="47">
        <v>86</v>
      </c>
      <c r="C93">
        <v>1.0200000000000001E-2</v>
      </c>
      <c r="D93">
        <v>8.8000000000000005E-3</v>
      </c>
      <c r="E93" s="85">
        <v>0.01</v>
      </c>
      <c r="F93" s="85">
        <v>8.9999997615809995E-3</v>
      </c>
      <c r="G93" s="88">
        <v>1.0999999999999999E-2</v>
      </c>
      <c r="H93" s="88">
        <v>0.01</v>
      </c>
      <c r="I93" s="90">
        <f t="shared" si="4"/>
        <v>5.6999999999999993E-3</v>
      </c>
      <c r="J93" s="90">
        <f t="shared" si="5"/>
        <v>5.1000000000000004E-3</v>
      </c>
      <c r="K93" s="90">
        <f t="shared" si="6"/>
        <v>1.3299999999999999E-2</v>
      </c>
      <c r="L93" s="90">
        <f t="shared" si="7"/>
        <v>1.1900000000000001E-2</v>
      </c>
      <c r="M93" s="70">
        <v>9.4999999999999998E-3</v>
      </c>
      <c r="N93" s="70">
        <v>8.5000000000000006E-3</v>
      </c>
    </row>
    <row r="94" spans="2:14" x14ac:dyDescent="0.25">
      <c r="B94" s="47">
        <v>87</v>
      </c>
      <c r="C94">
        <v>9.4000000000000004E-3</v>
      </c>
      <c r="D94">
        <v>8.0999999999999996E-3</v>
      </c>
      <c r="E94" s="85">
        <v>8.9999997615809995E-3</v>
      </c>
      <c r="F94" s="85">
        <v>8.0000001192090005E-3</v>
      </c>
      <c r="G94" s="88">
        <v>0.01</v>
      </c>
      <c r="H94" s="88">
        <v>8.9999999999999993E-3</v>
      </c>
      <c r="I94" s="90">
        <f t="shared" si="4"/>
        <v>5.3999999999999994E-3</v>
      </c>
      <c r="J94" s="90">
        <f t="shared" si="5"/>
        <v>4.4999999999999997E-3</v>
      </c>
      <c r="K94" s="90">
        <f t="shared" si="6"/>
        <v>1.2599999999999998E-2</v>
      </c>
      <c r="L94" s="90">
        <f t="shared" si="7"/>
        <v>1.0499999999999999E-2</v>
      </c>
      <c r="M94" s="70">
        <v>8.9999999999999993E-3</v>
      </c>
      <c r="N94" s="70">
        <v>7.4999999999999997E-3</v>
      </c>
    </row>
    <row r="95" spans="2:14" x14ac:dyDescent="0.25">
      <c r="B95" s="47">
        <v>88</v>
      </c>
      <c r="C95">
        <v>8.6E-3</v>
      </c>
      <c r="D95">
        <v>7.4000000000000003E-3</v>
      </c>
      <c r="E95" s="85">
        <v>8.9999997615809995E-3</v>
      </c>
      <c r="F95" s="85">
        <v>6.9999998807909998E-3</v>
      </c>
      <c r="G95" s="88">
        <v>8.9999999999999993E-3</v>
      </c>
      <c r="H95" s="88">
        <v>8.0000000000000002E-3</v>
      </c>
      <c r="I95" s="90">
        <f t="shared" si="4"/>
        <v>5.1000000000000004E-3</v>
      </c>
      <c r="J95" s="90">
        <f t="shared" si="5"/>
        <v>4.1999999999999997E-3</v>
      </c>
      <c r="K95" s="90">
        <f t="shared" si="6"/>
        <v>1.1900000000000001E-2</v>
      </c>
      <c r="L95" s="90">
        <f t="shared" si="7"/>
        <v>9.7999999999999997E-3</v>
      </c>
      <c r="M95" s="70">
        <v>8.5000000000000006E-3</v>
      </c>
      <c r="N95" s="70">
        <v>7.0000000000000001E-3</v>
      </c>
    </row>
    <row r="96" spans="2:14" x14ac:dyDescent="0.25">
      <c r="B96" s="47">
        <v>89</v>
      </c>
      <c r="C96">
        <v>7.7999999999999996E-3</v>
      </c>
      <c r="D96">
        <v>6.7000000000000002E-3</v>
      </c>
      <c r="E96" s="85">
        <v>8.0000001192090005E-3</v>
      </c>
      <c r="F96" s="85">
        <v>6.9999998807909998E-3</v>
      </c>
      <c r="G96" s="88">
        <v>8.9999999999999993E-3</v>
      </c>
      <c r="H96" s="88">
        <v>7.0000000000000001E-3</v>
      </c>
      <c r="I96" s="90">
        <f t="shared" si="4"/>
        <v>4.4999999999999997E-3</v>
      </c>
      <c r="J96" s="90">
        <f t="shared" si="5"/>
        <v>3.8999999999999998E-3</v>
      </c>
      <c r="K96" s="90">
        <f t="shared" si="6"/>
        <v>1.0499999999999999E-2</v>
      </c>
      <c r="L96" s="90">
        <f t="shared" si="7"/>
        <v>9.0999999999999987E-3</v>
      </c>
      <c r="M96" s="70">
        <v>7.4999999999999997E-3</v>
      </c>
      <c r="N96" s="70">
        <v>6.4999999999999997E-3</v>
      </c>
    </row>
    <row r="97" spans="2:14" x14ac:dyDescent="0.25">
      <c r="B97" s="47">
        <v>90</v>
      </c>
      <c r="C97">
        <v>7.0000000000000001E-3</v>
      </c>
      <c r="D97">
        <v>6.0000000000000001E-3</v>
      </c>
      <c r="E97" s="85">
        <v>6.9999998807909998E-3</v>
      </c>
      <c r="F97" s="85">
        <v>6.0000002384189999E-3</v>
      </c>
      <c r="G97" s="88">
        <v>8.0000000000000002E-3</v>
      </c>
      <c r="H97" s="88">
        <v>7.0000000000000001E-3</v>
      </c>
      <c r="I97" s="90">
        <f t="shared" si="4"/>
        <v>4.1999999999999997E-3</v>
      </c>
      <c r="J97" s="90">
        <f t="shared" si="5"/>
        <v>3.5999999999999999E-3</v>
      </c>
      <c r="K97" s="90">
        <f t="shared" si="6"/>
        <v>9.7999999999999997E-3</v>
      </c>
      <c r="L97" s="90">
        <f t="shared" si="7"/>
        <v>8.3999999999999995E-3</v>
      </c>
      <c r="M97" s="70">
        <v>7.0000000000000001E-3</v>
      </c>
      <c r="N97" s="70">
        <v>6.0000000000000001E-3</v>
      </c>
    </row>
    <row r="98" spans="2:14" x14ac:dyDescent="0.25">
      <c r="B98" s="47">
        <v>91</v>
      </c>
      <c r="C98">
        <v>6.4999999999999997E-3</v>
      </c>
      <c r="D98">
        <v>5.5999999999999999E-3</v>
      </c>
      <c r="E98" s="85">
        <v>6.9999998807909998E-3</v>
      </c>
      <c r="F98" s="85">
        <v>6.0000002384189999E-3</v>
      </c>
      <c r="G98" s="88">
        <v>7.0000000000000001E-3</v>
      </c>
      <c r="H98" s="88">
        <v>6.0000000000000001E-3</v>
      </c>
      <c r="I98" s="90">
        <f t="shared" si="4"/>
        <v>3.8999999999999998E-3</v>
      </c>
      <c r="J98" s="90">
        <f t="shared" si="5"/>
        <v>3.2999999999999995E-3</v>
      </c>
      <c r="K98" s="90">
        <f t="shared" si="6"/>
        <v>9.0999999999999987E-3</v>
      </c>
      <c r="L98" s="90">
        <f t="shared" si="7"/>
        <v>7.6999999999999994E-3</v>
      </c>
      <c r="M98" s="70">
        <v>6.4999999999999997E-3</v>
      </c>
      <c r="N98" s="70">
        <v>5.4999999999999997E-3</v>
      </c>
    </row>
    <row r="99" spans="2:14" x14ac:dyDescent="0.25">
      <c r="B99" s="47">
        <v>92</v>
      </c>
      <c r="C99">
        <v>6.0000000000000001E-3</v>
      </c>
      <c r="D99">
        <v>5.1999999999999998E-3</v>
      </c>
      <c r="E99" s="85">
        <v>6.0000002384189999E-3</v>
      </c>
      <c r="F99" s="85">
        <v>5.0000000000000001E-3</v>
      </c>
      <c r="G99" s="88">
        <v>7.0000000000000001E-3</v>
      </c>
      <c r="H99" s="88">
        <v>6.0000000000000001E-3</v>
      </c>
      <c r="I99" s="90">
        <f t="shared" si="4"/>
        <v>3.2999999999999995E-3</v>
      </c>
      <c r="J99" s="90">
        <f t="shared" si="5"/>
        <v>3.0000000000000001E-3</v>
      </c>
      <c r="K99" s="90">
        <f t="shared" si="6"/>
        <v>7.6999999999999994E-3</v>
      </c>
      <c r="L99" s="90">
        <f t="shared" si="7"/>
        <v>6.9999999999999993E-3</v>
      </c>
      <c r="M99" s="70">
        <v>5.4999999999999997E-3</v>
      </c>
      <c r="N99" s="70">
        <v>5.0000000000000001E-3</v>
      </c>
    </row>
    <row r="100" spans="2:14" x14ac:dyDescent="0.25">
      <c r="B100" s="47">
        <v>93</v>
      </c>
      <c r="C100">
        <v>5.4999999999999997E-3</v>
      </c>
      <c r="D100">
        <v>4.7999999999999996E-3</v>
      </c>
      <c r="E100" s="85">
        <v>5.0000000000000001E-3</v>
      </c>
      <c r="F100" s="85">
        <v>5.0000000000000001E-3</v>
      </c>
      <c r="G100" s="88">
        <v>6.0000000000000001E-3</v>
      </c>
      <c r="H100" s="88">
        <v>5.0000000000000001E-3</v>
      </c>
      <c r="I100" s="90">
        <f t="shared" si="4"/>
        <v>3.0000000000000001E-3</v>
      </c>
      <c r="J100" s="90">
        <f t="shared" si="5"/>
        <v>2.6999999999999997E-3</v>
      </c>
      <c r="K100" s="90">
        <f t="shared" si="6"/>
        <v>6.9999999999999993E-3</v>
      </c>
      <c r="L100" s="90">
        <f t="shared" si="7"/>
        <v>6.2999999999999992E-3</v>
      </c>
      <c r="M100" s="70">
        <v>5.0000000000000001E-3</v>
      </c>
      <c r="N100" s="70">
        <v>4.4999999999999997E-3</v>
      </c>
    </row>
    <row r="101" spans="2:14" x14ac:dyDescent="0.25">
      <c r="B101" s="47">
        <v>94</v>
      </c>
      <c r="C101">
        <v>5.0000000000000001E-3</v>
      </c>
      <c r="D101">
        <v>4.4000000000000003E-3</v>
      </c>
      <c r="E101" s="85">
        <v>5.0000000000000001E-3</v>
      </c>
      <c r="F101" s="85">
        <v>4.0000000596049998E-3</v>
      </c>
      <c r="G101" s="88">
        <v>5.0000000000000001E-3</v>
      </c>
      <c r="H101" s="88">
        <v>5.0000000000000001E-3</v>
      </c>
      <c r="I101" s="90">
        <f t="shared" si="4"/>
        <v>2.6999999999999997E-3</v>
      </c>
      <c r="J101" s="90">
        <f t="shared" si="5"/>
        <v>2.3999999999999998E-3</v>
      </c>
      <c r="K101" s="90">
        <f t="shared" si="6"/>
        <v>6.2999999999999992E-3</v>
      </c>
      <c r="L101" s="90">
        <f t="shared" si="7"/>
        <v>5.5999999999999999E-3</v>
      </c>
      <c r="M101" s="70">
        <v>4.4999999999999997E-3</v>
      </c>
      <c r="N101" s="70">
        <v>4.0000000000000001E-3</v>
      </c>
    </row>
    <row r="102" spans="2:14" x14ac:dyDescent="0.25">
      <c r="B102" s="47">
        <v>95</v>
      </c>
      <c r="C102">
        <v>4.4999999999999997E-3</v>
      </c>
      <c r="D102">
        <v>4.0000000000000001E-3</v>
      </c>
      <c r="E102" s="85">
        <v>4.0000000596049998E-3</v>
      </c>
      <c r="F102" s="85">
        <v>4.0000000596049998E-3</v>
      </c>
      <c r="G102" s="88">
        <v>5.0000000000000001E-3</v>
      </c>
      <c r="H102" s="88">
        <v>4.0000000000000001E-3</v>
      </c>
      <c r="I102" s="90">
        <f t="shared" si="4"/>
        <v>2.3999999999999998E-3</v>
      </c>
      <c r="J102" s="90">
        <f t="shared" si="5"/>
        <v>2.3999999999999998E-3</v>
      </c>
      <c r="K102" s="90">
        <f t="shared" si="6"/>
        <v>5.5999999999999999E-3</v>
      </c>
      <c r="L102" s="90">
        <f t="shared" si="7"/>
        <v>5.5999999999999999E-3</v>
      </c>
      <c r="M102" s="70">
        <v>4.0000000000000001E-3</v>
      </c>
      <c r="N102" s="70">
        <v>4.0000000000000001E-3</v>
      </c>
    </row>
    <row r="103" spans="2:14" x14ac:dyDescent="0.25">
      <c r="B103" s="47">
        <v>96</v>
      </c>
      <c r="C103">
        <v>4.0000000000000001E-3</v>
      </c>
      <c r="D103">
        <v>3.5999999999999999E-3</v>
      </c>
      <c r="E103" s="85">
        <v>4.0000000596049998E-3</v>
      </c>
      <c r="F103" s="85">
        <v>4.0000000596049998E-3</v>
      </c>
      <c r="G103" s="88">
        <v>4.0000000000000001E-3</v>
      </c>
      <c r="H103" s="88">
        <v>4.0000000000000001E-3</v>
      </c>
      <c r="I103" s="90">
        <f t="shared" si="4"/>
        <v>2.0999999999999999E-3</v>
      </c>
      <c r="J103" s="90">
        <f t="shared" si="5"/>
        <v>2.0999999999999999E-3</v>
      </c>
      <c r="K103" s="90">
        <f t="shared" si="6"/>
        <v>4.8999999999999998E-3</v>
      </c>
      <c r="L103" s="90">
        <f t="shared" si="7"/>
        <v>4.8999999999999998E-3</v>
      </c>
      <c r="M103" s="70">
        <v>3.5000000000000001E-3</v>
      </c>
      <c r="N103" s="70">
        <v>3.5000000000000001E-3</v>
      </c>
    </row>
    <row r="104" spans="2:14" x14ac:dyDescent="0.25">
      <c r="B104" s="47">
        <v>97</v>
      </c>
      <c r="C104">
        <v>3.5000000000000001E-3</v>
      </c>
      <c r="D104">
        <v>3.2000000000000002E-3</v>
      </c>
      <c r="E104" s="85">
        <v>3.0000001192089999E-3</v>
      </c>
      <c r="F104" s="85">
        <v>3.0000001192089999E-3</v>
      </c>
      <c r="G104" s="88">
        <v>4.0000000000000001E-3</v>
      </c>
      <c r="H104" s="88">
        <v>4.0000000000000001E-3</v>
      </c>
      <c r="I104" s="90">
        <f t="shared" si="4"/>
        <v>1.8E-3</v>
      </c>
      <c r="J104" s="90">
        <f t="shared" si="5"/>
        <v>1.8E-3</v>
      </c>
      <c r="K104" s="90">
        <f t="shared" si="6"/>
        <v>4.1999999999999997E-3</v>
      </c>
      <c r="L104" s="90">
        <f t="shared" si="7"/>
        <v>4.1999999999999997E-3</v>
      </c>
      <c r="M104" s="70">
        <v>3.0000000000000001E-3</v>
      </c>
      <c r="N104" s="70">
        <v>3.0000000000000001E-3</v>
      </c>
    </row>
    <row r="105" spans="2:14" x14ac:dyDescent="0.25">
      <c r="B105" s="47">
        <v>98</v>
      </c>
      <c r="C105">
        <v>3.0000000000000001E-3</v>
      </c>
      <c r="D105">
        <v>2.8E-3</v>
      </c>
      <c r="E105" s="85">
        <v>3.0000001192089999E-3</v>
      </c>
      <c r="F105" s="85">
        <v>3.0000001192089999E-3</v>
      </c>
      <c r="G105" s="88">
        <v>3.0000000000000001E-3</v>
      </c>
      <c r="H105" s="88">
        <v>3.0000000000000001E-3</v>
      </c>
      <c r="I105" s="90">
        <f t="shared" si="4"/>
        <v>1.5E-3</v>
      </c>
      <c r="J105" s="90">
        <f t="shared" si="5"/>
        <v>1.5E-3</v>
      </c>
      <c r="K105" s="90">
        <f t="shared" si="6"/>
        <v>3.4999999999999996E-3</v>
      </c>
      <c r="L105" s="90">
        <f t="shared" si="7"/>
        <v>3.4999999999999996E-3</v>
      </c>
      <c r="M105" s="70">
        <v>2.5000000000000001E-3</v>
      </c>
      <c r="N105" s="70">
        <v>2.5000000000000001E-3</v>
      </c>
    </row>
    <row r="106" spans="2:14" x14ac:dyDescent="0.25">
      <c r="B106" s="47">
        <v>99</v>
      </c>
      <c r="C106">
        <v>2.5000000000000001E-3</v>
      </c>
      <c r="D106">
        <v>2.3999999999999998E-3</v>
      </c>
      <c r="E106" s="85">
        <v>2.0000000298019999E-3</v>
      </c>
      <c r="F106" s="85">
        <v>2.0000000298019999E-3</v>
      </c>
      <c r="G106" s="88">
        <v>3.0000000000000001E-3</v>
      </c>
      <c r="H106" s="88">
        <v>3.0000000000000001E-3</v>
      </c>
      <c r="I106" s="90">
        <f t="shared" si="4"/>
        <v>1.1999999999999999E-3</v>
      </c>
      <c r="J106" s="90">
        <f t="shared" si="5"/>
        <v>1.1999999999999999E-3</v>
      </c>
      <c r="K106" s="90">
        <f t="shared" si="6"/>
        <v>2.8E-3</v>
      </c>
      <c r="L106" s="90">
        <f t="shared" si="7"/>
        <v>2.8E-3</v>
      </c>
      <c r="M106" s="70">
        <v>2E-3</v>
      </c>
      <c r="N106" s="70">
        <v>2E-3</v>
      </c>
    </row>
    <row r="107" spans="2:14" x14ac:dyDescent="0.25">
      <c r="B107" s="47">
        <v>100</v>
      </c>
      <c r="C107">
        <v>2E-3</v>
      </c>
      <c r="D107">
        <v>2E-3</v>
      </c>
      <c r="E107" s="85">
        <v>2.0000000298019999E-3</v>
      </c>
      <c r="F107" s="85">
        <v>2.0000000298019999E-3</v>
      </c>
      <c r="G107" s="88">
        <v>2E-3</v>
      </c>
      <c r="H107" s="88">
        <v>2E-3</v>
      </c>
      <c r="I107" s="90">
        <f t="shared" si="4"/>
        <v>1.1999999999999999E-3</v>
      </c>
      <c r="J107" s="90">
        <f t="shared" si="5"/>
        <v>1.1999999999999999E-3</v>
      </c>
      <c r="K107" s="90">
        <f t="shared" si="6"/>
        <v>2.8E-3</v>
      </c>
      <c r="L107" s="90">
        <f t="shared" si="7"/>
        <v>2.8E-3</v>
      </c>
      <c r="M107" s="70">
        <v>2E-3</v>
      </c>
      <c r="N107" s="70">
        <v>2E-3</v>
      </c>
    </row>
    <row r="108" spans="2:14" x14ac:dyDescent="0.25">
      <c r="B108" s="47">
        <v>101</v>
      </c>
      <c r="C108">
        <v>1.6000000000000001E-3</v>
      </c>
      <c r="D108">
        <v>1.6000000000000001E-3</v>
      </c>
      <c r="E108" s="85">
        <v>2.0000000298019999E-3</v>
      </c>
      <c r="F108" s="85">
        <v>2.0000000298019999E-3</v>
      </c>
      <c r="G108" s="88">
        <v>2E-3</v>
      </c>
      <c r="H108" s="88">
        <v>2E-3</v>
      </c>
      <c r="I108" s="90">
        <f t="shared" si="4"/>
        <v>8.9999999999999998E-4</v>
      </c>
      <c r="J108" s="90">
        <f t="shared" si="5"/>
        <v>8.9999999999999998E-4</v>
      </c>
      <c r="K108" s="90">
        <f t="shared" si="6"/>
        <v>2.0999999999999999E-3</v>
      </c>
      <c r="L108" s="90">
        <f t="shared" si="7"/>
        <v>2.0999999999999999E-3</v>
      </c>
      <c r="M108" s="70">
        <v>1.5E-3</v>
      </c>
      <c r="N108" s="70">
        <v>1.5E-3</v>
      </c>
    </row>
    <row r="109" spans="2:14" x14ac:dyDescent="0.25">
      <c r="B109" s="47">
        <v>102</v>
      </c>
      <c r="C109">
        <v>1.1999999999999999E-3</v>
      </c>
      <c r="D109">
        <v>1.1999999999999999E-3</v>
      </c>
      <c r="E109" s="85">
        <v>1.0000000149009999E-3</v>
      </c>
      <c r="F109" s="85">
        <v>1.0000000149009999E-3</v>
      </c>
      <c r="G109" s="88">
        <v>2E-3</v>
      </c>
      <c r="H109" s="88">
        <v>2E-3</v>
      </c>
      <c r="I109" s="90">
        <f t="shared" si="4"/>
        <v>5.9999999999999995E-4</v>
      </c>
      <c r="J109" s="90">
        <f t="shared" si="5"/>
        <v>5.9999999999999995E-4</v>
      </c>
      <c r="K109" s="90">
        <f t="shared" si="6"/>
        <v>1.4E-3</v>
      </c>
      <c r="L109" s="90">
        <f t="shared" si="7"/>
        <v>1.4E-3</v>
      </c>
      <c r="M109" s="70">
        <v>1E-3</v>
      </c>
      <c r="N109" s="70">
        <v>1E-3</v>
      </c>
    </row>
    <row r="110" spans="2:14" x14ac:dyDescent="0.25">
      <c r="B110" s="47">
        <v>103</v>
      </c>
      <c r="C110">
        <v>8.0000000000000004E-4</v>
      </c>
      <c r="D110">
        <v>8.0000000000000004E-4</v>
      </c>
      <c r="E110" s="85">
        <v>1.0000000149009999E-3</v>
      </c>
      <c r="F110" s="85">
        <v>1.0000000149009999E-3</v>
      </c>
      <c r="G110" s="88">
        <v>1E-3</v>
      </c>
      <c r="H110" s="88">
        <v>1E-3</v>
      </c>
      <c r="I110" s="90">
        <f t="shared" si="4"/>
        <v>2.9999999999999997E-4</v>
      </c>
      <c r="J110" s="90">
        <f t="shared" si="5"/>
        <v>2.9999999999999997E-4</v>
      </c>
      <c r="K110" s="90">
        <f t="shared" si="6"/>
        <v>6.9999999999999999E-4</v>
      </c>
      <c r="L110" s="90">
        <f t="shared" si="7"/>
        <v>6.9999999999999999E-4</v>
      </c>
      <c r="M110" s="70">
        <v>5.0000000000000001E-4</v>
      </c>
      <c r="N110" s="70">
        <v>5.0000000000000001E-4</v>
      </c>
    </row>
    <row r="111" spans="2:14" x14ac:dyDescent="0.25">
      <c r="B111" s="47">
        <v>104</v>
      </c>
      <c r="C111">
        <v>4.0000000000000002E-4</v>
      </c>
      <c r="D111">
        <v>4.0000000000000002E-4</v>
      </c>
      <c r="E111" s="85">
        <v>0</v>
      </c>
      <c r="F111" s="85">
        <v>0</v>
      </c>
      <c r="G111" s="88">
        <v>1E-3</v>
      </c>
      <c r="H111" s="88">
        <v>1E-3</v>
      </c>
      <c r="I111" s="90">
        <f t="shared" si="4"/>
        <v>0</v>
      </c>
      <c r="J111" s="90">
        <f t="shared" si="5"/>
        <v>0</v>
      </c>
      <c r="K111" s="90">
        <f t="shared" si="6"/>
        <v>0</v>
      </c>
      <c r="L111" s="90">
        <f t="shared" si="7"/>
        <v>0</v>
      </c>
      <c r="M111" s="88">
        <v>0</v>
      </c>
      <c r="N111" s="88">
        <v>0</v>
      </c>
    </row>
    <row r="112" spans="2:14" x14ac:dyDescent="0.25">
      <c r="B112" s="47">
        <v>105</v>
      </c>
      <c r="C112">
        <v>0</v>
      </c>
      <c r="D112">
        <v>0</v>
      </c>
      <c r="E112" s="85">
        <v>0</v>
      </c>
      <c r="F112" s="85">
        <v>0</v>
      </c>
      <c r="G112" s="88">
        <v>0</v>
      </c>
      <c r="H112" s="88">
        <v>0</v>
      </c>
      <c r="I112" s="90">
        <f t="shared" si="4"/>
        <v>0</v>
      </c>
      <c r="J112" s="90">
        <f t="shared" si="5"/>
        <v>0</v>
      </c>
      <c r="K112" s="90">
        <f t="shared" si="6"/>
        <v>0</v>
      </c>
      <c r="L112" s="90">
        <f t="shared" si="7"/>
        <v>0</v>
      </c>
      <c r="M112" s="88">
        <v>0</v>
      </c>
      <c r="N112" s="88">
        <v>0</v>
      </c>
    </row>
    <row r="113" spans="2:14" x14ac:dyDescent="0.25">
      <c r="B113" s="47">
        <v>106</v>
      </c>
      <c r="C113">
        <v>0</v>
      </c>
      <c r="D113">
        <v>0</v>
      </c>
      <c r="E113" s="85">
        <v>0</v>
      </c>
      <c r="F113" s="85">
        <v>0</v>
      </c>
      <c r="G113" s="88">
        <v>0</v>
      </c>
      <c r="H113" s="88">
        <v>0</v>
      </c>
      <c r="I113" s="90">
        <f t="shared" si="4"/>
        <v>0</v>
      </c>
      <c r="J113" s="90">
        <f t="shared" si="5"/>
        <v>0</v>
      </c>
      <c r="K113" s="90">
        <f t="shared" si="6"/>
        <v>0</v>
      </c>
      <c r="L113" s="90">
        <f t="shared" si="7"/>
        <v>0</v>
      </c>
      <c r="M113" s="88">
        <v>0</v>
      </c>
      <c r="N113" s="88">
        <v>0</v>
      </c>
    </row>
    <row r="114" spans="2:14" x14ac:dyDescent="0.25">
      <c r="B114" s="47">
        <v>107</v>
      </c>
      <c r="C114">
        <v>0</v>
      </c>
      <c r="D114">
        <v>0</v>
      </c>
      <c r="E114" s="85">
        <v>0</v>
      </c>
      <c r="F114" s="85">
        <v>0</v>
      </c>
      <c r="G114" s="89">
        <v>0</v>
      </c>
      <c r="H114" s="89">
        <v>0</v>
      </c>
      <c r="I114" s="90">
        <f t="shared" si="4"/>
        <v>0</v>
      </c>
      <c r="J114" s="90">
        <f t="shared" si="5"/>
        <v>0</v>
      </c>
      <c r="K114" s="90">
        <f t="shared" si="6"/>
        <v>0</v>
      </c>
      <c r="L114" s="90">
        <f t="shared" si="7"/>
        <v>0</v>
      </c>
      <c r="M114" s="89">
        <v>0</v>
      </c>
      <c r="N114" s="89">
        <v>0</v>
      </c>
    </row>
    <row r="115" spans="2:14" x14ac:dyDescent="0.25">
      <c r="B115" s="47">
        <v>108</v>
      </c>
      <c r="C115">
        <v>0</v>
      </c>
      <c r="D115">
        <v>0</v>
      </c>
      <c r="E115" s="85">
        <v>0</v>
      </c>
      <c r="F115" s="85">
        <v>0</v>
      </c>
      <c r="G115" s="89">
        <v>0</v>
      </c>
      <c r="H115" s="89">
        <v>0</v>
      </c>
      <c r="I115" s="90">
        <f t="shared" si="4"/>
        <v>0</v>
      </c>
      <c r="J115" s="90">
        <f t="shared" si="5"/>
        <v>0</v>
      </c>
      <c r="K115" s="90">
        <f t="shared" si="6"/>
        <v>0</v>
      </c>
      <c r="L115" s="90">
        <f t="shared" si="7"/>
        <v>0</v>
      </c>
      <c r="M115" s="89">
        <v>0</v>
      </c>
      <c r="N115" s="89">
        <v>0</v>
      </c>
    </row>
    <row r="116" spans="2:14" x14ac:dyDescent="0.25">
      <c r="B116" s="47">
        <v>109</v>
      </c>
      <c r="C116">
        <v>0</v>
      </c>
      <c r="D116">
        <v>0</v>
      </c>
      <c r="E116" s="85">
        <v>0</v>
      </c>
      <c r="F116" s="85">
        <v>0</v>
      </c>
      <c r="G116" s="89">
        <v>0</v>
      </c>
      <c r="H116" s="89">
        <v>0</v>
      </c>
      <c r="I116" s="90">
        <f t="shared" si="4"/>
        <v>0</v>
      </c>
      <c r="J116" s="90">
        <f t="shared" si="5"/>
        <v>0</v>
      </c>
      <c r="K116" s="90">
        <f t="shared" si="6"/>
        <v>0</v>
      </c>
      <c r="L116" s="90">
        <f t="shared" si="7"/>
        <v>0</v>
      </c>
      <c r="M116" s="89">
        <v>0</v>
      </c>
      <c r="N116" s="89">
        <v>0</v>
      </c>
    </row>
    <row r="117" spans="2:14" x14ac:dyDescent="0.25">
      <c r="B117" s="47">
        <v>110</v>
      </c>
      <c r="C117">
        <v>0</v>
      </c>
      <c r="D117">
        <v>0</v>
      </c>
      <c r="E117" s="85">
        <v>0</v>
      </c>
      <c r="F117" s="85">
        <v>0</v>
      </c>
      <c r="G117" s="89">
        <v>0</v>
      </c>
      <c r="H117" s="89">
        <v>0</v>
      </c>
      <c r="I117" s="90">
        <f t="shared" si="4"/>
        <v>0</v>
      </c>
      <c r="J117" s="90">
        <f t="shared" si="5"/>
        <v>0</v>
      </c>
      <c r="K117" s="90">
        <f t="shared" si="6"/>
        <v>0</v>
      </c>
      <c r="L117" s="90">
        <f t="shared" si="7"/>
        <v>0</v>
      </c>
      <c r="M117" s="89">
        <v>0</v>
      </c>
      <c r="N117" s="89">
        <v>0</v>
      </c>
    </row>
    <row r="118" spans="2:14" x14ac:dyDescent="0.25">
      <c r="B118" s="47">
        <v>111</v>
      </c>
      <c r="C118">
        <v>0</v>
      </c>
      <c r="D118">
        <v>0</v>
      </c>
      <c r="E118" s="85">
        <v>0</v>
      </c>
      <c r="F118" s="85">
        <v>0</v>
      </c>
      <c r="G118" s="89">
        <v>0</v>
      </c>
      <c r="H118" s="89">
        <v>0</v>
      </c>
      <c r="I118" s="90">
        <f t="shared" si="4"/>
        <v>0</v>
      </c>
      <c r="J118" s="90">
        <f t="shared" si="5"/>
        <v>0</v>
      </c>
      <c r="K118" s="90">
        <f t="shared" si="6"/>
        <v>0</v>
      </c>
      <c r="L118" s="90">
        <f t="shared" si="7"/>
        <v>0</v>
      </c>
      <c r="M118" s="89">
        <v>0</v>
      </c>
      <c r="N118" s="89">
        <v>0</v>
      </c>
    </row>
    <row r="119" spans="2:14" x14ac:dyDescent="0.25">
      <c r="B119" s="47">
        <v>112</v>
      </c>
      <c r="C119">
        <v>0</v>
      </c>
      <c r="D119">
        <v>0</v>
      </c>
      <c r="E119" s="85">
        <v>0</v>
      </c>
      <c r="F119" s="85">
        <v>0</v>
      </c>
      <c r="G119" s="89">
        <v>0</v>
      </c>
      <c r="H119" s="89">
        <v>0</v>
      </c>
      <c r="I119" s="90">
        <f t="shared" si="4"/>
        <v>0</v>
      </c>
      <c r="J119" s="90">
        <f t="shared" si="5"/>
        <v>0</v>
      </c>
      <c r="K119" s="90">
        <f t="shared" si="6"/>
        <v>0</v>
      </c>
      <c r="L119" s="90">
        <f t="shared" si="7"/>
        <v>0</v>
      </c>
      <c r="M119" s="89">
        <v>0</v>
      </c>
      <c r="N119" s="89">
        <v>0</v>
      </c>
    </row>
    <row r="120" spans="2:14" x14ac:dyDescent="0.25">
      <c r="B120" s="47">
        <v>113</v>
      </c>
      <c r="C120">
        <v>0</v>
      </c>
      <c r="D120">
        <v>0</v>
      </c>
      <c r="E120" s="85">
        <v>0</v>
      </c>
      <c r="F120" s="85">
        <v>0</v>
      </c>
      <c r="G120" s="89">
        <v>0</v>
      </c>
      <c r="H120" s="89">
        <v>0</v>
      </c>
      <c r="I120" s="90">
        <f t="shared" si="4"/>
        <v>0</v>
      </c>
      <c r="J120" s="90">
        <f t="shared" si="5"/>
        <v>0</v>
      </c>
      <c r="K120" s="90">
        <f t="shared" si="6"/>
        <v>0</v>
      </c>
      <c r="L120" s="90">
        <f t="shared" si="7"/>
        <v>0</v>
      </c>
      <c r="M120" s="89">
        <v>0</v>
      </c>
      <c r="N120" s="89">
        <v>0</v>
      </c>
    </row>
    <row r="121" spans="2:14" x14ac:dyDescent="0.25">
      <c r="B121" s="47">
        <v>114</v>
      </c>
      <c r="C121">
        <v>0</v>
      </c>
      <c r="D121">
        <v>0</v>
      </c>
      <c r="E121" s="85">
        <v>0</v>
      </c>
      <c r="F121" s="85">
        <v>0</v>
      </c>
      <c r="G121" s="89">
        <v>0</v>
      </c>
      <c r="H121" s="89">
        <v>0</v>
      </c>
      <c r="I121" s="90">
        <f t="shared" si="4"/>
        <v>0</v>
      </c>
      <c r="J121" s="90">
        <f t="shared" si="5"/>
        <v>0</v>
      </c>
      <c r="K121" s="90">
        <f t="shared" si="6"/>
        <v>0</v>
      </c>
      <c r="L121" s="90">
        <f t="shared" si="7"/>
        <v>0</v>
      </c>
      <c r="M121" s="89">
        <v>0</v>
      </c>
      <c r="N121" s="89">
        <v>0</v>
      </c>
    </row>
    <row r="122" spans="2:14" x14ac:dyDescent="0.25">
      <c r="B122" s="47">
        <v>115</v>
      </c>
      <c r="C122">
        <v>0</v>
      </c>
      <c r="D122">
        <v>0</v>
      </c>
      <c r="E122" s="85">
        <v>0</v>
      </c>
      <c r="F122" s="85">
        <v>0</v>
      </c>
      <c r="G122" s="89">
        <v>0</v>
      </c>
      <c r="H122" s="89">
        <v>0</v>
      </c>
      <c r="I122" s="90">
        <f t="shared" si="4"/>
        <v>0</v>
      </c>
      <c r="J122" s="90">
        <f t="shared" si="5"/>
        <v>0</v>
      </c>
      <c r="K122" s="90">
        <f t="shared" si="6"/>
        <v>0</v>
      </c>
      <c r="L122" s="90">
        <f t="shared" si="7"/>
        <v>0</v>
      </c>
      <c r="M122" s="89">
        <v>0</v>
      </c>
      <c r="N122" s="89">
        <v>0</v>
      </c>
    </row>
    <row r="123" spans="2:14" x14ac:dyDescent="0.25">
      <c r="B123" s="47">
        <f t="shared" ref="B123:B126" si="8">B122+1</f>
        <v>116</v>
      </c>
      <c r="C123" s="70">
        <v>0</v>
      </c>
      <c r="D123" s="70">
        <v>0</v>
      </c>
      <c r="E123" s="85">
        <v>0</v>
      </c>
      <c r="F123" s="85">
        <v>0</v>
      </c>
      <c r="G123" s="89">
        <v>0</v>
      </c>
      <c r="H123" s="89">
        <v>0</v>
      </c>
      <c r="I123" s="90">
        <f t="shared" si="4"/>
        <v>0</v>
      </c>
      <c r="J123" s="90">
        <f t="shared" si="5"/>
        <v>0</v>
      </c>
      <c r="K123" s="90">
        <f t="shared" si="6"/>
        <v>0</v>
      </c>
      <c r="L123" s="90">
        <f t="shared" si="7"/>
        <v>0</v>
      </c>
      <c r="M123" s="88">
        <v>0</v>
      </c>
      <c r="N123" s="88">
        <v>0</v>
      </c>
    </row>
    <row r="124" spans="2:14" x14ac:dyDescent="0.25">
      <c r="B124" s="47">
        <f t="shared" si="8"/>
        <v>117</v>
      </c>
      <c r="C124" s="70">
        <v>0</v>
      </c>
      <c r="D124" s="70">
        <v>0</v>
      </c>
      <c r="E124" s="85">
        <v>0</v>
      </c>
      <c r="F124" s="85">
        <v>0</v>
      </c>
      <c r="G124" s="89">
        <v>0</v>
      </c>
      <c r="H124" s="89">
        <v>0</v>
      </c>
      <c r="I124" s="90">
        <f t="shared" si="4"/>
        <v>0</v>
      </c>
      <c r="J124" s="90">
        <f t="shared" si="5"/>
        <v>0</v>
      </c>
      <c r="K124" s="90">
        <f t="shared" si="6"/>
        <v>0</v>
      </c>
      <c r="L124" s="90">
        <f t="shared" si="7"/>
        <v>0</v>
      </c>
      <c r="M124" s="88">
        <v>0</v>
      </c>
      <c r="N124" s="88">
        <v>0</v>
      </c>
    </row>
    <row r="125" spans="2:14" x14ac:dyDescent="0.25">
      <c r="B125" s="47">
        <f t="shared" si="8"/>
        <v>118</v>
      </c>
      <c r="C125" s="70">
        <v>0</v>
      </c>
      <c r="D125" s="70">
        <v>0</v>
      </c>
      <c r="E125" s="85">
        <v>0</v>
      </c>
      <c r="F125" s="85">
        <v>0</v>
      </c>
      <c r="G125" s="89">
        <v>0</v>
      </c>
      <c r="H125" s="89">
        <v>0</v>
      </c>
      <c r="I125" s="90">
        <f t="shared" si="4"/>
        <v>0</v>
      </c>
      <c r="J125" s="90">
        <f t="shared" si="5"/>
        <v>0</v>
      </c>
      <c r="K125" s="90">
        <f t="shared" si="6"/>
        <v>0</v>
      </c>
      <c r="L125" s="90">
        <f t="shared" si="7"/>
        <v>0</v>
      </c>
      <c r="M125" s="88">
        <v>0</v>
      </c>
      <c r="N125" s="88">
        <v>0</v>
      </c>
    </row>
    <row r="126" spans="2:14" x14ac:dyDescent="0.25">
      <c r="B126" s="47">
        <f t="shared" si="8"/>
        <v>119</v>
      </c>
      <c r="C126" s="70">
        <v>0</v>
      </c>
      <c r="D126" s="70">
        <v>0</v>
      </c>
      <c r="E126" s="85">
        <v>0</v>
      </c>
      <c r="F126" s="85">
        <v>0</v>
      </c>
      <c r="G126" s="89">
        <v>0</v>
      </c>
      <c r="H126" s="89">
        <v>0</v>
      </c>
      <c r="I126" s="90">
        <f t="shared" si="4"/>
        <v>0</v>
      </c>
      <c r="J126" s="90">
        <f t="shared" si="5"/>
        <v>0</v>
      </c>
      <c r="K126" s="90">
        <f t="shared" si="6"/>
        <v>0</v>
      </c>
      <c r="L126" s="90">
        <f t="shared" si="7"/>
        <v>0</v>
      </c>
      <c r="M126" s="88">
        <v>0</v>
      </c>
      <c r="N126" s="88">
        <v>0</v>
      </c>
    </row>
  </sheetData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D11"/>
  <sheetViews>
    <sheetView showGridLines="0" zoomScaleNormal="100" workbookViewId="0"/>
  </sheetViews>
  <sheetFormatPr defaultColWidth="15.7265625" defaultRowHeight="12.5" x14ac:dyDescent="0.25"/>
  <cols>
    <col min="1" max="1" width="11.54296875" style="17" customWidth="1"/>
    <col min="2" max="2" width="30.7265625" style="17" customWidth="1"/>
    <col min="3" max="5" width="15.7265625" style="12" customWidth="1"/>
    <col min="6" max="16384" width="15.7265625" style="12"/>
  </cols>
  <sheetData>
    <row r="1" spans="1:4" ht="15.5" x14ac:dyDescent="0.25">
      <c r="A1" s="16" t="s">
        <v>6</v>
      </c>
      <c r="B1" s="15" t="s">
        <v>17</v>
      </c>
      <c r="C1" s="13"/>
    </row>
    <row r="2" spans="1:4" ht="12.75" customHeight="1" x14ac:dyDescent="0.25">
      <c r="A2" s="16"/>
      <c r="B2" s="15"/>
      <c r="C2" s="13"/>
    </row>
    <row r="3" spans="1:4" ht="13" x14ac:dyDescent="0.25">
      <c r="B3" s="18" t="e">
        <f>GetNameRange(B4)</f>
        <v>#VALUE!</v>
      </c>
    </row>
    <row r="4" spans="1:4" ht="13" x14ac:dyDescent="0.25">
      <c r="A4" s="29"/>
      <c r="B4" s="30" t="s">
        <v>9</v>
      </c>
      <c r="C4" s="31" t="s">
        <v>7</v>
      </c>
      <c r="D4" s="32" t="s">
        <v>7</v>
      </c>
    </row>
    <row r="5" spans="1:4" ht="13" x14ac:dyDescent="0.25">
      <c r="A5" s="29"/>
      <c r="B5" s="33" t="s">
        <v>10</v>
      </c>
      <c r="C5" s="31" t="s">
        <v>12</v>
      </c>
      <c r="D5" s="34" t="s">
        <v>18</v>
      </c>
    </row>
    <row r="6" spans="1:4" ht="13" x14ac:dyDescent="0.25">
      <c r="A6" s="29"/>
      <c r="B6" s="33" t="s">
        <v>11</v>
      </c>
      <c r="C6" s="31">
        <v>0</v>
      </c>
      <c r="D6" s="34">
        <v>0</v>
      </c>
    </row>
    <row r="7" spans="1:4" ht="13" x14ac:dyDescent="0.25">
      <c r="A7" s="29" t="s">
        <v>5</v>
      </c>
      <c r="B7" s="62" t="s">
        <v>8</v>
      </c>
      <c r="C7" s="35"/>
      <c r="D7" s="36"/>
    </row>
    <row r="8" spans="1:4" x14ac:dyDescent="0.25">
      <c r="A8" s="22">
        <v>0</v>
      </c>
      <c r="B8" s="63">
        <v>1</v>
      </c>
      <c r="C8" s="25">
        <v>0</v>
      </c>
      <c r="D8" s="23">
        <v>0</v>
      </c>
    </row>
    <row r="9" spans="1:4" customFormat="1" x14ac:dyDescent="0.25"/>
    <row r="10" spans="1:4" customFormat="1" x14ac:dyDescent="0.25"/>
    <row r="11" spans="1:4" x14ac:dyDescent="0.25">
      <c r="D11" s="14"/>
    </row>
  </sheetData>
  <conditionalFormatting sqref="C8">
    <cfRule type="cellIs" dxfId="3" priority="3" operator="equal">
      <formula>""</formula>
    </cfRule>
    <cfRule type="cellIs" dxfId="2" priority="4" operator="notEqual">
      <formula>$A8</formula>
    </cfRule>
  </conditionalFormatting>
  <conditionalFormatting sqref="D8">
    <cfRule type="cellIs" dxfId="1" priority="1" operator="equal">
      <formula>""</formula>
    </cfRule>
    <cfRule type="cellIs" dxfId="0" priority="2" operator="notEqual">
      <formula>$A8</formula>
    </cfRule>
  </conditionalFormatting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schemas.microsoft.com/office/2006/documentManagement/types"/>
    <ds:schemaRef ds:uri="http://purl.org/dc/dcmitype/"/>
    <ds:schemaRef ds:uri="http://www.w3.org/XML/1998/namespace"/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Change Log</vt:lpstr>
      <vt:lpstr>Table of Contents</vt:lpstr>
      <vt:lpstr>StatCarvmMortMult</vt:lpstr>
      <vt:lpstr>TaxCarvmMortMult</vt:lpstr>
      <vt:lpstr>PurchMortBaseMult</vt:lpstr>
      <vt:lpstr>MortMult</vt:lpstr>
      <vt:lpstr>MortImprvm</vt:lpstr>
      <vt:lpstr>MortAddn</vt:lpstr>
      <vt:lpstr>mort_improve_pct</vt:lpstr>
      <vt:lpstr>MortAddn</vt:lpstr>
      <vt:lpstr>MortMult</vt:lpstr>
      <vt:lpstr>PurchMortMult</vt:lpstr>
      <vt:lpstr>StatCarvmMortMult</vt:lpstr>
      <vt:lpstr>TaxCarvmMortMult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Mcgrath, Kevin</cp:lastModifiedBy>
  <cp:lastPrinted>2013-07-12T20:12:54Z</cp:lastPrinted>
  <dcterms:created xsi:type="dcterms:W3CDTF">2013-06-26T20:08:07Z</dcterms:created>
  <dcterms:modified xsi:type="dcterms:W3CDTF">2024-08-28T13:58:33Z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