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IAv3.3Gen2\2025Plan\v4.2_v7_FAIA_2025Updates\Projects\Fixed Indexed Annuity\ProjectData\2013YearEnd\Assumptions\"/>
    </mc:Choice>
  </mc:AlternateContent>
  <xr:revisionPtr revIDLastSave="0" documentId="13_ncr:1_{4DAEAE2D-378D-4119-9BFE-E45F9BC7F0A6}" xr6:coauthVersionLast="36" xr6:coauthVersionMax="47" xr10:uidLastSave="{00000000-0000-0000-0000-000000000000}"/>
  <bookViews>
    <workbookView xWindow="28800" yWindow="0" windowWidth="14400" windowHeight="15600" tabRatio="757" activeTab="2" xr2:uid="{00000000-000D-0000-FFFF-FFFF00000000}"/>
  </bookViews>
  <sheets>
    <sheet name="Change Log" sheetId="12" r:id="rId1"/>
    <sheet name="Table of Contents" sheetId="13" r:id="rId2"/>
    <sheet name="Upfront" sheetId="32" r:id="rId3"/>
    <sheet name="Trail" sheetId="28" r:id="rId4"/>
    <sheet name="LicensingFee" sheetId="33" r:id="rId5"/>
    <sheet name="InflationRate" sheetId="34" r:id="rId6"/>
  </sheets>
  <functionGroups builtInGroupCount="19"/>
  <definedNames>
    <definedName name="InflationRate">InflationRate!$B$4:$Q$11</definedName>
    <definedName name="LicensingFee">LicensingFee!$B$4:$AL$18</definedName>
    <definedName name="trail_comm_rate">Trail!$B$4:$HI$37</definedName>
    <definedName name="Upfront">Upfront!$B$4:$RD$8</definedName>
  </definedNames>
  <calcPr calcId="191029"/>
</workbook>
</file>

<file path=xl/calcChain.xml><?xml version="1.0" encoding="utf-8"?>
<calcChain xmlns="http://schemas.openxmlformats.org/spreadsheetml/2006/main">
  <c r="AU7" i="32" l="1"/>
  <c r="AT7" i="32"/>
  <c r="AW7" i="32"/>
  <c r="AV7" i="32"/>
  <c r="HM7" i="32" l="1"/>
  <c r="HL7" i="32"/>
  <c r="G7" i="32" l="1"/>
  <c r="H7" i="32"/>
  <c r="H4" i="32"/>
  <c r="J7" i="32"/>
  <c r="I7" i="32"/>
  <c r="G4" i="28" l="1"/>
  <c r="N4" i="28"/>
  <c r="P4" i="28"/>
  <c r="R4" i="28"/>
  <c r="U4" i="28"/>
  <c r="T4" i="28"/>
  <c r="W4" i="28"/>
  <c r="X4" i="28" s="1"/>
  <c r="Z4" i="28"/>
  <c r="AB4" i="28"/>
  <c r="AD4" i="28"/>
  <c r="AG4" i="28"/>
  <c r="AF4" i="28"/>
  <c r="AJ4" i="28"/>
  <c r="AI4" i="28"/>
  <c r="M4" i="32"/>
  <c r="Q4" i="32"/>
  <c r="T4" i="32"/>
  <c r="W4" i="32"/>
  <c r="Y4" i="32"/>
  <c r="AA4" i="32"/>
  <c r="AD4" i="32"/>
  <c r="AC4" i="32"/>
  <c r="AG4" i="32"/>
  <c r="AF4" i="32"/>
  <c r="AI4" i="32"/>
  <c r="AK4" i="32"/>
  <c r="AM4" i="32"/>
  <c r="AP4" i="32"/>
  <c r="AO4" i="32"/>
  <c r="AS4" i="32"/>
  <c r="AR4" i="32"/>
  <c r="B3" i="32"/>
  <c r="AL14" i="28" l="1"/>
  <c r="BT7" i="32" l="1"/>
  <c r="BU7" i="32"/>
  <c r="BS7" i="32"/>
  <c r="BR7" i="32"/>
  <c r="DC7" i="32"/>
  <c r="CJ7" i="32"/>
  <c r="CI7" i="32"/>
  <c r="CH7" i="32"/>
  <c r="NI7" i="32"/>
  <c r="NH7" i="32"/>
  <c r="NI4" i="32"/>
  <c r="KK7" i="32"/>
  <c r="KJ7" i="32"/>
  <c r="AM8" i="28" l="1"/>
  <c r="AM9" i="28" s="1"/>
  <c r="AM10" i="28" s="1"/>
  <c r="AM11" i="28" s="1"/>
  <c r="AM12" i="28" s="1"/>
  <c r="AM13" i="28" s="1"/>
  <c r="AM14" i="28" s="1"/>
  <c r="AM15" i="28" s="1"/>
  <c r="AM16" i="28" s="1"/>
  <c r="AM17" i="28" s="1"/>
  <c r="AM18" i="28" s="1"/>
  <c r="AM19" i="28" s="1"/>
  <c r="AM20" i="28" s="1"/>
  <c r="AM21" i="28" s="1"/>
  <c r="AM22" i="28" s="1"/>
  <c r="AM23" i="28" s="1"/>
  <c r="AM24" i="28" s="1"/>
  <c r="AM25" i="28" s="1"/>
  <c r="AM26" i="28" s="1"/>
  <c r="AM27" i="28" s="1"/>
  <c r="AM28" i="28" s="1"/>
  <c r="AM29" i="28" s="1"/>
  <c r="AM30" i="28" s="1"/>
  <c r="AM31" i="28" s="1"/>
  <c r="AM32" i="28" s="1"/>
  <c r="AM33" i="28" s="1"/>
  <c r="AM34" i="28" s="1"/>
  <c r="AM35" i="28" s="1"/>
  <c r="AM36" i="28" s="1"/>
  <c r="AM37" i="28" s="1"/>
  <c r="AM7" i="28"/>
  <c r="AO9" i="28"/>
  <c r="AO10" i="28" s="1"/>
  <c r="AO11" i="28" s="1"/>
  <c r="AO12" i="28" s="1"/>
  <c r="AO13" i="28" s="1"/>
  <c r="AO14" i="28" s="1"/>
  <c r="AO15" i="28" s="1"/>
  <c r="AO16" i="28" s="1"/>
  <c r="AO17" i="28" s="1"/>
  <c r="AO18" i="28" s="1"/>
  <c r="AO19" i="28" s="1"/>
  <c r="AO20" i="28" s="1"/>
  <c r="AO21" i="28" s="1"/>
  <c r="AO22" i="28" s="1"/>
  <c r="AO23" i="28" s="1"/>
  <c r="AO24" i="28" s="1"/>
  <c r="AO25" i="28" s="1"/>
  <c r="AO26" i="28" s="1"/>
  <c r="AO27" i="28" s="1"/>
  <c r="AO28" i="28" s="1"/>
  <c r="AO29" i="28" s="1"/>
  <c r="AO30" i="28" s="1"/>
  <c r="AO31" i="28" s="1"/>
  <c r="AO32" i="28" s="1"/>
  <c r="AO33" i="28" s="1"/>
  <c r="AO34" i="28" s="1"/>
  <c r="AO35" i="28" s="1"/>
  <c r="AO36" i="28" s="1"/>
  <c r="AO37" i="28" s="1"/>
  <c r="AN9" i="28"/>
  <c r="AN10" i="28" s="1"/>
  <c r="AN11" i="28" s="1"/>
  <c r="AN12" i="28" s="1"/>
  <c r="AN13" i="28" s="1"/>
  <c r="AN14" i="28" s="1"/>
  <c r="AN15" i="28" s="1"/>
  <c r="AN16" i="28" s="1"/>
  <c r="AN17" i="28" s="1"/>
  <c r="AN18" i="28" s="1"/>
  <c r="AN19" i="28" s="1"/>
  <c r="AN20" i="28" s="1"/>
  <c r="AN21" i="28" s="1"/>
  <c r="AN22" i="28" s="1"/>
  <c r="AN23" i="28" s="1"/>
  <c r="AN24" i="28" s="1"/>
  <c r="AN25" i="28" s="1"/>
  <c r="AN26" i="28" s="1"/>
  <c r="AN27" i="28" s="1"/>
  <c r="AN28" i="28" s="1"/>
  <c r="AN29" i="28" s="1"/>
  <c r="AN30" i="28" s="1"/>
  <c r="AN31" i="28" s="1"/>
  <c r="AN32" i="28" s="1"/>
  <c r="AN33" i="28" s="1"/>
  <c r="AN34" i="28" s="1"/>
  <c r="AN35" i="28" s="1"/>
  <c r="AN36" i="28" s="1"/>
  <c r="AN37" i="28" s="1"/>
  <c r="AQ9" i="28"/>
  <c r="AQ10" i="28" s="1"/>
  <c r="AQ11" i="28" s="1"/>
  <c r="AQ12" i="28" s="1"/>
  <c r="AQ13" i="28" s="1"/>
  <c r="AQ14" i="28" s="1"/>
  <c r="AQ15" i="28" s="1"/>
  <c r="AQ16" i="28" s="1"/>
  <c r="AQ17" i="28" s="1"/>
  <c r="AQ18" i="28" s="1"/>
  <c r="AQ19" i="28" s="1"/>
  <c r="AQ20" i="28" s="1"/>
  <c r="AQ21" i="28" s="1"/>
  <c r="AQ22" i="28" s="1"/>
  <c r="AQ23" i="28" s="1"/>
  <c r="AQ24" i="28" s="1"/>
  <c r="AQ25" i="28" s="1"/>
  <c r="AQ26" i="28" s="1"/>
  <c r="AQ27" i="28" s="1"/>
  <c r="AQ28" i="28" s="1"/>
  <c r="AQ29" i="28" s="1"/>
  <c r="AQ30" i="28" s="1"/>
  <c r="AQ31" i="28" s="1"/>
  <c r="AQ32" i="28" s="1"/>
  <c r="AQ33" i="28" s="1"/>
  <c r="AQ34" i="28" s="1"/>
  <c r="AQ35" i="28" s="1"/>
  <c r="AQ36" i="28" s="1"/>
  <c r="AQ37" i="28" s="1"/>
  <c r="AP9" i="28"/>
  <c r="AP10" i="28" s="1"/>
  <c r="AP11" i="28" s="1"/>
  <c r="AP12" i="28" s="1"/>
  <c r="AP13" i="28" s="1"/>
  <c r="AP14" i="28" s="1"/>
  <c r="AP15" i="28" s="1"/>
  <c r="AP16" i="28" s="1"/>
  <c r="AP17" i="28" s="1"/>
  <c r="AP18" i="28" s="1"/>
  <c r="AP19" i="28" s="1"/>
  <c r="AP20" i="28" s="1"/>
  <c r="AP21" i="28" s="1"/>
  <c r="AP22" i="28" s="1"/>
  <c r="AP23" i="28" s="1"/>
  <c r="AP24" i="28" s="1"/>
  <c r="AP25" i="28" s="1"/>
  <c r="AP26" i="28" s="1"/>
  <c r="AP27" i="28" s="1"/>
  <c r="AP28" i="28" s="1"/>
  <c r="AP29" i="28" s="1"/>
  <c r="AP30" i="28" s="1"/>
  <c r="AP31" i="28" s="1"/>
  <c r="AP32" i="28" s="1"/>
  <c r="AP33" i="28" s="1"/>
  <c r="AP34" i="28" s="1"/>
  <c r="AP35" i="28" s="1"/>
  <c r="AP36" i="28" s="1"/>
  <c r="AP37" i="28" s="1"/>
  <c r="AQ4" i="28"/>
  <c r="CL4" i="32"/>
  <c r="CP4" i="32"/>
  <c r="HK7" i="32" l="1"/>
  <c r="HJ7" i="32"/>
  <c r="DZ7" i="32"/>
  <c r="EA7" i="32"/>
  <c r="EB7" i="32"/>
  <c r="DY7" i="32"/>
  <c r="DR7" i="32"/>
  <c r="DS7" i="32"/>
  <c r="DT7" i="32"/>
  <c r="DQ7" i="32"/>
  <c r="DH7" i="32" l="1"/>
  <c r="DG7" i="32"/>
  <c r="DF7" i="32"/>
  <c r="DE7" i="32"/>
  <c r="DD7" i="32"/>
  <c r="DB7" i="32"/>
  <c r="DA7" i="32"/>
  <c r="AZ11" i="28"/>
  <c r="AY11" i="28"/>
  <c r="AX11" i="28"/>
  <c r="AW11" i="28"/>
  <c r="BH13" i="28"/>
  <c r="BH14" i="28" s="1"/>
  <c r="BH15" i="28" s="1"/>
  <c r="BH16" i="28" s="1"/>
  <c r="BH17" i="28" s="1"/>
  <c r="BH18" i="28" s="1"/>
  <c r="BH19" i="28" s="1"/>
  <c r="BH20" i="28" s="1"/>
  <c r="BH21" i="28" s="1"/>
  <c r="BH22" i="28" s="1"/>
  <c r="BH23" i="28" s="1"/>
  <c r="BH24" i="28" s="1"/>
  <c r="BH25" i="28" s="1"/>
  <c r="BH26" i="28" s="1"/>
  <c r="BH27" i="28" s="1"/>
  <c r="BH28" i="28" s="1"/>
  <c r="BH29" i="28" s="1"/>
  <c r="BH30" i="28" s="1"/>
  <c r="BH31" i="28" s="1"/>
  <c r="BH32" i="28" s="1"/>
  <c r="BH33" i="28" s="1"/>
  <c r="BH34" i="28" s="1"/>
  <c r="BH35" i="28" s="1"/>
  <c r="BH36" i="28" s="1"/>
  <c r="BH37" i="28" s="1"/>
  <c r="BG13" i="28"/>
  <c r="BG14" i="28" s="1"/>
  <c r="BG15" i="28" s="1"/>
  <c r="BG16" i="28" s="1"/>
  <c r="BG17" i="28" s="1"/>
  <c r="BG18" i="28" s="1"/>
  <c r="BG19" i="28" s="1"/>
  <c r="BG20" i="28" s="1"/>
  <c r="BG21" i="28" s="1"/>
  <c r="BG22" i="28" s="1"/>
  <c r="BG23" i="28" s="1"/>
  <c r="BG24" i="28" s="1"/>
  <c r="BG25" i="28" s="1"/>
  <c r="BG26" i="28" s="1"/>
  <c r="BG27" i="28" s="1"/>
  <c r="BG28" i="28" s="1"/>
  <c r="BG29" i="28" s="1"/>
  <c r="BG30" i="28" s="1"/>
  <c r="BG31" i="28" s="1"/>
  <c r="BG32" i="28" s="1"/>
  <c r="BG33" i="28" s="1"/>
  <c r="BG34" i="28" s="1"/>
  <c r="BG35" i="28" s="1"/>
  <c r="BG36" i="28" s="1"/>
  <c r="BG37" i="28" s="1"/>
  <c r="BF13" i="28"/>
  <c r="BF14" i="28" s="1"/>
  <c r="BF15" i="28" s="1"/>
  <c r="BF16" i="28" s="1"/>
  <c r="BF17" i="28" s="1"/>
  <c r="BF18" i="28" s="1"/>
  <c r="BF19" i="28" s="1"/>
  <c r="BF20" i="28" s="1"/>
  <c r="BF21" i="28" s="1"/>
  <c r="BF22" i="28" s="1"/>
  <c r="BF23" i="28" s="1"/>
  <c r="BF24" i="28" s="1"/>
  <c r="BF25" i="28" s="1"/>
  <c r="BF26" i="28" s="1"/>
  <c r="BF27" i="28" s="1"/>
  <c r="BF28" i="28" s="1"/>
  <c r="BF29" i="28" s="1"/>
  <c r="BF30" i="28" s="1"/>
  <c r="BF31" i="28" s="1"/>
  <c r="BF32" i="28" s="1"/>
  <c r="BF33" i="28" s="1"/>
  <c r="BF34" i="28" s="1"/>
  <c r="BF35" i="28" s="1"/>
  <c r="BF36" i="28" s="1"/>
  <c r="BF37" i="28" s="1"/>
  <c r="BE13" i="28"/>
  <c r="BE14" i="28" s="1"/>
  <c r="BE15" i="28" s="1"/>
  <c r="BE16" i="28" s="1"/>
  <c r="BE17" i="28" s="1"/>
  <c r="BE18" i="28" s="1"/>
  <c r="BE19" i="28" s="1"/>
  <c r="BE20" i="28" s="1"/>
  <c r="BE21" i="28" s="1"/>
  <c r="BE22" i="28" s="1"/>
  <c r="BE23" i="28" s="1"/>
  <c r="BE24" i="28" s="1"/>
  <c r="BE25" i="28" s="1"/>
  <c r="BE26" i="28" s="1"/>
  <c r="BE27" i="28" s="1"/>
  <c r="BE28" i="28" s="1"/>
  <c r="BE29" i="28" s="1"/>
  <c r="BE30" i="28" s="1"/>
  <c r="BE31" i="28" s="1"/>
  <c r="BE32" i="28" s="1"/>
  <c r="BE33" i="28" s="1"/>
  <c r="BE34" i="28" s="1"/>
  <c r="BE35" i="28" s="1"/>
  <c r="BE36" i="28" s="1"/>
  <c r="BE37" i="28" s="1"/>
  <c r="BX14" i="28"/>
  <c r="BW14" i="28"/>
  <c r="BV14" i="28"/>
  <c r="BU14" i="28"/>
  <c r="BT14" i="28"/>
  <c r="BS14" i="28"/>
  <c r="BR14" i="28"/>
  <c r="BQ14" i="28"/>
  <c r="BP12" i="28"/>
  <c r="BO12" i="28"/>
  <c r="BN12" i="28"/>
  <c r="BM12" i="28"/>
  <c r="BL12" i="28"/>
  <c r="BK12" i="28"/>
  <c r="BJ12" i="28"/>
  <c r="BI12" i="28"/>
  <c r="HW7" i="32"/>
  <c r="HV7" i="32"/>
  <c r="HU7" i="32"/>
  <c r="HT7" i="32"/>
  <c r="HS7" i="32"/>
  <c r="HR7" i="32"/>
  <c r="AU14" i="28" l="1"/>
  <c r="AV14" i="28"/>
  <c r="HI9" i="28"/>
  <c r="HI10" i="28" s="1"/>
  <c r="HI11" i="28" s="1"/>
  <c r="HI12" i="28" s="1"/>
  <c r="HI13" i="28" s="1"/>
  <c r="HI14" i="28" s="1"/>
  <c r="HI15" i="28" s="1"/>
  <c r="HI16" i="28" s="1"/>
  <c r="HI17" i="28" s="1"/>
  <c r="HI18" i="28" s="1"/>
  <c r="HI19" i="28" s="1"/>
  <c r="HI20" i="28" s="1"/>
  <c r="HI21" i="28" s="1"/>
  <c r="HI22" i="28" s="1"/>
  <c r="HI23" i="28" s="1"/>
  <c r="HI24" i="28" s="1"/>
  <c r="HI25" i="28" s="1"/>
  <c r="HI26" i="28" s="1"/>
  <c r="HI27" i="28" s="1"/>
  <c r="HI28" i="28" s="1"/>
  <c r="HI29" i="28" s="1"/>
  <c r="HI30" i="28" s="1"/>
  <c r="HI31" i="28" s="1"/>
  <c r="HI32" i="28" s="1"/>
  <c r="HI33" i="28" s="1"/>
  <c r="HI34" i="28" s="1"/>
  <c r="HI35" i="28" s="1"/>
  <c r="HI36" i="28" s="1"/>
  <c r="HI37" i="28" s="1"/>
  <c r="HH9" i="28"/>
  <c r="HH10" i="28" s="1"/>
  <c r="HH11" i="28" s="1"/>
  <c r="HH12" i="28" s="1"/>
  <c r="HH13" i="28" s="1"/>
  <c r="HH14" i="28" s="1"/>
  <c r="HH15" i="28" s="1"/>
  <c r="HH16" i="28" s="1"/>
  <c r="HH17" i="28" s="1"/>
  <c r="HH18" i="28" s="1"/>
  <c r="HH19" i="28" s="1"/>
  <c r="HH20" i="28" s="1"/>
  <c r="HH21" i="28" s="1"/>
  <c r="HH22" i="28" s="1"/>
  <c r="HH23" i="28" s="1"/>
  <c r="HH24" i="28" s="1"/>
  <c r="HH25" i="28" s="1"/>
  <c r="HH26" i="28" s="1"/>
  <c r="HH27" i="28" s="1"/>
  <c r="HH28" i="28" s="1"/>
  <c r="HH29" i="28" s="1"/>
  <c r="HH30" i="28" s="1"/>
  <c r="HH31" i="28" s="1"/>
  <c r="HH32" i="28" s="1"/>
  <c r="HH33" i="28" s="1"/>
  <c r="HH34" i="28" s="1"/>
  <c r="HH35" i="28" s="1"/>
  <c r="HH36" i="28" s="1"/>
  <c r="HH37" i="28" s="1"/>
  <c r="HG9" i="28"/>
  <c r="HG10" i="28" s="1"/>
  <c r="HG11" i="28" s="1"/>
  <c r="HG12" i="28" s="1"/>
  <c r="HG13" i="28" s="1"/>
  <c r="HG14" i="28" s="1"/>
  <c r="HG15" i="28" s="1"/>
  <c r="HG16" i="28" s="1"/>
  <c r="HG17" i="28" s="1"/>
  <c r="HG18" i="28" s="1"/>
  <c r="HG19" i="28" s="1"/>
  <c r="HG20" i="28" s="1"/>
  <c r="HG21" i="28" s="1"/>
  <c r="HG22" i="28" s="1"/>
  <c r="HG23" i="28" s="1"/>
  <c r="HG24" i="28" s="1"/>
  <c r="HG25" i="28" s="1"/>
  <c r="HG26" i="28" s="1"/>
  <c r="HG27" i="28" s="1"/>
  <c r="HG28" i="28" s="1"/>
  <c r="HG29" i="28" s="1"/>
  <c r="HG30" i="28" s="1"/>
  <c r="HG31" i="28" s="1"/>
  <c r="HG32" i="28" s="1"/>
  <c r="HG33" i="28" s="1"/>
  <c r="HG34" i="28" s="1"/>
  <c r="HG35" i="28" s="1"/>
  <c r="HG36" i="28" s="1"/>
  <c r="HG37" i="28" s="1"/>
  <c r="HF9" i="28"/>
  <c r="HF10" i="28" s="1"/>
  <c r="HF11" i="28" s="1"/>
  <c r="HF12" i="28" s="1"/>
  <c r="HF13" i="28" s="1"/>
  <c r="HF14" i="28" s="1"/>
  <c r="HF15" i="28" s="1"/>
  <c r="HF16" i="28" s="1"/>
  <c r="HF17" i="28" s="1"/>
  <c r="HF18" i="28" s="1"/>
  <c r="HF19" i="28" s="1"/>
  <c r="HF20" i="28" s="1"/>
  <c r="HF21" i="28" s="1"/>
  <c r="HF22" i="28" s="1"/>
  <c r="HF23" i="28" s="1"/>
  <c r="HF24" i="28" s="1"/>
  <c r="HF25" i="28" s="1"/>
  <c r="HF26" i="28" s="1"/>
  <c r="HF27" i="28" s="1"/>
  <c r="HF28" i="28" s="1"/>
  <c r="HF29" i="28" s="1"/>
  <c r="HF30" i="28" s="1"/>
  <c r="HF31" i="28" s="1"/>
  <c r="HF32" i="28" s="1"/>
  <c r="HF33" i="28" s="1"/>
  <c r="HF34" i="28" s="1"/>
  <c r="HF35" i="28" s="1"/>
  <c r="HF36" i="28" s="1"/>
  <c r="HF37" i="28" s="1"/>
  <c r="HE9" i="28"/>
  <c r="HE10" i="28" s="1"/>
  <c r="HE11" i="28" s="1"/>
  <c r="HE12" i="28" s="1"/>
  <c r="HE13" i="28" s="1"/>
  <c r="HE14" i="28" s="1"/>
  <c r="HE15" i="28" s="1"/>
  <c r="HE16" i="28" s="1"/>
  <c r="HE17" i="28" s="1"/>
  <c r="HE18" i="28" s="1"/>
  <c r="HE19" i="28" s="1"/>
  <c r="HE20" i="28" s="1"/>
  <c r="HE21" i="28" s="1"/>
  <c r="HE22" i="28" s="1"/>
  <c r="HE23" i="28" s="1"/>
  <c r="HE24" i="28" s="1"/>
  <c r="HE25" i="28" s="1"/>
  <c r="HE26" i="28" s="1"/>
  <c r="HE27" i="28" s="1"/>
  <c r="HE28" i="28" s="1"/>
  <c r="HE29" i="28" s="1"/>
  <c r="HE30" i="28" s="1"/>
  <c r="HE31" i="28" s="1"/>
  <c r="HE32" i="28" s="1"/>
  <c r="HE33" i="28" s="1"/>
  <c r="HE34" i="28" s="1"/>
  <c r="HE35" i="28" s="1"/>
  <c r="HE36" i="28" s="1"/>
  <c r="HE37" i="28" s="1"/>
  <c r="HD9" i="28"/>
  <c r="HD10" i="28" s="1"/>
  <c r="HD11" i="28" s="1"/>
  <c r="HD12" i="28" s="1"/>
  <c r="HD13" i="28" s="1"/>
  <c r="HD14" i="28" s="1"/>
  <c r="HD15" i="28" s="1"/>
  <c r="HD16" i="28" s="1"/>
  <c r="HD17" i="28" s="1"/>
  <c r="HD18" i="28" s="1"/>
  <c r="HD19" i="28" s="1"/>
  <c r="HD20" i="28" s="1"/>
  <c r="HD21" i="28" s="1"/>
  <c r="HD22" i="28" s="1"/>
  <c r="HD23" i="28" s="1"/>
  <c r="HD24" i="28" s="1"/>
  <c r="HD25" i="28" s="1"/>
  <c r="HD26" i="28" s="1"/>
  <c r="HD27" i="28" s="1"/>
  <c r="HD28" i="28" s="1"/>
  <c r="HD29" i="28" s="1"/>
  <c r="HD30" i="28" s="1"/>
  <c r="HD31" i="28" s="1"/>
  <c r="HD32" i="28" s="1"/>
  <c r="HD33" i="28" s="1"/>
  <c r="HD34" i="28" s="1"/>
  <c r="HD35" i="28" s="1"/>
  <c r="HD36" i="28" s="1"/>
  <c r="HD37" i="28" s="1"/>
  <c r="HC9" i="28"/>
  <c r="HC10" i="28" s="1"/>
  <c r="HC11" i="28" s="1"/>
  <c r="HC12" i="28" s="1"/>
  <c r="HC13" i="28" s="1"/>
  <c r="HC14" i="28" s="1"/>
  <c r="HC15" i="28" s="1"/>
  <c r="HC16" i="28" s="1"/>
  <c r="HC17" i="28" s="1"/>
  <c r="HC18" i="28" s="1"/>
  <c r="HC19" i="28" s="1"/>
  <c r="HC20" i="28" s="1"/>
  <c r="HC21" i="28" s="1"/>
  <c r="HC22" i="28" s="1"/>
  <c r="HC23" i="28" s="1"/>
  <c r="HC24" i="28" s="1"/>
  <c r="HC25" i="28" s="1"/>
  <c r="HC26" i="28" s="1"/>
  <c r="HC27" i="28" s="1"/>
  <c r="HC28" i="28" s="1"/>
  <c r="HC29" i="28" s="1"/>
  <c r="HC30" i="28" s="1"/>
  <c r="HC31" i="28" s="1"/>
  <c r="HC32" i="28" s="1"/>
  <c r="HC33" i="28" s="1"/>
  <c r="HC34" i="28" s="1"/>
  <c r="HC35" i="28" s="1"/>
  <c r="HC36" i="28" s="1"/>
  <c r="HC37" i="28" s="1"/>
  <c r="HB9" i="28"/>
  <c r="HB10" i="28" s="1"/>
  <c r="HB11" i="28" s="1"/>
  <c r="HB12" i="28" s="1"/>
  <c r="HB13" i="28" s="1"/>
  <c r="HB14" i="28" s="1"/>
  <c r="HB15" i="28" s="1"/>
  <c r="HB16" i="28" s="1"/>
  <c r="HB17" i="28" s="1"/>
  <c r="HB18" i="28" s="1"/>
  <c r="HB19" i="28" s="1"/>
  <c r="HB20" i="28" s="1"/>
  <c r="HB21" i="28" s="1"/>
  <c r="HB22" i="28" s="1"/>
  <c r="HB23" i="28" s="1"/>
  <c r="HB24" i="28" s="1"/>
  <c r="HB25" i="28" s="1"/>
  <c r="HB26" i="28" s="1"/>
  <c r="HB27" i="28" s="1"/>
  <c r="HB28" i="28" s="1"/>
  <c r="HB29" i="28" s="1"/>
  <c r="HB30" i="28" s="1"/>
  <c r="HB31" i="28" s="1"/>
  <c r="HB32" i="28" s="1"/>
  <c r="HB33" i="28" s="1"/>
  <c r="HB34" i="28" s="1"/>
  <c r="HB35" i="28" s="1"/>
  <c r="HB36" i="28" s="1"/>
  <c r="HB37" i="28" s="1"/>
  <c r="HA9" i="28"/>
  <c r="HA10" i="28" s="1"/>
  <c r="HA11" i="28" s="1"/>
  <c r="HA12" i="28" s="1"/>
  <c r="HA13" i="28" s="1"/>
  <c r="HA14" i="28" s="1"/>
  <c r="HA15" i="28" s="1"/>
  <c r="HA16" i="28" s="1"/>
  <c r="HA17" i="28" s="1"/>
  <c r="HA18" i="28" s="1"/>
  <c r="HA19" i="28" s="1"/>
  <c r="HA20" i="28" s="1"/>
  <c r="HA21" i="28" s="1"/>
  <c r="HA22" i="28" s="1"/>
  <c r="HA23" i="28" s="1"/>
  <c r="HA24" i="28" s="1"/>
  <c r="HA25" i="28" s="1"/>
  <c r="HA26" i="28" s="1"/>
  <c r="HA27" i="28" s="1"/>
  <c r="HA28" i="28" s="1"/>
  <c r="HA29" i="28" s="1"/>
  <c r="HA30" i="28" s="1"/>
  <c r="HA31" i="28" s="1"/>
  <c r="HA32" i="28" s="1"/>
  <c r="HA33" i="28" s="1"/>
  <c r="HA34" i="28" s="1"/>
  <c r="HA35" i="28" s="1"/>
  <c r="HA36" i="28" s="1"/>
  <c r="HA37" i="28" s="1"/>
  <c r="GZ9" i="28"/>
  <c r="GZ10" i="28" s="1"/>
  <c r="GZ11" i="28" s="1"/>
  <c r="GZ12" i="28" s="1"/>
  <c r="GZ13" i="28" s="1"/>
  <c r="GZ14" i="28" s="1"/>
  <c r="GZ15" i="28" s="1"/>
  <c r="GZ16" i="28" s="1"/>
  <c r="GZ17" i="28" s="1"/>
  <c r="GZ18" i="28" s="1"/>
  <c r="GZ19" i="28" s="1"/>
  <c r="GZ20" i="28" s="1"/>
  <c r="GZ21" i="28" s="1"/>
  <c r="GZ22" i="28" s="1"/>
  <c r="GZ23" i="28" s="1"/>
  <c r="GZ24" i="28" s="1"/>
  <c r="GZ25" i="28" s="1"/>
  <c r="GZ26" i="28" s="1"/>
  <c r="GZ27" i="28" s="1"/>
  <c r="GZ28" i="28" s="1"/>
  <c r="GZ29" i="28" s="1"/>
  <c r="GZ30" i="28" s="1"/>
  <c r="GZ31" i="28" s="1"/>
  <c r="GZ32" i="28" s="1"/>
  <c r="GZ33" i="28" s="1"/>
  <c r="GZ34" i="28" s="1"/>
  <c r="GZ35" i="28" s="1"/>
  <c r="GZ36" i="28" s="1"/>
  <c r="GZ37" i="28" s="1"/>
  <c r="GY9" i="28"/>
  <c r="GY10" i="28" s="1"/>
  <c r="GY11" i="28" s="1"/>
  <c r="GY12" i="28" s="1"/>
  <c r="GY13" i="28" s="1"/>
  <c r="GY14" i="28" s="1"/>
  <c r="GY15" i="28" s="1"/>
  <c r="GY16" i="28" s="1"/>
  <c r="GY17" i="28" s="1"/>
  <c r="GY18" i="28" s="1"/>
  <c r="GY19" i="28" s="1"/>
  <c r="GY20" i="28" s="1"/>
  <c r="GY21" i="28" s="1"/>
  <c r="GY22" i="28" s="1"/>
  <c r="GY23" i="28" s="1"/>
  <c r="GY24" i="28" s="1"/>
  <c r="GY25" i="28" s="1"/>
  <c r="GY26" i="28" s="1"/>
  <c r="GY27" i="28" s="1"/>
  <c r="GY28" i="28" s="1"/>
  <c r="GY29" i="28" s="1"/>
  <c r="GY30" i="28" s="1"/>
  <c r="GY31" i="28" s="1"/>
  <c r="GY32" i="28" s="1"/>
  <c r="GY33" i="28" s="1"/>
  <c r="GY34" i="28" s="1"/>
  <c r="GY35" i="28" s="1"/>
  <c r="GY36" i="28" s="1"/>
  <c r="GY37" i="28" s="1"/>
  <c r="GW9" i="28"/>
  <c r="GW10" i="28" s="1"/>
  <c r="GW11" i="28" s="1"/>
  <c r="GW12" i="28" s="1"/>
  <c r="GW13" i="28" s="1"/>
  <c r="GW14" i="28" s="1"/>
  <c r="GW15" i="28" s="1"/>
  <c r="GW16" i="28" s="1"/>
  <c r="GW17" i="28" s="1"/>
  <c r="GW18" i="28" s="1"/>
  <c r="GW19" i="28" s="1"/>
  <c r="GW20" i="28" s="1"/>
  <c r="GW21" i="28" s="1"/>
  <c r="GW22" i="28" s="1"/>
  <c r="GW23" i="28" s="1"/>
  <c r="GW24" i="28" s="1"/>
  <c r="GW25" i="28" s="1"/>
  <c r="GW26" i="28" s="1"/>
  <c r="GW27" i="28" s="1"/>
  <c r="GW28" i="28" s="1"/>
  <c r="GW29" i="28" s="1"/>
  <c r="GW30" i="28" s="1"/>
  <c r="GW31" i="28" s="1"/>
  <c r="GW32" i="28" s="1"/>
  <c r="GW33" i="28" s="1"/>
  <c r="GW34" i="28" s="1"/>
  <c r="GW35" i="28" s="1"/>
  <c r="GW36" i="28" s="1"/>
  <c r="GW37" i="28" s="1"/>
  <c r="GV9" i="28"/>
  <c r="GV10" i="28" s="1"/>
  <c r="GV11" i="28" s="1"/>
  <c r="GV12" i="28" s="1"/>
  <c r="GV13" i="28" s="1"/>
  <c r="GV14" i="28" s="1"/>
  <c r="GV15" i="28" s="1"/>
  <c r="GV16" i="28" s="1"/>
  <c r="GV17" i="28" s="1"/>
  <c r="GV18" i="28" s="1"/>
  <c r="GV19" i="28" s="1"/>
  <c r="GV20" i="28" s="1"/>
  <c r="GV21" i="28" s="1"/>
  <c r="GV22" i="28" s="1"/>
  <c r="GV23" i="28" s="1"/>
  <c r="GV24" i="28" s="1"/>
  <c r="GV25" i="28" s="1"/>
  <c r="GV26" i="28" s="1"/>
  <c r="GV27" i="28" s="1"/>
  <c r="GV28" i="28" s="1"/>
  <c r="GV29" i="28" s="1"/>
  <c r="GV30" i="28" s="1"/>
  <c r="GV31" i="28" s="1"/>
  <c r="GV32" i="28" s="1"/>
  <c r="GV33" i="28" s="1"/>
  <c r="GV34" i="28" s="1"/>
  <c r="GV35" i="28" s="1"/>
  <c r="GV36" i="28" s="1"/>
  <c r="GV37" i="28" s="1"/>
  <c r="GU9" i="28"/>
  <c r="GU10" i="28" s="1"/>
  <c r="GU11" i="28" s="1"/>
  <c r="GU12" i="28" s="1"/>
  <c r="GU13" i="28" s="1"/>
  <c r="GU14" i="28" s="1"/>
  <c r="GU15" i="28" s="1"/>
  <c r="GU16" i="28" s="1"/>
  <c r="GU17" i="28" s="1"/>
  <c r="GU18" i="28" s="1"/>
  <c r="GU19" i="28" s="1"/>
  <c r="GU20" i="28" s="1"/>
  <c r="GU21" i="28" s="1"/>
  <c r="GU22" i="28" s="1"/>
  <c r="GU23" i="28" s="1"/>
  <c r="GU24" i="28" s="1"/>
  <c r="GU25" i="28" s="1"/>
  <c r="GU26" i="28" s="1"/>
  <c r="GU27" i="28" s="1"/>
  <c r="GU28" i="28" s="1"/>
  <c r="GU29" i="28" s="1"/>
  <c r="GU30" i="28" s="1"/>
  <c r="GU31" i="28" s="1"/>
  <c r="GU32" i="28" s="1"/>
  <c r="GU33" i="28" s="1"/>
  <c r="GU34" i="28" s="1"/>
  <c r="GU35" i="28" s="1"/>
  <c r="GU36" i="28" s="1"/>
  <c r="GU37" i="28" s="1"/>
  <c r="GS9" i="28"/>
  <c r="GS10" i="28" s="1"/>
  <c r="GS11" i="28" s="1"/>
  <c r="GS12" i="28" s="1"/>
  <c r="GS13" i="28" s="1"/>
  <c r="GS14" i="28" s="1"/>
  <c r="GS15" i="28" s="1"/>
  <c r="GS16" i="28" s="1"/>
  <c r="GS17" i="28" s="1"/>
  <c r="GS18" i="28" s="1"/>
  <c r="GS19" i="28" s="1"/>
  <c r="GS20" i="28" s="1"/>
  <c r="GS21" i="28" s="1"/>
  <c r="GS22" i="28" s="1"/>
  <c r="GS23" i="28" s="1"/>
  <c r="GS24" i="28" s="1"/>
  <c r="GS25" i="28" s="1"/>
  <c r="GS26" i="28" s="1"/>
  <c r="GS27" i="28" s="1"/>
  <c r="GS28" i="28" s="1"/>
  <c r="GS29" i="28" s="1"/>
  <c r="GS30" i="28" s="1"/>
  <c r="GS31" i="28" s="1"/>
  <c r="GS32" i="28" s="1"/>
  <c r="GS33" i="28" s="1"/>
  <c r="GS34" i="28" s="1"/>
  <c r="GS35" i="28" s="1"/>
  <c r="GS36" i="28" s="1"/>
  <c r="GS37" i="28" s="1"/>
  <c r="GR9" i="28"/>
  <c r="GR10" i="28" s="1"/>
  <c r="GR11" i="28" s="1"/>
  <c r="GR12" i="28" s="1"/>
  <c r="GR13" i="28" s="1"/>
  <c r="GR14" i="28" s="1"/>
  <c r="GR15" i="28" s="1"/>
  <c r="GR16" i="28" s="1"/>
  <c r="GR17" i="28" s="1"/>
  <c r="GR18" i="28" s="1"/>
  <c r="GR19" i="28" s="1"/>
  <c r="GR20" i="28" s="1"/>
  <c r="GR21" i="28" s="1"/>
  <c r="GR22" i="28" s="1"/>
  <c r="GR23" i="28" s="1"/>
  <c r="GR24" i="28" s="1"/>
  <c r="GR25" i="28" s="1"/>
  <c r="GR26" i="28" s="1"/>
  <c r="GR27" i="28" s="1"/>
  <c r="GR28" i="28" s="1"/>
  <c r="GR29" i="28" s="1"/>
  <c r="GR30" i="28" s="1"/>
  <c r="GR31" i="28" s="1"/>
  <c r="GR32" i="28" s="1"/>
  <c r="GR33" i="28" s="1"/>
  <c r="GR34" i="28" s="1"/>
  <c r="GR35" i="28" s="1"/>
  <c r="GR36" i="28" s="1"/>
  <c r="GR37" i="28" s="1"/>
  <c r="GQ9" i="28"/>
  <c r="GQ10" i="28" s="1"/>
  <c r="GQ11" i="28" s="1"/>
  <c r="GQ12" i="28" s="1"/>
  <c r="GQ13" i="28" s="1"/>
  <c r="GQ14" i="28" s="1"/>
  <c r="GQ15" i="28" s="1"/>
  <c r="GQ16" i="28" s="1"/>
  <c r="GQ17" i="28" s="1"/>
  <c r="GQ18" i="28" s="1"/>
  <c r="GQ19" i="28" s="1"/>
  <c r="GQ20" i="28" s="1"/>
  <c r="GQ21" i="28" s="1"/>
  <c r="GQ22" i="28" s="1"/>
  <c r="GQ23" i="28" s="1"/>
  <c r="GQ24" i="28" s="1"/>
  <c r="GQ25" i="28" s="1"/>
  <c r="GQ26" i="28" s="1"/>
  <c r="GQ27" i="28" s="1"/>
  <c r="GQ28" i="28" s="1"/>
  <c r="GQ29" i="28" s="1"/>
  <c r="GQ30" i="28" s="1"/>
  <c r="GQ31" i="28" s="1"/>
  <c r="GQ32" i="28" s="1"/>
  <c r="GQ33" i="28" s="1"/>
  <c r="GQ34" i="28" s="1"/>
  <c r="GQ35" i="28" s="1"/>
  <c r="GQ36" i="28" s="1"/>
  <c r="GQ37" i="28" s="1"/>
  <c r="GN9" i="28"/>
  <c r="GN10" i="28" s="1"/>
  <c r="GN11" i="28" s="1"/>
  <c r="GN12" i="28" s="1"/>
  <c r="GN13" i="28" s="1"/>
  <c r="GN14" i="28" s="1"/>
  <c r="GN15" i="28" s="1"/>
  <c r="GN16" i="28" s="1"/>
  <c r="GN17" i="28" s="1"/>
  <c r="GN18" i="28" s="1"/>
  <c r="GN19" i="28" s="1"/>
  <c r="GN20" i="28" s="1"/>
  <c r="GN21" i="28" s="1"/>
  <c r="GN22" i="28" s="1"/>
  <c r="GN23" i="28" s="1"/>
  <c r="GN24" i="28" s="1"/>
  <c r="GN25" i="28" s="1"/>
  <c r="GN26" i="28" s="1"/>
  <c r="GN27" i="28" s="1"/>
  <c r="GN28" i="28" s="1"/>
  <c r="GN29" i="28" s="1"/>
  <c r="GN30" i="28" s="1"/>
  <c r="GN31" i="28" s="1"/>
  <c r="GN32" i="28" s="1"/>
  <c r="GN33" i="28" s="1"/>
  <c r="GN34" i="28" s="1"/>
  <c r="GN35" i="28" s="1"/>
  <c r="GN36" i="28" s="1"/>
  <c r="GN37" i="28" s="1"/>
  <c r="GM9" i="28"/>
  <c r="GM10" i="28" s="1"/>
  <c r="GM11" i="28" s="1"/>
  <c r="GM12" i="28" s="1"/>
  <c r="GM13" i="28" s="1"/>
  <c r="GM14" i="28" s="1"/>
  <c r="GM15" i="28" s="1"/>
  <c r="GM16" i="28" s="1"/>
  <c r="GM17" i="28" s="1"/>
  <c r="GM18" i="28" s="1"/>
  <c r="GM19" i="28" s="1"/>
  <c r="GM20" i="28" s="1"/>
  <c r="GM21" i="28" s="1"/>
  <c r="GM22" i="28" s="1"/>
  <c r="GM23" i="28" s="1"/>
  <c r="GM24" i="28" s="1"/>
  <c r="GM25" i="28" s="1"/>
  <c r="GM26" i="28" s="1"/>
  <c r="GM27" i="28" s="1"/>
  <c r="GM28" i="28" s="1"/>
  <c r="GM29" i="28" s="1"/>
  <c r="GM30" i="28" s="1"/>
  <c r="GM31" i="28" s="1"/>
  <c r="GM32" i="28" s="1"/>
  <c r="GM33" i="28" s="1"/>
  <c r="GM34" i="28" s="1"/>
  <c r="GM35" i="28" s="1"/>
  <c r="GM36" i="28" s="1"/>
  <c r="GM37" i="28" s="1"/>
  <c r="GL9" i="28"/>
  <c r="GL10" i="28" s="1"/>
  <c r="GL11" i="28" s="1"/>
  <c r="GL12" i="28" s="1"/>
  <c r="GL13" i="28" s="1"/>
  <c r="GL14" i="28" s="1"/>
  <c r="GL15" i="28" s="1"/>
  <c r="GL16" i="28" s="1"/>
  <c r="GL17" i="28" s="1"/>
  <c r="GL18" i="28" s="1"/>
  <c r="GL19" i="28" s="1"/>
  <c r="GL20" i="28" s="1"/>
  <c r="GL21" i="28" s="1"/>
  <c r="GL22" i="28" s="1"/>
  <c r="GL23" i="28" s="1"/>
  <c r="GL24" i="28" s="1"/>
  <c r="GL25" i="28" s="1"/>
  <c r="GL26" i="28" s="1"/>
  <c r="GL27" i="28" s="1"/>
  <c r="GL28" i="28" s="1"/>
  <c r="GL29" i="28" s="1"/>
  <c r="GL30" i="28" s="1"/>
  <c r="GL31" i="28" s="1"/>
  <c r="GL32" i="28" s="1"/>
  <c r="GL33" i="28" s="1"/>
  <c r="GL34" i="28" s="1"/>
  <c r="GL35" i="28" s="1"/>
  <c r="GL36" i="28" s="1"/>
  <c r="GL37" i="28" s="1"/>
  <c r="GK9" i="28"/>
  <c r="GK10" i="28" s="1"/>
  <c r="GK11" i="28" s="1"/>
  <c r="GK12" i="28" s="1"/>
  <c r="GK13" i="28" s="1"/>
  <c r="GK14" i="28" s="1"/>
  <c r="GK15" i="28" s="1"/>
  <c r="GK16" i="28" s="1"/>
  <c r="GK17" i="28" s="1"/>
  <c r="GK18" i="28" s="1"/>
  <c r="GK19" i="28" s="1"/>
  <c r="GK20" i="28" s="1"/>
  <c r="GK21" i="28" s="1"/>
  <c r="GK22" i="28" s="1"/>
  <c r="GK23" i="28" s="1"/>
  <c r="GK24" i="28" s="1"/>
  <c r="GK25" i="28" s="1"/>
  <c r="GK26" i="28" s="1"/>
  <c r="GK27" i="28" s="1"/>
  <c r="GK28" i="28" s="1"/>
  <c r="GK29" i="28" s="1"/>
  <c r="GK30" i="28" s="1"/>
  <c r="GK31" i="28" s="1"/>
  <c r="GK32" i="28" s="1"/>
  <c r="GK33" i="28" s="1"/>
  <c r="GK34" i="28" s="1"/>
  <c r="GK35" i="28" s="1"/>
  <c r="GK36" i="28" s="1"/>
  <c r="GK37" i="28" s="1"/>
  <c r="GJ9" i="28"/>
  <c r="GJ10" i="28" s="1"/>
  <c r="GJ11" i="28" s="1"/>
  <c r="GJ12" i="28" s="1"/>
  <c r="GJ13" i="28" s="1"/>
  <c r="GJ14" i="28" s="1"/>
  <c r="GJ15" i="28" s="1"/>
  <c r="GJ16" i="28" s="1"/>
  <c r="GJ17" i="28" s="1"/>
  <c r="GJ18" i="28" s="1"/>
  <c r="GJ19" i="28" s="1"/>
  <c r="GJ20" i="28" s="1"/>
  <c r="GJ21" i="28" s="1"/>
  <c r="GJ22" i="28" s="1"/>
  <c r="GJ23" i="28" s="1"/>
  <c r="GJ24" i="28" s="1"/>
  <c r="GJ25" i="28" s="1"/>
  <c r="GJ26" i="28" s="1"/>
  <c r="GJ27" i="28" s="1"/>
  <c r="GJ28" i="28" s="1"/>
  <c r="GJ29" i="28" s="1"/>
  <c r="GJ30" i="28" s="1"/>
  <c r="GJ31" i="28" s="1"/>
  <c r="GJ32" i="28" s="1"/>
  <c r="GJ33" i="28" s="1"/>
  <c r="GJ34" i="28" s="1"/>
  <c r="GJ35" i="28" s="1"/>
  <c r="GJ36" i="28" s="1"/>
  <c r="GJ37" i="28" s="1"/>
  <c r="GI9" i="28"/>
  <c r="GI10" i="28" s="1"/>
  <c r="GI11" i="28" s="1"/>
  <c r="GI12" i="28" s="1"/>
  <c r="GI13" i="28" s="1"/>
  <c r="GI14" i="28" s="1"/>
  <c r="GI15" i="28" s="1"/>
  <c r="GI16" i="28" s="1"/>
  <c r="GI17" i="28" s="1"/>
  <c r="GI18" i="28" s="1"/>
  <c r="GI19" i="28" s="1"/>
  <c r="GI20" i="28" s="1"/>
  <c r="GI21" i="28" s="1"/>
  <c r="GI22" i="28" s="1"/>
  <c r="GI23" i="28" s="1"/>
  <c r="GI24" i="28" s="1"/>
  <c r="GI25" i="28" s="1"/>
  <c r="GI26" i="28" s="1"/>
  <c r="GI27" i="28" s="1"/>
  <c r="GI28" i="28" s="1"/>
  <c r="GI29" i="28" s="1"/>
  <c r="GI30" i="28" s="1"/>
  <c r="GI31" i="28" s="1"/>
  <c r="GI32" i="28" s="1"/>
  <c r="GI33" i="28" s="1"/>
  <c r="GI34" i="28" s="1"/>
  <c r="GI35" i="28" s="1"/>
  <c r="GI36" i="28" s="1"/>
  <c r="GI37" i="28" s="1"/>
  <c r="GH9" i="28"/>
  <c r="GH10" i="28" s="1"/>
  <c r="GH11" i="28" s="1"/>
  <c r="GH12" i="28" s="1"/>
  <c r="GH13" i="28" s="1"/>
  <c r="GH14" i="28" s="1"/>
  <c r="GH15" i="28" s="1"/>
  <c r="GH16" i="28" s="1"/>
  <c r="GH17" i="28" s="1"/>
  <c r="GH18" i="28" s="1"/>
  <c r="GH19" i="28" s="1"/>
  <c r="GH20" i="28" s="1"/>
  <c r="GH21" i="28" s="1"/>
  <c r="GH22" i="28" s="1"/>
  <c r="GH23" i="28" s="1"/>
  <c r="GH24" i="28" s="1"/>
  <c r="GH25" i="28" s="1"/>
  <c r="GH26" i="28" s="1"/>
  <c r="GH27" i="28" s="1"/>
  <c r="GH28" i="28" s="1"/>
  <c r="GH29" i="28" s="1"/>
  <c r="GH30" i="28" s="1"/>
  <c r="GH31" i="28" s="1"/>
  <c r="GH32" i="28" s="1"/>
  <c r="GH33" i="28" s="1"/>
  <c r="GH34" i="28" s="1"/>
  <c r="GH35" i="28" s="1"/>
  <c r="GH36" i="28" s="1"/>
  <c r="GH37" i="28" s="1"/>
  <c r="GG9" i="28"/>
  <c r="GG10" i="28" s="1"/>
  <c r="GG11" i="28" s="1"/>
  <c r="GG12" i="28" s="1"/>
  <c r="GG13" i="28" s="1"/>
  <c r="GG14" i="28" s="1"/>
  <c r="GG15" i="28" s="1"/>
  <c r="GG16" i="28" s="1"/>
  <c r="GG17" i="28" s="1"/>
  <c r="GG18" i="28" s="1"/>
  <c r="GG19" i="28" s="1"/>
  <c r="GG20" i="28" s="1"/>
  <c r="GG21" i="28" s="1"/>
  <c r="GG22" i="28" s="1"/>
  <c r="GG23" i="28" s="1"/>
  <c r="GG24" i="28" s="1"/>
  <c r="GG25" i="28" s="1"/>
  <c r="GG26" i="28" s="1"/>
  <c r="GG27" i="28" s="1"/>
  <c r="GG28" i="28" s="1"/>
  <c r="GG29" i="28" s="1"/>
  <c r="GG30" i="28" s="1"/>
  <c r="GG31" i="28" s="1"/>
  <c r="GG32" i="28" s="1"/>
  <c r="GG33" i="28" s="1"/>
  <c r="GG34" i="28" s="1"/>
  <c r="GG35" i="28" s="1"/>
  <c r="GG36" i="28" s="1"/>
  <c r="GG37" i="28" s="1"/>
  <c r="GF9" i="28"/>
  <c r="GF10" i="28" s="1"/>
  <c r="GF11" i="28" s="1"/>
  <c r="GF12" i="28" s="1"/>
  <c r="GF13" i="28" s="1"/>
  <c r="GF14" i="28" s="1"/>
  <c r="GF15" i="28" s="1"/>
  <c r="GF16" i="28" s="1"/>
  <c r="GF17" i="28" s="1"/>
  <c r="GF18" i="28" s="1"/>
  <c r="GF19" i="28" s="1"/>
  <c r="GF20" i="28" s="1"/>
  <c r="GF21" i="28" s="1"/>
  <c r="GF22" i="28" s="1"/>
  <c r="GF23" i="28" s="1"/>
  <c r="GF24" i="28" s="1"/>
  <c r="GF25" i="28" s="1"/>
  <c r="GF26" i="28" s="1"/>
  <c r="GF27" i="28" s="1"/>
  <c r="GF28" i="28" s="1"/>
  <c r="GF29" i="28" s="1"/>
  <c r="GF30" i="28" s="1"/>
  <c r="GF31" i="28" s="1"/>
  <c r="GF32" i="28" s="1"/>
  <c r="GF33" i="28" s="1"/>
  <c r="GF34" i="28" s="1"/>
  <c r="GF35" i="28" s="1"/>
  <c r="GF36" i="28" s="1"/>
  <c r="GF37" i="28" s="1"/>
  <c r="GE9" i="28"/>
  <c r="GE10" i="28" s="1"/>
  <c r="GE11" i="28" s="1"/>
  <c r="GE12" i="28" s="1"/>
  <c r="GE13" i="28" s="1"/>
  <c r="GE14" i="28" s="1"/>
  <c r="GE15" i="28" s="1"/>
  <c r="GE16" i="28" s="1"/>
  <c r="GE17" i="28" s="1"/>
  <c r="GE18" i="28" s="1"/>
  <c r="GE19" i="28" s="1"/>
  <c r="GE20" i="28" s="1"/>
  <c r="GE21" i="28" s="1"/>
  <c r="GE22" i="28" s="1"/>
  <c r="GE23" i="28" s="1"/>
  <c r="GE24" i="28" s="1"/>
  <c r="GE25" i="28" s="1"/>
  <c r="GE26" i="28" s="1"/>
  <c r="GE27" i="28" s="1"/>
  <c r="GE28" i="28" s="1"/>
  <c r="GE29" i="28" s="1"/>
  <c r="GE30" i="28" s="1"/>
  <c r="GE31" i="28" s="1"/>
  <c r="GE32" i="28" s="1"/>
  <c r="GE33" i="28" s="1"/>
  <c r="GE34" i="28" s="1"/>
  <c r="GE35" i="28" s="1"/>
  <c r="GE36" i="28" s="1"/>
  <c r="GE37" i="28" s="1"/>
  <c r="GD9" i="28"/>
  <c r="GD10" i="28" s="1"/>
  <c r="GD11" i="28" s="1"/>
  <c r="GD12" i="28" s="1"/>
  <c r="GD13" i="28" s="1"/>
  <c r="GD14" i="28" s="1"/>
  <c r="GD15" i="28" s="1"/>
  <c r="GD16" i="28" s="1"/>
  <c r="GD17" i="28" s="1"/>
  <c r="GD18" i="28" s="1"/>
  <c r="GD19" i="28" s="1"/>
  <c r="GD20" i="28" s="1"/>
  <c r="GD21" i="28" s="1"/>
  <c r="GD22" i="28" s="1"/>
  <c r="GD23" i="28" s="1"/>
  <c r="GD24" i="28" s="1"/>
  <c r="GD25" i="28" s="1"/>
  <c r="GD26" i="28" s="1"/>
  <c r="GD27" i="28" s="1"/>
  <c r="GD28" i="28" s="1"/>
  <c r="GD29" i="28" s="1"/>
  <c r="GD30" i="28" s="1"/>
  <c r="GD31" i="28" s="1"/>
  <c r="GD32" i="28" s="1"/>
  <c r="GD33" i="28" s="1"/>
  <c r="GD34" i="28" s="1"/>
  <c r="GD35" i="28" s="1"/>
  <c r="GD36" i="28" s="1"/>
  <c r="GD37" i="28" s="1"/>
  <c r="GC9" i="28"/>
  <c r="GC10" i="28" s="1"/>
  <c r="GC11" i="28" s="1"/>
  <c r="GC12" i="28" s="1"/>
  <c r="GC13" i="28" s="1"/>
  <c r="GC14" i="28" s="1"/>
  <c r="GC15" i="28" s="1"/>
  <c r="GC16" i="28" s="1"/>
  <c r="GC17" i="28" s="1"/>
  <c r="GC18" i="28" s="1"/>
  <c r="GC19" i="28" s="1"/>
  <c r="GC20" i="28" s="1"/>
  <c r="GC21" i="28" s="1"/>
  <c r="GC22" i="28" s="1"/>
  <c r="GC23" i="28" s="1"/>
  <c r="GC24" i="28" s="1"/>
  <c r="GC25" i="28" s="1"/>
  <c r="GC26" i="28" s="1"/>
  <c r="GC27" i="28" s="1"/>
  <c r="GC28" i="28" s="1"/>
  <c r="GC29" i="28" s="1"/>
  <c r="GC30" i="28" s="1"/>
  <c r="GC31" i="28" s="1"/>
  <c r="GC32" i="28" s="1"/>
  <c r="GC33" i="28" s="1"/>
  <c r="GC34" i="28" s="1"/>
  <c r="GC35" i="28" s="1"/>
  <c r="GC36" i="28" s="1"/>
  <c r="GC37" i="28" s="1"/>
  <c r="GB9" i="28"/>
  <c r="GB10" i="28" s="1"/>
  <c r="GB11" i="28" s="1"/>
  <c r="GB12" i="28" s="1"/>
  <c r="GB13" i="28" s="1"/>
  <c r="GB14" i="28" s="1"/>
  <c r="GB15" i="28" s="1"/>
  <c r="GB16" i="28" s="1"/>
  <c r="GB17" i="28" s="1"/>
  <c r="GB18" i="28" s="1"/>
  <c r="GB19" i="28" s="1"/>
  <c r="GB20" i="28" s="1"/>
  <c r="GB21" i="28" s="1"/>
  <c r="GB22" i="28" s="1"/>
  <c r="GB23" i="28" s="1"/>
  <c r="GB24" i="28" s="1"/>
  <c r="GB25" i="28" s="1"/>
  <c r="GB26" i="28" s="1"/>
  <c r="GB27" i="28" s="1"/>
  <c r="GB28" i="28" s="1"/>
  <c r="GB29" i="28" s="1"/>
  <c r="GB30" i="28" s="1"/>
  <c r="GB31" i="28" s="1"/>
  <c r="GB32" i="28" s="1"/>
  <c r="GB33" i="28" s="1"/>
  <c r="GB34" i="28" s="1"/>
  <c r="GB35" i="28" s="1"/>
  <c r="GB36" i="28" s="1"/>
  <c r="GB37" i="28" s="1"/>
  <c r="GA9" i="28"/>
  <c r="GA10" i="28" s="1"/>
  <c r="GA11" i="28" s="1"/>
  <c r="GA12" i="28" s="1"/>
  <c r="GA13" i="28" s="1"/>
  <c r="GA14" i="28" s="1"/>
  <c r="GA15" i="28" s="1"/>
  <c r="GA16" i="28" s="1"/>
  <c r="GA17" i="28" s="1"/>
  <c r="GA18" i="28" s="1"/>
  <c r="GA19" i="28" s="1"/>
  <c r="GA20" i="28" s="1"/>
  <c r="GA21" i="28" s="1"/>
  <c r="GA22" i="28" s="1"/>
  <c r="GA23" i="28" s="1"/>
  <c r="GA24" i="28" s="1"/>
  <c r="GA25" i="28" s="1"/>
  <c r="GA26" i="28" s="1"/>
  <c r="GA27" i="28" s="1"/>
  <c r="GA28" i="28" s="1"/>
  <c r="GA29" i="28" s="1"/>
  <c r="GA30" i="28" s="1"/>
  <c r="GA31" i="28" s="1"/>
  <c r="GA32" i="28" s="1"/>
  <c r="GA33" i="28" s="1"/>
  <c r="GA34" i="28" s="1"/>
  <c r="GA35" i="28" s="1"/>
  <c r="GA36" i="28" s="1"/>
  <c r="GA37" i="28" s="1"/>
  <c r="FZ9" i="28"/>
  <c r="FZ10" i="28" s="1"/>
  <c r="FZ11" i="28" s="1"/>
  <c r="FZ12" i="28" s="1"/>
  <c r="FZ13" i="28" s="1"/>
  <c r="FZ14" i="28" s="1"/>
  <c r="FZ15" i="28" s="1"/>
  <c r="FZ16" i="28" s="1"/>
  <c r="FZ17" i="28" s="1"/>
  <c r="FZ18" i="28" s="1"/>
  <c r="FZ19" i="28" s="1"/>
  <c r="FZ20" i="28" s="1"/>
  <c r="FZ21" i="28" s="1"/>
  <c r="FZ22" i="28" s="1"/>
  <c r="FZ23" i="28" s="1"/>
  <c r="FZ24" i="28" s="1"/>
  <c r="FZ25" i="28" s="1"/>
  <c r="FZ26" i="28" s="1"/>
  <c r="FZ27" i="28" s="1"/>
  <c r="FZ28" i="28" s="1"/>
  <c r="FZ29" i="28" s="1"/>
  <c r="FZ30" i="28" s="1"/>
  <c r="FZ31" i="28" s="1"/>
  <c r="FZ32" i="28" s="1"/>
  <c r="FZ33" i="28" s="1"/>
  <c r="FZ34" i="28" s="1"/>
  <c r="FZ35" i="28" s="1"/>
  <c r="FZ36" i="28" s="1"/>
  <c r="FZ37" i="28" s="1"/>
  <c r="FY9" i="28"/>
  <c r="FY10" i="28" s="1"/>
  <c r="FY11" i="28" s="1"/>
  <c r="FY12" i="28" s="1"/>
  <c r="FY13" i="28" s="1"/>
  <c r="FY14" i="28" s="1"/>
  <c r="FY15" i="28" s="1"/>
  <c r="FY16" i="28" s="1"/>
  <c r="FY17" i="28" s="1"/>
  <c r="FY18" i="28" s="1"/>
  <c r="FY19" i="28" s="1"/>
  <c r="FY20" i="28" s="1"/>
  <c r="FY21" i="28" s="1"/>
  <c r="FY22" i="28" s="1"/>
  <c r="FY23" i="28" s="1"/>
  <c r="FY24" i="28" s="1"/>
  <c r="FY25" i="28" s="1"/>
  <c r="FY26" i="28" s="1"/>
  <c r="FY27" i="28" s="1"/>
  <c r="FY28" i="28" s="1"/>
  <c r="FY29" i="28" s="1"/>
  <c r="FY30" i="28" s="1"/>
  <c r="FY31" i="28" s="1"/>
  <c r="FY32" i="28" s="1"/>
  <c r="FY33" i="28" s="1"/>
  <c r="FY34" i="28" s="1"/>
  <c r="FY35" i="28" s="1"/>
  <c r="FY36" i="28" s="1"/>
  <c r="FY37" i="28" s="1"/>
  <c r="FX9" i="28"/>
  <c r="FX10" i="28" s="1"/>
  <c r="FX11" i="28" s="1"/>
  <c r="FX12" i="28" s="1"/>
  <c r="FX13" i="28" s="1"/>
  <c r="FX14" i="28" s="1"/>
  <c r="FX15" i="28" s="1"/>
  <c r="FX16" i="28" s="1"/>
  <c r="FX17" i="28" s="1"/>
  <c r="FX18" i="28" s="1"/>
  <c r="FX19" i="28" s="1"/>
  <c r="FX20" i="28" s="1"/>
  <c r="FX21" i="28" s="1"/>
  <c r="FX22" i="28" s="1"/>
  <c r="FX23" i="28" s="1"/>
  <c r="FX24" i="28" s="1"/>
  <c r="FX25" i="28" s="1"/>
  <c r="FX26" i="28" s="1"/>
  <c r="FX27" i="28" s="1"/>
  <c r="FX28" i="28" s="1"/>
  <c r="FX29" i="28" s="1"/>
  <c r="FX30" i="28" s="1"/>
  <c r="FX31" i="28" s="1"/>
  <c r="FX32" i="28" s="1"/>
  <c r="FX33" i="28" s="1"/>
  <c r="FX34" i="28" s="1"/>
  <c r="FX35" i="28" s="1"/>
  <c r="FX36" i="28" s="1"/>
  <c r="FX37" i="28" s="1"/>
  <c r="FU9" i="28"/>
  <c r="FU10" i="28" s="1"/>
  <c r="FU11" i="28" s="1"/>
  <c r="FU12" i="28" s="1"/>
  <c r="FU13" i="28" s="1"/>
  <c r="FU14" i="28" s="1"/>
  <c r="FU15" i="28" s="1"/>
  <c r="FU16" i="28" s="1"/>
  <c r="FU17" i="28" s="1"/>
  <c r="FU18" i="28" s="1"/>
  <c r="FU19" i="28" s="1"/>
  <c r="FU20" i="28" s="1"/>
  <c r="FU21" i="28" s="1"/>
  <c r="FU22" i="28" s="1"/>
  <c r="FU23" i="28" s="1"/>
  <c r="FU24" i="28" s="1"/>
  <c r="FU25" i="28" s="1"/>
  <c r="FU26" i="28" s="1"/>
  <c r="FU27" i="28" s="1"/>
  <c r="FU28" i="28" s="1"/>
  <c r="FU29" i="28" s="1"/>
  <c r="FU30" i="28" s="1"/>
  <c r="FU31" i="28" s="1"/>
  <c r="FU32" i="28" s="1"/>
  <c r="FU33" i="28" s="1"/>
  <c r="FU34" i="28" s="1"/>
  <c r="FU35" i="28" s="1"/>
  <c r="FU36" i="28" s="1"/>
  <c r="FU37" i="28" s="1"/>
  <c r="FT9" i="28"/>
  <c r="FT10" i="28" s="1"/>
  <c r="FT11" i="28" s="1"/>
  <c r="FT12" i="28" s="1"/>
  <c r="FT13" i="28" s="1"/>
  <c r="FT14" i="28" s="1"/>
  <c r="FT15" i="28" s="1"/>
  <c r="FT16" i="28" s="1"/>
  <c r="FT17" i="28" s="1"/>
  <c r="FT18" i="28" s="1"/>
  <c r="FT19" i="28" s="1"/>
  <c r="FT20" i="28" s="1"/>
  <c r="FT21" i="28" s="1"/>
  <c r="FT22" i="28" s="1"/>
  <c r="FT23" i="28" s="1"/>
  <c r="FT24" i="28" s="1"/>
  <c r="FT25" i="28" s="1"/>
  <c r="FT26" i="28" s="1"/>
  <c r="FT27" i="28" s="1"/>
  <c r="FT28" i="28" s="1"/>
  <c r="FT29" i="28" s="1"/>
  <c r="FT30" i="28" s="1"/>
  <c r="FT31" i="28" s="1"/>
  <c r="FT32" i="28" s="1"/>
  <c r="FT33" i="28" s="1"/>
  <c r="FT34" i="28" s="1"/>
  <c r="FT35" i="28" s="1"/>
  <c r="FT36" i="28" s="1"/>
  <c r="FT37" i="28" s="1"/>
  <c r="FS9" i="28"/>
  <c r="FS10" i="28" s="1"/>
  <c r="FS11" i="28" s="1"/>
  <c r="FS12" i="28" s="1"/>
  <c r="FS13" i="28" s="1"/>
  <c r="FS14" i="28" s="1"/>
  <c r="FS15" i="28" s="1"/>
  <c r="FS16" i="28" s="1"/>
  <c r="FS17" i="28" s="1"/>
  <c r="FS18" i="28" s="1"/>
  <c r="FS19" i="28" s="1"/>
  <c r="FS20" i="28" s="1"/>
  <c r="FS21" i="28" s="1"/>
  <c r="FS22" i="28" s="1"/>
  <c r="FS23" i="28" s="1"/>
  <c r="FS24" i="28" s="1"/>
  <c r="FS25" i="28" s="1"/>
  <c r="FS26" i="28" s="1"/>
  <c r="FS27" i="28" s="1"/>
  <c r="FS28" i="28" s="1"/>
  <c r="FS29" i="28" s="1"/>
  <c r="FS30" i="28" s="1"/>
  <c r="FS31" i="28" s="1"/>
  <c r="FS32" i="28" s="1"/>
  <c r="FS33" i="28" s="1"/>
  <c r="FS34" i="28" s="1"/>
  <c r="FS35" i="28" s="1"/>
  <c r="FS36" i="28" s="1"/>
  <c r="FS37" i="28" s="1"/>
  <c r="FR9" i="28"/>
  <c r="FR10" i="28" s="1"/>
  <c r="FR11" i="28" s="1"/>
  <c r="FR12" i="28" s="1"/>
  <c r="FR13" i="28" s="1"/>
  <c r="FR14" i="28" s="1"/>
  <c r="FR15" i="28" s="1"/>
  <c r="FR16" i="28" s="1"/>
  <c r="FR17" i="28" s="1"/>
  <c r="FR18" i="28" s="1"/>
  <c r="FR19" i="28" s="1"/>
  <c r="FR20" i="28" s="1"/>
  <c r="FR21" i="28" s="1"/>
  <c r="FR22" i="28" s="1"/>
  <c r="FR23" i="28" s="1"/>
  <c r="FR24" i="28" s="1"/>
  <c r="FR25" i="28" s="1"/>
  <c r="FR26" i="28" s="1"/>
  <c r="FR27" i="28" s="1"/>
  <c r="FR28" i="28" s="1"/>
  <c r="FR29" i="28" s="1"/>
  <c r="FR30" i="28" s="1"/>
  <c r="FR31" i="28" s="1"/>
  <c r="FR32" i="28" s="1"/>
  <c r="FR33" i="28" s="1"/>
  <c r="FR34" i="28" s="1"/>
  <c r="FR35" i="28" s="1"/>
  <c r="FR36" i="28" s="1"/>
  <c r="FR37" i="28" s="1"/>
  <c r="FQ9" i="28"/>
  <c r="FQ10" i="28" s="1"/>
  <c r="FQ11" i="28" s="1"/>
  <c r="FQ12" i="28" s="1"/>
  <c r="FQ13" i="28" s="1"/>
  <c r="FQ14" i="28" s="1"/>
  <c r="FQ15" i="28" s="1"/>
  <c r="FQ16" i="28" s="1"/>
  <c r="FQ17" i="28" s="1"/>
  <c r="FQ18" i="28" s="1"/>
  <c r="FQ19" i="28" s="1"/>
  <c r="FQ20" i="28" s="1"/>
  <c r="FQ21" i="28" s="1"/>
  <c r="FQ22" i="28" s="1"/>
  <c r="FQ23" i="28" s="1"/>
  <c r="FQ24" i="28" s="1"/>
  <c r="FQ25" i="28" s="1"/>
  <c r="FQ26" i="28" s="1"/>
  <c r="FQ27" i="28" s="1"/>
  <c r="FQ28" i="28" s="1"/>
  <c r="FQ29" i="28" s="1"/>
  <c r="FQ30" i="28" s="1"/>
  <c r="FQ31" i="28" s="1"/>
  <c r="FQ32" i="28" s="1"/>
  <c r="FQ33" i="28" s="1"/>
  <c r="FQ34" i="28" s="1"/>
  <c r="FQ35" i="28" s="1"/>
  <c r="FQ36" i="28" s="1"/>
  <c r="FQ37" i="28" s="1"/>
  <c r="FP9" i="28"/>
  <c r="FP10" i="28" s="1"/>
  <c r="FP11" i="28" s="1"/>
  <c r="FP12" i="28" s="1"/>
  <c r="FP13" i="28" s="1"/>
  <c r="FP14" i="28" s="1"/>
  <c r="FP15" i="28" s="1"/>
  <c r="FP16" i="28" s="1"/>
  <c r="FP17" i="28" s="1"/>
  <c r="FP18" i="28" s="1"/>
  <c r="FP19" i="28" s="1"/>
  <c r="FP20" i="28" s="1"/>
  <c r="FP21" i="28" s="1"/>
  <c r="FP22" i="28" s="1"/>
  <c r="FP23" i="28" s="1"/>
  <c r="FP24" i="28" s="1"/>
  <c r="FP25" i="28" s="1"/>
  <c r="FP26" i="28" s="1"/>
  <c r="FP27" i="28" s="1"/>
  <c r="FP28" i="28" s="1"/>
  <c r="FP29" i="28" s="1"/>
  <c r="FP30" i="28" s="1"/>
  <c r="FP31" i="28" s="1"/>
  <c r="FP32" i="28" s="1"/>
  <c r="FP33" i="28" s="1"/>
  <c r="FP34" i="28" s="1"/>
  <c r="FP35" i="28" s="1"/>
  <c r="FP36" i="28" s="1"/>
  <c r="FP37" i="28" s="1"/>
  <c r="FO9" i="28"/>
  <c r="FO10" i="28" s="1"/>
  <c r="FO11" i="28" s="1"/>
  <c r="FO12" i="28" s="1"/>
  <c r="FO13" i="28" s="1"/>
  <c r="FO14" i="28" s="1"/>
  <c r="FO15" i="28" s="1"/>
  <c r="FO16" i="28" s="1"/>
  <c r="FO17" i="28" s="1"/>
  <c r="FO18" i="28" s="1"/>
  <c r="FO19" i="28" s="1"/>
  <c r="FO20" i="28" s="1"/>
  <c r="FO21" i="28" s="1"/>
  <c r="FO22" i="28" s="1"/>
  <c r="FO23" i="28" s="1"/>
  <c r="FO24" i="28" s="1"/>
  <c r="FO25" i="28" s="1"/>
  <c r="FO26" i="28" s="1"/>
  <c r="FO27" i="28" s="1"/>
  <c r="FO28" i="28" s="1"/>
  <c r="FO29" i="28" s="1"/>
  <c r="FO30" i="28" s="1"/>
  <c r="FO31" i="28" s="1"/>
  <c r="FO32" i="28" s="1"/>
  <c r="FO33" i="28" s="1"/>
  <c r="FO34" i="28" s="1"/>
  <c r="FO35" i="28" s="1"/>
  <c r="FO36" i="28" s="1"/>
  <c r="FO37" i="28" s="1"/>
  <c r="FN9" i="28"/>
  <c r="FN10" i="28" s="1"/>
  <c r="FN11" i="28" s="1"/>
  <c r="FN12" i="28" s="1"/>
  <c r="FN13" i="28" s="1"/>
  <c r="FN14" i="28" s="1"/>
  <c r="FN15" i="28" s="1"/>
  <c r="FN16" i="28" s="1"/>
  <c r="FN17" i="28" s="1"/>
  <c r="FN18" i="28" s="1"/>
  <c r="FN19" i="28" s="1"/>
  <c r="FN20" i="28" s="1"/>
  <c r="FN21" i="28" s="1"/>
  <c r="FN22" i="28" s="1"/>
  <c r="FN23" i="28" s="1"/>
  <c r="FN24" i="28" s="1"/>
  <c r="FN25" i="28" s="1"/>
  <c r="FN26" i="28" s="1"/>
  <c r="FN27" i="28" s="1"/>
  <c r="FN28" i="28" s="1"/>
  <c r="FN29" i="28" s="1"/>
  <c r="FN30" i="28" s="1"/>
  <c r="FN31" i="28" s="1"/>
  <c r="FN32" i="28" s="1"/>
  <c r="FN33" i="28" s="1"/>
  <c r="FN34" i="28" s="1"/>
  <c r="FN35" i="28" s="1"/>
  <c r="FN36" i="28" s="1"/>
  <c r="FN37" i="28" s="1"/>
  <c r="FJ9" i="28"/>
  <c r="FJ10" i="28" s="1"/>
  <c r="FJ11" i="28" s="1"/>
  <c r="FJ12" i="28" s="1"/>
  <c r="FJ13" i="28" s="1"/>
  <c r="FJ14" i="28" s="1"/>
  <c r="FJ15" i="28" s="1"/>
  <c r="FJ16" i="28" s="1"/>
  <c r="FJ17" i="28" s="1"/>
  <c r="FJ18" i="28" s="1"/>
  <c r="FJ19" i="28" s="1"/>
  <c r="FJ20" i="28" s="1"/>
  <c r="FJ21" i="28" s="1"/>
  <c r="FJ22" i="28" s="1"/>
  <c r="FJ23" i="28" s="1"/>
  <c r="FJ24" i="28" s="1"/>
  <c r="FJ25" i="28" s="1"/>
  <c r="FJ26" i="28" s="1"/>
  <c r="FJ27" i="28" s="1"/>
  <c r="FJ28" i="28" s="1"/>
  <c r="FJ29" i="28" s="1"/>
  <c r="FJ30" i="28" s="1"/>
  <c r="FJ31" i="28" s="1"/>
  <c r="FJ32" i="28" s="1"/>
  <c r="FJ33" i="28" s="1"/>
  <c r="FJ34" i="28" s="1"/>
  <c r="FJ35" i="28" s="1"/>
  <c r="FJ36" i="28" s="1"/>
  <c r="FJ37" i="28" s="1"/>
  <c r="FI9" i="28"/>
  <c r="FI10" i="28" s="1"/>
  <c r="FI11" i="28" s="1"/>
  <c r="FI12" i="28" s="1"/>
  <c r="FI13" i="28" s="1"/>
  <c r="FI14" i="28" s="1"/>
  <c r="FI15" i="28" s="1"/>
  <c r="FI16" i="28" s="1"/>
  <c r="FI17" i="28" s="1"/>
  <c r="FI18" i="28" s="1"/>
  <c r="FI19" i="28" s="1"/>
  <c r="FI20" i="28" s="1"/>
  <c r="FI21" i="28" s="1"/>
  <c r="FI22" i="28" s="1"/>
  <c r="FI23" i="28" s="1"/>
  <c r="FI24" i="28" s="1"/>
  <c r="FI25" i="28" s="1"/>
  <c r="FI26" i="28" s="1"/>
  <c r="FI27" i="28" s="1"/>
  <c r="FI28" i="28" s="1"/>
  <c r="FI29" i="28" s="1"/>
  <c r="FI30" i="28" s="1"/>
  <c r="FI31" i="28" s="1"/>
  <c r="FI32" i="28" s="1"/>
  <c r="FI33" i="28" s="1"/>
  <c r="FI34" i="28" s="1"/>
  <c r="FI35" i="28" s="1"/>
  <c r="FI36" i="28" s="1"/>
  <c r="FI37" i="28" s="1"/>
  <c r="FH9" i="28"/>
  <c r="FH10" i="28" s="1"/>
  <c r="FH11" i="28" s="1"/>
  <c r="FH12" i="28" s="1"/>
  <c r="FH13" i="28" s="1"/>
  <c r="FH14" i="28" s="1"/>
  <c r="FH15" i="28" s="1"/>
  <c r="FH16" i="28" s="1"/>
  <c r="FH17" i="28" s="1"/>
  <c r="FH18" i="28" s="1"/>
  <c r="FH19" i="28" s="1"/>
  <c r="FH20" i="28" s="1"/>
  <c r="FH21" i="28" s="1"/>
  <c r="FH22" i="28" s="1"/>
  <c r="FH23" i="28" s="1"/>
  <c r="FH24" i="28" s="1"/>
  <c r="FH25" i="28" s="1"/>
  <c r="FH26" i="28" s="1"/>
  <c r="FH27" i="28" s="1"/>
  <c r="FH28" i="28" s="1"/>
  <c r="FH29" i="28" s="1"/>
  <c r="FH30" i="28" s="1"/>
  <c r="FH31" i="28" s="1"/>
  <c r="FH32" i="28" s="1"/>
  <c r="FH33" i="28" s="1"/>
  <c r="FH34" i="28" s="1"/>
  <c r="FH35" i="28" s="1"/>
  <c r="FH36" i="28" s="1"/>
  <c r="FH37" i="28" s="1"/>
  <c r="FG9" i="28"/>
  <c r="FG10" i="28" s="1"/>
  <c r="FG11" i="28" s="1"/>
  <c r="FG12" i="28" s="1"/>
  <c r="FG13" i="28" s="1"/>
  <c r="FG14" i="28" s="1"/>
  <c r="FG15" i="28" s="1"/>
  <c r="FG16" i="28" s="1"/>
  <c r="FG17" i="28" s="1"/>
  <c r="FG18" i="28" s="1"/>
  <c r="FG19" i="28" s="1"/>
  <c r="FG20" i="28" s="1"/>
  <c r="FG21" i="28" s="1"/>
  <c r="FG22" i="28" s="1"/>
  <c r="FG23" i="28" s="1"/>
  <c r="FG24" i="28" s="1"/>
  <c r="FG25" i="28" s="1"/>
  <c r="FG26" i="28" s="1"/>
  <c r="FG27" i="28" s="1"/>
  <c r="FG28" i="28" s="1"/>
  <c r="FG29" i="28" s="1"/>
  <c r="FG30" i="28" s="1"/>
  <c r="FG31" i="28" s="1"/>
  <c r="FG32" i="28" s="1"/>
  <c r="FG33" i="28" s="1"/>
  <c r="FG34" i="28" s="1"/>
  <c r="FG35" i="28" s="1"/>
  <c r="FG36" i="28" s="1"/>
  <c r="FG37" i="28" s="1"/>
  <c r="FF9" i="28"/>
  <c r="FF10" i="28" s="1"/>
  <c r="FF11" i="28" s="1"/>
  <c r="FF12" i="28" s="1"/>
  <c r="FF13" i="28" s="1"/>
  <c r="FF14" i="28" s="1"/>
  <c r="FF15" i="28" s="1"/>
  <c r="FF16" i="28" s="1"/>
  <c r="FF17" i="28" s="1"/>
  <c r="FF18" i="28" s="1"/>
  <c r="FF19" i="28" s="1"/>
  <c r="FF20" i="28" s="1"/>
  <c r="FF21" i="28" s="1"/>
  <c r="FF22" i="28" s="1"/>
  <c r="FF23" i="28" s="1"/>
  <c r="FF24" i="28" s="1"/>
  <c r="FF25" i="28" s="1"/>
  <c r="FF26" i="28" s="1"/>
  <c r="FF27" i="28" s="1"/>
  <c r="FF28" i="28" s="1"/>
  <c r="FF29" i="28" s="1"/>
  <c r="FF30" i="28" s="1"/>
  <c r="FF31" i="28" s="1"/>
  <c r="FF32" i="28" s="1"/>
  <c r="FF33" i="28" s="1"/>
  <c r="FF34" i="28" s="1"/>
  <c r="FF35" i="28" s="1"/>
  <c r="FF36" i="28" s="1"/>
  <c r="FF37" i="28" s="1"/>
  <c r="FE9" i="28"/>
  <c r="FE10" i="28" s="1"/>
  <c r="FE11" i="28" s="1"/>
  <c r="FE12" i="28" s="1"/>
  <c r="FE13" i="28" s="1"/>
  <c r="FE14" i="28" s="1"/>
  <c r="FE15" i="28" s="1"/>
  <c r="FE16" i="28" s="1"/>
  <c r="FE17" i="28" s="1"/>
  <c r="FE18" i="28" s="1"/>
  <c r="FE19" i="28" s="1"/>
  <c r="FE20" i="28" s="1"/>
  <c r="FE21" i="28" s="1"/>
  <c r="FE22" i="28" s="1"/>
  <c r="FE23" i="28" s="1"/>
  <c r="FE24" i="28" s="1"/>
  <c r="FE25" i="28" s="1"/>
  <c r="FE26" i="28" s="1"/>
  <c r="FE27" i="28" s="1"/>
  <c r="FE28" i="28" s="1"/>
  <c r="FE29" i="28" s="1"/>
  <c r="FE30" i="28" s="1"/>
  <c r="FE31" i="28" s="1"/>
  <c r="FE32" i="28" s="1"/>
  <c r="FE33" i="28" s="1"/>
  <c r="FE34" i="28" s="1"/>
  <c r="FE35" i="28" s="1"/>
  <c r="FE36" i="28" s="1"/>
  <c r="FE37" i="28" s="1"/>
  <c r="FD9" i="28"/>
  <c r="FD10" i="28" s="1"/>
  <c r="FD11" i="28" s="1"/>
  <c r="FD12" i="28" s="1"/>
  <c r="FD13" i="28" s="1"/>
  <c r="FD14" i="28" s="1"/>
  <c r="FD15" i="28" s="1"/>
  <c r="FD16" i="28" s="1"/>
  <c r="FD17" i="28" s="1"/>
  <c r="FD18" i="28" s="1"/>
  <c r="FD19" i="28" s="1"/>
  <c r="FD20" i="28" s="1"/>
  <c r="FD21" i="28" s="1"/>
  <c r="FD22" i="28" s="1"/>
  <c r="FD23" i="28" s="1"/>
  <c r="FD24" i="28" s="1"/>
  <c r="FD25" i="28" s="1"/>
  <c r="FD26" i="28" s="1"/>
  <c r="FD27" i="28" s="1"/>
  <c r="FD28" i="28" s="1"/>
  <c r="FD29" i="28" s="1"/>
  <c r="FD30" i="28" s="1"/>
  <c r="FD31" i="28" s="1"/>
  <c r="FD32" i="28" s="1"/>
  <c r="FD33" i="28" s="1"/>
  <c r="FD34" i="28" s="1"/>
  <c r="FD35" i="28" s="1"/>
  <c r="FD36" i="28" s="1"/>
  <c r="FD37" i="28" s="1"/>
  <c r="FC9" i="28"/>
  <c r="FC10" i="28" s="1"/>
  <c r="FC11" i="28" s="1"/>
  <c r="FC12" i="28" s="1"/>
  <c r="FC13" i="28" s="1"/>
  <c r="FC14" i="28" s="1"/>
  <c r="FC15" i="28" s="1"/>
  <c r="FC16" i="28" s="1"/>
  <c r="FC17" i="28" s="1"/>
  <c r="FC18" i="28" s="1"/>
  <c r="FC19" i="28" s="1"/>
  <c r="FC20" i="28" s="1"/>
  <c r="FC21" i="28" s="1"/>
  <c r="FC22" i="28" s="1"/>
  <c r="FC23" i="28" s="1"/>
  <c r="FC24" i="28" s="1"/>
  <c r="FC25" i="28" s="1"/>
  <c r="FC26" i="28" s="1"/>
  <c r="FC27" i="28" s="1"/>
  <c r="FC28" i="28" s="1"/>
  <c r="FC29" i="28" s="1"/>
  <c r="FC30" i="28" s="1"/>
  <c r="FC31" i="28" s="1"/>
  <c r="FC32" i="28" s="1"/>
  <c r="FC33" i="28" s="1"/>
  <c r="FC34" i="28" s="1"/>
  <c r="FC35" i="28" s="1"/>
  <c r="FC36" i="28" s="1"/>
  <c r="FC37" i="28" s="1"/>
  <c r="FB9" i="28"/>
  <c r="FB10" i="28" s="1"/>
  <c r="FB11" i="28" s="1"/>
  <c r="FB12" i="28" s="1"/>
  <c r="FB13" i="28" s="1"/>
  <c r="FB14" i="28" s="1"/>
  <c r="FB15" i="28" s="1"/>
  <c r="FB16" i="28" s="1"/>
  <c r="FB17" i="28" s="1"/>
  <c r="FB18" i="28" s="1"/>
  <c r="FB19" i="28" s="1"/>
  <c r="FB20" i="28" s="1"/>
  <c r="FB21" i="28" s="1"/>
  <c r="FB22" i="28" s="1"/>
  <c r="FB23" i="28" s="1"/>
  <c r="FB24" i="28" s="1"/>
  <c r="FB25" i="28" s="1"/>
  <c r="FB26" i="28" s="1"/>
  <c r="FB27" i="28" s="1"/>
  <c r="FB28" i="28" s="1"/>
  <c r="FB29" i="28" s="1"/>
  <c r="FB30" i="28" s="1"/>
  <c r="FB31" i="28" s="1"/>
  <c r="FB32" i="28" s="1"/>
  <c r="FB33" i="28" s="1"/>
  <c r="FB34" i="28" s="1"/>
  <c r="FB35" i="28" s="1"/>
  <c r="FB36" i="28" s="1"/>
  <c r="FB37" i="28" s="1"/>
  <c r="FA9" i="28"/>
  <c r="FA10" i="28" s="1"/>
  <c r="FA11" i="28" s="1"/>
  <c r="FA12" i="28" s="1"/>
  <c r="FA13" i="28" s="1"/>
  <c r="FA14" i="28" s="1"/>
  <c r="FA15" i="28" s="1"/>
  <c r="FA16" i="28" s="1"/>
  <c r="FA17" i="28" s="1"/>
  <c r="FA18" i="28" s="1"/>
  <c r="FA19" i="28" s="1"/>
  <c r="FA20" i="28" s="1"/>
  <c r="FA21" i="28" s="1"/>
  <c r="FA22" i="28" s="1"/>
  <c r="FA23" i="28" s="1"/>
  <c r="FA24" i="28" s="1"/>
  <c r="FA25" i="28" s="1"/>
  <c r="FA26" i="28" s="1"/>
  <c r="FA27" i="28" s="1"/>
  <c r="FA28" i="28" s="1"/>
  <c r="FA29" i="28" s="1"/>
  <c r="FA30" i="28" s="1"/>
  <c r="FA31" i="28" s="1"/>
  <c r="FA32" i="28" s="1"/>
  <c r="FA33" i="28" s="1"/>
  <c r="FA34" i="28" s="1"/>
  <c r="FA35" i="28" s="1"/>
  <c r="FA36" i="28" s="1"/>
  <c r="FA37" i="28" s="1"/>
  <c r="EZ9" i="28"/>
  <c r="EZ10" i="28" s="1"/>
  <c r="EZ11" i="28" s="1"/>
  <c r="EZ12" i="28" s="1"/>
  <c r="EZ13" i="28" s="1"/>
  <c r="EZ14" i="28" s="1"/>
  <c r="EZ15" i="28" s="1"/>
  <c r="EZ16" i="28" s="1"/>
  <c r="EZ17" i="28" s="1"/>
  <c r="EZ18" i="28" s="1"/>
  <c r="EZ19" i="28" s="1"/>
  <c r="EZ20" i="28" s="1"/>
  <c r="EZ21" i="28" s="1"/>
  <c r="EZ22" i="28" s="1"/>
  <c r="EZ23" i="28" s="1"/>
  <c r="EZ24" i="28" s="1"/>
  <c r="EZ25" i="28" s="1"/>
  <c r="EZ26" i="28" s="1"/>
  <c r="EZ27" i="28" s="1"/>
  <c r="EZ28" i="28" s="1"/>
  <c r="EZ29" i="28" s="1"/>
  <c r="EZ30" i="28" s="1"/>
  <c r="EZ31" i="28" s="1"/>
  <c r="EZ32" i="28" s="1"/>
  <c r="EZ33" i="28" s="1"/>
  <c r="EZ34" i="28" s="1"/>
  <c r="EZ35" i="28" s="1"/>
  <c r="EZ36" i="28" s="1"/>
  <c r="EZ37" i="28" s="1"/>
  <c r="EY9" i="28"/>
  <c r="EY10" i="28" s="1"/>
  <c r="EY11" i="28" s="1"/>
  <c r="EY12" i="28" s="1"/>
  <c r="EY13" i="28" s="1"/>
  <c r="EY14" i="28" s="1"/>
  <c r="EY15" i="28" s="1"/>
  <c r="EY16" i="28" s="1"/>
  <c r="EY17" i="28" s="1"/>
  <c r="EY18" i="28" s="1"/>
  <c r="EY19" i="28" s="1"/>
  <c r="EY20" i="28" s="1"/>
  <c r="EY21" i="28" s="1"/>
  <c r="EY22" i="28" s="1"/>
  <c r="EY23" i="28" s="1"/>
  <c r="EY24" i="28" s="1"/>
  <c r="EY25" i="28" s="1"/>
  <c r="EY26" i="28" s="1"/>
  <c r="EY27" i="28" s="1"/>
  <c r="EY28" i="28" s="1"/>
  <c r="EY29" i="28" s="1"/>
  <c r="EY30" i="28" s="1"/>
  <c r="EY31" i="28" s="1"/>
  <c r="EY32" i="28" s="1"/>
  <c r="EY33" i="28" s="1"/>
  <c r="EY34" i="28" s="1"/>
  <c r="EY35" i="28" s="1"/>
  <c r="EY36" i="28" s="1"/>
  <c r="EY37" i="28" s="1"/>
  <c r="EX9" i="28"/>
  <c r="EX10" i="28" s="1"/>
  <c r="EX11" i="28" s="1"/>
  <c r="EX12" i="28" s="1"/>
  <c r="EX13" i="28" s="1"/>
  <c r="EX14" i="28" s="1"/>
  <c r="EX15" i="28" s="1"/>
  <c r="EX16" i="28" s="1"/>
  <c r="EX17" i="28" s="1"/>
  <c r="EX18" i="28" s="1"/>
  <c r="EX19" i="28" s="1"/>
  <c r="EX20" i="28" s="1"/>
  <c r="EX21" i="28" s="1"/>
  <c r="EX22" i="28" s="1"/>
  <c r="EX23" i="28" s="1"/>
  <c r="EX24" i="28" s="1"/>
  <c r="EX25" i="28" s="1"/>
  <c r="EX26" i="28" s="1"/>
  <c r="EX27" i="28" s="1"/>
  <c r="EX28" i="28" s="1"/>
  <c r="EX29" i="28" s="1"/>
  <c r="EX30" i="28" s="1"/>
  <c r="EX31" i="28" s="1"/>
  <c r="EX32" i="28" s="1"/>
  <c r="EX33" i="28" s="1"/>
  <c r="EX34" i="28" s="1"/>
  <c r="EX35" i="28" s="1"/>
  <c r="EX36" i="28" s="1"/>
  <c r="EX37" i="28" s="1"/>
  <c r="EW9" i="28"/>
  <c r="EW10" i="28" s="1"/>
  <c r="EW11" i="28" s="1"/>
  <c r="EW12" i="28" s="1"/>
  <c r="EW13" i="28" s="1"/>
  <c r="EW14" i="28" s="1"/>
  <c r="EW15" i="28" s="1"/>
  <c r="EW16" i="28" s="1"/>
  <c r="EW17" i="28" s="1"/>
  <c r="EW18" i="28" s="1"/>
  <c r="EW19" i="28" s="1"/>
  <c r="EW20" i="28" s="1"/>
  <c r="EW21" i="28" s="1"/>
  <c r="EW22" i="28" s="1"/>
  <c r="EW23" i="28" s="1"/>
  <c r="EW24" i="28" s="1"/>
  <c r="EW25" i="28" s="1"/>
  <c r="EW26" i="28" s="1"/>
  <c r="EW27" i="28" s="1"/>
  <c r="EW28" i="28" s="1"/>
  <c r="EW29" i="28" s="1"/>
  <c r="EW30" i="28" s="1"/>
  <c r="EW31" i="28" s="1"/>
  <c r="EW32" i="28" s="1"/>
  <c r="EW33" i="28" s="1"/>
  <c r="EW34" i="28" s="1"/>
  <c r="EW35" i="28" s="1"/>
  <c r="EW36" i="28" s="1"/>
  <c r="EW37" i="28" s="1"/>
  <c r="EV9" i="28"/>
  <c r="EV10" i="28" s="1"/>
  <c r="EV11" i="28" s="1"/>
  <c r="EV12" i="28" s="1"/>
  <c r="EV13" i="28" s="1"/>
  <c r="EV14" i="28" s="1"/>
  <c r="EV15" i="28" s="1"/>
  <c r="EV16" i="28" s="1"/>
  <c r="EV17" i="28" s="1"/>
  <c r="EV18" i="28" s="1"/>
  <c r="EV19" i="28" s="1"/>
  <c r="EV20" i="28" s="1"/>
  <c r="EV21" i="28" s="1"/>
  <c r="EV22" i="28" s="1"/>
  <c r="EV23" i="28" s="1"/>
  <c r="EV24" i="28" s="1"/>
  <c r="EV25" i="28" s="1"/>
  <c r="EV26" i="28" s="1"/>
  <c r="EV27" i="28" s="1"/>
  <c r="EV28" i="28" s="1"/>
  <c r="EV29" i="28" s="1"/>
  <c r="EV30" i="28" s="1"/>
  <c r="EV31" i="28" s="1"/>
  <c r="EV32" i="28" s="1"/>
  <c r="EV33" i="28" s="1"/>
  <c r="EV34" i="28" s="1"/>
  <c r="EV35" i="28" s="1"/>
  <c r="EV36" i="28" s="1"/>
  <c r="EV37" i="28" s="1"/>
  <c r="EU9" i="28"/>
  <c r="EU10" i="28" s="1"/>
  <c r="EU11" i="28" s="1"/>
  <c r="EU12" i="28" s="1"/>
  <c r="EU13" i="28" s="1"/>
  <c r="EU14" i="28" s="1"/>
  <c r="EU15" i="28" s="1"/>
  <c r="EU16" i="28" s="1"/>
  <c r="EU17" i="28" s="1"/>
  <c r="EU18" i="28" s="1"/>
  <c r="EU19" i="28" s="1"/>
  <c r="EU20" i="28" s="1"/>
  <c r="EU21" i="28" s="1"/>
  <c r="EU22" i="28" s="1"/>
  <c r="EU23" i="28" s="1"/>
  <c r="EU24" i="28" s="1"/>
  <c r="EU25" i="28" s="1"/>
  <c r="EU26" i="28" s="1"/>
  <c r="EU27" i="28" s="1"/>
  <c r="EU28" i="28" s="1"/>
  <c r="EU29" i="28" s="1"/>
  <c r="EU30" i="28" s="1"/>
  <c r="EU31" i="28" s="1"/>
  <c r="EU32" i="28" s="1"/>
  <c r="EU33" i="28" s="1"/>
  <c r="EU34" i="28" s="1"/>
  <c r="EU35" i="28" s="1"/>
  <c r="EU36" i="28" s="1"/>
  <c r="EU37" i="28" s="1"/>
  <c r="ET9" i="28"/>
  <c r="ET10" i="28" s="1"/>
  <c r="ET11" i="28" s="1"/>
  <c r="ET12" i="28" s="1"/>
  <c r="ET13" i="28" s="1"/>
  <c r="ET14" i="28" s="1"/>
  <c r="ET15" i="28" s="1"/>
  <c r="ET16" i="28" s="1"/>
  <c r="ET17" i="28" s="1"/>
  <c r="ET18" i="28" s="1"/>
  <c r="ET19" i="28" s="1"/>
  <c r="ET20" i="28" s="1"/>
  <c r="ET21" i="28" s="1"/>
  <c r="ET22" i="28" s="1"/>
  <c r="ET23" i="28" s="1"/>
  <c r="ET24" i="28" s="1"/>
  <c r="ET25" i="28" s="1"/>
  <c r="ET26" i="28" s="1"/>
  <c r="ET27" i="28" s="1"/>
  <c r="ET28" i="28" s="1"/>
  <c r="ET29" i="28" s="1"/>
  <c r="ET30" i="28" s="1"/>
  <c r="ET31" i="28" s="1"/>
  <c r="ET32" i="28" s="1"/>
  <c r="ET33" i="28" s="1"/>
  <c r="ET34" i="28" s="1"/>
  <c r="ET35" i="28" s="1"/>
  <c r="ET36" i="28" s="1"/>
  <c r="ET37" i="28" s="1"/>
  <c r="ES9" i="28"/>
  <c r="ES10" i="28" s="1"/>
  <c r="ES11" i="28" s="1"/>
  <c r="ES12" i="28" s="1"/>
  <c r="ES13" i="28" s="1"/>
  <c r="ES14" i="28" s="1"/>
  <c r="ES15" i="28" s="1"/>
  <c r="ES16" i="28" s="1"/>
  <c r="ES17" i="28" s="1"/>
  <c r="ES18" i="28" s="1"/>
  <c r="ES19" i="28" s="1"/>
  <c r="ES20" i="28" s="1"/>
  <c r="ES21" i="28" s="1"/>
  <c r="ES22" i="28" s="1"/>
  <c r="ES23" i="28" s="1"/>
  <c r="ES24" i="28" s="1"/>
  <c r="ES25" i="28" s="1"/>
  <c r="ES26" i="28" s="1"/>
  <c r="ES27" i="28" s="1"/>
  <c r="ES28" i="28" s="1"/>
  <c r="ES29" i="28" s="1"/>
  <c r="ES30" i="28" s="1"/>
  <c r="ES31" i="28" s="1"/>
  <c r="ES32" i="28" s="1"/>
  <c r="ES33" i="28" s="1"/>
  <c r="ES34" i="28" s="1"/>
  <c r="ES35" i="28" s="1"/>
  <c r="ES36" i="28" s="1"/>
  <c r="ES37" i="28" s="1"/>
  <c r="ER9" i="28"/>
  <c r="ER10" i="28" s="1"/>
  <c r="ER11" i="28" s="1"/>
  <c r="ER12" i="28" s="1"/>
  <c r="ER13" i="28" s="1"/>
  <c r="ER14" i="28" s="1"/>
  <c r="ER15" i="28" s="1"/>
  <c r="ER16" i="28" s="1"/>
  <c r="ER17" i="28" s="1"/>
  <c r="ER18" i="28" s="1"/>
  <c r="ER19" i="28" s="1"/>
  <c r="ER20" i="28" s="1"/>
  <c r="ER21" i="28" s="1"/>
  <c r="ER22" i="28" s="1"/>
  <c r="ER23" i="28" s="1"/>
  <c r="ER24" i="28" s="1"/>
  <c r="ER25" i="28" s="1"/>
  <c r="ER26" i="28" s="1"/>
  <c r="ER27" i="28" s="1"/>
  <c r="ER28" i="28" s="1"/>
  <c r="ER29" i="28" s="1"/>
  <c r="ER30" i="28" s="1"/>
  <c r="ER31" i="28" s="1"/>
  <c r="ER32" i="28" s="1"/>
  <c r="ER33" i="28" s="1"/>
  <c r="ER34" i="28" s="1"/>
  <c r="ER35" i="28" s="1"/>
  <c r="ER36" i="28" s="1"/>
  <c r="ER37" i="28" s="1"/>
  <c r="EQ9" i="28"/>
  <c r="EQ10" i="28" s="1"/>
  <c r="EQ11" i="28" s="1"/>
  <c r="EQ12" i="28" s="1"/>
  <c r="EQ13" i="28" s="1"/>
  <c r="EQ14" i="28" s="1"/>
  <c r="EQ15" i="28" s="1"/>
  <c r="EQ16" i="28" s="1"/>
  <c r="EQ17" i="28" s="1"/>
  <c r="EQ18" i="28" s="1"/>
  <c r="EQ19" i="28" s="1"/>
  <c r="EQ20" i="28" s="1"/>
  <c r="EQ21" i="28" s="1"/>
  <c r="EQ22" i="28" s="1"/>
  <c r="EQ23" i="28" s="1"/>
  <c r="EQ24" i="28" s="1"/>
  <c r="EQ25" i="28" s="1"/>
  <c r="EQ26" i="28" s="1"/>
  <c r="EQ27" i="28" s="1"/>
  <c r="EQ28" i="28" s="1"/>
  <c r="EQ29" i="28" s="1"/>
  <c r="EQ30" i="28" s="1"/>
  <c r="EQ31" i="28" s="1"/>
  <c r="EQ32" i="28" s="1"/>
  <c r="EQ33" i="28" s="1"/>
  <c r="EQ34" i="28" s="1"/>
  <c r="EQ35" i="28" s="1"/>
  <c r="EQ36" i="28" s="1"/>
  <c r="EQ37" i="28" s="1"/>
  <c r="EP9" i="28"/>
  <c r="EP10" i="28" s="1"/>
  <c r="EP11" i="28" s="1"/>
  <c r="EP12" i="28" s="1"/>
  <c r="EP13" i="28" s="1"/>
  <c r="EP14" i="28" s="1"/>
  <c r="EP15" i="28" s="1"/>
  <c r="EP16" i="28" s="1"/>
  <c r="EP17" i="28" s="1"/>
  <c r="EP18" i="28" s="1"/>
  <c r="EP19" i="28" s="1"/>
  <c r="EP20" i="28" s="1"/>
  <c r="EP21" i="28" s="1"/>
  <c r="EP22" i="28" s="1"/>
  <c r="EP23" i="28" s="1"/>
  <c r="EP24" i="28" s="1"/>
  <c r="EP25" i="28" s="1"/>
  <c r="EP26" i="28" s="1"/>
  <c r="EP27" i="28" s="1"/>
  <c r="EP28" i="28" s="1"/>
  <c r="EP29" i="28" s="1"/>
  <c r="EP30" i="28" s="1"/>
  <c r="EP31" i="28" s="1"/>
  <c r="EP32" i="28" s="1"/>
  <c r="EP33" i="28" s="1"/>
  <c r="EP34" i="28" s="1"/>
  <c r="EP35" i="28" s="1"/>
  <c r="EP36" i="28" s="1"/>
  <c r="EP37" i="28" s="1"/>
  <c r="EO9" i="28"/>
  <c r="EO10" i="28" s="1"/>
  <c r="EO11" i="28" s="1"/>
  <c r="EO12" i="28" s="1"/>
  <c r="EO13" i="28" s="1"/>
  <c r="EO14" i="28" s="1"/>
  <c r="EO15" i="28" s="1"/>
  <c r="EO16" i="28" s="1"/>
  <c r="EO17" i="28" s="1"/>
  <c r="EO18" i="28" s="1"/>
  <c r="EO19" i="28" s="1"/>
  <c r="EO20" i="28" s="1"/>
  <c r="EO21" i="28" s="1"/>
  <c r="EO22" i="28" s="1"/>
  <c r="EO23" i="28" s="1"/>
  <c r="EO24" i="28" s="1"/>
  <c r="EO25" i="28" s="1"/>
  <c r="EO26" i="28" s="1"/>
  <c r="EO27" i="28" s="1"/>
  <c r="EO28" i="28" s="1"/>
  <c r="EO29" i="28" s="1"/>
  <c r="EO30" i="28" s="1"/>
  <c r="EO31" i="28" s="1"/>
  <c r="EO32" i="28" s="1"/>
  <c r="EO33" i="28" s="1"/>
  <c r="EO34" i="28" s="1"/>
  <c r="EO35" i="28" s="1"/>
  <c r="EO36" i="28" s="1"/>
  <c r="EO37" i="28" s="1"/>
  <c r="EN9" i="28"/>
  <c r="EN10" i="28" s="1"/>
  <c r="EN11" i="28" s="1"/>
  <c r="EN12" i="28" s="1"/>
  <c r="EN13" i="28" s="1"/>
  <c r="EN14" i="28" s="1"/>
  <c r="EN15" i="28" s="1"/>
  <c r="EN16" i="28" s="1"/>
  <c r="EN17" i="28" s="1"/>
  <c r="EN18" i="28" s="1"/>
  <c r="EN19" i="28" s="1"/>
  <c r="EN20" i="28" s="1"/>
  <c r="EN21" i="28" s="1"/>
  <c r="EN22" i="28" s="1"/>
  <c r="EN23" i="28" s="1"/>
  <c r="EN24" i="28" s="1"/>
  <c r="EN25" i="28" s="1"/>
  <c r="EN26" i="28" s="1"/>
  <c r="EN27" i="28" s="1"/>
  <c r="EN28" i="28" s="1"/>
  <c r="EN29" i="28" s="1"/>
  <c r="EN30" i="28" s="1"/>
  <c r="EN31" i="28" s="1"/>
  <c r="EN32" i="28" s="1"/>
  <c r="EN33" i="28" s="1"/>
  <c r="EN34" i="28" s="1"/>
  <c r="EN35" i="28" s="1"/>
  <c r="EN36" i="28" s="1"/>
  <c r="EN37" i="28" s="1"/>
  <c r="EM9" i="28"/>
  <c r="EM10" i="28" s="1"/>
  <c r="EM11" i="28" s="1"/>
  <c r="EM12" i="28" s="1"/>
  <c r="EM13" i="28" s="1"/>
  <c r="EM14" i="28" s="1"/>
  <c r="EM15" i="28" s="1"/>
  <c r="EM16" i="28" s="1"/>
  <c r="EM17" i="28" s="1"/>
  <c r="EM18" i="28" s="1"/>
  <c r="EM19" i="28" s="1"/>
  <c r="EM20" i="28" s="1"/>
  <c r="EM21" i="28" s="1"/>
  <c r="EM22" i="28" s="1"/>
  <c r="EM23" i="28" s="1"/>
  <c r="EM24" i="28" s="1"/>
  <c r="EM25" i="28" s="1"/>
  <c r="EM26" i="28" s="1"/>
  <c r="EM27" i="28" s="1"/>
  <c r="EM28" i="28" s="1"/>
  <c r="EM29" i="28" s="1"/>
  <c r="EM30" i="28" s="1"/>
  <c r="EM31" i="28" s="1"/>
  <c r="EM32" i="28" s="1"/>
  <c r="EM33" i="28" s="1"/>
  <c r="EM34" i="28" s="1"/>
  <c r="EM35" i="28" s="1"/>
  <c r="EM36" i="28" s="1"/>
  <c r="EM37" i="28" s="1"/>
  <c r="EL9" i="28"/>
  <c r="EL10" i="28" s="1"/>
  <c r="EL11" i="28" s="1"/>
  <c r="EL12" i="28" s="1"/>
  <c r="EL13" i="28" s="1"/>
  <c r="EL14" i="28" s="1"/>
  <c r="EL15" i="28" s="1"/>
  <c r="EL16" i="28" s="1"/>
  <c r="EL17" i="28" s="1"/>
  <c r="EL18" i="28" s="1"/>
  <c r="EL19" i="28" s="1"/>
  <c r="EL20" i="28" s="1"/>
  <c r="EL21" i="28" s="1"/>
  <c r="EL22" i="28" s="1"/>
  <c r="EL23" i="28" s="1"/>
  <c r="EL24" i="28" s="1"/>
  <c r="EL25" i="28" s="1"/>
  <c r="EL26" i="28" s="1"/>
  <c r="EL27" i="28" s="1"/>
  <c r="EL28" i="28" s="1"/>
  <c r="EL29" i="28" s="1"/>
  <c r="EL30" i="28" s="1"/>
  <c r="EL31" i="28" s="1"/>
  <c r="EL32" i="28" s="1"/>
  <c r="EL33" i="28" s="1"/>
  <c r="EL34" i="28" s="1"/>
  <c r="EL35" i="28" s="1"/>
  <c r="EL36" i="28" s="1"/>
  <c r="EL37" i="28" s="1"/>
  <c r="EK9" i="28"/>
  <c r="EK10" i="28" s="1"/>
  <c r="EK11" i="28" s="1"/>
  <c r="EK12" i="28" s="1"/>
  <c r="EK13" i="28" s="1"/>
  <c r="EK14" i="28" s="1"/>
  <c r="EK15" i="28" s="1"/>
  <c r="EK16" i="28" s="1"/>
  <c r="EK17" i="28" s="1"/>
  <c r="EK18" i="28" s="1"/>
  <c r="EK19" i="28" s="1"/>
  <c r="EK20" i="28" s="1"/>
  <c r="EK21" i="28" s="1"/>
  <c r="EK22" i="28" s="1"/>
  <c r="EK23" i="28" s="1"/>
  <c r="EK24" i="28" s="1"/>
  <c r="EK25" i="28" s="1"/>
  <c r="EK26" i="28" s="1"/>
  <c r="EK27" i="28" s="1"/>
  <c r="EK28" i="28" s="1"/>
  <c r="EK29" i="28" s="1"/>
  <c r="EK30" i="28" s="1"/>
  <c r="EK31" i="28" s="1"/>
  <c r="EK32" i="28" s="1"/>
  <c r="EK33" i="28" s="1"/>
  <c r="EK34" i="28" s="1"/>
  <c r="EK35" i="28" s="1"/>
  <c r="EK36" i="28" s="1"/>
  <c r="EK37" i="28" s="1"/>
  <c r="EJ9" i="28"/>
  <c r="EJ10" i="28" s="1"/>
  <c r="EJ11" i="28" s="1"/>
  <c r="EJ12" i="28" s="1"/>
  <c r="EJ13" i="28" s="1"/>
  <c r="EJ14" i="28" s="1"/>
  <c r="EJ15" i="28" s="1"/>
  <c r="EJ16" i="28" s="1"/>
  <c r="EJ17" i="28" s="1"/>
  <c r="EJ18" i="28" s="1"/>
  <c r="EJ19" i="28" s="1"/>
  <c r="EJ20" i="28" s="1"/>
  <c r="EJ21" i="28" s="1"/>
  <c r="EJ22" i="28" s="1"/>
  <c r="EJ23" i="28" s="1"/>
  <c r="EJ24" i="28" s="1"/>
  <c r="EJ25" i="28" s="1"/>
  <c r="EJ26" i="28" s="1"/>
  <c r="EJ27" i="28" s="1"/>
  <c r="EJ28" i="28" s="1"/>
  <c r="EJ29" i="28" s="1"/>
  <c r="EJ30" i="28" s="1"/>
  <c r="EJ31" i="28" s="1"/>
  <c r="EJ32" i="28" s="1"/>
  <c r="EJ33" i="28" s="1"/>
  <c r="EJ34" i="28" s="1"/>
  <c r="EJ35" i="28" s="1"/>
  <c r="EJ36" i="28" s="1"/>
  <c r="EJ37" i="28" s="1"/>
  <c r="EI9" i="28"/>
  <c r="EI10" i="28" s="1"/>
  <c r="EI11" i="28" s="1"/>
  <c r="EI12" i="28" s="1"/>
  <c r="EI13" i="28" s="1"/>
  <c r="EI14" i="28" s="1"/>
  <c r="EI15" i="28" s="1"/>
  <c r="EI16" i="28" s="1"/>
  <c r="EI17" i="28" s="1"/>
  <c r="EI18" i="28" s="1"/>
  <c r="EI19" i="28" s="1"/>
  <c r="EI20" i="28" s="1"/>
  <c r="EI21" i="28" s="1"/>
  <c r="EI22" i="28" s="1"/>
  <c r="EI23" i="28" s="1"/>
  <c r="EI24" i="28" s="1"/>
  <c r="EI25" i="28" s="1"/>
  <c r="EI26" i="28" s="1"/>
  <c r="EI27" i="28" s="1"/>
  <c r="EI28" i="28" s="1"/>
  <c r="EI29" i="28" s="1"/>
  <c r="EI30" i="28" s="1"/>
  <c r="EI31" i="28" s="1"/>
  <c r="EI32" i="28" s="1"/>
  <c r="EI33" i="28" s="1"/>
  <c r="EI34" i="28" s="1"/>
  <c r="EI35" i="28" s="1"/>
  <c r="EI36" i="28" s="1"/>
  <c r="EI37" i="28" s="1"/>
  <c r="EH9" i="28"/>
  <c r="EH10" i="28" s="1"/>
  <c r="EH11" i="28" s="1"/>
  <c r="EH12" i="28" s="1"/>
  <c r="EH13" i="28" s="1"/>
  <c r="EH14" i="28" s="1"/>
  <c r="EH15" i="28" s="1"/>
  <c r="EH16" i="28" s="1"/>
  <c r="EH17" i="28" s="1"/>
  <c r="EH18" i="28" s="1"/>
  <c r="EH19" i="28" s="1"/>
  <c r="EH20" i="28" s="1"/>
  <c r="EH21" i="28" s="1"/>
  <c r="EH22" i="28" s="1"/>
  <c r="EH23" i="28" s="1"/>
  <c r="EH24" i="28" s="1"/>
  <c r="EH25" i="28" s="1"/>
  <c r="EH26" i="28" s="1"/>
  <c r="EH27" i="28" s="1"/>
  <c r="EH28" i="28" s="1"/>
  <c r="EH29" i="28" s="1"/>
  <c r="EH30" i="28" s="1"/>
  <c r="EH31" i="28" s="1"/>
  <c r="EH32" i="28" s="1"/>
  <c r="EH33" i="28" s="1"/>
  <c r="EH34" i="28" s="1"/>
  <c r="EH35" i="28" s="1"/>
  <c r="EH36" i="28" s="1"/>
  <c r="EH37" i="28" s="1"/>
  <c r="EG9" i="28"/>
  <c r="EG10" i="28" s="1"/>
  <c r="EG11" i="28" s="1"/>
  <c r="EG12" i="28" s="1"/>
  <c r="EG13" i="28" s="1"/>
  <c r="EG14" i="28" s="1"/>
  <c r="EG15" i="28" s="1"/>
  <c r="EG16" i="28" s="1"/>
  <c r="EG17" i="28" s="1"/>
  <c r="EG18" i="28" s="1"/>
  <c r="EG19" i="28" s="1"/>
  <c r="EG20" i="28" s="1"/>
  <c r="EG21" i="28" s="1"/>
  <c r="EG22" i="28" s="1"/>
  <c r="EG23" i="28" s="1"/>
  <c r="EG24" i="28" s="1"/>
  <c r="EG25" i="28" s="1"/>
  <c r="EG26" i="28" s="1"/>
  <c r="EG27" i="28" s="1"/>
  <c r="EG28" i="28" s="1"/>
  <c r="EG29" i="28" s="1"/>
  <c r="EG30" i="28" s="1"/>
  <c r="EG31" i="28" s="1"/>
  <c r="EG32" i="28" s="1"/>
  <c r="EG33" i="28" s="1"/>
  <c r="EG34" i="28" s="1"/>
  <c r="EG35" i="28" s="1"/>
  <c r="EG36" i="28" s="1"/>
  <c r="EG37" i="28" s="1"/>
  <c r="EF9" i="28"/>
  <c r="EF10" i="28" s="1"/>
  <c r="EF11" i="28" s="1"/>
  <c r="EF12" i="28" s="1"/>
  <c r="EF13" i="28" s="1"/>
  <c r="EF14" i="28" s="1"/>
  <c r="EF15" i="28" s="1"/>
  <c r="EF16" i="28" s="1"/>
  <c r="EF17" i="28" s="1"/>
  <c r="EF18" i="28" s="1"/>
  <c r="EF19" i="28" s="1"/>
  <c r="EF20" i="28" s="1"/>
  <c r="EF21" i="28" s="1"/>
  <c r="EF22" i="28" s="1"/>
  <c r="EF23" i="28" s="1"/>
  <c r="EF24" i="28" s="1"/>
  <c r="EF25" i="28" s="1"/>
  <c r="EF26" i="28" s="1"/>
  <c r="EF27" i="28" s="1"/>
  <c r="EF28" i="28" s="1"/>
  <c r="EF29" i="28" s="1"/>
  <c r="EF30" i="28" s="1"/>
  <c r="EF31" i="28" s="1"/>
  <c r="EF32" i="28" s="1"/>
  <c r="EF33" i="28" s="1"/>
  <c r="EF34" i="28" s="1"/>
  <c r="EF35" i="28" s="1"/>
  <c r="EF36" i="28" s="1"/>
  <c r="EF37" i="28" s="1"/>
  <c r="EE9" i="28"/>
  <c r="EE10" i="28" s="1"/>
  <c r="EE11" i="28" s="1"/>
  <c r="EE12" i="28" s="1"/>
  <c r="EE13" i="28" s="1"/>
  <c r="EE14" i="28" s="1"/>
  <c r="EE15" i="28" s="1"/>
  <c r="EE16" i="28" s="1"/>
  <c r="EE17" i="28" s="1"/>
  <c r="EE18" i="28" s="1"/>
  <c r="EE19" i="28" s="1"/>
  <c r="EE20" i="28" s="1"/>
  <c r="EE21" i="28" s="1"/>
  <c r="EE22" i="28" s="1"/>
  <c r="EE23" i="28" s="1"/>
  <c r="EE24" i="28" s="1"/>
  <c r="EE25" i="28" s="1"/>
  <c r="EE26" i="28" s="1"/>
  <c r="EE27" i="28" s="1"/>
  <c r="EE28" i="28" s="1"/>
  <c r="EE29" i="28" s="1"/>
  <c r="EE30" i="28" s="1"/>
  <c r="EE31" i="28" s="1"/>
  <c r="EE32" i="28" s="1"/>
  <c r="EE33" i="28" s="1"/>
  <c r="EE34" i="28" s="1"/>
  <c r="EE35" i="28" s="1"/>
  <c r="EE36" i="28" s="1"/>
  <c r="EE37" i="28" s="1"/>
  <c r="ED9" i="28"/>
  <c r="ED10" i="28" s="1"/>
  <c r="ED11" i="28" s="1"/>
  <c r="ED12" i="28" s="1"/>
  <c r="ED13" i="28" s="1"/>
  <c r="ED14" i="28" s="1"/>
  <c r="ED15" i="28" s="1"/>
  <c r="ED16" i="28" s="1"/>
  <c r="ED17" i="28" s="1"/>
  <c r="ED18" i="28" s="1"/>
  <c r="ED19" i="28" s="1"/>
  <c r="ED20" i="28" s="1"/>
  <c r="ED21" i="28" s="1"/>
  <c r="ED22" i="28" s="1"/>
  <c r="ED23" i="28" s="1"/>
  <c r="ED24" i="28" s="1"/>
  <c r="ED25" i="28" s="1"/>
  <c r="ED26" i="28" s="1"/>
  <c r="ED27" i="28" s="1"/>
  <c r="ED28" i="28" s="1"/>
  <c r="ED29" i="28" s="1"/>
  <c r="ED30" i="28" s="1"/>
  <c r="ED31" i="28" s="1"/>
  <c r="ED32" i="28" s="1"/>
  <c r="ED33" i="28" s="1"/>
  <c r="ED34" i="28" s="1"/>
  <c r="ED35" i="28" s="1"/>
  <c r="ED36" i="28" s="1"/>
  <c r="ED37" i="28" s="1"/>
  <c r="EC9" i="28"/>
  <c r="EC10" i="28" s="1"/>
  <c r="EC11" i="28" s="1"/>
  <c r="EC12" i="28" s="1"/>
  <c r="EC13" i="28" s="1"/>
  <c r="EC14" i="28" s="1"/>
  <c r="EC15" i="28" s="1"/>
  <c r="EC16" i="28" s="1"/>
  <c r="EC17" i="28" s="1"/>
  <c r="EC18" i="28" s="1"/>
  <c r="EC19" i="28" s="1"/>
  <c r="EC20" i="28" s="1"/>
  <c r="EC21" i="28" s="1"/>
  <c r="EC22" i="28" s="1"/>
  <c r="EC23" i="28" s="1"/>
  <c r="EC24" i="28" s="1"/>
  <c r="EC25" i="28" s="1"/>
  <c r="EC26" i="28" s="1"/>
  <c r="EC27" i="28" s="1"/>
  <c r="EC28" i="28" s="1"/>
  <c r="EC29" i="28" s="1"/>
  <c r="EC30" i="28" s="1"/>
  <c r="EC31" i="28" s="1"/>
  <c r="EC32" i="28" s="1"/>
  <c r="EC33" i="28" s="1"/>
  <c r="EC34" i="28" s="1"/>
  <c r="EC35" i="28" s="1"/>
  <c r="EC36" i="28" s="1"/>
  <c r="EC37" i="28" s="1"/>
  <c r="EB9" i="28"/>
  <c r="EB10" i="28" s="1"/>
  <c r="EB11" i="28" s="1"/>
  <c r="EB12" i="28" s="1"/>
  <c r="EB13" i="28" s="1"/>
  <c r="EB14" i="28" s="1"/>
  <c r="EB15" i="28" s="1"/>
  <c r="EB16" i="28" s="1"/>
  <c r="EB17" i="28" s="1"/>
  <c r="EB18" i="28" s="1"/>
  <c r="EB19" i="28" s="1"/>
  <c r="EB20" i="28" s="1"/>
  <c r="EB21" i="28" s="1"/>
  <c r="EB22" i="28" s="1"/>
  <c r="EB23" i="28" s="1"/>
  <c r="EB24" i="28" s="1"/>
  <c r="EB25" i="28" s="1"/>
  <c r="EB26" i="28" s="1"/>
  <c r="EB27" i="28" s="1"/>
  <c r="EB28" i="28" s="1"/>
  <c r="EB29" i="28" s="1"/>
  <c r="EB30" i="28" s="1"/>
  <c r="EB31" i="28" s="1"/>
  <c r="EB32" i="28" s="1"/>
  <c r="EB33" i="28" s="1"/>
  <c r="EB34" i="28" s="1"/>
  <c r="EB35" i="28" s="1"/>
  <c r="EB36" i="28" s="1"/>
  <c r="EB37" i="28" s="1"/>
  <c r="EA9" i="28"/>
  <c r="EA10" i="28" s="1"/>
  <c r="EA11" i="28" s="1"/>
  <c r="EA12" i="28" s="1"/>
  <c r="EA13" i="28" s="1"/>
  <c r="EA14" i="28" s="1"/>
  <c r="EA15" i="28" s="1"/>
  <c r="EA16" i="28" s="1"/>
  <c r="EA17" i="28" s="1"/>
  <c r="EA18" i="28" s="1"/>
  <c r="EA19" i="28" s="1"/>
  <c r="EA20" i="28" s="1"/>
  <c r="EA21" i="28" s="1"/>
  <c r="EA22" i="28" s="1"/>
  <c r="EA23" i="28" s="1"/>
  <c r="EA24" i="28" s="1"/>
  <c r="EA25" i="28" s="1"/>
  <c r="EA26" i="28" s="1"/>
  <c r="EA27" i="28" s="1"/>
  <c r="EA28" i="28" s="1"/>
  <c r="EA29" i="28" s="1"/>
  <c r="EA30" i="28" s="1"/>
  <c r="EA31" i="28" s="1"/>
  <c r="EA32" i="28" s="1"/>
  <c r="EA33" i="28" s="1"/>
  <c r="EA34" i="28" s="1"/>
  <c r="EA35" i="28" s="1"/>
  <c r="EA36" i="28" s="1"/>
  <c r="EA37" i="28" s="1"/>
  <c r="DZ9" i="28"/>
  <c r="DZ10" i="28" s="1"/>
  <c r="DZ11" i="28" s="1"/>
  <c r="DZ12" i="28" s="1"/>
  <c r="DZ13" i="28" s="1"/>
  <c r="DZ14" i="28" s="1"/>
  <c r="DZ15" i="28" s="1"/>
  <c r="DZ16" i="28" s="1"/>
  <c r="DZ17" i="28" s="1"/>
  <c r="DZ18" i="28" s="1"/>
  <c r="DZ19" i="28" s="1"/>
  <c r="DZ20" i="28" s="1"/>
  <c r="DZ21" i="28" s="1"/>
  <c r="DZ22" i="28" s="1"/>
  <c r="DZ23" i="28" s="1"/>
  <c r="DZ24" i="28" s="1"/>
  <c r="DZ25" i="28" s="1"/>
  <c r="DZ26" i="28" s="1"/>
  <c r="DZ27" i="28" s="1"/>
  <c r="DZ28" i="28" s="1"/>
  <c r="DZ29" i="28" s="1"/>
  <c r="DZ30" i="28" s="1"/>
  <c r="DZ31" i="28" s="1"/>
  <c r="DZ32" i="28" s="1"/>
  <c r="DZ33" i="28" s="1"/>
  <c r="DZ34" i="28" s="1"/>
  <c r="DZ35" i="28" s="1"/>
  <c r="DZ36" i="28" s="1"/>
  <c r="DZ37" i="28" s="1"/>
  <c r="DY9" i="28"/>
  <c r="DY10" i="28" s="1"/>
  <c r="DY11" i="28" s="1"/>
  <c r="DY12" i="28" s="1"/>
  <c r="DY13" i="28" s="1"/>
  <c r="DY14" i="28" s="1"/>
  <c r="DY15" i="28" s="1"/>
  <c r="DY16" i="28" s="1"/>
  <c r="DY17" i="28" s="1"/>
  <c r="DY18" i="28" s="1"/>
  <c r="DY19" i="28" s="1"/>
  <c r="DY20" i="28" s="1"/>
  <c r="DY21" i="28" s="1"/>
  <c r="DY22" i="28" s="1"/>
  <c r="DY23" i="28" s="1"/>
  <c r="DY24" i="28" s="1"/>
  <c r="DY25" i="28" s="1"/>
  <c r="DY26" i="28" s="1"/>
  <c r="DY27" i="28" s="1"/>
  <c r="DY28" i="28" s="1"/>
  <c r="DY29" i="28" s="1"/>
  <c r="DY30" i="28" s="1"/>
  <c r="DY31" i="28" s="1"/>
  <c r="DY32" i="28" s="1"/>
  <c r="DY33" i="28" s="1"/>
  <c r="DY34" i="28" s="1"/>
  <c r="DY35" i="28" s="1"/>
  <c r="DY36" i="28" s="1"/>
  <c r="DY37" i="28" s="1"/>
  <c r="DX9" i="28"/>
  <c r="DX10" i="28" s="1"/>
  <c r="DX11" i="28" s="1"/>
  <c r="DX12" i="28" s="1"/>
  <c r="DX13" i="28" s="1"/>
  <c r="DX14" i="28" s="1"/>
  <c r="DX15" i="28" s="1"/>
  <c r="DX16" i="28" s="1"/>
  <c r="DX17" i="28" s="1"/>
  <c r="DX18" i="28" s="1"/>
  <c r="DX19" i="28" s="1"/>
  <c r="DX20" i="28" s="1"/>
  <c r="DX21" i="28" s="1"/>
  <c r="DX22" i="28" s="1"/>
  <c r="DX23" i="28" s="1"/>
  <c r="DX24" i="28" s="1"/>
  <c r="DX25" i="28" s="1"/>
  <c r="DX26" i="28" s="1"/>
  <c r="DX27" i="28" s="1"/>
  <c r="DX28" i="28" s="1"/>
  <c r="DX29" i="28" s="1"/>
  <c r="DX30" i="28" s="1"/>
  <c r="DX31" i="28" s="1"/>
  <c r="DX32" i="28" s="1"/>
  <c r="DX33" i="28" s="1"/>
  <c r="DX34" i="28" s="1"/>
  <c r="DX35" i="28" s="1"/>
  <c r="DX36" i="28" s="1"/>
  <c r="DX37" i="28" s="1"/>
  <c r="DW9" i="28"/>
  <c r="DW10" i="28" s="1"/>
  <c r="DW11" i="28" s="1"/>
  <c r="DW12" i="28" s="1"/>
  <c r="DW13" i="28" s="1"/>
  <c r="DW14" i="28" s="1"/>
  <c r="DW15" i="28" s="1"/>
  <c r="DW16" i="28" s="1"/>
  <c r="DW17" i="28" s="1"/>
  <c r="DW18" i="28" s="1"/>
  <c r="DW19" i="28" s="1"/>
  <c r="DW20" i="28" s="1"/>
  <c r="DW21" i="28" s="1"/>
  <c r="DW22" i="28" s="1"/>
  <c r="DW23" i="28" s="1"/>
  <c r="DW24" i="28" s="1"/>
  <c r="DW25" i="28" s="1"/>
  <c r="DW26" i="28" s="1"/>
  <c r="DW27" i="28" s="1"/>
  <c r="DW28" i="28" s="1"/>
  <c r="DW29" i="28" s="1"/>
  <c r="DW30" i="28" s="1"/>
  <c r="DW31" i="28" s="1"/>
  <c r="DW32" i="28" s="1"/>
  <c r="DW33" i="28" s="1"/>
  <c r="DW34" i="28" s="1"/>
  <c r="DW35" i="28" s="1"/>
  <c r="DW36" i="28" s="1"/>
  <c r="DW37" i="28" s="1"/>
  <c r="DV9" i="28"/>
  <c r="DV10" i="28" s="1"/>
  <c r="DV11" i="28" s="1"/>
  <c r="DV12" i="28" s="1"/>
  <c r="DV13" i="28" s="1"/>
  <c r="DV14" i="28" s="1"/>
  <c r="DV15" i="28" s="1"/>
  <c r="DV16" i="28" s="1"/>
  <c r="DV17" i="28" s="1"/>
  <c r="DV18" i="28" s="1"/>
  <c r="DV19" i="28" s="1"/>
  <c r="DV20" i="28" s="1"/>
  <c r="DV21" i="28" s="1"/>
  <c r="DV22" i="28" s="1"/>
  <c r="DV23" i="28" s="1"/>
  <c r="DV24" i="28" s="1"/>
  <c r="DV25" i="28" s="1"/>
  <c r="DV26" i="28" s="1"/>
  <c r="DV27" i="28" s="1"/>
  <c r="DV28" i="28" s="1"/>
  <c r="DV29" i="28" s="1"/>
  <c r="DV30" i="28" s="1"/>
  <c r="DV31" i="28" s="1"/>
  <c r="DV32" i="28" s="1"/>
  <c r="DV33" i="28" s="1"/>
  <c r="DV34" i="28" s="1"/>
  <c r="DV35" i="28" s="1"/>
  <c r="DV36" i="28" s="1"/>
  <c r="DV37" i="28" s="1"/>
  <c r="DU9" i="28"/>
  <c r="DU10" i="28" s="1"/>
  <c r="DU11" i="28" s="1"/>
  <c r="DU12" i="28" s="1"/>
  <c r="DU13" i="28" s="1"/>
  <c r="DU14" i="28" s="1"/>
  <c r="DU15" i="28" s="1"/>
  <c r="DU16" i="28" s="1"/>
  <c r="DU17" i="28" s="1"/>
  <c r="DU18" i="28" s="1"/>
  <c r="DU19" i="28" s="1"/>
  <c r="DU20" i="28" s="1"/>
  <c r="DU21" i="28" s="1"/>
  <c r="DU22" i="28" s="1"/>
  <c r="DU23" i="28" s="1"/>
  <c r="DU24" i="28" s="1"/>
  <c r="DU25" i="28" s="1"/>
  <c r="DU26" i="28" s="1"/>
  <c r="DU27" i="28" s="1"/>
  <c r="DU28" i="28" s="1"/>
  <c r="DU29" i="28" s="1"/>
  <c r="DU30" i="28" s="1"/>
  <c r="DU31" i="28" s="1"/>
  <c r="DU32" i="28" s="1"/>
  <c r="DU33" i="28" s="1"/>
  <c r="DU34" i="28" s="1"/>
  <c r="DU35" i="28" s="1"/>
  <c r="DU36" i="28" s="1"/>
  <c r="DU37" i="28" s="1"/>
  <c r="DT9" i="28"/>
  <c r="DT10" i="28" s="1"/>
  <c r="DT11" i="28" s="1"/>
  <c r="DT12" i="28" s="1"/>
  <c r="DT13" i="28" s="1"/>
  <c r="DT14" i="28" s="1"/>
  <c r="DT15" i="28" s="1"/>
  <c r="DT16" i="28" s="1"/>
  <c r="DT17" i="28" s="1"/>
  <c r="DT18" i="28" s="1"/>
  <c r="DT19" i="28" s="1"/>
  <c r="DT20" i="28" s="1"/>
  <c r="DT21" i="28" s="1"/>
  <c r="DT22" i="28" s="1"/>
  <c r="DT23" i="28" s="1"/>
  <c r="DT24" i="28" s="1"/>
  <c r="DT25" i="28" s="1"/>
  <c r="DT26" i="28" s="1"/>
  <c r="DT27" i="28" s="1"/>
  <c r="DT28" i="28" s="1"/>
  <c r="DT29" i="28" s="1"/>
  <c r="DT30" i="28" s="1"/>
  <c r="DT31" i="28" s="1"/>
  <c r="DT32" i="28" s="1"/>
  <c r="DT33" i="28" s="1"/>
  <c r="DT34" i="28" s="1"/>
  <c r="DT35" i="28" s="1"/>
  <c r="DT36" i="28" s="1"/>
  <c r="DT37" i="28" s="1"/>
  <c r="DS9" i="28"/>
  <c r="DS10" i="28" s="1"/>
  <c r="DS11" i="28" s="1"/>
  <c r="DS12" i="28" s="1"/>
  <c r="DS13" i="28" s="1"/>
  <c r="DS14" i="28" s="1"/>
  <c r="DS15" i="28" s="1"/>
  <c r="DS16" i="28" s="1"/>
  <c r="DS17" i="28" s="1"/>
  <c r="DS18" i="28" s="1"/>
  <c r="DS19" i="28" s="1"/>
  <c r="DS20" i="28" s="1"/>
  <c r="DS21" i="28" s="1"/>
  <c r="DS22" i="28" s="1"/>
  <c r="DS23" i="28" s="1"/>
  <c r="DS24" i="28" s="1"/>
  <c r="DS25" i="28" s="1"/>
  <c r="DS26" i="28" s="1"/>
  <c r="DS27" i="28" s="1"/>
  <c r="DS28" i="28" s="1"/>
  <c r="DS29" i="28" s="1"/>
  <c r="DS30" i="28" s="1"/>
  <c r="DS31" i="28" s="1"/>
  <c r="DS32" i="28" s="1"/>
  <c r="DS33" i="28" s="1"/>
  <c r="DS34" i="28" s="1"/>
  <c r="DS35" i="28" s="1"/>
  <c r="DS36" i="28" s="1"/>
  <c r="DS37" i="28" s="1"/>
  <c r="DR9" i="28"/>
  <c r="DR10" i="28" s="1"/>
  <c r="DR11" i="28" s="1"/>
  <c r="DR12" i="28" s="1"/>
  <c r="DR13" i="28" s="1"/>
  <c r="DR14" i="28" s="1"/>
  <c r="DR15" i="28" s="1"/>
  <c r="DR16" i="28" s="1"/>
  <c r="DR17" i="28" s="1"/>
  <c r="DR18" i="28" s="1"/>
  <c r="DR19" i="28" s="1"/>
  <c r="DR20" i="28" s="1"/>
  <c r="DR21" i="28" s="1"/>
  <c r="DR22" i="28" s="1"/>
  <c r="DR23" i="28" s="1"/>
  <c r="DR24" i="28" s="1"/>
  <c r="DR25" i="28" s="1"/>
  <c r="DR26" i="28" s="1"/>
  <c r="DR27" i="28" s="1"/>
  <c r="DR28" i="28" s="1"/>
  <c r="DR29" i="28" s="1"/>
  <c r="DR30" i="28" s="1"/>
  <c r="DR31" i="28" s="1"/>
  <c r="DR32" i="28" s="1"/>
  <c r="DR33" i="28" s="1"/>
  <c r="DR34" i="28" s="1"/>
  <c r="DR35" i="28" s="1"/>
  <c r="DR36" i="28" s="1"/>
  <c r="DR37" i="28" s="1"/>
  <c r="DQ9" i="28"/>
  <c r="DQ10" i="28" s="1"/>
  <c r="DQ11" i="28" s="1"/>
  <c r="DQ12" i="28" s="1"/>
  <c r="DQ13" i="28" s="1"/>
  <c r="DQ14" i="28" s="1"/>
  <c r="DQ15" i="28" s="1"/>
  <c r="DQ16" i="28" s="1"/>
  <c r="DQ17" i="28" s="1"/>
  <c r="DQ18" i="28" s="1"/>
  <c r="DQ19" i="28" s="1"/>
  <c r="DQ20" i="28" s="1"/>
  <c r="DQ21" i="28" s="1"/>
  <c r="DQ22" i="28" s="1"/>
  <c r="DQ23" i="28" s="1"/>
  <c r="DQ24" i="28" s="1"/>
  <c r="DQ25" i="28" s="1"/>
  <c r="DQ26" i="28" s="1"/>
  <c r="DQ27" i="28" s="1"/>
  <c r="DQ28" i="28" s="1"/>
  <c r="DQ29" i="28" s="1"/>
  <c r="DQ30" i="28" s="1"/>
  <c r="DQ31" i="28" s="1"/>
  <c r="DQ32" i="28" s="1"/>
  <c r="DQ33" i="28" s="1"/>
  <c r="DQ34" i="28" s="1"/>
  <c r="DQ35" i="28" s="1"/>
  <c r="DQ36" i="28" s="1"/>
  <c r="DQ37" i="28" s="1"/>
  <c r="DP9" i="28"/>
  <c r="DP10" i="28" s="1"/>
  <c r="DP11" i="28" s="1"/>
  <c r="DP12" i="28" s="1"/>
  <c r="DP13" i="28" s="1"/>
  <c r="DP14" i="28" s="1"/>
  <c r="DP15" i="28" s="1"/>
  <c r="DP16" i="28" s="1"/>
  <c r="DP17" i="28" s="1"/>
  <c r="DP18" i="28" s="1"/>
  <c r="DP19" i="28" s="1"/>
  <c r="DP20" i="28" s="1"/>
  <c r="DP21" i="28" s="1"/>
  <c r="DP22" i="28" s="1"/>
  <c r="DP23" i="28" s="1"/>
  <c r="DP24" i="28" s="1"/>
  <c r="DP25" i="28" s="1"/>
  <c r="DP26" i="28" s="1"/>
  <c r="DP27" i="28" s="1"/>
  <c r="DP28" i="28" s="1"/>
  <c r="DP29" i="28" s="1"/>
  <c r="DP30" i="28" s="1"/>
  <c r="DP31" i="28" s="1"/>
  <c r="DP32" i="28" s="1"/>
  <c r="DP33" i="28" s="1"/>
  <c r="DP34" i="28" s="1"/>
  <c r="DP35" i="28" s="1"/>
  <c r="DP36" i="28" s="1"/>
  <c r="DP37" i="28" s="1"/>
  <c r="DO9" i="28"/>
  <c r="DO10" i="28" s="1"/>
  <c r="DO11" i="28" s="1"/>
  <c r="DO12" i="28" s="1"/>
  <c r="DO13" i="28" s="1"/>
  <c r="DO14" i="28" s="1"/>
  <c r="DO15" i="28" s="1"/>
  <c r="DO16" i="28" s="1"/>
  <c r="DO17" i="28" s="1"/>
  <c r="DO18" i="28" s="1"/>
  <c r="DO19" i="28" s="1"/>
  <c r="DO20" i="28" s="1"/>
  <c r="DO21" i="28" s="1"/>
  <c r="DO22" i="28" s="1"/>
  <c r="DO23" i="28" s="1"/>
  <c r="DO24" i="28" s="1"/>
  <c r="DO25" i="28" s="1"/>
  <c r="DO26" i="28" s="1"/>
  <c r="DO27" i="28" s="1"/>
  <c r="DO28" i="28" s="1"/>
  <c r="DO29" i="28" s="1"/>
  <c r="DO30" i="28" s="1"/>
  <c r="DO31" i="28" s="1"/>
  <c r="DO32" i="28" s="1"/>
  <c r="DO33" i="28" s="1"/>
  <c r="DO34" i="28" s="1"/>
  <c r="DO35" i="28" s="1"/>
  <c r="DO36" i="28" s="1"/>
  <c r="DO37" i="28" s="1"/>
  <c r="DN9" i="28"/>
  <c r="DN10" i="28" s="1"/>
  <c r="DN11" i="28" s="1"/>
  <c r="DN12" i="28" s="1"/>
  <c r="DN13" i="28" s="1"/>
  <c r="DN14" i="28" s="1"/>
  <c r="DN15" i="28" s="1"/>
  <c r="DN16" i="28" s="1"/>
  <c r="DN17" i="28" s="1"/>
  <c r="DN18" i="28" s="1"/>
  <c r="DN19" i="28" s="1"/>
  <c r="DN20" i="28" s="1"/>
  <c r="DN21" i="28" s="1"/>
  <c r="DN22" i="28" s="1"/>
  <c r="DN23" i="28" s="1"/>
  <c r="DN24" i="28" s="1"/>
  <c r="DN25" i="28" s="1"/>
  <c r="DN26" i="28" s="1"/>
  <c r="DN27" i="28" s="1"/>
  <c r="DN28" i="28" s="1"/>
  <c r="DN29" i="28" s="1"/>
  <c r="DN30" i="28" s="1"/>
  <c r="DN31" i="28" s="1"/>
  <c r="DN32" i="28" s="1"/>
  <c r="DN33" i="28" s="1"/>
  <c r="DN34" i="28" s="1"/>
  <c r="DN35" i="28" s="1"/>
  <c r="DN36" i="28" s="1"/>
  <c r="DN37" i="28" s="1"/>
  <c r="DM9" i="28"/>
  <c r="DM10" i="28" s="1"/>
  <c r="DM11" i="28" s="1"/>
  <c r="DM12" i="28" s="1"/>
  <c r="DM13" i="28" s="1"/>
  <c r="DM14" i="28" s="1"/>
  <c r="DM15" i="28" s="1"/>
  <c r="DM16" i="28" s="1"/>
  <c r="DM17" i="28" s="1"/>
  <c r="DM18" i="28" s="1"/>
  <c r="DM19" i="28" s="1"/>
  <c r="DM20" i="28" s="1"/>
  <c r="DM21" i="28" s="1"/>
  <c r="DM22" i="28" s="1"/>
  <c r="DM23" i="28" s="1"/>
  <c r="DM24" i="28" s="1"/>
  <c r="DM25" i="28" s="1"/>
  <c r="DM26" i="28" s="1"/>
  <c r="DM27" i="28" s="1"/>
  <c r="DM28" i="28" s="1"/>
  <c r="DM29" i="28" s="1"/>
  <c r="DM30" i="28" s="1"/>
  <c r="DM31" i="28" s="1"/>
  <c r="DM32" i="28" s="1"/>
  <c r="DM33" i="28" s="1"/>
  <c r="DM34" i="28" s="1"/>
  <c r="DM35" i="28" s="1"/>
  <c r="DM36" i="28" s="1"/>
  <c r="DM37" i="28" s="1"/>
  <c r="DL9" i="28"/>
  <c r="DL10" i="28" s="1"/>
  <c r="DL11" i="28" s="1"/>
  <c r="DL12" i="28" s="1"/>
  <c r="DL13" i="28" s="1"/>
  <c r="DL14" i="28" s="1"/>
  <c r="DL15" i="28" s="1"/>
  <c r="DL16" i="28" s="1"/>
  <c r="DL17" i="28" s="1"/>
  <c r="DL18" i="28" s="1"/>
  <c r="DL19" i="28" s="1"/>
  <c r="DL20" i="28" s="1"/>
  <c r="DL21" i="28" s="1"/>
  <c r="DL22" i="28" s="1"/>
  <c r="DL23" i="28" s="1"/>
  <c r="DL24" i="28" s="1"/>
  <c r="DL25" i="28" s="1"/>
  <c r="DL26" i="28" s="1"/>
  <c r="DL27" i="28" s="1"/>
  <c r="DL28" i="28" s="1"/>
  <c r="DL29" i="28" s="1"/>
  <c r="DL30" i="28" s="1"/>
  <c r="DL31" i="28" s="1"/>
  <c r="DL32" i="28" s="1"/>
  <c r="DL33" i="28" s="1"/>
  <c r="DL34" i="28" s="1"/>
  <c r="DL35" i="28" s="1"/>
  <c r="DL36" i="28" s="1"/>
  <c r="DL37" i="28" s="1"/>
  <c r="DK9" i="28"/>
  <c r="DK10" i="28" s="1"/>
  <c r="DK11" i="28" s="1"/>
  <c r="DK12" i="28" s="1"/>
  <c r="DK13" i="28" s="1"/>
  <c r="DK14" i="28" s="1"/>
  <c r="DK15" i="28" s="1"/>
  <c r="DK16" i="28" s="1"/>
  <c r="DK17" i="28" s="1"/>
  <c r="DK18" i="28" s="1"/>
  <c r="DK19" i="28" s="1"/>
  <c r="DK20" i="28" s="1"/>
  <c r="DK21" i="28" s="1"/>
  <c r="DK22" i="28" s="1"/>
  <c r="DK23" i="28" s="1"/>
  <c r="DK24" i="28" s="1"/>
  <c r="DK25" i="28" s="1"/>
  <c r="DK26" i="28" s="1"/>
  <c r="DK27" i="28" s="1"/>
  <c r="DK28" i="28" s="1"/>
  <c r="DK29" i="28" s="1"/>
  <c r="DK30" i="28" s="1"/>
  <c r="DK31" i="28" s="1"/>
  <c r="DK32" i="28" s="1"/>
  <c r="DK33" i="28" s="1"/>
  <c r="DK34" i="28" s="1"/>
  <c r="DK35" i="28" s="1"/>
  <c r="DK36" i="28" s="1"/>
  <c r="DK37" i="28" s="1"/>
  <c r="DJ9" i="28"/>
  <c r="DJ10" i="28" s="1"/>
  <c r="DJ11" i="28" s="1"/>
  <c r="DJ12" i="28" s="1"/>
  <c r="DJ13" i="28" s="1"/>
  <c r="DJ14" i="28" s="1"/>
  <c r="DJ15" i="28" s="1"/>
  <c r="DJ16" i="28" s="1"/>
  <c r="DJ17" i="28" s="1"/>
  <c r="DJ18" i="28" s="1"/>
  <c r="DJ19" i="28" s="1"/>
  <c r="DJ20" i="28" s="1"/>
  <c r="DJ21" i="28" s="1"/>
  <c r="DJ22" i="28" s="1"/>
  <c r="DJ23" i="28" s="1"/>
  <c r="DJ24" i="28" s="1"/>
  <c r="DJ25" i="28" s="1"/>
  <c r="DJ26" i="28" s="1"/>
  <c r="DJ27" i="28" s="1"/>
  <c r="DJ28" i="28" s="1"/>
  <c r="DJ29" i="28" s="1"/>
  <c r="DJ30" i="28" s="1"/>
  <c r="DJ31" i="28" s="1"/>
  <c r="DJ32" i="28" s="1"/>
  <c r="DJ33" i="28" s="1"/>
  <c r="DJ34" i="28" s="1"/>
  <c r="DJ35" i="28" s="1"/>
  <c r="DJ36" i="28" s="1"/>
  <c r="DJ37" i="28" s="1"/>
  <c r="DI9" i="28"/>
  <c r="DI10" i="28" s="1"/>
  <c r="DI11" i="28" s="1"/>
  <c r="DI12" i="28" s="1"/>
  <c r="DI13" i="28" s="1"/>
  <c r="DI14" i="28" s="1"/>
  <c r="DI15" i="28" s="1"/>
  <c r="DI16" i="28" s="1"/>
  <c r="DI17" i="28" s="1"/>
  <c r="DI18" i="28" s="1"/>
  <c r="DI19" i="28" s="1"/>
  <c r="DI20" i="28" s="1"/>
  <c r="DI21" i="28" s="1"/>
  <c r="DI22" i="28" s="1"/>
  <c r="DI23" i="28" s="1"/>
  <c r="DI24" i="28" s="1"/>
  <c r="DI25" i="28" s="1"/>
  <c r="DI26" i="28" s="1"/>
  <c r="DI27" i="28" s="1"/>
  <c r="DI28" i="28" s="1"/>
  <c r="DI29" i="28" s="1"/>
  <c r="DI30" i="28" s="1"/>
  <c r="DI31" i="28" s="1"/>
  <c r="DI32" i="28" s="1"/>
  <c r="DI33" i="28" s="1"/>
  <c r="DI34" i="28" s="1"/>
  <c r="DI35" i="28" s="1"/>
  <c r="DI36" i="28" s="1"/>
  <c r="DI37" i="28" s="1"/>
  <c r="DH9" i="28"/>
  <c r="DH10" i="28" s="1"/>
  <c r="DH11" i="28" s="1"/>
  <c r="DH12" i="28" s="1"/>
  <c r="DH13" i="28" s="1"/>
  <c r="DH14" i="28" s="1"/>
  <c r="DH15" i="28" s="1"/>
  <c r="DH16" i="28" s="1"/>
  <c r="DH17" i="28" s="1"/>
  <c r="DH18" i="28" s="1"/>
  <c r="DH19" i="28" s="1"/>
  <c r="DH20" i="28" s="1"/>
  <c r="DH21" i="28" s="1"/>
  <c r="DH22" i="28" s="1"/>
  <c r="DH23" i="28" s="1"/>
  <c r="DH24" i="28" s="1"/>
  <c r="DH25" i="28" s="1"/>
  <c r="DH26" i="28" s="1"/>
  <c r="DH27" i="28" s="1"/>
  <c r="DH28" i="28" s="1"/>
  <c r="DH29" i="28" s="1"/>
  <c r="DH30" i="28" s="1"/>
  <c r="DH31" i="28" s="1"/>
  <c r="DH32" i="28" s="1"/>
  <c r="DH33" i="28" s="1"/>
  <c r="DH34" i="28" s="1"/>
  <c r="DH35" i="28" s="1"/>
  <c r="DH36" i="28" s="1"/>
  <c r="DH37" i="28" s="1"/>
  <c r="DG9" i="28"/>
  <c r="DG10" i="28" s="1"/>
  <c r="DG11" i="28" s="1"/>
  <c r="DG12" i="28" s="1"/>
  <c r="DG13" i="28" s="1"/>
  <c r="DG14" i="28" s="1"/>
  <c r="DG15" i="28" s="1"/>
  <c r="DG16" i="28" s="1"/>
  <c r="DG17" i="28" s="1"/>
  <c r="DG18" i="28" s="1"/>
  <c r="DG19" i="28" s="1"/>
  <c r="DG20" i="28" s="1"/>
  <c r="DG21" i="28" s="1"/>
  <c r="DG22" i="28" s="1"/>
  <c r="DG23" i="28" s="1"/>
  <c r="DG24" i="28" s="1"/>
  <c r="DG25" i="28" s="1"/>
  <c r="DG26" i="28" s="1"/>
  <c r="DG27" i="28" s="1"/>
  <c r="DG28" i="28" s="1"/>
  <c r="DG29" i="28" s="1"/>
  <c r="DG30" i="28" s="1"/>
  <c r="DG31" i="28" s="1"/>
  <c r="DG32" i="28" s="1"/>
  <c r="DG33" i="28" s="1"/>
  <c r="DG34" i="28" s="1"/>
  <c r="DG35" i="28" s="1"/>
  <c r="DG36" i="28" s="1"/>
  <c r="DG37" i="28" s="1"/>
  <c r="DF9" i="28"/>
  <c r="DF10" i="28" s="1"/>
  <c r="DF11" i="28" s="1"/>
  <c r="DF12" i="28" s="1"/>
  <c r="DF13" i="28" s="1"/>
  <c r="DF14" i="28" s="1"/>
  <c r="DF15" i="28" s="1"/>
  <c r="DF16" i="28" s="1"/>
  <c r="DF17" i="28" s="1"/>
  <c r="DF18" i="28" s="1"/>
  <c r="DF19" i="28" s="1"/>
  <c r="DF20" i="28" s="1"/>
  <c r="DF21" i="28" s="1"/>
  <c r="DF22" i="28" s="1"/>
  <c r="DF23" i="28" s="1"/>
  <c r="DF24" i="28" s="1"/>
  <c r="DF25" i="28" s="1"/>
  <c r="DF26" i="28" s="1"/>
  <c r="DF27" i="28" s="1"/>
  <c r="DF28" i="28" s="1"/>
  <c r="DF29" i="28" s="1"/>
  <c r="DF30" i="28" s="1"/>
  <c r="DF31" i="28" s="1"/>
  <c r="DF32" i="28" s="1"/>
  <c r="DF33" i="28" s="1"/>
  <c r="DF34" i="28" s="1"/>
  <c r="DF35" i="28" s="1"/>
  <c r="DF36" i="28" s="1"/>
  <c r="DF37" i="28" s="1"/>
  <c r="DE9" i="28"/>
  <c r="DE10" i="28" s="1"/>
  <c r="DE11" i="28" s="1"/>
  <c r="DE12" i="28" s="1"/>
  <c r="DE13" i="28" s="1"/>
  <c r="DE14" i="28" s="1"/>
  <c r="DE15" i="28" s="1"/>
  <c r="DE16" i="28" s="1"/>
  <c r="DE17" i="28" s="1"/>
  <c r="DE18" i="28" s="1"/>
  <c r="DE19" i="28" s="1"/>
  <c r="DE20" i="28" s="1"/>
  <c r="DE21" i="28" s="1"/>
  <c r="DE22" i="28" s="1"/>
  <c r="DE23" i="28" s="1"/>
  <c r="DE24" i="28" s="1"/>
  <c r="DE25" i="28" s="1"/>
  <c r="DE26" i="28" s="1"/>
  <c r="DE27" i="28" s="1"/>
  <c r="DE28" i="28" s="1"/>
  <c r="DE29" i="28" s="1"/>
  <c r="DE30" i="28" s="1"/>
  <c r="DE31" i="28" s="1"/>
  <c r="DE32" i="28" s="1"/>
  <c r="DE33" i="28" s="1"/>
  <c r="DE34" i="28" s="1"/>
  <c r="DE35" i="28" s="1"/>
  <c r="DE36" i="28" s="1"/>
  <c r="DE37" i="28" s="1"/>
  <c r="DD9" i="28"/>
  <c r="DD10" i="28" s="1"/>
  <c r="DD11" i="28" s="1"/>
  <c r="DD12" i="28" s="1"/>
  <c r="DD13" i="28" s="1"/>
  <c r="DD14" i="28" s="1"/>
  <c r="DD15" i="28" s="1"/>
  <c r="DD16" i="28" s="1"/>
  <c r="DD17" i="28" s="1"/>
  <c r="DD18" i="28" s="1"/>
  <c r="DD19" i="28" s="1"/>
  <c r="DD20" i="28" s="1"/>
  <c r="DD21" i="28" s="1"/>
  <c r="DD22" i="28" s="1"/>
  <c r="DD23" i="28" s="1"/>
  <c r="DD24" i="28" s="1"/>
  <c r="DD25" i="28" s="1"/>
  <c r="DD26" i="28" s="1"/>
  <c r="DD27" i="28" s="1"/>
  <c r="DD28" i="28" s="1"/>
  <c r="DD29" i="28" s="1"/>
  <c r="DD30" i="28" s="1"/>
  <c r="DD31" i="28" s="1"/>
  <c r="DD32" i="28" s="1"/>
  <c r="DD33" i="28" s="1"/>
  <c r="DD34" i="28" s="1"/>
  <c r="DD35" i="28" s="1"/>
  <c r="DD36" i="28" s="1"/>
  <c r="DD37" i="28" s="1"/>
  <c r="DB9" i="28"/>
  <c r="DB10" i="28" s="1"/>
  <c r="DB11" i="28" s="1"/>
  <c r="DB12" i="28" s="1"/>
  <c r="DB13" i="28" s="1"/>
  <c r="DB14" i="28" s="1"/>
  <c r="DB15" i="28" s="1"/>
  <c r="DB16" i="28" s="1"/>
  <c r="DB17" i="28" s="1"/>
  <c r="DB18" i="28" s="1"/>
  <c r="DB19" i="28" s="1"/>
  <c r="DB20" i="28" s="1"/>
  <c r="DB21" i="28" s="1"/>
  <c r="DB22" i="28" s="1"/>
  <c r="DB23" i="28" s="1"/>
  <c r="DB24" i="28" s="1"/>
  <c r="DB25" i="28" s="1"/>
  <c r="DB26" i="28" s="1"/>
  <c r="DB27" i="28" s="1"/>
  <c r="DB28" i="28" s="1"/>
  <c r="DB29" i="28" s="1"/>
  <c r="DB30" i="28" s="1"/>
  <c r="DB31" i="28" s="1"/>
  <c r="DB32" i="28" s="1"/>
  <c r="DB33" i="28" s="1"/>
  <c r="DB34" i="28" s="1"/>
  <c r="DB35" i="28" s="1"/>
  <c r="DB36" i="28" s="1"/>
  <c r="DB37" i="28" s="1"/>
  <c r="DA9" i="28"/>
  <c r="DA10" i="28" s="1"/>
  <c r="DA11" i="28" s="1"/>
  <c r="DA12" i="28" s="1"/>
  <c r="DA13" i="28" s="1"/>
  <c r="DA14" i="28" s="1"/>
  <c r="DA15" i="28" s="1"/>
  <c r="DA16" i="28" s="1"/>
  <c r="DA17" i="28" s="1"/>
  <c r="DA18" i="28" s="1"/>
  <c r="DA19" i="28" s="1"/>
  <c r="DA20" i="28" s="1"/>
  <c r="DA21" i="28" s="1"/>
  <c r="DA22" i="28" s="1"/>
  <c r="DA23" i="28" s="1"/>
  <c r="DA24" i="28" s="1"/>
  <c r="DA25" i="28" s="1"/>
  <c r="DA26" i="28" s="1"/>
  <c r="DA27" i="28" s="1"/>
  <c r="DA28" i="28" s="1"/>
  <c r="DA29" i="28" s="1"/>
  <c r="DA30" i="28" s="1"/>
  <c r="DA31" i="28" s="1"/>
  <c r="DA32" i="28" s="1"/>
  <c r="DA33" i="28" s="1"/>
  <c r="DA34" i="28" s="1"/>
  <c r="DA35" i="28" s="1"/>
  <c r="DA36" i="28" s="1"/>
  <c r="DA37" i="28" s="1"/>
  <c r="CN9" i="28"/>
  <c r="CN10" i="28" s="1"/>
  <c r="CN11" i="28" s="1"/>
  <c r="CN12" i="28" s="1"/>
  <c r="CN13" i="28" s="1"/>
  <c r="CN14" i="28" s="1"/>
  <c r="CN15" i="28" s="1"/>
  <c r="CN16" i="28" s="1"/>
  <c r="CN17" i="28" s="1"/>
  <c r="CN18" i="28" s="1"/>
  <c r="CN19" i="28" s="1"/>
  <c r="CN20" i="28" s="1"/>
  <c r="CN21" i="28" s="1"/>
  <c r="CN22" i="28" s="1"/>
  <c r="CN23" i="28" s="1"/>
  <c r="CN24" i="28" s="1"/>
  <c r="CN25" i="28" s="1"/>
  <c r="CN26" i="28" s="1"/>
  <c r="CN27" i="28" s="1"/>
  <c r="CN28" i="28" s="1"/>
  <c r="CN29" i="28" s="1"/>
  <c r="CN30" i="28" s="1"/>
  <c r="CN31" i="28" s="1"/>
  <c r="CN32" i="28" s="1"/>
  <c r="CN33" i="28" s="1"/>
  <c r="CN34" i="28" s="1"/>
  <c r="CN35" i="28" s="1"/>
  <c r="CN36" i="28" s="1"/>
  <c r="CN37" i="28" s="1"/>
  <c r="CM9" i="28"/>
  <c r="CM10" i="28" s="1"/>
  <c r="CM11" i="28" s="1"/>
  <c r="CM12" i="28" s="1"/>
  <c r="CM13" i="28" s="1"/>
  <c r="CM14" i="28" s="1"/>
  <c r="CM15" i="28" s="1"/>
  <c r="CM16" i="28" s="1"/>
  <c r="CM17" i="28" s="1"/>
  <c r="CM18" i="28" s="1"/>
  <c r="CM19" i="28" s="1"/>
  <c r="CM20" i="28" s="1"/>
  <c r="CM21" i="28" s="1"/>
  <c r="CM22" i="28" s="1"/>
  <c r="CM23" i="28" s="1"/>
  <c r="CM24" i="28" s="1"/>
  <c r="CM25" i="28" s="1"/>
  <c r="CM26" i="28" s="1"/>
  <c r="CM27" i="28" s="1"/>
  <c r="CM28" i="28" s="1"/>
  <c r="CM29" i="28" s="1"/>
  <c r="CM30" i="28" s="1"/>
  <c r="CM31" i="28" s="1"/>
  <c r="CM32" i="28" s="1"/>
  <c r="CM33" i="28" s="1"/>
  <c r="CM34" i="28" s="1"/>
  <c r="CM35" i="28" s="1"/>
  <c r="CM36" i="28" s="1"/>
  <c r="CM37" i="28" s="1"/>
  <c r="CL9" i="28"/>
  <c r="CL10" i="28" s="1"/>
  <c r="CL11" i="28" s="1"/>
  <c r="CL12" i="28" s="1"/>
  <c r="CL13" i="28" s="1"/>
  <c r="CL14" i="28" s="1"/>
  <c r="CL15" i="28" s="1"/>
  <c r="CL16" i="28" s="1"/>
  <c r="CL17" i="28" s="1"/>
  <c r="CL18" i="28" s="1"/>
  <c r="CL19" i="28" s="1"/>
  <c r="CL20" i="28" s="1"/>
  <c r="CL21" i="28" s="1"/>
  <c r="CL22" i="28" s="1"/>
  <c r="CL23" i="28" s="1"/>
  <c r="CL24" i="28" s="1"/>
  <c r="CL25" i="28" s="1"/>
  <c r="CL26" i="28" s="1"/>
  <c r="CL27" i="28" s="1"/>
  <c r="CL28" i="28" s="1"/>
  <c r="CL29" i="28" s="1"/>
  <c r="CL30" i="28" s="1"/>
  <c r="CL31" i="28" s="1"/>
  <c r="CL32" i="28" s="1"/>
  <c r="CL33" i="28" s="1"/>
  <c r="CL34" i="28" s="1"/>
  <c r="CL35" i="28" s="1"/>
  <c r="CL36" i="28" s="1"/>
  <c r="CL37" i="28" s="1"/>
  <c r="CK9" i="28"/>
  <c r="CK10" i="28" s="1"/>
  <c r="CK11" i="28" s="1"/>
  <c r="CK12" i="28" s="1"/>
  <c r="CK13" i="28" s="1"/>
  <c r="CK14" i="28" s="1"/>
  <c r="CK15" i="28" s="1"/>
  <c r="CK16" i="28" s="1"/>
  <c r="CK17" i="28" s="1"/>
  <c r="CK18" i="28" s="1"/>
  <c r="CK19" i="28" s="1"/>
  <c r="CK20" i="28" s="1"/>
  <c r="CK21" i="28" s="1"/>
  <c r="CK22" i="28" s="1"/>
  <c r="CK23" i="28" s="1"/>
  <c r="CK24" i="28" s="1"/>
  <c r="CK25" i="28" s="1"/>
  <c r="CK26" i="28" s="1"/>
  <c r="CK27" i="28" s="1"/>
  <c r="CK28" i="28" s="1"/>
  <c r="CK29" i="28" s="1"/>
  <c r="CK30" i="28" s="1"/>
  <c r="CK31" i="28" s="1"/>
  <c r="CK32" i="28" s="1"/>
  <c r="CK33" i="28" s="1"/>
  <c r="CK34" i="28" s="1"/>
  <c r="CK35" i="28" s="1"/>
  <c r="CK36" i="28" s="1"/>
  <c r="CK37" i="28" s="1"/>
  <c r="CJ9" i="28"/>
  <c r="CJ10" i="28" s="1"/>
  <c r="CJ11" i="28" s="1"/>
  <c r="CJ12" i="28" s="1"/>
  <c r="CJ13" i="28" s="1"/>
  <c r="CJ14" i="28" s="1"/>
  <c r="CJ15" i="28" s="1"/>
  <c r="CJ16" i="28" s="1"/>
  <c r="CJ17" i="28" s="1"/>
  <c r="CJ18" i="28" s="1"/>
  <c r="CJ19" i="28" s="1"/>
  <c r="CJ20" i="28" s="1"/>
  <c r="CJ21" i="28" s="1"/>
  <c r="CJ22" i="28" s="1"/>
  <c r="CJ23" i="28" s="1"/>
  <c r="CJ24" i="28" s="1"/>
  <c r="CJ25" i="28" s="1"/>
  <c r="CJ26" i="28" s="1"/>
  <c r="CJ27" i="28" s="1"/>
  <c r="CJ28" i="28" s="1"/>
  <c r="CJ29" i="28" s="1"/>
  <c r="CJ30" i="28" s="1"/>
  <c r="CJ31" i="28" s="1"/>
  <c r="CJ32" i="28" s="1"/>
  <c r="CJ33" i="28" s="1"/>
  <c r="CJ34" i="28" s="1"/>
  <c r="CJ35" i="28" s="1"/>
  <c r="CJ36" i="28" s="1"/>
  <c r="CJ37" i="28" s="1"/>
  <c r="CI9" i="28"/>
  <c r="CI10" i="28" s="1"/>
  <c r="CI11" i="28" s="1"/>
  <c r="CI12" i="28" s="1"/>
  <c r="CI13" i="28" s="1"/>
  <c r="CI14" i="28" s="1"/>
  <c r="CI15" i="28" s="1"/>
  <c r="CI16" i="28" s="1"/>
  <c r="CI17" i="28" s="1"/>
  <c r="CI18" i="28" s="1"/>
  <c r="CI19" i="28" s="1"/>
  <c r="CI20" i="28" s="1"/>
  <c r="CI21" i="28" s="1"/>
  <c r="CI22" i="28" s="1"/>
  <c r="CI23" i="28" s="1"/>
  <c r="CI24" i="28" s="1"/>
  <c r="CI25" i="28" s="1"/>
  <c r="CI26" i="28" s="1"/>
  <c r="CI27" i="28" s="1"/>
  <c r="CI28" i="28" s="1"/>
  <c r="CI29" i="28" s="1"/>
  <c r="CI30" i="28" s="1"/>
  <c r="CI31" i="28" s="1"/>
  <c r="CI32" i="28" s="1"/>
  <c r="CI33" i="28" s="1"/>
  <c r="CI34" i="28" s="1"/>
  <c r="CI35" i="28" s="1"/>
  <c r="CI36" i="28" s="1"/>
  <c r="CI37" i="28" s="1"/>
  <c r="CH9" i="28"/>
  <c r="CH10" i="28" s="1"/>
  <c r="CH11" i="28" s="1"/>
  <c r="CH12" i="28" s="1"/>
  <c r="CH13" i="28" s="1"/>
  <c r="CH14" i="28" s="1"/>
  <c r="CH15" i="28" s="1"/>
  <c r="CH16" i="28" s="1"/>
  <c r="CH17" i="28" s="1"/>
  <c r="CH18" i="28" s="1"/>
  <c r="CH19" i="28" s="1"/>
  <c r="CH20" i="28" s="1"/>
  <c r="CH21" i="28" s="1"/>
  <c r="CH22" i="28" s="1"/>
  <c r="CH23" i="28" s="1"/>
  <c r="CH24" i="28" s="1"/>
  <c r="CH25" i="28" s="1"/>
  <c r="CH26" i="28" s="1"/>
  <c r="CH27" i="28" s="1"/>
  <c r="CH28" i="28" s="1"/>
  <c r="CH29" i="28" s="1"/>
  <c r="CH30" i="28" s="1"/>
  <c r="CH31" i="28" s="1"/>
  <c r="CH32" i="28" s="1"/>
  <c r="CH33" i="28" s="1"/>
  <c r="CH34" i="28" s="1"/>
  <c r="CH35" i="28" s="1"/>
  <c r="CH36" i="28" s="1"/>
  <c r="CH37" i="28" s="1"/>
  <c r="CG9" i="28"/>
  <c r="CG10" i="28" s="1"/>
  <c r="CG11" i="28" s="1"/>
  <c r="CG12" i="28" s="1"/>
  <c r="CG13" i="28" s="1"/>
  <c r="CG14" i="28" s="1"/>
  <c r="CG15" i="28" s="1"/>
  <c r="CG16" i="28" s="1"/>
  <c r="CG17" i="28" s="1"/>
  <c r="CG18" i="28" s="1"/>
  <c r="CG19" i="28" s="1"/>
  <c r="CG20" i="28" s="1"/>
  <c r="CG21" i="28" s="1"/>
  <c r="CG22" i="28" s="1"/>
  <c r="CG23" i="28" s="1"/>
  <c r="CG24" i="28" s="1"/>
  <c r="CG25" i="28" s="1"/>
  <c r="CG26" i="28" s="1"/>
  <c r="CG27" i="28" s="1"/>
  <c r="CG28" i="28" s="1"/>
  <c r="CG29" i="28" s="1"/>
  <c r="CG30" i="28" s="1"/>
  <c r="CG31" i="28" s="1"/>
  <c r="CG32" i="28" s="1"/>
  <c r="CG33" i="28" s="1"/>
  <c r="CG34" i="28" s="1"/>
  <c r="CG35" i="28" s="1"/>
  <c r="CG36" i="28" s="1"/>
  <c r="CG37" i="28" s="1"/>
  <c r="CF9" i="28"/>
  <c r="CF10" i="28" s="1"/>
  <c r="CF11" i="28" s="1"/>
  <c r="CF12" i="28" s="1"/>
  <c r="CF13" i="28" s="1"/>
  <c r="CF14" i="28" s="1"/>
  <c r="CF15" i="28" s="1"/>
  <c r="CF16" i="28" s="1"/>
  <c r="CF17" i="28" s="1"/>
  <c r="CF18" i="28" s="1"/>
  <c r="CF19" i="28" s="1"/>
  <c r="CF20" i="28" s="1"/>
  <c r="CF21" i="28" s="1"/>
  <c r="CF22" i="28" s="1"/>
  <c r="CF23" i="28" s="1"/>
  <c r="CF24" i="28" s="1"/>
  <c r="CF25" i="28" s="1"/>
  <c r="CF26" i="28" s="1"/>
  <c r="CF27" i="28" s="1"/>
  <c r="CF28" i="28" s="1"/>
  <c r="CF29" i="28" s="1"/>
  <c r="CF30" i="28" s="1"/>
  <c r="CF31" i="28" s="1"/>
  <c r="CF32" i="28" s="1"/>
  <c r="CF33" i="28" s="1"/>
  <c r="CF34" i="28" s="1"/>
  <c r="CF35" i="28" s="1"/>
  <c r="CF36" i="28" s="1"/>
  <c r="CF37" i="28" s="1"/>
  <c r="CE9" i="28"/>
  <c r="CE10" i="28" s="1"/>
  <c r="CE11" i="28" s="1"/>
  <c r="CE12" i="28" s="1"/>
  <c r="CE13" i="28" s="1"/>
  <c r="CE14" i="28" s="1"/>
  <c r="CE15" i="28" s="1"/>
  <c r="CE16" i="28" s="1"/>
  <c r="CE17" i="28" s="1"/>
  <c r="CE18" i="28" s="1"/>
  <c r="CE19" i="28" s="1"/>
  <c r="CE20" i="28" s="1"/>
  <c r="CE21" i="28" s="1"/>
  <c r="CE22" i="28" s="1"/>
  <c r="CE23" i="28" s="1"/>
  <c r="CE24" i="28" s="1"/>
  <c r="CE25" i="28" s="1"/>
  <c r="CE26" i="28" s="1"/>
  <c r="CE27" i="28" s="1"/>
  <c r="CE28" i="28" s="1"/>
  <c r="CE29" i="28" s="1"/>
  <c r="CE30" i="28" s="1"/>
  <c r="CE31" i="28" s="1"/>
  <c r="CE32" i="28" s="1"/>
  <c r="CE33" i="28" s="1"/>
  <c r="CE34" i="28" s="1"/>
  <c r="CE35" i="28" s="1"/>
  <c r="CE36" i="28" s="1"/>
  <c r="CE37" i="28" s="1"/>
  <c r="CD9" i="28"/>
  <c r="CD10" i="28" s="1"/>
  <c r="CD11" i="28" s="1"/>
  <c r="CD12" i="28" s="1"/>
  <c r="CD13" i="28" s="1"/>
  <c r="CD14" i="28" s="1"/>
  <c r="CD15" i="28" s="1"/>
  <c r="CD16" i="28" s="1"/>
  <c r="CD17" i="28" s="1"/>
  <c r="CD18" i="28" s="1"/>
  <c r="CD19" i="28" s="1"/>
  <c r="CD20" i="28" s="1"/>
  <c r="CD21" i="28" s="1"/>
  <c r="CD22" i="28" s="1"/>
  <c r="CD23" i="28" s="1"/>
  <c r="CD24" i="28" s="1"/>
  <c r="CD25" i="28" s="1"/>
  <c r="CD26" i="28" s="1"/>
  <c r="CD27" i="28" s="1"/>
  <c r="CD28" i="28" s="1"/>
  <c r="CD29" i="28" s="1"/>
  <c r="CD30" i="28" s="1"/>
  <c r="CD31" i="28" s="1"/>
  <c r="CD32" i="28" s="1"/>
  <c r="CD33" i="28" s="1"/>
  <c r="CD34" i="28" s="1"/>
  <c r="CD35" i="28" s="1"/>
  <c r="CD36" i="28" s="1"/>
  <c r="CD37" i="28" s="1"/>
  <c r="CC9" i="28"/>
  <c r="CC10" i="28" s="1"/>
  <c r="CC11" i="28" s="1"/>
  <c r="CC12" i="28" s="1"/>
  <c r="CC13" i="28" s="1"/>
  <c r="CC14" i="28" s="1"/>
  <c r="CC15" i="28" s="1"/>
  <c r="CC16" i="28" s="1"/>
  <c r="CC17" i="28" s="1"/>
  <c r="CC18" i="28" s="1"/>
  <c r="CC19" i="28" s="1"/>
  <c r="CC20" i="28" s="1"/>
  <c r="CC21" i="28" s="1"/>
  <c r="CC22" i="28" s="1"/>
  <c r="CC23" i="28" s="1"/>
  <c r="CC24" i="28" s="1"/>
  <c r="CC25" i="28" s="1"/>
  <c r="CC26" i="28" s="1"/>
  <c r="CC27" i="28" s="1"/>
  <c r="CC28" i="28" s="1"/>
  <c r="CC29" i="28" s="1"/>
  <c r="CC30" i="28" s="1"/>
  <c r="CC31" i="28" s="1"/>
  <c r="CC32" i="28" s="1"/>
  <c r="CC33" i="28" s="1"/>
  <c r="CC34" i="28" s="1"/>
  <c r="CC35" i="28" s="1"/>
  <c r="CC36" i="28" s="1"/>
  <c r="CC37" i="28" s="1"/>
  <c r="CB15" i="28"/>
  <c r="CB16" i="28" s="1"/>
  <c r="CB17" i="28" s="1"/>
  <c r="CB18" i="28" s="1"/>
  <c r="CB19" i="28" s="1"/>
  <c r="CB20" i="28" s="1"/>
  <c r="CB21" i="28" s="1"/>
  <c r="CB22" i="28" s="1"/>
  <c r="CB23" i="28" s="1"/>
  <c r="CB24" i="28" s="1"/>
  <c r="CB25" i="28" s="1"/>
  <c r="CB26" i="28" s="1"/>
  <c r="CB27" i="28" s="1"/>
  <c r="CB28" i="28" s="1"/>
  <c r="CB29" i="28" s="1"/>
  <c r="CB30" i="28" s="1"/>
  <c r="CB31" i="28" s="1"/>
  <c r="CB32" i="28" s="1"/>
  <c r="CB33" i="28" s="1"/>
  <c r="CB34" i="28" s="1"/>
  <c r="CB35" i="28" s="1"/>
  <c r="CB36" i="28" s="1"/>
  <c r="CB37" i="28" s="1"/>
  <c r="CA15" i="28"/>
  <c r="CA16" i="28" s="1"/>
  <c r="CA17" i="28" s="1"/>
  <c r="CA18" i="28" s="1"/>
  <c r="CA19" i="28" s="1"/>
  <c r="CA20" i="28" s="1"/>
  <c r="CA21" i="28" s="1"/>
  <c r="CA22" i="28" s="1"/>
  <c r="CA23" i="28" s="1"/>
  <c r="CA24" i="28" s="1"/>
  <c r="CA25" i="28" s="1"/>
  <c r="CA26" i="28" s="1"/>
  <c r="CA27" i="28" s="1"/>
  <c r="CA28" i="28" s="1"/>
  <c r="CA29" i="28" s="1"/>
  <c r="CA30" i="28" s="1"/>
  <c r="CA31" i="28" s="1"/>
  <c r="CA32" i="28" s="1"/>
  <c r="CA33" i="28" s="1"/>
  <c r="CA34" i="28" s="1"/>
  <c r="CA35" i="28" s="1"/>
  <c r="CA36" i="28" s="1"/>
  <c r="CA37" i="28" s="1"/>
  <c r="BZ15" i="28"/>
  <c r="BZ16" i="28" s="1"/>
  <c r="BZ17" i="28" s="1"/>
  <c r="BZ18" i="28" s="1"/>
  <c r="BZ19" i="28" s="1"/>
  <c r="BZ20" i="28" s="1"/>
  <c r="BZ21" i="28" s="1"/>
  <c r="BZ22" i="28" s="1"/>
  <c r="BZ23" i="28" s="1"/>
  <c r="BZ24" i="28" s="1"/>
  <c r="BZ25" i="28" s="1"/>
  <c r="BZ26" i="28" s="1"/>
  <c r="BZ27" i="28" s="1"/>
  <c r="BZ28" i="28" s="1"/>
  <c r="BZ29" i="28" s="1"/>
  <c r="BZ30" i="28" s="1"/>
  <c r="BZ31" i="28" s="1"/>
  <c r="BZ32" i="28" s="1"/>
  <c r="BZ33" i="28" s="1"/>
  <c r="BZ34" i="28" s="1"/>
  <c r="BZ35" i="28" s="1"/>
  <c r="BZ36" i="28" s="1"/>
  <c r="BZ37" i="28" s="1"/>
  <c r="BY15" i="28"/>
  <c r="BY16" i="28" s="1"/>
  <c r="BY17" i="28" s="1"/>
  <c r="BY18" i="28" s="1"/>
  <c r="BY19" i="28" s="1"/>
  <c r="BY20" i="28" s="1"/>
  <c r="BY21" i="28" s="1"/>
  <c r="BY22" i="28" s="1"/>
  <c r="BY23" i="28" s="1"/>
  <c r="BY24" i="28" s="1"/>
  <c r="BY25" i="28" s="1"/>
  <c r="BY26" i="28" s="1"/>
  <c r="BY27" i="28" s="1"/>
  <c r="BY28" i="28" s="1"/>
  <c r="BY29" i="28" s="1"/>
  <c r="BY30" i="28" s="1"/>
  <c r="BY31" i="28" s="1"/>
  <c r="BY32" i="28" s="1"/>
  <c r="BY33" i="28" s="1"/>
  <c r="BY34" i="28" s="1"/>
  <c r="BY35" i="28" s="1"/>
  <c r="BY36" i="28" s="1"/>
  <c r="BY37" i="28" s="1"/>
  <c r="BX15" i="28"/>
  <c r="BX16" i="28" s="1"/>
  <c r="BX17" i="28" s="1"/>
  <c r="BX18" i="28" s="1"/>
  <c r="BX19" i="28" s="1"/>
  <c r="BX20" i="28" s="1"/>
  <c r="BX21" i="28" s="1"/>
  <c r="BX22" i="28" s="1"/>
  <c r="BX23" i="28" s="1"/>
  <c r="BX24" i="28" s="1"/>
  <c r="BX25" i="28" s="1"/>
  <c r="BX26" i="28" s="1"/>
  <c r="BX27" i="28" s="1"/>
  <c r="BX28" i="28" s="1"/>
  <c r="BX29" i="28" s="1"/>
  <c r="BX30" i="28" s="1"/>
  <c r="BX31" i="28" s="1"/>
  <c r="BX32" i="28" s="1"/>
  <c r="BX33" i="28" s="1"/>
  <c r="BX34" i="28" s="1"/>
  <c r="BX35" i="28" s="1"/>
  <c r="BX36" i="28" s="1"/>
  <c r="BX37" i="28" s="1"/>
  <c r="BW15" i="28"/>
  <c r="BW16" i="28" s="1"/>
  <c r="BW17" i="28" s="1"/>
  <c r="BW18" i="28" s="1"/>
  <c r="BW19" i="28" s="1"/>
  <c r="BW20" i="28" s="1"/>
  <c r="BW21" i="28" s="1"/>
  <c r="BW22" i="28" s="1"/>
  <c r="BW23" i="28" s="1"/>
  <c r="BW24" i="28" s="1"/>
  <c r="BW25" i="28" s="1"/>
  <c r="BW26" i="28" s="1"/>
  <c r="BW27" i="28" s="1"/>
  <c r="BW28" i="28" s="1"/>
  <c r="BW29" i="28" s="1"/>
  <c r="BW30" i="28" s="1"/>
  <c r="BW31" i="28" s="1"/>
  <c r="BW32" i="28" s="1"/>
  <c r="BW33" i="28" s="1"/>
  <c r="BW34" i="28" s="1"/>
  <c r="BW35" i="28" s="1"/>
  <c r="BW36" i="28" s="1"/>
  <c r="BW37" i="28" s="1"/>
  <c r="BV15" i="28"/>
  <c r="BV16" i="28" s="1"/>
  <c r="BV17" i="28" s="1"/>
  <c r="BV18" i="28" s="1"/>
  <c r="BV19" i="28" s="1"/>
  <c r="BV20" i="28" s="1"/>
  <c r="BV21" i="28" s="1"/>
  <c r="BV22" i="28" s="1"/>
  <c r="BV23" i="28" s="1"/>
  <c r="BV24" i="28" s="1"/>
  <c r="BV25" i="28" s="1"/>
  <c r="BV26" i="28" s="1"/>
  <c r="BV27" i="28" s="1"/>
  <c r="BV28" i="28" s="1"/>
  <c r="BV29" i="28" s="1"/>
  <c r="BV30" i="28" s="1"/>
  <c r="BV31" i="28" s="1"/>
  <c r="BV32" i="28" s="1"/>
  <c r="BV33" i="28" s="1"/>
  <c r="BV34" i="28" s="1"/>
  <c r="BV35" i="28" s="1"/>
  <c r="BV36" i="28" s="1"/>
  <c r="BV37" i="28" s="1"/>
  <c r="BU15" i="28"/>
  <c r="BU16" i="28" s="1"/>
  <c r="BU17" i="28" s="1"/>
  <c r="BU18" i="28" s="1"/>
  <c r="BU19" i="28" s="1"/>
  <c r="BU20" i="28" s="1"/>
  <c r="BU21" i="28" s="1"/>
  <c r="BU22" i="28" s="1"/>
  <c r="BU23" i="28" s="1"/>
  <c r="BU24" i="28" s="1"/>
  <c r="BU25" i="28" s="1"/>
  <c r="BU26" i="28" s="1"/>
  <c r="BU27" i="28" s="1"/>
  <c r="BU28" i="28" s="1"/>
  <c r="BU29" i="28" s="1"/>
  <c r="BU30" i="28" s="1"/>
  <c r="BU31" i="28" s="1"/>
  <c r="BU32" i="28" s="1"/>
  <c r="BU33" i="28" s="1"/>
  <c r="BU34" i="28" s="1"/>
  <c r="BU35" i="28" s="1"/>
  <c r="BU36" i="28" s="1"/>
  <c r="BU37" i="28" s="1"/>
  <c r="BT15" i="28"/>
  <c r="BT16" i="28" s="1"/>
  <c r="BT17" i="28" s="1"/>
  <c r="BT18" i="28" s="1"/>
  <c r="BT19" i="28" s="1"/>
  <c r="BT20" i="28" s="1"/>
  <c r="BT21" i="28" s="1"/>
  <c r="BT22" i="28" s="1"/>
  <c r="BT23" i="28" s="1"/>
  <c r="BT24" i="28" s="1"/>
  <c r="BT25" i="28" s="1"/>
  <c r="BT26" i="28" s="1"/>
  <c r="BT27" i="28" s="1"/>
  <c r="BT28" i="28" s="1"/>
  <c r="BT29" i="28" s="1"/>
  <c r="BT30" i="28" s="1"/>
  <c r="BT31" i="28" s="1"/>
  <c r="BT32" i="28" s="1"/>
  <c r="BT33" i="28" s="1"/>
  <c r="BT34" i="28" s="1"/>
  <c r="BT35" i="28" s="1"/>
  <c r="BT36" i="28" s="1"/>
  <c r="BT37" i="28" s="1"/>
  <c r="BS15" i="28"/>
  <c r="BS16" i="28" s="1"/>
  <c r="BS17" i="28" s="1"/>
  <c r="BS18" i="28" s="1"/>
  <c r="BS19" i="28" s="1"/>
  <c r="BS20" i="28" s="1"/>
  <c r="BS21" i="28" s="1"/>
  <c r="BS22" i="28" s="1"/>
  <c r="BS23" i="28" s="1"/>
  <c r="BS24" i="28" s="1"/>
  <c r="BS25" i="28" s="1"/>
  <c r="BS26" i="28" s="1"/>
  <c r="BS27" i="28" s="1"/>
  <c r="BS28" i="28" s="1"/>
  <c r="BS29" i="28" s="1"/>
  <c r="BS30" i="28" s="1"/>
  <c r="BS31" i="28" s="1"/>
  <c r="BS32" i="28" s="1"/>
  <c r="BS33" i="28" s="1"/>
  <c r="BS34" i="28" s="1"/>
  <c r="BS35" i="28" s="1"/>
  <c r="BS36" i="28" s="1"/>
  <c r="BS37" i="28" s="1"/>
  <c r="BR15" i="28"/>
  <c r="BR16" i="28" s="1"/>
  <c r="BR17" i="28" s="1"/>
  <c r="BR18" i="28" s="1"/>
  <c r="BR19" i="28" s="1"/>
  <c r="BR20" i="28" s="1"/>
  <c r="BR21" i="28" s="1"/>
  <c r="BR22" i="28" s="1"/>
  <c r="BR23" i="28" s="1"/>
  <c r="BR24" i="28" s="1"/>
  <c r="BR25" i="28" s="1"/>
  <c r="BR26" i="28" s="1"/>
  <c r="BR27" i="28" s="1"/>
  <c r="BR28" i="28" s="1"/>
  <c r="BR29" i="28" s="1"/>
  <c r="BR30" i="28" s="1"/>
  <c r="BR31" i="28" s="1"/>
  <c r="BR32" i="28" s="1"/>
  <c r="BR33" i="28" s="1"/>
  <c r="BR34" i="28" s="1"/>
  <c r="BR35" i="28" s="1"/>
  <c r="BR36" i="28" s="1"/>
  <c r="BR37" i="28" s="1"/>
  <c r="BQ15" i="28"/>
  <c r="BQ16" i="28" s="1"/>
  <c r="BQ17" i="28" s="1"/>
  <c r="BQ18" i="28" s="1"/>
  <c r="BQ19" i="28" s="1"/>
  <c r="BQ20" i="28" s="1"/>
  <c r="BQ21" i="28" s="1"/>
  <c r="BQ22" i="28" s="1"/>
  <c r="BQ23" i="28" s="1"/>
  <c r="BQ24" i="28" s="1"/>
  <c r="BQ25" i="28" s="1"/>
  <c r="BQ26" i="28" s="1"/>
  <c r="BQ27" i="28" s="1"/>
  <c r="BQ28" i="28" s="1"/>
  <c r="BQ29" i="28" s="1"/>
  <c r="BQ30" i="28" s="1"/>
  <c r="BQ31" i="28" s="1"/>
  <c r="BQ32" i="28" s="1"/>
  <c r="BQ33" i="28" s="1"/>
  <c r="BQ34" i="28" s="1"/>
  <c r="BQ35" i="28" s="1"/>
  <c r="BQ36" i="28" s="1"/>
  <c r="BQ37" i="28" s="1"/>
  <c r="BP13" i="28"/>
  <c r="BP14" i="28" s="1"/>
  <c r="BP15" i="28" s="1"/>
  <c r="BP16" i="28" s="1"/>
  <c r="BP17" i="28" s="1"/>
  <c r="BP18" i="28" s="1"/>
  <c r="BP19" i="28" s="1"/>
  <c r="BP20" i="28" s="1"/>
  <c r="BP21" i="28" s="1"/>
  <c r="BP22" i="28" s="1"/>
  <c r="BP23" i="28" s="1"/>
  <c r="BP24" i="28" s="1"/>
  <c r="BP25" i="28" s="1"/>
  <c r="BP26" i="28" s="1"/>
  <c r="BP27" i="28" s="1"/>
  <c r="BP28" i="28" s="1"/>
  <c r="BP29" i="28" s="1"/>
  <c r="BP30" i="28" s="1"/>
  <c r="BP31" i="28" s="1"/>
  <c r="BP32" i="28" s="1"/>
  <c r="BP33" i="28" s="1"/>
  <c r="BP34" i="28" s="1"/>
  <c r="BP35" i="28" s="1"/>
  <c r="BP36" i="28" s="1"/>
  <c r="BP37" i="28" s="1"/>
  <c r="BO13" i="28"/>
  <c r="BO14" i="28" s="1"/>
  <c r="BO15" i="28" s="1"/>
  <c r="BO16" i="28" s="1"/>
  <c r="BO17" i="28" s="1"/>
  <c r="BO18" i="28" s="1"/>
  <c r="BO19" i="28" s="1"/>
  <c r="BO20" i="28" s="1"/>
  <c r="BO21" i="28" s="1"/>
  <c r="BO22" i="28" s="1"/>
  <c r="BO23" i="28" s="1"/>
  <c r="BO24" i="28" s="1"/>
  <c r="BO25" i="28" s="1"/>
  <c r="BO26" i="28" s="1"/>
  <c r="BO27" i="28" s="1"/>
  <c r="BO28" i="28" s="1"/>
  <c r="BO29" i="28" s="1"/>
  <c r="BO30" i="28" s="1"/>
  <c r="BO31" i="28" s="1"/>
  <c r="BO32" i="28" s="1"/>
  <c r="BO33" i="28" s="1"/>
  <c r="BO34" i="28" s="1"/>
  <c r="BO35" i="28" s="1"/>
  <c r="BO36" i="28" s="1"/>
  <c r="BO37" i="28" s="1"/>
  <c r="BN13" i="28"/>
  <c r="BN14" i="28" s="1"/>
  <c r="BN15" i="28" s="1"/>
  <c r="BN16" i="28" s="1"/>
  <c r="BN17" i="28" s="1"/>
  <c r="BN18" i="28" s="1"/>
  <c r="BN19" i="28" s="1"/>
  <c r="BN20" i="28" s="1"/>
  <c r="BN21" i="28" s="1"/>
  <c r="BN22" i="28" s="1"/>
  <c r="BN23" i="28" s="1"/>
  <c r="BN24" i="28" s="1"/>
  <c r="BN25" i="28" s="1"/>
  <c r="BN26" i="28" s="1"/>
  <c r="BN27" i="28" s="1"/>
  <c r="BN28" i="28" s="1"/>
  <c r="BN29" i="28" s="1"/>
  <c r="BN30" i="28" s="1"/>
  <c r="BN31" i="28" s="1"/>
  <c r="BN32" i="28" s="1"/>
  <c r="BN33" i="28" s="1"/>
  <c r="BN34" i="28" s="1"/>
  <c r="BN35" i="28" s="1"/>
  <c r="BN36" i="28" s="1"/>
  <c r="BN37" i="28" s="1"/>
  <c r="BM13" i="28"/>
  <c r="BM14" i="28" s="1"/>
  <c r="BM15" i="28" s="1"/>
  <c r="BM16" i="28" s="1"/>
  <c r="BM17" i="28" s="1"/>
  <c r="BM18" i="28" s="1"/>
  <c r="BM19" i="28" s="1"/>
  <c r="BM20" i="28" s="1"/>
  <c r="BM21" i="28" s="1"/>
  <c r="BM22" i="28" s="1"/>
  <c r="BM23" i="28" s="1"/>
  <c r="BM24" i="28" s="1"/>
  <c r="BM25" i="28" s="1"/>
  <c r="BM26" i="28" s="1"/>
  <c r="BM27" i="28" s="1"/>
  <c r="BM28" i="28" s="1"/>
  <c r="BM29" i="28" s="1"/>
  <c r="BM30" i="28" s="1"/>
  <c r="BM31" i="28" s="1"/>
  <c r="BM32" i="28" s="1"/>
  <c r="BM33" i="28" s="1"/>
  <c r="BM34" i="28" s="1"/>
  <c r="BM35" i="28" s="1"/>
  <c r="BM36" i="28" s="1"/>
  <c r="BM37" i="28" s="1"/>
  <c r="BL13" i="28"/>
  <c r="BL14" i="28" s="1"/>
  <c r="BL15" i="28" s="1"/>
  <c r="BL16" i="28" s="1"/>
  <c r="BL17" i="28" s="1"/>
  <c r="BL18" i="28" s="1"/>
  <c r="BL19" i="28" s="1"/>
  <c r="BL20" i="28" s="1"/>
  <c r="BL21" i="28" s="1"/>
  <c r="BL22" i="28" s="1"/>
  <c r="BL23" i="28" s="1"/>
  <c r="BL24" i="28" s="1"/>
  <c r="BL25" i="28" s="1"/>
  <c r="BL26" i="28" s="1"/>
  <c r="BL27" i="28" s="1"/>
  <c r="BL28" i="28" s="1"/>
  <c r="BL29" i="28" s="1"/>
  <c r="BL30" i="28" s="1"/>
  <c r="BL31" i="28" s="1"/>
  <c r="BL32" i="28" s="1"/>
  <c r="BL33" i="28" s="1"/>
  <c r="BL34" i="28" s="1"/>
  <c r="BL35" i="28" s="1"/>
  <c r="BL36" i="28" s="1"/>
  <c r="BL37" i="28" s="1"/>
  <c r="BK13" i="28"/>
  <c r="BK14" i="28" s="1"/>
  <c r="BK15" i="28" s="1"/>
  <c r="BK16" i="28" s="1"/>
  <c r="BK17" i="28" s="1"/>
  <c r="BK18" i="28" s="1"/>
  <c r="BK19" i="28" s="1"/>
  <c r="BK20" i="28" s="1"/>
  <c r="BK21" i="28" s="1"/>
  <c r="BK22" i="28" s="1"/>
  <c r="BK23" i="28" s="1"/>
  <c r="BK24" i="28" s="1"/>
  <c r="BK25" i="28" s="1"/>
  <c r="BK26" i="28" s="1"/>
  <c r="BK27" i="28" s="1"/>
  <c r="BK28" i="28" s="1"/>
  <c r="BK29" i="28" s="1"/>
  <c r="BK30" i="28" s="1"/>
  <c r="BK31" i="28" s="1"/>
  <c r="BK32" i="28" s="1"/>
  <c r="BK33" i="28" s="1"/>
  <c r="BK34" i="28" s="1"/>
  <c r="BK35" i="28" s="1"/>
  <c r="BK36" i="28" s="1"/>
  <c r="BK37" i="28" s="1"/>
  <c r="BJ13" i="28"/>
  <c r="BJ14" i="28" s="1"/>
  <c r="BJ15" i="28" s="1"/>
  <c r="BJ16" i="28" s="1"/>
  <c r="BJ17" i="28" s="1"/>
  <c r="BJ18" i="28" s="1"/>
  <c r="BJ19" i="28" s="1"/>
  <c r="BJ20" i="28" s="1"/>
  <c r="BJ21" i="28" s="1"/>
  <c r="BJ22" i="28" s="1"/>
  <c r="BJ23" i="28" s="1"/>
  <c r="BJ24" i="28" s="1"/>
  <c r="BJ25" i="28" s="1"/>
  <c r="BJ26" i="28" s="1"/>
  <c r="BJ27" i="28" s="1"/>
  <c r="BJ28" i="28" s="1"/>
  <c r="BJ29" i="28" s="1"/>
  <c r="BJ30" i="28" s="1"/>
  <c r="BJ31" i="28" s="1"/>
  <c r="BJ32" i="28" s="1"/>
  <c r="BJ33" i="28" s="1"/>
  <c r="BJ34" i="28" s="1"/>
  <c r="BJ35" i="28" s="1"/>
  <c r="BJ36" i="28" s="1"/>
  <c r="BJ37" i="28" s="1"/>
  <c r="BI13" i="28"/>
  <c r="BI14" i="28" s="1"/>
  <c r="BI15" i="28" s="1"/>
  <c r="BI16" i="28" s="1"/>
  <c r="BI17" i="28" s="1"/>
  <c r="BI18" i="28" s="1"/>
  <c r="BI19" i="28" s="1"/>
  <c r="BI20" i="28" s="1"/>
  <c r="BI21" i="28" s="1"/>
  <c r="BI22" i="28" s="1"/>
  <c r="BI23" i="28" s="1"/>
  <c r="BI24" i="28" s="1"/>
  <c r="BI25" i="28" s="1"/>
  <c r="BI26" i="28" s="1"/>
  <c r="BI27" i="28" s="1"/>
  <c r="BI28" i="28" s="1"/>
  <c r="BI29" i="28" s="1"/>
  <c r="BI30" i="28" s="1"/>
  <c r="BI31" i="28" s="1"/>
  <c r="BI32" i="28" s="1"/>
  <c r="BI33" i="28" s="1"/>
  <c r="BI34" i="28" s="1"/>
  <c r="BI35" i="28" s="1"/>
  <c r="BI36" i="28" s="1"/>
  <c r="BI37" i="28" s="1"/>
  <c r="BD13" i="28"/>
  <c r="BD14" i="28" s="1"/>
  <c r="BD15" i="28" s="1"/>
  <c r="BD16" i="28" s="1"/>
  <c r="BD17" i="28" s="1"/>
  <c r="BD18" i="28" s="1"/>
  <c r="BD19" i="28" s="1"/>
  <c r="BD20" i="28" s="1"/>
  <c r="BD21" i="28" s="1"/>
  <c r="BD22" i="28" s="1"/>
  <c r="BD23" i="28" s="1"/>
  <c r="BD24" i="28" s="1"/>
  <c r="BD25" i="28" s="1"/>
  <c r="BD26" i="28" s="1"/>
  <c r="BD27" i="28" s="1"/>
  <c r="BD28" i="28" s="1"/>
  <c r="BD29" i="28" s="1"/>
  <c r="BD30" i="28" s="1"/>
  <c r="BD31" i="28" s="1"/>
  <c r="BD32" i="28" s="1"/>
  <c r="BD33" i="28" s="1"/>
  <c r="BD34" i="28" s="1"/>
  <c r="BD35" i="28" s="1"/>
  <c r="BD36" i="28" s="1"/>
  <c r="BD37" i="28" s="1"/>
  <c r="BC13" i="28"/>
  <c r="BC14" i="28" s="1"/>
  <c r="BC15" i="28" s="1"/>
  <c r="BC16" i="28" s="1"/>
  <c r="BC17" i="28" s="1"/>
  <c r="BC18" i="28" s="1"/>
  <c r="BC19" i="28" s="1"/>
  <c r="BC20" i="28" s="1"/>
  <c r="BC21" i="28" s="1"/>
  <c r="BC22" i="28" s="1"/>
  <c r="BC23" i="28" s="1"/>
  <c r="BC24" i="28" s="1"/>
  <c r="BC25" i="28" s="1"/>
  <c r="BC26" i="28" s="1"/>
  <c r="BC27" i="28" s="1"/>
  <c r="BC28" i="28" s="1"/>
  <c r="BC29" i="28" s="1"/>
  <c r="BC30" i="28" s="1"/>
  <c r="BC31" i="28" s="1"/>
  <c r="BC32" i="28" s="1"/>
  <c r="BC33" i="28" s="1"/>
  <c r="BC34" i="28" s="1"/>
  <c r="BC35" i="28" s="1"/>
  <c r="BC36" i="28" s="1"/>
  <c r="BC37" i="28" s="1"/>
  <c r="BB13" i="28"/>
  <c r="BB14" i="28" s="1"/>
  <c r="BB15" i="28" s="1"/>
  <c r="BB16" i="28" s="1"/>
  <c r="BB17" i="28" s="1"/>
  <c r="BB18" i="28" s="1"/>
  <c r="BB19" i="28" s="1"/>
  <c r="BB20" i="28" s="1"/>
  <c r="BB21" i="28" s="1"/>
  <c r="BB22" i="28" s="1"/>
  <c r="BB23" i="28" s="1"/>
  <c r="BB24" i="28" s="1"/>
  <c r="BB25" i="28" s="1"/>
  <c r="BB26" i="28" s="1"/>
  <c r="BB27" i="28" s="1"/>
  <c r="BB28" i="28" s="1"/>
  <c r="BB29" i="28" s="1"/>
  <c r="BB30" i="28" s="1"/>
  <c r="BB31" i="28" s="1"/>
  <c r="BB32" i="28" s="1"/>
  <c r="BB33" i="28" s="1"/>
  <c r="BB34" i="28" s="1"/>
  <c r="BB35" i="28" s="1"/>
  <c r="BB36" i="28" s="1"/>
  <c r="BB37" i="28" s="1"/>
  <c r="BA13" i="28"/>
  <c r="BA14" i="28" s="1"/>
  <c r="BA15" i="28" s="1"/>
  <c r="BA16" i="28" s="1"/>
  <c r="BA17" i="28" s="1"/>
  <c r="BA18" i="28" s="1"/>
  <c r="BA19" i="28" s="1"/>
  <c r="BA20" i="28" s="1"/>
  <c r="BA21" i="28" s="1"/>
  <c r="BA22" i="28" s="1"/>
  <c r="BA23" i="28" s="1"/>
  <c r="BA24" i="28" s="1"/>
  <c r="BA25" i="28" s="1"/>
  <c r="BA26" i="28" s="1"/>
  <c r="BA27" i="28" s="1"/>
  <c r="BA28" i="28" s="1"/>
  <c r="BA29" i="28" s="1"/>
  <c r="BA30" i="28" s="1"/>
  <c r="BA31" i="28" s="1"/>
  <c r="BA32" i="28" s="1"/>
  <c r="BA33" i="28" s="1"/>
  <c r="BA34" i="28" s="1"/>
  <c r="BA35" i="28" s="1"/>
  <c r="BA36" i="28" s="1"/>
  <c r="BA37" i="28" s="1"/>
  <c r="AZ12" i="28"/>
  <c r="AZ13" i="28" s="1"/>
  <c r="AZ14" i="28" s="1"/>
  <c r="AZ15" i="28" s="1"/>
  <c r="AZ16" i="28" s="1"/>
  <c r="AZ17" i="28" s="1"/>
  <c r="AZ18" i="28" s="1"/>
  <c r="AZ19" i="28" s="1"/>
  <c r="AZ20" i="28" s="1"/>
  <c r="AZ21" i="28" s="1"/>
  <c r="AZ22" i="28" s="1"/>
  <c r="AZ23" i="28" s="1"/>
  <c r="AZ24" i="28" s="1"/>
  <c r="AZ25" i="28" s="1"/>
  <c r="AZ26" i="28" s="1"/>
  <c r="AZ27" i="28" s="1"/>
  <c r="AZ28" i="28" s="1"/>
  <c r="AZ29" i="28" s="1"/>
  <c r="AZ30" i="28" s="1"/>
  <c r="AZ31" i="28" s="1"/>
  <c r="AZ32" i="28" s="1"/>
  <c r="AZ33" i="28" s="1"/>
  <c r="AZ34" i="28" s="1"/>
  <c r="AZ35" i="28" s="1"/>
  <c r="AZ36" i="28" s="1"/>
  <c r="AZ37" i="28" s="1"/>
  <c r="AY12" i="28"/>
  <c r="AY13" i="28" s="1"/>
  <c r="AY14" i="28" s="1"/>
  <c r="AY15" i="28" s="1"/>
  <c r="AY16" i="28" s="1"/>
  <c r="AY17" i="28" s="1"/>
  <c r="AY18" i="28" s="1"/>
  <c r="AY19" i="28" s="1"/>
  <c r="AY20" i="28" s="1"/>
  <c r="AY21" i="28" s="1"/>
  <c r="AY22" i="28" s="1"/>
  <c r="AY23" i="28" s="1"/>
  <c r="AY24" i="28" s="1"/>
  <c r="AY25" i="28" s="1"/>
  <c r="AY26" i="28" s="1"/>
  <c r="AY27" i="28" s="1"/>
  <c r="AY28" i="28" s="1"/>
  <c r="AY29" i="28" s="1"/>
  <c r="AY30" i="28" s="1"/>
  <c r="AY31" i="28" s="1"/>
  <c r="AY32" i="28" s="1"/>
  <c r="AY33" i="28" s="1"/>
  <c r="AY34" i="28" s="1"/>
  <c r="AY35" i="28" s="1"/>
  <c r="AY36" i="28" s="1"/>
  <c r="AY37" i="28" s="1"/>
  <c r="AX12" i="28"/>
  <c r="AX13" i="28" s="1"/>
  <c r="AX14" i="28" s="1"/>
  <c r="AX15" i="28" s="1"/>
  <c r="AX16" i="28" s="1"/>
  <c r="AX17" i="28" s="1"/>
  <c r="AX18" i="28" s="1"/>
  <c r="AX19" i="28" s="1"/>
  <c r="AX20" i="28" s="1"/>
  <c r="AX21" i="28" s="1"/>
  <c r="AX22" i="28" s="1"/>
  <c r="AX23" i="28" s="1"/>
  <c r="AX24" i="28" s="1"/>
  <c r="AX25" i="28" s="1"/>
  <c r="AX26" i="28" s="1"/>
  <c r="AX27" i="28" s="1"/>
  <c r="AX28" i="28" s="1"/>
  <c r="AX29" i="28" s="1"/>
  <c r="AX30" i="28" s="1"/>
  <c r="AX31" i="28" s="1"/>
  <c r="AX32" i="28" s="1"/>
  <c r="AX33" i="28" s="1"/>
  <c r="AX34" i="28" s="1"/>
  <c r="AX35" i="28" s="1"/>
  <c r="AX36" i="28" s="1"/>
  <c r="AX37" i="28" s="1"/>
  <c r="AW12" i="28"/>
  <c r="AW13" i="28" s="1"/>
  <c r="AW14" i="28" s="1"/>
  <c r="AW15" i="28" s="1"/>
  <c r="AW16" i="28" s="1"/>
  <c r="AW17" i="28" s="1"/>
  <c r="AW18" i="28" s="1"/>
  <c r="AW19" i="28" s="1"/>
  <c r="AW20" i="28" s="1"/>
  <c r="AW21" i="28" s="1"/>
  <c r="AW22" i="28" s="1"/>
  <c r="AW23" i="28" s="1"/>
  <c r="AW24" i="28" s="1"/>
  <c r="AW25" i="28" s="1"/>
  <c r="AW26" i="28" s="1"/>
  <c r="AW27" i="28" s="1"/>
  <c r="AW28" i="28" s="1"/>
  <c r="AW29" i="28" s="1"/>
  <c r="AW30" i="28" s="1"/>
  <c r="AW31" i="28" s="1"/>
  <c r="AW32" i="28" s="1"/>
  <c r="AW33" i="28" s="1"/>
  <c r="AW34" i="28" s="1"/>
  <c r="AW35" i="28" s="1"/>
  <c r="AW36" i="28" s="1"/>
  <c r="AW37" i="28" s="1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HE4" i="28"/>
  <c r="GT8" i="28"/>
  <c r="GT9" i="28" s="1"/>
  <c r="GT10" i="28" s="1"/>
  <c r="GT11" i="28" s="1"/>
  <c r="GT12" i="28" s="1"/>
  <c r="GT13" i="28" s="1"/>
  <c r="GT14" i="28" s="1"/>
  <c r="GT15" i="28" s="1"/>
  <c r="GT16" i="28" s="1"/>
  <c r="GT17" i="28" s="1"/>
  <c r="GT18" i="28" s="1"/>
  <c r="GT19" i="28" s="1"/>
  <c r="GT20" i="28" s="1"/>
  <c r="GT21" i="28" s="1"/>
  <c r="GT22" i="28" s="1"/>
  <c r="GT23" i="28" s="1"/>
  <c r="GT24" i="28" s="1"/>
  <c r="GT25" i="28" s="1"/>
  <c r="GT26" i="28" s="1"/>
  <c r="GT27" i="28" s="1"/>
  <c r="GT28" i="28" s="1"/>
  <c r="GT29" i="28" s="1"/>
  <c r="GT30" i="28" s="1"/>
  <c r="GT31" i="28" s="1"/>
  <c r="GT32" i="28" s="1"/>
  <c r="GT33" i="28" s="1"/>
  <c r="GT34" i="28" s="1"/>
  <c r="GT35" i="28" s="1"/>
  <c r="GT36" i="28" s="1"/>
  <c r="GT37" i="28" s="1"/>
  <c r="GT7" i="28"/>
  <c r="GO8" i="28"/>
  <c r="GO9" i="28" s="1"/>
  <c r="GO10" i="28" s="1"/>
  <c r="GO11" i="28" s="1"/>
  <c r="GO12" i="28" s="1"/>
  <c r="GO13" i="28" s="1"/>
  <c r="GO14" i="28" s="1"/>
  <c r="GO15" i="28" s="1"/>
  <c r="GO16" i="28" s="1"/>
  <c r="GO17" i="28" s="1"/>
  <c r="GO18" i="28" s="1"/>
  <c r="GO19" i="28" s="1"/>
  <c r="GO20" i="28" s="1"/>
  <c r="GO21" i="28" s="1"/>
  <c r="GO22" i="28" s="1"/>
  <c r="GO23" i="28" s="1"/>
  <c r="GO24" i="28" s="1"/>
  <c r="GO25" i="28" s="1"/>
  <c r="GO26" i="28" s="1"/>
  <c r="GO27" i="28" s="1"/>
  <c r="GO28" i="28" s="1"/>
  <c r="GO29" i="28" s="1"/>
  <c r="GO30" i="28" s="1"/>
  <c r="GO31" i="28" s="1"/>
  <c r="GO32" i="28" s="1"/>
  <c r="GO33" i="28" s="1"/>
  <c r="GO34" i="28" s="1"/>
  <c r="GO35" i="28" s="1"/>
  <c r="GO36" i="28" s="1"/>
  <c r="GO37" i="28" s="1"/>
  <c r="GO7" i="28"/>
  <c r="GC4" i="28"/>
  <c r="FY4" i="28"/>
  <c r="FM8" i="28"/>
  <c r="FM9" i="28" s="1"/>
  <c r="FM10" i="28" s="1"/>
  <c r="FM11" i="28" s="1"/>
  <c r="FM12" i="28" s="1"/>
  <c r="FM13" i="28" s="1"/>
  <c r="FM14" i="28" s="1"/>
  <c r="FM15" i="28" s="1"/>
  <c r="FM16" i="28" s="1"/>
  <c r="FM17" i="28" s="1"/>
  <c r="FM18" i="28" s="1"/>
  <c r="FM19" i="28" s="1"/>
  <c r="FM20" i="28" s="1"/>
  <c r="FM21" i="28" s="1"/>
  <c r="FM22" i="28" s="1"/>
  <c r="FM23" i="28" s="1"/>
  <c r="FM24" i="28" s="1"/>
  <c r="FM25" i="28" s="1"/>
  <c r="FM26" i="28" s="1"/>
  <c r="FM27" i="28" s="1"/>
  <c r="FM28" i="28" s="1"/>
  <c r="FM29" i="28" s="1"/>
  <c r="FM30" i="28" s="1"/>
  <c r="FM31" i="28" s="1"/>
  <c r="FM32" i="28" s="1"/>
  <c r="FM33" i="28" s="1"/>
  <c r="FM34" i="28" s="1"/>
  <c r="FM35" i="28" s="1"/>
  <c r="FM36" i="28" s="1"/>
  <c r="FM37" i="28" s="1"/>
  <c r="FL8" i="28"/>
  <c r="FL9" i="28" s="1"/>
  <c r="FL10" i="28" s="1"/>
  <c r="FL11" i="28" s="1"/>
  <c r="FL12" i="28" s="1"/>
  <c r="FL13" i="28" s="1"/>
  <c r="FL14" i="28" s="1"/>
  <c r="FL15" i="28" s="1"/>
  <c r="FL16" i="28" s="1"/>
  <c r="FL17" i="28" s="1"/>
  <c r="FL18" i="28" s="1"/>
  <c r="FL19" i="28" s="1"/>
  <c r="FL20" i="28" s="1"/>
  <c r="FL21" i="28" s="1"/>
  <c r="FL22" i="28" s="1"/>
  <c r="FL23" i="28" s="1"/>
  <c r="FL24" i="28" s="1"/>
  <c r="FL25" i="28" s="1"/>
  <c r="FL26" i="28" s="1"/>
  <c r="FL27" i="28" s="1"/>
  <c r="FL28" i="28" s="1"/>
  <c r="FL29" i="28" s="1"/>
  <c r="FL30" i="28" s="1"/>
  <c r="FL31" i="28" s="1"/>
  <c r="FL32" i="28" s="1"/>
  <c r="FL33" i="28" s="1"/>
  <c r="FL34" i="28" s="1"/>
  <c r="FL35" i="28" s="1"/>
  <c r="FL36" i="28" s="1"/>
  <c r="FL37" i="28" s="1"/>
  <c r="FK8" i="28"/>
  <c r="FK9" i="28" s="1"/>
  <c r="FK10" i="28" s="1"/>
  <c r="FK11" i="28" s="1"/>
  <c r="FK12" i="28" s="1"/>
  <c r="FK13" i="28" s="1"/>
  <c r="FK14" i="28" s="1"/>
  <c r="FK15" i="28" s="1"/>
  <c r="FK16" i="28" s="1"/>
  <c r="FK17" i="28" s="1"/>
  <c r="FK18" i="28" s="1"/>
  <c r="FK19" i="28" s="1"/>
  <c r="FK20" i="28" s="1"/>
  <c r="FK21" i="28" s="1"/>
  <c r="FK22" i="28" s="1"/>
  <c r="FK23" i="28" s="1"/>
  <c r="FK24" i="28" s="1"/>
  <c r="FK25" i="28" s="1"/>
  <c r="FK26" i="28" s="1"/>
  <c r="FK27" i="28" s="1"/>
  <c r="FK28" i="28" s="1"/>
  <c r="FK29" i="28" s="1"/>
  <c r="FK30" i="28" s="1"/>
  <c r="FK31" i="28" s="1"/>
  <c r="FK32" i="28" s="1"/>
  <c r="FK33" i="28" s="1"/>
  <c r="FK34" i="28" s="1"/>
  <c r="FK35" i="28" s="1"/>
  <c r="FK36" i="28" s="1"/>
  <c r="FK37" i="28" s="1"/>
  <c r="FM4" i="28"/>
  <c r="FL4" i="28"/>
  <c r="FD4" i="28"/>
  <c r="EU4" i="28"/>
  <c r="EV4" i="28" s="1"/>
  <c r="EN4" i="28"/>
  <c r="EJ4" i="28"/>
  <c r="DX4" i="28"/>
  <c r="DW4" i="28"/>
  <c r="DL4" i="28"/>
  <c r="DK4" i="28"/>
  <c r="KM4" i="32"/>
  <c r="QT4" i="32" l="1"/>
  <c r="QG7" i="32"/>
  <c r="PV8" i="32"/>
  <c r="PU8" i="32"/>
  <c r="PV7" i="32"/>
  <c r="PU7" i="32"/>
  <c r="PV4" i="32"/>
  <c r="PF7" i="32"/>
  <c r="PE7" i="32"/>
  <c r="PF4" i="32"/>
  <c r="PC7" i="32"/>
  <c r="ON4" i="32"/>
  <c r="OF4" i="32"/>
  <c r="NT8" i="32"/>
  <c r="NS8" i="32"/>
  <c r="NR8" i="32"/>
  <c r="NT7" i="32"/>
  <c r="NS7" i="32"/>
  <c r="NR7" i="32"/>
  <c r="NT4" i="32"/>
  <c r="NS4" i="32"/>
  <c r="NK4" i="32"/>
  <c r="MZ4" i="32"/>
  <c r="MY4" i="32"/>
  <c r="MN7" i="32"/>
  <c r="MM7" i="32"/>
  <c r="MI8" i="32"/>
  <c r="MH8" i="32"/>
  <c r="MI4" i="32"/>
  <c r="LV8" i="32"/>
  <c r="LU8" i="32"/>
  <c r="LV7" i="32"/>
  <c r="LU7" i="32"/>
  <c r="LV4" i="32"/>
  <c r="LK4" i="32"/>
  <c r="LJ4" i="32"/>
  <c r="KV8" i="32"/>
  <c r="KU8" i="32"/>
  <c r="KT8" i="32"/>
  <c r="KV4" i="32"/>
  <c r="KU4" i="32"/>
  <c r="FW7" i="28" l="1"/>
  <c r="FV7" i="28"/>
  <c r="GX7" i="28"/>
  <c r="MW7" i="32"/>
  <c r="MV7" i="32"/>
  <c r="GP7" i="28"/>
  <c r="B3" i="34"/>
  <c r="B3" i="33"/>
  <c r="B3" i="28"/>
  <c r="MG8" i="32" l="1"/>
  <c r="MK8" i="32" s="1"/>
  <c r="MF8" i="32"/>
  <c r="MJ8" i="32" s="1"/>
  <c r="MG7" i="32"/>
  <c r="MF7" i="32"/>
  <c r="PB8" i="32"/>
  <c r="PF8" i="32" s="1"/>
  <c r="PA8" i="32"/>
  <c r="PE8" i="32" s="1"/>
  <c r="PB7" i="32"/>
  <c r="PA7" i="32"/>
  <c r="FW8" i="28"/>
  <c r="FW9" i="28" s="1"/>
  <c r="FW10" i="28" s="1"/>
  <c r="FW11" i="28" s="1"/>
  <c r="FW12" i="28" s="1"/>
  <c r="FW13" i="28" s="1"/>
  <c r="FW14" i="28" s="1"/>
  <c r="FW15" i="28" s="1"/>
  <c r="FW16" i="28" s="1"/>
  <c r="FW17" i="28" s="1"/>
  <c r="FW18" i="28" s="1"/>
  <c r="FW19" i="28" s="1"/>
  <c r="FW20" i="28" s="1"/>
  <c r="FW21" i="28" s="1"/>
  <c r="FW22" i="28" s="1"/>
  <c r="FW23" i="28" s="1"/>
  <c r="FW24" i="28" s="1"/>
  <c r="FW25" i="28" s="1"/>
  <c r="FW26" i="28" s="1"/>
  <c r="FW27" i="28" s="1"/>
  <c r="FW28" i="28" s="1"/>
  <c r="FW29" i="28" s="1"/>
  <c r="FW30" i="28" s="1"/>
  <c r="FW31" i="28" s="1"/>
  <c r="FW32" i="28" s="1"/>
  <c r="FW33" i="28" s="1"/>
  <c r="FW34" i="28" s="1"/>
  <c r="FW35" i="28" s="1"/>
  <c r="FW36" i="28" s="1"/>
  <c r="FW37" i="28" s="1"/>
  <c r="FV8" i="28"/>
  <c r="FV9" i="28" s="1"/>
  <c r="FV10" i="28" s="1"/>
  <c r="FV11" i="28" s="1"/>
  <c r="FV12" i="28" s="1"/>
  <c r="FV13" i="28" s="1"/>
  <c r="FV14" i="28" s="1"/>
  <c r="FV15" i="28" s="1"/>
  <c r="FV16" i="28" s="1"/>
  <c r="FV17" i="28" s="1"/>
  <c r="FV18" i="28" s="1"/>
  <c r="FV19" i="28" s="1"/>
  <c r="FV20" i="28" s="1"/>
  <c r="FV21" i="28" s="1"/>
  <c r="FV22" i="28" s="1"/>
  <c r="FV23" i="28" s="1"/>
  <c r="FV24" i="28" s="1"/>
  <c r="FV25" i="28" s="1"/>
  <c r="FV26" i="28" s="1"/>
  <c r="FV27" i="28" s="1"/>
  <c r="FV28" i="28" s="1"/>
  <c r="FV29" i="28" s="1"/>
  <c r="FV30" i="28" s="1"/>
  <c r="FV31" i="28" s="1"/>
  <c r="FV32" i="28" s="1"/>
  <c r="FV33" i="28" s="1"/>
  <c r="FV34" i="28" s="1"/>
  <c r="FV35" i="28" s="1"/>
  <c r="FV36" i="28" s="1"/>
  <c r="FV37" i="28" s="1"/>
  <c r="OD8" i="32"/>
  <c r="OC8" i="32"/>
  <c r="OD7" i="32"/>
  <c r="OC7" i="32"/>
  <c r="PD7" i="32"/>
  <c r="GP8" i="28"/>
  <c r="GP9" i="28" s="1"/>
  <c r="GP10" i="28" s="1"/>
  <c r="GP11" i="28" s="1"/>
  <c r="GP12" i="28" s="1"/>
  <c r="GP13" i="28" s="1"/>
  <c r="GP14" i="28" s="1"/>
  <c r="GP15" i="28" s="1"/>
  <c r="GP16" i="28" s="1"/>
  <c r="GP17" i="28" s="1"/>
  <c r="GP18" i="28" s="1"/>
  <c r="GP19" i="28" s="1"/>
  <c r="GP20" i="28" s="1"/>
  <c r="GP21" i="28" s="1"/>
  <c r="GP22" i="28" s="1"/>
  <c r="GP23" i="28" s="1"/>
  <c r="GP24" i="28" s="1"/>
  <c r="GP25" i="28" s="1"/>
  <c r="GP26" i="28" s="1"/>
  <c r="GP27" i="28" s="1"/>
  <c r="GP28" i="28" s="1"/>
  <c r="GP29" i="28" s="1"/>
  <c r="GP30" i="28" s="1"/>
  <c r="GP31" i="28" s="1"/>
  <c r="GP32" i="28" s="1"/>
  <c r="GP33" i="28" s="1"/>
  <c r="GP34" i="28" s="1"/>
  <c r="GP35" i="28" s="1"/>
  <c r="GP36" i="28" s="1"/>
  <c r="GP37" i="28" s="1"/>
  <c r="LH8" i="32"/>
  <c r="LG8" i="32"/>
  <c r="LH7" i="32"/>
  <c r="LG7" i="32"/>
  <c r="QF8" i="32"/>
  <c r="QE8" i="32"/>
  <c r="QG8" i="32" s="1"/>
  <c r="QF7" i="32"/>
  <c r="QE7" i="32"/>
  <c r="GX8" i="28"/>
  <c r="GX9" i="28" s="1"/>
  <c r="GX10" i="28" s="1"/>
  <c r="GX11" i="28" s="1"/>
  <c r="GX12" i="28" s="1"/>
  <c r="GX13" i="28" s="1"/>
  <c r="GX14" i="28" s="1"/>
  <c r="GX15" i="28" s="1"/>
  <c r="GX16" i="28" s="1"/>
  <c r="GX17" i="28" s="1"/>
  <c r="GX18" i="28" s="1"/>
  <c r="GX19" i="28" s="1"/>
  <c r="GX20" i="28" s="1"/>
  <c r="GX21" i="28" s="1"/>
  <c r="GX22" i="28" s="1"/>
  <c r="GX23" i="28" s="1"/>
  <c r="GX24" i="28" s="1"/>
  <c r="GX25" i="28" s="1"/>
  <c r="GX26" i="28" s="1"/>
  <c r="GX27" i="28" s="1"/>
  <c r="GX28" i="28" s="1"/>
  <c r="GX29" i="28" s="1"/>
  <c r="GX30" i="28" s="1"/>
  <c r="GX31" i="28" s="1"/>
  <c r="GX32" i="28" s="1"/>
  <c r="GX33" i="28" s="1"/>
  <c r="GX34" i="28" s="1"/>
  <c r="GX35" i="28" s="1"/>
  <c r="GX36" i="28" s="1"/>
  <c r="GX37" i="28" s="1"/>
  <c r="QK8" i="32"/>
  <c r="QK7" i="32"/>
  <c r="PP8" i="32"/>
  <c r="PO8" i="32"/>
  <c r="PP7" i="32"/>
  <c r="PO7" i="32"/>
  <c r="D11" i="34" l="1"/>
  <c r="D10" i="34"/>
  <c r="D9" i="34"/>
  <c r="D8" i="34"/>
  <c r="D7" i="34"/>
  <c r="D6" i="34"/>
  <c r="P11" i="34"/>
  <c r="P10" i="34"/>
  <c r="P9" i="34"/>
  <c r="P8" i="34"/>
  <c r="P7" i="34"/>
  <c r="P6" i="34"/>
  <c r="N18" i="33" l="1"/>
  <c r="O18" i="33" s="1"/>
  <c r="L18" i="33"/>
  <c r="M18" i="33" s="1"/>
  <c r="K18" i="33" s="1"/>
  <c r="N17" i="33"/>
  <c r="O17" i="33" s="1"/>
  <c r="L17" i="33"/>
  <c r="M17" i="33" s="1"/>
  <c r="K17" i="33" s="1"/>
  <c r="N16" i="33"/>
  <c r="O16" i="33" s="1"/>
  <c r="L16" i="33"/>
  <c r="J16" i="33" s="1"/>
  <c r="N15" i="33"/>
  <c r="O15" i="33" s="1"/>
  <c r="L15" i="33"/>
  <c r="M15" i="33" s="1"/>
  <c r="K15" i="33" s="1"/>
  <c r="N14" i="33"/>
  <c r="O14" i="33" s="1"/>
  <c r="L14" i="33"/>
  <c r="M14" i="33" s="1"/>
  <c r="K14" i="33" s="1"/>
  <c r="N13" i="33"/>
  <c r="O13" i="33" s="1"/>
  <c r="L13" i="33"/>
  <c r="J13" i="33" s="1"/>
  <c r="N12" i="33"/>
  <c r="O12" i="33" s="1"/>
  <c r="L12" i="33"/>
  <c r="M12" i="33" s="1"/>
  <c r="K12" i="33" s="1"/>
  <c r="N11" i="33"/>
  <c r="O11" i="33" s="1"/>
  <c r="L11" i="33"/>
  <c r="M11" i="33" s="1"/>
  <c r="K11" i="33" s="1"/>
  <c r="J11" i="33"/>
  <c r="N10" i="33"/>
  <c r="O10" i="33" s="1"/>
  <c r="L10" i="33"/>
  <c r="M10" i="33" s="1"/>
  <c r="K10" i="33" s="1"/>
  <c r="N9" i="33"/>
  <c r="O9" i="33" s="1"/>
  <c r="L9" i="33"/>
  <c r="M9" i="33" s="1"/>
  <c r="K9" i="33" s="1"/>
  <c r="N8" i="33"/>
  <c r="O8" i="33" s="1"/>
  <c r="L8" i="33"/>
  <c r="J8" i="33" s="1"/>
  <c r="N7" i="33"/>
  <c r="O7" i="33" s="1"/>
  <c r="L7" i="33"/>
  <c r="M7" i="33" s="1"/>
  <c r="K7" i="33" s="1"/>
  <c r="N6" i="33"/>
  <c r="O6" i="33" s="1"/>
  <c r="L6" i="33"/>
  <c r="M6" i="33" s="1"/>
  <c r="K6" i="33" s="1"/>
  <c r="F8" i="33" l="1"/>
  <c r="E8" i="33"/>
  <c r="I8" i="33"/>
  <c r="H8" i="33"/>
  <c r="G8" i="33"/>
  <c r="I13" i="33"/>
  <c r="E13" i="33"/>
  <c r="H13" i="33"/>
  <c r="G13" i="33"/>
  <c r="F13" i="33"/>
  <c r="H11" i="33"/>
  <c r="G11" i="33"/>
  <c r="F11" i="33"/>
  <c r="E11" i="33"/>
  <c r="I11" i="33"/>
  <c r="G16" i="33"/>
  <c r="F16" i="33"/>
  <c r="E16" i="33"/>
  <c r="H16" i="33"/>
  <c r="I16" i="33"/>
  <c r="J12" i="33"/>
  <c r="J6" i="33"/>
  <c r="J17" i="33"/>
  <c r="J14" i="33"/>
  <c r="J9" i="33"/>
  <c r="J15" i="33"/>
  <c r="J7" i="33"/>
  <c r="J10" i="33"/>
  <c r="M13" i="33"/>
  <c r="K13" i="33" s="1"/>
  <c r="M8" i="33"/>
  <c r="K8" i="33" s="1"/>
  <c r="J18" i="33"/>
  <c r="M16" i="33"/>
  <c r="K16" i="33" s="1"/>
  <c r="G11" i="34"/>
  <c r="G10" i="34"/>
  <c r="G9" i="34"/>
  <c r="G8" i="34"/>
  <c r="G7" i="34"/>
  <c r="G6" i="34"/>
  <c r="I17" i="33" l="1"/>
  <c r="G17" i="33"/>
  <c r="F17" i="33"/>
  <c r="E17" i="33"/>
  <c r="H17" i="33"/>
  <c r="I6" i="33"/>
  <c r="E6" i="33"/>
  <c r="H6" i="33"/>
  <c r="G6" i="33"/>
  <c r="F6" i="33"/>
  <c r="H12" i="33"/>
  <c r="E12" i="33"/>
  <c r="G12" i="33"/>
  <c r="F12" i="33"/>
  <c r="I12" i="33"/>
  <c r="I18" i="33"/>
  <c r="E18" i="33"/>
  <c r="H18" i="33"/>
  <c r="G18" i="33"/>
  <c r="F18" i="33"/>
  <c r="I10" i="33"/>
  <c r="H10" i="33"/>
  <c r="F10" i="33"/>
  <c r="E10" i="33"/>
  <c r="G10" i="33"/>
  <c r="I7" i="33"/>
  <c r="E7" i="33"/>
  <c r="H7" i="33"/>
  <c r="G7" i="33"/>
  <c r="F7" i="33"/>
  <c r="E14" i="33"/>
  <c r="I14" i="33"/>
  <c r="G14" i="33"/>
  <c r="H14" i="33"/>
  <c r="F14" i="33"/>
  <c r="I15" i="33"/>
  <c r="H15" i="33"/>
  <c r="E15" i="33"/>
  <c r="F15" i="33"/>
  <c r="G15" i="33"/>
  <c r="F9" i="33"/>
  <c r="E9" i="33"/>
  <c r="G9" i="33"/>
  <c r="H9" i="33"/>
  <c r="I9" i="33"/>
  <c r="X6" i="33"/>
  <c r="W6" i="33"/>
  <c r="V6" i="33"/>
  <c r="U6" i="33"/>
  <c r="T6" i="33"/>
  <c r="S6" i="33"/>
  <c r="R6" i="33"/>
  <c r="B7" i="34"/>
  <c r="B8" i="34" s="1"/>
  <c r="B9" i="34" s="1"/>
  <c r="B10" i="34" s="1"/>
  <c r="B7" i="33"/>
  <c r="B8" i="33" s="1"/>
  <c r="B9" i="33" s="1"/>
  <c r="B10" i="33" s="1"/>
  <c r="B11" i="33" l="1"/>
  <c r="Q10" i="33"/>
  <c r="S11" i="33"/>
  <c r="U11" i="33"/>
  <c r="V11" i="33"/>
  <c r="U7" i="33"/>
  <c r="T10" i="33"/>
  <c r="X11" i="33"/>
  <c r="R8" i="33"/>
  <c r="W7" i="33"/>
  <c r="S10" i="33"/>
  <c r="X7" i="33"/>
  <c r="U10" i="33"/>
  <c r="W11" i="33"/>
  <c r="S8" i="33"/>
  <c r="V10" i="33"/>
  <c r="T8" i="33"/>
  <c r="U8" i="33"/>
  <c r="W10" i="33"/>
  <c r="S7" i="33"/>
  <c r="R7" i="33"/>
  <c r="R11" i="33"/>
  <c r="X10" i="33"/>
  <c r="T7" i="33"/>
  <c r="V8" i="33"/>
  <c r="W8" i="33"/>
  <c r="R10" i="33"/>
  <c r="T11" i="33"/>
  <c r="V7" i="33"/>
  <c r="X8" i="33"/>
  <c r="B12" i="33" l="1"/>
  <c r="Q11" i="33"/>
  <c r="B13" i="33" l="1"/>
  <c r="Q12" i="33"/>
  <c r="W12" i="33"/>
  <c r="X12" i="33"/>
  <c r="R12" i="33"/>
  <c r="S12" i="33"/>
  <c r="U12" i="33"/>
  <c r="T12" i="33"/>
  <c r="V12" i="33"/>
  <c r="B14" i="33" l="1"/>
  <c r="Q13" i="33"/>
  <c r="V13" i="33"/>
  <c r="S13" i="33"/>
  <c r="U13" i="33"/>
  <c r="X13" i="33"/>
  <c r="W13" i="33"/>
  <c r="T13" i="33"/>
  <c r="R13" i="33"/>
  <c r="B15" i="33" l="1"/>
  <c r="Q14" i="33"/>
  <c r="X14" i="33"/>
  <c r="R14" i="33"/>
  <c r="T14" i="33"/>
  <c r="W14" i="33"/>
  <c r="S14" i="33"/>
  <c r="V14" i="33"/>
  <c r="U14" i="33"/>
  <c r="B16" i="33" l="1"/>
  <c r="Q15" i="33"/>
  <c r="X15" i="33"/>
  <c r="R15" i="33"/>
  <c r="T15" i="33"/>
  <c r="S15" i="33"/>
  <c r="V15" i="33"/>
  <c r="W15" i="33"/>
  <c r="U15" i="33"/>
  <c r="B17" i="33" l="1"/>
  <c r="Q16" i="33"/>
  <c r="U16" i="33"/>
  <c r="T16" i="33"/>
  <c r="V16" i="33"/>
  <c r="R16" i="33"/>
  <c r="X16" i="33"/>
  <c r="W16" i="33"/>
  <c r="S16" i="33"/>
  <c r="B18" i="33" l="1"/>
  <c r="Q17" i="33"/>
  <c r="V17" i="33"/>
  <c r="U17" i="33"/>
  <c r="T17" i="33"/>
  <c r="R17" i="33"/>
  <c r="X17" i="33"/>
  <c r="W17" i="33"/>
  <c r="S17" i="33"/>
  <c r="R18" i="33" l="1"/>
  <c r="Q18" i="33"/>
  <c r="U18" i="33"/>
  <c r="X18" i="33"/>
  <c r="S18" i="33"/>
  <c r="W18" i="33"/>
  <c r="T18" i="33"/>
  <c r="V18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G7" authorId="0" shapeId="0" xr:uid="{16CA9FC2-C3ED-4DDF-9794-23BDD13CFE07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include marketing allowance</t>
        </r>
      </text>
    </comment>
    <comment ref="I7" authorId="0" shapeId="0" xr:uid="{7A9CF56B-0D5B-4C20-A13C-EC956C40C803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include marketing allowance</t>
        </r>
      </text>
    </comment>
    <comment ref="AT7" authorId="0" shapeId="0" xr:uid="{4049F7FE-7BE3-4EAE-9F73-2598DA3FD801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Include marketing allowance
</t>
        </r>
      </text>
    </comment>
    <comment ref="AU7" authorId="0" shapeId="0" xr:uid="{2011CEFE-3144-4CD1-999D-158E3B97D30B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Include marketing allowance
</t>
        </r>
      </text>
    </comment>
    <comment ref="BR7" authorId="0" shapeId="0" xr:uid="{EEA43EBE-AB80-439E-848E-A18607BF2544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commission + marketing allowance</t>
        </r>
      </text>
    </comment>
    <comment ref="DA7" authorId="0" shapeId="0" xr:uid="{8832DDD3-166C-4408-AC21-6945A9AB8DC5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commission + marketing allowance</t>
        </r>
      </text>
    </comment>
    <comment ref="DE7" authorId="0" shapeId="0" xr:uid="{6535F041-A7E1-4136-95E1-ADF6BB7FF423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commission + marketing allowance</t>
        </r>
      </text>
    </comment>
    <comment ref="HL7" authorId="0" shapeId="0" xr:uid="{E1AA3017-52D0-471A-9481-F827541EEDFB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include marketing allowance</t>
        </r>
      </text>
    </comment>
    <comment ref="HM7" authorId="0" shapeId="0" xr:uid="{76C46474-6286-428D-83A9-0D4D0070B5BC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include marketing allowance</t>
        </r>
      </text>
    </comment>
    <comment ref="KJ7" authorId="0" shapeId="0" xr:uid="{8040395A-845F-4FB9-A95A-D19507CB487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include marketing allowance</t>
        </r>
      </text>
    </comment>
    <comment ref="NH7" authorId="0" shapeId="0" xr:uid="{E4F18D94-4A44-4C52-9940-9D5D779753D9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include marketing allowance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AL14" authorId="0" shapeId="0" xr:uid="{1E5D143C-D7EB-4023-A16D-1CEDE356395F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lump sum comp</t>
        </r>
      </text>
    </comment>
    <comment ref="AU14" authorId="0" shapeId="0" xr:uid="{716BD04A-3E2D-4912-98AC-81E914941332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lump sum comp</t>
        </r>
      </text>
    </comment>
    <comment ref="AV14" authorId="0" shapeId="0" xr:uid="{7B24C545-7D54-46C0-BB22-57255F1F2682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lump sum comp</t>
        </r>
      </text>
    </comment>
  </commentList>
</comments>
</file>

<file path=xl/sharedStrings.xml><?xml version="1.0" encoding="utf-8"?>
<sst xmlns="http://schemas.openxmlformats.org/spreadsheetml/2006/main" count="805" uniqueCount="384">
  <si>
    <t>#</t>
  </si>
  <si>
    <t>Date</t>
  </si>
  <si>
    <t>Name</t>
  </si>
  <si>
    <t>Comments</t>
  </si>
  <si>
    <t>Table of Contents</t>
  </si>
  <si>
    <t>Default</t>
  </si>
  <si>
    <t>Go to TOC</t>
  </si>
  <si>
    <t>NONE</t>
  </si>
  <si>
    <t>pol_yr</t>
  </si>
  <si>
    <t>tbl_id</t>
  </si>
  <si>
    <t>issue age</t>
  </si>
  <si>
    <t>Trail Commission Rate Tables</t>
  </si>
  <si>
    <t>Upfront Commission</t>
  </si>
  <si>
    <t>Trail Commission by Products</t>
  </si>
  <si>
    <t>Upfront Commission by Products</t>
  </si>
  <si>
    <t>Trail Commission</t>
  </si>
  <si>
    <t>zero</t>
  </si>
  <si>
    <t>PS_201707_0_Age76_60yr2</t>
  </si>
  <si>
    <t>VALIC_0_age81_17yr2</t>
  </si>
  <si>
    <t>PI5P_5yr2</t>
  </si>
  <si>
    <t>WF_15yr2</t>
  </si>
  <si>
    <t>PIPREM_30yr2</t>
  </si>
  <si>
    <t>PRIM_25yr2</t>
  </si>
  <si>
    <t>WF_3.75_1.75Age81</t>
  </si>
  <si>
    <t>PIUSL_4.5</t>
  </si>
  <si>
    <t>PI_2.5</t>
  </si>
  <si>
    <t>PILow_3.5</t>
  </si>
  <si>
    <t>PI5P_3.50_2.00Age81</t>
  </si>
  <si>
    <t>PIP_5.00_1.50Age81</t>
  </si>
  <si>
    <t>P7P_6.00_4.00Age81</t>
  </si>
  <si>
    <t>VALIC_2.95_1.00Age81</t>
  </si>
  <si>
    <t>PIPREM_3.50</t>
  </si>
  <si>
    <t>PRIM7_4.15_2.00Age81</t>
  </si>
  <si>
    <t>PRIM10_5.60_3.50Age71</t>
  </si>
  <si>
    <t>PS8_20190128_6.80</t>
  </si>
  <si>
    <t>AG10_7.25</t>
  </si>
  <si>
    <t>P10P_9.00</t>
  </si>
  <si>
    <t>PS_201707_10.1_5.35age76</t>
  </si>
  <si>
    <t>PM2018</t>
  </si>
  <si>
    <t>ML2019</t>
  </si>
  <si>
    <t>PM2019</t>
  </si>
  <si>
    <t>7%3yr</t>
  </si>
  <si>
    <t>ML2015_Revised</t>
  </si>
  <si>
    <t>2%Constant</t>
  </si>
  <si>
    <t>RW2018</t>
  </si>
  <si>
    <t>RN2019</t>
  </si>
  <si>
    <t>RW2017</t>
  </si>
  <si>
    <t>Zero</t>
  </si>
  <si>
    <t>PIPREM_5.00</t>
  </si>
  <si>
    <t>RW2019</t>
  </si>
  <si>
    <t>Upfront Commission Rate Tables</t>
  </si>
  <si>
    <t>Licensing Fee &amp; Rate-lock Expense</t>
  </si>
  <si>
    <t>Inflation Rate</t>
  </si>
  <si>
    <t>LicensingFee by Indices</t>
  </si>
  <si>
    <t>InflationRate</t>
  </si>
  <si>
    <t>Min Luo</t>
  </si>
  <si>
    <t>Peer Review the file</t>
  </si>
  <si>
    <t>MS2019</t>
  </si>
  <si>
    <t>P5P_4.25_2.00Age81</t>
  </si>
  <si>
    <t>P5P_0_age81_15yr2</t>
  </si>
  <si>
    <t>PI5P_3.21_1.48Age81</t>
  </si>
  <si>
    <t>PI5P_12_age81_19yr2</t>
  </si>
  <si>
    <t>AB2019</t>
  </si>
  <si>
    <t>NYIA_7.0</t>
  </si>
  <si>
    <t>SR2020</t>
  </si>
  <si>
    <t>RN2020</t>
  </si>
  <si>
    <t>RW2020</t>
  </si>
  <si>
    <t>PIP_25_age81_18yr2</t>
  </si>
  <si>
    <t>WF5_3.46_1.63Age81</t>
  </si>
  <si>
    <t>PI5P_3.27_1.41Age81</t>
  </si>
  <si>
    <t>PIPREF_4.8</t>
  </si>
  <si>
    <t>WF5_21_age81_20yr2</t>
  </si>
  <si>
    <t>PI5P_10_age81_21yr2</t>
  </si>
  <si>
    <t>WF7_3.20_1.79Age81</t>
  </si>
  <si>
    <t>PIP_3.97_2.20Age81</t>
  </si>
  <si>
    <t>PIPREM_3.54_1.50Age81</t>
  </si>
  <si>
    <t>WF7_28_age81_15yr2</t>
  </si>
  <si>
    <t>PIPREM_29_age81_25yr2</t>
  </si>
  <si>
    <t>PRIM7_3.85_1.83Age81</t>
  </si>
  <si>
    <t>AG10_5.16</t>
  </si>
  <si>
    <t>AG10_40yr2</t>
  </si>
  <si>
    <t>PIP_0_age81_25yr2</t>
  </si>
  <si>
    <t>PRIM10_5.00_3.52_Age71</t>
  </si>
  <si>
    <t>P5P_202101_4.67_2.42Age81</t>
  </si>
  <si>
    <t>P7P_202101_6.42_4.42Age81</t>
  </si>
  <si>
    <t>P10P_202101_9.84</t>
  </si>
  <si>
    <t>NYIA_5.25</t>
  </si>
  <si>
    <t>PIPREF_202101_4.8_3.8Age76_2.8Age81</t>
  </si>
  <si>
    <t>PIPREF_202101_0_age76_25yr2</t>
  </si>
  <si>
    <t>PS8_202101_7.55</t>
  </si>
  <si>
    <t>WF5_202101_3.34_1.57Age81</t>
  </si>
  <si>
    <t>WF5_202101_22_age81_23yr2</t>
  </si>
  <si>
    <t>PI5P_202101_3.21_1.48Age81</t>
  </si>
  <si>
    <t>WF7_202101_3.03_1.73Age81</t>
  </si>
  <si>
    <t>WF7_202101_26_age81_15yr2</t>
  </si>
  <si>
    <t>PIP_202101_3.82_2.19Age81</t>
  </si>
  <si>
    <t>PIP_202101_20_age81_13yr2</t>
  </si>
  <si>
    <t>PIPREM_202101_27_age81_25yr2</t>
  </si>
  <si>
    <t>PIPREM_202101_3.72_1.50Age81</t>
  </si>
  <si>
    <t>PRIM7_202101_3.82_1.83Age81</t>
  </si>
  <si>
    <t>AG10_202101_35yr2</t>
  </si>
  <si>
    <t>PS_202006_10.45_5.7age76</t>
  </si>
  <si>
    <t>PS_202101_10.35_5.6age76</t>
  </si>
  <si>
    <t>NYIA_5.375</t>
  </si>
  <si>
    <t>PI5P_202101_9_age81_21yr2</t>
  </si>
  <si>
    <t>PRIM10_202101_4.91_3.60Age71</t>
  </si>
  <si>
    <t>RN2021</t>
  </si>
  <si>
    <t>RW2021</t>
  </si>
  <si>
    <t>MS2021</t>
  </si>
  <si>
    <t>ML2021</t>
  </si>
  <si>
    <t>PM2021</t>
  </si>
  <si>
    <t>AB2021</t>
  </si>
  <si>
    <t>AQ2021</t>
  </si>
  <si>
    <t>LM2021</t>
  </si>
  <si>
    <t>PG2021</t>
  </si>
  <si>
    <t>RN2021_New</t>
  </si>
  <si>
    <t>PIPREF_202101_25yr2</t>
  </si>
  <si>
    <t>X52021_10bps</t>
  </si>
  <si>
    <t>ML2021_new</t>
  </si>
  <si>
    <t>PM2021_new</t>
  </si>
  <si>
    <t>AB2021_new</t>
  </si>
  <si>
    <t>AQ2021_new</t>
  </si>
  <si>
    <t>LM2021_new</t>
  </si>
  <si>
    <t>MS2021_new</t>
  </si>
  <si>
    <t>RN2021_New_101</t>
  </si>
  <si>
    <t>PS_202111_10.60_5.85age76</t>
  </si>
  <si>
    <t>NYIA5_4.75</t>
  </si>
  <si>
    <t>NYIA5_202201_4.125_1.75Age81</t>
  </si>
  <si>
    <t>NYIA_202201_5.375_2.00Age81</t>
  </si>
  <si>
    <t>NYIA_202201_0_Age81_25yr2</t>
  </si>
  <si>
    <t>NYIA5_202201_0_Age81_20yr2</t>
  </si>
  <si>
    <t>WF5_202201_25_age81_26yr2</t>
  </si>
  <si>
    <t>PI5P_202201_14_Age81_16yr2</t>
  </si>
  <si>
    <t>NYIA_202201_4.67_1.77Age81</t>
  </si>
  <si>
    <t>NYIA5_202201_4.03_1.60Age81</t>
  </si>
  <si>
    <t>WF7_202201_3.25_1.75Age81</t>
  </si>
  <si>
    <t>PIPREM_202201_22_age81_16yr2</t>
  </si>
  <si>
    <t>PRIM7_202201_3.85_1.83Age81</t>
  </si>
  <si>
    <t>7%3yr_GSIA_SP3</t>
  </si>
  <si>
    <t>7%3yr_GSIA_AG3</t>
  </si>
  <si>
    <t>7%3yr_GSIA_SP2</t>
  </si>
  <si>
    <t>7%3yr_GSIA_AG2</t>
  </si>
  <si>
    <t>GSIA_202201_GLB_25yr2</t>
  </si>
  <si>
    <t>GSIA_202201_GLB_6</t>
  </si>
  <si>
    <t>GSIA_202201_BASE_4</t>
  </si>
  <si>
    <t>GSIA_202201_BASE_50yr2</t>
  </si>
  <si>
    <t>WF5_202201_3.28_1.52Age81</t>
  </si>
  <si>
    <t>PI5P_202201_2.95_1.79Age81</t>
  </si>
  <si>
    <t>NYIA_202201_4.69_1.80Age81</t>
  </si>
  <si>
    <t>NYIA_202201_11_Age81_25yr2</t>
  </si>
  <si>
    <t>NYIA5_202201_11_Age81_22yr2</t>
  </si>
  <si>
    <t>NYIA5_202201_3.63_1.63Age81</t>
  </si>
  <si>
    <t>WF7_202101_27_age81_15yr2</t>
  </si>
  <si>
    <t>PIP_202201_3.89_2.13Age81</t>
  </si>
  <si>
    <t>PIP_202201_23_age81_20yr2</t>
  </si>
  <si>
    <t>PIPREM_202201_4.11_1.64Age81</t>
  </si>
  <si>
    <t>PRIM10_202201_4.94_3.50Age71</t>
  </si>
  <si>
    <t>AG10_202201_5.44</t>
  </si>
  <si>
    <t>AG10_202201_33yr2</t>
  </si>
  <si>
    <t>P5P_202201_4.65_2.50Age81</t>
  </si>
  <si>
    <t>P7P_202201_6.27_4.50Age81</t>
  </si>
  <si>
    <t>P10P_202201_9.85</t>
  </si>
  <si>
    <t>P10P_202201_5yr2</t>
  </si>
  <si>
    <t>P7P_202201_5_age81_25yr2</t>
  </si>
  <si>
    <t>P5P_202201_2_age81_15yr2</t>
  </si>
  <si>
    <t>PIPREF_202201_39_age76_62_age81_51yr2</t>
  </si>
  <si>
    <t>PIPREF_202201_3.92_2.27Age76_2.07Age81</t>
  </si>
  <si>
    <t>PS_202201_10.10_5.79age76</t>
  </si>
  <si>
    <t>PS_202201_9_Age76_60yr2</t>
  </si>
  <si>
    <t>PS8_202201_7.21</t>
  </si>
  <si>
    <t>PS8_202201_2yr2</t>
  </si>
  <si>
    <t>7%3yr_GSIA_SP4</t>
  </si>
  <si>
    <t>7%3yr_GSIA_AG4</t>
  </si>
  <si>
    <t>2%Constant_101Infl</t>
  </si>
  <si>
    <t>VALIC_2022_2.7981_0.6875Age81</t>
  </si>
  <si>
    <t>VALIC_2022_2.75_age81_17.19yr2</t>
  </si>
  <si>
    <t>PRIM7_202201_4.05_2.03Age81</t>
  </si>
  <si>
    <t>AG10_202201_5.57</t>
  </si>
  <si>
    <t>PRIM10_202201_5.14_3.70Age71</t>
  </si>
  <si>
    <t>PI5P_202201_3.01_1.85Age81</t>
  </si>
  <si>
    <t>PIP_202201_3.97_2.21Age81</t>
  </si>
  <si>
    <t>PIP_202201_24_age81_21yr2</t>
  </si>
  <si>
    <t>PIPREM_202201_4.24_1.77Age81</t>
  </si>
  <si>
    <t>NYIA_202201_4.73_1.84Age81</t>
  </si>
  <si>
    <t>AG10_202201_1yr1_34yr2</t>
  </si>
  <si>
    <t>ADV7_202201_3</t>
  </si>
  <si>
    <t>ADV7_202201_1yr1</t>
  </si>
  <si>
    <t>NYIA_202201SSTest_3.75</t>
  </si>
  <si>
    <t>NYIA_202201SSTest_10yr2</t>
  </si>
  <si>
    <t>NYIA5_202201_3.67_1.67Age81</t>
  </si>
  <si>
    <t>GSIA_202201_5.9</t>
  </si>
  <si>
    <t>GSIA_202201_26.3yr2</t>
  </si>
  <si>
    <t>RN2022_Old</t>
  </si>
  <si>
    <t>RN2022_101_Old</t>
  </si>
  <si>
    <t>NYIAG_202201_4.675_1.50Age81</t>
  </si>
  <si>
    <t>NYIAG_202201_7.5_Age81_25yr2</t>
  </si>
  <si>
    <t>GSIA_SP4: 16bps = 2bps licensing fee for S&amp;P, + 5bps for Comfort trust expense, +4bps mainteance expense allowance, +5bps for assumed marketing allowance</t>
  </si>
  <si>
    <t>GSIA_AG4 for AG: 34bps = 10bps licensing fee for AG, + 5bps for Comfort trust expense, +4bps mainteance expense allowance, +15bps for assumed marketing allowance</t>
  </si>
  <si>
    <t>GSIA_AG4 for PB: 34bps = 17bps licensing fee for PB, + 5bps for Comfort trust expense, +4bps mainteance expense allowance, +8bps for assumed marketing allowance</t>
  </si>
  <si>
    <t>AP3_202404_2.13_202404_0.78Age81</t>
  </si>
  <si>
    <t>AP4_202404_2.38_0.68Age81</t>
  </si>
  <si>
    <t>EJ4_202404_1.50_0.50Age81</t>
  </si>
  <si>
    <t>EJ5&amp;7_202404_2.00_0.50Age81</t>
  </si>
  <si>
    <t>EJ10_202404_2.00_Age70</t>
  </si>
  <si>
    <t>HSBC3_202404_1.00_0.80Age81</t>
  </si>
  <si>
    <t>HSBC5_202404_2.50_2.50Age81</t>
  </si>
  <si>
    <t>WF_202404_2.00_1.00Age81</t>
  </si>
  <si>
    <t>SMYG5_202404_2.98_1.83Age76</t>
  </si>
  <si>
    <t>SMYG6_202404_3.43_1.53Age76</t>
  </si>
  <si>
    <t>SMYG7_202404_3.78_2.13Age76</t>
  </si>
  <si>
    <t>SMYG10_202404_3.43_1.93Age76</t>
  </si>
  <si>
    <t>VMYG4_202404_3.55_2.00Age76</t>
  </si>
  <si>
    <t>VMYG5_202404_3.6_2.00Age76</t>
  </si>
  <si>
    <t>VMYG6_202404_3.75_2.00Age76</t>
  </si>
  <si>
    <t>VMYG7_202404_4.65_2.20Age76</t>
  </si>
  <si>
    <t>VMYG10_202404_4.25_2.25Age76</t>
  </si>
  <si>
    <t>NAP5_202404_2.66_1.21Age81</t>
  </si>
  <si>
    <t>NAP7_202404_3.46_1.51Age81</t>
  </si>
  <si>
    <t>APA3_202404_1.00_0.65Age81</t>
  </si>
  <si>
    <t>APA5_202404_1.25_0.75Age81</t>
  </si>
  <si>
    <t>APA7_202404_1.50_0.90Age81</t>
  </si>
  <si>
    <t>PNC3_202404_2.00_1.00Age81</t>
  </si>
  <si>
    <t>PNC5_202404_3.00_1.25Age81</t>
  </si>
  <si>
    <t>PNC7_202404_3.50_1.50Age81</t>
  </si>
  <si>
    <t>PF5_202404_2.50_1.25Age81</t>
  </si>
  <si>
    <t>AE7_202404_3.40_3.40Age81</t>
  </si>
  <si>
    <t>AE7NY_202404_4.10_4.10Age81</t>
  </si>
  <si>
    <t>AE10IMO_202404_5.50_5.50Age81</t>
  </si>
  <si>
    <t>AE7NYIMO_202404_5.50_5.50Age81</t>
  </si>
  <si>
    <t>AE7ADV_202404_5.50_5.50Age81</t>
  </si>
  <si>
    <t>VAP4_202404_1.7_0.3Age81</t>
  </si>
  <si>
    <t>VAP7_202404_2.4_1.00Age81</t>
  </si>
  <si>
    <t>VALAE_202404_2.70_2.70Age81</t>
  </si>
  <si>
    <t>CPC3_202404_2.0_1.00Age81</t>
  </si>
  <si>
    <t>CPC4_202404_2.5_1.25Age81</t>
  </si>
  <si>
    <t>CPC5_202404_3.00_1.50Age81</t>
  </si>
  <si>
    <t>CPC7_202404_3.50_1.75Age81</t>
  </si>
  <si>
    <t>CPC10_202404_3.75_3.75Age81</t>
  </si>
  <si>
    <t>CPCP3_202404_USL_2.00_1.00Age81</t>
  </si>
  <si>
    <t>CPCP4_202404_USL_2.00_1.25Age81</t>
  </si>
  <si>
    <t>CPCP5_202404_USL_2.00_1.50Age81</t>
  </si>
  <si>
    <t>CPCP7_202404_USL_2.00_1.75Age81</t>
  </si>
  <si>
    <t>CPCF3_202404_USL_2.00_1.00Age81</t>
  </si>
  <si>
    <t>CPCF4_202404_USL_2.50_1.25Age81</t>
  </si>
  <si>
    <t>CPCF5_202404_USL_3.00_1.50Age81</t>
  </si>
  <si>
    <t>CPCF7_202404_USL_3.50_1.75Age81</t>
  </si>
  <si>
    <t>Chase_202404_1.75_0.88Age81</t>
  </si>
  <si>
    <t>PI5P_202404_2.46_2.16Age76_1.25Age81</t>
  </si>
  <si>
    <t>P5P_202404_4.42_2.57Age76_2.57Age81</t>
  </si>
  <si>
    <t>NYIA_202404_4.03_1.86Age81</t>
  </si>
  <si>
    <t>NYIAG_202404_4.68_1.50Age81</t>
  </si>
  <si>
    <t>Added</t>
  </si>
  <si>
    <t>NYIA5_202404_2.73_1.54Age81</t>
  </si>
  <si>
    <t>PIPREF_202404_4.05_3.39Age76_2.31Age81</t>
  </si>
  <si>
    <t>WF7_202404_3.10_1.75Age81</t>
  </si>
  <si>
    <t>PIP_202404_3.65_3.66Age76_1.55Age81</t>
  </si>
  <si>
    <t>P7P_202404_7.12_5.05Age81</t>
  </si>
  <si>
    <t>VALIC_2024_2.70_0.7Age81</t>
  </si>
  <si>
    <t>ADV7_202404_0.65</t>
  </si>
  <si>
    <t>PRIM7_202404_4.35_2.20Age81</t>
  </si>
  <si>
    <t>PS8_202404_7.85</t>
  </si>
  <si>
    <t>PRIM10_202404_5.80_3.70Age71</t>
  </si>
  <si>
    <t>AG10_202404_5.50</t>
  </si>
  <si>
    <t>P10P_202404_10.21</t>
  </si>
  <si>
    <t>PS_202404_10.60_6.80age76</t>
  </si>
  <si>
    <t>AP4_202404_yr5</t>
  </si>
  <si>
    <t>WNL1_202404_yr6</t>
  </si>
  <si>
    <t>WNL3_202404_yr6</t>
  </si>
  <si>
    <t>WNL4_202404_yr6</t>
  </si>
  <si>
    <t>WNL8_202404_yr8</t>
  </si>
  <si>
    <t>WNL9_202404_yr8</t>
  </si>
  <si>
    <t>WNL18_202404_yr8</t>
  </si>
  <si>
    <t>PNC3_202404_yr2</t>
  </si>
  <si>
    <t>PNC5_202404_yr2</t>
  </si>
  <si>
    <t>PNC7_202404_yr2</t>
  </si>
  <si>
    <t>WF5_202404_3.30_1.53Age81</t>
  </si>
  <si>
    <t>WF5_202404_25_age81_25yr2</t>
  </si>
  <si>
    <t>PI5P_202404_32_age76_3_Age81_25yr2</t>
  </si>
  <si>
    <t>P5P_202404_24_age76_50_age81_20yr2</t>
  </si>
  <si>
    <t>NYIA_202404_27_Age81_25yr2</t>
  </si>
  <si>
    <t>NYIAG_202404_8_Age81_25yr2</t>
  </si>
  <si>
    <t>NYIA5_202404_32_Age81_24yr2</t>
  </si>
  <si>
    <t>PIPREF_202404_40_age76_37_age81_48yr2</t>
  </si>
  <si>
    <t>WF7_202404_29_age81_15yr2</t>
  </si>
  <si>
    <t>PIP_202404_34_age76_9_age81_27yr2</t>
  </si>
  <si>
    <t>P7P_202404_4_age81_25yr2</t>
  </si>
  <si>
    <t>VALIC_2024_4_age81_17.5yr2</t>
  </si>
  <si>
    <t>ADV7_202404_1yr1</t>
  </si>
  <si>
    <t>PS8_202404_11yr2</t>
  </si>
  <si>
    <t>AG10_202404_2yr1_33yr2</t>
  </si>
  <si>
    <t>P10P_202404_7yr2</t>
  </si>
  <si>
    <t>PS_202404_7_Age76_45yr2</t>
  </si>
  <si>
    <t>APA3_202404_yr4</t>
  </si>
  <si>
    <t>APA5_202404_yr6</t>
  </si>
  <si>
    <t>APA7_202404_yr8</t>
  </si>
  <si>
    <t>AE7_202505</t>
  </si>
  <si>
    <t>AE7NY_202505</t>
  </si>
  <si>
    <t>AE10IMO_202505</t>
  </si>
  <si>
    <t>AE7NYIMO_202505</t>
  </si>
  <si>
    <t>VALAE_202505</t>
  </si>
  <si>
    <t>WNL2_202404_yr6</t>
  </si>
  <si>
    <t>WF4_202507_2.50_1.25Age81</t>
  </si>
  <si>
    <t>Chase_202404_Sens_2.75_1.88Age81</t>
  </si>
  <si>
    <t>Chase_202404_Sens_2.75_1.88Age82</t>
  </si>
  <si>
    <t>Chase_202404_Sens_2.75_1.88Age83</t>
  </si>
  <si>
    <t>Chase_202404_Sens_2.75_1.88Age84</t>
  </si>
  <si>
    <t>EJ4_202404_Sens_2.50_1.50Age81</t>
  </si>
  <si>
    <t>EJ4_202404_Sens_2.50_1.50Age82</t>
  </si>
  <si>
    <t>EJ4_202404_Sens_2.50_1.50Age83</t>
  </si>
  <si>
    <t>EJ4_202404_Sens_2.50_1.50Age84</t>
  </si>
  <si>
    <t>AE7_202404_Sens_4.40_4.40Age81</t>
  </si>
  <si>
    <t>AE7_202404_Sens_4.40_4.40Age82</t>
  </si>
  <si>
    <t>Chase_202404_2.75_1.88Age81</t>
  </si>
  <si>
    <t>EJ4_202404_2.50_1.50Age81</t>
  </si>
  <si>
    <t>AE7_202404_4.40_4.40Age81</t>
  </si>
  <si>
    <t>VALIC5_202404_1.93_0.70Age81</t>
  </si>
  <si>
    <t>ADV5_202404_0.65</t>
  </si>
  <si>
    <t>ADVMSG_202302_2.3</t>
  </si>
  <si>
    <t>PIPREM_202301_5_1.5Age81</t>
  </si>
  <si>
    <t>VALIC5_202404_17_Age81_18yr2</t>
  </si>
  <si>
    <t>PIPREM_202301_0_age81_25yr2</t>
  </si>
  <si>
    <t>ADV7_202301_1yr1</t>
  </si>
  <si>
    <t>WF5G_202507_3.00_1.50Age81</t>
  </si>
  <si>
    <t>WF5_202404_3.30_1.53Age81_MA</t>
  </si>
  <si>
    <t>WF7_202404_3.10_1.75Age81_MA</t>
  </si>
  <si>
    <t>P5P_202404_4.92_3.07Age76_3.07Age81</t>
  </si>
  <si>
    <t>7%3yr_NYIAG_ND1</t>
  </si>
  <si>
    <t>7%3yr_NYIAG_EF1</t>
  </si>
  <si>
    <t>7%3yr_NYIAG_SP1</t>
  </si>
  <si>
    <t>7%3yr_NYG_ND1</t>
  </si>
  <si>
    <t>7%3yr_NYG_EF1</t>
  </si>
  <si>
    <t>DFA_2022</t>
  </si>
  <si>
    <t>AP3_202504_2.08_202404_0.83Age81</t>
  </si>
  <si>
    <t>AP4_202504_2.43_0.68Age81</t>
  </si>
  <si>
    <t>HSBC3_202504_1.00_0.50Age81</t>
  </si>
  <si>
    <t>WF5G_202507_3.00_1.55Age81</t>
  </si>
  <si>
    <t>NAP5_202504_2.66_1.26Age81</t>
  </si>
  <si>
    <t>NAP7_202504_3.41_1.61Age81</t>
  </si>
  <si>
    <t>PNC3_202504_3.00_1.25Age81</t>
  </si>
  <si>
    <t>PNC7_202504_3.50_1.50Age81</t>
  </si>
  <si>
    <t>PF5_202504_2.50_1.25Age81</t>
  </si>
  <si>
    <t>AE7NY_202507</t>
  </si>
  <si>
    <t>AE10IMO_202507</t>
  </si>
  <si>
    <t>PI5P_202501_2.57_2.10Age76_1.24Age81</t>
  </si>
  <si>
    <t>P5P_202501_5.33_2.76Age76_2.72Age81</t>
  </si>
  <si>
    <t>NYIA_202501_4.14_1.85Age81</t>
  </si>
  <si>
    <t>NYIAG_202501_4.68_1.50Age81</t>
  </si>
  <si>
    <t>NYIA5_202501_2.62_1.53Age81</t>
  </si>
  <si>
    <t>PIPREF_202501_4.15_3.48Age76_2.63Age81</t>
  </si>
  <si>
    <t>PIP_202501_3.47_3.56Age76_1.52Age81</t>
  </si>
  <si>
    <t>P7P_202501_7.10_5.20Age81</t>
  </si>
  <si>
    <t>VALIC_2025_2.83_0.7Age81</t>
  </si>
  <si>
    <t>VALIC5_202501_2.34_0.70Age81</t>
  </si>
  <si>
    <t>ADV7_202501_0.65</t>
  </si>
  <si>
    <t>PRIM7_202501_4.15_2.00Age81</t>
  </si>
  <si>
    <t>PS8_202501_8.17</t>
  </si>
  <si>
    <t>PRIM10_202501_5.60_3.50Age71</t>
  </si>
  <si>
    <t>AG10_202501_5.15</t>
  </si>
  <si>
    <t>P10P_202501_10.39</t>
  </si>
  <si>
    <t>PS_202501_10.70_6.90age76</t>
  </si>
  <si>
    <t>PI5P_202501_29_age76_5_Age81_25yr2</t>
  </si>
  <si>
    <t>P5P_202501_9_age76_48_age81_20yr2</t>
  </si>
  <si>
    <t>NYIA_202501_24_Age81_25yr2</t>
  </si>
  <si>
    <t>NYIAG_202501_8_Age81_25yr2</t>
  </si>
  <si>
    <t>NYIA5_202501_34_Age81_24yr2</t>
  </si>
  <si>
    <t>PIPREF_202501_41_age76_39_age81_40yr2</t>
  </si>
  <si>
    <t>PIP_202501_34_age76_7_age81_24yr2</t>
  </si>
  <si>
    <t>P7P_202501_7_age81_25yr2</t>
  </si>
  <si>
    <t>VALIC_2025_3_age81_18yr2</t>
  </si>
  <si>
    <t>VALIC5_202501_7_Age81_18yr2</t>
  </si>
  <si>
    <t>ADV7_202501_1yr1</t>
  </si>
  <si>
    <t>PS8_202501_8yr2</t>
  </si>
  <si>
    <t>AG10_202501_2yr1_36yr2</t>
  </si>
  <si>
    <t>GSIA_202501_26yr2</t>
  </si>
  <si>
    <t>P10P_202501_6yr2</t>
  </si>
  <si>
    <t>PS_202501_8_Age76_47yr2</t>
  </si>
  <si>
    <t>ADV5_202501_0.65</t>
  </si>
  <si>
    <t>VALAE_202507</t>
  </si>
  <si>
    <t>WF5_202404_3.30_1.39Age81_MA</t>
  </si>
  <si>
    <t>WF7_202404_3.09_1.75Age81_MA</t>
  </si>
  <si>
    <t>AE7NY_202504_4.00_4.00Age81</t>
  </si>
  <si>
    <t>AE10IMO_202504_5.70_5.70Age81</t>
  </si>
  <si>
    <t>AEP7_202404_3.30_3.30Age81</t>
  </si>
  <si>
    <t>AEADV_202504_.075_.075Age81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</si>
</sst>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%"/>
  </numFmts>
  <fonts count="3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0"/>
      <color rgb="FF002060"/>
      <name val="Arial"/>
      <family val="2"/>
    </font>
    <font>
      <b/>
      <sz val="10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2">
    <xf numFmtId="0" fontId="0" fillId="0" borderId="0"/>
    <xf numFmtId="0" fontId="3" fillId="3" borderId="0">
      <alignment horizontal="left" vertical="top" wrapText="1"/>
    </xf>
    <xf numFmtId="0" fontId="3" fillId="3" borderId="0">
      <alignment horizontal="left" vertical="top" wrapText="1"/>
    </xf>
    <xf numFmtId="0" fontId="4" fillId="4" borderId="0">
      <alignment horizontal="left" vertical="top" wrapText="1"/>
    </xf>
    <xf numFmtId="0" fontId="5" fillId="4" borderId="0">
      <alignment horizontal="left" vertical="top" wrapText="1"/>
    </xf>
    <xf numFmtId="0" fontId="4" fillId="4" borderId="0">
      <alignment horizontal="left" vertical="top" wrapText="1"/>
    </xf>
    <xf numFmtId="0" fontId="6" fillId="4" borderId="0">
      <alignment horizontal="left" vertical="top" wrapText="1"/>
    </xf>
    <xf numFmtId="0" fontId="6" fillId="4" borderId="0">
      <alignment horizontal="left" vertical="top" wrapText="1"/>
    </xf>
    <xf numFmtId="0" fontId="6" fillId="4" borderId="0">
      <alignment horizontal="left" vertical="top" wrapText="1"/>
    </xf>
    <xf numFmtId="0" fontId="6" fillId="4" borderId="0">
      <alignment horizontal="left" vertical="top" wrapText="1"/>
    </xf>
    <xf numFmtId="0" fontId="6" fillId="4" borderId="0">
      <alignment horizontal="left" vertical="top" wrapText="1"/>
    </xf>
    <xf numFmtId="0" fontId="7" fillId="4" borderId="0">
      <alignment horizontal="left" vertical="top" wrapText="1"/>
    </xf>
    <xf numFmtId="0" fontId="6" fillId="4" borderId="0">
      <alignment horizontal="left" vertical="top" wrapText="1"/>
    </xf>
    <xf numFmtId="0" fontId="4" fillId="4" borderId="0">
      <alignment horizontal="right" vertical="top" wrapText="1"/>
    </xf>
    <xf numFmtId="0" fontId="4" fillId="4" borderId="0">
      <alignment horizontal="left" vertical="top" wrapText="1"/>
    </xf>
    <xf numFmtId="0" fontId="5" fillId="4" borderId="0">
      <alignment horizontal="left" vertical="top" wrapText="1"/>
    </xf>
    <xf numFmtId="0" fontId="8" fillId="0" borderId="0" applyNumberFormat="0" applyFill="0" applyBorder="0" applyAlignment="0" applyProtection="0"/>
    <xf numFmtId="0" fontId="5" fillId="5" borderId="0">
      <alignment horizontal="left" vertical="top" wrapText="1"/>
    </xf>
    <xf numFmtId="0" fontId="6" fillId="4" borderId="0">
      <alignment horizontal="left" vertical="top" wrapText="1"/>
    </xf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10" borderId="9" applyNumberFormat="0" applyAlignment="0" applyProtection="0"/>
    <xf numFmtId="0" fontId="23" fillId="11" borderId="10" applyNumberFormat="0" applyAlignment="0" applyProtection="0"/>
    <xf numFmtId="0" fontId="24" fillId="11" borderId="9" applyNumberFormat="0" applyAlignment="0" applyProtection="0"/>
    <xf numFmtId="0" fontId="25" fillId="0" borderId="11" applyNumberFormat="0" applyFill="0" applyAlignment="0" applyProtection="0"/>
    <xf numFmtId="0" fontId="26" fillId="12" borderId="12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14" applyNumberFormat="0" applyFill="0" applyAlignment="0" applyProtection="0"/>
    <xf numFmtId="0" fontId="3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0" fillId="29" borderId="0" applyNumberFormat="0" applyBorder="0" applyAlignment="0" applyProtection="0"/>
    <xf numFmtId="0" fontId="3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30" fillId="37" borderId="0" applyNumberFormat="0" applyBorder="0" applyAlignment="0" applyProtection="0"/>
    <xf numFmtId="0" fontId="1" fillId="0" borderId="0"/>
    <xf numFmtId="0" fontId="1" fillId="13" borderId="13" applyNumberFormat="0" applyFont="0" applyAlignment="0" applyProtection="0"/>
    <xf numFmtId="9" fontId="32" fillId="0" borderId="0" applyFont="0" applyFill="0" applyBorder="0" applyAlignment="0" applyProtection="0"/>
  </cellStyleXfs>
  <cellXfs count="8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11" fillId="0" borderId="0" xfId="0" applyFont="1" applyBorder="1" applyAlignment="1">
      <alignment horizontal="left" vertical="top"/>
    </xf>
    <xf numFmtId="0" fontId="8" fillId="0" borderId="0" xfId="16" applyFill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14" fontId="0" fillId="0" borderId="1" xfId="0" quotePrefix="1" applyNumberFormat="1" applyBorder="1" applyAlignment="1">
      <alignment horizontal="center" vertical="top" wrapText="1"/>
    </xf>
    <xf numFmtId="0" fontId="8" fillId="0" borderId="0" xfId="16" applyAlignment="1">
      <alignment horizontal="left" vertical="top"/>
    </xf>
    <xf numFmtId="0" fontId="14" fillId="0" borderId="0" xfId="0" applyFont="1"/>
    <xf numFmtId="0" fontId="10" fillId="0" borderId="0" xfId="0" applyFont="1" applyAlignment="1"/>
    <xf numFmtId="0" fontId="10" fillId="0" borderId="0" xfId="0" applyFont="1" applyAlignment="1">
      <alignment horizontal="centerContinuous" vertical="center"/>
    </xf>
    <xf numFmtId="0" fontId="2" fillId="6" borderId="0" xfId="0" applyFont="1" applyFill="1" applyBorder="1" applyAlignment="1">
      <alignment horizontal="left" vertical="top"/>
    </xf>
    <xf numFmtId="0" fontId="11" fillId="0" borderId="0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3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6" borderId="2" xfId="0" applyFont="1" applyFill="1" applyBorder="1" applyAlignment="1">
      <alignment horizontal="center" vertical="top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/>
    </xf>
    <xf numFmtId="0" fontId="31" fillId="6" borderId="4" xfId="0" applyFont="1" applyFill="1" applyBorder="1" applyAlignment="1">
      <alignment horizontal="center" vertical="center" wrapText="1"/>
    </xf>
    <xf numFmtId="10" fontId="9" fillId="0" borderId="0" xfId="0" applyNumberFormat="1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13" fillId="6" borderId="0" xfId="0" applyFont="1" applyFill="1" applyBorder="1" applyAlignment="1">
      <alignment horizontal="left" vertical="top"/>
    </xf>
    <xf numFmtId="0" fontId="13" fillId="6" borderId="3" xfId="0" applyFont="1" applyFill="1" applyBorder="1" applyAlignment="1">
      <alignment horizontal="center" vertical="top"/>
    </xf>
    <xf numFmtId="0" fontId="9" fillId="0" borderId="0" xfId="0" applyFont="1"/>
    <xf numFmtId="0" fontId="2" fillId="6" borderId="0" xfId="0" applyFont="1" applyFill="1" applyBorder="1" applyAlignment="1">
      <alignment horizontal="center" vertical="top"/>
    </xf>
    <xf numFmtId="10" fontId="9" fillId="0" borderId="0" xfId="61" applyNumberFormat="1" applyFont="1" applyFill="1" applyBorder="1" applyAlignment="1">
      <alignment horizontal="right"/>
    </xf>
    <xf numFmtId="0" fontId="13" fillId="6" borderId="0" xfId="0" applyFont="1" applyFill="1" applyBorder="1" applyAlignment="1">
      <alignment horizontal="center" vertical="top"/>
    </xf>
    <xf numFmtId="0" fontId="31" fillId="6" borderId="0" xfId="0" applyFont="1" applyFill="1" applyBorder="1" applyAlignment="1">
      <alignment horizontal="center" vertical="center" wrapText="1"/>
    </xf>
    <xf numFmtId="10" fontId="9" fillId="0" borderId="0" xfId="61" applyNumberFormat="1" applyFont="1" applyFill="1" applyBorder="1" applyAlignment="1">
      <alignment horizontal="center"/>
    </xf>
    <xf numFmtId="0" fontId="9" fillId="38" borderId="0" xfId="0" applyFont="1" applyFill="1" applyAlignment="1">
      <alignment horizontal="center" vertical="center" wrapText="1"/>
    </xf>
    <xf numFmtId="0" fontId="33" fillId="6" borderId="0" xfId="0" applyFont="1" applyFill="1" applyAlignment="1">
      <alignment horizontal="center" vertical="center" wrapText="1"/>
    </xf>
    <xf numFmtId="0" fontId="34" fillId="6" borderId="4" xfId="0" applyFont="1" applyFill="1" applyBorder="1" applyAlignment="1">
      <alignment horizontal="center" vertical="center" wrapText="1"/>
    </xf>
    <xf numFmtId="10" fontId="33" fillId="0" borderId="0" xfId="0" applyNumberFormat="1" applyFont="1" applyFill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9" fillId="39" borderId="0" xfId="0" applyFont="1" applyFill="1" applyAlignment="1">
      <alignment horizontal="center" vertical="center" wrapText="1"/>
    </xf>
    <xf numFmtId="164" fontId="9" fillId="0" borderId="0" xfId="0" applyNumberFormat="1" applyFont="1" applyFill="1" applyAlignment="1">
      <alignment horizontal="center" vertical="center" wrapText="1"/>
    </xf>
    <xf numFmtId="0" fontId="31" fillId="6" borderId="0" xfId="0" applyFont="1" applyFill="1" applyAlignment="1">
      <alignment horizontal="center"/>
    </xf>
    <xf numFmtId="164" fontId="9" fillId="0" borderId="0" xfId="61" applyNumberFormat="1" applyFont="1" applyFill="1" applyBorder="1" applyAlignment="1">
      <alignment horizontal="center"/>
    </xf>
    <xf numFmtId="0" fontId="13" fillId="6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10" fontId="9" fillId="40" borderId="0" xfId="61" applyNumberFormat="1" applyFont="1" applyFill="1" applyBorder="1" applyAlignment="1">
      <alignment horizontal="center"/>
    </xf>
    <xf numFmtId="0" fontId="33" fillId="41" borderId="0" xfId="0" applyFont="1" applyFill="1" applyAlignment="1">
      <alignment horizontal="center" vertical="center" wrapText="1"/>
    </xf>
    <xf numFmtId="0" fontId="9" fillId="41" borderId="0" xfId="0" applyFont="1" applyFill="1" applyAlignment="1">
      <alignment horizontal="center" vertical="center" wrapText="1"/>
    </xf>
    <xf numFmtId="165" fontId="9" fillId="0" borderId="0" xfId="61" applyNumberFormat="1" applyFont="1" applyFill="1" applyBorder="1" applyAlignment="1">
      <alignment horizontal="center"/>
    </xf>
    <xf numFmtId="165" fontId="9" fillId="0" borderId="0" xfId="0" applyNumberFormat="1" applyFont="1" applyFill="1" applyAlignment="1">
      <alignment horizontal="center" vertical="center" wrapText="1"/>
    </xf>
    <xf numFmtId="0" fontId="9" fillId="42" borderId="0" xfId="0" applyFont="1" applyFill="1" applyAlignment="1">
      <alignment horizontal="center" vertical="center" wrapText="1"/>
    </xf>
    <xf numFmtId="0" fontId="33" fillId="42" borderId="0" xfId="0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10" fontId="9" fillId="38" borderId="0" xfId="0" applyNumberFormat="1" applyFont="1" applyFill="1" applyAlignment="1">
      <alignment horizontal="center" vertical="center" wrapText="1"/>
    </xf>
    <xf numFmtId="0" fontId="31" fillId="38" borderId="4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0" fontId="9" fillId="38" borderId="0" xfId="61" applyNumberFormat="1" applyFont="1" applyFill="1" applyAlignment="1">
      <alignment horizontal="center" vertical="center" wrapText="1"/>
    </xf>
    <xf numFmtId="0" fontId="33" fillId="38" borderId="0" xfId="0" applyFont="1" applyFill="1" applyAlignment="1">
      <alignment horizontal="center" vertical="center" wrapText="1"/>
    </xf>
    <xf numFmtId="0" fontId="0" fillId="38" borderId="5" xfId="0" applyFill="1" applyBorder="1" applyAlignment="1">
      <alignment horizontal="center" vertical="center" wrapText="1"/>
    </xf>
    <xf numFmtId="10" fontId="33" fillId="38" borderId="0" xfId="61" applyNumberFormat="1" applyFont="1" applyFill="1" applyAlignment="1">
      <alignment horizontal="center" vertical="center" wrapText="1"/>
    </xf>
    <xf numFmtId="164" fontId="9" fillId="38" borderId="0" xfId="0" applyNumberFormat="1" applyFont="1" applyFill="1" applyAlignment="1">
      <alignment horizontal="center" vertical="center" wrapText="1"/>
    </xf>
    <xf numFmtId="165" fontId="9" fillId="38" borderId="0" xfId="0" applyNumberFormat="1" applyFont="1" applyFill="1" applyAlignment="1">
      <alignment horizontal="center" vertical="center" wrapText="1"/>
    </xf>
    <xf numFmtId="10" fontId="33" fillId="38" borderId="0" xfId="0" applyNumberFormat="1" applyFont="1" applyFill="1" applyAlignment="1">
      <alignment horizontal="center" vertical="center" wrapText="1"/>
    </xf>
    <xf numFmtId="0" fontId="0" fillId="38" borderId="0" xfId="0" applyFill="1" applyAlignment="1">
      <alignment horizontal="center"/>
    </xf>
    <xf numFmtId="10" fontId="9" fillId="0" borderId="0" xfId="0" applyNumberFormat="1" applyFont="1" applyAlignment="1">
      <alignment horizontal="center" vertical="center" wrapText="1"/>
    </xf>
    <xf numFmtId="0" fontId="0" fillId="0" borderId="0" xfId="0" applyFill="1" applyAlignment="1">
      <alignment horizontal="center"/>
    </xf>
    <xf numFmtId="164" fontId="0" fillId="38" borderId="0" xfId="0" applyNumberFormat="1" applyFill="1" applyAlignment="1">
      <alignment horizontal="center" vertical="center" wrapText="1"/>
    </xf>
    <xf numFmtId="10" fontId="9" fillId="40" borderId="0" xfId="0" applyNumberFormat="1" applyFont="1" applyFill="1" applyAlignment="1">
      <alignment horizontal="center" vertical="center" wrapText="1"/>
    </xf>
    <xf numFmtId="0" fontId="9" fillId="40" borderId="0" xfId="0" applyFont="1" applyFill="1" applyAlignment="1">
      <alignment horizontal="center" vertical="center" wrapText="1"/>
    </xf>
    <xf numFmtId="0" fontId="33" fillId="40" borderId="0" xfId="0" applyFont="1" applyFill="1" applyAlignment="1">
      <alignment horizontal="left" vertical="center" wrapText="1"/>
    </xf>
    <xf numFmtId="0" fontId="33" fillId="40" borderId="0" xfId="0" applyFont="1" applyFill="1" applyAlignment="1">
      <alignment horizontal="center" vertical="center" wrapText="1"/>
    </xf>
    <xf numFmtId="10" fontId="33" fillId="0" borderId="0" xfId="61" applyNumberFormat="1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Fill="1" applyAlignment="1">
      <alignment horizontal="center" vertical="center" wrapText="1"/>
    </xf>
    <xf numFmtId="10" fontId="9" fillId="0" borderId="0" xfId="61" applyNumberFormat="1" applyFont="1" applyFill="1" applyAlignment="1">
      <alignment horizontal="center" vertical="center" wrapText="1"/>
    </xf>
  </cellXfs>
  <cellStyles count="62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5" builtinId="27" customBuiltin="1"/>
    <cellStyle name="BodyStyle00" xfId="1" xr:uid="{00000000-0005-0000-0000-000019000000}"/>
    <cellStyle name="BodyStyle01" xfId="2" xr:uid="{00000000-0005-0000-0000-00001A000000}"/>
    <cellStyle name="BodyStyle010" xfId="13" xr:uid="{00000000-0005-0000-0000-00001B000000}"/>
    <cellStyle name="BodyStyle011_aa_1" xfId="3" xr:uid="{00000000-0005-0000-0000-00001C000000}"/>
    <cellStyle name="BodyStyle014_aa" xfId="4" xr:uid="{00000000-0005-0000-0000-00001D000000}"/>
    <cellStyle name="BodyStyle015_aa" xfId="5" xr:uid="{00000000-0005-0000-0000-00001E000000}"/>
    <cellStyle name="BodyStyle02_aa" xfId="6" xr:uid="{00000000-0005-0000-0000-00001F000000}"/>
    <cellStyle name="BodyStyle03_aa" xfId="7" xr:uid="{00000000-0005-0000-0000-000020000000}"/>
    <cellStyle name="BodyStyle04" xfId="14" xr:uid="{00000000-0005-0000-0000-000021000000}"/>
    <cellStyle name="BodyStyle05" xfId="17" xr:uid="{00000000-0005-0000-0000-000022000000}"/>
    <cellStyle name="BodyStyle06" xfId="8" xr:uid="{00000000-0005-0000-0000-000023000000}"/>
    <cellStyle name="BodyStyle06 2" xfId="9" xr:uid="{00000000-0005-0000-0000-000024000000}"/>
    <cellStyle name="BodyStyle06 3" xfId="10" xr:uid="{00000000-0005-0000-0000-000025000000}"/>
    <cellStyle name="BodyStyle06 4" xfId="11" xr:uid="{00000000-0005-0000-0000-000026000000}"/>
    <cellStyle name="BodyStyle06 4 2" xfId="12" xr:uid="{00000000-0005-0000-0000-000027000000}"/>
    <cellStyle name="BodyStyle07" xfId="15" xr:uid="{00000000-0005-0000-0000-000028000000}"/>
    <cellStyle name="BodyStyle08" xfId="18" xr:uid="{00000000-0005-0000-0000-000029000000}"/>
    <cellStyle name="Calculation" xfId="29" builtinId="22" customBuiltin="1"/>
    <cellStyle name="Check Cell" xfId="31" builtinId="23" customBuiltin="1"/>
    <cellStyle name="Explanatory Text" xfId="33" builtinId="53" customBuiltin="1"/>
    <cellStyle name="Good" xfId="24" builtinId="26" customBuiltin="1"/>
    <cellStyle name="Heading 1" xfId="20" builtinId="16" customBuiltin="1"/>
    <cellStyle name="Heading 2" xfId="21" builtinId="17" customBuiltin="1"/>
    <cellStyle name="Heading 3" xfId="22" builtinId="18" customBuiltin="1"/>
    <cellStyle name="Heading 4" xfId="23" builtinId="19" customBuiltin="1"/>
    <cellStyle name="Hyperlink" xfId="16" builtinId="8"/>
    <cellStyle name="Input" xfId="27" builtinId="20" customBuiltin="1"/>
    <cellStyle name="Linked Cell" xfId="30" builtinId="24" customBuiltin="1"/>
    <cellStyle name="Neutral" xfId="26" builtinId="28" customBuiltin="1"/>
    <cellStyle name="Normal" xfId="0" builtinId="0"/>
    <cellStyle name="Normal 2" xfId="59" xr:uid="{00000000-0005-0000-0000-000037000000}"/>
    <cellStyle name="Note 2" xfId="60" xr:uid="{00000000-0005-0000-0000-000038000000}"/>
    <cellStyle name="Output" xfId="28" builtinId="21" customBuiltin="1"/>
    <cellStyle name="Percent" xfId="61" builtinId="5"/>
    <cellStyle name="Title" xfId="19" builtinId="15" customBuiltin="1"/>
    <cellStyle name="Total" xfId="34" builtinId="25" customBuiltin="1"/>
    <cellStyle name="Warning Text" xfId="32" builtinId="11" customBuiltin="1"/>
  </cellStyles>
  <dxfs count="0"/>
  <tableStyles count="0" defaultTableStyle="TableStyleMedium2" defaultPivotStyle="PivotStyleLight16"/>
  <colors>
    <mruColors>
      <color rgb="FFA6A6A6"/>
      <color rgb="FF0000FF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>
      <selection activeCell="D3" sqref="D3"/>
    </sheetView>
  </sheetViews>
  <sheetFormatPr defaultColWidth="9.140625" defaultRowHeight="12.75" x14ac:dyDescent="0.2"/>
  <cols>
    <col min="1" max="1" width="3.7109375" style="9" customWidth="1"/>
    <col min="2" max="3" width="26" style="10" customWidth="1"/>
    <col min="4" max="4" width="100" style="11" customWidth="1"/>
    <col min="5" max="16384" width="9.140625" style="8"/>
  </cols>
  <sheetData>
    <row r="1" spans="1:4" x14ac:dyDescent="0.2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2">
      <c r="A2" s="6">
        <v>1</v>
      </c>
      <c r="B2" s="4">
        <v>43529</v>
      </c>
      <c r="C2" s="4" t="s">
        <v>55</v>
      </c>
      <c r="D2" s="5" t="s">
        <v>56</v>
      </c>
    </row>
    <row r="3" spans="1:4" x14ac:dyDescent="0.2">
      <c r="A3" s="6"/>
      <c r="B3" s="16"/>
      <c r="C3" s="4"/>
      <c r="D3" s="5"/>
    </row>
    <row r="4" spans="1:4" x14ac:dyDescent="0.2">
      <c r="A4" s="6"/>
      <c r="B4" s="16"/>
      <c r="C4" s="4"/>
      <c r="D4" s="5"/>
    </row>
    <row r="5" spans="1:4" x14ac:dyDescent="0.2">
      <c r="A5" s="6"/>
      <c r="B5" s="16"/>
      <c r="C5" s="7"/>
      <c r="D5" s="5"/>
    </row>
    <row r="6" spans="1:4" x14ac:dyDescent="0.2">
      <c r="A6" s="6"/>
      <c r="B6" s="16"/>
      <c r="C6" s="7"/>
      <c r="D6" s="5"/>
    </row>
    <row r="7" spans="1:4" x14ac:dyDescent="0.2">
      <c r="A7" s="6"/>
      <c r="B7" s="7"/>
      <c r="C7" s="7"/>
      <c r="D7" s="5"/>
    </row>
    <row r="8" spans="1:4" x14ac:dyDescent="0.2">
      <c r="A8" s="6"/>
      <c r="B8" s="7"/>
      <c r="C8" s="7"/>
      <c r="D8" s="5"/>
    </row>
    <row r="9" spans="1:4" x14ac:dyDescent="0.2">
      <c r="A9" s="6"/>
      <c r="B9" s="7"/>
      <c r="C9" s="7"/>
      <c r="D9" s="5"/>
    </row>
    <row r="10" spans="1:4" x14ac:dyDescent="0.2">
      <c r="A10" s="6"/>
      <c r="B10" s="7"/>
      <c r="C10" s="7"/>
      <c r="D10" s="5"/>
    </row>
    <row r="11" spans="1:4" x14ac:dyDescent="0.2">
      <c r="A11" s="6"/>
      <c r="B11" s="7"/>
      <c r="C11" s="7"/>
      <c r="D11" s="5"/>
    </row>
    <row r="12" spans="1:4" x14ac:dyDescent="0.2">
      <c r="A12" s="6"/>
      <c r="B12" s="7"/>
      <c r="C12" s="7"/>
      <c r="D12" s="5"/>
    </row>
    <row r="13" spans="1:4" x14ac:dyDescent="0.2">
      <c r="A13" s="6"/>
      <c r="B13" s="7"/>
      <c r="C13" s="7"/>
      <c r="D13" s="5"/>
    </row>
    <row r="14" spans="1:4" x14ac:dyDescent="0.2">
      <c r="A14" s="6"/>
      <c r="B14" s="7"/>
      <c r="C14" s="7"/>
      <c r="D14" s="5"/>
    </row>
    <row r="15" spans="1:4" x14ac:dyDescent="0.2">
      <c r="A15" s="6"/>
      <c r="B15" s="7"/>
      <c r="C15" s="7"/>
      <c r="D15" s="5"/>
    </row>
    <row r="16" spans="1:4" x14ac:dyDescent="0.2">
      <c r="A16" s="6"/>
      <c r="B16" s="7"/>
      <c r="C16" s="7"/>
      <c r="D16" s="5"/>
    </row>
    <row r="17" spans="1:4" x14ac:dyDescent="0.2">
      <c r="A17" s="6"/>
      <c r="B17" s="7"/>
      <c r="C17" s="7"/>
      <c r="D17" s="5"/>
    </row>
    <row r="18" spans="1:4" x14ac:dyDescent="0.2">
      <c r="A18" s="6"/>
      <c r="B18" s="7"/>
      <c r="C18" s="7"/>
      <c r="D18" s="5"/>
    </row>
    <row r="19" spans="1:4" x14ac:dyDescent="0.2">
      <c r="A19" s="6"/>
      <c r="B19" s="7"/>
      <c r="C19" s="7"/>
      <c r="D19" s="5"/>
    </row>
    <row r="20" spans="1:4" x14ac:dyDescent="0.2">
      <c r="A20" s="6"/>
      <c r="B20" s="7"/>
      <c r="C20" s="7"/>
      <c r="D20" s="5"/>
    </row>
    <row r="21" spans="1:4" x14ac:dyDescent="0.2">
      <c r="A21" s="6"/>
      <c r="B21" s="7"/>
      <c r="C21" s="7"/>
      <c r="D21" s="5"/>
    </row>
    <row r="22" spans="1:4" x14ac:dyDescent="0.2">
      <c r="A22" s="6"/>
      <c r="B22" s="7"/>
      <c r="C22" s="7"/>
      <c r="D22" s="5"/>
    </row>
    <row r="23" spans="1:4" x14ac:dyDescent="0.2">
      <c r="A23" s="6"/>
      <c r="B23" s="7"/>
      <c r="C23" s="7"/>
      <c r="D23" s="5"/>
    </row>
    <row r="24" spans="1:4" x14ac:dyDescent="0.2">
      <c r="A24" s="6"/>
      <c r="B24" s="7"/>
      <c r="C24" s="7"/>
      <c r="D24" s="5"/>
    </row>
    <row r="25" spans="1:4" x14ac:dyDescent="0.2">
      <c r="A25" s="6"/>
      <c r="B25" s="7"/>
      <c r="C25" s="7"/>
      <c r="D25" s="5"/>
    </row>
    <row r="26" spans="1:4" x14ac:dyDescent="0.2">
      <c r="A26" s="6"/>
      <c r="B26" s="7"/>
      <c r="C26" s="7"/>
      <c r="D26" s="5"/>
    </row>
    <row r="27" spans="1:4" x14ac:dyDescent="0.2">
      <c r="A27" s="6"/>
      <c r="B27" s="7"/>
      <c r="C27" s="7"/>
      <c r="D27" s="5"/>
    </row>
    <row r="28" spans="1:4" x14ac:dyDescent="0.2">
      <c r="A28" s="6"/>
      <c r="B28" s="7"/>
      <c r="C28" s="7"/>
      <c r="D28" s="5"/>
    </row>
    <row r="29" spans="1:4" x14ac:dyDescent="0.2">
      <c r="A29" s="6"/>
      <c r="B29" s="7"/>
      <c r="C29" s="7"/>
      <c r="D29" s="5"/>
    </row>
    <row r="30" spans="1:4" x14ac:dyDescent="0.2">
      <c r="A30" s="6"/>
      <c r="B30" s="7"/>
      <c r="C30" s="7"/>
      <c r="D30" s="5"/>
    </row>
    <row r="31" spans="1:4" x14ac:dyDescent="0.2">
      <c r="A31" s="6"/>
      <c r="B31" s="7"/>
      <c r="C31" s="7"/>
      <c r="D31" s="5"/>
    </row>
    <row r="32" spans="1:4" x14ac:dyDescent="0.2">
      <c r="A32" s="6"/>
      <c r="B32" s="7"/>
      <c r="C32" s="7"/>
      <c r="D32" s="5"/>
    </row>
    <row r="33" spans="1:4" x14ac:dyDescent="0.2">
      <c r="A33" s="6"/>
      <c r="B33" s="7"/>
      <c r="C33" s="7"/>
      <c r="D33" s="5"/>
    </row>
    <row r="34" spans="1:4" x14ac:dyDescent="0.2">
      <c r="A34" s="6"/>
      <c r="B34" s="7"/>
      <c r="C34" s="7"/>
      <c r="D34" s="5"/>
    </row>
    <row r="35" spans="1:4" x14ac:dyDescent="0.2">
      <c r="A35" s="6"/>
      <c r="B35" s="7"/>
      <c r="C35" s="7"/>
      <c r="D35" s="5"/>
    </row>
    <row r="36" spans="1:4" x14ac:dyDescent="0.2">
      <c r="A36" s="6"/>
      <c r="B36" s="7"/>
      <c r="C36" s="7"/>
      <c r="D36" s="5"/>
    </row>
    <row r="37" spans="1:4" x14ac:dyDescent="0.2">
      <c r="A37" s="6"/>
      <c r="B37" s="7"/>
      <c r="C37" s="7"/>
      <c r="D37" s="5"/>
    </row>
    <row r="38" spans="1:4" x14ac:dyDescent="0.2">
      <c r="A38" s="6"/>
      <c r="B38" s="7"/>
      <c r="C38" s="7"/>
      <c r="D38" s="5"/>
    </row>
    <row r="39" spans="1:4" x14ac:dyDescent="0.2">
      <c r="A39" s="6"/>
      <c r="B39" s="7"/>
      <c r="C39" s="7"/>
      <c r="D39" s="5"/>
    </row>
    <row r="40" spans="1:4" x14ac:dyDescent="0.2">
      <c r="A40" s="6"/>
      <c r="B40" s="7"/>
      <c r="C40" s="7"/>
      <c r="D40" s="5"/>
    </row>
    <row r="41" spans="1:4" x14ac:dyDescent="0.2">
      <c r="A41" s="6"/>
      <c r="B41" s="7"/>
      <c r="C41" s="7"/>
      <c r="D41" s="5"/>
    </row>
    <row r="42" spans="1:4" x14ac:dyDescent="0.2">
      <c r="A42" s="6"/>
      <c r="B42" s="7"/>
      <c r="C42" s="7"/>
      <c r="D42" s="5"/>
    </row>
    <row r="43" spans="1:4" x14ac:dyDescent="0.2">
      <c r="A43" s="6"/>
      <c r="B43" s="7"/>
      <c r="C43" s="7"/>
      <c r="D43" s="5"/>
    </row>
    <row r="44" spans="1:4" x14ac:dyDescent="0.2">
      <c r="A44" s="6"/>
      <c r="B44" s="7"/>
      <c r="C44" s="7"/>
      <c r="D44" s="5"/>
    </row>
    <row r="45" spans="1:4" x14ac:dyDescent="0.2">
      <c r="A45" s="6"/>
      <c r="B45" s="7"/>
      <c r="C45" s="7"/>
      <c r="D45" s="5"/>
    </row>
    <row r="46" spans="1:4" x14ac:dyDescent="0.2">
      <c r="A46" s="6"/>
      <c r="B46" s="7"/>
      <c r="C46" s="7"/>
      <c r="D46" s="5"/>
    </row>
    <row r="47" spans="1:4" x14ac:dyDescent="0.2">
      <c r="A47" s="6"/>
      <c r="B47" s="7"/>
      <c r="C47" s="7"/>
      <c r="D47" s="5"/>
    </row>
    <row r="48" spans="1:4" x14ac:dyDescent="0.2">
      <c r="A48" s="6"/>
      <c r="B48" s="7"/>
      <c r="C48" s="7"/>
      <c r="D48" s="5"/>
    </row>
    <row r="49" spans="1:4" x14ac:dyDescent="0.2">
      <c r="A49" s="6"/>
      <c r="B49" s="7"/>
      <c r="C49" s="7"/>
      <c r="D49" s="5"/>
    </row>
    <row r="50" spans="1:4" x14ac:dyDescent="0.2">
      <c r="A50" s="6"/>
      <c r="B50" s="7"/>
      <c r="C50" s="7"/>
      <c r="D50" s="5"/>
    </row>
    <row r="51" spans="1:4" x14ac:dyDescent="0.2">
      <c r="A51" s="6"/>
      <c r="B51" s="7"/>
      <c r="C51" s="7"/>
      <c r="D51" s="5"/>
    </row>
    <row r="52" spans="1:4" x14ac:dyDescent="0.2">
      <c r="A52" s="6"/>
      <c r="B52" s="7"/>
      <c r="C52" s="7"/>
      <c r="D52" s="5"/>
    </row>
    <row r="53" spans="1:4" x14ac:dyDescent="0.2">
      <c r="A53" s="6"/>
      <c r="B53" s="7"/>
      <c r="C53" s="7"/>
      <c r="D53" s="5"/>
    </row>
    <row r="54" spans="1:4" x14ac:dyDescent="0.2">
      <c r="A54" s="6"/>
      <c r="B54" s="7"/>
      <c r="C54" s="7"/>
      <c r="D54" s="5"/>
    </row>
    <row r="55" spans="1:4" x14ac:dyDescent="0.2">
      <c r="A55" s="6"/>
      <c r="B55" s="7"/>
      <c r="C55" s="7"/>
      <c r="D55" s="5"/>
    </row>
    <row r="56" spans="1:4" x14ac:dyDescent="0.2">
      <c r="A56" s="6"/>
      <c r="B56" s="7"/>
      <c r="C56" s="7"/>
      <c r="D56" s="5"/>
    </row>
    <row r="57" spans="1:4" x14ac:dyDescent="0.2">
      <c r="A57" s="6"/>
      <c r="B57" s="7"/>
      <c r="C57" s="7"/>
      <c r="D57" s="5"/>
    </row>
    <row r="58" spans="1:4" x14ac:dyDescent="0.2">
      <c r="A58" s="6"/>
      <c r="B58" s="7"/>
      <c r="C58" s="7"/>
      <c r="D58" s="5"/>
    </row>
    <row r="59" spans="1:4" x14ac:dyDescent="0.2">
      <c r="A59" s="6"/>
      <c r="B59" s="7"/>
      <c r="C59" s="7"/>
      <c r="D59" s="5"/>
    </row>
    <row r="60" spans="1:4" x14ac:dyDescent="0.2">
      <c r="A60" s="6"/>
      <c r="B60" s="7"/>
      <c r="C60" s="7"/>
      <c r="D60" s="5"/>
    </row>
    <row r="61" spans="1:4" x14ac:dyDescent="0.2">
      <c r="A61" s="6"/>
      <c r="B61" s="7"/>
      <c r="C61" s="7"/>
      <c r="D61" s="5"/>
    </row>
    <row r="62" spans="1:4" x14ac:dyDescent="0.2">
      <c r="A62" s="6"/>
      <c r="B62" s="7"/>
      <c r="C62" s="7"/>
      <c r="D62" s="5"/>
    </row>
    <row r="63" spans="1:4" x14ac:dyDescent="0.2">
      <c r="A63" s="6"/>
      <c r="B63" s="7"/>
      <c r="C63" s="7"/>
      <c r="D63" s="5"/>
    </row>
    <row r="64" spans="1:4" x14ac:dyDescent="0.2">
      <c r="A64" s="6"/>
      <c r="B64" s="7"/>
      <c r="C64" s="7"/>
      <c r="D64" s="5"/>
    </row>
    <row r="65" spans="1:4" x14ac:dyDescent="0.2">
      <c r="A65" s="6"/>
      <c r="B65" s="7"/>
      <c r="C65" s="7"/>
      <c r="D65" s="5"/>
    </row>
    <row r="66" spans="1:4" x14ac:dyDescent="0.2">
      <c r="A66" s="6"/>
      <c r="B66" s="7"/>
      <c r="C66" s="7"/>
      <c r="D66" s="5"/>
    </row>
    <row r="67" spans="1:4" x14ac:dyDescent="0.2">
      <c r="A67" s="6"/>
      <c r="B67" s="7"/>
      <c r="C67" s="7"/>
      <c r="D67" s="5"/>
    </row>
    <row r="68" spans="1:4" x14ac:dyDescent="0.2">
      <c r="A68" s="6"/>
      <c r="B68" s="7"/>
      <c r="C68" s="7"/>
      <c r="D68" s="5"/>
    </row>
    <row r="69" spans="1:4" x14ac:dyDescent="0.2">
      <c r="A69" s="6"/>
      <c r="B69" s="7"/>
      <c r="C69" s="7"/>
      <c r="D69" s="5"/>
    </row>
    <row r="70" spans="1:4" x14ac:dyDescent="0.2">
      <c r="A70" s="6"/>
      <c r="B70" s="7"/>
      <c r="C70" s="7"/>
      <c r="D70" s="5"/>
    </row>
    <row r="71" spans="1:4" x14ac:dyDescent="0.2">
      <c r="A71" s="6"/>
      <c r="B71" s="7"/>
      <c r="C71" s="7"/>
      <c r="D71" s="5"/>
    </row>
    <row r="72" spans="1:4" x14ac:dyDescent="0.2">
      <c r="A72" s="6"/>
      <c r="B72" s="7"/>
      <c r="C72" s="7"/>
      <c r="D72" s="5"/>
    </row>
    <row r="73" spans="1:4" x14ac:dyDescent="0.2">
      <c r="A73" s="6"/>
      <c r="B73" s="7"/>
      <c r="C73" s="7"/>
      <c r="D73" s="5"/>
    </row>
    <row r="74" spans="1:4" x14ac:dyDescent="0.2">
      <c r="A74" s="6"/>
      <c r="B74" s="7"/>
      <c r="C74" s="7"/>
      <c r="D74" s="5"/>
    </row>
    <row r="75" spans="1:4" x14ac:dyDescent="0.2">
      <c r="A75" s="6"/>
      <c r="B75" s="7"/>
      <c r="C75" s="7"/>
      <c r="D75" s="5"/>
    </row>
    <row r="76" spans="1:4" x14ac:dyDescent="0.2">
      <c r="A76" s="6"/>
      <c r="B76" s="7"/>
      <c r="C76" s="7"/>
      <c r="D76" s="5"/>
    </row>
    <row r="77" spans="1:4" x14ac:dyDescent="0.2">
      <c r="A77" s="6"/>
      <c r="B77" s="7"/>
      <c r="C77" s="7"/>
      <c r="D77" s="5"/>
    </row>
    <row r="78" spans="1:4" x14ac:dyDescent="0.2">
      <c r="A78" s="6"/>
      <c r="B78" s="7"/>
      <c r="C78" s="7"/>
      <c r="D78" s="5"/>
    </row>
    <row r="79" spans="1:4" x14ac:dyDescent="0.2">
      <c r="A79" s="6"/>
      <c r="B79" s="7"/>
      <c r="C79" s="7"/>
      <c r="D79" s="5"/>
    </row>
    <row r="80" spans="1:4" x14ac:dyDescent="0.2">
      <c r="A80" s="6"/>
      <c r="B80" s="7"/>
      <c r="C80" s="7"/>
      <c r="D80" s="5"/>
    </row>
    <row r="81" spans="1:4" x14ac:dyDescent="0.2">
      <c r="A81" s="6"/>
      <c r="B81" s="7"/>
      <c r="C81" s="7"/>
      <c r="D81" s="5"/>
    </row>
    <row r="82" spans="1:4" x14ac:dyDescent="0.2">
      <c r="A82" s="6"/>
      <c r="B82" s="7"/>
      <c r="C82" s="7"/>
      <c r="D82" s="5"/>
    </row>
    <row r="83" spans="1:4" x14ac:dyDescent="0.2">
      <c r="A83" s="6"/>
      <c r="B83" s="7"/>
      <c r="C83" s="7"/>
      <c r="D83" s="5"/>
    </row>
    <row r="84" spans="1:4" x14ac:dyDescent="0.2">
      <c r="A84" s="6"/>
      <c r="B84" s="7"/>
      <c r="C84" s="7"/>
      <c r="D84" s="5"/>
    </row>
    <row r="85" spans="1:4" x14ac:dyDescent="0.2">
      <c r="A85" s="6"/>
      <c r="B85" s="7"/>
      <c r="C85" s="7"/>
      <c r="D85" s="5"/>
    </row>
    <row r="86" spans="1:4" x14ac:dyDescent="0.2">
      <c r="A86" s="6"/>
      <c r="B86" s="7"/>
      <c r="C86" s="7"/>
      <c r="D86" s="5"/>
    </row>
    <row r="87" spans="1:4" x14ac:dyDescent="0.2">
      <c r="A87" s="6"/>
      <c r="B87" s="7"/>
      <c r="C87" s="7"/>
      <c r="D87" s="5"/>
    </row>
    <row r="88" spans="1:4" x14ac:dyDescent="0.2">
      <c r="A88" s="6"/>
      <c r="B88" s="7"/>
      <c r="C88" s="7"/>
      <c r="D88" s="5"/>
    </row>
    <row r="89" spans="1:4" x14ac:dyDescent="0.2">
      <c r="A89" s="6"/>
      <c r="B89" s="7"/>
      <c r="C89" s="7"/>
      <c r="D89" s="5"/>
    </row>
    <row r="90" spans="1:4" x14ac:dyDescent="0.2">
      <c r="A90" s="6"/>
      <c r="B90" s="7"/>
      <c r="C90" s="7"/>
      <c r="D90" s="5"/>
    </row>
    <row r="91" spans="1:4" x14ac:dyDescent="0.2">
      <c r="A91" s="6"/>
      <c r="B91" s="7"/>
      <c r="C91" s="7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4"/>
  <sheetViews>
    <sheetView showGridLines="0" zoomScaleNormal="100" workbookViewId="0">
      <selection activeCell="B14" sqref="B14"/>
    </sheetView>
  </sheetViews>
  <sheetFormatPr defaultColWidth="15.7109375" defaultRowHeight="12.75" x14ac:dyDescent="0.2"/>
  <cols>
    <col min="1" max="1" width="15.7109375" style="8" customWidth="1"/>
    <col min="2" max="2" width="30.7109375" style="8" customWidth="1"/>
  </cols>
  <sheetData>
    <row r="1" spans="1:3" ht="15.75" customHeight="1" x14ac:dyDescent="0.2">
      <c r="B1" s="20" t="s">
        <v>4</v>
      </c>
    </row>
    <row r="2" spans="1:3" ht="12.75" customHeight="1" x14ac:dyDescent="0.35">
      <c r="A2" s="19"/>
      <c r="B2" s="19"/>
      <c r="C2" s="19"/>
    </row>
    <row r="4" spans="1:3" x14ac:dyDescent="0.2">
      <c r="A4" s="18" t="s">
        <v>14</v>
      </c>
    </row>
    <row r="5" spans="1:3" x14ac:dyDescent="0.2">
      <c r="A5"/>
      <c r="B5" s="17" t="s">
        <v>12</v>
      </c>
    </row>
    <row r="6" spans="1:3" x14ac:dyDescent="0.2">
      <c r="A6"/>
    </row>
    <row r="7" spans="1:3" x14ac:dyDescent="0.2">
      <c r="A7" s="18" t="s">
        <v>13</v>
      </c>
    </row>
    <row r="8" spans="1:3" x14ac:dyDescent="0.2">
      <c r="A8"/>
      <c r="B8" s="17" t="s">
        <v>15</v>
      </c>
    </row>
    <row r="9" spans="1:3" x14ac:dyDescent="0.2">
      <c r="A9"/>
      <c r="B9" s="17"/>
    </row>
    <row r="10" spans="1:3" x14ac:dyDescent="0.2">
      <c r="A10" s="18" t="s">
        <v>53</v>
      </c>
    </row>
    <row r="11" spans="1:3" x14ac:dyDescent="0.2">
      <c r="A11"/>
      <c r="B11" s="17" t="s">
        <v>51</v>
      </c>
    </row>
    <row r="13" spans="1:3" x14ac:dyDescent="0.2">
      <c r="A13" s="18" t="s">
        <v>52</v>
      </c>
    </row>
    <row r="14" spans="1:3" x14ac:dyDescent="0.2">
      <c r="A14"/>
      <c r="B14" s="17" t="s">
        <v>54</v>
      </c>
    </row>
  </sheetData>
  <hyperlinks>
    <hyperlink ref="B5" location="Upfront" display="Upfront Commission" xr:uid="{00000000-0004-0000-0100-000000000000}"/>
    <hyperlink ref="B8" location="trail_comm_rate" display="Trail Commission" xr:uid="{00000000-0004-0000-0100-000001000000}"/>
    <hyperlink ref="B11" location="LicensingFee" display="Licensing Fee &amp; Rate-lock Expense" xr:uid="{00000000-0004-0000-0100-000002000000}"/>
    <hyperlink ref="B14" location="InflationRate" display="Inflation Rate" xr:uid="{00000000-0004-0000-0100-000003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D9"/>
  <sheetViews>
    <sheetView tabSelected="1" zoomScale="85" zoomScaleNormal="85" workbookViewId="0">
      <pane xSplit="2" ySplit="6" topLeftCell="AM7" activePane="bottomRight" state="frozen"/>
      <selection pane="topRight" activeCell="C1" sqref="C1"/>
      <selection pane="bottomLeft" activeCell="A7" sqref="A7"/>
      <selection pane="bottomRight" activeCell="BC21" sqref="BC21"/>
    </sheetView>
  </sheetViews>
  <sheetFormatPr defaultRowHeight="12.75" x14ac:dyDescent="0.2"/>
  <cols>
    <col min="1" max="1" width="9.85546875" bestFit="1" customWidth="1"/>
    <col min="2" max="3" width="9.140625" style="30"/>
    <col min="4" max="4" width="10.5703125" style="27" customWidth="1"/>
    <col min="5" max="5" width="9.85546875" style="27" customWidth="1"/>
    <col min="6" max="6" width="10.140625" style="27" customWidth="1"/>
    <col min="7" max="8" width="16.5703125" style="27" customWidth="1"/>
    <col min="9" max="10" width="16.42578125" style="27" customWidth="1"/>
    <col min="11" max="11" width="15.5703125" style="27" customWidth="1"/>
    <col min="12" max="13" width="14.28515625" style="27" customWidth="1"/>
    <col min="14" max="14" width="10.5703125" style="27" customWidth="1"/>
    <col min="15" max="15" width="12.7109375" style="27" customWidth="1"/>
    <col min="16" max="17" width="15.85546875" style="27" customWidth="1"/>
    <col min="18" max="18" width="13.7109375" style="27" customWidth="1"/>
    <col min="19" max="20" width="14.7109375" style="27" customWidth="1"/>
    <col min="21" max="21" width="14.5703125" style="27" customWidth="1"/>
    <col min="22" max="23" width="16.42578125" style="27" customWidth="1"/>
    <col min="24" max="25" width="19.42578125" style="27" customWidth="1"/>
    <col min="26" max="27" width="16.140625" style="27" customWidth="1"/>
    <col min="28" max="30" width="15.7109375" style="27" customWidth="1"/>
    <col min="31" max="33" width="23" style="27" customWidth="1"/>
    <col min="34" max="34" width="18.5703125" style="27" customWidth="1" collapsed="1"/>
    <col min="35" max="35" width="18.5703125" style="27" customWidth="1"/>
    <col min="36" max="36" width="18.5703125" style="27" customWidth="1" collapsed="1"/>
    <col min="37" max="39" width="18.5703125" style="27" customWidth="1"/>
    <col min="40" max="40" width="16.42578125" style="27" customWidth="1" collapsed="1"/>
    <col min="41" max="45" width="16.42578125" style="27" customWidth="1"/>
    <col min="46" max="46" width="9.85546875" style="27" customWidth="1"/>
    <col min="47" max="47" width="10.140625" style="27" customWidth="1"/>
    <col min="48" max="48" width="9.85546875" style="27" customWidth="1"/>
    <col min="49" max="49" width="10.140625" style="27" customWidth="1"/>
    <col min="50" max="50" width="9.85546875" style="27" customWidth="1"/>
    <col min="51" max="51" width="10.140625" style="27" customWidth="1"/>
    <col min="52" max="52" width="9.85546875" style="27" customWidth="1"/>
    <col min="53" max="53" width="10.140625" style="27" customWidth="1"/>
    <col min="54" max="54" width="9.85546875" style="27" customWidth="1"/>
    <col min="55" max="55" width="10.140625" style="27" customWidth="1"/>
    <col min="56" max="56" width="9.85546875" style="27" customWidth="1"/>
    <col min="57" max="57" width="10.140625" style="27" customWidth="1"/>
    <col min="58" max="58" width="9.85546875" style="27" customWidth="1"/>
    <col min="59" max="59" width="10.140625" style="27" customWidth="1"/>
    <col min="60" max="60" width="9.85546875" style="27" customWidth="1"/>
    <col min="61" max="61" width="10.140625" style="27" customWidth="1"/>
    <col min="62" max="62" width="9.85546875" style="27" customWidth="1"/>
    <col min="63" max="63" width="10.140625" style="27" customWidth="1"/>
    <col min="64" max="64" width="9.85546875" style="27" customWidth="1"/>
    <col min="65" max="65" width="10.140625" style="27" customWidth="1"/>
    <col min="66" max="66" width="9.85546875" style="27" customWidth="1"/>
    <col min="67" max="67" width="10.140625" style="27" customWidth="1"/>
    <col min="68" max="68" width="9.85546875" style="27" customWidth="1"/>
    <col min="69" max="69" width="10.140625" style="27" customWidth="1"/>
    <col min="70" max="70" width="9.5703125" style="27" customWidth="1"/>
    <col min="71" max="71" width="10.140625" style="27" customWidth="1"/>
    <col min="72" max="72" width="9.85546875" style="27" customWidth="1"/>
    <col min="73" max="73" width="10.140625" style="27" customWidth="1"/>
    <col min="74" max="74" width="9.85546875" style="27" customWidth="1"/>
    <col min="75" max="75" width="10.140625" style="27" customWidth="1"/>
    <col min="76" max="76" width="9.85546875" style="27" customWidth="1"/>
    <col min="77" max="77" width="10.140625" style="27" customWidth="1"/>
    <col min="78" max="78" width="9.85546875" style="27" customWidth="1"/>
    <col min="79" max="79" width="10.140625" style="27" customWidth="1"/>
    <col min="80" max="80" width="9.85546875" style="27" customWidth="1"/>
    <col min="81" max="81" width="10.140625" style="27" customWidth="1"/>
    <col min="82" max="85" width="21.140625" style="27" customWidth="1"/>
    <col min="86" max="90" width="16.42578125" style="27" customWidth="1"/>
    <col min="91" max="92" width="15.5703125" style="27" customWidth="1"/>
    <col min="93" max="94" width="16.42578125" style="27" customWidth="1"/>
    <col min="95" max="95" width="9.85546875" style="27" customWidth="1"/>
    <col min="96" max="96" width="10.140625" style="27" customWidth="1"/>
    <col min="97" max="97" width="9.85546875" style="27" customWidth="1"/>
    <col min="98" max="98" width="10.140625" style="27" customWidth="1"/>
    <col min="99" max="99" width="9.85546875" style="27" customWidth="1"/>
    <col min="100" max="100" width="10.140625" style="27" customWidth="1"/>
    <col min="101" max="101" width="9.85546875" style="27" customWidth="1"/>
    <col min="102" max="102" width="10.140625" style="27" customWidth="1"/>
    <col min="103" max="103" width="9.85546875" style="27" customWidth="1"/>
    <col min="104" max="104" width="10.140625" style="27" customWidth="1"/>
    <col min="105" max="105" width="9.85546875" style="27" customWidth="1"/>
    <col min="106" max="106" width="10.140625" style="27" customWidth="1"/>
    <col min="107" max="107" width="9.85546875" style="27" customWidth="1"/>
    <col min="108" max="108" width="10.140625" style="27" customWidth="1"/>
    <col min="109" max="109" width="9.85546875" style="27" customWidth="1"/>
    <col min="110" max="110" width="10.140625" style="27" customWidth="1"/>
    <col min="111" max="111" width="9.85546875" style="27" customWidth="1"/>
    <col min="112" max="112" width="10.140625" style="27" customWidth="1"/>
    <col min="113" max="116" width="21.140625" style="27" customWidth="1"/>
    <col min="117" max="117" width="9.85546875" style="27" customWidth="1"/>
    <col min="118" max="118" width="10.140625" style="27" customWidth="1"/>
    <col min="119" max="119" width="9.85546875" style="27" customWidth="1"/>
    <col min="120" max="120" width="10.140625" style="27" customWidth="1"/>
    <col min="121" max="121" width="9.85546875" style="27" customWidth="1"/>
    <col min="122" max="122" width="10.140625" style="27" customWidth="1"/>
    <col min="123" max="123" width="9.85546875" style="27" customWidth="1"/>
    <col min="124" max="124" width="10.140625" style="27" customWidth="1"/>
    <col min="125" max="125" width="9.85546875" style="27" customWidth="1"/>
    <col min="126" max="126" width="10.140625" style="27" customWidth="1"/>
    <col min="127" max="127" width="9.85546875" style="27" customWidth="1"/>
    <col min="128" max="128" width="10.140625" style="27" customWidth="1"/>
    <col min="129" max="129" width="9.85546875" style="27" customWidth="1"/>
    <col min="130" max="130" width="10.140625" style="27" customWidth="1"/>
    <col min="131" max="131" width="9.85546875" style="27" customWidth="1"/>
    <col min="132" max="132" width="10.140625" style="27" customWidth="1"/>
    <col min="133" max="133" width="9.85546875" style="27" customWidth="1"/>
    <col min="134" max="134" width="10.140625" style="27" customWidth="1"/>
    <col min="135" max="135" width="9.85546875" style="27" customWidth="1"/>
    <col min="136" max="136" width="10.140625" style="27" customWidth="1"/>
    <col min="137" max="137" width="9.85546875" style="27" customWidth="1"/>
    <col min="138" max="138" width="10.140625" style="27" customWidth="1"/>
    <col min="139" max="139" width="9.85546875" style="27" customWidth="1"/>
    <col min="140" max="140" width="10.140625" style="27" customWidth="1"/>
    <col min="141" max="141" width="9.85546875" style="27" customWidth="1"/>
    <col min="142" max="142" width="10.140625" style="27" customWidth="1"/>
    <col min="143" max="143" width="9.85546875" style="27" customWidth="1"/>
    <col min="144" max="144" width="10.140625" style="27" customWidth="1"/>
    <col min="145" max="145" width="9.85546875" style="27" customWidth="1"/>
    <col min="146" max="146" width="10.140625" style="27" customWidth="1"/>
    <col min="147" max="147" width="13.5703125" style="27" customWidth="1"/>
    <col min="148" max="148" width="10.140625" style="27" customWidth="1"/>
    <col min="149" max="149" width="9.85546875" style="27" customWidth="1"/>
    <col min="150" max="150" width="10.140625" style="27" customWidth="1"/>
    <col min="151" max="151" width="9.85546875" style="27" customWidth="1"/>
    <col min="152" max="152" width="10.140625" style="27" customWidth="1"/>
    <col min="153" max="153" width="9.85546875" style="27" customWidth="1"/>
    <col min="154" max="154" width="10.140625" style="27" customWidth="1"/>
    <col min="155" max="155" width="9.85546875" style="27" customWidth="1"/>
    <col min="156" max="156" width="10.140625" style="27" customWidth="1"/>
    <col min="157" max="158" width="9.85546875" style="27" customWidth="1"/>
    <col min="159" max="159" width="10.140625" style="27" customWidth="1"/>
    <col min="160" max="161" width="9.85546875" style="27" customWidth="1"/>
    <col min="162" max="162" width="10.140625" style="27" customWidth="1"/>
    <col min="163" max="164" width="9.85546875" style="27" customWidth="1"/>
    <col min="165" max="165" width="10.140625" style="27" customWidth="1"/>
    <col min="166" max="167" width="9.85546875" style="27" customWidth="1"/>
    <col min="168" max="168" width="10.140625" style="27" customWidth="1"/>
    <col min="169" max="170" width="9.85546875" style="27" customWidth="1"/>
    <col min="171" max="171" width="10.140625" style="27" customWidth="1"/>
    <col min="172" max="173" width="9.85546875" style="27" customWidth="1"/>
    <col min="174" max="174" width="10.140625" style="27" customWidth="1"/>
    <col min="175" max="176" width="9.85546875" style="27" customWidth="1"/>
    <col min="177" max="177" width="10.140625" style="27" customWidth="1"/>
    <col min="178" max="179" width="9.85546875" style="27" customWidth="1"/>
    <col min="180" max="180" width="10.140625" style="27" customWidth="1"/>
    <col min="181" max="182" width="9.85546875" style="27" customWidth="1"/>
    <col min="183" max="183" width="10.140625" style="27" customWidth="1"/>
    <col min="184" max="184" width="9.85546875" style="27" customWidth="1"/>
    <col min="185" max="185" width="10.140625" style="27" customWidth="1"/>
    <col min="186" max="186" width="9.85546875" style="27" customWidth="1"/>
    <col min="187" max="187" width="10.140625" style="27" customWidth="1"/>
    <col min="188" max="188" width="9.85546875" style="27" customWidth="1"/>
    <col min="189" max="189" width="10.140625" style="27" customWidth="1"/>
    <col min="190" max="190" width="9.85546875" style="27" customWidth="1"/>
    <col min="191" max="191" width="10.140625" style="27" customWidth="1"/>
    <col min="192" max="192" width="9.85546875" style="27" customWidth="1"/>
    <col min="193" max="193" width="10.140625" style="27" customWidth="1"/>
    <col min="194" max="194" width="9.85546875" style="27" customWidth="1"/>
    <col min="195" max="195" width="10.140625" style="27" customWidth="1"/>
    <col min="196" max="196" width="9.85546875" style="27" customWidth="1"/>
    <col min="197" max="197" width="10.140625" style="27" customWidth="1"/>
    <col min="198" max="198" width="9.85546875" style="27" customWidth="1"/>
    <col min="199" max="199" width="10.140625" style="27" customWidth="1"/>
    <col min="200" max="200" width="9.85546875" style="27" customWidth="1"/>
    <col min="201" max="201" width="10.140625" style="27" customWidth="1"/>
    <col min="202" max="202" width="9.85546875" style="27" customWidth="1"/>
    <col min="203" max="203" width="10.140625" style="27" customWidth="1"/>
    <col min="204" max="204" width="9.85546875" style="27" customWidth="1"/>
    <col min="205" max="205" width="10.140625" style="27" customWidth="1"/>
    <col min="206" max="206" width="9.85546875" style="27" customWidth="1"/>
    <col min="207" max="207" width="10.140625" style="27" customWidth="1"/>
    <col min="208" max="208" width="9.85546875" style="27" customWidth="1"/>
    <col min="209" max="209" width="10.140625" style="27" customWidth="1"/>
    <col min="210" max="210" width="9.85546875" style="27" customWidth="1"/>
    <col min="211" max="211" width="10.140625" style="27" customWidth="1"/>
    <col min="212" max="212" width="9.85546875" style="27" customWidth="1"/>
    <col min="213" max="213" width="10.140625" style="27" customWidth="1"/>
    <col min="214" max="214" width="9.85546875" style="27" customWidth="1"/>
    <col min="215" max="215" width="10.140625" style="27" customWidth="1"/>
    <col min="216" max="216" width="9.85546875" style="27" customWidth="1"/>
    <col min="217" max="217" width="10.140625" style="27" customWidth="1"/>
    <col min="218" max="218" width="9.85546875" style="27" customWidth="1"/>
    <col min="219" max="219" width="10.140625" style="27" customWidth="1"/>
    <col min="220" max="220" width="9.85546875" style="27" customWidth="1"/>
    <col min="221" max="221" width="10.140625" style="27" customWidth="1"/>
    <col min="222" max="222" width="9.85546875" style="27" customWidth="1"/>
    <col min="223" max="223" width="10.140625" style="27" customWidth="1"/>
    <col min="224" max="224" width="9.85546875" style="27" customWidth="1"/>
    <col min="225" max="225" width="10.140625" style="27" customWidth="1"/>
    <col min="226" max="226" width="9.85546875" style="27" customWidth="1"/>
    <col min="227" max="227" width="10.140625" style="27" customWidth="1"/>
    <col min="228" max="228" width="9.85546875" style="27" customWidth="1"/>
    <col min="229" max="229" width="10.140625" style="27" customWidth="1"/>
    <col min="230" max="230" width="9.85546875" style="27" customWidth="1"/>
    <col min="231" max="231" width="10.140625" style="27" customWidth="1"/>
    <col min="232" max="232" width="9.85546875" style="27" customWidth="1"/>
    <col min="233" max="233" width="10.140625" style="27" customWidth="1"/>
    <col min="234" max="234" width="9.85546875" style="27" customWidth="1"/>
    <col min="235" max="235" width="10.140625" style="27" customWidth="1"/>
    <col min="236" max="236" width="9.85546875" style="27" customWidth="1"/>
    <col min="237" max="237" width="10.140625" style="27" customWidth="1"/>
    <col min="238" max="238" width="9.85546875" style="27" customWidth="1"/>
    <col min="239" max="239" width="10.140625" style="27" customWidth="1"/>
    <col min="240" max="240" width="9.85546875" style="27" customWidth="1"/>
    <col min="241" max="241" width="10.140625" style="27" customWidth="1"/>
    <col min="242" max="242" width="9.85546875" style="27" customWidth="1"/>
    <col min="243" max="243" width="10.140625" style="27" customWidth="1"/>
    <col min="244" max="244" width="9.85546875" style="27" customWidth="1"/>
    <col min="245" max="245" width="10.140625" style="27" customWidth="1"/>
    <col min="246" max="246" width="9.85546875" style="27" customWidth="1"/>
    <col min="247" max="247" width="10.140625" style="27" customWidth="1"/>
    <col min="248" max="248" width="9.85546875" style="27" customWidth="1"/>
    <col min="249" max="249" width="10.140625" style="27" customWidth="1"/>
    <col min="250" max="250" width="9.85546875" style="27" customWidth="1"/>
    <col min="251" max="251" width="10.140625" style="27" customWidth="1"/>
    <col min="252" max="252" width="9.85546875" style="27" customWidth="1"/>
    <col min="253" max="253" width="10.140625" style="27" customWidth="1"/>
    <col min="254" max="254" width="9.85546875" style="27" customWidth="1"/>
    <col min="255" max="255" width="10.140625" style="27" customWidth="1"/>
    <col min="256" max="256" width="9.85546875" style="27" customWidth="1"/>
    <col min="257" max="257" width="10.140625" style="27" customWidth="1"/>
    <col min="258" max="258" width="9.85546875" style="27" customWidth="1"/>
    <col min="259" max="259" width="10.140625" style="27" customWidth="1"/>
    <col min="260" max="260" width="9.85546875" style="27" customWidth="1"/>
    <col min="261" max="261" width="10.140625" style="27" customWidth="1"/>
    <col min="262" max="262" width="9.85546875" style="27" customWidth="1"/>
    <col min="263" max="263" width="10.140625" style="27" customWidth="1"/>
    <col min="264" max="264" width="9.85546875" style="27" customWidth="1"/>
    <col min="265" max="265" width="10.140625" style="27" customWidth="1"/>
    <col min="266" max="266" width="9.85546875" style="27" customWidth="1"/>
    <col min="267" max="267" width="10.140625" style="27" customWidth="1"/>
    <col min="268" max="268" width="9.85546875" style="27" customWidth="1"/>
    <col min="269" max="269" width="10.140625" style="27" customWidth="1"/>
    <col min="270" max="270" width="9.85546875" style="27" customWidth="1"/>
    <col min="271" max="271" width="10.140625" style="27" customWidth="1"/>
    <col min="272" max="272" width="9.85546875" style="27" customWidth="1"/>
    <col min="273" max="273" width="10.140625" style="27" customWidth="1"/>
    <col min="274" max="274" width="9.85546875" style="27" customWidth="1"/>
    <col min="275" max="275" width="10.140625" style="27" customWidth="1"/>
    <col min="276" max="276" width="9.85546875" style="27" customWidth="1"/>
    <col min="277" max="277" width="10.140625" style="27" customWidth="1"/>
    <col min="278" max="278" width="9.85546875" style="27" customWidth="1"/>
    <col min="279" max="279" width="10.140625" style="27" customWidth="1"/>
    <col min="280" max="280" width="9.85546875" style="27" customWidth="1"/>
    <col min="281" max="281" width="10.140625" style="27" customWidth="1"/>
    <col min="282" max="282" width="9.85546875" style="27" customWidth="1"/>
    <col min="283" max="283" width="10.140625" style="27" customWidth="1"/>
    <col min="284" max="284" width="9.85546875" style="27" customWidth="1"/>
    <col min="285" max="285" width="10.140625" style="27" customWidth="1"/>
    <col min="286" max="286" width="9.85546875" style="27" customWidth="1"/>
    <col min="287" max="287" width="10.140625" style="27" customWidth="1"/>
    <col min="288" max="288" width="9.85546875" style="27" customWidth="1"/>
    <col min="289" max="289" width="10.140625" style="27" customWidth="1"/>
    <col min="290" max="290" width="9.85546875" style="27" customWidth="1"/>
    <col min="291" max="291" width="10.140625" style="27" customWidth="1"/>
    <col min="292" max="292" width="9.85546875" style="27" customWidth="1"/>
    <col min="293" max="293" width="10.140625" style="27" customWidth="1"/>
    <col min="294" max="294" width="9.85546875" style="27" customWidth="1"/>
    <col min="295" max="295" width="10.140625" style="27" customWidth="1"/>
    <col min="296" max="299" width="16.42578125" style="27" customWidth="1"/>
    <col min="300" max="300" width="11" style="27" customWidth="1"/>
    <col min="301" max="301" width="10.7109375" style="27" customWidth="1"/>
    <col min="302" max="302" width="16.85546875" style="27" customWidth="1"/>
    <col min="303" max="303" width="16.42578125" style="27" customWidth="1"/>
    <col min="304" max="304" width="16.85546875" style="27" customWidth="1"/>
    <col min="305" max="308" width="16.42578125" style="27" customWidth="1"/>
    <col min="309" max="309" width="10.5703125" style="27" customWidth="1"/>
    <col min="310" max="310" width="12.42578125" style="27" customWidth="1"/>
    <col min="311" max="311" width="10.5703125" style="27" customWidth="1"/>
    <col min="312" max="312" width="12.42578125" style="27" customWidth="1"/>
    <col min="313" max="313" width="10.5703125" style="27" customWidth="1"/>
    <col min="314" max="314" width="12.42578125" style="27" customWidth="1"/>
    <col min="315" max="315" width="17" style="27" customWidth="1"/>
    <col min="316" max="316" width="16.42578125" style="27" customWidth="1"/>
    <col min="317" max="317" width="17" style="27" customWidth="1"/>
    <col min="318" max="323" width="16.42578125" style="27" customWidth="1"/>
    <col min="324" max="324" width="10.5703125" style="27" customWidth="1"/>
    <col min="325" max="325" width="12.42578125" style="27" customWidth="1"/>
    <col min="326" max="326" width="16.28515625" style="27" customWidth="1"/>
    <col min="327" max="327" width="15.7109375" style="27" customWidth="1"/>
    <col min="328" max="328" width="16.28515625" style="27" customWidth="1"/>
    <col min="329" max="329" width="16.42578125" style="27" customWidth="1"/>
    <col min="330" max="332" width="13.28515625" style="27" customWidth="1"/>
    <col min="333" max="334" width="18.5703125" style="27" customWidth="1"/>
    <col min="335" max="337" width="13.28515625" style="27" customWidth="1"/>
    <col min="338" max="338" width="18.85546875" style="27" customWidth="1"/>
    <col min="339" max="339" width="18.5703125" style="27" customWidth="1"/>
    <col min="340" max="340" width="18.85546875" style="27" customWidth="1"/>
    <col min="341" max="341" width="18.5703125" style="27" customWidth="1"/>
    <col min="342" max="342" width="18.85546875" style="27" customWidth="1"/>
    <col min="343" max="349" width="18.5703125" style="27" customWidth="1"/>
    <col min="350" max="350" width="18.85546875" style="27" customWidth="1"/>
    <col min="351" max="352" width="18.5703125" style="27" customWidth="1"/>
    <col min="353" max="353" width="13.28515625" style="27" customWidth="1"/>
    <col min="354" max="354" width="18.85546875" style="27" customWidth="1"/>
    <col min="355" max="355" width="18.5703125" style="27" customWidth="1"/>
    <col min="356" max="356" width="18.85546875" style="27" customWidth="1"/>
    <col min="357" max="357" width="18.5703125" style="27" customWidth="1"/>
    <col min="358" max="358" width="18.85546875" style="27" customWidth="1"/>
    <col min="359" max="359" width="18.5703125" style="27" customWidth="1"/>
    <col min="360" max="360" width="18.85546875" style="27" customWidth="1"/>
    <col min="361" max="361" width="18.5703125" style="27" customWidth="1"/>
    <col min="362" max="364" width="23" style="27" customWidth="1"/>
    <col min="365" max="365" width="13.28515625" style="27" customWidth="1"/>
    <col min="366" max="366" width="18.5703125" style="27" customWidth="1"/>
    <col min="367" max="367" width="18.7109375" style="27" customWidth="1"/>
    <col min="368" max="368" width="18.5703125" style="27" customWidth="1"/>
    <col min="369" max="369" width="20.28515625" style="27" customWidth="1"/>
    <col min="370" max="370" width="20.7109375" style="27" customWidth="1"/>
    <col min="371" max="371" width="23" style="27" customWidth="1"/>
    <col min="372" max="375" width="16.5703125" style="27" customWidth="1"/>
    <col min="376" max="376" width="11" style="27" customWidth="1"/>
    <col min="377" max="377" width="10.7109375" style="27" customWidth="1"/>
    <col min="378" max="378" width="16.42578125" style="27" customWidth="1"/>
    <col min="379" max="379" width="16.5703125" style="27" customWidth="1"/>
    <col min="380" max="380" width="16.42578125" style="27" customWidth="1"/>
    <col min="381" max="381" width="16.5703125" style="27" customWidth="1"/>
    <col min="382" max="384" width="15.7109375" style="27" customWidth="1"/>
    <col min="385" max="385" width="9.85546875" style="27" customWidth="1"/>
    <col min="386" max="386" width="10.5703125" style="27" customWidth="1"/>
    <col min="387" max="387" width="9.85546875" style="27" customWidth="1"/>
    <col min="388" max="388" width="10.5703125" style="27" customWidth="1"/>
    <col min="389" max="394" width="15.7109375" style="27" customWidth="1"/>
    <col min="395" max="396" width="16.140625" style="27" customWidth="1"/>
    <col min="397" max="397" width="10" style="27" customWidth="1"/>
    <col min="398" max="398" width="10.5703125" style="27" customWidth="1"/>
    <col min="399" max="399" width="16.28515625" style="27" customWidth="1"/>
    <col min="400" max="400" width="16.140625" style="27" customWidth="1"/>
    <col min="401" max="401" width="16.28515625" style="27" customWidth="1"/>
    <col min="402" max="402" width="16.140625" style="27" customWidth="1"/>
    <col min="403" max="404" width="19.42578125" style="27" customWidth="1"/>
    <col min="405" max="406" width="12.42578125" style="27" customWidth="1"/>
    <col min="407" max="407" width="18.5703125" style="27" customWidth="1"/>
    <col min="408" max="408" width="19.42578125" style="27" customWidth="1"/>
    <col min="409" max="412" width="12.42578125" style="27" customWidth="1"/>
    <col min="413" max="413" width="15.28515625" style="27" customWidth="1"/>
    <col min="414" max="414" width="15.5703125" style="27" customWidth="1"/>
    <col min="415" max="415" width="15.28515625" style="27" customWidth="1"/>
    <col min="416" max="418" width="15.5703125" style="27" customWidth="1"/>
    <col min="419" max="419" width="14.5703125" style="27" customWidth="1"/>
    <col min="420" max="420" width="15.5703125" style="27" customWidth="1"/>
    <col min="421" max="422" width="14.7109375" style="27" customWidth="1"/>
    <col min="423" max="423" width="11" style="27" customWidth="1"/>
    <col min="424" max="424" width="12" style="27" customWidth="1"/>
    <col min="425" max="425" width="11" style="27" customWidth="1"/>
    <col min="426" max="426" width="12" style="27" customWidth="1"/>
    <col min="427" max="427" width="14.42578125" style="27" customWidth="1"/>
    <col min="428" max="428" width="14.7109375" style="27" customWidth="1"/>
    <col min="429" max="429" width="14.42578125" style="27" customWidth="1"/>
    <col min="430" max="432" width="14.7109375" style="27" customWidth="1"/>
    <col min="433" max="436" width="13.7109375" style="27" customWidth="1"/>
    <col min="437" max="438" width="15.85546875" style="27" customWidth="1"/>
    <col min="439" max="439" width="12.28515625" style="27" customWidth="1"/>
    <col min="440" max="440" width="13.28515625" style="27" customWidth="1"/>
    <col min="441" max="441" width="12.28515625" style="27" customWidth="1"/>
    <col min="442" max="442" width="13.28515625" style="27" customWidth="1"/>
    <col min="443" max="443" width="16" style="27" customWidth="1"/>
    <col min="444" max="444" width="15.85546875" style="27" customWidth="1"/>
    <col min="445" max="445" width="16" style="27" customWidth="1"/>
    <col min="446" max="448" width="15.85546875" style="27" customWidth="1"/>
    <col min="449" max="449" width="12.7109375" style="27" customWidth="1"/>
    <col min="450" max="451" width="10.5703125" style="27" customWidth="1"/>
    <col min="452" max="456" width="12.7109375" style="27" customWidth="1"/>
    <col min="457" max="460" width="10.5703125" style="27" customWidth="1"/>
    <col min="461" max="462" width="14.28515625" style="27" customWidth="1"/>
    <col min="463" max="463" width="15.28515625" style="27" customWidth="1"/>
    <col min="464" max="464" width="15.140625" style="27" customWidth="1"/>
    <col min="465" max="465" width="13.85546875" style="27" customWidth="1"/>
    <col min="466" max="466" width="14.28515625" style="27" customWidth="1"/>
    <col min="467" max="467" width="13.85546875" style="27" customWidth="1"/>
    <col min="468" max="468" width="14.28515625" style="27" customWidth="1"/>
    <col min="469" max="469" width="13.85546875" style="27" customWidth="1"/>
    <col min="470" max="470" width="14.28515625" style="27" customWidth="1"/>
    <col min="471" max="471" width="13.85546875" style="27" customWidth="1"/>
    <col min="472" max="472" width="14.28515625" style="27" customWidth="1"/>
  </cols>
  <sheetData>
    <row r="1" spans="1:472" ht="15.75" x14ac:dyDescent="0.2">
      <c r="A1" s="13" t="s">
        <v>6</v>
      </c>
      <c r="B1" s="12" t="s">
        <v>50</v>
      </c>
      <c r="C1" s="12"/>
      <c r="D1" s="22"/>
      <c r="E1" s="22"/>
      <c r="F1" s="22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64"/>
      <c r="CI1" s="64"/>
      <c r="CJ1" s="64"/>
      <c r="CK1" s="64"/>
      <c r="CL1" s="64"/>
      <c r="CM1" s="64"/>
      <c r="CN1" s="64"/>
      <c r="CO1" s="64"/>
      <c r="CP1" s="64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2"/>
      <c r="ER1" s="22"/>
      <c r="ES1" s="22"/>
      <c r="ET1" s="22"/>
      <c r="EU1" s="22"/>
      <c r="EV1" s="22"/>
      <c r="EW1" s="22"/>
      <c r="EX1" s="22"/>
      <c r="EY1" s="22"/>
      <c r="EZ1" s="22"/>
      <c r="FA1" s="22"/>
      <c r="FB1" s="22"/>
      <c r="FC1" s="22"/>
      <c r="FD1" s="22"/>
      <c r="FE1" s="22"/>
      <c r="FF1" s="22"/>
      <c r="FG1" s="22"/>
      <c r="FH1" s="22"/>
      <c r="FI1" s="22"/>
      <c r="FJ1" s="22"/>
      <c r="FK1" s="22"/>
      <c r="FL1" s="22"/>
      <c r="FM1" s="22"/>
      <c r="FN1" s="22"/>
      <c r="FO1" s="22"/>
      <c r="FP1" s="22"/>
      <c r="FQ1" s="22"/>
      <c r="FR1" s="22"/>
      <c r="FS1" s="22"/>
      <c r="FT1" s="22"/>
      <c r="FU1" s="22"/>
      <c r="FV1" s="22"/>
      <c r="FW1" s="22"/>
      <c r="FX1" s="22"/>
      <c r="FY1" s="22"/>
      <c r="FZ1" s="22"/>
      <c r="GA1" s="22"/>
      <c r="GB1" s="22"/>
      <c r="GC1" s="22"/>
      <c r="GD1" s="22"/>
      <c r="GE1" s="22"/>
      <c r="GF1" s="22"/>
      <c r="GG1" s="22"/>
      <c r="GH1" s="22"/>
      <c r="GI1" s="22"/>
      <c r="GJ1" s="22"/>
      <c r="GK1" s="22"/>
      <c r="GL1" s="22"/>
      <c r="GM1" s="22"/>
      <c r="GN1" s="22"/>
      <c r="GO1" s="22"/>
      <c r="GP1" s="22"/>
      <c r="GQ1" s="22"/>
      <c r="GR1" s="22"/>
      <c r="GS1" s="22"/>
      <c r="GT1" s="22"/>
      <c r="GU1" s="22"/>
      <c r="GV1" s="22"/>
      <c r="GW1" s="22"/>
      <c r="GX1" s="22"/>
      <c r="GY1" s="22"/>
      <c r="GZ1" s="22"/>
      <c r="HA1" s="22"/>
      <c r="HB1" s="22"/>
      <c r="HC1" s="22"/>
      <c r="HD1" s="22"/>
      <c r="HE1" s="22"/>
      <c r="HF1" s="22"/>
      <c r="HG1" s="22"/>
      <c r="HH1" s="22"/>
      <c r="HI1" s="22"/>
      <c r="HJ1" s="22"/>
      <c r="HK1" s="22"/>
      <c r="HL1" s="22"/>
      <c r="HM1" s="22"/>
      <c r="HN1" s="22"/>
      <c r="HO1" s="22"/>
      <c r="HP1" s="22"/>
      <c r="HQ1" s="22"/>
      <c r="HR1" s="22"/>
      <c r="HS1" s="22"/>
      <c r="HT1" s="22"/>
      <c r="HU1" s="22"/>
      <c r="HV1" s="22"/>
      <c r="HW1" s="22"/>
      <c r="HX1" s="22"/>
      <c r="HY1" s="22"/>
      <c r="HZ1" s="22"/>
      <c r="IA1" s="22"/>
      <c r="IB1" s="22"/>
      <c r="IC1" s="22"/>
      <c r="ID1" s="22"/>
      <c r="IE1" s="22"/>
      <c r="IF1" s="22"/>
      <c r="IG1" s="22"/>
      <c r="IH1" s="22"/>
      <c r="II1" s="22"/>
      <c r="IJ1" s="22"/>
      <c r="IK1" s="22"/>
      <c r="IL1" s="22"/>
      <c r="IM1" s="22"/>
      <c r="IN1" s="22"/>
      <c r="IO1" s="22"/>
      <c r="IP1" s="22"/>
      <c r="IQ1" s="22"/>
      <c r="IR1" s="22"/>
      <c r="IS1" s="22"/>
      <c r="IT1" s="22"/>
      <c r="IU1" s="22"/>
      <c r="IV1" s="22"/>
      <c r="IW1" s="22"/>
      <c r="IX1" s="22"/>
      <c r="IY1" s="22"/>
      <c r="IZ1" s="22"/>
      <c r="JA1" s="22"/>
      <c r="JB1" s="22"/>
      <c r="JC1" s="22"/>
      <c r="JD1" s="22"/>
      <c r="JE1" s="22"/>
      <c r="JF1" s="22"/>
      <c r="JG1" s="22"/>
      <c r="JH1" s="22"/>
      <c r="JI1" s="22"/>
      <c r="JJ1" s="22"/>
      <c r="JK1" s="22"/>
      <c r="JL1" s="22"/>
      <c r="JM1" s="22"/>
      <c r="JN1" s="22"/>
      <c r="JO1" s="22"/>
      <c r="JP1" s="22"/>
      <c r="JQ1" s="22"/>
      <c r="JR1" s="22"/>
      <c r="JS1" s="22"/>
      <c r="JT1" s="22"/>
      <c r="JU1" s="22"/>
      <c r="JV1" s="22"/>
      <c r="JW1" s="22"/>
      <c r="JX1" s="22"/>
      <c r="JY1" s="22"/>
      <c r="JZ1" s="22"/>
      <c r="KA1" s="22"/>
      <c r="KB1" s="22"/>
      <c r="KC1" s="22"/>
      <c r="KD1" s="22"/>
      <c r="KE1" s="22"/>
      <c r="KF1" s="22"/>
      <c r="KG1" s="22"/>
      <c r="KH1" s="22"/>
      <c r="KI1" s="22"/>
      <c r="KJ1" s="64"/>
      <c r="KK1" s="64"/>
      <c r="KL1" s="64"/>
      <c r="KM1" s="64"/>
      <c r="KN1" s="22"/>
      <c r="KO1" s="22"/>
      <c r="KP1" s="22"/>
      <c r="KQ1" s="22"/>
      <c r="KR1" s="22"/>
      <c r="KS1" s="22"/>
      <c r="KT1" s="64"/>
      <c r="KU1" s="64"/>
      <c r="KV1" s="64"/>
      <c r="KW1" s="22"/>
      <c r="KX1" s="22"/>
      <c r="KY1" s="22"/>
      <c r="KZ1" s="22"/>
      <c r="LA1" s="22"/>
      <c r="LB1" s="22"/>
      <c r="LC1" s="22"/>
      <c r="LD1" s="22"/>
      <c r="LE1" s="22"/>
      <c r="LF1" s="22"/>
      <c r="LG1" s="22"/>
      <c r="LH1" s="22"/>
      <c r="LI1" s="64"/>
      <c r="LJ1" s="64"/>
      <c r="LK1" s="64"/>
      <c r="LL1" s="22"/>
      <c r="LM1" s="22"/>
      <c r="LN1" s="22"/>
      <c r="LO1" s="22"/>
      <c r="LP1" s="22"/>
      <c r="LQ1" s="22"/>
      <c r="LR1" s="22"/>
      <c r="LS1" s="22"/>
      <c r="LT1" s="22"/>
      <c r="LU1" s="64"/>
      <c r="LV1" s="64"/>
      <c r="LW1" s="22"/>
      <c r="LX1" s="22"/>
      <c r="LY1" s="22"/>
      <c r="LZ1" s="22"/>
      <c r="MA1" s="22"/>
      <c r="MB1" s="22"/>
      <c r="MC1" s="22"/>
      <c r="MD1" s="22"/>
      <c r="ME1" s="22"/>
      <c r="MF1" s="22"/>
      <c r="MG1" s="22"/>
      <c r="MH1" s="64"/>
      <c r="MI1" s="64"/>
      <c r="MJ1" s="22"/>
      <c r="MK1" s="22"/>
      <c r="ML1" s="22"/>
      <c r="MM1" s="64"/>
      <c r="MN1" s="64"/>
      <c r="MO1" s="22"/>
      <c r="MP1" s="22"/>
      <c r="MQ1" s="22"/>
      <c r="MR1" s="22"/>
      <c r="MS1" s="22"/>
      <c r="MT1" s="22"/>
      <c r="MU1" s="22"/>
      <c r="MV1" s="22"/>
      <c r="MW1" s="22"/>
      <c r="MX1" s="64"/>
      <c r="MY1" s="64"/>
      <c r="MZ1" s="64"/>
      <c r="NA1" s="22"/>
      <c r="NB1" s="22"/>
      <c r="NC1" s="22"/>
      <c r="ND1" s="22"/>
      <c r="NE1" s="22"/>
      <c r="NF1" s="22"/>
      <c r="NG1" s="22"/>
      <c r="NH1" s="64"/>
      <c r="NI1" s="64"/>
      <c r="NJ1" s="64"/>
      <c r="NK1" s="64"/>
      <c r="NL1" s="22"/>
      <c r="NM1" s="22"/>
      <c r="NN1" s="22"/>
      <c r="NO1" s="22"/>
      <c r="NP1" s="22"/>
      <c r="NQ1" s="22"/>
      <c r="NR1" s="64"/>
      <c r="NS1" s="64"/>
      <c r="NT1" s="64"/>
      <c r="NU1" s="22"/>
      <c r="NV1" s="22"/>
      <c r="NW1" s="22"/>
      <c r="NX1" s="22"/>
      <c r="NY1" s="22"/>
      <c r="NZ1" s="22"/>
      <c r="OA1" s="22"/>
      <c r="OB1" s="22"/>
      <c r="OC1" s="22"/>
      <c r="OD1" s="22"/>
      <c r="OE1" s="64"/>
      <c r="OF1" s="64"/>
      <c r="OG1" s="22"/>
      <c r="OH1" s="22"/>
      <c r="OI1" s="22"/>
      <c r="OJ1" s="22"/>
      <c r="OK1" s="22"/>
      <c r="OL1" s="22"/>
      <c r="OM1" s="64"/>
      <c r="ON1" s="64"/>
      <c r="OO1" s="22"/>
      <c r="OP1" s="22"/>
      <c r="OQ1" s="22"/>
      <c r="OR1" s="22"/>
      <c r="OS1" s="22"/>
      <c r="OT1" s="22"/>
      <c r="OU1" s="22"/>
      <c r="OV1" s="22"/>
      <c r="OW1" s="22"/>
      <c r="OX1" s="22"/>
      <c r="OY1" s="22"/>
      <c r="OZ1" s="22"/>
      <c r="PA1" s="22"/>
      <c r="PB1" s="22"/>
      <c r="PC1" s="64"/>
      <c r="PD1" s="22"/>
      <c r="PE1" s="64"/>
      <c r="PF1" s="64"/>
      <c r="PG1" s="22"/>
      <c r="PH1" s="22"/>
      <c r="PI1" s="22"/>
      <c r="PJ1" s="22"/>
      <c r="PK1" s="22"/>
      <c r="PL1" s="22"/>
      <c r="PM1" s="22"/>
      <c r="PN1" s="22"/>
      <c r="PO1" s="22"/>
      <c r="PP1" s="22"/>
      <c r="PQ1" s="64"/>
      <c r="PR1" s="22"/>
      <c r="PS1" s="22"/>
      <c r="PT1" s="22"/>
      <c r="PU1" s="64"/>
      <c r="PV1" s="64"/>
      <c r="PW1" s="22"/>
      <c r="PX1" s="22"/>
      <c r="PY1" s="22"/>
      <c r="PZ1" s="22"/>
      <c r="QA1" s="22"/>
      <c r="QB1" s="22"/>
      <c r="QC1" s="22"/>
      <c r="QD1" s="22"/>
      <c r="QE1" s="22"/>
      <c r="QF1" s="22"/>
      <c r="QG1" s="64"/>
      <c r="QH1" s="22"/>
      <c r="QI1" s="22"/>
      <c r="QJ1" s="22"/>
      <c r="QK1" s="22"/>
      <c r="QL1" s="22"/>
      <c r="QM1" s="22"/>
      <c r="QN1" s="22"/>
      <c r="QO1" s="64"/>
      <c r="QP1" s="22"/>
      <c r="QQ1" s="22"/>
      <c r="QR1" s="22"/>
      <c r="QS1" s="64"/>
      <c r="QT1" s="64"/>
      <c r="QU1" s="22"/>
      <c r="QV1" s="22"/>
      <c r="QW1" s="22"/>
      <c r="QX1" s="22"/>
      <c r="QY1" s="22"/>
      <c r="QZ1" s="22"/>
      <c r="RA1" s="22"/>
      <c r="RB1" s="22"/>
      <c r="RC1" s="22"/>
      <c r="RD1" s="22"/>
    </row>
    <row r="2" spans="1:472" ht="15.75" x14ac:dyDescent="0.2">
      <c r="A2" s="13"/>
      <c r="B2" s="12"/>
      <c r="C2" s="12"/>
      <c r="D2" s="22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64"/>
      <c r="FD2" s="64"/>
      <c r="FE2" s="64"/>
      <c r="FF2" s="64"/>
      <c r="FG2" s="64"/>
      <c r="FH2" s="64"/>
      <c r="FI2" s="64"/>
      <c r="FJ2" s="64"/>
      <c r="FK2" s="64"/>
      <c r="FL2" s="64"/>
      <c r="FM2" s="64"/>
      <c r="FN2" s="64"/>
      <c r="FO2" s="64"/>
      <c r="FP2" s="64"/>
      <c r="FQ2" s="64"/>
      <c r="FR2" s="64"/>
      <c r="FS2" s="64"/>
      <c r="FT2" s="64"/>
      <c r="FU2" s="64"/>
      <c r="FV2" s="64"/>
      <c r="FW2" s="64"/>
      <c r="FX2" s="64"/>
      <c r="FY2" s="64"/>
      <c r="FZ2" s="64"/>
      <c r="GA2" s="64"/>
      <c r="GB2" s="64"/>
      <c r="GC2" s="64"/>
      <c r="GD2" s="64"/>
      <c r="GE2" s="64"/>
      <c r="GF2" s="64"/>
      <c r="GG2" s="64"/>
      <c r="GH2" s="64"/>
      <c r="GI2" s="64"/>
      <c r="GJ2" s="64"/>
      <c r="GK2" s="64"/>
      <c r="GL2" s="64"/>
      <c r="GM2" s="64"/>
      <c r="GN2" s="64"/>
      <c r="GO2" s="64"/>
      <c r="GP2" s="64"/>
      <c r="GQ2" s="64"/>
      <c r="GR2" s="64"/>
      <c r="GS2" s="64"/>
      <c r="GT2" s="64"/>
      <c r="GU2" s="64"/>
      <c r="GV2" s="64"/>
      <c r="GW2" s="64"/>
      <c r="GX2" s="64"/>
      <c r="GY2" s="64"/>
      <c r="GZ2" s="64"/>
      <c r="HA2" s="64"/>
      <c r="HB2" s="64"/>
      <c r="HC2" s="64"/>
      <c r="HD2" s="64"/>
      <c r="HE2" s="64"/>
      <c r="HF2" s="64"/>
      <c r="HG2" s="64"/>
      <c r="HH2" s="64"/>
      <c r="HI2" s="64"/>
      <c r="HJ2" s="64"/>
      <c r="HK2" s="64"/>
      <c r="HL2" s="64"/>
      <c r="HM2" s="64"/>
      <c r="HN2" s="64"/>
      <c r="HO2" s="64"/>
      <c r="HP2" s="64"/>
      <c r="HQ2" s="64"/>
      <c r="HR2" s="64"/>
      <c r="HS2" s="64"/>
      <c r="HT2" s="64"/>
      <c r="HU2" s="64"/>
      <c r="HV2" s="64"/>
      <c r="HW2" s="64"/>
      <c r="HX2" s="64"/>
      <c r="HY2" s="64"/>
      <c r="HZ2" s="64"/>
      <c r="IA2" s="64"/>
      <c r="IB2" s="64"/>
      <c r="IC2" s="64"/>
      <c r="ID2" s="64"/>
      <c r="IE2" s="64"/>
      <c r="IF2" s="64"/>
      <c r="IG2" s="64"/>
      <c r="IH2" s="64"/>
      <c r="II2" s="64"/>
      <c r="IJ2" s="64"/>
      <c r="IK2" s="64"/>
      <c r="IL2" s="64"/>
      <c r="IM2" s="64"/>
      <c r="IN2" s="64"/>
      <c r="IO2" s="64"/>
      <c r="IP2" s="64"/>
      <c r="IQ2" s="64"/>
      <c r="IR2" s="64"/>
      <c r="IS2" s="64"/>
      <c r="IT2" s="64"/>
      <c r="IU2" s="64"/>
      <c r="IV2" s="64"/>
      <c r="IW2" s="64"/>
      <c r="IX2" s="64"/>
      <c r="IY2" s="64"/>
      <c r="IZ2" s="64"/>
      <c r="JA2" s="64"/>
      <c r="JB2" s="64"/>
      <c r="JC2" s="64"/>
      <c r="JD2" s="64"/>
      <c r="JE2" s="64"/>
      <c r="JF2" s="64"/>
      <c r="JG2" s="64"/>
      <c r="JH2" s="64"/>
      <c r="JI2" s="64"/>
      <c r="JJ2" s="64"/>
      <c r="JK2" s="64"/>
      <c r="JL2" s="64"/>
      <c r="JM2" s="64"/>
      <c r="JN2" s="64"/>
      <c r="JO2" s="64"/>
      <c r="JP2" s="64"/>
      <c r="JQ2" s="64"/>
      <c r="JR2" s="64"/>
      <c r="JS2" s="64"/>
      <c r="JT2" s="64"/>
      <c r="JU2" s="64"/>
      <c r="JV2" s="64"/>
      <c r="JW2" s="64"/>
      <c r="JX2" s="64"/>
      <c r="JY2" s="64"/>
      <c r="JZ2" s="64"/>
      <c r="KA2" s="64"/>
      <c r="KB2" s="64"/>
      <c r="KC2" s="64"/>
      <c r="KD2" s="64"/>
      <c r="KE2" s="64"/>
      <c r="KF2" s="64"/>
      <c r="KG2" s="64"/>
      <c r="KH2" s="64"/>
      <c r="KI2" s="64"/>
      <c r="KJ2" s="64"/>
      <c r="KK2" s="64"/>
      <c r="KL2" s="64"/>
      <c r="KM2" s="64"/>
      <c r="KN2" s="64"/>
      <c r="KO2" s="64"/>
      <c r="KP2" s="64"/>
      <c r="KQ2" s="64"/>
      <c r="KR2" s="64"/>
      <c r="KS2" s="64"/>
      <c r="KT2" s="64"/>
      <c r="KU2" s="64"/>
      <c r="KV2" s="64"/>
      <c r="KW2" s="64"/>
      <c r="KX2" s="64"/>
      <c r="KY2" s="64"/>
      <c r="KZ2" s="64"/>
      <c r="LA2" s="64"/>
      <c r="LB2" s="64"/>
      <c r="LC2" s="64"/>
      <c r="LD2" s="64"/>
      <c r="LE2" s="64"/>
      <c r="LF2" s="64"/>
      <c r="LG2" s="64"/>
      <c r="LH2" s="64"/>
      <c r="LI2" s="64"/>
      <c r="LJ2" s="64"/>
      <c r="LK2" s="64"/>
      <c r="LL2" s="64"/>
      <c r="LM2" s="64"/>
      <c r="LN2" s="64"/>
      <c r="LO2" s="64"/>
      <c r="LP2" s="64"/>
      <c r="LQ2" s="64"/>
      <c r="LR2" s="64"/>
      <c r="LS2" s="64"/>
      <c r="LT2" s="64"/>
      <c r="LU2" s="64"/>
      <c r="LV2" s="64"/>
      <c r="LW2" s="64"/>
      <c r="LX2" s="64"/>
      <c r="LY2" s="64"/>
      <c r="LZ2" s="64"/>
      <c r="MA2" s="64"/>
      <c r="MB2" s="64"/>
      <c r="MC2" s="64"/>
      <c r="MD2" s="64"/>
      <c r="ME2" s="64"/>
      <c r="MF2" s="64"/>
      <c r="MG2" s="64"/>
      <c r="MH2" s="64"/>
      <c r="MI2" s="64"/>
      <c r="MJ2" s="64"/>
      <c r="MK2" s="64"/>
      <c r="ML2" s="64"/>
      <c r="MM2" s="64"/>
      <c r="MN2" s="64"/>
      <c r="MO2" s="64"/>
      <c r="MP2" s="64"/>
      <c r="MQ2" s="64"/>
      <c r="MR2" s="64"/>
      <c r="MS2" s="64"/>
      <c r="MT2" s="64"/>
      <c r="MU2" s="64"/>
      <c r="MV2" s="64"/>
      <c r="MW2" s="64"/>
      <c r="MX2" s="64"/>
      <c r="MY2" s="64"/>
      <c r="MZ2" s="64"/>
      <c r="NA2" s="64"/>
      <c r="NB2" s="64"/>
      <c r="NC2" s="64"/>
      <c r="ND2" s="64"/>
      <c r="NE2" s="64"/>
      <c r="NF2" s="64"/>
      <c r="NG2" s="64"/>
      <c r="NH2" s="64"/>
      <c r="NI2" s="64"/>
      <c r="NJ2" s="64"/>
      <c r="NK2" s="64"/>
      <c r="NL2" s="64"/>
      <c r="NM2" s="64"/>
      <c r="NN2" s="64"/>
      <c r="NO2" s="64"/>
      <c r="NP2" s="64"/>
      <c r="NQ2" s="64"/>
      <c r="NR2" s="64"/>
      <c r="NS2" s="64"/>
      <c r="NT2" s="64"/>
      <c r="NU2" s="64"/>
      <c r="NV2" s="64"/>
      <c r="NW2" s="64"/>
      <c r="NX2" s="64"/>
      <c r="NY2" s="64"/>
      <c r="NZ2" s="64"/>
      <c r="OA2" s="64"/>
      <c r="OB2" s="64"/>
      <c r="OC2" s="64"/>
      <c r="OD2" s="64"/>
      <c r="OE2" s="64"/>
      <c r="OF2" s="64"/>
      <c r="OG2" s="64"/>
      <c r="OH2" s="64"/>
      <c r="OI2" s="64"/>
      <c r="OJ2" s="64"/>
      <c r="OK2" s="64"/>
      <c r="OL2" s="64"/>
      <c r="OM2" s="64"/>
      <c r="ON2" s="64"/>
      <c r="OO2" s="64"/>
      <c r="OP2" s="64"/>
      <c r="OQ2" s="64"/>
      <c r="OR2" s="64"/>
      <c r="OS2" s="64"/>
      <c r="OT2" s="64"/>
      <c r="OU2" s="64"/>
      <c r="OV2" s="64"/>
      <c r="OW2" s="64"/>
      <c r="OX2" s="64"/>
      <c r="OY2" s="64"/>
      <c r="OZ2" s="64"/>
      <c r="PA2" s="64"/>
      <c r="PB2" s="64"/>
      <c r="PC2" s="64"/>
      <c r="PD2" s="64"/>
      <c r="PE2" s="64"/>
      <c r="PF2" s="64"/>
      <c r="PG2" s="64"/>
      <c r="PH2" s="64"/>
      <c r="PI2" s="64"/>
      <c r="PJ2" s="64"/>
      <c r="PK2" s="64"/>
      <c r="PL2" s="64"/>
      <c r="PM2" s="64"/>
      <c r="PN2" s="64"/>
      <c r="PO2" s="64"/>
      <c r="PP2" s="64"/>
      <c r="PQ2" s="64"/>
      <c r="PR2" s="64"/>
      <c r="PS2" s="64"/>
      <c r="PT2" s="64"/>
      <c r="PU2" s="64"/>
      <c r="PV2" s="64"/>
      <c r="PW2" s="64"/>
      <c r="PX2" s="64"/>
      <c r="PY2" s="64"/>
      <c r="PZ2" s="64"/>
      <c r="QA2" s="64"/>
      <c r="QB2" s="64"/>
      <c r="QC2" s="64"/>
      <c r="QD2" s="64"/>
      <c r="QE2" s="64"/>
      <c r="QF2" s="64"/>
      <c r="QG2" s="64"/>
      <c r="QH2" s="64"/>
      <c r="QI2" s="64"/>
      <c r="QJ2" s="64"/>
      <c r="QK2" s="64"/>
      <c r="QL2" s="64"/>
      <c r="QM2" s="64"/>
      <c r="QN2" s="64"/>
      <c r="QO2" s="64"/>
      <c r="QP2" s="64"/>
      <c r="QQ2" s="64"/>
      <c r="QR2" s="64"/>
      <c r="QS2" s="64"/>
      <c r="QT2" s="64"/>
      <c r="QU2" s="64"/>
      <c r="QV2" s="64"/>
      <c r="QW2" s="64"/>
      <c r="QX2" s="64"/>
      <c r="QY2" s="64"/>
      <c r="QZ2" s="64"/>
      <c r="RA2" s="64"/>
      <c r="RB2" s="64"/>
      <c r="RC2" s="64"/>
      <c r="RD2" s="64"/>
    </row>
    <row r="3" spans="1:472" x14ac:dyDescent="0.2">
      <c r="A3" s="14"/>
      <c r="B3" s="15" t="str">
        <f ca="1">GetNameRange(B5)</f>
        <v>Upfront</v>
      </c>
      <c r="C3" s="15"/>
      <c r="D3" s="23"/>
      <c r="E3" s="81"/>
      <c r="F3" s="81"/>
      <c r="G3" s="81"/>
      <c r="H3" s="81"/>
      <c r="I3" s="81"/>
      <c r="J3" s="81"/>
      <c r="K3" s="24"/>
      <c r="L3" s="82"/>
      <c r="M3" s="82"/>
      <c r="N3" s="82"/>
      <c r="O3" s="82"/>
      <c r="P3" s="82"/>
      <c r="Q3" s="82"/>
      <c r="R3" s="82"/>
      <c r="S3" s="82"/>
      <c r="T3" s="82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81"/>
      <c r="CF3" s="81"/>
      <c r="CG3" s="81"/>
      <c r="CH3" s="81"/>
      <c r="CI3" s="81"/>
      <c r="CJ3" s="81"/>
      <c r="CK3" s="81"/>
      <c r="CL3" s="81"/>
      <c r="CM3" s="81"/>
      <c r="CN3" s="81"/>
      <c r="CO3" s="81"/>
      <c r="CP3" s="81"/>
      <c r="CQ3" s="81"/>
      <c r="CR3" s="81"/>
      <c r="CS3" s="81"/>
      <c r="CT3" s="81"/>
      <c r="CU3" s="81"/>
      <c r="CV3" s="81"/>
      <c r="CW3" s="81"/>
      <c r="CX3" s="81"/>
      <c r="CY3" s="81"/>
      <c r="CZ3" s="81"/>
      <c r="DA3" s="81"/>
      <c r="DB3" s="81"/>
      <c r="DC3" s="81"/>
      <c r="DD3" s="81"/>
      <c r="DE3" s="81"/>
      <c r="DF3" s="81"/>
      <c r="DG3" s="81"/>
      <c r="DH3" s="81"/>
      <c r="DI3" s="81"/>
      <c r="DJ3" s="81"/>
      <c r="DK3" s="81"/>
      <c r="DL3" s="81"/>
      <c r="DM3" s="81"/>
      <c r="DN3" s="81"/>
      <c r="DO3" s="81"/>
      <c r="DP3" s="81"/>
      <c r="DQ3" s="81"/>
      <c r="DR3" s="81"/>
      <c r="DS3" s="81"/>
      <c r="DT3" s="81"/>
      <c r="DU3" s="81"/>
      <c r="DV3" s="81"/>
      <c r="DW3" s="81"/>
      <c r="DX3" s="81"/>
      <c r="DY3" s="81"/>
      <c r="DZ3" s="81"/>
      <c r="EA3" s="81"/>
      <c r="EB3" s="81"/>
      <c r="EC3" s="81"/>
      <c r="ED3" s="81"/>
      <c r="EE3" s="81"/>
      <c r="EF3" s="81"/>
      <c r="EG3" s="81"/>
      <c r="EH3" s="81"/>
      <c r="EI3" s="81"/>
      <c r="EJ3" s="81"/>
      <c r="EK3" s="81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A3" s="81"/>
      <c r="FB3" s="81"/>
      <c r="FC3" s="81"/>
      <c r="FD3" s="81"/>
      <c r="FE3" s="81"/>
      <c r="FF3" s="81"/>
      <c r="FG3" s="81"/>
      <c r="FH3" s="81"/>
      <c r="FI3" s="81"/>
      <c r="FJ3" s="81"/>
      <c r="FK3" s="81"/>
      <c r="FL3" s="81"/>
      <c r="FM3" s="81"/>
      <c r="FN3" s="81"/>
      <c r="FO3" s="81"/>
      <c r="FP3" s="81"/>
      <c r="FQ3" s="81"/>
      <c r="FR3" s="81"/>
      <c r="FS3" s="81"/>
      <c r="FT3" s="81"/>
      <c r="FU3" s="81"/>
      <c r="FV3" s="81"/>
      <c r="FW3" s="81"/>
      <c r="FX3" s="81"/>
      <c r="FY3" s="81"/>
      <c r="FZ3" s="81"/>
      <c r="GA3" s="81"/>
      <c r="GB3" s="81"/>
      <c r="GC3" s="81"/>
      <c r="GD3" s="81"/>
      <c r="GE3" s="81"/>
      <c r="GF3" s="81"/>
      <c r="GG3" s="81"/>
      <c r="GH3" s="81"/>
      <c r="GI3" s="81"/>
      <c r="GJ3" s="81"/>
      <c r="GK3" s="81"/>
      <c r="GL3" s="81"/>
      <c r="GM3" s="81"/>
      <c r="GN3" s="81"/>
      <c r="GO3" s="81"/>
      <c r="GP3" s="81"/>
      <c r="GQ3" s="81"/>
      <c r="GR3" s="81"/>
      <c r="GS3" s="81"/>
      <c r="GT3" s="81"/>
      <c r="GU3" s="81"/>
      <c r="GV3" s="81"/>
      <c r="GW3" s="81"/>
      <c r="GX3" s="81"/>
      <c r="GY3" s="81"/>
      <c r="GZ3" s="81"/>
      <c r="HA3" s="81"/>
      <c r="HB3" s="81"/>
      <c r="HC3" s="81"/>
      <c r="HD3" s="81"/>
      <c r="HE3" s="81"/>
      <c r="HF3" s="81"/>
      <c r="HG3" s="81"/>
      <c r="HH3" s="81"/>
      <c r="HI3" s="81"/>
      <c r="HJ3" s="81"/>
      <c r="HK3" s="81"/>
      <c r="HL3" s="81"/>
      <c r="HM3" s="81"/>
      <c r="HN3" s="81"/>
      <c r="HO3" s="81"/>
      <c r="HP3" s="81"/>
      <c r="HQ3" s="81"/>
      <c r="HR3" s="81"/>
      <c r="HS3" s="81"/>
      <c r="HT3" s="81"/>
      <c r="HU3" s="81"/>
      <c r="HV3" s="81"/>
      <c r="HW3" s="81"/>
      <c r="HX3" s="81"/>
      <c r="HY3" s="81"/>
      <c r="HZ3" s="81"/>
      <c r="IA3" s="81"/>
      <c r="IB3" s="81"/>
      <c r="IC3" s="81"/>
      <c r="ID3" s="81"/>
      <c r="IE3" s="81"/>
      <c r="IF3" s="81"/>
      <c r="IG3" s="81"/>
      <c r="IH3" s="81"/>
      <c r="II3" s="81"/>
      <c r="IJ3" s="81"/>
      <c r="IK3" s="81"/>
      <c r="IL3" s="81"/>
      <c r="IM3" s="81"/>
      <c r="IN3" s="81"/>
      <c r="IO3" s="81"/>
      <c r="IP3" s="81"/>
      <c r="IQ3" s="81"/>
      <c r="IR3" s="81"/>
      <c r="IS3" s="81"/>
      <c r="IT3" s="81"/>
      <c r="IU3" s="81"/>
      <c r="IV3" s="81"/>
      <c r="IW3" s="81"/>
      <c r="IX3" s="81"/>
      <c r="IY3" s="81"/>
      <c r="IZ3" s="81"/>
      <c r="JA3" s="81"/>
      <c r="JB3" s="81"/>
      <c r="JC3" s="81"/>
      <c r="JD3" s="81"/>
      <c r="JE3" s="81"/>
      <c r="JF3" s="81"/>
      <c r="JG3" s="81"/>
      <c r="JH3" s="81"/>
      <c r="JI3" s="81"/>
      <c r="JJ3" s="81"/>
      <c r="JK3" s="81"/>
      <c r="JL3" s="81"/>
      <c r="JM3" s="81"/>
      <c r="JN3" s="81"/>
      <c r="JO3" s="81"/>
      <c r="JP3" s="81"/>
      <c r="JQ3" s="81"/>
      <c r="JR3" s="81"/>
      <c r="JS3" s="81"/>
      <c r="JT3" s="81"/>
      <c r="JU3" s="81"/>
      <c r="JV3" s="81"/>
      <c r="JW3" s="81"/>
      <c r="JX3" s="81"/>
      <c r="JY3" s="81"/>
      <c r="JZ3" s="81"/>
      <c r="KA3" s="81"/>
      <c r="KB3" s="81"/>
      <c r="KC3" s="81"/>
      <c r="KD3" s="81"/>
      <c r="KE3" s="81"/>
      <c r="KF3" s="81"/>
      <c r="KG3" s="81"/>
      <c r="KH3" s="81"/>
      <c r="KI3" s="81"/>
      <c r="KJ3" s="81"/>
      <c r="KK3" s="81"/>
      <c r="KL3" s="81"/>
      <c r="KM3" s="81"/>
      <c r="KN3" s="81"/>
      <c r="KO3" s="81"/>
      <c r="KP3" s="81"/>
      <c r="KQ3" s="81"/>
      <c r="KR3" s="81"/>
      <c r="KS3" s="81"/>
      <c r="KT3" s="81"/>
      <c r="KU3" s="81"/>
      <c r="KV3" s="81"/>
      <c r="KW3" s="81"/>
      <c r="KX3" s="81"/>
      <c r="KY3" s="81"/>
      <c r="KZ3" s="81"/>
      <c r="LA3" s="81"/>
      <c r="LB3" s="81"/>
      <c r="LC3" s="81"/>
      <c r="LD3" s="81"/>
      <c r="LE3" s="81"/>
      <c r="LF3" s="81"/>
      <c r="LG3" s="81"/>
      <c r="LH3" s="81"/>
      <c r="LI3" s="81"/>
      <c r="LJ3" s="81"/>
      <c r="LK3" s="81"/>
      <c r="LL3" s="81"/>
      <c r="LM3" s="81"/>
      <c r="LN3" s="81"/>
      <c r="LO3" s="81"/>
      <c r="LP3" s="81"/>
      <c r="LQ3" s="81"/>
      <c r="LR3" s="81"/>
      <c r="LS3" s="81"/>
      <c r="LT3" s="81"/>
      <c r="LU3" s="81"/>
      <c r="LV3" s="81"/>
      <c r="LW3" s="81"/>
      <c r="LX3" s="81"/>
      <c r="LY3" s="81"/>
      <c r="LZ3" s="81"/>
      <c r="MA3" s="81"/>
      <c r="MB3" s="81"/>
      <c r="MC3" s="81"/>
      <c r="MD3" s="81"/>
      <c r="ME3" s="81"/>
      <c r="MF3" s="81"/>
      <c r="MG3" s="81"/>
      <c r="MH3" s="81"/>
      <c r="MI3" s="81"/>
      <c r="MJ3" s="81"/>
      <c r="MK3" s="81"/>
      <c r="ML3" s="81"/>
      <c r="MM3" s="81"/>
      <c r="MN3" s="81"/>
      <c r="MO3" s="81"/>
      <c r="MP3" s="81"/>
      <c r="MQ3" s="81"/>
      <c r="MR3" s="81"/>
      <c r="MS3" s="81"/>
      <c r="MT3" s="81"/>
      <c r="MU3" s="81"/>
      <c r="MV3" s="81"/>
      <c r="MW3" s="81"/>
      <c r="MX3" s="81"/>
      <c r="MY3" s="81"/>
      <c r="MZ3" s="81"/>
      <c r="NA3" s="81"/>
      <c r="NB3" s="81"/>
      <c r="NC3" s="81"/>
      <c r="ND3" s="81"/>
      <c r="NE3" s="81"/>
      <c r="NF3" s="81"/>
      <c r="NG3" s="81"/>
      <c r="NH3" s="81"/>
      <c r="NI3" s="81"/>
      <c r="NJ3" s="81"/>
      <c r="NK3" s="81"/>
      <c r="NL3" s="81"/>
      <c r="NM3" s="81"/>
      <c r="NN3" s="81"/>
      <c r="NO3" s="81"/>
      <c r="NP3" s="81"/>
      <c r="NQ3" s="81"/>
      <c r="NR3" s="81"/>
      <c r="NS3" s="81"/>
      <c r="NT3" s="81"/>
      <c r="NU3" s="81"/>
      <c r="NV3" s="81"/>
      <c r="NW3" s="81"/>
      <c r="NX3" s="81"/>
      <c r="NY3" s="81"/>
      <c r="NZ3" s="81"/>
      <c r="OA3" s="81"/>
      <c r="OB3" s="81"/>
      <c r="OC3" s="81"/>
      <c r="OD3" s="81"/>
      <c r="OE3" s="81"/>
      <c r="OF3" s="81"/>
      <c r="OG3" s="81"/>
      <c r="OH3" s="81"/>
      <c r="OI3" s="81"/>
      <c r="OJ3" s="81"/>
      <c r="OK3" s="81"/>
      <c r="OL3" s="81"/>
      <c r="OM3" s="81"/>
      <c r="ON3" s="81"/>
      <c r="OO3" s="81"/>
      <c r="OP3" s="81"/>
      <c r="OQ3" s="81"/>
      <c r="OR3" s="81"/>
      <c r="OS3" s="81"/>
      <c r="OT3" s="81"/>
      <c r="OU3" s="81"/>
      <c r="OV3" s="81"/>
      <c r="OW3" s="81"/>
      <c r="OX3" s="81"/>
      <c r="OY3" s="81"/>
      <c r="OZ3" s="81"/>
      <c r="PA3" s="81"/>
      <c r="PB3" s="81"/>
      <c r="PC3" s="81"/>
      <c r="PD3" s="81"/>
      <c r="PE3" s="81"/>
      <c r="PF3" s="81"/>
      <c r="PG3" s="81"/>
      <c r="PH3" s="81"/>
      <c r="PI3" s="81"/>
      <c r="PJ3" s="81"/>
      <c r="PK3" s="81"/>
      <c r="PL3" s="81"/>
      <c r="PM3" s="81"/>
      <c r="PN3" s="81"/>
      <c r="PO3" s="81"/>
      <c r="PP3" s="81"/>
      <c r="PQ3" s="81"/>
      <c r="PR3" s="81"/>
      <c r="PS3" s="81"/>
      <c r="PT3" s="81"/>
      <c r="PU3" s="81"/>
      <c r="PV3" s="81"/>
      <c r="PW3" s="81"/>
      <c r="PX3" s="81"/>
      <c r="PY3" s="81"/>
      <c r="PZ3" s="81"/>
      <c r="QA3" s="81"/>
      <c r="QB3" s="81"/>
      <c r="QC3" s="81"/>
      <c r="QD3" s="81"/>
      <c r="QE3" s="81"/>
      <c r="QF3" s="81"/>
      <c r="QG3" s="81"/>
      <c r="QH3" s="81"/>
      <c r="QI3" s="81"/>
      <c r="QJ3" s="81"/>
      <c r="QK3" s="81"/>
      <c r="QL3" s="81"/>
      <c r="QM3" s="81"/>
      <c r="QN3" s="81"/>
      <c r="QO3" s="81"/>
      <c r="QP3" s="81"/>
      <c r="QQ3" s="81"/>
      <c r="QR3" s="81"/>
      <c r="QS3" s="81"/>
      <c r="QT3" s="81"/>
      <c r="QU3" s="81"/>
      <c r="QV3" s="81"/>
      <c r="QW3" s="81"/>
      <c r="QX3" s="81"/>
      <c r="QY3" s="81"/>
      <c r="QZ3" s="81"/>
      <c r="RA3" s="81"/>
      <c r="RB3" s="81"/>
      <c r="RC3" s="81"/>
      <c r="RD3" s="81"/>
    </row>
    <row r="4" spans="1:472" ht="51" x14ac:dyDescent="0.2">
      <c r="A4" s="14" t="s">
        <v>7</v>
      </c>
      <c r="B4" s="28" t="s">
        <v>9</v>
      </c>
      <c r="C4" s="38"/>
      <c r="D4" s="34" t="s">
        <v>16</v>
      </c>
      <c r="E4" s="34" t="s">
        <v>383</v>
      </c>
      <c r="F4" s="34" t="s">
        <v>383</v>
      </c>
      <c r="G4" s="34" t="s">
        <v>379</v>
      </c>
      <c r="H4" s="34" t="str">
        <f>G4</f>
        <v>WF7_202404_3.09_1.75Age81_MA</v>
      </c>
      <c r="I4" s="34" t="s">
        <v>378</v>
      </c>
      <c r="J4" s="34" t="s">
        <v>378</v>
      </c>
      <c r="K4" s="77" t="s">
        <v>376</v>
      </c>
      <c r="L4" s="77" t="s">
        <v>359</v>
      </c>
      <c r="M4" s="77" t="str">
        <f>L4</f>
        <v>PS_202501_10.70_6.90age76</v>
      </c>
      <c r="N4" s="77" t="s">
        <v>358</v>
      </c>
      <c r="O4" s="77" t="s">
        <v>357</v>
      </c>
      <c r="P4" s="77" t="s">
        <v>356</v>
      </c>
      <c r="Q4" s="77" t="str">
        <f>P4</f>
        <v>PRIM10_202501_5.60_3.50Age71</v>
      </c>
      <c r="R4" s="79" t="s">
        <v>355</v>
      </c>
      <c r="S4" s="77" t="s">
        <v>354</v>
      </c>
      <c r="T4" s="77" t="str">
        <f>S4</f>
        <v>PRIM7_202501_4.15_2.00Age81</v>
      </c>
      <c r="U4" s="77" t="s">
        <v>353</v>
      </c>
      <c r="V4" s="77" t="s">
        <v>352</v>
      </c>
      <c r="W4" s="77" t="str">
        <f>V4</f>
        <v>VALIC5_202501_2.34_0.70Age81</v>
      </c>
      <c r="X4" s="77" t="s">
        <v>351</v>
      </c>
      <c r="Y4" s="77" t="str">
        <f>X4</f>
        <v>VALIC_2025_2.83_0.7Age81</v>
      </c>
      <c r="Z4" s="77" t="s">
        <v>350</v>
      </c>
      <c r="AA4" s="77" t="str">
        <f>Z4</f>
        <v>P7P_202501_7.10_5.20Age81</v>
      </c>
      <c r="AB4" s="77" t="s">
        <v>349</v>
      </c>
      <c r="AC4" s="77" t="str">
        <f>AB4</f>
        <v>PIP_202501_3.47_3.56Age76_1.52Age81</v>
      </c>
      <c r="AD4" s="77" t="str">
        <f>AB4</f>
        <v>PIP_202501_3.47_3.56Age76_1.52Age81</v>
      </c>
      <c r="AE4" s="77" t="s">
        <v>348</v>
      </c>
      <c r="AF4" s="77" t="str">
        <f>AE4</f>
        <v>PIPREF_202501_4.15_3.48Age76_2.63Age81</v>
      </c>
      <c r="AG4" s="77" t="str">
        <f>AE4</f>
        <v>PIPREF_202501_4.15_3.48Age76_2.63Age81</v>
      </c>
      <c r="AH4" s="77" t="s">
        <v>347</v>
      </c>
      <c r="AI4" s="77" t="str">
        <f>AH4</f>
        <v>NYIA5_202501_2.62_1.53Age81</v>
      </c>
      <c r="AJ4" s="77" t="s">
        <v>346</v>
      </c>
      <c r="AK4" s="77" t="str">
        <f>AJ4</f>
        <v>NYIAG_202501_4.68_1.50Age81</v>
      </c>
      <c r="AL4" s="77" t="s">
        <v>345</v>
      </c>
      <c r="AM4" s="77" t="str">
        <f>AL4</f>
        <v>NYIA_202501_4.14_1.85Age81</v>
      </c>
      <c r="AN4" s="79" t="s">
        <v>344</v>
      </c>
      <c r="AO4" s="79" t="str">
        <f>AN4</f>
        <v>P5P_202501_5.33_2.76Age76_2.72Age81</v>
      </c>
      <c r="AP4" s="79" t="str">
        <f>AN4</f>
        <v>P5P_202501_5.33_2.76Age76_2.72Age81</v>
      </c>
      <c r="AQ4" s="78" t="s">
        <v>343</v>
      </c>
      <c r="AR4" s="78" t="str">
        <f>AQ4</f>
        <v>PI5P_202501_2.57_2.10Age76_1.24Age81</v>
      </c>
      <c r="AS4" s="78" t="str">
        <f>AQ4</f>
        <v>PI5P_202501_2.57_2.10Age76_1.24Age81</v>
      </c>
      <c r="AT4" s="34" t="s">
        <v>381</v>
      </c>
      <c r="AU4" s="34" t="s">
        <v>381</v>
      </c>
      <c r="AV4" s="34" t="s">
        <v>380</v>
      </c>
      <c r="AW4" s="34" t="s">
        <v>380</v>
      </c>
      <c r="AX4" s="34" t="s">
        <v>340</v>
      </c>
      <c r="AY4" s="34" t="s">
        <v>340</v>
      </c>
      <c r="AZ4" s="34" t="s">
        <v>340</v>
      </c>
      <c r="BA4" s="34" t="s">
        <v>340</v>
      </c>
      <c r="BB4" s="34" t="s">
        <v>339</v>
      </c>
      <c r="BC4" s="34" t="s">
        <v>339</v>
      </c>
      <c r="BD4" s="34" t="s">
        <v>339</v>
      </c>
      <c r="BE4" s="34" t="s">
        <v>339</v>
      </c>
      <c r="BF4" s="34" t="s">
        <v>338</v>
      </c>
      <c r="BG4" s="34" t="s">
        <v>338</v>
      </c>
      <c r="BH4" s="34" t="s">
        <v>338</v>
      </c>
      <c r="BI4" s="34" t="s">
        <v>338</v>
      </c>
      <c r="BJ4" s="34" t="s">
        <v>337</v>
      </c>
      <c r="BK4" s="34" t="s">
        <v>337</v>
      </c>
      <c r="BL4" s="34" t="s">
        <v>337</v>
      </c>
      <c r="BM4" s="34" t="s">
        <v>337</v>
      </c>
      <c r="BN4" s="34" t="s">
        <v>336</v>
      </c>
      <c r="BO4" s="34" t="s">
        <v>336</v>
      </c>
      <c r="BP4" s="34" t="s">
        <v>336</v>
      </c>
      <c r="BQ4" s="34" t="s">
        <v>336</v>
      </c>
      <c r="BR4" s="34" t="s">
        <v>335</v>
      </c>
      <c r="BS4" s="34" t="s">
        <v>335</v>
      </c>
      <c r="BT4" s="34" t="s">
        <v>335</v>
      </c>
      <c r="BU4" s="34" t="s">
        <v>335</v>
      </c>
      <c r="BV4" s="34" t="s">
        <v>334</v>
      </c>
      <c r="BW4" s="34" t="s">
        <v>334</v>
      </c>
      <c r="BX4" s="34" t="s">
        <v>334</v>
      </c>
      <c r="BY4" s="34" t="s">
        <v>334</v>
      </c>
      <c r="BZ4" s="34" t="s">
        <v>333</v>
      </c>
      <c r="CA4" s="34" t="s">
        <v>333</v>
      </c>
      <c r="CB4" s="34" t="s">
        <v>333</v>
      </c>
      <c r="CC4" s="34" t="s">
        <v>333</v>
      </c>
      <c r="CD4" s="34" t="s">
        <v>332</v>
      </c>
      <c r="CE4" s="34" t="s">
        <v>332</v>
      </c>
      <c r="CF4" s="34" t="s">
        <v>332</v>
      </c>
      <c r="CG4" s="34" t="s">
        <v>332</v>
      </c>
      <c r="CH4" s="34" t="s">
        <v>325</v>
      </c>
      <c r="CI4" s="34" t="s">
        <v>325</v>
      </c>
      <c r="CJ4" s="34" t="s">
        <v>325</v>
      </c>
      <c r="CK4" s="34" t="s">
        <v>318</v>
      </c>
      <c r="CL4" s="34" t="str">
        <f>CK4</f>
        <v>PIPREM_202301_5_1.5Age81</v>
      </c>
      <c r="CM4" s="34" t="s">
        <v>317</v>
      </c>
      <c r="CN4" s="34" t="s">
        <v>316</v>
      </c>
      <c r="CO4" s="34" t="s">
        <v>315</v>
      </c>
      <c r="CP4" s="34" t="str">
        <f>CO4</f>
        <v>VALIC5_202404_1.93_0.70Age81</v>
      </c>
      <c r="CQ4" s="34" t="s">
        <v>314</v>
      </c>
      <c r="CR4" s="34" t="s">
        <v>314</v>
      </c>
      <c r="CS4" s="34" t="s">
        <v>313</v>
      </c>
      <c r="CT4" s="34" t="s">
        <v>313</v>
      </c>
      <c r="CU4" s="34" t="s">
        <v>313</v>
      </c>
      <c r="CV4" s="34" t="s">
        <v>313</v>
      </c>
      <c r="CW4" s="34" t="s">
        <v>312</v>
      </c>
      <c r="CX4" s="34" t="s">
        <v>312</v>
      </c>
      <c r="CY4" s="34" t="s">
        <v>312</v>
      </c>
      <c r="CZ4" s="34" t="s">
        <v>312</v>
      </c>
      <c r="DA4" s="34" t="s">
        <v>322</v>
      </c>
      <c r="DB4" s="34" t="s">
        <v>322</v>
      </c>
      <c r="DC4" s="34" t="s">
        <v>322</v>
      </c>
      <c r="DD4" s="34" t="s">
        <v>322</v>
      </c>
      <c r="DE4" s="34" t="s">
        <v>301</v>
      </c>
      <c r="DF4" s="34" t="s">
        <v>301</v>
      </c>
      <c r="DG4" s="34" t="s">
        <v>301</v>
      </c>
      <c r="DH4" s="34" t="s">
        <v>301</v>
      </c>
      <c r="DI4" s="34" t="s">
        <v>199</v>
      </c>
      <c r="DJ4" s="34" t="s">
        <v>199</v>
      </c>
      <c r="DK4" s="34" t="s">
        <v>199</v>
      </c>
      <c r="DL4" s="34" t="s">
        <v>199</v>
      </c>
      <c r="DM4" s="34" t="s">
        <v>200</v>
      </c>
      <c r="DN4" s="34" t="s">
        <v>200</v>
      </c>
      <c r="DO4" s="34" t="s">
        <v>200</v>
      </c>
      <c r="DP4" s="34" t="s">
        <v>200</v>
      </c>
      <c r="DQ4" s="34" t="s">
        <v>302</v>
      </c>
      <c r="DR4" s="34" t="s">
        <v>303</v>
      </c>
      <c r="DS4" s="34" t="s">
        <v>304</v>
      </c>
      <c r="DT4" s="34" t="s">
        <v>305</v>
      </c>
      <c r="DU4" s="34" t="s">
        <v>246</v>
      </c>
      <c r="DV4" s="34" t="s">
        <v>246</v>
      </c>
      <c r="DW4" s="34" t="s">
        <v>246</v>
      </c>
      <c r="DX4" s="34" t="s">
        <v>246</v>
      </c>
      <c r="DY4" s="34" t="s">
        <v>306</v>
      </c>
      <c r="DZ4" s="34" t="s">
        <v>307</v>
      </c>
      <c r="EA4" s="34" t="s">
        <v>308</v>
      </c>
      <c r="EB4" s="34" t="s">
        <v>309</v>
      </c>
      <c r="EC4" s="34" t="s">
        <v>201</v>
      </c>
      <c r="ED4" s="34" t="s">
        <v>201</v>
      </c>
      <c r="EE4" s="34" t="s">
        <v>201</v>
      </c>
      <c r="EF4" s="34" t="s">
        <v>201</v>
      </c>
      <c r="EG4" s="34" t="s">
        <v>202</v>
      </c>
      <c r="EH4" s="34" t="s">
        <v>202</v>
      </c>
      <c r="EI4" s="34" t="s">
        <v>202</v>
      </c>
      <c r="EJ4" s="34" t="s">
        <v>202</v>
      </c>
      <c r="EK4" s="34" t="s">
        <v>203</v>
      </c>
      <c r="EL4" s="34" t="s">
        <v>203</v>
      </c>
      <c r="EM4" s="34" t="s">
        <v>204</v>
      </c>
      <c r="EN4" s="34" t="s">
        <v>204</v>
      </c>
      <c r="EO4" s="34" t="s">
        <v>204</v>
      </c>
      <c r="EP4" s="34" t="s">
        <v>204</v>
      </c>
      <c r="EQ4" s="34" t="s">
        <v>205</v>
      </c>
      <c r="ER4" s="34" t="s">
        <v>205</v>
      </c>
      <c r="ES4" s="34" t="s">
        <v>205</v>
      </c>
      <c r="ET4" s="34" t="s">
        <v>205</v>
      </c>
      <c r="EU4" s="34" t="s">
        <v>206</v>
      </c>
      <c r="EV4" s="34" t="s">
        <v>206</v>
      </c>
      <c r="EW4" s="34" t="s">
        <v>206</v>
      </c>
      <c r="EX4" s="34" t="s">
        <v>206</v>
      </c>
      <c r="EY4" s="34" t="s">
        <v>207</v>
      </c>
      <c r="EZ4" s="34" t="s">
        <v>207</v>
      </c>
      <c r="FA4" s="34" t="s">
        <v>207</v>
      </c>
      <c r="FB4" s="34" t="s">
        <v>208</v>
      </c>
      <c r="FC4" s="34" t="s">
        <v>208</v>
      </c>
      <c r="FD4" s="34" t="s">
        <v>208</v>
      </c>
      <c r="FE4" s="34" t="s">
        <v>209</v>
      </c>
      <c r="FF4" s="34" t="s">
        <v>209</v>
      </c>
      <c r="FG4" s="34" t="s">
        <v>209</v>
      </c>
      <c r="FH4" s="34" t="s">
        <v>210</v>
      </c>
      <c r="FI4" s="34" t="s">
        <v>210</v>
      </c>
      <c r="FJ4" s="34" t="s">
        <v>210</v>
      </c>
      <c r="FK4" s="34" t="s">
        <v>211</v>
      </c>
      <c r="FL4" s="34" t="s">
        <v>211</v>
      </c>
      <c r="FM4" s="34" t="s">
        <v>211</v>
      </c>
      <c r="FN4" s="34" t="s">
        <v>212</v>
      </c>
      <c r="FO4" s="34" t="s">
        <v>212</v>
      </c>
      <c r="FP4" s="34" t="s">
        <v>212</v>
      </c>
      <c r="FQ4" s="34" t="s">
        <v>213</v>
      </c>
      <c r="FR4" s="34" t="s">
        <v>213</v>
      </c>
      <c r="FS4" s="34" t="s">
        <v>213</v>
      </c>
      <c r="FT4" s="34" t="s">
        <v>214</v>
      </c>
      <c r="FU4" s="34" t="s">
        <v>214</v>
      </c>
      <c r="FV4" s="34" t="s">
        <v>214</v>
      </c>
      <c r="FW4" s="34" t="s">
        <v>215</v>
      </c>
      <c r="FX4" s="34" t="s">
        <v>215</v>
      </c>
      <c r="FY4" s="34" t="s">
        <v>215</v>
      </c>
      <c r="FZ4" s="34" t="s">
        <v>216</v>
      </c>
      <c r="GA4" s="34" t="s">
        <v>216</v>
      </c>
      <c r="GB4" s="34" t="s">
        <v>216</v>
      </c>
      <c r="GC4" s="34" t="s">
        <v>216</v>
      </c>
      <c r="GD4" s="34" t="s">
        <v>217</v>
      </c>
      <c r="GE4" s="34" t="s">
        <v>217</v>
      </c>
      <c r="GF4" s="34" t="s">
        <v>217</v>
      </c>
      <c r="GG4" s="34" t="s">
        <v>217</v>
      </c>
      <c r="GH4" s="34" t="s">
        <v>218</v>
      </c>
      <c r="GI4" s="34" t="s">
        <v>218</v>
      </c>
      <c r="GJ4" s="34" t="s">
        <v>218</v>
      </c>
      <c r="GK4" s="34" t="s">
        <v>218</v>
      </c>
      <c r="GL4" s="34" t="s">
        <v>219</v>
      </c>
      <c r="GM4" s="34" t="s">
        <v>219</v>
      </c>
      <c r="GN4" s="34" t="s">
        <v>219</v>
      </c>
      <c r="GO4" s="34" t="s">
        <v>219</v>
      </c>
      <c r="GP4" s="34" t="s">
        <v>220</v>
      </c>
      <c r="GQ4" s="34" t="s">
        <v>220</v>
      </c>
      <c r="GR4" s="34" t="s">
        <v>220</v>
      </c>
      <c r="GS4" s="34" t="s">
        <v>220</v>
      </c>
      <c r="GT4" s="34" t="s">
        <v>221</v>
      </c>
      <c r="GU4" s="34" t="s">
        <v>221</v>
      </c>
      <c r="GV4" s="34" t="s">
        <v>221</v>
      </c>
      <c r="GW4" s="34" t="s">
        <v>221</v>
      </c>
      <c r="GX4" s="34" t="s">
        <v>222</v>
      </c>
      <c r="GY4" s="34" t="s">
        <v>222</v>
      </c>
      <c r="GZ4" s="34" t="s">
        <v>222</v>
      </c>
      <c r="HA4" s="34" t="s">
        <v>222</v>
      </c>
      <c r="HB4" s="34" t="s">
        <v>223</v>
      </c>
      <c r="HC4" s="34" t="s">
        <v>223</v>
      </c>
      <c r="HD4" s="34" t="s">
        <v>223</v>
      </c>
      <c r="HE4" s="34" t="s">
        <v>223</v>
      </c>
      <c r="HF4" s="34" t="s">
        <v>224</v>
      </c>
      <c r="HG4" s="34" t="s">
        <v>224</v>
      </c>
      <c r="HH4" s="34" t="s">
        <v>224</v>
      </c>
      <c r="HI4" s="34" t="s">
        <v>224</v>
      </c>
      <c r="HJ4" s="34" t="s">
        <v>310</v>
      </c>
      <c r="HK4" s="34" t="s">
        <v>311</v>
      </c>
      <c r="HL4" s="34" t="s">
        <v>225</v>
      </c>
      <c r="HM4" s="34" t="s">
        <v>225</v>
      </c>
      <c r="HN4" s="34" t="s">
        <v>226</v>
      </c>
      <c r="HO4" s="34" t="s">
        <v>226</v>
      </c>
      <c r="HP4" s="34" t="s">
        <v>382</v>
      </c>
      <c r="HQ4" s="34" t="s">
        <v>382</v>
      </c>
      <c r="HR4" s="34" t="s">
        <v>227</v>
      </c>
      <c r="HS4" s="34" t="s">
        <v>227</v>
      </c>
      <c r="HT4" s="34" t="s">
        <v>228</v>
      </c>
      <c r="HU4" s="34" t="s">
        <v>228</v>
      </c>
      <c r="HV4" s="34" t="s">
        <v>229</v>
      </c>
      <c r="HW4" s="34" t="s">
        <v>229</v>
      </c>
      <c r="HX4" s="34" t="s">
        <v>230</v>
      </c>
      <c r="HY4" s="34" t="s">
        <v>230</v>
      </c>
      <c r="HZ4" s="34" t="s">
        <v>230</v>
      </c>
      <c r="IA4" s="34" t="s">
        <v>230</v>
      </c>
      <c r="IB4" s="34" t="s">
        <v>231</v>
      </c>
      <c r="IC4" s="34" t="s">
        <v>231</v>
      </c>
      <c r="ID4" s="34" t="s">
        <v>231</v>
      </c>
      <c r="IE4" s="34" t="s">
        <v>231</v>
      </c>
      <c r="IF4" s="34" t="s">
        <v>232</v>
      </c>
      <c r="IG4" s="34" t="s">
        <v>232</v>
      </c>
      <c r="IH4" s="34" t="s">
        <v>233</v>
      </c>
      <c r="II4" s="34" t="s">
        <v>233</v>
      </c>
      <c r="IJ4" s="34" t="s">
        <v>233</v>
      </c>
      <c r="IK4" s="34" t="s">
        <v>233</v>
      </c>
      <c r="IL4" s="34" t="s">
        <v>234</v>
      </c>
      <c r="IM4" s="34" t="s">
        <v>234</v>
      </c>
      <c r="IN4" s="34" t="s">
        <v>234</v>
      </c>
      <c r="IO4" s="34" t="s">
        <v>234</v>
      </c>
      <c r="IP4" s="34" t="s">
        <v>235</v>
      </c>
      <c r="IQ4" s="34" t="s">
        <v>235</v>
      </c>
      <c r="IR4" s="34" t="s">
        <v>235</v>
      </c>
      <c r="IS4" s="34" t="s">
        <v>235</v>
      </c>
      <c r="IT4" s="34" t="s">
        <v>236</v>
      </c>
      <c r="IU4" s="34" t="s">
        <v>236</v>
      </c>
      <c r="IV4" s="34" t="s">
        <v>236</v>
      </c>
      <c r="IW4" s="34" t="s">
        <v>236</v>
      </c>
      <c r="IX4" s="34" t="s">
        <v>237</v>
      </c>
      <c r="IY4" s="34" t="s">
        <v>237</v>
      </c>
      <c r="IZ4" s="34" t="s">
        <v>237</v>
      </c>
      <c r="JA4" s="34" t="s">
        <v>237</v>
      </c>
      <c r="JB4" s="34" t="s">
        <v>238</v>
      </c>
      <c r="JC4" s="34" t="s">
        <v>238</v>
      </c>
      <c r="JD4" s="34" t="s">
        <v>238</v>
      </c>
      <c r="JE4" s="34" t="s">
        <v>238</v>
      </c>
      <c r="JF4" s="34" t="s">
        <v>239</v>
      </c>
      <c r="JG4" s="34" t="s">
        <v>239</v>
      </c>
      <c r="JH4" s="34" t="s">
        <v>239</v>
      </c>
      <c r="JI4" s="34" t="s">
        <v>239</v>
      </c>
      <c r="JJ4" s="34" t="s">
        <v>240</v>
      </c>
      <c r="JK4" s="34" t="s">
        <v>240</v>
      </c>
      <c r="JL4" s="34" t="s">
        <v>240</v>
      </c>
      <c r="JM4" s="34" t="s">
        <v>240</v>
      </c>
      <c r="JN4" s="34" t="s">
        <v>241</v>
      </c>
      <c r="JO4" s="34" t="s">
        <v>241</v>
      </c>
      <c r="JP4" s="34" t="s">
        <v>241</v>
      </c>
      <c r="JQ4" s="34" t="s">
        <v>241</v>
      </c>
      <c r="JR4" s="34" t="s">
        <v>242</v>
      </c>
      <c r="JS4" s="34" t="s">
        <v>242</v>
      </c>
      <c r="JT4" s="34" t="s">
        <v>242</v>
      </c>
      <c r="JU4" s="34" t="s">
        <v>242</v>
      </c>
      <c r="JV4" s="34" t="s">
        <v>243</v>
      </c>
      <c r="JW4" s="34" t="s">
        <v>243</v>
      </c>
      <c r="JX4" s="34" t="s">
        <v>243</v>
      </c>
      <c r="JY4" s="34" t="s">
        <v>243</v>
      </c>
      <c r="JZ4" s="34" t="s">
        <v>244</v>
      </c>
      <c r="KA4" s="34" t="s">
        <v>244</v>
      </c>
      <c r="KB4" s="34" t="s">
        <v>244</v>
      </c>
      <c r="KC4" s="34" t="s">
        <v>244</v>
      </c>
      <c r="KD4" s="34" t="s">
        <v>245</v>
      </c>
      <c r="KE4" s="34" t="s">
        <v>245</v>
      </c>
      <c r="KF4" s="34" t="s">
        <v>245</v>
      </c>
      <c r="KG4" s="34" t="s">
        <v>245</v>
      </c>
      <c r="KH4" s="34" t="s">
        <v>23</v>
      </c>
      <c r="KI4" s="34" t="s">
        <v>23</v>
      </c>
      <c r="KJ4" s="34" t="s">
        <v>323</v>
      </c>
      <c r="KK4" s="34" t="s">
        <v>323</v>
      </c>
      <c r="KL4" s="34" t="s">
        <v>275</v>
      </c>
      <c r="KM4" s="34" t="str">
        <f>KL4</f>
        <v>WF5_202404_3.30_1.53Age81</v>
      </c>
      <c r="KN4" s="34" t="s">
        <v>68</v>
      </c>
      <c r="KO4" s="34" t="s">
        <v>68</v>
      </c>
      <c r="KP4" s="34" t="s">
        <v>90</v>
      </c>
      <c r="KQ4" s="34" t="s">
        <v>90</v>
      </c>
      <c r="KR4" s="34" t="s">
        <v>146</v>
      </c>
      <c r="KS4" s="34" t="s">
        <v>146</v>
      </c>
      <c r="KT4" s="34" t="s">
        <v>247</v>
      </c>
      <c r="KU4" s="34" t="str">
        <f>KT4</f>
        <v>PI5P_202404_2.46_2.16Age76_1.25Age81</v>
      </c>
      <c r="KV4" s="34" t="str">
        <f>KT4</f>
        <v>PI5P_202404_2.46_2.16Age76_1.25Age81</v>
      </c>
      <c r="KW4" s="34" t="s">
        <v>27</v>
      </c>
      <c r="KX4" s="34" t="s">
        <v>27</v>
      </c>
      <c r="KY4" s="34" t="s">
        <v>60</v>
      </c>
      <c r="KZ4" s="34" t="s">
        <v>60</v>
      </c>
      <c r="LA4" s="34" t="s">
        <v>69</v>
      </c>
      <c r="LB4" s="34" t="s">
        <v>69</v>
      </c>
      <c r="LC4" s="34" t="s">
        <v>92</v>
      </c>
      <c r="LD4" s="34" t="s">
        <v>92</v>
      </c>
      <c r="LE4" s="34" t="s">
        <v>147</v>
      </c>
      <c r="LF4" s="34" t="s">
        <v>147</v>
      </c>
      <c r="LG4" s="34" t="s">
        <v>179</v>
      </c>
      <c r="LH4" s="34" t="s">
        <v>179</v>
      </c>
      <c r="LI4" s="34" t="s">
        <v>248</v>
      </c>
      <c r="LJ4" s="34" t="str">
        <f>LI4</f>
        <v>P5P_202404_4.42_2.57Age76_2.57Age81</v>
      </c>
      <c r="LK4" s="34" t="str">
        <f>LI4</f>
        <v>P5P_202404_4.42_2.57Age76_2.57Age81</v>
      </c>
      <c r="LL4" s="34" t="s">
        <v>58</v>
      </c>
      <c r="LM4" s="34" t="s">
        <v>58</v>
      </c>
      <c r="LN4" s="34" t="s">
        <v>83</v>
      </c>
      <c r="LO4" s="34" t="s">
        <v>83</v>
      </c>
      <c r="LP4" s="34" t="s">
        <v>159</v>
      </c>
      <c r="LQ4" s="34" t="s">
        <v>159</v>
      </c>
      <c r="LR4" s="34" t="s">
        <v>25</v>
      </c>
      <c r="LS4" s="34" t="s">
        <v>26</v>
      </c>
      <c r="LT4" s="34" t="s">
        <v>24</v>
      </c>
      <c r="LU4" s="34" t="s">
        <v>249</v>
      </c>
      <c r="LV4" s="34" t="str">
        <f>LU4</f>
        <v>NYIA_202404_4.03_1.86Age81</v>
      </c>
      <c r="LW4" s="34" t="s">
        <v>86</v>
      </c>
      <c r="LX4" s="34" t="s">
        <v>63</v>
      </c>
      <c r="LY4" s="34" t="s">
        <v>103</v>
      </c>
      <c r="LZ4" s="34" t="s">
        <v>128</v>
      </c>
      <c r="MA4" s="34" t="s">
        <v>128</v>
      </c>
      <c r="MB4" s="34" t="s">
        <v>133</v>
      </c>
      <c r="MC4" s="34" t="s">
        <v>133</v>
      </c>
      <c r="MD4" s="34" t="s">
        <v>148</v>
      </c>
      <c r="ME4" s="34" t="s">
        <v>148</v>
      </c>
      <c r="MF4" s="34" t="s">
        <v>183</v>
      </c>
      <c r="MG4" s="34" t="s">
        <v>183</v>
      </c>
      <c r="MH4" s="34" t="s">
        <v>250</v>
      </c>
      <c r="MI4" s="34" t="str">
        <f>MH4</f>
        <v>NYIAG_202404_4.68_1.50Age81</v>
      </c>
      <c r="MJ4" s="34" t="s">
        <v>194</v>
      </c>
      <c r="MK4" s="34" t="s">
        <v>194</v>
      </c>
      <c r="ML4" s="34" t="s">
        <v>187</v>
      </c>
      <c r="MM4" s="34" t="s">
        <v>252</v>
      </c>
      <c r="MN4" s="34" t="s">
        <v>252</v>
      </c>
      <c r="MO4" s="34" t="s">
        <v>126</v>
      </c>
      <c r="MP4" s="34" t="s">
        <v>127</v>
      </c>
      <c r="MQ4" s="34" t="s">
        <v>127</v>
      </c>
      <c r="MR4" s="34" t="s">
        <v>134</v>
      </c>
      <c r="MS4" s="34" t="s">
        <v>134</v>
      </c>
      <c r="MT4" s="34" t="s">
        <v>151</v>
      </c>
      <c r="MU4" s="34" t="s">
        <v>151</v>
      </c>
      <c r="MV4" s="34" t="s">
        <v>189</v>
      </c>
      <c r="MW4" s="34" t="s">
        <v>189</v>
      </c>
      <c r="MX4" s="34" t="s">
        <v>253</v>
      </c>
      <c r="MY4" s="34" t="str">
        <f>MX4</f>
        <v>PIPREF_202404_4.05_3.39Age76_2.31Age81</v>
      </c>
      <c r="MZ4" s="34" t="str">
        <f>MX4</f>
        <v>PIPREF_202404_4.05_3.39Age76_2.31Age81</v>
      </c>
      <c r="NA4" s="34" t="s">
        <v>70</v>
      </c>
      <c r="NB4" s="34" t="s">
        <v>87</v>
      </c>
      <c r="NC4" s="34" t="s">
        <v>87</v>
      </c>
      <c r="ND4" s="34" t="s">
        <v>87</v>
      </c>
      <c r="NE4" s="34" t="s">
        <v>166</v>
      </c>
      <c r="NF4" s="34" t="s">
        <v>166</v>
      </c>
      <c r="NG4" s="34" t="s">
        <v>166</v>
      </c>
      <c r="NH4" s="34" t="s">
        <v>324</v>
      </c>
      <c r="NI4" s="34" t="str">
        <f>NH4</f>
        <v>WF7_202404_3.10_1.75Age81_MA</v>
      </c>
      <c r="NJ4" s="34" t="s">
        <v>254</v>
      </c>
      <c r="NK4" s="34" t="str">
        <f>NJ4</f>
        <v>WF7_202404_3.10_1.75Age81</v>
      </c>
      <c r="NL4" s="34" t="s">
        <v>73</v>
      </c>
      <c r="NM4" s="34" t="s">
        <v>73</v>
      </c>
      <c r="NN4" s="34" t="s">
        <v>93</v>
      </c>
      <c r="NO4" s="34" t="s">
        <v>93</v>
      </c>
      <c r="NP4" s="34" t="s">
        <v>135</v>
      </c>
      <c r="NQ4" s="34" t="s">
        <v>135</v>
      </c>
      <c r="NR4" s="34" t="s">
        <v>255</v>
      </c>
      <c r="NS4" s="34" t="str">
        <f>NR4</f>
        <v>PIP_202404_3.65_3.66Age76_1.55Age81</v>
      </c>
      <c r="NT4" s="34" t="str">
        <f>NR4</f>
        <v>PIP_202404_3.65_3.66Age76_1.55Age81</v>
      </c>
      <c r="NU4" s="34" t="s">
        <v>28</v>
      </c>
      <c r="NV4" s="34" t="s">
        <v>28</v>
      </c>
      <c r="NW4" s="34" t="s">
        <v>74</v>
      </c>
      <c r="NX4" s="34" t="s">
        <v>74</v>
      </c>
      <c r="NY4" s="34" t="s">
        <v>95</v>
      </c>
      <c r="NZ4" s="34" t="s">
        <v>95</v>
      </c>
      <c r="OA4" s="34" t="s">
        <v>153</v>
      </c>
      <c r="OB4" s="34" t="s">
        <v>153</v>
      </c>
      <c r="OC4" s="34" t="s">
        <v>180</v>
      </c>
      <c r="OD4" s="34" t="s">
        <v>180</v>
      </c>
      <c r="OE4" s="34" t="s">
        <v>256</v>
      </c>
      <c r="OF4" s="34" t="str">
        <f>OE4</f>
        <v>P7P_202404_7.12_5.05Age81</v>
      </c>
      <c r="OG4" s="34" t="s">
        <v>29</v>
      </c>
      <c r="OH4" s="34" t="s">
        <v>29</v>
      </c>
      <c r="OI4" s="34" t="s">
        <v>84</v>
      </c>
      <c r="OJ4" s="34" t="s">
        <v>84</v>
      </c>
      <c r="OK4" s="34" t="s">
        <v>160</v>
      </c>
      <c r="OL4" s="34" t="s">
        <v>160</v>
      </c>
      <c r="OM4" s="34" t="s">
        <v>257</v>
      </c>
      <c r="ON4" s="34" t="str">
        <f>OM4</f>
        <v>VALIC_2024_2.70_0.7Age81</v>
      </c>
      <c r="OO4" s="34" t="s">
        <v>30</v>
      </c>
      <c r="OP4" s="34" t="s">
        <v>30</v>
      </c>
      <c r="OQ4" s="34" t="s">
        <v>174</v>
      </c>
      <c r="OR4" s="34" t="s">
        <v>174</v>
      </c>
      <c r="OS4" s="34" t="s">
        <v>31</v>
      </c>
      <c r="OT4" s="34" t="s">
        <v>48</v>
      </c>
      <c r="OU4" s="34" t="s">
        <v>75</v>
      </c>
      <c r="OV4" s="34" t="s">
        <v>75</v>
      </c>
      <c r="OW4" s="34" t="s">
        <v>98</v>
      </c>
      <c r="OX4" s="34" t="s">
        <v>98</v>
      </c>
      <c r="OY4" s="34" t="s">
        <v>155</v>
      </c>
      <c r="OZ4" s="34" t="s">
        <v>155</v>
      </c>
      <c r="PA4" s="34" t="s">
        <v>182</v>
      </c>
      <c r="PB4" s="34" t="s">
        <v>182</v>
      </c>
      <c r="PC4" s="34" t="s">
        <v>258</v>
      </c>
      <c r="PD4" s="34" t="s">
        <v>185</v>
      </c>
      <c r="PE4" s="34" t="s">
        <v>259</v>
      </c>
      <c r="PF4" s="34" t="str">
        <f>PE4</f>
        <v>PRIM7_202404_4.35_2.20Age81</v>
      </c>
      <c r="PG4" s="34" t="s">
        <v>32</v>
      </c>
      <c r="PH4" s="34" t="s">
        <v>32</v>
      </c>
      <c r="PI4" s="34" t="s">
        <v>78</v>
      </c>
      <c r="PJ4" s="34" t="s">
        <v>78</v>
      </c>
      <c r="PK4" s="34" t="s">
        <v>99</v>
      </c>
      <c r="PL4" s="34" t="s">
        <v>99</v>
      </c>
      <c r="PM4" s="34" t="s">
        <v>137</v>
      </c>
      <c r="PN4" s="34" t="s">
        <v>137</v>
      </c>
      <c r="PO4" s="34" t="s">
        <v>176</v>
      </c>
      <c r="PP4" s="34" t="s">
        <v>176</v>
      </c>
      <c r="PQ4" s="34" t="s">
        <v>260</v>
      </c>
      <c r="PR4" s="34" t="s">
        <v>34</v>
      </c>
      <c r="PS4" s="34" t="s">
        <v>89</v>
      </c>
      <c r="PT4" s="34" t="s">
        <v>169</v>
      </c>
      <c r="PU4" s="34" t="s">
        <v>261</v>
      </c>
      <c r="PV4" s="34" t="str">
        <f>PU4</f>
        <v>PRIM10_202404_5.80_3.70Age71</v>
      </c>
      <c r="PW4" s="34" t="s">
        <v>33</v>
      </c>
      <c r="PX4" s="34" t="s">
        <v>33</v>
      </c>
      <c r="PY4" s="34" t="s">
        <v>82</v>
      </c>
      <c r="PZ4" s="34" t="s">
        <v>82</v>
      </c>
      <c r="QA4" s="34" t="s">
        <v>105</v>
      </c>
      <c r="QB4" s="34" t="s">
        <v>105</v>
      </c>
      <c r="QC4" s="34" t="s">
        <v>156</v>
      </c>
      <c r="QD4" s="34" t="s">
        <v>156</v>
      </c>
      <c r="QE4" s="34" t="s">
        <v>178</v>
      </c>
      <c r="QF4" s="34" t="s">
        <v>178</v>
      </c>
      <c r="QG4" s="34" t="s">
        <v>262</v>
      </c>
      <c r="QH4" s="34" t="s">
        <v>35</v>
      </c>
      <c r="QI4" s="34" t="s">
        <v>79</v>
      </c>
      <c r="QJ4" s="34" t="s">
        <v>157</v>
      </c>
      <c r="QK4" s="34" t="s">
        <v>177</v>
      </c>
      <c r="QL4" s="34" t="s">
        <v>144</v>
      </c>
      <c r="QM4" s="34" t="s">
        <v>143</v>
      </c>
      <c r="QN4" s="34" t="s">
        <v>190</v>
      </c>
      <c r="QO4" s="34" t="s">
        <v>263</v>
      </c>
      <c r="QP4" s="34" t="s">
        <v>36</v>
      </c>
      <c r="QQ4" s="34" t="s">
        <v>85</v>
      </c>
      <c r="QR4" s="34" t="s">
        <v>161</v>
      </c>
      <c r="QS4" s="34" t="s">
        <v>264</v>
      </c>
      <c r="QT4" s="34" t="str">
        <f>QS4</f>
        <v>PS_202404_10.60_6.80age76</v>
      </c>
      <c r="QU4" s="34" t="s">
        <v>37</v>
      </c>
      <c r="QV4" s="34" t="s">
        <v>37</v>
      </c>
      <c r="QW4" s="34" t="s">
        <v>101</v>
      </c>
      <c r="QX4" s="34" t="s">
        <v>101</v>
      </c>
      <c r="QY4" s="34" t="s">
        <v>102</v>
      </c>
      <c r="QZ4" s="34" t="s">
        <v>102</v>
      </c>
      <c r="RA4" s="34" t="s">
        <v>125</v>
      </c>
      <c r="RB4" s="34" t="s">
        <v>125</v>
      </c>
      <c r="RC4" s="34" t="s">
        <v>167</v>
      </c>
      <c r="RD4" s="34" t="s">
        <v>167</v>
      </c>
    </row>
    <row r="5" spans="1:472" s="37" customFormat="1" x14ac:dyDescent="0.2">
      <c r="A5" s="35"/>
      <c r="B5" s="36" t="s">
        <v>10</v>
      </c>
      <c r="C5" s="40"/>
      <c r="D5" s="34">
        <v>0</v>
      </c>
      <c r="E5" s="34">
        <v>0</v>
      </c>
      <c r="F5" s="34">
        <v>81</v>
      </c>
      <c r="G5" s="34">
        <v>0</v>
      </c>
      <c r="H5" s="34">
        <v>81</v>
      </c>
      <c r="I5" s="34">
        <v>0</v>
      </c>
      <c r="J5" s="34">
        <v>81</v>
      </c>
      <c r="K5" s="34">
        <v>0</v>
      </c>
      <c r="L5" s="44">
        <v>0</v>
      </c>
      <c r="M5" s="44">
        <v>76</v>
      </c>
      <c r="N5" s="44">
        <v>0</v>
      </c>
      <c r="O5" s="34">
        <v>0</v>
      </c>
      <c r="P5" s="34">
        <v>0</v>
      </c>
      <c r="Q5" s="34">
        <v>71</v>
      </c>
      <c r="R5" s="44">
        <v>0</v>
      </c>
      <c r="S5" s="34">
        <v>0</v>
      </c>
      <c r="T5" s="34">
        <v>81</v>
      </c>
      <c r="U5" s="34">
        <v>0</v>
      </c>
      <c r="V5" s="34">
        <v>0</v>
      </c>
      <c r="W5" s="34">
        <v>81</v>
      </c>
      <c r="X5" s="34">
        <v>0</v>
      </c>
      <c r="Y5" s="34">
        <v>81</v>
      </c>
      <c r="Z5" s="44">
        <v>0</v>
      </c>
      <c r="AA5" s="44">
        <v>81</v>
      </c>
      <c r="AB5" s="34">
        <v>0</v>
      </c>
      <c r="AC5" s="34">
        <v>76</v>
      </c>
      <c r="AD5" s="34">
        <v>81</v>
      </c>
      <c r="AE5" s="34">
        <v>0</v>
      </c>
      <c r="AF5" s="34">
        <v>76</v>
      </c>
      <c r="AG5" s="34">
        <v>81</v>
      </c>
      <c r="AH5" s="34">
        <v>0</v>
      </c>
      <c r="AI5" s="34">
        <v>81</v>
      </c>
      <c r="AJ5" s="34">
        <v>0</v>
      </c>
      <c r="AK5" s="34">
        <v>81</v>
      </c>
      <c r="AL5" s="34">
        <v>0</v>
      </c>
      <c r="AM5" s="34">
        <v>81</v>
      </c>
      <c r="AN5" s="44">
        <v>0</v>
      </c>
      <c r="AO5" s="44">
        <v>76</v>
      </c>
      <c r="AP5" s="44">
        <v>81</v>
      </c>
      <c r="AQ5" s="34">
        <v>0</v>
      </c>
      <c r="AR5" s="34">
        <v>76</v>
      </c>
      <c r="AS5" s="34">
        <v>81</v>
      </c>
      <c r="AT5" s="34">
        <v>0</v>
      </c>
      <c r="AU5" s="34">
        <v>81</v>
      </c>
      <c r="AV5" s="34">
        <v>0</v>
      </c>
      <c r="AW5" s="34">
        <v>81</v>
      </c>
      <c r="AX5" s="34">
        <v>0</v>
      </c>
      <c r="AY5" s="34">
        <v>70</v>
      </c>
      <c r="AZ5" s="34">
        <v>81</v>
      </c>
      <c r="BA5" s="34">
        <v>86</v>
      </c>
      <c r="BB5" s="34">
        <v>0</v>
      </c>
      <c r="BC5" s="34">
        <v>70</v>
      </c>
      <c r="BD5" s="34">
        <v>81</v>
      </c>
      <c r="BE5" s="34">
        <v>86</v>
      </c>
      <c r="BF5" s="34">
        <v>0</v>
      </c>
      <c r="BG5" s="34">
        <v>70</v>
      </c>
      <c r="BH5" s="34">
        <v>81</v>
      </c>
      <c r="BI5" s="34">
        <v>86</v>
      </c>
      <c r="BJ5" s="34">
        <v>0</v>
      </c>
      <c r="BK5" s="34">
        <v>70</v>
      </c>
      <c r="BL5" s="34">
        <v>81</v>
      </c>
      <c r="BM5" s="34">
        <v>86</v>
      </c>
      <c r="BN5" s="34">
        <v>0</v>
      </c>
      <c r="BO5" s="34">
        <v>70</v>
      </c>
      <c r="BP5" s="34">
        <v>81</v>
      </c>
      <c r="BQ5" s="34">
        <v>86</v>
      </c>
      <c r="BR5" s="34">
        <v>0</v>
      </c>
      <c r="BS5" s="34">
        <v>70</v>
      </c>
      <c r="BT5" s="34">
        <v>81</v>
      </c>
      <c r="BU5" s="34">
        <v>86</v>
      </c>
      <c r="BV5" s="34">
        <v>0</v>
      </c>
      <c r="BW5" s="34">
        <v>70</v>
      </c>
      <c r="BX5" s="34">
        <v>81</v>
      </c>
      <c r="BY5" s="34">
        <v>86</v>
      </c>
      <c r="BZ5" s="34">
        <v>0</v>
      </c>
      <c r="CA5" s="34">
        <v>70</v>
      </c>
      <c r="CB5" s="34">
        <v>76</v>
      </c>
      <c r="CC5" s="34">
        <v>81</v>
      </c>
      <c r="CD5" s="34">
        <v>0</v>
      </c>
      <c r="CE5" s="34">
        <v>70</v>
      </c>
      <c r="CF5" s="34">
        <v>81</v>
      </c>
      <c r="CG5" s="34">
        <v>86</v>
      </c>
      <c r="CH5" s="34">
        <v>0</v>
      </c>
      <c r="CI5" s="34">
        <v>76</v>
      </c>
      <c r="CJ5" s="34">
        <v>81</v>
      </c>
      <c r="CK5" s="34">
        <v>0</v>
      </c>
      <c r="CL5" s="34">
        <v>81</v>
      </c>
      <c r="CM5" s="34">
        <v>0</v>
      </c>
      <c r="CN5" s="34">
        <v>0</v>
      </c>
      <c r="CO5" s="34">
        <v>0</v>
      </c>
      <c r="CP5" s="34">
        <v>81</v>
      </c>
      <c r="CQ5" s="34">
        <v>0</v>
      </c>
      <c r="CR5" s="34">
        <v>81</v>
      </c>
      <c r="CS5" s="34">
        <v>0</v>
      </c>
      <c r="CT5" s="34">
        <v>70</v>
      </c>
      <c r="CU5" s="34">
        <v>81</v>
      </c>
      <c r="CV5" s="34">
        <v>86</v>
      </c>
      <c r="CW5" s="34">
        <v>0</v>
      </c>
      <c r="CX5" s="34">
        <v>70</v>
      </c>
      <c r="CY5" s="34">
        <v>76</v>
      </c>
      <c r="CZ5" s="34">
        <v>81</v>
      </c>
      <c r="DA5" s="34">
        <v>0</v>
      </c>
      <c r="DB5" s="34">
        <v>70</v>
      </c>
      <c r="DC5" s="34">
        <v>81</v>
      </c>
      <c r="DD5" s="34">
        <v>86</v>
      </c>
      <c r="DE5" s="34">
        <v>0</v>
      </c>
      <c r="DF5" s="34">
        <v>70</v>
      </c>
      <c r="DG5" s="34">
        <v>81</v>
      </c>
      <c r="DH5" s="34">
        <v>86</v>
      </c>
      <c r="DI5" s="34">
        <v>0</v>
      </c>
      <c r="DJ5" s="34">
        <v>70</v>
      </c>
      <c r="DK5" s="34">
        <v>81</v>
      </c>
      <c r="DL5" s="34">
        <v>86</v>
      </c>
      <c r="DM5" s="34">
        <v>0</v>
      </c>
      <c r="DN5" s="34">
        <v>70</v>
      </c>
      <c r="DO5" s="34">
        <v>76</v>
      </c>
      <c r="DP5" s="34">
        <v>81</v>
      </c>
      <c r="DQ5" s="34">
        <v>0</v>
      </c>
      <c r="DR5" s="34">
        <v>70</v>
      </c>
      <c r="DS5" s="34">
        <v>76</v>
      </c>
      <c r="DT5" s="34">
        <v>81</v>
      </c>
      <c r="DU5" s="34">
        <v>0</v>
      </c>
      <c r="DV5" s="34">
        <v>70</v>
      </c>
      <c r="DW5" s="34">
        <v>76</v>
      </c>
      <c r="DX5" s="34">
        <v>81</v>
      </c>
      <c r="DY5" s="34">
        <v>0</v>
      </c>
      <c r="DZ5" s="34">
        <v>70</v>
      </c>
      <c r="EA5" s="34">
        <v>81</v>
      </c>
      <c r="EB5" s="34">
        <v>86</v>
      </c>
      <c r="EC5" s="34">
        <v>0</v>
      </c>
      <c r="ED5" s="34">
        <v>70</v>
      </c>
      <c r="EE5" s="34">
        <v>81</v>
      </c>
      <c r="EF5" s="34">
        <v>86</v>
      </c>
      <c r="EG5" s="34">
        <v>0</v>
      </c>
      <c r="EH5" s="34">
        <v>70</v>
      </c>
      <c r="EI5" s="34">
        <v>81</v>
      </c>
      <c r="EJ5" s="34">
        <v>86</v>
      </c>
      <c r="EK5" s="34">
        <v>0</v>
      </c>
      <c r="EL5" s="34">
        <v>70</v>
      </c>
      <c r="EM5" s="34">
        <v>0</v>
      </c>
      <c r="EN5" s="34">
        <v>70</v>
      </c>
      <c r="EO5" s="34">
        <v>81</v>
      </c>
      <c r="EP5" s="34">
        <v>86</v>
      </c>
      <c r="EQ5" s="34">
        <v>0</v>
      </c>
      <c r="ER5" s="34">
        <v>70</v>
      </c>
      <c r="ES5" s="34">
        <v>81</v>
      </c>
      <c r="ET5" s="34">
        <v>86</v>
      </c>
      <c r="EU5" s="34">
        <v>0</v>
      </c>
      <c r="EV5" s="34">
        <v>70</v>
      </c>
      <c r="EW5" s="34">
        <v>81</v>
      </c>
      <c r="EX5" s="34">
        <v>86</v>
      </c>
      <c r="EY5" s="34">
        <v>0</v>
      </c>
      <c r="EZ5" s="34">
        <v>70</v>
      </c>
      <c r="FA5" s="34">
        <v>81</v>
      </c>
      <c r="FB5" s="34">
        <v>0</v>
      </c>
      <c r="FC5" s="34">
        <v>70</v>
      </c>
      <c r="FD5" s="34">
        <v>81</v>
      </c>
      <c r="FE5" s="34">
        <v>0</v>
      </c>
      <c r="FF5" s="34">
        <v>70</v>
      </c>
      <c r="FG5" s="34">
        <v>81</v>
      </c>
      <c r="FH5" s="34">
        <v>0</v>
      </c>
      <c r="FI5" s="34">
        <v>70</v>
      </c>
      <c r="FJ5" s="34">
        <v>81</v>
      </c>
      <c r="FK5" s="34">
        <v>0</v>
      </c>
      <c r="FL5" s="34">
        <v>70</v>
      </c>
      <c r="FM5" s="34">
        <v>81</v>
      </c>
      <c r="FN5" s="34">
        <v>0</v>
      </c>
      <c r="FO5" s="34">
        <v>70</v>
      </c>
      <c r="FP5" s="34">
        <v>81</v>
      </c>
      <c r="FQ5" s="34">
        <v>0</v>
      </c>
      <c r="FR5" s="34">
        <v>70</v>
      </c>
      <c r="FS5" s="34">
        <v>81</v>
      </c>
      <c r="FT5" s="34">
        <v>0</v>
      </c>
      <c r="FU5" s="34">
        <v>70</v>
      </c>
      <c r="FV5" s="34">
        <v>81</v>
      </c>
      <c r="FW5" s="34">
        <v>0</v>
      </c>
      <c r="FX5" s="34">
        <v>70</v>
      </c>
      <c r="FY5" s="34">
        <v>81</v>
      </c>
      <c r="FZ5" s="34">
        <v>0</v>
      </c>
      <c r="GA5" s="34">
        <v>70</v>
      </c>
      <c r="GB5" s="34">
        <v>81</v>
      </c>
      <c r="GC5" s="34">
        <v>86</v>
      </c>
      <c r="GD5" s="34">
        <v>0</v>
      </c>
      <c r="GE5" s="34">
        <v>70</v>
      </c>
      <c r="GF5" s="34">
        <v>81</v>
      </c>
      <c r="GG5" s="34">
        <v>86</v>
      </c>
      <c r="GH5" s="34">
        <v>0</v>
      </c>
      <c r="GI5" s="34">
        <v>70</v>
      </c>
      <c r="GJ5" s="34">
        <v>81</v>
      </c>
      <c r="GK5" s="34">
        <v>86</v>
      </c>
      <c r="GL5" s="34">
        <v>0</v>
      </c>
      <c r="GM5" s="34">
        <v>70</v>
      </c>
      <c r="GN5" s="34">
        <v>81</v>
      </c>
      <c r="GO5" s="34">
        <v>86</v>
      </c>
      <c r="GP5" s="34">
        <v>0</v>
      </c>
      <c r="GQ5" s="34">
        <v>70</v>
      </c>
      <c r="GR5" s="34">
        <v>81</v>
      </c>
      <c r="GS5" s="34">
        <v>86</v>
      </c>
      <c r="GT5" s="34">
        <v>0</v>
      </c>
      <c r="GU5" s="34">
        <v>70</v>
      </c>
      <c r="GV5" s="34">
        <v>81</v>
      </c>
      <c r="GW5" s="34">
        <v>86</v>
      </c>
      <c r="GX5" s="34">
        <v>0</v>
      </c>
      <c r="GY5" s="34">
        <v>70</v>
      </c>
      <c r="GZ5" s="34">
        <v>81</v>
      </c>
      <c r="HA5" s="34">
        <v>86</v>
      </c>
      <c r="HB5" s="34">
        <v>0</v>
      </c>
      <c r="HC5" s="34">
        <v>70</v>
      </c>
      <c r="HD5" s="34">
        <v>81</v>
      </c>
      <c r="HE5" s="34">
        <v>86</v>
      </c>
      <c r="HF5" s="34">
        <v>0</v>
      </c>
      <c r="HG5" s="34">
        <v>70</v>
      </c>
      <c r="HH5" s="34">
        <v>81</v>
      </c>
      <c r="HI5" s="34">
        <v>86</v>
      </c>
      <c r="HJ5" s="34">
        <v>0</v>
      </c>
      <c r="HK5" s="34">
        <v>81</v>
      </c>
      <c r="HL5" s="34">
        <v>0</v>
      </c>
      <c r="HM5" s="34">
        <v>81</v>
      </c>
      <c r="HN5" s="34">
        <v>0</v>
      </c>
      <c r="HO5" s="34">
        <v>81</v>
      </c>
      <c r="HP5" s="34">
        <v>0</v>
      </c>
      <c r="HQ5" s="34">
        <v>81</v>
      </c>
      <c r="HR5" s="34">
        <v>0</v>
      </c>
      <c r="HS5" s="34">
        <v>81</v>
      </c>
      <c r="HT5" s="34">
        <v>0</v>
      </c>
      <c r="HU5" s="34">
        <v>81</v>
      </c>
      <c r="HV5" s="34">
        <v>0</v>
      </c>
      <c r="HW5" s="34">
        <v>81</v>
      </c>
      <c r="HX5" s="34">
        <v>0</v>
      </c>
      <c r="HY5" s="34">
        <v>70</v>
      </c>
      <c r="HZ5" s="34">
        <v>81</v>
      </c>
      <c r="IA5" s="34">
        <v>86</v>
      </c>
      <c r="IB5" s="34">
        <v>0</v>
      </c>
      <c r="IC5" s="34">
        <v>70</v>
      </c>
      <c r="ID5" s="34">
        <v>81</v>
      </c>
      <c r="IE5" s="34">
        <v>86</v>
      </c>
      <c r="IF5" s="34">
        <v>0</v>
      </c>
      <c r="IG5" s="34">
        <v>81</v>
      </c>
      <c r="IH5" s="34">
        <v>0</v>
      </c>
      <c r="II5" s="34">
        <v>70</v>
      </c>
      <c r="IJ5" s="34">
        <v>81</v>
      </c>
      <c r="IK5" s="34">
        <v>86</v>
      </c>
      <c r="IL5" s="34">
        <v>0</v>
      </c>
      <c r="IM5" s="34">
        <v>70</v>
      </c>
      <c r="IN5" s="34">
        <v>81</v>
      </c>
      <c r="IO5" s="34">
        <v>86</v>
      </c>
      <c r="IP5" s="34">
        <v>0</v>
      </c>
      <c r="IQ5" s="34">
        <v>70</v>
      </c>
      <c r="IR5" s="34">
        <v>81</v>
      </c>
      <c r="IS5" s="34">
        <v>86</v>
      </c>
      <c r="IT5" s="34">
        <v>0</v>
      </c>
      <c r="IU5" s="34">
        <v>70</v>
      </c>
      <c r="IV5" s="34">
        <v>81</v>
      </c>
      <c r="IW5" s="34">
        <v>86</v>
      </c>
      <c r="IX5" s="34">
        <v>0</v>
      </c>
      <c r="IY5" s="34">
        <v>70</v>
      </c>
      <c r="IZ5" s="34">
        <v>81</v>
      </c>
      <c r="JA5" s="34">
        <v>86</v>
      </c>
      <c r="JB5" s="34">
        <v>0</v>
      </c>
      <c r="JC5" s="34">
        <v>70</v>
      </c>
      <c r="JD5" s="34">
        <v>81</v>
      </c>
      <c r="JE5" s="34">
        <v>86</v>
      </c>
      <c r="JF5" s="34">
        <v>0</v>
      </c>
      <c r="JG5" s="34">
        <v>70</v>
      </c>
      <c r="JH5" s="34">
        <v>81</v>
      </c>
      <c r="JI5" s="34">
        <v>86</v>
      </c>
      <c r="JJ5" s="34">
        <v>0</v>
      </c>
      <c r="JK5" s="34">
        <v>70</v>
      </c>
      <c r="JL5" s="34">
        <v>81</v>
      </c>
      <c r="JM5" s="34">
        <v>86</v>
      </c>
      <c r="JN5" s="34">
        <v>0</v>
      </c>
      <c r="JO5" s="34">
        <v>70</v>
      </c>
      <c r="JP5" s="34">
        <v>81</v>
      </c>
      <c r="JQ5" s="34">
        <v>86</v>
      </c>
      <c r="JR5" s="34">
        <v>0</v>
      </c>
      <c r="JS5" s="34">
        <v>70</v>
      </c>
      <c r="JT5" s="34">
        <v>81</v>
      </c>
      <c r="JU5" s="34">
        <v>86</v>
      </c>
      <c r="JV5" s="34">
        <v>0</v>
      </c>
      <c r="JW5" s="34">
        <v>70</v>
      </c>
      <c r="JX5" s="34">
        <v>81</v>
      </c>
      <c r="JY5" s="34">
        <v>86</v>
      </c>
      <c r="JZ5" s="34">
        <v>0</v>
      </c>
      <c r="KA5" s="34">
        <v>70</v>
      </c>
      <c r="KB5" s="34">
        <v>81</v>
      </c>
      <c r="KC5" s="34">
        <v>86</v>
      </c>
      <c r="KD5" s="34">
        <v>0</v>
      </c>
      <c r="KE5" s="34">
        <v>70</v>
      </c>
      <c r="KF5" s="34">
        <v>81</v>
      </c>
      <c r="KG5" s="34">
        <v>86</v>
      </c>
      <c r="KH5" s="34">
        <v>0</v>
      </c>
      <c r="KI5" s="34">
        <v>81</v>
      </c>
      <c r="KJ5" s="34">
        <v>0</v>
      </c>
      <c r="KK5" s="34">
        <v>81</v>
      </c>
      <c r="KL5" s="34">
        <v>0</v>
      </c>
      <c r="KM5" s="34">
        <v>81</v>
      </c>
      <c r="KN5" s="34">
        <v>0</v>
      </c>
      <c r="KO5" s="34">
        <v>81</v>
      </c>
      <c r="KP5" s="34">
        <v>0</v>
      </c>
      <c r="KQ5" s="34">
        <v>81</v>
      </c>
      <c r="KR5" s="34">
        <v>0</v>
      </c>
      <c r="KS5" s="34">
        <v>81</v>
      </c>
      <c r="KT5" s="34">
        <v>0</v>
      </c>
      <c r="KU5" s="34">
        <v>76</v>
      </c>
      <c r="KV5" s="34">
        <v>81</v>
      </c>
      <c r="KW5" s="34">
        <v>0</v>
      </c>
      <c r="KX5" s="34">
        <v>81</v>
      </c>
      <c r="KY5" s="34">
        <v>0</v>
      </c>
      <c r="KZ5" s="34">
        <v>81</v>
      </c>
      <c r="LA5" s="34">
        <v>0</v>
      </c>
      <c r="LB5" s="34">
        <v>81</v>
      </c>
      <c r="LC5" s="34">
        <v>0</v>
      </c>
      <c r="LD5" s="34">
        <v>81</v>
      </c>
      <c r="LE5" s="34">
        <v>0</v>
      </c>
      <c r="LF5" s="34">
        <v>81</v>
      </c>
      <c r="LG5" s="34">
        <v>0</v>
      </c>
      <c r="LH5" s="34">
        <v>81</v>
      </c>
      <c r="LI5" s="34">
        <v>0</v>
      </c>
      <c r="LJ5" s="34">
        <v>76</v>
      </c>
      <c r="LK5" s="34">
        <v>81</v>
      </c>
      <c r="LL5" s="34">
        <v>0</v>
      </c>
      <c r="LM5" s="34">
        <v>81</v>
      </c>
      <c r="LN5" s="34">
        <v>0</v>
      </c>
      <c r="LO5" s="34">
        <v>81</v>
      </c>
      <c r="LP5" s="34">
        <v>0</v>
      </c>
      <c r="LQ5" s="34">
        <v>81</v>
      </c>
      <c r="LR5" s="34">
        <v>0</v>
      </c>
      <c r="LS5" s="34">
        <v>0</v>
      </c>
      <c r="LT5" s="34">
        <v>0</v>
      </c>
      <c r="LU5" s="34">
        <v>0</v>
      </c>
      <c r="LV5" s="34">
        <v>81</v>
      </c>
      <c r="LW5" s="34">
        <v>0</v>
      </c>
      <c r="LX5" s="34">
        <v>0</v>
      </c>
      <c r="LY5" s="34">
        <v>0</v>
      </c>
      <c r="LZ5" s="34">
        <v>0</v>
      </c>
      <c r="MA5" s="34">
        <v>81</v>
      </c>
      <c r="MB5" s="34">
        <v>0</v>
      </c>
      <c r="MC5" s="34">
        <v>81</v>
      </c>
      <c r="MD5" s="34">
        <v>0</v>
      </c>
      <c r="ME5" s="34">
        <v>81</v>
      </c>
      <c r="MF5" s="34">
        <v>0</v>
      </c>
      <c r="MG5" s="34">
        <v>81</v>
      </c>
      <c r="MH5" s="34">
        <v>0</v>
      </c>
      <c r="MI5" s="34">
        <v>81</v>
      </c>
      <c r="MJ5" s="34">
        <v>0</v>
      </c>
      <c r="MK5" s="34">
        <v>81</v>
      </c>
      <c r="ML5" s="34">
        <v>0</v>
      </c>
      <c r="MM5" s="34">
        <v>0</v>
      </c>
      <c r="MN5" s="34">
        <v>81</v>
      </c>
      <c r="MO5" s="34">
        <v>0</v>
      </c>
      <c r="MP5" s="34">
        <v>0</v>
      </c>
      <c r="MQ5" s="34">
        <v>81</v>
      </c>
      <c r="MR5" s="34">
        <v>0</v>
      </c>
      <c r="MS5" s="34">
        <v>81</v>
      </c>
      <c r="MT5" s="34">
        <v>0</v>
      </c>
      <c r="MU5" s="34">
        <v>81</v>
      </c>
      <c r="MV5" s="34">
        <v>0</v>
      </c>
      <c r="MW5" s="34">
        <v>81</v>
      </c>
      <c r="MX5" s="34">
        <v>0</v>
      </c>
      <c r="MY5" s="34">
        <v>76</v>
      </c>
      <c r="MZ5" s="34">
        <v>81</v>
      </c>
      <c r="NA5" s="34">
        <v>0</v>
      </c>
      <c r="NB5" s="34">
        <v>0</v>
      </c>
      <c r="NC5" s="34">
        <v>76</v>
      </c>
      <c r="ND5" s="34">
        <v>81</v>
      </c>
      <c r="NE5" s="34">
        <v>0</v>
      </c>
      <c r="NF5" s="34">
        <v>76</v>
      </c>
      <c r="NG5" s="34">
        <v>81</v>
      </c>
      <c r="NH5" s="34">
        <v>0</v>
      </c>
      <c r="NI5" s="34">
        <v>81</v>
      </c>
      <c r="NJ5" s="34">
        <v>0</v>
      </c>
      <c r="NK5" s="34">
        <v>81</v>
      </c>
      <c r="NL5" s="34">
        <v>0</v>
      </c>
      <c r="NM5" s="34">
        <v>81</v>
      </c>
      <c r="NN5" s="34">
        <v>0</v>
      </c>
      <c r="NO5" s="34">
        <v>81</v>
      </c>
      <c r="NP5" s="34">
        <v>0</v>
      </c>
      <c r="NQ5" s="34">
        <v>81</v>
      </c>
      <c r="NR5" s="34">
        <v>0</v>
      </c>
      <c r="NS5" s="34">
        <v>76</v>
      </c>
      <c r="NT5" s="34">
        <v>81</v>
      </c>
      <c r="NU5" s="34">
        <v>0</v>
      </c>
      <c r="NV5" s="34">
        <v>81</v>
      </c>
      <c r="NW5" s="34">
        <v>0</v>
      </c>
      <c r="NX5" s="34">
        <v>81</v>
      </c>
      <c r="NY5" s="34">
        <v>0</v>
      </c>
      <c r="NZ5" s="34">
        <v>81</v>
      </c>
      <c r="OA5" s="34">
        <v>0</v>
      </c>
      <c r="OB5" s="34">
        <v>81</v>
      </c>
      <c r="OC5" s="34">
        <v>0</v>
      </c>
      <c r="OD5" s="34">
        <v>81</v>
      </c>
      <c r="OE5" s="34">
        <v>0</v>
      </c>
      <c r="OF5" s="34">
        <v>81</v>
      </c>
      <c r="OG5" s="34">
        <v>0</v>
      </c>
      <c r="OH5" s="34">
        <v>81</v>
      </c>
      <c r="OI5" s="34">
        <v>0</v>
      </c>
      <c r="OJ5" s="34">
        <v>81</v>
      </c>
      <c r="OK5" s="34">
        <v>0</v>
      </c>
      <c r="OL5" s="34">
        <v>81</v>
      </c>
      <c r="OM5" s="34">
        <v>0</v>
      </c>
      <c r="ON5" s="34">
        <v>81</v>
      </c>
      <c r="OO5" s="34">
        <v>0</v>
      </c>
      <c r="OP5" s="34">
        <v>81</v>
      </c>
      <c r="OQ5" s="34">
        <v>0</v>
      </c>
      <c r="OR5" s="34">
        <v>81</v>
      </c>
      <c r="OS5" s="34">
        <v>0</v>
      </c>
      <c r="OT5" s="34">
        <v>0</v>
      </c>
      <c r="OU5" s="34">
        <v>0</v>
      </c>
      <c r="OV5" s="34">
        <v>81</v>
      </c>
      <c r="OW5" s="34">
        <v>0</v>
      </c>
      <c r="OX5" s="34">
        <v>81</v>
      </c>
      <c r="OY5" s="34">
        <v>0</v>
      </c>
      <c r="OZ5" s="34">
        <v>81</v>
      </c>
      <c r="PA5" s="34">
        <v>0</v>
      </c>
      <c r="PB5" s="34">
        <v>81</v>
      </c>
      <c r="PC5" s="34">
        <v>0</v>
      </c>
      <c r="PD5" s="34">
        <v>0</v>
      </c>
      <c r="PE5" s="34">
        <v>0</v>
      </c>
      <c r="PF5" s="34">
        <v>81</v>
      </c>
      <c r="PG5" s="34">
        <v>0</v>
      </c>
      <c r="PH5" s="34">
        <v>81</v>
      </c>
      <c r="PI5" s="34">
        <v>0</v>
      </c>
      <c r="PJ5" s="34">
        <v>81</v>
      </c>
      <c r="PK5" s="34">
        <v>0</v>
      </c>
      <c r="PL5" s="34">
        <v>81</v>
      </c>
      <c r="PM5" s="34">
        <v>0</v>
      </c>
      <c r="PN5" s="34">
        <v>81</v>
      </c>
      <c r="PO5" s="34">
        <v>0</v>
      </c>
      <c r="PP5" s="34">
        <v>81</v>
      </c>
      <c r="PQ5" s="34">
        <v>0</v>
      </c>
      <c r="PR5" s="34">
        <v>0</v>
      </c>
      <c r="PS5" s="34">
        <v>0</v>
      </c>
      <c r="PT5" s="34">
        <v>0</v>
      </c>
      <c r="PU5" s="34">
        <v>0</v>
      </c>
      <c r="PV5" s="34">
        <v>71</v>
      </c>
      <c r="PW5" s="34">
        <v>0</v>
      </c>
      <c r="PX5" s="34">
        <v>71</v>
      </c>
      <c r="PY5" s="34">
        <v>0</v>
      </c>
      <c r="PZ5" s="34">
        <v>71</v>
      </c>
      <c r="QA5" s="34">
        <v>0</v>
      </c>
      <c r="QB5" s="34">
        <v>71</v>
      </c>
      <c r="QC5" s="34">
        <v>0</v>
      </c>
      <c r="QD5" s="34">
        <v>71</v>
      </c>
      <c r="QE5" s="34">
        <v>0</v>
      </c>
      <c r="QF5" s="34">
        <v>71</v>
      </c>
      <c r="QG5" s="34">
        <v>0</v>
      </c>
      <c r="QH5" s="34">
        <v>0</v>
      </c>
      <c r="QI5" s="34">
        <v>0</v>
      </c>
      <c r="QJ5" s="34">
        <v>0</v>
      </c>
      <c r="QK5" s="34">
        <v>0</v>
      </c>
      <c r="QL5" s="34">
        <v>0</v>
      </c>
      <c r="QM5" s="34">
        <v>0</v>
      </c>
      <c r="QN5" s="34">
        <v>0</v>
      </c>
      <c r="QO5" s="34">
        <v>0</v>
      </c>
      <c r="QP5" s="34">
        <v>0</v>
      </c>
      <c r="QQ5" s="34">
        <v>0</v>
      </c>
      <c r="QR5" s="34">
        <v>0</v>
      </c>
      <c r="QS5" s="34">
        <v>0</v>
      </c>
      <c r="QT5" s="34">
        <v>76</v>
      </c>
      <c r="QU5" s="34">
        <v>0</v>
      </c>
      <c r="QV5" s="34">
        <v>76</v>
      </c>
      <c r="QW5" s="34">
        <v>0</v>
      </c>
      <c r="QX5" s="34">
        <v>76</v>
      </c>
      <c r="QY5" s="34">
        <v>0</v>
      </c>
      <c r="QZ5" s="34">
        <v>76</v>
      </c>
      <c r="RA5" s="34">
        <v>0</v>
      </c>
      <c r="RB5" s="34">
        <v>76</v>
      </c>
      <c r="RC5" s="34">
        <v>0</v>
      </c>
      <c r="RD5" s="34">
        <v>76</v>
      </c>
    </row>
    <row r="6" spans="1:472" x14ac:dyDescent="0.2">
      <c r="A6" s="21" t="s">
        <v>5</v>
      </c>
      <c r="B6" s="31" t="s">
        <v>8</v>
      </c>
      <c r="C6" s="31"/>
      <c r="D6" s="31"/>
      <c r="E6" s="32"/>
      <c r="F6" s="32"/>
      <c r="G6" s="32"/>
      <c r="H6" s="32"/>
      <c r="I6" s="32"/>
      <c r="J6" s="32"/>
      <c r="K6" s="32"/>
      <c r="L6" s="45"/>
      <c r="M6" s="45"/>
      <c r="N6" s="45"/>
      <c r="O6" s="32"/>
      <c r="P6" s="32"/>
      <c r="Q6" s="32"/>
      <c r="R6" s="45"/>
      <c r="S6" s="32"/>
      <c r="T6" s="32"/>
      <c r="U6" s="32"/>
      <c r="V6" s="32"/>
      <c r="W6" s="32"/>
      <c r="X6" s="32"/>
      <c r="Y6" s="32"/>
      <c r="Z6" s="45"/>
      <c r="AA6" s="45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45"/>
      <c r="AO6" s="45"/>
      <c r="AP6" s="45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2"/>
      <c r="GQ6" s="32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2"/>
      <c r="HC6" s="32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2"/>
      <c r="HO6" s="32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2"/>
      <c r="IA6" s="32"/>
      <c r="IB6" s="32"/>
      <c r="IC6" s="32"/>
      <c r="ID6" s="32"/>
      <c r="IE6" s="32"/>
      <c r="IF6" s="32"/>
      <c r="IG6" s="32"/>
      <c r="IH6" s="32"/>
      <c r="II6" s="32"/>
      <c r="IJ6" s="32"/>
      <c r="IK6" s="32"/>
      <c r="IL6" s="32"/>
      <c r="IM6" s="32"/>
      <c r="IN6" s="32"/>
      <c r="IO6" s="32"/>
      <c r="IP6" s="32"/>
      <c r="IQ6" s="32"/>
      <c r="IR6" s="32"/>
      <c r="IS6" s="32"/>
      <c r="IT6" s="32"/>
      <c r="IU6" s="32"/>
      <c r="IV6" s="32"/>
      <c r="IW6" s="32"/>
      <c r="IX6" s="32"/>
      <c r="IY6" s="32"/>
      <c r="IZ6" s="32"/>
      <c r="JA6" s="32"/>
      <c r="JB6" s="32"/>
      <c r="JC6" s="32"/>
      <c r="JD6" s="32"/>
      <c r="JE6" s="32"/>
      <c r="JF6" s="32"/>
      <c r="JG6" s="32"/>
      <c r="JH6" s="32"/>
      <c r="JI6" s="32"/>
      <c r="JJ6" s="32"/>
      <c r="JK6" s="32"/>
      <c r="JL6" s="32"/>
      <c r="JM6" s="32"/>
      <c r="JN6" s="32"/>
      <c r="JO6" s="32"/>
      <c r="JP6" s="32"/>
      <c r="JQ6" s="32"/>
      <c r="JR6" s="32"/>
      <c r="JS6" s="32"/>
      <c r="JT6" s="32"/>
      <c r="JU6" s="32"/>
      <c r="JV6" s="32"/>
      <c r="JW6" s="32"/>
      <c r="JX6" s="32"/>
      <c r="JY6" s="32"/>
      <c r="JZ6" s="32"/>
      <c r="KA6" s="32"/>
      <c r="KB6" s="32"/>
      <c r="KC6" s="32"/>
      <c r="KD6" s="32"/>
      <c r="KE6" s="32"/>
      <c r="KF6" s="32"/>
      <c r="KG6" s="32"/>
      <c r="KH6" s="32"/>
      <c r="KI6" s="32"/>
      <c r="KJ6" s="32"/>
      <c r="KK6" s="32"/>
      <c r="KL6" s="32"/>
      <c r="KM6" s="32"/>
      <c r="KN6" s="32"/>
      <c r="KO6" s="32"/>
      <c r="KP6" s="32"/>
      <c r="KQ6" s="32"/>
      <c r="KR6" s="32"/>
      <c r="KS6" s="32"/>
      <c r="KT6" s="32"/>
      <c r="KU6" s="32"/>
      <c r="KV6" s="32"/>
      <c r="KW6" s="32"/>
      <c r="KX6" s="32"/>
      <c r="KY6" s="32"/>
      <c r="KZ6" s="32"/>
      <c r="LA6" s="32"/>
      <c r="LB6" s="32"/>
      <c r="LC6" s="32"/>
      <c r="LD6" s="32"/>
      <c r="LE6" s="32"/>
      <c r="LF6" s="32"/>
      <c r="LG6" s="32"/>
      <c r="LH6" s="32"/>
      <c r="LI6" s="32"/>
      <c r="LJ6" s="32"/>
      <c r="LK6" s="32"/>
      <c r="LL6" s="32"/>
      <c r="LM6" s="32"/>
      <c r="LN6" s="32"/>
      <c r="LO6" s="32"/>
      <c r="LP6" s="32"/>
      <c r="LQ6" s="32"/>
      <c r="LR6" s="32"/>
      <c r="LS6" s="32"/>
      <c r="LT6" s="32"/>
      <c r="LU6" s="32"/>
      <c r="LV6" s="32"/>
      <c r="LW6" s="32"/>
      <c r="LX6" s="32"/>
      <c r="LY6" s="32"/>
      <c r="LZ6" s="32"/>
      <c r="MA6" s="32"/>
      <c r="MB6" s="32"/>
      <c r="MC6" s="32"/>
      <c r="MD6" s="32"/>
      <c r="ME6" s="32"/>
      <c r="MF6" s="32"/>
      <c r="MG6" s="32"/>
      <c r="MH6" s="32"/>
      <c r="MI6" s="32"/>
      <c r="MJ6" s="32"/>
      <c r="MK6" s="32"/>
      <c r="ML6" s="32"/>
      <c r="MM6" s="32"/>
      <c r="MN6" s="32"/>
      <c r="MO6" s="32"/>
      <c r="MP6" s="32"/>
      <c r="MQ6" s="32"/>
      <c r="MR6" s="32"/>
      <c r="MS6" s="32"/>
      <c r="MT6" s="32"/>
      <c r="MU6" s="32"/>
      <c r="MV6" s="32"/>
      <c r="MW6" s="32"/>
      <c r="MX6" s="32"/>
      <c r="MY6" s="32"/>
      <c r="MZ6" s="32"/>
      <c r="NA6" s="32"/>
      <c r="NB6" s="32"/>
      <c r="NC6" s="32"/>
      <c r="ND6" s="32"/>
      <c r="NE6" s="32"/>
      <c r="NF6" s="32"/>
      <c r="NG6" s="32"/>
      <c r="NH6" s="32"/>
      <c r="NI6" s="32"/>
      <c r="NJ6" s="32"/>
      <c r="NK6" s="32"/>
      <c r="NL6" s="32"/>
      <c r="NM6" s="32"/>
      <c r="NN6" s="32"/>
      <c r="NO6" s="32"/>
      <c r="NP6" s="32"/>
      <c r="NQ6" s="32"/>
      <c r="NR6" s="32"/>
      <c r="NS6" s="32"/>
      <c r="NT6" s="32"/>
      <c r="NU6" s="32"/>
      <c r="NV6" s="32"/>
      <c r="NW6" s="32"/>
      <c r="NX6" s="32"/>
      <c r="NY6" s="32"/>
      <c r="NZ6" s="32"/>
      <c r="OA6" s="32"/>
      <c r="OB6" s="32"/>
      <c r="OC6" s="32"/>
      <c r="OD6" s="32"/>
      <c r="OE6" s="32"/>
      <c r="OF6" s="32"/>
      <c r="OG6" s="32"/>
      <c r="OH6" s="32"/>
      <c r="OI6" s="32"/>
      <c r="OJ6" s="32"/>
      <c r="OK6" s="32"/>
      <c r="OL6" s="32"/>
      <c r="OM6" s="32"/>
      <c r="ON6" s="32"/>
      <c r="OO6" s="32"/>
      <c r="OP6" s="32"/>
      <c r="OQ6" s="32"/>
      <c r="OR6" s="32"/>
      <c r="OS6" s="32"/>
      <c r="OT6" s="32"/>
      <c r="OU6" s="32"/>
      <c r="OV6" s="32"/>
      <c r="OW6" s="32"/>
      <c r="OX6" s="32"/>
      <c r="OY6" s="32"/>
      <c r="OZ6" s="32"/>
      <c r="PA6" s="32"/>
      <c r="PB6" s="32"/>
      <c r="PC6" s="32"/>
      <c r="PD6" s="32"/>
      <c r="PE6" s="32"/>
      <c r="PF6" s="32"/>
      <c r="PG6" s="32"/>
      <c r="PH6" s="32"/>
      <c r="PI6" s="32"/>
      <c r="PJ6" s="32"/>
      <c r="PK6" s="32"/>
      <c r="PL6" s="32"/>
      <c r="PM6" s="32"/>
      <c r="PN6" s="32"/>
      <c r="PO6" s="32"/>
      <c r="PP6" s="32"/>
      <c r="PQ6" s="32"/>
      <c r="PR6" s="32"/>
      <c r="PS6" s="32"/>
      <c r="PT6" s="32"/>
      <c r="PU6" s="32"/>
      <c r="PV6" s="32"/>
      <c r="PW6" s="32"/>
      <c r="PX6" s="32"/>
      <c r="PY6" s="32"/>
      <c r="PZ6" s="32"/>
      <c r="QA6" s="32"/>
      <c r="QB6" s="32"/>
      <c r="QC6" s="32"/>
      <c r="QD6" s="32"/>
      <c r="QE6" s="32"/>
      <c r="QF6" s="32"/>
      <c r="QG6" s="32"/>
      <c r="QH6" s="32"/>
      <c r="QI6" s="32"/>
      <c r="QJ6" s="32"/>
      <c r="QK6" s="32"/>
      <c r="QL6" s="32"/>
      <c r="QM6" s="32"/>
      <c r="QN6" s="32"/>
      <c r="QO6" s="32"/>
      <c r="QP6" s="32"/>
      <c r="QQ6" s="32"/>
      <c r="QR6" s="32"/>
      <c r="QS6" s="32"/>
      <c r="QT6" s="32"/>
      <c r="QU6" s="32"/>
      <c r="QV6" s="32"/>
      <c r="QW6" s="32"/>
      <c r="QX6" s="32"/>
      <c r="QY6" s="32"/>
      <c r="QZ6" s="32"/>
      <c r="RA6" s="32"/>
      <c r="RB6" s="32"/>
      <c r="RC6" s="32"/>
      <c r="RD6" s="32"/>
    </row>
    <row r="7" spans="1:472" x14ac:dyDescent="0.2">
      <c r="A7" s="14"/>
      <c r="B7" s="29">
        <v>1</v>
      </c>
      <c r="C7" s="29"/>
      <c r="D7" s="33">
        <v>0</v>
      </c>
      <c r="E7" s="62">
        <v>7.5000000000000002E-4</v>
      </c>
      <c r="F7" s="62">
        <v>7.5000000000000002E-4</v>
      </c>
      <c r="G7" s="65">
        <f>3.09%+0.15%</f>
        <v>3.2399999999999998E-2</v>
      </c>
      <c r="H7" s="65">
        <f>1.75%+0.15%</f>
        <v>1.9000000000000003E-2</v>
      </c>
      <c r="I7" s="65">
        <f>3.3%+0.15%</f>
        <v>3.4500000000000003E-2</v>
      </c>
      <c r="J7" s="65">
        <f>1.39%+0.15%</f>
        <v>1.5399999999999999E-2</v>
      </c>
      <c r="K7" s="83">
        <v>6.4999999999999997E-3</v>
      </c>
      <c r="L7" s="80">
        <v>0.107</v>
      </c>
      <c r="M7" s="80">
        <v>6.9000000000000006E-2</v>
      </c>
      <c r="N7" s="80">
        <v>0.10390000000000001</v>
      </c>
      <c r="O7" s="80">
        <v>5.1499999999999997E-2</v>
      </c>
      <c r="P7" s="80">
        <v>5.6000000000000001E-2</v>
      </c>
      <c r="Q7" s="80">
        <v>3.5000000000000003E-2</v>
      </c>
      <c r="R7" s="80">
        <v>8.1699999999999995E-2</v>
      </c>
      <c r="S7" s="80">
        <v>4.1500000000000002E-2</v>
      </c>
      <c r="T7" s="80">
        <v>0.02</v>
      </c>
      <c r="U7" s="80">
        <v>6.4999999999999997E-3</v>
      </c>
      <c r="V7" s="80">
        <v>2.3400000000000001E-2</v>
      </c>
      <c r="W7" s="80">
        <v>7.0000000000000001E-3</v>
      </c>
      <c r="X7" s="80">
        <v>2.8299999999999999E-2</v>
      </c>
      <c r="Y7" s="80">
        <v>6.9999999999999993E-3</v>
      </c>
      <c r="Z7" s="80">
        <v>7.0999999999999994E-2</v>
      </c>
      <c r="AA7" s="80">
        <v>5.1999999999999998E-2</v>
      </c>
      <c r="AB7" s="80">
        <v>3.4700000000000002E-2</v>
      </c>
      <c r="AC7" s="80">
        <v>3.56E-2</v>
      </c>
      <c r="AD7" s="80">
        <v>1.52E-2</v>
      </c>
      <c r="AE7" s="80">
        <v>4.1500000000000002E-2</v>
      </c>
      <c r="AF7" s="80">
        <v>3.4799999999999998E-2</v>
      </c>
      <c r="AG7" s="80">
        <v>2.63E-2</v>
      </c>
      <c r="AH7" s="80">
        <v>2.6200000000000001E-2</v>
      </c>
      <c r="AI7" s="80">
        <v>1.5299999999999999E-2</v>
      </c>
      <c r="AJ7" s="80">
        <v>4.6800000000000001E-2</v>
      </c>
      <c r="AK7" s="80">
        <v>1.4999999999999999E-2</v>
      </c>
      <c r="AL7" s="80">
        <v>4.1399999999999999E-2</v>
      </c>
      <c r="AM7" s="80">
        <v>1.8499999999999999E-2</v>
      </c>
      <c r="AN7" s="80">
        <v>5.33E-2</v>
      </c>
      <c r="AO7" s="80">
        <v>2.76E-2</v>
      </c>
      <c r="AP7" s="80">
        <v>2.7199999999999998E-2</v>
      </c>
      <c r="AQ7" s="80">
        <v>2.5700000000000001E-2</v>
      </c>
      <c r="AR7" s="80">
        <v>2.1000000000000001E-2</v>
      </c>
      <c r="AS7" s="80">
        <v>1.24E-2</v>
      </c>
      <c r="AT7" s="62">
        <f>5.7%+0.35%</f>
        <v>6.0499999999999998E-2</v>
      </c>
      <c r="AU7" s="62">
        <f>5.7%+0.35%</f>
        <v>6.0499999999999998E-2</v>
      </c>
      <c r="AV7" s="62">
        <f>4%+0.03%</f>
        <v>4.0300000000000002E-2</v>
      </c>
      <c r="AW7" s="62">
        <f>4%+0.03%</f>
        <v>4.0300000000000002E-2</v>
      </c>
      <c r="AX7" s="62">
        <v>2.5000000000000001E-2</v>
      </c>
      <c r="AY7" s="62">
        <v>2.5000000000000001E-2</v>
      </c>
      <c r="AZ7" s="62">
        <v>1.2999999999999999E-2</v>
      </c>
      <c r="BA7" s="62">
        <v>1.2500000000000001E-2</v>
      </c>
      <c r="BB7" s="62">
        <v>3.5000000000000003E-2</v>
      </c>
      <c r="BC7" s="62">
        <v>3.4000000000000002E-2</v>
      </c>
      <c r="BD7" s="62">
        <v>1.4999999999999999E-2</v>
      </c>
      <c r="BE7" s="62">
        <v>1.4999999999999999E-2</v>
      </c>
      <c r="BF7" s="62">
        <v>0.03</v>
      </c>
      <c r="BG7" s="62">
        <v>0.03</v>
      </c>
      <c r="BH7" s="62">
        <v>1.2500000000000001E-2</v>
      </c>
      <c r="BI7" s="62">
        <v>1.2500000000000001E-2</v>
      </c>
      <c r="BJ7" s="62">
        <v>3.4099999999999998E-2</v>
      </c>
      <c r="BK7" s="62">
        <v>3.4099999999999998E-2</v>
      </c>
      <c r="BL7" s="62">
        <v>3.0099999999999998E-2</v>
      </c>
      <c r="BM7" s="62">
        <v>1.61E-2</v>
      </c>
      <c r="BN7" s="62">
        <v>2.6599999999999999E-2</v>
      </c>
      <c r="BO7" s="62">
        <v>2.6599999999999999E-2</v>
      </c>
      <c r="BP7" s="62">
        <v>2.5100000000000001E-2</v>
      </c>
      <c r="BQ7" s="62">
        <v>1.26E-2</v>
      </c>
      <c r="BR7" s="62">
        <f>3%+0.1%</f>
        <v>3.1E-2</v>
      </c>
      <c r="BS7" s="62">
        <f>3%+0.1%</f>
        <v>3.1E-2</v>
      </c>
      <c r="BT7" s="62">
        <f>1.55%+0.1%</f>
        <v>1.6500000000000001E-2</v>
      </c>
      <c r="BU7" s="62">
        <f>1.5%+0.1%</f>
        <v>1.6E-2</v>
      </c>
      <c r="BV7" s="62">
        <v>0.01</v>
      </c>
      <c r="BW7" s="62">
        <v>0.01</v>
      </c>
      <c r="BX7" s="62">
        <v>0.01</v>
      </c>
      <c r="BY7" s="62">
        <v>5.0000000000000001E-3</v>
      </c>
      <c r="BZ7" s="62">
        <v>2.4299999999999999E-2</v>
      </c>
      <c r="CA7" s="62">
        <v>2.4299999999999999E-2</v>
      </c>
      <c r="CB7" s="62">
        <v>1.43E-2</v>
      </c>
      <c r="CC7" s="62">
        <v>6.7999999999999996E-3</v>
      </c>
      <c r="CD7" s="62">
        <v>2.0799999999999999E-2</v>
      </c>
      <c r="CE7" s="62">
        <v>2.0799999999999999E-2</v>
      </c>
      <c r="CF7" s="62">
        <v>1.18E-2</v>
      </c>
      <c r="CG7" s="62">
        <v>8.3000000000000001E-3</v>
      </c>
      <c r="CH7" s="68">
        <f>4.42%+0.5%</f>
        <v>4.9199999999999994E-2</v>
      </c>
      <c r="CI7" s="68">
        <f>2.57%+0.5%</f>
        <v>3.0699999999999998E-2</v>
      </c>
      <c r="CJ7" s="68">
        <f>2.57%+0.5%</f>
        <v>3.0699999999999998E-2</v>
      </c>
      <c r="CK7" s="62">
        <v>0.05</v>
      </c>
      <c r="CL7" s="62">
        <v>1.4999999999999999E-2</v>
      </c>
      <c r="CM7" s="62">
        <v>2.3E-2</v>
      </c>
      <c r="CN7" s="62">
        <v>6.4999999999999997E-3</v>
      </c>
      <c r="CO7" s="62">
        <v>1.9300000000000001E-2</v>
      </c>
      <c r="CP7" s="62">
        <v>7.0000000000000001E-3</v>
      </c>
      <c r="CQ7" s="62">
        <v>4.3999999999999997E-2</v>
      </c>
      <c r="CR7" s="62">
        <v>4.3999999999999997E-2</v>
      </c>
      <c r="CS7" s="62">
        <v>2.5000000000000001E-2</v>
      </c>
      <c r="CT7" s="62">
        <v>2.5000000000000001E-2</v>
      </c>
      <c r="CU7" s="62">
        <v>0.02</v>
      </c>
      <c r="CV7" s="62">
        <v>1.4999999999999999E-2</v>
      </c>
      <c r="CW7" s="62">
        <v>2.75E-2</v>
      </c>
      <c r="CX7" s="62">
        <v>2.75E-2</v>
      </c>
      <c r="CY7" s="62">
        <v>2.75E-2</v>
      </c>
      <c r="CZ7" s="62">
        <v>1.8800000000000001E-2</v>
      </c>
      <c r="DA7" s="62">
        <f>3%+0.1%</f>
        <v>3.1E-2</v>
      </c>
      <c r="DB7" s="62">
        <f>3%+0.1%</f>
        <v>3.1E-2</v>
      </c>
      <c r="DC7" s="62">
        <f>1.5%+0.1%</f>
        <v>1.6E-2</v>
      </c>
      <c r="DD7" s="62">
        <f>1.5%+0.1%</f>
        <v>1.6E-2</v>
      </c>
      <c r="DE7" s="62">
        <f>2.5%+0.1%</f>
        <v>2.6000000000000002E-2</v>
      </c>
      <c r="DF7" s="62">
        <f>2.5%+0.1%</f>
        <v>2.6000000000000002E-2</v>
      </c>
      <c r="DG7" s="62">
        <f>1.25%+0.1%</f>
        <v>1.3500000000000002E-2</v>
      </c>
      <c r="DH7" s="62">
        <f>1.25%+0.1%</f>
        <v>1.3500000000000002E-2</v>
      </c>
      <c r="DI7" s="62">
        <v>2.1299999999999999E-2</v>
      </c>
      <c r="DJ7" s="62">
        <v>2.18E-2</v>
      </c>
      <c r="DK7" s="62">
        <v>1.2800000000000001E-2</v>
      </c>
      <c r="DL7" s="62">
        <v>7.7999999999999996E-3</v>
      </c>
      <c r="DM7" s="62">
        <v>2.3800000000000002E-2</v>
      </c>
      <c r="DN7" s="62">
        <v>2.3800000000000002E-2</v>
      </c>
      <c r="DO7" s="62">
        <v>1.43E-2</v>
      </c>
      <c r="DP7" s="62">
        <v>6.7999999999999996E-3</v>
      </c>
      <c r="DQ7" s="70">
        <f>DU7+1%</f>
        <v>2.7500000000000004E-2</v>
      </c>
      <c r="DR7" s="70">
        <f t="shared" ref="DR7:DT7" si="0">DV7+1%</f>
        <v>2.7500000000000004E-2</v>
      </c>
      <c r="DS7" s="70">
        <f t="shared" si="0"/>
        <v>2.7500000000000004E-2</v>
      </c>
      <c r="DT7" s="70">
        <f t="shared" si="0"/>
        <v>1.8800000000000001E-2</v>
      </c>
      <c r="DU7" s="62">
        <v>1.7500000000000002E-2</v>
      </c>
      <c r="DV7" s="62">
        <v>1.7500000000000002E-2</v>
      </c>
      <c r="DW7" s="62">
        <v>1.7500000000000002E-2</v>
      </c>
      <c r="DX7" s="62">
        <v>8.8000000000000005E-3</v>
      </c>
      <c r="DY7" s="69">
        <f>EC7+1%</f>
        <v>2.5000000000000001E-2</v>
      </c>
      <c r="DZ7" s="69">
        <f t="shared" ref="DZ7:EB7" si="1">ED7+1%</f>
        <v>2.5000000000000001E-2</v>
      </c>
      <c r="EA7" s="69">
        <f t="shared" si="1"/>
        <v>0.02</v>
      </c>
      <c r="EB7" s="69">
        <f t="shared" si="1"/>
        <v>1.4999999999999999E-2</v>
      </c>
      <c r="EC7" s="62">
        <v>1.4999999999999999E-2</v>
      </c>
      <c r="ED7" s="62">
        <v>1.4999999999999999E-2</v>
      </c>
      <c r="EE7" s="62">
        <v>0.01</v>
      </c>
      <c r="EF7" s="62">
        <v>5.0000000000000001E-3</v>
      </c>
      <c r="EG7" s="62">
        <v>0.02</v>
      </c>
      <c r="EH7" s="62">
        <v>0.02</v>
      </c>
      <c r="EI7" s="62">
        <v>0.01</v>
      </c>
      <c r="EJ7" s="62">
        <v>5.0000000000000001E-3</v>
      </c>
      <c r="EK7" s="62">
        <v>0.02</v>
      </c>
      <c r="EL7" s="62">
        <v>0.02</v>
      </c>
      <c r="EM7" s="62">
        <v>0.01</v>
      </c>
      <c r="EN7" s="62">
        <v>0.01</v>
      </c>
      <c r="EO7" s="62">
        <v>0.01</v>
      </c>
      <c r="EP7" s="62">
        <v>8.0000000000000002E-3</v>
      </c>
      <c r="EQ7" s="62">
        <v>2.5000000000000001E-2</v>
      </c>
      <c r="ER7" s="62">
        <v>2.5000000000000001E-2</v>
      </c>
      <c r="ES7" s="62">
        <v>2.5000000000000001E-2</v>
      </c>
      <c r="ET7" s="62">
        <v>2.5000000000000001E-2</v>
      </c>
      <c r="EU7" s="62">
        <v>0.02</v>
      </c>
      <c r="EV7" s="62">
        <v>0.02</v>
      </c>
      <c r="EW7" s="62">
        <v>0.01</v>
      </c>
      <c r="EX7" s="62">
        <v>0.01</v>
      </c>
      <c r="EY7" s="62">
        <v>2.98E-2</v>
      </c>
      <c r="EZ7" s="62">
        <v>3.0300000000000001E-2</v>
      </c>
      <c r="FA7" s="62">
        <v>1.83E-2</v>
      </c>
      <c r="FB7" s="62">
        <v>3.4299999999999997E-2</v>
      </c>
      <c r="FC7" s="62">
        <v>3.0300000000000001E-2</v>
      </c>
      <c r="FD7" s="62">
        <v>1.5299999999999999E-2</v>
      </c>
      <c r="FE7" s="62">
        <v>3.78E-2</v>
      </c>
      <c r="FF7" s="62">
        <v>3.3300000000000003E-2</v>
      </c>
      <c r="FG7" s="62">
        <v>2.1299999999999999E-2</v>
      </c>
      <c r="FH7" s="62">
        <v>3.4299999999999997E-2</v>
      </c>
      <c r="FI7" s="62">
        <v>2.98E-2</v>
      </c>
      <c r="FJ7" s="62">
        <v>1.9300000000000001E-2</v>
      </c>
      <c r="FK7" s="62">
        <v>3.5499999999999997E-2</v>
      </c>
      <c r="FL7" s="62">
        <v>3.2500000000000001E-2</v>
      </c>
      <c r="FM7" s="62">
        <v>0.02</v>
      </c>
      <c r="FN7" s="62">
        <v>3.5999999999999997E-2</v>
      </c>
      <c r="FO7" s="62">
        <v>3.4000000000000002E-2</v>
      </c>
      <c r="FP7" s="62">
        <v>0.02</v>
      </c>
      <c r="FQ7" s="62">
        <v>3.7499999999999999E-2</v>
      </c>
      <c r="FR7" s="62">
        <v>2.8500000000000001E-2</v>
      </c>
      <c r="FS7" s="62">
        <v>1.8499999999999999E-2</v>
      </c>
      <c r="FT7" s="62">
        <v>4.65E-2</v>
      </c>
      <c r="FU7" s="62">
        <v>0.04</v>
      </c>
      <c r="FV7" s="62">
        <v>2.1999999999999999E-2</v>
      </c>
      <c r="FW7" s="62">
        <v>4.2500000000000003E-2</v>
      </c>
      <c r="FX7" s="62">
        <v>4.0500000000000001E-2</v>
      </c>
      <c r="FY7" s="62">
        <v>2.2499999999999999E-2</v>
      </c>
      <c r="FZ7" s="62">
        <v>2.6599999999999999E-2</v>
      </c>
      <c r="GA7" s="62">
        <v>2.7099999999999999E-2</v>
      </c>
      <c r="GB7" s="62">
        <v>2.6100000000000002E-2</v>
      </c>
      <c r="GC7" s="62">
        <v>1.21E-2</v>
      </c>
      <c r="GD7" s="62">
        <v>3.4599999999999999E-2</v>
      </c>
      <c r="GE7" s="62">
        <v>3.4099999999999998E-2</v>
      </c>
      <c r="GF7" s="62">
        <v>3.0099999999999998E-2</v>
      </c>
      <c r="GG7" s="62">
        <v>1.5100000000000001E-2</v>
      </c>
      <c r="GH7" s="62">
        <v>7.4999999999999997E-3</v>
      </c>
      <c r="GI7" s="62">
        <v>7.4999999999999997E-3</v>
      </c>
      <c r="GJ7" s="62">
        <v>4.0000000000000001E-3</v>
      </c>
      <c r="GK7" s="62">
        <v>4.0000000000000001E-3</v>
      </c>
      <c r="GL7" s="62">
        <v>0.01</v>
      </c>
      <c r="GM7" s="62">
        <v>0.01</v>
      </c>
      <c r="GN7" s="62">
        <v>4.9999999999999992E-3</v>
      </c>
      <c r="GO7" s="62">
        <v>4.9999999999999992E-3</v>
      </c>
      <c r="GP7" s="62">
        <v>1.2499999999999999E-2</v>
      </c>
      <c r="GQ7" s="62">
        <v>1.2499999999999999E-2</v>
      </c>
      <c r="GR7" s="62">
        <v>6.4999999999999988E-3</v>
      </c>
      <c r="GS7" s="62">
        <v>6.4999999999999988E-3</v>
      </c>
      <c r="GT7" s="62">
        <v>0.02</v>
      </c>
      <c r="GU7" s="62">
        <v>0.02</v>
      </c>
      <c r="GV7" s="62">
        <v>0.01</v>
      </c>
      <c r="GW7" s="62">
        <v>0.01</v>
      </c>
      <c r="GX7" s="62">
        <v>0.03</v>
      </c>
      <c r="GY7" s="62">
        <v>0.03</v>
      </c>
      <c r="GZ7" s="62">
        <v>1.2500000000000001E-2</v>
      </c>
      <c r="HA7" s="62">
        <v>1.2500000000000001E-2</v>
      </c>
      <c r="HB7" s="62">
        <v>3.5000000000000003E-2</v>
      </c>
      <c r="HC7" s="62">
        <v>3.5000000000000003E-2</v>
      </c>
      <c r="HD7" s="62">
        <v>1.4999999999999999E-2</v>
      </c>
      <c r="HE7" s="62">
        <v>1.4999999999999999E-2</v>
      </c>
      <c r="HF7" s="62">
        <v>2.5000000000000001E-2</v>
      </c>
      <c r="HG7" s="62">
        <v>2.2499999999999999E-2</v>
      </c>
      <c r="HH7" s="62">
        <v>1.2500000000000001E-2</v>
      </c>
      <c r="HI7" s="62">
        <v>1.2500000000000001E-2</v>
      </c>
      <c r="HJ7" s="69">
        <f>HL7+1%</f>
        <v>4.4100000000000007E-2</v>
      </c>
      <c r="HK7" s="69">
        <f>HM7+1%</f>
        <v>4.4100000000000007E-2</v>
      </c>
      <c r="HL7" s="62">
        <f>3.4%+0.01%</f>
        <v>3.4100000000000005E-2</v>
      </c>
      <c r="HM7" s="62">
        <f>3.4%+0.01%</f>
        <v>3.4100000000000005E-2</v>
      </c>
      <c r="HN7" s="62">
        <v>4.1000000000000002E-2</v>
      </c>
      <c r="HO7" s="62">
        <v>4.1000000000000002E-2</v>
      </c>
      <c r="HP7" s="62">
        <v>3.3000000000000002E-2</v>
      </c>
      <c r="HQ7" s="62">
        <v>3.3000000000000002E-2</v>
      </c>
      <c r="HR7" s="62">
        <f>5.5%+0.35%</f>
        <v>5.8499999999999996E-2</v>
      </c>
      <c r="HS7" s="62">
        <f>5.5%+0.35%</f>
        <v>5.8499999999999996E-2</v>
      </c>
      <c r="HT7" s="62">
        <f>5.5%+0.35%</f>
        <v>5.8499999999999996E-2</v>
      </c>
      <c r="HU7" s="62">
        <f>5.5%+0.35%</f>
        <v>5.8499999999999996E-2</v>
      </c>
      <c r="HV7" s="69">
        <f>0.075%+0.5%</f>
        <v>5.7499999999999999E-3</v>
      </c>
      <c r="HW7" s="69">
        <f>0.075%+0.5%</f>
        <v>5.7499999999999999E-3</v>
      </c>
      <c r="HX7" s="62">
        <v>1.7000000000000001E-2</v>
      </c>
      <c r="HY7" s="62">
        <v>1.7000000000000001E-2</v>
      </c>
      <c r="HZ7" s="62">
        <v>0.01</v>
      </c>
      <c r="IA7" s="62">
        <v>3.0000000000000001E-3</v>
      </c>
      <c r="IB7" s="62">
        <v>2.4E-2</v>
      </c>
      <c r="IC7" s="62">
        <v>1.7000000000000001E-2</v>
      </c>
      <c r="ID7" s="62">
        <v>1.7000000000000001E-2</v>
      </c>
      <c r="IE7" s="62">
        <v>0.01</v>
      </c>
      <c r="IF7" s="62">
        <v>2.7E-2</v>
      </c>
      <c r="IG7" s="62">
        <v>2.7E-2</v>
      </c>
      <c r="IH7" s="62">
        <v>0.02</v>
      </c>
      <c r="II7" s="62">
        <v>0.02</v>
      </c>
      <c r="IJ7" s="62">
        <v>0.01</v>
      </c>
      <c r="IK7" s="62">
        <v>0.01</v>
      </c>
      <c r="IL7" s="62">
        <v>2.5000000000000001E-2</v>
      </c>
      <c r="IM7" s="62">
        <v>2.5000000000000001E-2</v>
      </c>
      <c r="IN7" s="62">
        <v>1.2500000000000001E-2</v>
      </c>
      <c r="IO7" s="62">
        <v>1.2500000000000001E-2</v>
      </c>
      <c r="IP7" s="62">
        <v>0.03</v>
      </c>
      <c r="IQ7" s="62">
        <v>0.03</v>
      </c>
      <c r="IR7" s="62">
        <v>1.4999999999999999E-2</v>
      </c>
      <c r="IS7" s="62">
        <v>1.4999999999999999E-2</v>
      </c>
      <c r="IT7" s="62">
        <v>3.5000000000000003E-2</v>
      </c>
      <c r="IU7" s="62">
        <v>3.5000000000000003E-2</v>
      </c>
      <c r="IV7" s="62">
        <v>1.7500000000000002E-2</v>
      </c>
      <c r="IW7" s="62">
        <v>1.7500000000000002E-2</v>
      </c>
      <c r="IX7" s="62">
        <v>3.7499999999999999E-2</v>
      </c>
      <c r="IY7" s="62">
        <v>3.7499999999999999E-2</v>
      </c>
      <c r="IZ7" s="62">
        <v>3.7499999999999999E-2</v>
      </c>
      <c r="JA7" s="62">
        <v>3.7499999999999999E-2</v>
      </c>
      <c r="JB7" s="62">
        <v>0.02</v>
      </c>
      <c r="JC7" s="62">
        <v>0.02</v>
      </c>
      <c r="JD7" s="62">
        <v>0.01</v>
      </c>
      <c r="JE7" s="62">
        <v>0.01</v>
      </c>
      <c r="JF7" s="62">
        <v>0.02</v>
      </c>
      <c r="JG7" s="62">
        <v>0.02</v>
      </c>
      <c r="JH7" s="62">
        <v>1.2500000000000001E-2</v>
      </c>
      <c r="JI7" s="62">
        <v>1.2500000000000001E-2</v>
      </c>
      <c r="JJ7" s="62">
        <v>0.02</v>
      </c>
      <c r="JK7" s="62">
        <v>0.02</v>
      </c>
      <c r="JL7" s="62">
        <v>1.4999999999999999E-2</v>
      </c>
      <c r="JM7" s="62">
        <v>1.4999999999999999E-2</v>
      </c>
      <c r="JN7" s="62">
        <v>0.02</v>
      </c>
      <c r="JO7" s="62">
        <v>0.02</v>
      </c>
      <c r="JP7" s="62">
        <v>1.7500000000000002E-2</v>
      </c>
      <c r="JQ7" s="62">
        <v>1.7500000000000002E-2</v>
      </c>
      <c r="JR7" s="62">
        <v>0.02</v>
      </c>
      <c r="JS7" s="62">
        <v>0.02</v>
      </c>
      <c r="JT7" s="62">
        <v>0.01</v>
      </c>
      <c r="JU7" s="62">
        <v>0.01</v>
      </c>
      <c r="JV7" s="62">
        <v>2.5000000000000001E-2</v>
      </c>
      <c r="JW7" s="62">
        <v>2.5000000000000001E-2</v>
      </c>
      <c r="JX7" s="62">
        <v>1.2500000000000001E-2</v>
      </c>
      <c r="JY7" s="62">
        <v>1.2500000000000001E-2</v>
      </c>
      <c r="JZ7" s="62">
        <v>0.03</v>
      </c>
      <c r="KA7" s="62">
        <v>0.03</v>
      </c>
      <c r="KB7" s="62">
        <v>1.4999999999999999E-2</v>
      </c>
      <c r="KC7" s="62">
        <v>1.4999999999999999E-2</v>
      </c>
      <c r="KD7" s="62">
        <v>3.5000000000000003E-2</v>
      </c>
      <c r="KE7" s="62">
        <v>3.5000000000000003E-2</v>
      </c>
      <c r="KF7" s="62">
        <v>1.7500000000000002E-2</v>
      </c>
      <c r="KG7" s="62">
        <v>1.7500000000000002E-2</v>
      </c>
      <c r="KH7" s="33">
        <v>3.7499999999999999E-2</v>
      </c>
      <c r="KI7" s="33">
        <v>1.7500000000000002E-2</v>
      </c>
      <c r="KJ7" s="65">
        <f>3.3%+0.15%</f>
        <v>3.4500000000000003E-2</v>
      </c>
      <c r="KK7" s="65">
        <f>1.53%+0.15%</f>
        <v>1.6800000000000002E-2</v>
      </c>
      <c r="KL7" s="65">
        <v>3.3000000000000002E-2</v>
      </c>
      <c r="KM7" s="65">
        <v>1.5299999999999999E-2</v>
      </c>
      <c r="KN7" s="33">
        <v>3.4599999999999999E-2</v>
      </c>
      <c r="KO7" s="33">
        <v>1.6299999999999999E-2</v>
      </c>
      <c r="KP7" s="33">
        <v>3.3399999999999999E-2</v>
      </c>
      <c r="KQ7" s="33">
        <v>1.5699999999999999E-2</v>
      </c>
      <c r="KR7" s="33">
        <v>3.2800000000000003E-2</v>
      </c>
      <c r="KS7" s="33">
        <v>1.52E-2</v>
      </c>
      <c r="KT7" s="65">
        <v>2.46E-2</v>
      </c>
      <c r="KU7" s="65">
        <v>2.1600000000000001E-2</v>
      </c>
      <c r="KV7" s="65">
        <v>1.2500000000000001E-2</v>
      </c>
      <c r="KW7" s="33">
        <v>3.5000000000000003E-2</v>
      </c>
      <c r="KX7" s="33">
        <v>0.02</v>
      </c>
      <c r="KY7" s="33">
        <v>3.2099999999999997E-2</v>
      </c>
      <c r="KZ7" s="33">
        <v>1.4800000000000001E-2</v>
      </c>
      <c r="LA7" s="33">
        <v>3.27E-2</v>
      </c>
      <c r="LB7" s="33">
        <v>1.41E-2</v>
      </c>
      <c r="LC7" s="33">
        <v>3.2099999999999997E-2</v>
      </c>
      <c r="LD7" s="33">
        <v>1.4800000000000001E-2</v>
      </c>
      <c r="LE7" s="33">
        <v>2.9499999999999998E-2</v>
      </c>
      <c r="LF7" s="33">
        <v>1.7899999999999999E-2</v>
      </c>
      <c r="LG7" s="33">
        <f>ROUND(LE7+0.059655%,4)</f>
        <v>3.0099999999999998E-2</v>
      </c>
      <c r="LH7" s="33">
        <f>ROUND(LF7+0.059655%,4)</f>
        <v>1.8499999999999999E-2</v>
      </c>
      <c r="LI7" s="68">
        <v>4.4200000000000003E-2</v>
      </c>
      <c r="LJ7" s="68">
        <v>2.5700000000000001E-2</v>
      </c>
      <c r="LK7" s="68">
        <v>2.5700000000000001E-2</v>
      </c>
      <c r="LL7" s="33">
        <v>4.2500000000000003E-2</v>
      </c>
      <c r="LM7" s="33">
        <v>0.02</v>
      </c>
      <c r="LN7" s="46">
        <v>4.6699999999999998E-2</v>
      </c>
      <c r="LO7" s="46">
        <v>2.4199999999999999E-2</v>
      </c>
      <c r="LP7" s="46">
        <v>4.65E-2</v>
      </c>
      <c r="LQ7" s="46">
        <v>2.5000000000000001E-2</v>
      </c>
      <c r="LR7" s="33">
        <v>2.5000000000000001E-2</v>
      </c>
      <c r="LS7" s="33">
        <v>3.5000000000000003E-2</v>
      </c>
      <c r="LT7" s="33">
        <v>4.4999999999999998E-2</v>
      </c>
      <c r="LU7" s="65">
        <f>3.99%+0.04%</f>
        <v>4.0300000000000002E-2</v>
      </c>
      <c r="LV7" s="65">
        <f>1.82%+0.04%</f>
        <v>1.8600000000000002E-2</v>
      </c>
      <c r="LW7" s="33">
        <v>5.2499999999999998E-2</v>
      </c>
      <c r="LX7" s="33">
        <v>7.0000000000000007E-2</v>
      </c>
      <c r="LY7" s="49">
        <v>5.3749999999999999E-2</v>
      </c>
      <c r="LZ7" s="49">
        <v>5.3749999999999999E-2</v>
      </c>
      <c r="MA7" s="49">
        <v>0.02</v>
      </c>
      <c r="MB7" s="49">
        <v>4.6699999999999998E-2</v>
      </c>
      <c r="MC7" s="49">
        <v>1.77E-2</v>
      </c>
      <c r="MD7" s="49">
        <v>4.6899999999999997E-2</v>
      </c>
      <c r="ME7" s="49">
        <v>1.7999999999999999E-2</v>
      </c>
      <c r="MF7" s="49">
        <f>ROUND(MD7+0.041607%,4)</f>
        <v>4.7300000000000002E-2</v>
      </c>
      <c r="MG7" s="49">
        <f>ROUND(ME7+0.041607%,4)</f>
        <v>1.84E-2</v>
      </c>
      <c r="MH7" s="65">
        <v>4.6800000000000001E-2</v>
      </c>
      <c r="MI7" s="65">
        <v>1.4999999999999999E-2</v>
      </c>
      <c r="MJ7" s="49">
        <v>4.675E-2</v>
      </c>
      <c r="MK7" s="49">
        <v>1.4999999999999999E-2</v>
      </c>
      <c r="ML7" s="49">
        <v>3.7499999999999999E-2</v>
      </c>
      <c r="MM7" s="65">
        <f>2.7%+0.03%</f>
        <v>2.7300000000000005E-2</v>
      </c>
      <c r="MN7" s="65">
        <f>1.51%+0.03%</f>
        <v>1.54E-2</v>
      </c>
      <c r="MO7" s="49">
        <v>4.7500000000000001E-2</v>
      </c>
      <c r="MP7" s="49">
        <v>4.1250000000000002E-2</v>
      </c>
      <c r="MQ7" s="49">
        <v>1.7500000000000002E-2</v>
      </c>
      <c r="MR7" s="49">
        <v>4.0300000000000002E-2</v>
      </c>
      <c r="MS7" s="49">
        <v>1.6E-2</v>
      </c>
      <c r="MT7" s="49">
        <v>3.6299999999999999E-2</v>
      </c>
      <c r="MU7" s="49">
        <v>1.6299999999999999E-2</v>
      </c>
      <c r="MV7" s="49">
        <f>ROUND(MT7+0.041607%,4)</f>
        <v>3.6700000000000003E-2</v>
      </c>
      <c r="MW7" s="49">
        <f>ROUND(MU7+0.041607%,4)</f>
        <v>1.67E-2</v>
      </c>
      <c r="MX7" s="65">
        <v>4.0500000000000001E-2</v>
      </c>
      <c r="MY7" s="65">
        <v>3.39E-2</v>
      </c>
      <c r="MZ7" s="65">
        <v>2.3099999999999999E-2</v>
      </c>
      <c r="NA7" s="33">
        <v>4.8000000000000001E-2</v>
      </c>
      <c r="NB7" s="33">
        <v>4.8000000000000001E-2</v>
      </c>
      <c r="NC7" s="33">
        <v>3.7999999999999999E-2</v>
      </c>
      <c r="ND7" s="33">
        <v>2.8000000000000001E-2</v>
      </c>
      <c r="NE7" s="33">
        <v>3.9199999999999999E-2</v>
      </c>
      <c r="NF7" s="33">
        <v>2.2700000000000001E-2</v>
      </c>
      <c r="NG7" s="33">
        <v>2.07E-2</v>
      </c>
      <c r="NH7" s="65">
        <f>3.1%+0.15%</f>
        <v>3.2500000000000001E-2</v>
      </c>
      <c r="NI7" s="65">
        <f>1.75%+0.15%</f>
        <v>1.9000000000000003E-2</v>
      </c>
      <c r="NJ7" s="65">
        <v>3.1E-2</v>
      </c>
      <c r="NK7" s="65">
        <v>1.7500000000000002E-2</v>
      </c>
      <c r="NL7" s="33">
        <v>3.2000000000000001E-2</v>
      </c>
      <c r="NM7" s="33">
        <v>1.7899999999999999E-2</v>
      </c>
      <c r="NN7" s="33">
        <v>3.0300000000000001E-2</v>
      </c>
      <c r="NO7" s="33">
        <v>1.7299999999999999E-2</v>
      </c>
      <c r="NP7" s="33">
        <v>3.2500000000000001E-2</v>
      </c>
      <c r="NQ7" s="33">
        <v>1.7500000000000002E-2</v>
      </c>
      <c r="NR7" s="65">
        <f>3.62%+0.03%</f>
        <v>3.6500000000000005E-2</v>
      </c>
      <c r="NS7" s="65">
        <f>3.63%+0.03%</f>
        <v>3.6600000000000001E-2</v>
      </c>
      <c r="NT7" s="65">
        <f>1.52%+0.03%</f>
        <v>1.55E-2</v>
      </c>
      <c r="NU7" s="33">
        <v>0.05</v>
      </c>
      <c r="NV7" s="33">
        <v>1.4999999999999999E-2</v>
      </c>
      <c r="NW7" s="33">
        <v>3.9699999999999999E-2</v>
      </c>
      <c r="NX7" s="33">
        <v>2.1999999999999999E-2</v>
      </c>
      <c r="NY7" s="33">
        <v>3.8199999999999998E-2</v>
      </c>
      <c r="NZ7" s="33">
        <v>2.1899999999999999E-2</v>
      </c>
      <c r="OA7" s="33">
        <v>3.8899999999999997E-2</v>
      </c>
      <c r="OB7" s="33">
        <v>2.1299999999999999E-2</v>
      </c>
      <c r="OC7" s="33">
        <f>ROUND(OA7+0.08182%,4)</f>
        <v>3.9699999999999999E-2</v>
      </c>
      <c r="OD7" s="33">
        <f>ROUND(OB7+0.08182%,4)</f>
        <v>2.2100000000000002E-2</v>
      </c>
      <c r="OE7" s="68">
        <v>7.1199999999999999E-2</v>
      </c>
      <c r="OF7" s="68">
        <v>5.0500000000000003E-2</v>
      </c>
      <c r="OG7" s="33">
        <v>0.06</v>
      </c>
      <c r="OH7" s="33">
        <v>0.04</v>
      </c>
      <c r="OI7" s="46">
        <v>6.4199999999999993E-2</v>
      </c>
      <c r="OJ7" s="46">
        <v>4.4200000000000003E-2</v>
      </c>
      <c r="OK7" s="46">
        <v>6.2700000000000006E-2</v>
      </c>
      <c r="OL7" s="46">
        <v>4.4999999999999998E-2</v>
      </c>
      <c r="OM7" s="65">
        <v>2.7E-2</v>
      </c>
      <c r="ON7" s="65">
        <v>6.9999999999999993E-3</v>
      </c>
      <c r="OO7" s="33">
        <v>2.9499999999999998E-2</v>
      </c>
      <c r="OP7" s="33">
        <v>0.01</v>
      </c>
      <c r="OQ7" s="58">
        <v>2.7980999999999999E-2</v>
      </c>
      <c r="OR7" s="58">
        <v>6.875E-3</v>
      </c>
      <c r="OS7" s="33">
        <v>3.5000000000000003E-2</v>
      </c>
      <c r="OT7" s="33">
        <v>0.05</v>
      </c>
      <c r="OU7" s="33">
        <v>3.5400000000000001E-2</v>
      </c>
      <c r="OV7" s="33">
        <v>1.4999999999999999E-2</v>
      </c>
      <c r="OW7" s="33">
        <v>3.7199999999999997E-2</v>
      </c>
      <c r="OX7" s="33">
        <v>1.4999999999999999E-2</v>
      </c>
      <c r="OY7" s="33">
        <v>4.1099999999999998E-2</v>
      </c>
      <c r="OZ7" s="33">
        <v>1.6400000000000001E-2</v>
      </c>
      <c r="PA7" s="33">
        <f>ROUND(OY7+0.12517%,4)</f>
        <v>4.24E-2</v>
      </c>
      <c r="PB7" s="33">
        <f>ROUND(OZ7+0.12517%,4)</f>
        <v>1.77E-2</v>
      </c>
      <c r="PC7" s="65">
        <f>0.63%+0.02%</f>
        <v>6.4999999999999997E-3</v>
      </c>
      <c r="PD7" s="33">
        <f>ROUND(0.02585%,4)</f>
        <v>2.9999999999999997E-4</v>
      </c>
      <c r="PE7" s="65">
        <f>4.15%+0.2%</f>
        <v>4.3500000000000004E-2</v>
      </c>
      <c r="PF7" s="65">
        <f>2%+0.2%</f>
        <v>2.1999999999999999E-2</v>
      </c>
      <c r="PG7" s="33">
        <v>4.1500000000000002E-2</v>
      </c>
      <c r="PH7" s="33">
        <v>0.02</v>
      </c>
      <c r="PI7" s="33">
        <v>3.85E-2</v>
      </c>
      <c r="PJ7" s="33">
        <v>1.83E-2</v>
      </c>
      <c r="PK7" s="33">
        <v>3.8199999999999998E-2</v>
      </c>
      <c r="PL7" s="33">
        <v>1.83E-2</v>
      </c>
      <c r="PM7" s="33">
        <v>3.85E-2</v>
      </c>
      <c r="PN7" s="33">
        <v>1.83E-2</v>
      </c>
      <c r="PO7" s="33">
        <f>ROUND(PM7+0.2%,4)</f>
        <v>4.0500000000000001E-2</v>
      </c>
      <c r="PP7" s="33">
        <f>ROUND(PN7+0.2%,4)</f>
        <v>2.0299999999999999E-2</v>
      </c>
      <c r="PQ7" s="68">
        <v>7.85E-2</v>
      </c>
      <c r="PR7" s="33">
        <v>6.8000000000000005E-2</v>
      </c>
      <c r="PS7" s="46">
        <v>7.5499999999999998E-2</v>
      </c>
      <c r="PT7" s="46">
        <v>7.2099999999999997E-2</v>
      </c>
      <c r="PU7" s="65">
        <f>5.6%+0.2%</f>
        <v>5.7999999999999996E-2</v>
      </c>
      <c r="PV7" s="65">
        <f>3.5%+0.2%</f>
        <v>3.7000000000000005E-2</v>
      </c>
      <c r="PW7" s="33">
        <v>5.6000000000000001E-2</v>
      </c>
      <c r="PX7" s="33">
        <v>3.5000000000000003E-2</v>
      </c>
      <c r="PY7" s="33">
        <v>0.05</v>
      </c>
      <c r="PZ7" s="33">
        <v>3.5200000000000002E-2</v>
      </c>
      <c r="QA7" s="33">
        <v>4.9099999999999998E-2</v>
      </c>
      <c r="QB7" s="33">
        <v>3.5999999999999997E-2</v>
      </c>
      <c r="QC7" s="33">
        <v>4.9399999999999999E-2</v>
      </c>
      <c r="QD7" s="33">
        <v>3.5000000000000003E-2</v>
      </c>
      <c r="QE7" s="33">
        <f>ROUND(QC7+0.199373%,4)</f>
        <v>5.1400000000000001E-2</v>
      </c>
      <c r="QF7" s="33">
        <f>ROUND(QD7+0.199373%,4)</f>
        <v>3.6999999999999998E-2</v>
      </c>
      <c r="QG7" s="65">
        <f>5.43%+0.07%</f>
        <v>5.4999999999999993E-2</v>
      </c>
      <c r="QH7" s="33">
        <v>7.2499999999999995E-2</v>
      </c>
      <c r="QI7" s="33">
        <v>5.16E-2</v>
      </c>
      <c r="QJ7" s="33">
        <v>5.4399999999999997E-2</v>
      </c>
      <c r="QK7" s="33">
        <f>ROUND(QJ7+0.12552%,4)</f>
        <v>5.57E-2</v>
      </c>
      <c r="QL7" s="33">
        <v>0.04</v>
      </c>
      <c r="QM7" s="33">
        <v>0.06</v>
      </c>
      <c r="QN7" s="33">
        <v>5.8999999999999997E-2</v>
      </c>
      <c r="QO7" s="68">
        <v>0.1021</v>
      </c>
      <c r="QP7" s="33">
        <v>0.09</v>
      </c>
      <c r="QQ7" s="46">
        <v>9.8400000000000001E-2</v>
      </c>
      <c r="QR7" s="46">
        <v>9.8500000000000004E-2</v>
      </c>
      <c r="QS7" s="68">
        <v>0.106</v>
      </c>
      <c r="QT7" s="68">
        <v>6.8000000000000005E-2</v>
      </c>
      <c r="QU7" s="33">
        <v>0.10100000000000001</v>
      </c>
      <c r="QV7" s="33">
        <v>5.3499999999999999E-2</v>
      </c>
      <c r="QW7" s="46">
        <v>0.1045</v>
      </c>
      <c r="QX7" s="46">
        <v>5.7000000000000002E-2</v>
      </c>
      <c r="QY7" s="46">
        <v>0.10349999999999999</v>
      </c>
      <c r="QZ7" s="46">
        <v>5.6000000000000001E-2</v>
      </c>
      <c r="RA7" s="46">
        <v>0.106</v>
      </c>
      <c r="RB7" s="46">
        <v>5.8500000000000003E-2</v>
      </c>
      <c r="RC7" s="46">
        <v>0.10100000000000001</v>
      </c>
      <c r="RD7" s="46">
        <v>5.79E-2</v>
      </c>
    </row>
    <row r="8" spans="1:472" x14ac:dyDescent="0.2">
      <c r="A8" s="14"/>
      <c r="B8" s="29">
        <v>2</v>
      </c>
      <c r="C8" s="29"/>
      <c r="D8" s="33">
        <v>0</v>
      </c>
      <c r="E8" s="62">
        <v>0</v>
      </c>
      <c r="F8" s="62">
        <v>0</v>
      </c>
      <c r="G8" s="65">
        <v>0</v>
      </c>
      <c r="H8" s="65">
        <v>0</v>
      </c>
      <c r="I8" s="65">
        <v>0</v>
      </c>
      <c r="J8" s="65">
        <v>0</v>
      </c>
      <c r="K8" s="83">
        <v>0</v>
      </c>
      <c r="L8" s="80">
        <v>0</v>
      </c>
      <c r="M8" s="80">
        <v>0</v>
      </c>
      <c r="N8" s="80">
        <v>0</v>
      </c>
      <c r="O8" s="80">
        <v>0</v>
      </c>
      <c r="P8" s="80">
        <v>0</v>
      </c>
      <c r="Q8" s="80">
        <v>0</v>
      </c>
      <c r="R8" s="80">
        <v>0</v>
      </c>
      <c r="S8" s="80">
        <v>0</v>
      </c>
      <c r="T8" s="80">
        <v>0</v>
      </c>
      <c r="U8" s="80">
        <v>0</v>
      </c>
      <c r="V8" s="80">
        <v>0</v>
      </c>
      <c r="W8" s="80">
        <v>0</v>
      </c>
      <c r="X8" s="80">
        <v>0</v>
      </c>
      <c r="Y8" s="80">
        <v>0</v>
      </c>
      <c r="Z8" s="80">
        <v>0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 s="80">
        <v>0</v>
      </c>
      <c r="AG8" s="80">
        <v>0</v>
      </c>
      <c r="AH8" s="80">
        <v>0</v>
      </c>
      <c r="AI8" s="80">
        <v>0</v>
      </c>
      <c r="AJ8" s="80">
        <v>0</v>
      </c>
      <c r="AK8" s="80">
        <v>0</v>
      </c>
      <c r="AL8" s="80">
        <v>0</v>
      </c>
      <c r="AM8" s="80">
        <v>0</v>
      </c>
      <c r="AN8" s="80">
        <v>0</v>
      </c>
      <c r="AO8" s="80">
        <v>0</v>
      </c>
      <c r="AP8" s="80">
        <v>0</v>
      </c>
      <c r="AQ8" s="80">
        <v>0</v>
      </c>
      <c r="AR8" s="80">
        <v>0</v>
      </c>
      <c r="AS8" s="80">
        <v>0</v>
      </c>
      <c r="AT8" s="62">
        <v>0</v>
      </c>
      <c r="AU8" s="62">
        <v>0</v>
      </c>
      <c r="AV8" s="62">
        <v>0</v>
      </c>
      <c r="AW8" s="62">
        <v>0</v>
      </c>
      <c r="AX8" s="62">
        <v>0</v>
      </c>
      <c r="AY8" s="62">
        <v>0</v>
      </c>
      <c r="AZ8" s="62">
        <v>0</v>
      </c>
      <c r="BA8" s="62">
        <v>0</v>
      </c>
      <c r="BB8" s="62">
        <v>0</v>
      </c>
      <c r="BC8" s="62">
        <v>0</v>
      </c>
      <c r="BD8" s="62">
        <v>0</v>
      </c>
      <c r="BE8" s="62">
        <v>0</v>
      </c>
      <c r="BF8" s="62">
        <v>0</v>
      </c>
      <c r="BG8" s="62">
        <v>0</v>
      </c>
      <c r="BH8" s="62">
        <v>0</v>
      </c>
      <c r="BI8" s="62">
        <v>0</v>
      </c>
      <c r="BJ8" s="62">
        <v>0</v>
      </c>
      <c r="BK8" s="62">
        <v>0</v>
      </c>
      <c r="BL8" s="62">
        <v>0</v>
      </c>
      <c r="BM8" s="62">
        <v>0</v>
      </c>
      <c r="BN8" s="62">
        <v>0</v>
      </c>
      <c r="BO8" s="62">
        <v>0</v>
      </c>
      <c r="BP8" s="62">
        <v>0</v>
      </c>
      <c r="BQ8" s="62">
        <v>0</v>
      </c>
      <c r="BR8" s="62">
        <v>0</v>
      </c>
      <c r="BS8" s="62">
        <v>0</v>
      </c>
      <c r="BT8" s="62">
        <v>0</v>
      </c>
      <c r="BU8" s="62">
        <v>0</v>
      </c>
      <c r="BV8" s="62">
        <v>0</v>
      </c>
      <c r="BW8" s="62">
        <v>0</v>
      </c>
      <c r="BX8" s="62">
        <v>0</v>
      </c>
      <c r="BY8" s="62">
        <v>0</v>
      </c>
      <c r="BZ8" s="62">
        <v>0</v>
      </c>
      <c r="CA8" s="62">
        <v>0</v>
      </c>
      <c r="CB8" s="62">
        <v>0</v>
      </c>
      <c r="CC8" s="62">
        <v>0</v>
      </c>
      <c r="CD8" s="62">
        <v>0</v>
      </c>
      <c r="CE8" s="62">
        <v>0</v>
      </c>
      <c r="CF8" s="62">
        <v>0</v>
      </c>
      <c r="CG8" s="62">
        <v>0</v>
      </c>
      <c r="CH8" s="68">
        <v>0</v>
      </c>
      <c r="CI8" s="68">
        <v>0</v>
      </c>
      <c r="CJ8" s="68">
        <v>0</v>
      </c>
      <c r="CK8" s="62">
        <v>0</v>
      </c>
      <c r="CL8" s="62">
        <v>0</v>
      </c>
      <c r="CM8" s="62">
        <v>0</v>
      </c>
      <c r="CN8" s="62">
        <v>0</v>
      </c>
      <c r="CO8" s="62">
        <v>0</v>
      </c>
      <c r="CP8" s="62">
        <v>0</v>
      </c>
      <c r="CQ8" s="62">
        <v>0</v>
      </c>
      <c r="CR8" s="62">
        <v>0</v>
      </c>
      <c r="CS8" s="62">
        <v>0</v>
      </c>
      <c r="CT8" s="62">
        <v>0</v>
      </c>
      <c r="CU8" s="62">
        <v>0</v>
      </c>
      <c r="CV8" s="62">
        <v>0</v>
      </c>
      <c r="CW8" s="62">
        <v>0</v>
      </c>
      <c r="CX8" s="62">
        <v>0</v>
      </c>
      <c r="CY8" s="62">
        <v>0</v>
      </c>
      <c r="CZ8" s="62">
        <v>0</v>
      </c>
      <c r="DA8" s="62">
        <v>0</v>
      </c>
      <c r="DB8" s="62">
        <v>0</v>
      </c>
      <c r="DC8" s="62">
        <v>0</v>
      </c>
      <c r="DD8" s="62">
        <v>0</v>
      </c>
      <c r="DE8" s="62">
        <v>0</v>
      </c>
      <c r="DF8" s="62">
        <v>0</v>
      </c>
      <c r="DG8" s="62">
        <v>0</v>
      </c>
      <c r="DH8" s="62">
        <v>0</v>
      </c>
      <c r="DI8" s="62">
        <v>0</v>
      </c>
      <c r="DJ8" s="62">
        <v>0</v>
      </c>
      <c r="DK8" s="62">
        <v>0</v>
      </c>
      <c r="DL8" s="62">
        <v>0</v>
      </c>
      <c r="DM8" s="62">
        <v>0</v>
      </c>
      <c r="DN8" s="62">
        <v>0</v>
      </c>
      <c r="DO8" s="62">
        <v>0</v>
      </c>
      <c r="DP8" s="62">
        <v>0</v>
      </c>
      <c r="DQ8" s="62">
        <v>0</v>
      </c>
      <c r="DR8" s="62">
        <v>0</v>
      </c>
      <c r="DS8" s="62">
        <v>0</v>
      </c>
      <c r="DT8" s="62">
        <v>0</v>
      </c>
      <c r="DU8" s="62">
        <v>0</v>
      </c>
      <c r="DV8" s="62">
        <v>0</v>
      </c>
      <c r="DW8" s="62">
        <v>0</v>
      </c>
      <c r="DX8" s="62">
        <v>0</v>
      </c>
      <c r="DY8" s="62">
        <v>0</v>
      </c>
      <c r="DZ8" s="62">
        <v>0</v>
      </c>
      <c r="EA8" s="62">
        <v>0</v>
      </c>
      <c r="EB8" s="62">
        <v>0</v>
      </c>
      <c r="EC8" s="62">
        <v>0</v>
      </c>
      <c r="ED8" s="62">
        <v>0</v>
      </c>
      <c r="EE8" s="62">
        <v>0</v>
      </c>
      <c r="EF8" s="62">
        <v>0</v>
      </c>
      <c r="EG8" s="62">
        <v>0</v>
      </c>
      <c r="EH8" s="62">
        <v>0</v>
      </c>
      <c r="EI8" s="62">
        <v>0</v>
      </c>
      <c r="EJ8" s="62">
        <v>0</v>
      </c>
      <c r="EK8" s="62">
        <v>0</v>
      </c>
      <c r="EL8" s="62">
        <v>0</v>
      </c>
      <c r="EM8" s="62">
        <v>0</v>
      </c>
      <c r="EN8" s="62">
        <v>0</v>
      </c>
      <c r="EO8" s="62">
        <v>0</v>
      </c>
      <c r="EP8" s="62">
        <v>0</v>
      </c>
      <c r="EQ8" s="62">
        <v>0</v>
      </c>
      <c r="ER8" s="62">
        <v>0</v>
      </c>
      <c r="ES8" s="62">
        <v>0</v>
      </c>
      <c r="ET8" s="62">
        <v>0</v>
      </c>
      <c r="EU8" s="62">
        <v>0</v>
      </c>
      <c r="EV8" s="62">
        <v>0</v>
      </c>
      <c r="EW8" s="62">
        <v>0</v>
      </c>
      <c r="EX8" s="62">
        <v>0</v>
      </c>
      <c r="EY8" s="62">
        <v>0</v>
      </c>
      <c r="EZ8" s="62">
        <v>0</v>
      </c>
      <c r="FA8" s="62">
        <v>0</v>
      </c>
      <c r="FB8" s="62">
        <v>0</v>
      </c>
      <c r="FC8" s="62">
        <v>0</v>
      </c>
      <c r="FD8" s="62">
        <v>0</v>
      </c>
      <c r="FE8" s="62">
        <v>0</v>
      </c>
      <c r="FF8" s="62">
        <v>0</v>
      </c>
      <c r="FG8" s="62">
        <v>0</v>
      </c>
      <c r="FH8" s="62">
        <v>0</v>
      </c>
      <c r="FI8" s="62">
        <v>0</v>
      </c>
      <c r="FJ8" s="62">
        <v>0</v>
      </c>
      <c r="FK8" s="62">
        <v>0</v>
      </c>
      <c r="FL8" s="62">
        <v>0</v>
      </c>
      <c r="FM8" s="62">
        <v>0</v>
      </c>
      <c r="FN8" s="62">
        <v>0</v>
      </c>
      <c r="FO8" s="62">
        <v>0</v>
      </c>
      <c r="FP8" s="62">
        <v>0</v>
      </c>
      <c r="FQ8" s="62">
        <v>0</v>
      </c>
      <c r="FR8" s="62">
        <v>0</v>
      </c>
      <c r="FS8" s="62">
        <v>0</v>
      </c>
      <c r="FT8" s="62">
        <v>0</v>
      </c>
      <c r="FU8" s="62">
        <v>0</v>
      </c>
      <c r="FV8" s="62">
        <v>0</v>
      </c>
      <c r="FW8" s="62">
        <v>0</v>
      </c>
      <c r="FX8" s="62">
        <v>0</v>
      </c>
      <c r="FY8" s="62">
        <v>0</v>
      </c>
      <c r="FZ8" s="62">
        <v>0</v>
      </c>
      <c r="GA8" s="62">
        <v>0</v>
      </c>
      <c r="GB8" s="62">
        <v>0</v>
      </c>
      <c r="GC8" s="62">
        <v>0</v>
      </c>
      <c r="GD8" s="62">
        <v>0</v>
      </c>
      <c r="GE8" s="62">
        <v>0</v>
      </c>
      <c r="GF8" s="62">
        <v>0</v>
      </c>
      <c r="GG8" s="62">
        <v>0</v>
      </c>
      <c r="GH8" s="62">
        <v>0</v>
      </c>
      <c r="GI8" s="62">
        <v>0</v>
      </c>
      <c r="GJ8" s="62">
        <v>0</v>
      </c>
      <c r="GK8" s="62">
        <v>0</v>
      </c>
      <c r="GL8" s="62">
        <v>0</v>
      </c>
      <c r="GM8" s="62">
        <v>0</v>
      </c>
      <c r="GN8" s="62">
        <v>0</v>
      </c>
      <c r="GO8" s="62">
        <v>0</v>
      </c>
      <c r="GP8" s="62">
        <v>0</v>
      </c>
      <c r="GQ8" s="62">
        <v>0</v>
      </c>
      <c r="GR8" s="62">
        <v>0</v>
      </c>
      <c r="GS8" s="62">
        <v>0</v>
      </c>
      <c r="GT8" s="62">
        <v>0</v>
      </c>
      <c r="GU8" s="62">
        <v>0</v>
      </c>
      <c r="GV8" s="62">
        <v>0</v>
      </c>
      <c r="GW8" s="62">
        <v>0</v>
      </c>
      <c r="GX8" s="62">
        <v>0</v>
      </c>
      <c r="GY8" s="62">
        <v>0</v>
      </c>
      <c r="GZ8" s="62">
        <v>0</v>
      </c>
      <c r="HA8" s="62">
        <v>0</v>
      </c>
      <c r="HB8" s="62">
        <v>0</v>
      </c>
      <c r="HC8" s="62">
        <v>0</v>
      </c>
      <c r="HD8" s="62">
        <v>0</v>
      </c>
      <c r="HE8" s="62">
        <v>0</v>
      </c>
      <c r="HF8" s="62">
        <v>0</v>
      </c>
      <c r="HG8" s="62">
        <v>0</v>
      </c>
      <c r="HH8" s="62">
        <v>0</v>
      </c>
      <c r="HI8" s="62">
        <v>0</v>
      </c>
      <c r="HJ8" s="62">
        <v>0</v>
      </c>
      <c r="HK8" s="62">
        <v>0</v>
      </c>
      <c r="HL8" s="62">
        <v>0</v>
      </c>
      <c r="HM8" s="62">
        <v>0</v>
      </c>
      <c r="HN8" s="62">
        <v>0</v>
      </c>
      <c r="HO8" s="62">
        <v>0</v>
      </c>
      <c r="HP8" s="62">
        <v>0</v>
      </c>
      <c r="HQ8" s="62">
        <v>0</v>
      </c>
      <c r="HR8" s="62">
        <v>0</v>
      </c>
      <c r="HS8" s="62">
        <v>0</v>
      </c>
      <c r="HT8" s="62">
        <v>0</v>
      </c>
      <c r="HU8" s="62">
        <v>0</v>
      </c>
      <c r="HV8" s="62">
        <v>0</v>
      </c>
      <c r="HW8" s="62">
        <v>0</v>
      </c>
      <c r="HX8" s="62">
        <v>0</v>
      </c>
      <c r="HY8" s="62">
        <v>0</v>
      </c>
      <c r="HZ8" s="62">
        <v>0</v>
      </c>
      <c r="IA8" s="62">
        <v>0</v>
      </c>
      <c r="IB8" s="62">
        <v>0</v>
      </c>
      <c r="IC8" s="62">
        <v>0</v>
      </c>
      <c r="ID8" s="62">
        <v>0</v>
      </c>
      <c r="IE8" s="62">
        <v>0</v>
      </c>
      <c r="IF8" s="62">
        <v>0</v>
      </c>
      <c r="IG8" s="62">
        <v>0</v>
      </c>
      <c r="IH8" s="62">
        <v>0</v>
      </c>
      <c r="II8" s="62">
        <v>0</v>
      </c>
      <c r="IJ8" s="62">
        <v>0</v>
      </c>
      <c r="IK8" s="62">
        <v>0</v>
      </c>
      <c r="IL8" s="62">
        <v>0</v>
      </c>
      <c r="IM8" s="62">
        <v>0</v>
      </c>
      <c r="IN8" s="62">
        <v>0</v>
      </c>
      <c r="IO8" s="62">
        <v>0</v>
      </c>
      <c r="IP8" s="62">
        <v>0</v>
      </c>
      <c r="IQ8" s="62">
        <v>0</v>
      </c>
      <c r="IR8" s="62">
        <v>0</v>
      </c>
      <c r="IS8" s="62">
        <v>0</v>
      </c>
      <c r="IT8" s="62">
        <v>0</v>
      </c>
      <c r="IU8" s="62">
        <v>0</v>
      </c>
      <c r="IV8" s="62">
        <v>0</v>
      </c>
      <c r="IW8" s="62">
        <v>0</v>
      </c>
      <c r="IX8" s="62">
        <v>0</v>
      </c>
      <c r="IY8" s="62">
        <v>0</v>
      </c>
      <c r="IZ8" s="62">
        <v>0</v>
      </c>
      <c r="JA8" s="62">
        <v>0</v>
      </c>
      <c r="JB8" s="62">
        <v>0</v>
      </c>
      <c r="JC8" s="62">
        <v>0</v>
      </c>
      <c r="JD8" s="62">
        <v>0</v>
      </c>
      <c r="JE8" s="62">
        <v>0</v>
      </c>
      <c r="JF8" s="62">
        <v>0</v>
      </c>
      <c r="JG8" s="62">
        <v>0</v>
      </c>
      <c r="JH8" s="62">
        <v>0</v>
      </c>
      <c r="JI8" s="62">
        <v>0</v>
      </c>
      <c r="JJ8" s="62">
        <v>0</v>
      </c>
      <c r="JK8" s="62">
        <v>0</v>
      </c>
      <c r="JL8" s="62">
        <v>0</v>
      </c>
      <c r="JM8" s="62">
        <v>0</v>
      </c>
      <c r="JN8" s="62">
        <v>0</v>
      </c>
      <c r="JO8" s="62">
        <v>0</v>
      </c>
      <c r="JP8" s="62">
        <v>0</v>
      </c>
      <c r="JQ8" s="62">
        <v>0</v>
      </c>
      <c r="JR8" s="62">
        <v>0</v>
      </c>
      <c r="JS8" s="62">
        <v>0</v>
      </c>
      <c r="JT8" s="62">
        <v>0</v>
      </c>
      <c r="JU8" s="62">
        <v>0</v>
      </c>
      <c r="JV8" s="62">
        <v>0</v>
      </c>
      <c r="JW8" s="62">
        <v>0</v>
      </c>
      <c r="JX8" s="62">
        <v>0</v>
      </c>
      <c r="JY8" s="62">
        <v>0</v>
      </c>
      <c r="JZ8" s="62">
        <v>0</v>
      </c>
      <c r="KA8" s="62">
        <v>0</v>
      </c>
      <c r="KB8" s="62">
        <v>0</v>
      </c>
      <c r="KC8" s="62">
        <v>0</v>
      </c>
      <c r="KD8" s="62">
        <v>0</v>
      </c>
      <c r="KE8" s="62">
        <v>0</v>
      </c>
      <c r="KF8" s="62">
        <v>0</v>
      </c>
      <c r="KG8" s="62">
        <v>0</v>
      </c>
      <c r="KH8" s="33">
        <v>0</v>
      </c>
      <c r="KI8" s="33">
        <v>0</v>
      </c>
      <c r="KJ8" s="65">
        <v>0</v>
      </c>
      <c r="KK8" s="65">
        <v>0</v>
      </c>
      <c r="KL8" s="65">
        <v>0</v>
      </c>
      <c r="KM8" s="65">
        <v>0</v>
      </c>
      <c r="KN8" s="33">
        <v>0</v>
      </c>
      <c r="KO8" s="33">
        <v>0</v>
      </c>
      <c r="KP8" s="33">
        <v>0</v>
      </c>
      <c r="KQ8" s="33">
        <v>0</v>
      </c>
      <c r="KR8" s="33">
        <v>0</v>
      </c>
      <c r="KS8" s="33">
        <v>0</v>
      </c>
      <c r="KT8" s="65">
        <f>KP8</f>
        <v>0</v>
      </c>
      <c r="KU8" s="65">
        <f>KP8</f>
        <v>0</v>
      </c>
      <c r="KV8" s="65">
        <f>KQ8</f>
        <v>0</v>
      </c>
      <c r="KW8" s="33">
        <v>0</v>
      </c>
      <c r="KX8" s="33">
        <v>0</v>
      </c>
      <c r="KY8" s="33">
        <v>0</v>
      </c>
      <c r="KZ8" s="33">
        <v>0</v>
      </c>
      <c r="LA8" s="33">
        <v>0</v>
      </c>
      <c r="LB8" s="33">
        <v>0</v>
      </c>
      <c r="LC8" s="33">
        <v>0</v>
      </c>
      <c r="LD8" s="33">
        <v>0</v>
      </c>
      <c r="LE8" s="33">
        <v>0</v>
      </c>
      <c r="LF8" s="33">
        <v>0</v>
      </c>
      <c r="LG8" s="33">
        <f>LE8</f>
        <v>0</v>
      </c>
      <c r="LH8" s="33">
        <f>LF8</f>
        <v>0</v>
      </c>
      <c r="LI8" s="68">
        <v>0</v>
      </c>
      <c r="LJ8" s="68">
        <v>0</v>
      </c>
      <c r="LK8" s="68">
        <v>0</v>
      </c>
      <c r="LL8" s="33">
        <v>0</v>
      </c>
      <c r="LM8" s="33">
        <v>0</v>
      </c>
      <c r="LN8" s="46">
        <v>0</v>
      </c>
      <c r="LO8" s="46">
        <v>0</v>
      </c>
      <c r="LP8" s="46">
        <v>0</v>
      </c>
      <c r="LQ8" s="46">
        <v>0</v>
      </c>
      <c r="LR8" s="33">
        <v>0</v>
      </c>
      <c r="LS8" s="33">
        <v>0</v>
      </c>
      <c r="LT8" s="33">
        <v>0</v>
      </c>
      <c r="LU8" s="65">
        <f t="shared" ref="LU8:LV8" si="2">LQ8</f>
        <v>0</v>
      </c>
      <c r="LV8" s="65">
        <f t="shared" si="2"/>
        <v>0</v>
      </c>
      <c r="LW8" s="33">
        <v>0</v>
      </c>
      <c r="LX8" s="33">
        <v>0</v>
      </c>
      <c r="LY8" s="33">
        <v>0</v>
      </c>
      <c r="LZ8" s="33">
        <v>0</v>
      </c>
      <c r="MA8" s="33">
        <v>0</v>
      </c>
      <c r="MB8" s="33">
        <v>0</v>
      </c>
      <c r="MC8" s="33">
        <v>0</v>
      </c>
      <c r="MD8" s="33">
        <v>0</v>
      </c>
      <c r="ME8" s="33">
        <v>0</v>
      </c>
      <c r="MF8" s="33">
        <f>MD8</f>
        <v>0</v>
      </c>
      <c r="MG8" s="33">
        <f>ME8</f>
        <v>0</v>
      </c>
      <c r="MH8" s="65">
        <f t="shared" ref="MH8:MI8" si="3">LX8</f>
        <v>0</v>
      </c>
      <c r="MI8" s="65">
        <f t="shared" si="3"/>
        <v>0</v>
      </c>
      <c r="MJ8" s="33">
        <f>MF8</f>
        <v>0</v>
      </c>
      <c r="MK8" s="33">
        <f>MG8</f>
        <v>0</v>
      </c>
      <c r="ML8" s="33">
        <v>0</v>
      </c>
      <c r="MM8" s="65">
        <v>0</v>
      </c>
      <c r="MN8" s="65">
        <v>0</v>
      </c>
      <c r="MO8" s="33">
        <v>0</v>
      </c>
      <c r="MP8" s="33">
        <v>0</v>
      </c>
      <c r="MQ8" s="33">
        <v>0</v>
      </c>
      <c r="MR8" s="33">
        <v>0</v>
      </c>
      <c r="MS8" s="33">
        <v>0</v>
      </c>
      <c r="MT8" s="33">
        <v>0</v>
      </c>
      <c r="MU8" s="33">
        <v>0</v>
      </c>
      <c r="MV8" s="33">
        <v>0</v>
      </c>
      <c r="MW8" s="33">
        <v>0</v>
      </c>
      <c r="MX8" s="65">
        <v>0</v>
      </c>
      <c r="MY8" s="65">
        <v>0</v>
      </c>
      <c r="MZ8" s="65">
        <v>0</v>
      </c>
      <c r="NA8" s="33">
        <v>0</v>
      </c>
      <c r="NB8" s="33">
        <v>0</v>
      </c>
      <c r="NC8" s="33">
        <v>0</v>
      </c>
      <c r="ND8" s="33">
        <v>0</v>
      </c>
      <c r="NE8" s="33">
        <v>0</v>
      </c>
      <c r="NF8" s="33">
        <v>0</v>
      </c>
      <c r="NG8" s="33">
        <v>0</v>
      </c>
      <c r="NH8" s="65">
        <v>0</v>
      </c>
      <c r="NI8" s="65">
        <v>0</v>
      </c>
      <c r="NJ8" s="65">
        <v>0</v>
      </c>
      <c r="NK8" s="65">
        <v>0</v>
      </c>
      <c r="NL8" s="33">
        <v>0</v>
      </c>
      <c r="NM8" s="33">
        <v>0</v>
      </c>
      <c r="NN8" s="33">
        <v>0</v>
      </c>
      <c r="NO8" s="33">
        <v>0</v>
      </c>
      <c r="NP8" s="33">
        <v>0</v>
      </c>
      <c r="NQ8" s="33">
        <v>0</v>
      </c>
      <c r="NR8" s="65">
        <f>NP8</f>
        <v>0</v>
      </c>
      <c r="NS8" s="65">
        <f>NP8</f>
        <v>0</v>
      </c>
      <c r="NT8" s="65">
        <f>NQ8</f>
        <v>0</v>
      </c>
      <c r="NU8" s="33">
        <v>0</v>
      </c>
      <c r="NV8" s="33">
        <v>0</v>
      </c>
      <c r="NW8" s="33">
        <v>0</v>
      </c>
      <c r="NX8" s="33">
        <v>0</v>
      </c>
      <c r="NY8" s="33">
        <v>0</v>
      </c>
      <c r="NZ8" s="33">
        <v>0</v>
      </c>
      <c r="OA8" s="33">
        <v>0</v>
      </c>
      <c r="OB8" s="33">
        <v>0</v>
      </c>
      <c r="OC8" s="33">
        <f>OA8</f>
        <v>0</v>
      </c>
      <c r="OD8" s="33">
        <f>OB8</f>
        <v>0</v>
      </c>
      <c r="OE8" s="68">
        <v>0</v>
      </c>
      <c r="OF8" s="68">
        <v>0</v>
      </c>
      <c r="OG8" s="33">
        <v>0</v>
      </c>
      <c r="OH8" s="33">
        <v>0</v>
      </c>
      <c r="OI8" s="46">
        <v>0</v>
      </c>
      <c r="OJ8" s="46">
        <v>0</v>
      </c>
      <c r="OK8" s="46">
        <v>0</v>
      </c>
      <c r="OL8" s="46">
        <v>0</v>
      </c>
      <c r="OM8" s="65">
        <v>0</v>
      </c>
      <c r="ON8" s="65">
        <v>0</v>
      </c>
      <c r="OO8" s="33">
        <v>0</v>
      </c>
      <c r="OP8" s="33">
        <v>0</v>
      </c>
      <c r="OQ8" s="33">
        <v>0</v>
      </c>
      <c r="OR8" s="33">
        <v>0</v>
      </c>
      <c r="OS8" s="33">
        <v>0</v>
      </c>
      <c r="OT8" s="33">
        <v>0</v>
      </c>
      <c r="OU8" s="33">
        <v>0</v>
      </c>
      <c r="OV8" s="33">
        <v>0</v>
      </c>
      <c r="OW8" s="33">
        <v>0</v>
      </c>
      <c r="OX8" s="33">
        <v>0</v>
      </c>
      <c r="OY8" s="33">
        <v>0</v>
      </c>
      <c r="OZ8" s="33">
        <v>0</v>
      </c>
      <c r="PA8" s="33">
        <f>OY8</f>
        <v>0</v>
      </c>
      <c r="PB8" s="33">
        <f>OZ8</f>
        <v>0</v>
      </c>
      <c r="PC8" s="65">
        <v>0</v>
      </c>
      <c r="PD8" s="33">
        <v>0</v>
      </c>
      <c r="PE8" s="65">
        <f t="shared" ref="PE8:PF8" si="4">PA8</f>
        <v>0</v>
      </c>
      <c r="PF8" s="65">
        <f t="shared" si="4"/>
        <v>0</v>
      </c>
      <c r="PG8" s="33">
        <v>0</v>
      </c>
      <c r="PH8" s="33">
        <v>0</v>
      </c>
      <c r="PI8" s="33">
        <v>0</v>
      </c>
      <c r="PJ8" s="33">
        <v>0</v>
      </c>
      <c r="PK8" s="33">
        <v>0</v>
      </c>
      <c r="PL8" s="33">
        <v>0</v>
      </c>
      <c r="PM8" s="33">
        <v>0</v>
      </c>
      <c r="PN8" s="33">
        <v>0</v>
      </c>
      <c r="PO8" s="33">
        <f>PM8</f>
        <v>0</v>
      </c>
      <c r="PP8" s="33">
        <f>PN8</f>
        <v>0</v>
      </c>
      <c r="PQ8" s="68">
        <v>0</v>
      </c>
      <c r="PR8" s="33">
        <v>0</v>
      </c>
      <c r="PS8" s="46">
        <v>0</v>
      </c>
      <c r="PT8" s="46">
        <v>0</v>
      </c>
      <c r="PU8" s="65">
        <f t="shared" ref="PU8:PV8" si="5">PQ8</f>
        <v>0</v>
      </c>
      <c r="PV8" s="65">
        <f t="shared" si="5"/>
        <v>0</v>
      </c>
      <c r="PW8" s="33">
        <v>0</v>
      </c>
      <c r="PX8" s="33">
        <v>0</v>
      </c>
      <c r="PY8" s="33">
        <v>0</v>
      </c>
      <c r="PZ8" s="33">
        <v>0</v>
      </c>
      <c r="QA8" s="33">
        <v>0</v>
      </c>
      <c r="QB8" s="33">
        <v>0</v>
      </c>
      <c r="QC8" s="33">
        <v>0</v>
      </c>
      <c r="QD8" s="33">
        <v>0</v>
      </c>
      <c r="QE8" s="33">
        <f>QC8</f>
        <v>0</v>
      </c>
      <c r="QF8" s="33">
        <f>QD8</f>
        <v>0</v>
      </c>
      <c r="QG8" s="65">
        <f>QE8</f>
        <v>0</v>
      </c>
      <c r="QH8" s="33">
        <v>0</v>
      </c>
      <c r="QI8" s="33">
        <v>0</v>
      </c>
      <c r="QJ8" s="33">
        <v>0</v>
      </c>
      <c r="QK8" s="33">
        <f>QJ8</f>
        <v>0</v>
      </c>
      <c r="QL8" s="33">
        <v>0</v>
      </c>
      <c r="QM8" s="33">
        <v>0</v>
      </c>
      <c r="QN8" s="33">
        <v>0</v>
      </c>
      <c r="QO8" s="68">
        <v>0</v>
      </c>
      <c r="QP8" s="33">
        <v>0</v>
      </c>
      <c r="QQ8" s="46">
        <v>0</v>
      </c>
      <c r="QR8" s="46">
        <v>0</v>
      </c>
      <c r="QS8" s="68">
        <v>0</v>
      </c>
      <c r="QT8" s="68">
        <v>0</v>
      </c>
      <c r="QU8" s="33">
        <v>0</v>
      </c>
      <c r="QV8" s="33">
        <v>0</v>
      </c>
      <c r="QW8" s="46">
        <v>0</v>
      </c>
      <c r="QX8" s="46">
        <v>0</v>
      </c>
      <c r="QY8" s="46">
        <v>0</v>
      </c>
      <c r="QZ8" s="46">
        <v>0</v>
      </c>
      <c r="RA8" s="46">
        <v>0</v>
      </c>
      <c r="RB8" s="46">
        <v>0</v>
      </c>
      <c r="RC8" s="46">
        <v>0</v>
      </c>
      <c r="RD8" s="46">
        <v>0</v>
      </c>
    </row>
    <row r="9" spans="1:472" x14ac:dyDescent="0.2">
      <c r="L9" s="47"/>
      <c r="M9" s="47"/>
      <c r="QS9" s="47"/>
      <c r="QT9" s="47"/>
      <c r="QW9" s="47"/>
      <c r="QX9" s="47"/>
      <c r="QY9" s="47"/>
      <c r="QZ9" s="47"/>
      <c r="RA9" s="47"/>
      <c r="RB9" s="47"/>
      <c r="RC9" s="47"/>
      <c r="RD9" s="47"/>
    </row>
  </sheetData>
  <hyperlinks>
    <hyperlink ref="A1" location="'Table of Contents'!A1" display="Go to TOC" xr:uid="{00000000-0004-0000-0200-000000000000}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I40"/>
  <sheetViews>
    <sheetView zoomScale="85" zoomScaleNormal="85" workbookViewId="0">
      <pane xSplit="2" ySplit="6" topLeftCell="U7" activePane="bottomRight" state="frozen"/>
      <selection pane="topRight" activeCell="C1" sqref="C1"/>
      <selection pane="bottomLeft" activeCell="A7" sqref="A7"/>
      <selection pane="bottomRight" activeCell="CZ21" sqref="CZ21"/>
    </sheetView>
  </sheetViews>
  <sheetFormatPr defaultRowHeight="12.75" x14ac:dyDescent="0.2"/>
  <cols>
    <col min="1" max="1" width="9.85546875" bestFit="1" customWidth="1"/>
    <col min="2" max="2" width="16.5703125" style="30" customWidth="1"/>
    <col min="3" max="3" width="9.140625" style="30"/>
    <col min="4" max="4" width="10.5703125" style="27" customWidth="1"/>
    <col min="5" max="7" width="14.42578125" style="27" customWidth="1"/>
    <col min="8" max="8" width="12.42578125" style="27" customWidth="1"/>
    <col min="9" max="9" width="16.42578125" style="27" customWidth="1"/>
    <col min="10" max="10" width="12.42578125" style="27" customWidth="1"/>
    <col min="11" max="11" width="13.7109375" style="27" customWidth="1"/>
    <col min="12" max="12" width="15.28515625" style="27" customWidth="1"/>
    <col min="13" max="14" width="12.42578125" style="27" customWidth="1"/>
    <col min="15" max="16" width="15.7109375" style="27" customWidth="1"/>
    <col min="17" max="18" width="14.28515625" style="27" customWidth="1"/>
    <col min="19" max="21" width="14.140625" style="27" customWidth="1"/>
    <col min="22" max="24" width="20.7109375" style="27" customWidth="1"/>
    <col min="25" max="30" width="15.42578125" style="27" customWidth="1"/>
    <col min="31" max="33" width="13.42578125" style="27" customWidth="1"/>
    <col min="34" max="36" width="12.42578125" style="27" customWidth="1"/>
    <col min="37" max="49" width="9.85546875" style="27" customWidth="1"/>
    <col min="50" max="50" width="10.140625" style="27" customWidth="1"/>
    <col min="51" max="51" width="9.85546875" style="27" customWidth="1"/>
    <col min="52" max="52" width="10.140625" style="27" customWidth="1"/>
    <col min="53" max="53" width="9.85546875" style="27" customWidth="1"/>
    <col min="54" max="54" width="10.140625" style="27" customWidth="1"/>
    <col min="55" max="55" width="9.85546875" style="27" customWidth="1"/>
    <col min="56" max="56" width="10.140625" style="27" customWidth="1"/>
    <col min="57" max="57" width="9.85546875" style="27" customWidth="1"/>
    <col min="58" max="58" width="10.140625" style="27" customWidth="1"/>
    <col min="59" max="59" width="9.85546875" style="27" customWidth="1"/>
    <col min="60" max="60" width="10.140625" style="27" customWidth="1"/>
    <col min="61" max="61" width="9.85546875" style="27" customWidth="1"/>
    <col min="62" max="62" width="10.140625" style="27" customWidth="1"/>
    <col min="63" max="63" width="9.85546875" style="27" customWidth="1"/>
    <col min="64" max="64" width="10.140625" style="27" customWidth="1"/>
    <col min="65" max="65" width="9.85546875" style="27" customWidth="1"/>
    <col min="66" max="66" width="10.140625" style="27" customWidth="1"/>
    <col min="67" max="67" width="9.85546875" style="27" customWidth="1"/>
    <col min="68" max="68" width="10.140625" style="27" customWidth="1"/>
    <col min="69" max="69" width="9.85546875" style="27" customWidth="1"/>
    <col min="70" max="70" width="10.140625" style="27" customWidth="1"/>
    <col min="71" max="71" width="9.85546875" style="27" customWidth="1"/>
    <col min="72" max="72" width="10.140625" style="27" customWidth="1"/>
    <col min="73" max="73" width="9.85546875" style="27" customWidth="1"/>
    <col min="74" max="74" width="10.140625" style="27" customWidth="1"/>
    <col min="75" max="75" width="9.85546875" style="27" customWidth="1"/>
    <col min="76" max="76" width="10.140625" style="27" customWidth="1"/>
    <col min="77" max="77" width="9.85546875" style="27" customWidth="1"/>
    <col min="78" max="78" width="10.140625" style="27" customWidth="1"/>
    <col min="79" max="79" width="9.85546875" style="27" customWidth="1"/>
    <col min="80" max="80" width="10.140625" style="27" customWidth="1"/>
    <col min="81" max="81" width="9.85546875" style="27" customWidth="1"/>
    <col min="82" max="82" width="10.140625" style="27" customWidth="1"/>
    <col min="83" max="83" width="9.85546875" style="27" customWidth="1"/>
    <col min="84" max="84" width="10.140625" style="27" customWidth="1"/>
    <col min="85" max="85" width="9.85546875" style="27" customWidth="1"/>
    <col min="86" max="86" width="10.140625" style="27" customWidth="1"/>
    <col min="87" max="87" width="9.85546875" style="27" customWidth="1"/>
    <col min="88" max="88" width="10.140625" style="27" customWidth="1"/>
    <col min="89" max="89" width="9.85546875" style="27" customWidth="1"/>
    <col min="90" max="90" width="10.140625" style="27" customWidth="1"/>
    <col min="91" max="91" width="9.85546875" style="27" customWidth="1"/>
    <col min="92" max="92" width="10.140625" style="27" customWidth="1"/>
    <col min="93" max="93" width="9.85546875" style="27" customWidth="1"/>
    <col min="94" max="94" width="10.140625" style="27" customWidth="1"/>
    <col min="95" max="95" width="9.85546875" style="27" customWidth="1"/>
    <col min="96" max="96" width="10.140625" style="27" customWidth="1"/>
    <col min="97" max="97" width="9.85546875" style="27" customWidth="1"/>
    <col min="98" max="98" width="10.140625" style="27" customWidth="1"/>
    <col min="99" max="99" width="9.85546875" style="27" customWidth="1"/>
    <col min="100" max="100" width="10.140625" style="27" customWidth="1"/>
    <col min="101" max="101" width="9.85546875" style="27" customWidth="1"/>
    <col min="102" max="102" width="10.140625" style="27" customWidth="1"/>
    <col min="103" max="103" width="9.85546875" style="27" customWidth="1"/>
    <col min="104" max="104" width="10.140625" style="27" customWidth="1"/>
    <col min="105" max="105" width="12.42578125" style="27" customWidth="1"/>
    <col min="106" max="107" width="15.140625" style="27" customWidth="1"/>
    <col min="108" max="109" width="12.28515625" style="27" customWidth="1"/>
    <col min="110" max="110" width="15.42578125" style="27" customWidth="1"/>
    <col min="111" max="111" width="15.28515625" style="27" customWidth="1"/>
    <col min="112" max="112" width="15.42578125" style="27" customWidth="1"/>
    <col min="113" max="113" width="15.28515625" style="27" customWidth="1"/>
    <col min="114" max="125" width="12.42578125" style="27" customWidth="1"/>
    <col min="126" max="128" width="13.42578125" style="27" customWidth="1"/>
    <col min="129" max="130" width="12.42578125" style="27" customWidth="1"/>
    <col min="131" max="132" width="13.42578125" style="27" customWidth="1"/>
    <col min="133" max="134" width="15.42578125" style="27" customWidth="1"/>
    <col min="135" max="135" width="15.140625" style="27" customWidth="1"/>
    <col min="136" max="136" width="15.42578125" style="27" customWidth="1"/>
    <col min="137" max="137" width="15.140625" style="27" customWidth="1"/>
    <col min="138" max="140" width="15.42578125" style="27" customWidth="1"/>
    <col min="141" max="141" width="15.140625" style="27" customWidth="1"/>
    <col min="142" max="144" width="15.42578125" style="27" customWidth="1"/>
    <col min="145" max="145" width="15.140625" style="27" customWidth="1"/>
    <col min="146" max="146" width="15.42578125" style="27" customWidth="1"/>
    <col min="147" max="147" width="15.140625" style="27" customWidth="1"/>
    <col min="148" max="149" width="15.42578125" style="27" customWidth="1"/>
    <col min="150" max="152" width="20.7109375" style="27" customWidth="1"/>
    <col min="153" max="153" width="15.140625" style="27" customWidth="1"/>
    <col min="154" max="154" width="14.5703125" style="27" customWidth="1"/>
    <col min="155" max="155" width="15.140625" style="27" customWidth="1"/>
    <col min="156" max="156" width="20" style="27" customWidth="1"/>
    <col min="157" max="157" width="20.28515625" style="27" customWidth="1"/>
    <col min="158" max="158" width="20.7109375" style="27" customWidth="1"/>
    <col min="159" max="160" width="14.85546875" style="27" customWidth="1"/>
    <col min="161" max="162" width="12.28515625" style="27" customWidth="1"/>
    <col min="163" max="163" width="15.5703125" style="27" customWidth="1"/>
    <col min="164" max="164" width="14.85546875" style="27" customWidth="1"/>
    <col min="165" max="165" width="15.5703125" style="27" customWidth="1"/>
    <col min="166" max="166" width="14.85546875" style="27" customWidth="1"/>
    <col min="167" max="169" width="14.140625" style="27" customWidth="1"/>
    <col min="170" max="171" width="12.7109375" style="27" customWidth="1"/>
    <col min="172" max="172" width="13.28515625" style="27" customWidth="1"/>
    <col min="173" max="173" width="12.7109375" style="27" customWidth="1"/>
    <col min="174" max="174" width="14.28515625" style="27" customWidth="1"/>
    <col min="175" max="175" width="14.140625" style="27" customWidth="1"/>
    <col min="176" max="176" width="14.28515625" style="27" customWidth="1"/>
    <col min="177" max="179" width="14.140625" style="27" customWidth="1"/>
    <col min="180" max="181" width="14.28515625" style="27" customWidth="1"/>
    <col min="182" max="182" width="13.85546875" style="27" customWidth="1"/>
    <col min="183" max="183" width="14.28515625" style="27" customWidth="1"/>
    <col min="184" max="185" width="15.7109375" style="27" customWidth="1"/>
    <col min="186" max="186" width="15.140625" style="27" customWidth="1"/>
    <col min="187" max="189" width="15.7109375" style="27" customWidth="1"/>
    <col min="190" max="190" width="13.5703125" style="27" customWidth="1"/>
    <col min="191" max="191" width="12.28515625" style="27" customWidth="1"/>
    <col min="192" max="192" width="13.5703125" style="27" customWidth="1"/>
    <col min="193" max="193" width="16.42578125" style="27" customWidth="1"/>
    <col min="194" max="194" width="15.85546875" style="27" customWidth="1"/>
    <col min="195" max="195" width="16.42578125" style="27" customWidth="1"/>
    <col min="196" max="196" width="15.85546875" style="27" customWidth="1"/>
    <col min="197" max="197" width="15.28515625" style="27" customWidth="1"/>
    <col min="198" max="198" width="15.28515625" style="27" bestFit="1" customWidth="1"/>
    <col min="199" max="200" width="13.7109375" style="27" customWidth="1"/>
    <col min="201" max="208" width="12.42578125" style="27" customWidth="1"/>
    <col min="209" max="209" width="16.42578125" style="27" customWidth="1"/>
    <col min="210" max="211" width="12.42578125" style="27" customWidth="1"/>
    <col min="212" max="213" width="14.42578125" style="27" customWidth="1"/>
    <col min="214" max="214" width="15.140625" style="27" customWidth="1"/>
    <col min="215" max="215" width="14.42578125" style="27" customWidth="1"/>
    <col min="216" max="216" width="15.140625" style="27" customWidth="1"/>
    <col min="217" max="217" width="14.42578125" style="27" customWidth="1"/>
  </cols>
  <sheetData>
    <row r="1" spans="1:217" ht="15.75" x14ac:dyDescent="0.2">
      <c r="A1" s="13" t="s">
        <v>6</v>
      </c>
      <c r="B1" s="12" t="s">
        <v>11</v>
      </c>
      <c r="C1" s="12"/>
      <c r="D1" s="22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4"/>
      <c r="EP1" s="64"/>
      <c r="EQ1" s="64"/>
      <c r="ER1" s="64"/>
      <c r="ES1" s="64"/>
      <c r="ET1" s="64"/>
      <c r="EU1" s="64"/>
      <c r="EV1" s="64"/>
      <c r="EW1" s="64"/>
      <c r="EX1" s="64"/>
      <c r="EY1" s="64"/>
      <c r="EZ1" s="64"/>
      <c r="FA1" s="64"/>
      <c r="FB1" s="64"/>
      <c r="FC1" s="64"/>
      <c r="FD1" s="64"/>
      <c r="FE1" s="64"/>
      <c r="FF1" s="64"/>
      <c r="FG1" s="64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4"/>
      <c r="HC1" s="64"/>
      <c r="HD1" s="64"/>
      <c r="HE1" s="64"/>
      <c r="HF1" s="64"/>
      <c r="HG1" s="64"/>
      <c r="HH1" s="64"/>
      <c r="HI1" s="64"/>
    </row>
    <row r="2" spans="1:217" ht="15.75" x14ac:dyDescent="0.2">
      <c r="A2" s="13"/>
      <c r="B2" s="12"/>
      <c r="C2" s="12"/>
      <c r="D2" s="22"/>
      <c r="E2" s="81"/>
      <c r="F2" s="81"/>
      <c r="G2" s="81"/>
      <c r="I2" s="81"/>
      <c r="L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81"/>
      <c r="BP2" s="81"/>
      <c r="BQ2" s="81"/>
      <c r="BR2" s="81"/>
      <c r="BS2" s="81"/>
      <c r="BT2" s="81"/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81"/>
      <c r="CO2" s="81"/>
      <c r="CP2" s="81"/>
      <c r="CQ2" s="81"/>
      <c r="CR2" s="81"/>
      <c r="CS2" s="81"/>
      <c r="CT2" s="81"/>
      <c r="CU2" s="81"/>
      <c r="CV2" s="81"/>
      <c r="CW2" s="81"/>
      <c r="CX2" s="81"/>
      <c r="CY2" s="81"/>
      <c r="CZ2" s="81"/>
      <c r="DA2" s="81"/>
      <c r="DB2" s="81"/>
      <c r="DC2" s="81"/>
      <c r="DD2" s="81"/>
      <c r="DE2" s="81"/>
      <c r="DF2" s="81"/>
      <c r="DG2" s="81"/>
      <c r="DH2" s="81"/>
      <c r="DI2" s="81"/>
      <c r="DJ2" s="81"/>
      <c r="DK2" s="81"/>
      <c r="DL2" s="81"/>
      <c r="DM2" s="81"/>
      <c r="DN2" s="81"/>
      <c r="DO2" s="81"/>
      <c r="DP2" s="81"/>
      <c r="DQ2" s="81"/>
      <c r="DR2" s="81"/>
      <c r="DS2" s="81"/>
      <c r="DT2" s="81"/>
      <c r="DU2" s="81"/>
      <c r="DV2" s="81"/>
      <c r="DW2" s="81"/>
      <c r="DX2" s="81"/>
      <c r="DY2" s="81"/>
      <c r="DZ2" s="81"/>
      <c r="EA2" s="81"/>
      <c r="EB2" s="81"/>
      <c r="EC2" s="81"/>
      <c r="ED2" s="81"/>
      <c r="EE2" s="81"/>
      <c r="EF2" s="81"/>
      <c r="EG2" s="81"/>
      <c r="EH2" s="81"/>
      <c r="EI2" s="81"/>
      <c r="EJ2" s="81"/>
      <c r="EK2" s="81"/>
      <c r="EL2" s="81"/>
      <c r="EM2" s="81"/>
      <c r="EN2" s="81"/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A2" s="81"/>
      <c r="FB2" s="81"/>
      <c r="FC2" s="81"/>
      <c r="FD2" s="81"/>
      <c r="FE2" s="81"/>
      <c r="FF2" s="81"/>
      <c r="FG2" s="81"/>
      <c r="FH2" s="81"/>
      <c r="FI2" s="81"/>
      <c r="FJ2" s="81"/>
      <c r="FK2" s="81"/>
      <c r="FL2" s="81"/>
      <c r="FM2" s="81"/>
      <c r="FN2" s="81"/>
      <c r="FO2" s="81"/>
      <c r="FP2" s="81"/>
      <c r="FQ2" s="81"/>
      <c r="FR2" s="81"/>
      <c r="FS2" s="81"/>
      <c r="FT2" s="81"/>
      <c r="FU2" s="81"/>
      <c r="FV2" s="81"/>
      <c r="FW2" s="81"/>
      <c r="FX2" s="81"/>
      <c r="FY2" s="81"/>
      <c r="FZ2" s="81"/>
      <c r="GA2" s="81"/>
      <c r="GB2" s="81"/>
      <c r="GC2" s="81"/>
      <c r="GD2" s="81"/>
      <c r="GE2" s="81"/>
      <c r="GF2" s="81"/>
      <c r="GG2" s="81"/>
      <c r="GH2" s="81"/>
      <c r="GI2" s="81"/>
      <c r="GJ2" s="81"/>
      <c r="GK2" s="81"/>
      <c r="GL2" s="81"/>
      <c r="GM2" s="81"/>
      <c r="GN2" s="81"/>
      <c r="GO2" s="81"/>
      <c r="GP2" s="81"/>
      <c r="GQ2" s="81"/>
      <c r="GR2" s="81"/>
      <c r="GS2" s="81"/>
      <c r="GT2" s="81"/>
      <c r="GU2" s="81"/>
      <c r="GV2" s="81"/>
      <c r="GW2" s="81"/>
      <c r="GX2" s="81"/>
      <c r="GY2" s="81"/>
      <c r="GZ2" s="81"/>
      <c r="HA2" s="81"/>
      <c r="HB2" s="81"/>
      <c r="HC2" s="81"/>
      <c r="HD2" s="81"/>
      <c r="HE2" s="81"/>
      <c r="HF2" s="81"/>
      <c r="HG2" s="81"/>
      <c r="HH2" s="81"/>
      <c r="HI2" s="81"/>
    </row>
    <row r="3" spans="1:217" x14ac:dyDescent="0.2">
      <c r="A3" s="14"/>
      <c r="B3" s="15" t="str">
        <f ca="1">GetNameRange(B5)</f>
        <v>trail_comm_rate</v>
      </c>
      <c r="C3" s="15"/>
      <c r="D3" s="23"/>
      <c r="AK3" s="67" t="s">
        <v>251</v>
      </c>
      <c r="AL3" s="67" t="s">
        <v>251</v>
      </c>
      <c r="AM3" s="67"/>
      <c r="AN3" s="67"/>
      <c r="AO3" s="67"/>
      <c r="AP3" s="67"/>
      <c r="AQ3" s="67"/>
      <c r="AR3" s="67" t="s">
        <v>251</v>
      </c>
      <c r="AS3" s="67" t="s">
        <v>251</v>
      </c>
      <c r="AT3" s="67" t="s">
        <v>251</v>
      </c>
      <c r="AU3" s="67" t="s">
        <v>251</v>
      </c>
      <c r="AV3" s="67" t="s">
        <v>251</v>
      </c>
      <c r="AW3" s="67" t="s">
        <v>251</v>
      </c>
      <c r="AX3" s="67" t="s">
        <v>251</v>
      </c>
      <c r="AY3" s="67" t="s">
        <v>251</v>
      </c>
      <c r="AZ3" s="67" t="s">
        <v>251</v>
      </c>
      <c r="BA3" s="67" t="s">
        <v>251</v>
      </c>
      <c r="BB3" s="67" t="s">
        <v>251</v>
      </c>
      <c r="BC3" s="67" t="s">
        <v>251</v>
      </c>
      <c r="BD3" s="67" t="s">
        <v>251</v>
      </c>
      <c r="BE3" s="67" t="s">
        <v>251</v>
      </c>
      <c r="BF3" s="67" t="s">
        <v>251</v>
      </c>
      <c r="BG3" s="67" t="s">
        <v>251</v>
      </c>
      <c r="BH3" s="67" t="s">
        <v>251</v>
      </c>
      <c r="BI3" s="67" t="s">
        <v>251</v>
      </c>
      <c r="BJ3" s="67" t="s">
        <v>251</v>
      </c>
      <c r="BK3" s="67" t="s">
        <v>251</v>
      </c>
      <c r="BL3" s="67" t="s">
        <v>251</v>
      </c>
      <c r="BM3" s="67" t="s">
        <v>251</v>
      </c>
      <c r="BN3" s="67" t="s">
        <v>251</v>
      </c>
      <c r="BO3" s="67" t="s">
        <v>251</v>
      </c>
      <c r="BP3" s="67" t="s">
        <v>251</v>
      </c>
      <c r="BQ3" s="67" t="s">
        <v>251</v>
      </c>
      <c r="BR3" s="67" t="s">
        <v>251</v>
      </c>
      <c r="BS3" s="67" t="s">
        <v>251</v>
      </c>
      <c r="BT3" s="67" t="s">
        <v>251</v>
      </c>
      <c r="BU3" s="67" t="s">
        <v>251</v>
      </c>
      <c r="BV3" s="67" t="s">
        <v>251</v>
      </c>
      <c r="BW3" s="67" t="s">
        <v>251</v>
      </c>
      <c r="BX3" s="67" t="s">
        <v>251</v>
      </c>
      <c r="BY3" s="67" t="s">
        <v>251</v>
      </c>
      <c r="BZ3" s="67" t="s">
        <v>251</v>
      </c>
      <c r="CA3" s="67" t="s">
        <v>251</v>
      </c>
      <c r="CB3" s="67" t="s">
        <v>251</v>
      </c>
      <c r="CC3" s="67" t="s">
        <v>251</v>
      </c>
      <c r="CD3" s="67" t="s">
        <v>251</v>
      </c>
      <c r="CE3" s="67" t="s">
        <v>251</v>
      </c>
      <c r="CF3" s="67" t="s">
        <v>251</v>
      </c>
      <c r="CG3" s="67" t="s">
        <v>251</v>
      </c>
      <c r="CH3" s="67" t="s">
        <v>251</v>
      </c>
      <c r="CI3" s="67" t="s">
        <v>251</v>
      </c>
      <c r="CJ3" s="67" t="s">
        <v>251</v>
      </c>
      <c r="CK3" s="67" t="s">
        <v>251</v>
      </c>
      <c r="CL3" s="67" t="s">
        <v>251</v>
      </c>
      <c r="CM3" s="67" t="s">
        <v>251</v>
      </c>
      <c r="CN3" s="67" t="s">
        <v>251</v>
      </c>
      <c r="CO3" s="67" t="s">
        <v>251</v>
      </c>
      <c r="CP3" s="67" t="s">
        <v>251</v>
      </c>
      <c r="CQ3" s="67" t="s">
        <v>251</v>
      </c>
      <c r="CR3" s="67" t="s">
        <v>251</v>
      </c>
      <c r="CS3" s="67" t="s">
        <v>251</v>
      </c>
      <c r="CT3" s="67" t="s">
        <v>251</v>
      </c>
      <c r="CU3" s="67" t="s">
        <v>251</v>
      </c>
      <c r="CV3" s="67" t="s">
        <v>251</v>
      </c>
      <c r="CW3" s="67" t="s">
        <v>251</v>
      </c>
      <c r="CX3" s="67" t="s">
        <v>251</v>
      </c>
      <c r="CY3" s="67" t="s">
        <v>251</v>
      </c>
      <c r="CZ3" s="67" t="s">
        <v>251</v>
      </c>
      <c r="DA3" s="24"/>
      <c r="DB3" s="67" t="s">
        <v>251</v>
      </c>
      <c r="DC3" s="67" t="s">
        <v>251</v>
      </c>
      <c r="DD3" s="24"/>
      <c r="DE3" s="25"/>
      <c r="DF3" s="24"/>
      <c r="DG3" s="25"/>
      <c r="DH3" s="24"/>
      <c r="DI3" s="25"/>
      <c r="DJ3" s="67" t="s">
        <v>251</v>
      </c>
      <c r="DK3" s="67" t="s">
        <v>251</v>
      </c>
      <c r="DL3" s="67" t="s">
        <v>251</v>
      </c>
      <c r="DM3" s="24"/>
      <c r="DN3" s="24"/>
      <c r="DO3" s="24"/>
      <c r="DP3" s="24"/>
      <c r="DQ3" s="24"/>
      <c r="DR3" s="24"/>
      <c r="DS3" s="24"/>
      <c r="DT3" s="24"/>
      <c r="DU3" s="24"/>
      <c r="DV3" s="67" t="s">
        <v>251</v>
      </c>
      <c r="DW3" s="67" t="s">
        <v>251</v>
      </c>
      <c r="DX3" s="67" t="s">
        <v>251</v>
      </c>
      <c r="DY3" s="24"/>
      <c r="DZ3" s="24"/>
      <c r="EA3" s="24"/>
      <c r="EB3" s="24"/>
      <c r="EC3" s="67" t="s">
        <v>251</v>
      </c>
      <c r="ED3" s="67" t="s">
        <v>251</v>
      </c>
      <c r="EE3" s="24"/>
      <c r="EF3" s="24"/>
      <c r="EG3" s="24"/>
      <c r="EH3" s="24"/>
      <c r="EI3" s="67" t="s">
        <v>251</v>
      </c>
      <c r="EJ3" s="67" t="s">
        <v>251</v>
      </c>
      <c r="EK3" s="24"/>
      <c r="EL3" s="24"/>
      <c r="EM3" s="67" t="s">
        <v>251</v>
      </c>
      <c r="EN3" s="67" t="s">
        <v>251</v>
      </c>
      <c r="EO3" s="24"/>
      <c r="EP3" s="24"/>
      <c r="EQ3" s="24"/>
      <c r="ER3" s="24"/>
      <c r="ES3" s="24"/>
      <c r="ET3" s="67" t="s">
        <v>251</v>
      </c>
      <c r="EU3" s="67" t="s">
        <v>251</v>
      </c>
      <c r="EV3" s="67" t="s">
        <v>251</v>
      </c>
      <c r="EW3" s="24"/>
      <c r="EX3" s="24"/>
      <c r="EY3" s="24"/>
      <c r="EZ3" s="24"/>
      <c r="FA3" s="24"/>
      <c r="FB3" s="24"/>
      <c r="FC3" s="67" t="s">
        <v>251</v>
      </c>
      <c r="FD3" s="67" t="s">
        <v>251</v>
      </c>
      <c r="FE3" s="24"/>
      <c r="FF3" s="25"/>
      <c r="FG3" s="24"/>
      <c r="FH3" s="25"/>
      <c r="FI3" s="24"/>
      <c r="FJ3" s="25"/>
      <c r="FK3" s="67" t="s">
        <v>251</v>
      </c>
      <c r="FL3" s="67" t="s">
        <v>251</v>
      </c>
      <c r="FM3" s="67" t="s">
        <v>251</v>
      </c>
      <c r="FN3" s="24"/>
      <c r="FO3" s="24"/>
      <c r="FP3" s="24"/>
      <c r="FQ3" s="24"/>
      <c r="FR3" s="24"/>
      <c r="FS3" s="24"/>
      <c r="FT3" s="24"/>
      <c r="FU3" s="24"/>
      <c r="FV3" s="24"/>
      <c r="FW3" s="24"/>
      <c r="FX3" s="67" t="s">
        <v>251</v>
      </c>
      <c r="FY3" s="67" t="s">
        <v>251</v>
      </c>
      <c r="FZ3" s="24"/>
      <c r="GA3" s="24"/>
      <c r="GB3" s="67" t="s">
        <v>251</v>
      </c>
      <c r="GC3" s="67" t="s">
        <v>251</v>
      </c>
      <c r="GD3" s="24"/>
      <c r="GE3" s="24"/>
      <c r="GF3" s="24"/>
      <c r="GG3" s="24"/>
      <c r="GH3" s="24"/>
      <c r="GI3" s="24"/>
      <c r="GJ3" s="24"/>
      <c r="GK3" s="24"/>
      <c r="GL3" s="24"/>
      <c r="GM3" s="24"/>
      <c r="GN3" s="24"/>
      <c r="GO3" s="67" t="s">
        <v>251</v>
      </c>
      <c r="GP3" s="25"/>
      <c r="GQ3" s="67" t="s">
        <v>251</v>
      </c>
      <c r="GR3" s="23"/>
      <c r="GS3" s="24"/>
      <c r="GT3" s="67" t="s">
        <v>251</v>
      </c>
      <c r="GU3" s="24"/>
      <c r="GV3" s="24"/>
      <c r="GW3" s="24"/>
      <c r="GX3" s="24"/>
      <c r="GY3" s="24"/>
      <c r="GZ3" s="24"/>
      <c r="HA3" s="24"/>
      <c r="HB3" s="67" t="s">
        <v>251</v>
      </c>
      <c r="HC3" s="24"/>
      <c r="HD3" s="67" t="s">
        <v>251</v>
      </c>
      <c r="HE3" s="67" t="s">
        <v>251</v>
      </c>
      <c r="HF3" s="67" t="s">
        <v>251</v>
      </c>
      <c r="HG3" s="67" t="s">
        <v>251</v>
      </c>
      <c r="HH3" s="23"/>
    </row>
    <row r="4" spans="1:217" ht="51" x14ac:dyDescent="0.2">
      <c r="A4" s="14" t="s">
        <v>7</v>
      </c>
      <c r="B4" s="28" t="s">
        <v>9</v>
      </c>
      <c r="C4" s="38"/>
      <c r="D4" s="34" t="s">
        <v>16</v>
      </c>
      <c r="E4" s="77" t="s">
        <v>377</v>
      </c>
      <c r="F4" s="77" t="s">
        <v>375</v>
      </c>
      <c r="G4" s="77" t="str">
        <f>F4</f>
        <v>PS_202501_8_Age76_47yr2</v>
      </c>
      <c r="H4" s="77" t="s">
        <v>374</v>
      </c>
      <c r="I4" s="77" t="s">
        <v>373</v>
      </c>
      <c r="J4" s="77" t="s">
        <v>372</v>
      </c>
      <c r="K4" s="79" t="s">
        <v>371</v>
      </c>
      <c r="L4" s="77" t="s">
        <v>370</v>
      </c>
      <c r="M4" s="77" t="s">
        <v>369</v>
      </c>
      <c r="N4" s="77" t="str">
        <f>M4</f>
        <v>VALIC5_202501_7_Age81_18yr2</v>
      </c>
      <c r="O4" s="77" t="s">
        <v>368</v>
      </c>
      <c r="P4" s="77" t="str">
        <f>O4</f>
        <v>VALIC_2025_3_age81_18yr2</v>
      </c>
      <c r="Q4" s="77" t="s">
        <v>367</v>
      </c>
      <c r="R4" s="77" t="str">
        <f>Q4</f>
        <v>P7P_202501_7_age81_25yr2</v>
      </c>
      <c r="S4" s="77" t="s">
        <v>366</v>
      </c>
      <c r="T4" s="77" t="str">
        <f>S4</f>
        <v>PIP_202501_34_age76_7_age81_24yr2</v>
      </c>
      <c r="U4" s="77" t="str">
        <f>S4</f>
        <v>PIP_202501_34_age76_7_age81_24yr2</v>
      </c>
      <c r="V4" s="77" t="s">
        <v>365</v>
      </c>
      <c r="W4" s="77" t="str">
        <f>V4</f>
        <v>PIPREF_202501_41_age76_39_age81_40yr2</v>
      </c>
      <c r="X4" s="77" t="str">
        <f>W4</f>
        <v>PIPREF_202501_41_age76_39_age81_40yr2</v>
      </c>
      <c r="Y4" s="77" t="s">
        <v>364</v>
      </c>
      <c r="Z4" s="77" t="str">
        <f>Y4</f>
        <v>NYIA5_202501_34_Age81_24yr2</v>
      </c>
      <c r="AA4" s="77" t="s">
        <v>363</v>
      </c>
      <c r="AB4" s="77" t="str">
        <f>AA4</f>
        <v>NYIAG_202501_8_Age81_25yr2</v>
      </c>
      <c r="AC4" s="77" t="s">
        <v>362</v>
      </c>
      <c r="AD4" s="77" t="str">
        <f>AC4</f>
        <v>NYIA_202501_24_Age81_25yr2</v>
      </c>
      <c r="AE4" s="77" t="s">
        <v>361</v>
      </c>
      <c r="AF4" s="77" t="str">
        <f>AE4</f>
        <v>P5P_202501_9_age76_48_age81_20yr2</v>
      </c>
      <c r="AG4" s="77" t="str">
        <f>AE4</f>
        <v>P5P_202501_9_age76_48_age81_20yr2</v>
      </c>
      <c r="AH4" s="77" t="s">
        <v>360</v>
      </c>
      <c r="AI4" s="77" t="str">
        <f>AH4</f>
        <v>PI5P_202501_29_age76_5_Age81_25yr2</v>
      </c>
      <c r="AJ4" s="77" t="str">
        <f>AH4</f>
        <v>PI5P_202501_29_age76_5_Age81_25yr2</v>
      </c>
      <c r="AK4" s="43" t="s">
        <v>342</v>
      </c>
      <c r="AL4" s="43" t="s">
        <v>341</v>
      </c>
      <c r="AM4" s="43" t="s">
        <v>321</v>
      </c>
      <c r="AN4" s="43" t="s">
        <v>320</v>
      </c>
      <c r="AO4" s="43" t="s">
        <v>320</v>
      </c>
      <c r="AP4" s="43" t="s">
        <v>319</v>
      </c>
      <c r="AQ4" s="43" t="str">
        <f>AP4</f>
        <v>VALIC5_202404_17_Age81_18yr2</v>
      </c>
      <c r="AR4" s="43" t="s">
        <v>299</v>
      </c>
      <c r="AS4" s="43" t="s">
        <v>298</v>
      </c>
      <c r="AT4" s="43" t="s">
        <v>297</v>
      </c>
      <c r="AU4" s="43" t="s">
        <v>296</v>
      </c>
      <c r="AV4" s="43" t="s">
        <v>295</v>
      </c>
      <c r="AW4" s="43" t="s">
        <v>265</v>
      </c>
      <c r="AX4" s="43" t="s">
        <v>265</v>
      </c>
      <c r="AY4" s="43" t="s">
        <v>265</v>
      </c>
      <c r="AZ4" s="43" t="s">
        <v>265</v>
      </c>
      <c r="BA4" s="43" t="s">
        <v>266</v>
      </c>
      <c r="BB4" s="43" t="s">
        <v>266</v>
      </c>
      <c r="BC4" s="43" t="s">
        <v>266</v>
      </c>
      <c r="BD4" s="43" t="s">
        <v>266</v>
      </c>
      <c r="BE4" s="43" t="s">
        <v>300</v>
      </c>
      <c r="BF4" s="43" t="s">
        <v>300</v>
      </c>
      <c r="BG4" s="43" t="s">
        <v>300</v>
      </c>
      <c r="BH4" s="43" t="s">
        <v>300</v>
      </c>
      <c r="BI4" s="43" t="s">
        <v>267</v>
      </c>
      <c r="BJ4" s="43" t="s">
        <v>267</v>
      </c>
      <c r="BK4" s="43" t="s">
        <v>267</v>
      </c>
      <c r="BL4" s="43" t="s">
        <v>267</v>
      </c>
      <c r="BM4" s="43" t="s">
        <v>268</v>
      </c>
      <c r="BN4" s="43" t="s">
        <v>268</v>
      </c>
      <c r="BO4" s="43" t="s">
        <v>268</v>
      </c>
      <c r="BP4" s="43" t="s">
        <v>268</v>
      </c>
      <c r="BQ4" s="43" t="s">
        <v>269</v>
      </c>
      <c r="BR4" s="43" t="s">
        <v>269</v>
      </c>
      <c r="BS4" s="43" t="s">
        <v>269</v>
      </c>
      <c r="BT4" s="43" t="s">
        <v>269</v>
      </c>
      <c r="BU4" s="43" t="s">
        <v>270</v>
      </c>
      <c r="BV4" s="43" t="s">
        <v>270</v>
      </c>
      <c r="BW4" s="43" t="s">
        <v>270</v>
      </c>
      <c r="BX4" s="43" t="s">
        <v>270</v>
      </c>
      <c r="BY4" s="43" t="s">
        <v>271</v>
      </c>
      <c r="BZ4" s="43" t="s">
        <v>271</v>
      </c>
      <c r="CA4" s="43" t="s">
        <v>271</v>
      </c>
      <c r="CB4" s="43" t="s">
        <v>271</v>
      </c>
      <c r="CC4" s="43" t="s">
        <v>272</v>
      </c>
      <c r="CD4" s="43" t="s">
        <v>272</v>
      </c>
      <c r="CE4" s="43" t="s">
        <v>272</v>
      </c>
      <c r="CF4" s="43" t="s">
        <v>272</v>
      </c>
      <c r="CG4" s="43" t="s">
        <v>273</v>
      </c>
      <c r="CH4" s="43" t="s">
        <v>273</v>
      </c>
      <c r="CI4" s="43" t="s">
        <v>273</v>
      </c>
      <c r="CJ4" s="43" t="s">
        <v>273</v>
      </c>
      <c r="CK4" s="43" t="s">
        <v>274</v>
      </c>
      <c r="CL4" s="43" t="s">
        <v>274</v>
      </c>
      <c r="CM4" s="43" t="s">
        <v>274</v>
      </c>
      <c r="CN4" s="43" t="s">
        <v>274</v>
      </c>
      <c r="CO4" s="43" t="s">
        <v>292</v>
      </c>
      <c r="CP4" s="43" t="s">
        <v>292</v>
      </c>
      <c r="CQ4" s="43" t="s">
        <v>292</v>
      </c>
      <c r="CR4" s="43" t="s">
        <v>292</v>
      </c>
      <c r="CS4" s="43" t="s">
        <v>293</v>
      </c>
      <c r="CT4" s="43" t="s">
        <v>293</v>
      </c>
      <c r="CU4" s="43" t="s">
        <v>293</v>
      </c>
      <c r="CV4" s="43" t="s">
        <v>293</v>
      </c>
      <c r="CW4" s="43" t="s">
        <v>294</v>
      </c>
      <c r="CX4" s="43" t="s">
        <v>294</v>
      </c>
      <c r="CY4" s="43" t="s">
        <v>294</v>
      </c>
      <c r="CZ4" s="43" t="s">
        <v>294</v>
      </c>
      <c r="DA4" s="34" t="s">
        <v>20</v>
      </c>
      <c r="DB4" s="43" t="s">
        <v>276</v>
      </c>
      <c r="DC4" s="43" t="s">
        <v>276</v>
      </c>
      <c r="DD4" s="34" t="s">
        <v>71</v>
      </c>
      <c r="DE4" s="34" t="s">
        <v>71</v>
      </c>
      <c r="DF4" s="48" t="s">
        <v>91</v>
      </c>
      <c r="DG4" s="48" t="s">
        <v>91</v>
      </c>
      <c r="DH4" s="56" t="s">
        <v>131</v>
      </c>
      <c r="DI4" s="56" t="s">
        <v>131</v>
      </c>
      <c r="DJ4" s="43" t="s">
        <v>277</v>
      </c>
      <c r="DK4" s="43" t="str">
        <f>DJ4</f>
        <v>PI5P_202404_32_age76_3_Age81_25yr2</v>
      </c>
      <c r="DL4" s="43" t="str">
        <f>DJ4</f>
        <v>PI5P_202404_32_age76_3_Age81_25yr2</v>
      </c>
      <c r="DM4" s="34" t="s">
        <v>19</v>
      </c>
      <c r="DN4" s="34" t="s">
        <v>61</v>
      </c>
      <c r="DO4" s="34" t="s">
        <v>61</v>
      </c>
      <c r="DP4" s="34" t="s">
        <v>72</v>
      </c>
      <c r="DQ4" s="34" t="s">
        <v>72</v>
      </c>
      <c r="DR4" s="48" t="s">
        <v>104</v>
      </c>
      <c r="DS4" s="48" t="s">
        <v>104</v>
      </c>
      <c r="DT4" s="56" t="s">
        <v>132</v>
      </c>
      <c r="DU4" s="56" t="s">
        <v>132</v>
      </c>
      <c r="DV4" s="43" t="s">
        <v>278</v>
      </c>
      <c r="DW4" s="43" t="str">
        <f>DV4</f>
        <v>P5P_202404_24_age76_50_age81_20yr2</v>
      </c>
      <c r="DX4" s="43" t="str">
        <f>DV4</f>
        <v>P5P_202404_24_age76_50_age81_20yr2</v>
      </c>
      <c r="DY4" s="56" t="s">
        <v>59</v>
      </c>
      <c r="DZ4" s="56" t="s">
        <v>59</v>
      </c>
      <c r="EA4" s="56" t="s">
        <v>164</v>
      </c>
      <c r="EB4" s="56" t="s">
        <v>164</v>
      </c>
      <c r="EC4" s="43" t="s">
        <v>279</v>
      </c>
      <c r="ED4" s="43" t="s">
        <v>279</v>
      </c>
      <c r="EE4" s="56" t="s">
        <v>129</v>
      </c>
      <c r="EF4" s="56" t="s">
        <v>129</v>
      </c>
      <c r="EG4" s="56" t="s">
        <v>149</v>
      </c>
      <c r="EH4" s="56" t="s">
        <v>149</v>
      </c>
      <c r="EI4" s="43" t="s">
        <v>280</v>
      </c>
      <c r="EJ4" s="43" t="str">
        <f>EI4</f>
        <v>NYIAG_202404_8_Age81_25yr2</v>
      </c>
      <c r="EK4" s="59" t="s">
        <v>195</v>
      </c>
      <c r="EL4" s="59" t="s">
        <v>195</v>
      </c>
      <c r="EM4" s="43" t="s">
        <v>281</v>
      </c>
      <c r="EN4" s="43" t="str">
        <f>EM4</f>
        <v>NYIA5_202404_32_Age81_24yr2</v>
      </c>
      <c r="EO4" s="56" t="s">
        <v>130</v>
      </c>
      <c r="EP4" s="56" t="s">
        <v>130</v>
      </c>
      <c r="EQ4" s="56" t="s">
        <v>150</v>
      </c>
      <c r="ER4" s="56" t="s">
        <v>150</v>
      </c>
      <c r="ES4" s="56" t="s">
        <v>188</v>
      </c>
      <c r="ET4" s="43" t="s">
        <v>282</v>
      </c>
      <c r="EU4" s="43" t="str">
        <f>ET4</f>
        <v>PIPREF_202404_40_age76_37_age81_48yr2</v>
      </c>
      <c r="EV4" s="43" t="str">
        <f>EU4</f>
        <v>PIPREF_202404_40_age76_37_age81_48yr2</v>
      </c>
      <c r="EW4" s="48" t="s">
        <v>88</v>
      </c>
      <c r="EX4" s="48" t="s">
        <v>88</v>
      </c>
      <c r="EY4" s="48" t="s">
        <v>116</v>
      </c>
      <c r="EZ4" s="56" t="s">
        <v>165</v>
      </c>
      <c r="FA4" s="56" t="s">
        <v>165</v>
      </c>
      <c r="FB4" s="56" t="s">
        <v>165</v>
      </c>
      <c r="FC4" s="43" t="s">
        <v>283</v>
      </c>
      <c r="FD4" s="43" t="str">
        <f>FC4</f>
        <v>WF7_202404_29_age81_15yr2</v>
      </c>
      <c r="FE4" s="48" t="s">
        <v>76</v>
      </c>
      <c r="FF4" s="48" t="s">
        <v>76</v>
      </c>
      <c r="FG4" s="48" t="s">
        <v>94</v>
      </c>
      <c r="FH4" s="48" t="s">
        <v>94</v>
      </c>
      <c r="FI4" s="56" t="s">
        <v>152</v>
      </c>
      <c r="FJ4" s="56" t="s">
        <v>152</v>
      </c>
      <c r="FK4" s="43" t="s">
        <v>284</v>
      </c>
      <c r="FL4" s="43" t="str">
        <f>FK4</f>
        <v>PIP_202404_34_age76_9_age81_27yr2</v>
      </c>
      <c r="FM4" s="43" t="str">
        <f>FK4</f>
        <v>PIP_202404_34_age76_9_age81_27yr2</v>
      </c>
      <c r="FN4" s="48" t="s">
        <v>81</v>
      </c>
      <c r="FO4" s="48" t="s">
        <v>81</v>
      </c>
      <c r="FP4" s="48" t="s">
        <v>67</v>
      </c>
      <c r="FQ4" s="48" t="s">
        <v>67</v>
      </c>
      <c r="FR4" s="48" t="s">
        <v>96</v>
      </c>
      <c r="FS4" s="48" t="s">
        <v>96</v>
      </c>
      <c r="FT4" s="56" t="s">
        <v>154</v>
      </c>
      <c r="FU4" s="56" t="s">
        <v>154</v>
      </c>
      <c r="FV4" s="59" t="s">
        <v>181</v>
      </c>
      <c r="FW4" s="59" t="s">
        <v>181</v>
      </c>
      <c r="FX4" s="43" t="s">
        <v>285</v>
      </c>
      <c r="FY4" s="43" t="str">
        <f>FX4</f>
        <v>P7P_202404_4_age81_25yr2</v>
      </c>
      <c r="FZ4" s="56" t="s">
        <v>163</v>
      </c>
      <c r="GA4" s="56" t="s">
        <v>163</v>
      </c>
      <c r="GB4" s="43" t="s">
        <v>286</v>
      </c>
      <c r="GC4" s="43" t="str">
        <f>GB4</f>
        <v>VALIC_2024_4_age81_17.5yr2</v>
      </c>
      <c r="GD4" s="43" t="s">
        <v>18</v>
      </c>
      <c r="GE4" s="43" t="s">
        <v>18</v>
      </c>
      <c r="GF4" s="59" t="s">
        <v>175</v>
      </c>
      <c r="GG4" s="59" t="s">
        <v>175</v>
      </c>
      <c r="GH4" s="34" t="s">
        <v>21</v>
      </c>
      <c r="GI4" s="48" t="s">
        <v>77</v>
      </c>
      <c r="GJ4" s="48" t="s">
        <v>77</v>
      </c>
      <c r="GK4" s="48" t="s">
        <v>97</v>
      </c>
      <c r="GL4" s="48" t="s">
        <v>97</v>
      </c>
      <c r="GM4" s="56" t="s">
        <v>136</v>
      </c>
      <c r="GN4" s="56" t="s">
        <v>136</v>
      </c>
      <c r="GO4" s="43" t="s">
        <v>287</v>
      </c>
      <c r="GP4" s="60" t="s">
        <v>186</v>
      </c>
      <c r="GQ4" s="66" t="s">
        <v>288</v>
      </c>
      <c r="GR4" s="55" t="s">
        <v>170</v>
      </c>
      <c r="GS4" s="55" t="s">
        <v>22</v>
      </c>
      <c r="GT4" s="43" t="s">
        <v>289</v>
      </c>
      <c r="GU4" s="48" t="s">
        <v>80</v>
      </c>
      <c r="GV4" s="48" t="s">
        <v>100</v>
      </c>
      <c r="GW4" s="56" t="s">
        <v>158</v>
      </c>
      <c r="GX4" s="59" t="s">
        <v>184</v>
      </c>
      <c r="GY4" s="56" t="s">
        <v>145</v>
      </c>
      <c r="GZ4" s="56" t="s">
        <v>142</v>
      </c>
      <c r="HA4" s="56" t="s">
        <v>191</v>
      </c>
      <c r="HB4" s="43" t="s">
        <v>290</v>
      </c>
      <c r="HC4" s="56" t="s">
        <v>162</v>
      </c>
      <c r="HD4" s="43" t="s">
        <v>291</v>
      </c>
      <c r="HE4" s="43" t="str">
        <f>HD4</f>
        <v>PS_202404_7_Age76_45yr2</v>
      </c>
      <c r="HF4" s="43" t="s">
        <v>17</v>
      </c>
      <c r="HG4" s="43" t="s">
        <v>17</v>
      </c>
      <c r="HH4" s="56" t="s">
        <v>168</v>
      </c>
      <c r="HI4" s="56" t="s">
        <v>168</v>
      </c>
    </row>
    <row r="5" spans="1:217" s="37" customFormat="1" x14ac:dyDescent="0.2">
      <c r="A5" s="35"/>
      <c r="B5" s="36" t="s">
        <v>10</v>
      </c>
      <c r="C5" s="40"/>
      <c r="D5" s="34">
        <v>0</v>
      </c>
      <c r="E5" s="34">
        <v>0</v>
      </c>
      <c r="F5" s="34">
        <v>0</v>
      </c>
      <c r="G5" s="34">
        <v>76</v>
      </c>
      <c r="H5" s="34">
        <v>0</v>
      </c>
      <c r="I5" s="34">
        <v>0</v>
      </c>
      <c r="J5" s="34">
        <v>0</v>
      </c>
      <c r="K5" s="44">
        <v>0</v>
      </c>
      <c r="L5" s="44">
        <v>0</v>
      </c>
      <c r="M5" s="34">
        <v>0</v>
      </c>
      <c r="N5" s="34">
        <v>81</v>
      </c>
      <c r="O5" s="34">
        <v>0</v>
      </c>
      <c r="P5" s="34">
        <v>81</v>
      </c>
      <c r="Q5" s="34">
        <v>0</v>
      </c>
      <c r="R5" s="34">
        <v>81</v>
      </c>
      <c r="S5" s="34">
        <v>0</v>
      </c>
      <c r="T5" s="34">
        <v>76</v>
      </c>
      <c r="U5" s="34">
        <v>81</v>
      </c>
      <c r="V5" s="34">
        <v>0</v>
      </c>
      <c r="W5" s="34">
        <v>76</v>
      </c>
      <c r="X5" s="34">
        <v>81</v>
      </c>
      <c r="Y5" s="34">
        <v>0</v>
      </c>
      <c r="Z5" s="34">
        <v>81</v>
      </c>
      <c r="AA5" s="34">
        <v>0</v>
      </c>
      <c r="AB5" s="34">
        <v>81</v>
      </c>
      <c r="AC5" s="34">
        <v>0</v>
      </c>
      <c r="AD5" s="34">
        <v>81</v>
      </c>
      <c r="AE5" s="34">
        <v>0</v>
      </c>
      <c r="AF5" s="34">
        <v>76</v>
      </c>
      <c r="AG5" s="34">
        <v>81</v>
      </c>
      <c r="AH5" s="34">
        <v>0</v>
      </c>
      <c r="AI5" s="34">
        <v>76</v>
      </c>
      <c r="AJ5" s="34">
        <v>81</v>
      </c>
      <c r="AK5" s="43">
        <v>0</v>
      </c>
      <c r="AL5" s="43">
        <v>0</v>
      </c>
      <c r="AM5" s="43">
        <v>0</v>
      </c>
      <c r="AN5" s="43">
        <v>0</v>
      </c>
      <c r="AO5" s="43">
        <v>81</v>
      </c>
      <c r="AP5" s="43">
        <v>0</v>
      </c>
      <c r="AQ5" s="43">
        <v>81</v>
      </c>
      <c r="AR5" s="43">
        <v>0</v>
      </c>
      <c r="AS5" s="43">
        <v>0</v>
      </c>
      <c r="AT5" s="43">
        <v>0</v>
      </c>
      <c r="AU5" s="43">
        <v>0</v>
      </c>
      <c r="AV5" s="43">
        <v>0</v>
      </c>
      <c r="AW5" s="43">
        <v>0</v>
      </c>
      <c r="AX5" s="43">
        <v>70</v>
      </c>
      <c r="AY5" s="43">
        <v>76</v>
      </c>
      <c r="AZ5" s="43">
        <v>81</v>
      </c>
      <c r="BA5" s="43">
        <v>0</v>
      </c>
      <c r="BB5" s="43">
        <v>70</v>
      </c>
      <c r="BC5" s="43">
        <v>76</v>
      </c>
      <c r="BD5" s="43">
        <v>81</v>
      </c>
      <c r="BE5" s="43">
        <v>0</v>
      </c>
      <c r="BF5" s="43">
        <v>70</v>
      </c>
      <c r="BG5" s="43">
        <v>76</v>
      </c>
      <c r="BH5" s="43">
        <v>81</v>
      </c>
      <c r="BI5" s="43">
        <v>0</v>
      </c>
      <c r="BJ5" s="43">
        <v>70</v>
      </c>
      <c r="BK5" s="43">
        <v>76</v>
      </c>
      <c r="BL5" s="43">
        <v>81</v>
      </c>
      <c r="BM5" s="43">
        <v>0</v>
      </c>
      <c r="BN5" s="43">
        <v>70</v>
      </c>
      <c r="BO5" s="43">
        <v>76</v>
      </c>
      <c r="BP5" s="43">
        <v>81</v>
      </c>
      <c r="BQ5" s="43">
        <v>0</v>
      </c>
      <c r="BR5" s="43">
        <v>70</v>
      </c>
      <c r="BS5" s="43">
        <v>76</v>
      </c>
      <c r="BT5" s="43">
        <v>81</v>
      </c>
      <c r="BU5" s="43">
        <v>0</v>
      </c>
      <c r="BV5" s="43">
        <v>70</v>
      </c>
      <c r="BW5" s="43">
        <v>76</v>
      </c>
      <c r="BX5" s="43">
        <v>81</v>
      </c>
      <c r="BY5" s="43">
        <v>0</v>
      </c>
      <c r="BZ5" s="43">
        <v>70</v>
      </c>
      <c r="CA5" s="43">
        <v>76</v>
      </c>
      <c r="CB5" s="43">
        <v>81</v>
      </c>
      <c r="CC5" s="43">
        <v>0</v>
      </c>
      <c r="CD5" s="43">
        <v>70</v>
      </c>
      <c r="CE5" s="43">
        <v>76</v>
      </c>
      <c r="CF5" s="43">
        <v>81</v>
      </c>
      <c r="CG5" s="43">
        <v>0</v>
      </c>
      <c r="CH5" s="43">
        <v>70</v>
      </c>
      <c r="CI5" s="43">
        <v>76</v>
      </c>
      <c r="CJ5" s="43">
        <v>81</v>
      </c>
      <c r="CK5" s="43">
        <v>0</v>
      </c>
      <c r="CL5" s="43">
        <v>70</v>
      </c>
      <c r="CM5" s="43">
        <v>76</v>
      </c>
      <c r="CN5" s="43">
        <v>81</v>
      </c>
      <c r="CO5" s="43">
        <v>0</v>
      </c>
      <c r="CP5" s="43">
        <v>70</v>
      </c>
      <c r="CQ5" s="43">
        <v>76</v>
      </c>
      <c r="CR5" s="43">
        <v>81</v>
      </c>
      <c r="CS5" s="43">
        <v>0</v>
      </c>
      <c r="CT5" s="43">
        <v>70</v>
      </c>
      <c r="CU5" s="43">
        <v>76</v>
      </c>
      <c r="CV5" s="43">
        <v>81</v>
      </c>
      <c r="CW5" s="43">
        <v>0</v>
      </c>
      <c r="CX5" s="43">
        <v>70</v>
      </c>
      <c r="CY5" s="43">
        <v>76</v>
      </c>
      <c r="CZ5" s="43">
        <v>81</v>
      </c>
      <c r="DA5" s="34">
        <v>0</v>
      </c>
      <c r="DB5" s="34">
        <v>0</v>
      </c>
      <c r="DC5" s="34">
        <v>81</v>
      </c>
      <c r="DD5" s="34">
        <v>0</v>
      </c>
      <c r="DE5" s="34">
        <v>81</v>
      </c>
      <c r="DF5" s="34">
        <v>0</v>
      </c>
      <c r="DG5" s="34">
        <v>81</v>
      </c>
      <c r="DH5" s="34">
        <v>0</v>
      </c>
      <c r="DI5" s="34">
        <v>81</v>
      </c>
      <c r="DJ5" s="34">
        <v>0</v>
      </c>
      <c r="DK5" s="34">
        <v>76</v>
      </c>
      <c r="DL5" s="34">
        <v>81</v>
      </c>
      <c r="DM5" s="34">
        <v>0</v>
      </c>
      <c r="DN5" s="34">
        <v>0</v>
      </c>
      <c r="DO5" s="34">
        <v>81</v>
      </c>
      <c r="DP5" s="34">
        <v>0</v>
      </c>
      <c r="DQ5" s="34">
        <v>81</v>
      </c>
      <c r="DR5" s="34">
        <v>0</v>
      </c>
      <c r="DS5" s="34">
        <v>81</v>
      </c>
      <c r="DT5" s="34">
        <v>0</v>
      </c>
      <c r="DU5" s="34">
        <v>81</v>
      </c>
      <c r="DV5" s="34">
        <v>0</v>
      </c>
      <c r="DW5" s="34">
        <v>76</v>
      </c>
      <c r="DX5" s="34">
        <v>81</v>
      </c>
      <c r="DY5" s="34">
        <v>0</v>
      </c>
      <c r="DZ5" s="34">
        <v>81</v>
      </c>
      <c r="EA5" s="34">
        <v>0</v>
      </c>
      <c r="EB5" s="34">
        <v>81</v>
      </c>
      <c r="EC5" s="34">
        <v>0</v>
      </c>
      <c r="ED5" s="34">
        <v>81</v>
      </c>
      <c r="EE5" s="34">
        <v>0</v>
      </c>
      <c r="EF5" s="34">
        <v>81</v>
      </c>
      <c r="EG5" s="34">
        <v>0</v>
      </c>
      <c r="EH5" s="34">
        <v>81</v>
      </c>
      <c r="EI5" s="34">
        <v>0</v>
      </c>
      <c r="EJ5" s="34">
        <v>81</v>
      </c>
      <c r="EK5" s="34">
        <v>0</v>
      </c>
      <c r="EL5" s="34">
        <v>81</v>
      </c>
      <c r="EM5" s="34">
        <v>0</v>
      </c>
      <c r="EN5" s="34">
        <v>81</v>
      </c>
      <c r="EO5" s="34">
        <v>0</v>
      </c>
      <c r="EP5" s="34">
        <v>81</v>
      </c>
      <c r="EQ5" s="34">
        <v>0</v>
      </c>
      <c r="ER5" s="34">
        <v>81</v>
      </c>
      <c r="ES5" s="34">
        <v>0</v>
      </c>
      <c r="ET5" s="34">
        <v>0</v>
      </c>
      <c r="EU5" s="34">
        <v>76</v>
      </c>
      <c r="EV5" s="34">
        <v>81</v>
      </c>
      <c r="EW5" s="34">
        <v>0</v>
      </c>
      <c r="EX5" s="34">
        <v>76</v>
      </c>
      <c r="EY5" s="34">
        <v>0</v>
      </c>
      <c r="EZ5" s="34">
        <v>0</v>
      </c>
      <c r="FA5" s="34">
        <v>76</v>
      </c>
      <c r="FB5" s="34">
        <v>81</v>
      </c>
      <c r="FC5" s="34">
        <v>0</v>
      </c>
      <c r="FD5" s="34">
        <v>81</v>
      </c>
      <c r="FE5" s="34">
        <v>0</v>
      </c>
      <c r="FF5" s="34">
        <v>81</v>
      </c>
      <c r="FG5" s="34">
        <v>0</v>
      </c>
      <c r="FH5" s="34">
        <v>81</v>
      </c>
      <c r="FI5" s="34">
        <v>0</v>
      </c>
      <c r="FJ5" s="34">
        <v>81</v>
      </c>
      <c r="FK5" s="34">
        <v>0</v>
      </c>
      <c r="FL5" s="34">
        <v>76</v>
      </c>
      <c r="FM5" s="34">
        <v>81</v>
      </c>
      <c r="FN5" s="34">
        <v>0</v>
      </c>
      <c r="FO5" s="34">
        <v>81</v>
      </c>
      <c r="FP5" s="34">
        <v>0</v>
      </c>
      <c r="FQ5" s="34">
        <v>81</v>
      </c>
      <c r="FR5" s="34">
        <v>0</v>
      </c>
      <c r="FS5" s="34">
        <v>81</v>
      </c>
      <c r="FT5" s="34">
        <v>0</v>
      </c>
      <c r="FU5" s="34">
        <v>81</v>
      </c>
      <c r="FV5" s="34">
        <v>0</v>
      </c>
      <c r="FW5" s="34">
        <v>81</v>
      </c>
      <c r="FX5" s="34">
        <v>0</v>
      </c>
      <c r="FY5" s="34">
        <v>81</v>
      </c>
      <c r="FZ5" s="34">
        <v>0</v>
      </c>
      <c r="GA5" s="34">
        <v>81</v>
      </c>
      <c r="GB5" s="34">
        <v>0</v>
      </c>
      <c r="GC5" s="34">
        <v>81</v>
      </c>
      <c r="GD5" s="34">
        <v>0</v>
      </c>
      <c r="GE5" s="34">
        <v>81</v>
      </c>
      <c r="GF5" s="34">
        <v>0</v>
      </c>
      <c r="GG5" s="34">
        <v>81</v>
      </c>
      <c r="GH5" s="34">
        <v>0</v>
      </c>
      <c r="GI5" s="34">
        <v>0</v>
      </c>
      <c r="GJ5" s="34">
        <v>81</v>
      </c>
      <c r="GK5" s="34">
        <v>0</v>
      </c>
      <c r="GL5" s="34">
        <v>81</v>
      </c>
      <c r="GM5" s="34">
        <v>0</v>
      </c>
      <c r="GN5" s="34">
        <v>81</v>
      </c>
      <c r="GO5" s="44">
        <v>0</v>
      </c>
      <c r="GP5" s="44">
        <v>0</v>
      </c>
      <c r="GQ5" s="44">
        <v>0</v>
      </c>
      <c r="GR5" s="44">
        <v>0</v>
      </c>
      <c r="GS5" s="34">
        <v>0</v>
      </c>
      <c r="GT5" s="34">
        <v>0</v>
      </c>
      <c r="GU5" s="34">
        <v>0</v>
      </c>
      <c r="GV5" s="34">
        <v>0</v>
      </c>
      <c r="GW5" s="34">
        <v>0</v>
      </c>
      <c r="GX5" s="34">
        <v>0</v>
      </c>
      <c r="GY5" s="34">
        <v>0</v>
      </c>
      <c r="GZ5" s="34">
        <v>0</v>
      </c>
      <c r="HA5" s="34">
        <v>0</v>
      </c>
      <c r="HB5" s="34">
        <v>0</v>
      </c>
      <c r="HC5" s="34">
        <v>0</v>
      </c>
      <c r="HD5" s="34">
        <v>0</v>
      </c>
      <c r="HE5" s="34">
        <v>76</v>
      </c>
      <c r="HF5" s="34">
        <v>0</v>
      </c>
      <c r="HG5" s="34">
        <v>76</v>
      </c>
      <c r="HH5" s="34">
        <v>0</v>
      </c>
      <c r="HI5" s="34">
        <v>76</v>
      </c>
    </row>
    <row r="6" spans="1:217" x14ac:dyDescent="0.2">
      <c r="A6" s="21" t="s">
        <v>5</v>
      </c>
      <c r="B6" s="31" t="s">
        <v>8</v>
      </c>
      <c r="C6" s="31"/>
      <c r="D6" s="32"/>
      <c r="E6" s="32"/>
      <c r="F6" s="32"/>
      <c r="G6" s="32"/>
      <c r="H6" s="32"/>
      <c r="I6" s="32"/>
      <c r="J6" s="32"/>
      <c r="K6" s="45"/>
      <c r="L6" s="45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45"/>
      <c r="GP6" s="45"/>
      <c r="GQ6" s="45"/>
      <c r="GR6" s="45"/>
      <c r="GS6" s="32"/>
      <c r="GT6" s="32"/>
      <c r="GU6" s="32"/>
      <c r="GV6" s="32"/>
      <c r="GW6" s="32"/>
      <c r="GX6" s="32"/>
      <c r="GY6" s="32"/>
      <c r="GZ6" s="32"/>
      <c r="HA6" s="32"/>
      <c r="HB6" s="32"/>
      <c r="HC6" s="32"/>
      <c r="HD6" s="32"/>
      <c r="HE6" s="32"/>
      <c r="HF6" s="32"/>
      <c r="HG6" s="32"/>
      <c r="HH6" s="32"/>
      <c r="HI6" s="32"/>
    </row>
    <row r="7" spans="1:217" x14ac:dyDescent="0.2">
      <c r="A7" s="14"/>
      <c r="B7" s="29">
        <v>1</v>
      </c>
      <c r="C7" s="29"/>
      <c r="D7" s="33">
        <v>0</v>
      </c>
      <c r="E7" s="73">
        <v>0</v>
      </c>
      <c r="F7" s="73">
        <v>0</v>
      </c>
      <c r="G7" s="73">
        <v>0</v>
      </c>
      <c r="H7" s="73">
        <v>0</v>
      </c>
      <c r="I7" s="73">
        <v>0</v>
      </c>
      <c r="J7" s="73">
        <v>2.0000000000000001E-4</v>
      </c>
      <c r="K7" s="73">
        <v>0</v>
      </c>
      <c r="L7" s="73">
        <v>1E-4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2.9999999999999997E-4</v>
      </c>
      <c r="T7" s="73">
        <v>2.9999999999999997E-4</v>
      </c>
      <c r="U7" s="73">
        <v>2.9999999999999997E-4</v>
      </c>
      <c r="V7" s="73">
        <v>0</v>
      </c>
      <c r="W7" s="73">
        <v>0</v>
      </c>
      <c r="X7" s="73">
        <v>0</v>
      </c>
      <c r="Y7" s="73">
        <v>0</v>
      </c>
      <c r="Z7" s="73">
        <v>0</v>
      </c>
      <c r="AA7" s="73">
        <v>0</v>
      </c>
      <c r="AB7" s="73">
        <v>0</v>
      </c>
      <c r="AC7" s="73">
        <v>0</v>
      </c>
      <c r="AD7" s="73">
        <v>0</v>
      </c>
      <c r="AE7" s="73">
        <v>0</v>
      </c>
      <c r="AF7" s="73">
        <v>0</v>
      </c>
      <c r="AG7" s="73">
        <v>0</v>
      </c>
      <c r="AH7" s="73">
        <v>0</v>
      </c>
      <c r="AI7" s="73">
        <v>0</v>
      </c>
      <c r="AJ7" s="73">
        <v>0</v>
      </c>
      <c r="AK7" s="62">
        <v>0</v>
      </c>
      <c r="AL7" s="62">
        <v>0</v>
      </c>
      <c r="AM7" s="62">
        <f>ROUND(0.000113,4)</f>
        <v>1E-4</v>
      </c>
      <c r="AN7" s="62">
        <v>0</v>
      </c>
      <c r="AO7" s="62">
        <v>0</v>
      </c>
      <c r="AP7" s="62">
        <v>0</v>
      </c>
      <c r="AQ7" s="62">
        <v>0</v>
      </c>
      <c r="AR7" s="62">
        <v>0</v>
      </c>
      <c r="AS7" s="62">
        <v>0</v>
      </c>
      <c r="AT7" s="62">
        <v>0</v>
      </c>
      <c r="AU7" s="62">
        <v>0</v>
      </c>
      <c r="AV7" s="62">
        <v>0</v>
      </c>
      <c r="AW7" s="62">
        <v>1E-4</v>
      </c>
      <c r="AX7" s="62">
        <v>1E-4</v>
      </c>
      <c r="AY7" s="62">
        <v>1E-4</v>
      </c>
      <c r="AZ7" s="62">
        <v>1E-4</v>
      </c>
      <c r="BA7" s="62">
        <v>4.0000000000000002E-4</v>
      </c>
      <c r="BB7" s="62">
        <v>4.0000000000000002E-4</v>
      </c>
      <c r="BC7" s="62">
        <v>4.0000000000000002E-4</v>
      </c>
      <c r="BD7" s="62">
        <v>4.0000000000000002E-4</v>
      </c>
      <c r="BE7" s="62">
        <v>4.0000000000000002E-4</v>
      </c>
      <c r="BF7" s="62">
        <v>4.0000000000000002E-4</v>
      </c>
      <c r="BG7" s="62">
        <v>4.0000000000000002E-4</v>
      </c>
      <c r="BH7" s="62">
        <v>4.0000000000000002E-4</v>
      </c>
      <c r="BI7" s="62">
        <v>2.0000000000000001E-4</v>
      </c>
      <c r="BJ7" s="62">
        <v>2.0000000000000001E-4</v>
      </c>
      <c r="BK7" s="62">
        <v>2.0000000000000001E-4</v>
      </c>
      <c r="BL7" s="62">
        <v>2.0000000000000001E-4</v>
      </c>
      <c r="BM7" s="62">
        <v>2.0000000000000001E-4</v>
      </c>
      <c r="BN7" s="62">
        <v>2.0000000000000001E-4</v>
      </c>
      <c r="BO7" s="62">
        <v>2.0000000000000001E-4</v>
      </c>
      <c r="BP7" s="62">
        <v>2.0000000000000001E-4</v>
      </c>
      <c r="BQ7" s="62">
        <v>1E-4</v>
      </c>
      <c r="BR7" s="62">
        <v>1E-4</v>
      </c>
      <c r="BS7" s="62">
        <v>1E-4</v>
      </c>
      <c r="BT7" s="62">
        <v>1E-4</v>
      </c>
      <c r="BU7" s="62">
        <v>2.9999999999999997E-4</v>
      </c>
      <c r="BV7" s="62">
        <v>2.9999999999999997E-4</v>
      </c>
      <c r="BW7" s="62">
        <v>2.9999999999999997E-4</v>
      </c>
      <c r="BX7" s="62">
        <v>2.9999999999999997E-4</v>
      </c>
      <c r="BY7" s="62">
        <v>0</v>
      </c>
      <c r="BZ7" s="62">
        <v>0</v>
      </c>
      <c r="CA7" s="62">
        <v>0</v>
      </c>
      <c r="CB7" s="62">
        <v>0</v>
      </c>
      <c r="CC7" s="62">
        <v>0</v>
      </c>
      <c r="CD7" s="62">
        <v>0</v>
      </c>
      <c r="CE7" s="62">
        <v>0</v>
      </c>
      <c r="CF7" s="62">
        <v>0</v>
      </c>
      <c r="CG7" s="62">
        <v>0</v>
      </c>
      <c r="CH7" s="62">
        <v>0</v>
      </c>
      <c r="CI7" s="62">
        <v>0</v>
      </c>
      <c r="CJ7" s="62">
        <v>0</v>
      </c>
      <c r="CK7" s="62">
        <v>0</v>
      </c>
      <c r="CL7" s="62">
        <v>0</v>
      </c>
      <c r="CM7" s="62">
        <v>0</v>
      </c>
      <c r="CN7" s="62">
        <v>0</v>
      </c>
      <c r="CO7" s="62">
        <v>0</v>
      </c>
      <c r="CP7" s="62">
        <v>0</v>
      </c>
      <c r="CQ7" s="62">
        <v>0</v>
      </c>
      <c r="CR7" s="62">
        <v>0</v>
      </c>
      <c r="CS7" s="62">
        <v>0</v>
      </c>
      <c r="CT7" s="62">
        <v>0</v>
      </c>
      <c r="CU7" s="62">
        <v>0</v>
      </c>
      <c r="CV7" s="62">
        <v>0</v>
      </c>
      <c r="CW7" s="62">
        <v>0</v>
      </c>
      <c r="CX7" s="62">
        <v>0</v>
      </c>
      <c r="CY7" s="62">
        <v>0</v>
      </c>
      <c r="CZ7" s="62">
        <v>0</v>
      </c>
      <c r="DA7" s="33">
        <v>0</v>
      </c>
      <c r="DB7" s="62">
        <v>0</v>
      </c>
      <c r="DC7" s="62">
        <v>0</v>
      </c>
      <c r="DD7" s="33">
        <v>0</v>
      </c>
      <c r="DE7" s="33">
        <v>0</v>
      </c>
      <c r="DF7" s="33">
        <v>0</v>
      </c>
      <c r="DG7" s="33">
        <v>0</v>
      </c>
      <c r="DH7" s="33">
        <v>0</v>
      </c>
      <c r="DI7" s="33">
        <v>0</v>
      </c>
      <c r="DJ7" s="62">
        <v>0</v>
      </c>
      <c r="DK7" s="62">
        <v>0</v>
      </c>
      <c r="DL7" s="62">
        <v>0</v>
      </c>
      <c r="DM7" s="33">
        <v>0</v>
      </c>
      <c r="DN7" s="33">
        <v>0</v>
      </c>
      <c r="DO7" s="33">
        <v>0</v>
      </c>
      <c r="DP7" s="33">
        <v>0</v>
      </c>
      <c r="DQ7" s="33">
        <v>0</v>
      </c>
      <c r="DR7" s="33">
        <v>0</v>
      </c>
      <c r="DS7" s="33">
        <v>0</v>
      </c>
      <c r="DT7" s="33">
        <v>0</v>
      </c>
      <c r="DU7" s="33">
        <v>0</v>
      </c>
      <c r="DV7" s="62">
        <v>0</v>
      </c>
      <c r="DW7" s="62">
        <v>0</v>
      </c>
      <c r="DX7" s="62">
        <v>0</v>
      </c>
      <c r="DY7" s="33">
        <v>0</v>
      </c>
      <c r="DZ7" s="33">
        <v>0</v>
      </c>
      <c r="EA7" s="33">
        <v>0</v>
      </c>
      <c r="EB7" s="33">
        <v>0</v>
      </c>
      <c r="EC7" s="69">
        <v>0</v>
      </c>
      <c r="ED7" s="69">
        <v>0</v>
      </c>
      <c r="EE7" s="49">
        <v>0</v>
      </c>
      <c r="EF7" s="49">
        <v>0</v>
      </c>
      <c r="EG7" s="49">
        <v>0</v>
      </c>
      <c r="EH7" s="49">
        <v>0</v>
      </c>
      <c r="EI7" s="69">
        <v>0</v>
      </c>
      <c r="EJ7" s="69">
        <v>0</v>
      </c>
      <c r="EK7" s="49">
        <v>0</v>
      </c>
      <c r="EL7" s="49">
        <v>0</v>
      </c>
      <c r="EM7" s="69">
        <v>0</v>
      </c>
      <c r="EN7" s="69">
        <v>0</v>
      </c>
      <c r="EO7" s="49">
        <v>0</v>
      </c>
      <c r="EP7" s="49">
        <v>0</v>
      </c>
      <c r="EQ7" s="49">
        <v>0</v>
      </c>
      <c r="ER7" s="49">
        <v>0</v>
      </c>
      <c r="ES7" s="49">
        <v>0</v>
      </c>
      <c r="ET7" s="62">
        <v>0</v>
      </c>
      <c r="EU7" s="62">
        <v>0</v>
      </c>
      <c r="EV7" s="62">
        <v>0</v>
      </c>
      <c r="EW7" s="33">
        <v>0</v>
      </c>
      <c r="EX7" s="33">
        <v>0</v>
      </c>
      <c r="EY7" s="33">
        <v>0</v>
      </c>
      <c r="EZ7" s="33">
        <v>0</v>
      </c>
      <c r="FA7" s="33">
        <v>0</v>
      </c>
      <c r="FB7" s="33">
        <v>0</v>
      </c>
      <c r="FC7" s="62">
        <v>0</v>
      </c>
      <c r="FD7" s="62">
        <v>0</v>
      </c>
      <c r="FE7" s="33">
        <v>0</v>
      </c>
      <c r="FF7" s="33">
        <v>0</v>
      </c>
      <c r="FG7" s="33">
        <v>0</v>
      </c>
      <c r="FH7" s="33">
        <v>0</v>
      </c>
      <c r="FI7" s="33">
        <v>0</v>
      </c>
      <c r="FJ7" s="33">
        <v>0</v>
      </c>
      <c r="FK7" s="65">
        <v>2.9999999999999997E-4</v>
      </c>
      <c r="FL7" s="65">
        <v>2.9999999999999997E-4</v>
      </c>
      <c r="FM7" s="65">
        <v>2.9999999999999997E-4</v>
      </c>
      <c r="FN7" s="33">
        <v>0</v>
      </c>
      <c r="FO7" s="33">
        <v>0</v>
      </c>
      <c r="FP7" s="33">
        <v>0</v>
      </c>
      <c r="FQ7" s="33">
        <v>0</v>
      </c>
      <c r="FR7" s="33">
        <v>0</v>
      </c>
      <c r="FS7" s="33">
        <v>0</v>
      </c>
      <c r="FT7" s="33">
        <v>0</v>
      </c>
      <c r="FU7" s="33">
        <v>0</v>
      </c>
      <c r="FV7" s="33">
        <f>ROUND(FT7+0.00812%,4)</f>
        <v>1E-4</v>
      </c>
      <c r="FW7" s="33">
        <f>ROUND(FU7+0.00812%,4)</f>
        <v>1E-4</v>
      </c>
      <c r="FX7" s="62">
        <v>0</v>
      </c>
      <c r="FY7" s="62">
        <v>0</v>
      </c>
      <c r="FZ7" s="33">
        <v>0</v>
      </c>
      <c r="GA7" s="33">
        <v>0</v>
      </c>
      <c r="GB7" s="62">
        <v>0</v>
      </c>
      <c r="GC7" s="62">
        <v>0</v>
      </c>
      <c r="GD7" s="33">
        <v>0</v>
      </c>
      <c r="GE7" s="33">
        <v>0</v>
      </c>
      <c r="GF7" s="33">
        <v>0</v>
      </c>
      <c r="GG7" s="33">
        <v>0</v>
      </c>
      <c r="GH7" s="33">
        <v>0</v>
      </c>
      <c r="GI7" s="33">
        <v>0</v>
      </c>
      <c r="GJ7" s="33">
        <v>0</v>
      </c>
      <c r="GK7" s="33">
        <v>0</v>
      </c>
      <c r="GL7" s="33">
        <v>0</v>
      </c>
      <c r="GM7" s="33">
        <v>0</v>
      </c>
      <c r="GN7" s="33">
        <v>0</v>
      </c>
      <c r="GO7" s="71">
        <f>ROUND(0.000113,4)</f>
        <v>1E-4</v>
      </c>
      <c r="GP7" s="46">
        <f>ROUND(0.01034%,4)</f>
        <v>1E-4</v>
      </c>
      <c r="GQ7" s="71">
        <v>0</v>
      </c>
      <c r="GR7" s="46">
        <v>0</v>
      </c>
      <c r="GS7" s="33">
        <v>0</v>
      </c>
      <c r="GT7" s="62">
        <f>0.02%</f>
        <v>2.0000000000000001E-4</v>
      </c>
      <c r="GU7" s="33">
        <v>0</v>
      </c>
      <c r="GV7" s="33">
        <v>0</v>
      </c>
      <c r="GW7" s="33">
        <v>0</v>
      </c>
      <c r="GX7" s="33">
        <f>ROUND(GW7+0.00819%,4)</f>
        <v>1E-4</v>
      </c>
      <c r="GY7" s="33">
        <v>0</v>
      </c>
      <c r="GZ7" s="33">
        <v>0</v>
      </c>
      <c r="HA7" s="33">
        <v>0</v>
      </c>
      <c r="HB7" s="62">
        <v>0</v>
      </c>
      <c r="HC7" s="33">
        <v>0</v>
      </c>
      <c r="HD7" s="73">
        <v>0</v>
      </c>
      <c r="HE7" s="73">
        <v>0</v>
      </c>
      <c r="HF7" s="33">
        <v>0</v>
      </c>
      <c r="HG7" s="33">
        <v>0</v>
      </c>
      <c r="HH7" s="33">
        <v>0</v>
      </c>
      <c r="HI7" s="33">
        <v>0</v>
      </c>
    </row>
    <row r="8" spans="1:217" x14ac:dyDescent="0.2">
      <c r="A8" s="14"/>
      <c r="B8" s="29">
        <v>2</v>
      </c>
      <c r="C8" s="29"/>
      <c r="D8" s="33">
        <v>0</v>
      </c>
      <c r="E8" s="73">
        <v>2.3000000000000001E-4</v>
      </c>
      <c r="F8" s="73">
        <v>8.0000000000000004E-4</v>
      </c>
      <c r="G8" s="73">
        <v>4.7000000000000002E-3</v>
      </c>
      <c r="H8" s="73">
        <v>5.9999999999999995E-4</v>
      </c>
      <c r="I8" s="73">
        <v>2.5999999999999999E-3</v>
      </c>
      <c r="J8" s="73">
        <v>3.5999999999999999E-3</v>
      </c>
      <c r="K8" s="73">
        <v>8.0000000000000004E-4</v>
      </c>
      <c r="L8" s="73">
        <v>1E-4</v>
      </c>
      <c r="M8" s="73">
        <v>6.9999999999999999E-4</v>
      </c>
      <c r="N8" s="73">
        <v>1.8E-3</v>
      </c>
      <c r="O8" s="73">
        <v>2.9999999999999997E-4</v>
      </c>
      <c r="P8" s="73">
        <v>1.7499999999999998E-3</v>
      </c>
      <c r="Q8" s="73">
        <v>6.9999999999999999E-4</v>
      </c>
      <c r="R8" s="73">
        <v>2.5000000000000001E-3</v>
      </c>
      <c r="S8" s="73">
        <v>3.3999999999999998E-3</v>
      </c>
      <c r="T8" s="73">
        <v>6.9999999999999999E-4</v>
      </c>
      <c r="U8" s="73">
        <v>2.3999999999999998E-3</v>
      </c>
      <c r="V8" s="73">
        <v>4.1000000000000003E-3</v>
      </c>
      <c r="W8" s="73">
        <v>3.8999999999999998E-3</v>
      </c>
      <c r="X8" s="73">
        <v>4.0000000000000001E-3</v>
      </c>
      <c r="Y8" s="73">
        <v>3.3999999999999998E-3</v>
      </c>
      <c r="Z8" s="73">
        <v>2.3999999999999998E-3</v>
      </c>
      <c r="AA8" s="73">
        <v>8.0000000000000004E-4</v>
      </c>
      <c r="AB8" s="73">
        <v>2.5000000000000001E-3</v>
      </c>
      <c r="AC8" s="73">
        <v>2.3999999999999998E-3</v>
      </c>
      <c r="AD8" s="73">
        <v>2.5000000000000001E-3</v>
      </c>
      <c r="AE8" s="73">
        <v>8.9999999999999998E-4</v>
      </c>
      <c r="AF8" s="73">
        <v>4.7999999999999996E-3</v>
      </c>
      <c r="AG8" s="73">
        <v>2E-3</v>
      </c>
      <c r="AH8" s="73">
        <v>2.8999999999999998E-3</v>
      </c>
      <c r="AI8" s="73">
        <v>5.0000000000000001E-4</v>
      </c>
      <c r="AJ8" s="73">
        <v>2.5000000000000001E-3</v>
      </c>
      <c r="AK8" s="62">
        <v>3.3E-4</v>
      </c>
      <c r="AL8" s="62">
        <v>9.6000000000000002E-4</v>
      </c>
      <c r="AM8" s="62">
        <f>ROUND(0.000113,4)</f>
        <v>1E-4</v>
      </c>
      <c r="AN8" s="62">
        <v>0</v>
      </c>
      <c r="AO8" s="62">
        <v>2.5000000000000001E-3</v>
      </c>
      <c r="AP8" s="62">
        <v>1.6999999999999999E-3</v>
      </c>
      <c r="AQ8" s="62">
        <v>1.8E-3</v>
      </c>
      <c r="AR8" s="62">
        <v>3.5E-4</v>
      </c>
      <c r="AS8" s="62">
        <v>2.5999999999999998E-4</v>
      </c>
      <c r="AT8" s="62">
        <v>3.5E-4</v>
      </c>
      <c r="AU8" s="62">
        <v>8.7000000000000001E-4</v>
      </c>
      <c r="AV8" s="62">
        <v>1.47E-3</v>
      </c>
      <c r="AW8" s="62">
        <v>1E-4</v>
      </c>
      <c r="AX8" s="62">
        <v>1E-4</v>
      </c>
      <c r="AY8" s="62">
        <v>1E-4</v>
      </c>
      <c r="AZ8" s="62">
        <v>1E-4</v>
      </c>
      <c r="BA8" s="62">
        <v>4.0000000000000002E-4</v>
      </c>
      <c r="BB8" s="62">
        <v>4.0000000000000002E-4</v>
      </c>
      <c r="BC8" s="62">
        <v>4.0000000000000002E-4</v>
      </c>
      <c r="BD8" s="62">
        <v>4.0000000000000002E-4</v>
      </c>
      <c r="BE8" s="62">
        <v>4.0000000000000002E-4</v>
      </c>
      <c r="BF8" s="62">
        <v>4.0000000000000002E-4</v>
      </c>
      <c r="BG8" s="62">
        <v>4.0000000000000002E-4</v>
      </c>
      <c r="BH8" s="62">
        <v>4.0000000000000002E-4</v>
      </c>
      <c r="BI8" s="62">
        <v>2.0000000000000001E-4</v>
      </c>
      <c r="BJ8" s="62">
        <v>2.0000000000000001E-4</v>
      </c>
      <c r="BK8" s="62">
        <v>2.0000000000000001E-4</v>
      </c>
      <c r="BL8" s="62">
        <v>2.0000000000000001E-4</v>
      </c>
      <c r="BM8" s="62">
        <v>2.0000000000000001E-4</v>
      </c>
      <c r="BN8" s="62">
        <v>2.0000000000000001E-4</v>
      </c>
      <c r="BO8" s="62">
        <v>2.0000000000000001E-4</v>
      </c>
      <c r="BP8" s="62">
        <v>2.0000000000000001E-4</v>
      </c>
      <c r="BQ8" s="62">
        <v>1E-4</v>
      </c>
      <c r="BR8" s="62">
        <v>1E-4</v>
      </c>
      <c r="BS8" s="62">
        <v>1E-4</v>
      </c>
      <c r="BT8" s="62">
        <v>1E-4</v>
      </c>
      <c r="BU8" s="62">
        <v>2.9999999999999997E-4</v>
      </c>
      <c r="BV8" s="62">
        <v>2.9999999999999997E-4</v>
      </c>
      <c r="BW8" s="62">
        <v>2.9999999999999997E-4</v>
      </c>
      <c r="BX8" s="62">
        <v>2.9999999999999997E-4</v>
      </c>
      <c r="BY8" s="62">
        <v>0</v>
      </c>
      <c r="BZ8" s="62">
        <v>0</v>
      </c>
      <c r="CA8" s="62">
        <v>0</v>
      </c>
      <c r="CB8" s="62">
        <v>0</v>
      </c>
      <c r="CC8" s="69">
        <v>2.5000000000000001E-4</v>
      </c>
      <c r="CD8" s="69">
        <v>2.5000000000000001E-4</v>
      </c>
      <c r="CE8" s="69">
        <v>2.5000000000000001E-4</v>
      </c>
      <c r="CF8" s="69">
        <v>2.5000000000000001E-4</v>
      </c>
      <c r="CG8" s="69">
        <v>5.0000000000000001E-4</v>
      </c>
      <c r="CH8" s="69">
        <v>5.0000000000000001E-4</v>
      </c>
      <c r="CI8" s="69">
        <v>5.0000000000000001E-4</v>
      </c>
      <c r="CJ8" s="69">
        <v>5.0000000000000001E-4</v>
      </c>
      <c r="CK8" s="69">
        <v>1E-3</v>
      </c>
      <c r="CL8" s="69">
        <v>1E-3</v>
      </c>
      <c r="CM8" s="69">
        <v>1E-3</v>
      </c>
      <c r="CN8" s="69">
        <v>1E-3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33">
        <v>1.5E-3</v>
      </c>
      <c r="DB8" s="62">
        <v>2.5000000000000001E-3</v>
      </c>
      <c r="DC8" s="62">
        <v>3.2000000000000002E-3</v>
      </c>
      <c r="DD8" s="33">
        <v>2.0999999999999999E-3</v>
      </c>
      <c r="DE8" s="33">
        <v>2E-3</v>
      </c>
      <c r="DF8" s="33">
        <v>2.2000000000000001E-3</v>
      </c>
      <c r="DG8" s="33">
        <v>2.3E-3</v>
      </c>
      <c r="DH8" s="33">
        <v>2.5000000000000001E-3</v>
      </c>
      <c r="DI8" s="33">
        <v>2.5999999999999999E-3</v>
      </c>
      <c r="DJ8" s="62">
        <v>3.2000000000000002E-3</v>
      </c>
      <c r="DK8" s="62">
        <v>2.9999999999999997E-4</v>
      </c>
      <c r="DL8" s="69">
        <v>2.5000000000000001E-3</v>
      </c>
      <c r="DM8" s="33">
        <v>5.0000000000000001E-4</v>
      </c>
      <c r="DN8" s="33">
        <v>1.1999999999999999E-3</v>
      </c>
      <c r="DO8" s="33">
        <v>1.9E-3</v>
      </c>
      <c r="DP8" s="33">
        <v>1E-3</v>
      </c>
      <c r="DQ8" s="33">
        <v>2.0999999999999999E-3</v>
      </c>
      <c r="DR8" s="33">
        <v>8.9999999999999998E-4</v>
      </c>
      <c r="DS8" s="33">
        <v>2.0999999999999999E-3</v>
      </c>
      <c r="DT8" s="33">
        <v>1.4E-3</v>
      </c>
      <c r="DU8" s="33">
        <v>1.6000000000000001E-3</v>
      </c>
      <c r="DV8" s="62">
        <v>2.3999999999999998E-3</v>
      </c>
      <c r="DW8" s="62">
        <v>5.0000000000000001E-3</v>
      </c>
      <c r="DX8" s="62">
        <v>2E-3</v>
      </c>
      <c r="DY8" s="33">
        <v>0</v>
      </c>
      <c r="DZ8" s="33">
        <v>1.5E-3</v>
      </c>
      <c r="EA8" s="33">
        <v>2.0000000000000001E-4</v>
      </c>
      <c r="EB8" s="33">
        <v>1.5E-3</v>
      </c>
      <c r="EC8" s="62">
        <v>2.7000000000000001E-3</v>
      </c>
      <c r="ED8" s="62">
        <v>2.5000000000000001E-3</v>
      </c>
      <c r="EE8" s="33">
        <v>0</v>
      </c>
      <c r="EF8" s="33">
        <v>2.5000000000000001E-3</v>
      </c>
      <c r="EG8" s="33">
        <v>1.1000000000000001E-3</v>
      </c>
      <c r="EH8" s="33">
        <v>2.5000000000000001E-3</v>
      </c>
      <c r="EI8" s="69">
        <v>8.0000000000000004E-4</v>
      </c>
      <c r="EJ8" s="62">
        <v>2.5000000000000001E-3</v>
      </c>
      <c r="EK8" s="49">
        <v>7.5000000000000002E-4</v>
      </c>
      <c r="EL8" s="33">
        <v>2.5000000000000001E-3</v>
      </c>
      <c r="EM8" s="62">
        <v>3.2000000000000002E-3</v>
      </c>
      <c r="EN8" s="62">
        <v>2.3999999999999998E-3</v>
      </c>
      <c r="EO8" s="33">
        <v>0</v>
      </c>
      <c r="EP8" s="33">
        <v>2E-3</v>
      </c>
      <c r="EQ8" s="33">
        <v>1.1000000000000001E-3</v>
      </c>
      <c r="ER8" s="33">
        <v>2.2000000000000001E-3</v>
      </c>
      <c r="ES8" s="33">
        <v>1E-3</v>
      </c>
      <c r="ET8" s="62">
        <v>4.0000000000000001E-3</v>
      </c>
      <c r="EU8" s="62">
        <v>3.7000000000000002E-3</v>
      </c>
      <c r="EV8" s="62">
        <v>4.7999999999999996E-3</v>
      </c>
      <c r="EW8" s="33">
        <v>0</v>
      </c>
      <c r="EX8" s="33">
        <v>2.5000000000000001E-3</v>
      </c>
      <c r="EY8" s="33">
        <v>2.5000000000000001E-3</v>
      </c>
      <c r="EZ8" s="33">
        <v>3.8999999999999998E-3</v>
      </c>
      <c r="FA8" s="33">
        <v>6.1999999999999998E-3</v>
      </c>
      <c r="FB8" s="33">
        <v>5.1000000000000004E-3</v>
      </c>
      <c r="FC8" s="62">
        <v>2.8999999999999998E-3</v>
      </c>
      <c r="FD8" s="62">
        <v>1.5E-3</v>
      </c>
      <c r="FE8" s="33">
        <v>2.8E-3</v>
      </c>
      <c r="FF8" s="33">
        <v>1.5E-3</v>
      </c>
      <c r="FG8" s="33">
        <v>2.5999999999999999E-3</v>
      </c>
      <c r="FH8" s="33">
        <v>1.5E-3</v>
      </c>
      <c r="FI8" s="33">
        <v>2.7000000000000001E-3</v>
      </c>
      <c r="FJ8" s="33">
        <v>1.5E-3</v>
      </c>
      <c r="FK8" s="65">
        <f>0.31%+0.03%</f>
        <v>3.3999999999999998E-3</v>
      </c>
      <c r="FL8" s="65">
        <f>0.06%+0.03%</f>
        <v>8.9999999999999998E-4</v>
      </c>
      <c r="FM8" s="65">
        <f>0.24%+0.03%</f>
        <v>2.6999999999999997E-3</v>
      </c>
      <c r="FN8" s="33">
        <v>0</v>
      </c>
      <c r="FO8" s="33">
        <v>2.5000000000000001E-3</v>
      </c>
      <c r="FP8" s="33">
        <v>2.5000000000000001E-3</v>
      </c>
      <c r="FQ8" s="33">
        <v>1.8E-3</v>
      </c>
      <c r="FR8" s="33">
        <v>2E-3</v>
      </c>
      <c r="FS8" s="33">
        <v>1.2999999999999999E-3</v>
      </c>
      <c r="FT8" s="33">
        <v>2.3E-3</v>
      </c>
      <c r="FU8" s="33">
        <v>2E-3</v>
      </c>
      <c r="FV8" s="33">
        <f>ROUND(FT8+0.00812%,4)</f>
        <v>2.3999999999999998E-3</v>
      </c>
      <c r="FW8" s="33">
        <f>ROUND(FU8+0.00812%,4)</f>
        <v>2.0999999999999999E-3</v>
      </c>
      <c r="FX8" s="62">
        <v>4.0000000000000002E-4</v>
      </c>
      <c r="FY8" s="62">
        <v>2.5000000000000001E-3</v>
      </c>
      <c r="FZ8" s="33">
        <v>5.0000000000000001E-4</v>
      </c>
      <c r="GA8" s="33">
        <v>2.5000000000000001E-3</v>
      </c>
      <c r="GB8" s="70">
        <v>4.0000000000000002E-4</v>
      </c>
      <c r="GC8" s="69">
        <v>1.7499999999999998E-3</v>
      </c>
      <c r="GD8" s="33">
        <v>0</v>
      </c>
      <c r="GE8" s="33">
        <v>1.6999999999999999E-3</v>
      </c>
      <c r="GF8" s="58">
        <v>2.7500000000000002E-4</v>
      </c>
      <c r="GG8" s="58">
        <v>1.719E-3</v>
      </c>
      <c r="GH8" s="33">
        <v>3.0000000000000001E-3</v>
      </c>
      <c r="GI8" s="33">
        <v>2.8999999999999998E-3</v>
      </c>
      <c r="GJ8" s="33">
        <v>2.5000000000000001E-3</v>
      </c>
      <c r="GK8" s="33">
        <v>2.7000000000000001E-3</v>
      </c>
      <c r="GL8" s="33">
        <v>2.5000000000000001E-3</v>
      </c>
      <c r="GM8" s="33">
        <v>2.2000000000000001E-3</v>
      </c>
      <c r="GN8" s="33">
        <v>1.6000000000000001E-3</v>
      </c>
      <c r="GO8" s="71">
        <f>ROUND(0.000113,4)</f>
        <v>1E-4</v>
      </c>
      <c r="GP8" s="46">
        <f>ROUND(0.01034%,4)</f>
        <v>1E-4</v>
      </c>
      <c r="GQ8" s="71">
        <v>1.1000000000000001E-3</v>
      </c>
      <c r="GR8" s="46">
        <v>2.0000000000000001E-4</v>
      </c>
      <c r="GS8" s="33">
        <v>2.5000000000000001E-3</v>
      </c>
      <c r="GT8" s="62">
        <f>0.31%+0.02%</f>
        <v>3.3E-3</v>
      </c>
      <c r="GU8" s="33">
        <v>4.0000000000000001E-3</v>
      </c>
      <c r="GV8" s="33">
        <v>3.5000000000000001E-3</v>
      </c>
      <c r="GW8" s="33">
        <v>3.3E-3</v>
      </c>
      <c r="GX8" s="33">
        <f>ROUND(GW8+0.00819%,4)</f>
        <v>3.3999999999999998E-3</v>
      </c>
      <c r="GY8" s="33">
        <v>5.0000000000000001E-3</v>
      </c>
      <c r="GZ8" s="33">
        <v>2.5000000000000001E-3</v>
      </c>
      <c r="HA8" s="49">
        <v>2.63E-3</v>
      </c>
      <c r="HB8" s="62">
        <v>6.9999999999999999E-4</v>
      </c>
      <c r="HC8" s="33">
        <v>5.0000000000000001E-4</v>
      </c>
      <c r="HD8" s="73">
        <v>6.9999999999999999E-4</v>
      </c>
      <c r="HE8" s="73">
        <v>4.4999999999999997E-3</v>
      </c>
      <c r="HF8" s="33">
        <v>0</v>
      </c>
      <c r="HG8" s="33">
        <v>6.0000000000000001E-3</v>
      </c>
      <c r="HH8" s="33">
        <v>8.9999999999999998E-4</v>
      </c>
      <c r="HI8" s="33">
        <v>6.0000000000000001E-3</v>
      </c>
    </row>
    <row r="9" spans="1:217" x14ac:dyDescent="0.2">
      <c r="B9" s="72">
        <f>B8+1</f>
        <v>3</v>
      </c>
      <c r="D9" s="62">
        <v>0</v>
      </c>
      <c r="E9" s="73">
        <v>2.3000000000000001E-4</v>
      </c>
      <c r="F9" s="73">
        <v>8.0000000000000004E-4</v>
      </c>
      <c r="G9" s="73">
        <v>4.7000000000000002E-3</v>
      </c>
      <c r="H9" s="73">
        <v>5.9999999999999995E-4</v>
      </c>
      <c r="I9" s="73">
        <v>2.5999999999999999E-3</v>
      </c>
      <c r="J9" s="73">
        <v>3.5999999999999999E-3</v>
      </c>
      <c r="K9" s="73">
        <v>8.0000000000000004E-4</v>
      </c>
      <c r="L9" s="73">
        <v>1E-4</v>
      </c>
      <c r="M9" s="73">
        <v>6.9999999999999999E-4</v>
      </c>
      <c r="N9" s="73">
        <v>1.8E-3</v>
      </c>
      <c r="O9" s="73">
        <v>2.9999999999999997E-4</v>
      </c>
      <c r="P9" s="73">
        <v>1.7499999999999998E-3</v>
      </c>
      <c r="Q9" s="73">
        <v>6.9999999999999999E-4</v>
      </c>
      <c r="R9" s="73">
        <v>2.5000000000000001E-3</v>
      </c>
      <c r="S9" s="73">
        <v>3.3999999999999998E-3</v>
      </c>
      <c r="T9" s="73">
        <v>6.9999999999999999E-4</v>
      </c>
      <c r="U9" s="73">
        <v>2.3999999999999998E-3</v>
      </c>
      <c r="V9" s="73">
        <v>4.1000000000000003E-3</v>
      </c>
      <c r="W9" s="73">
        <v>3.8999999999999998E-3</v>
      </c>
      <c r="X9" s="73">
        <v>4.0000000000000001E-3</v>
      </c>
      <c r="Y9" s="73">
        <v>3.3999999999999998E-3</v>
      </c>
      <c r="Z9" s="73">
        <v>2.3999999999999998E-3</v>
      </c>
      <c r="AA9" s="73">
        <v>8.0000000000000004E-4</v>
      </c>
      <c r="AB9" s="73">
        <v>2.5000000000000001E-3</v>
      </c>
      <c r="AC9" s="73">
        <v>2.3999999999999998E-3</v>
      </c>
      <c r="AD9" s="73">
        <v>2.5000000000000001E-3</v>
      </c>
      <c r="AE9" s="73">
        <v>8.9999999999999998E-4</v>
      </c>
      <c r="AF9" s="73">
        <v>4.7999999999999996E-3</v>
      </c>
      <c r="AG9" s="73">
        <v>2E-3</v>
      </c>
      <c r="AH9" s="73">
        <v>2.8999999999999998E-3</v>
      </c>
      <c r="AI9" s="73">
        <v>5.0000000000000001E-4</v>
      </c>
      <c r="AJ9" s="73">
        <v>2.5000000000000001E-3</v>
      </c>
      <c r="AK9" s="62">
        <v>3.3E-4</v>
      </c>
      <c r="AL9" s="62">
        <v>9.6000000000000002E-4</v>
      </c>
      <c r="AM9" s="62">
        <f t="shared" ref="AM9:AO24" si="0">AM8</f>
        <v>1E-4</v>
      </c>
      <c r="AN9" s="62">
        <f t="shared" si="0"/>
        <v>0</v>
      </c>
      <c r="AO9" s="62">
        <f t="shared" si="0"/>
        <v>2.5000000000000001E-3</v>
      </c>
      <c r="AP9" s="62">
        <f>AP8</f>
        <v>1.6999999999999999E-3</v>
      </c>
      <c r="AQ9" s="62">
        <f>AQ8</f>
        <v>1.8E-3</v>
      </c>
      <c r="AR9" s="62">
        <v>3.5E-4</v>
      </c>
      <c r="AS9" s="62">
        <v>2.5999999999999998E-4</v>
      </c>
      <c r="AT9" s="62">
        <v>3.5E-4</v>
      </c>
      <c r="AU9" s="62">
        <v>8.7000000000000001E-4</v>
      </c>
      <c r="AV9" s="62">
        <v>1.47E-3</v>
      </c>
      <c r="AW9" s="62">
        <v>1E-4</v>
      </c>
      <c r="AX9" s="62">
        <v>1E-4</v>
      </c>
      <c r="AY9" s="62">
        <v>1E-4</v>
      </c>
      <c r="AZ9" s="62">
        <v>1E-4</v>
      </c>
      <c r="BA9" s="62">
        <v>4.0000000000000002E-4</v>
      </c>
      <c r="BB9" s="62">
        <v>4.0000000000000002E-4</v>
      </c>
      <c r="BC9" s="62">
        <v>4.0000000000000002E-4</v>
      </c>
      <c r="BD9" s="62">
        <v>4.0000000000000002E-4</v>
      </c>
      <c r="BE9" s="62">
        <v>4.0000000000000002E-4</v>
      </c>
      <c r="BF9" s="62">
        <v>4.0000000000000002E-4</v>
      </c>
      <c r="BG9" s="62">
        <v>4.0000000000000002E-4</v>
      </c>
      <c r="BH9" s="62">
        <v>4.0000000000000002E-4</v>
      </c>
      <c r="BI9" s="62">
        <v>2.0000000000000001E-4</v>
      </c>
      <c r="BJ9" s="62">
        <v>2.0000000000000001E-4</v>
      </c>
      <c r="BK9" s="62">
        <v>2.0000000000000001E-4</v>
      </c>
      <c r="BL9" s="62">
        <v>2.0000000000000001E-4</v>
      </c>
      <c r="BM9" s="62">
        <v>2.0000000000000001E-4</v>
      </c>
      <c r="BN9" s="62">
        <v>2.0000000000000001E-4</v>
      </c>
      <c r="BO9" s="62">
        <v>2.0000000000000001E-4</v>
      </c>
      <c r="BP9" s="62">
        <v>2.0000000000000001E-4</v>
      </c>
      <c r="BQ9" s="62">
        <v>1E-4</v>
      </c>
      <c r="BR9" s="62">
        <v>1E-4</v>
      </c>
      <c r="BS9" s="62">
        <v>1E-4</v>
      </c>
      <c r="BT9" s="62">
        <v>1E-4</v>
      </c>
      <c r="BU9" s="62">
        <v>2.9999999999999997E-4</v>
      </c>
      <c r="BV9" s="62">
        <v>2.9999999999999997E-4</v>
      </c>
      <c r="BW9" s="62">
        <v>2.9999999999999997E-4</v>
      </c>
      <c r="BX9" s="62">
        <v>2.9999999999999997E-4</v>
      </c>
      <c r="BY9" s="62">
        <v>0</v>
      </c>
      <c r="BZ9" s="62">
        <v>0</v>
      </c>
      <c r="CA9" s="62">
        <v>0</v>
      </c>
      <c r="CB9" s="62">
        <v>0</v>
      </c>
      <c r="CC9" s="69">
        <f>CC8</f>
        <v>2.5000000000000001E-4</v>
      </c>
      <c r="CD9" s="69">
        <f t="shared" ref="CD9:CN9" si="1">CD8</f>
        <v>2.5000000000000001E-4</v>
      </c>
      <c r="CE9" s="69">
        <f t="shared" si="1"/>
        <v>2.5000000000000001E-4</v>
      </c>
      <c r="CF9" s="69">
        <f t="shared" si="1"/>
        <v>2.5000000000000001E-4</v>
      </c>
      <c r="CG9" s="69">
        <f t="shared" si="1"/>
        <v>5.0000000000000001E-4</v>
      </c>
      <c r="CH9" s="69">
        <f t="shared" si="1"/>
        <v>5.0000000000000001E-4</v>
      </c>
      <c r="CI9" s="69">
        <f t="shared" si="1"/>
        <v>5.0000000000000001E-4</v>
      </c>
      <c r="CJ9" s="69">
        <f t="shared" si="1"/>
        <v>5.0000000000000001E-4</v>
      </c>
      <c r="CK9" s="69">
        <f t="shared" si="1"/>
        <v>1E-3</v>
      </c>
      <c r="CL9" s="69">
        <f t="shared" si="1"/>
        <v>1E-3</v>
      </c>
      <c r="CM9" s="69">
        <f t="shared" si="1"/>
        <v>1E-3</v>
      </c>
      <c r="CN9" s="69">
        <f t="shared" si="1"/>
        <v>1E-3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2">
        <f>DA8</f>
        <v>1.5E-3</v>
      </c>
      <c r="DB9" s="62">
        <f>DB8</f>
        <v>2.5000000000000001E-3</v>
      </c>
      <c r="DC9" s="62">
        <v>3.2000000000000002E-3</v>
      </c>
      <c r="DD9" s="62">
        <f>DD8</f>
        <v>2.0999999999999999E-3</v>
      </c>
      <c r="DE9" s="62">
        <f>DE8</f>
        <v>2E-3</v>
      </c>
      <c r="DF9" s="62">
        <f t="shared" ref="DF9:FQ9" si="2">DF8</f>
        <v>2.2000000000000001E-3</v>
      </c>
      <c r="DG9" s="62">
        <f t="shared" si="2"/>
        <v>2.3E-3</v>
      </c>
      <c r="DH9" s="62">
        <f t="shared" si="2"/>
        <v>2.5000000000000001E-3</v>
      </c>
      <c r="DI9" s="62">
        <f t="shared" si="2"/>
        <v>2.5999999999999999E-3</v>
      </c>
      <c r="DJ9" s="62">
        <f t="shared" si="2"/>
        <v>3.2000000000000002E-3</v>
      </c>
      <c r="DK9" s="62">
        <f t="shared" si="2"/>
        <v>2.9999999999999997E-4</v>
      </c>
      <c r="DL9" s="62">
        <f t="shared" si="2"/>
        <v>2.5000000000000001E-3</v>
      </c>
      <c r="DM9" s="62">
        <f t="shared" si="2"/>
        <v>5.0000000000000001E-4</v>
      </c>
      <c r="DN9" s="62">
        <f t="shared" si="2"/>
        <v>1.1999999999999999E-3</v>
      </c>
      <c r="DO9" s="62">
        <f t="shared" si="2"/>
        <v>1.9E-3</v>
      </c>
      <c r="DP9" s="62">
        <f t="shared" si="2"/>
        <v>1E-3</v>
      </c>
      <c r="DQ9" s="62">
        <f t="shared" si="2"/>
        <v>2.0999999999999999E-3</v>
      </c>
      <c r="DR9" s="62">
        <f t="shared" si="2"/>
        <v>8.9999999999999998E-4</v>
      </c>
      <c r="DS9" s="62">
        <f t="shared" si="2"/>
        <v>2.0999999999999999E-3</v>
      </c>
      <c r="DT9" s="62">
        <f t="shared" si="2"/>
        <v>1.4E-3</v>
      </c>
      <c r="DU9" s="62">
        <f t="shared" si="2"/>
        <v>1.6000000000000001E-3</v>
      </c>
      <c r="DV9" s="62">
        <f t="shared" si="2"/>
        <v>2.3999999999999998E-3</v>
      </c>
      <c r="DW9" s="62">
        <f t="shared" si="2"/>
        <v>5.0000000000000001E-3</v>
      </c>
      <c r="DX9" s="62">
        <f t="shared" si="2"/>
        <v>2E-3</v>
      </c>
      <c r="DY9" s="62">
        <f t="shared" si="2"/>
        <v>0</v>
      </c>
      <c r="DZ9" s="62">
        <f t="shared" si="2"/>
        <v>1.5E-3</v>
      </c>
      <c r="EA9" s="62">
        <f t="shared" si="2"/>
        <v>2.0000000000000001E-4</v>
      </c>
      <c r="EB9" s="62">
        <f t="shared" si="2"/>
        <v>1.5E-3</v>
      </c>
      <c r="EC9" s="62">
        <f t="shared" si="2"/>
        <v>2.7000000000000001E-3</v>
      </c>
      <c r="ED9" s="62">
        <f t="shared" si="2"/>
        <v>2.5000000000000001E-3</v>
      </c>
      <c r="EE9" s="62">
        <f t="shared" si="2"/>
        <v>0</v>
      </c>
      <c r="EF9" s="62">
        <f t="shared" si="2"/>
        <v>2.5000000000000001E-3</v>
      </c>
      <c r="EG9" s="62">
        <f t="shared" si="2"/>
        <v>1.1000000000000001E-3</v>
      </c>
      <c r="EH9" s="62">
        <f t="shared" si="2"/>
        <v>2.5000000000000001E-3</v>
      </c>
      <c r="EI9" s="62">
        <f t="shared" si="2"/>
        <v>8.0000000000000004E-4</v>
      </c>
      <c r="EJ9" s="62">
        <f t="shared" si="2"/>
        <v>2.5000000000000001E-3</v>
      </c>
      <c r="EK9" s="62">
        <f t="shared" si="2"/>
        <v>7.5000000000000002E-4</v>
      </c>
      <c r="EL9" s="62">
        <f t="shared" si="2"/>
        <v>2.5000000000000001E-3</v>
      </c>
      <c r="EM9" s="62">
        <f t="shared" si="2"/>
        <v>3.2000000000000002E-3</v>
      </c>
      <c r="EN9" s="62">
        <f t="shared" si="2"/>
        <v>2.3999999999999998E-3</v>
      </c>
      <c r="EO9" s="62">
        <f t="shared" si="2"/>
        <v>0</v>
      </c>
      <c r="EP9" s="62">
        <f t="shared" si="2"/>
        <v>2E-3</v>
      </c>
      <c r="EQ9" s="62">
        <f t="shared" si="2"/>
        <v>1.1000000000000001E-3</v>
      </c>
      <c r="ER9" s="62">
        <f t="shared" si="2"/>
        <v>2.2000000000000001E-3</v>
      </c>
      <c r="ES9" s="62">
        <f t="shared" si="2"/>
        <v>1E-3</v>
      </c>
      <c r="ET9" s="62">
        <f t="shared" si="2"/>
        <v>4.0000000000000001E-3</v>
      </c>
      <c r="EU9" s="62">
        <f t="shared" si="2"/>
        <v>3.7000000000000002E-3</v>
      </c>
      <c r="EV9" s="62">
        <f t="shared" si="2"/>
        <v>4.7999999999999996E-3</v>
      </c>
      <c r="EW9" s="62">
        <f t="shared" si="2"/>
        <v>0</v>
      </c>
      <c r="EX9" s="62">
        <f t="shared" si="2"/>
        <v>2.5000000000000001E-3</v>
      </c>
      <c r="EY9" s="62">
        <f t="shared" si="2"/>
        <v>2.5000000000000001E-3</v>
      </c>
      <c r="EZ9" s="62">
        <f t="shared" si="2"/>
        <v>3.8999999999999998E-3</v>
      </c>
      <c r="FA9" s="62">
        <f t="shared" si="2"/>
        <v>6.1999999999999998E-3</v>
      </c>
      <c r="FB9" s="62">
        <f t="shared" si="2"/>
        <v>5.1000000000000004E-3</v>
      </c>
      <c r="FC9" s="62">
        <f t="shared" si="2"/>
        <v>2.8999999999999998E-3</v>
      </c>
      <c r="FD9" s="62">
        <f t="shared" si="2"/>
        <v>1.5E-3</v>
      </c>
      <c r="FE9" s="62">
        <f t="shared" si="2"/>
        <v>2.8E-3</v>
      </c>
      <c r="FF9" s="62">
        <f t="shared" si="2"/>
        <v>1.5E-3</v>
      </c>
      <c r="FG9" s="62">
        <f t="shared" si="2"/>
        <v>2.5999999999999999E-3</v>
      </c>
      <c r="FH9" s="62">
        <f t="shared" si="2"/>
        <v>1.5E-3</v>
      </c>
      <c r="FI9" s="62">
        <f t="shared" si="2"/>
        <v>2.7000000000000001E-3</v>
      </c>
      <c r="FJ9" s="62">
        <f t="shared" si="2"/>
        <v>1.5E-3</v>
      </c>
      <c r="FK9" s="62">
        <f t="shared" si="2"/>
        <v>3.3999999999999998E-3</v>
      </c>
      <c r="FL9" s="62">
        <f t="shared" si="2"/>
        <v>8.9999999999999998E-4</v>
      </c>
      <c r="FM9" s="62">
        <f t="shared" si="2"/>
        <v>2.6999999999999997E-3</v>
      </c>
      <c r="FN9" s="62">
        <f t="shared" si="2"/>
        <v>0</v>
      </c>
      <c r="FO9" s="62">
        <f t="shared" si="2"/>
        <v>2.5000000000000001E-3</v>
      </c>
      <c r="FP9" s="62">
        <f t="shared" si="2"/>
        <v>2.5000000000000001E-3</v>
      </c>
      <c r="FQ9" s="62">
        <f t="shared" si="2"/>
        <v>1.8E-3</v>
      </c>
      <c r="FR9" s="62">
        <f t="shared" ref="FR9:HI9" si="3">FR8</f>
        <v>2E-3</v>
      </c>
      <c r="FS9" s="62">
        <f t="shared" si="3"/>
        <v>1.2999999999999999E-3</v>
      </c>
      <c r="FT9" s="62">
        <f t="shared" si="3"/>
        <v>2.3E-3</v>
      </c>
      <c r="FU9" s="62">
        <f t="shared" si="3"/>
        <v>2E-3</v>
      </c>
      <c r="FV9" s="62">
        <f t="shared" si="3"/>
        <v>2.3999999999999998E-3</v>
      </c>
      <c r="FW9" s="62">
        <f t="shared" si="3"/>
        <v>2.0999999999999999E-3</v>
      </c>
      <c r="FX9" s="62">
        <f t="shared" si="3"/>
        <v>4.0000000000000002E-4</v>
      </c>
      <c r="FY9" s="62">
        <f t="shared" si="3"/>
        <v>2.5000000000000001E-3</v>
      </c>
      <c r="FZ9" s="62">
        <f t="shared" si="3"/>
        <v>5.0000000000000001E-4</v>
      </c>
      <c r="GA9" s="62">
        <f t="shared" si="3"/>
        <v>2.5000000000000001E-3</v>
      </c>
      <c r="GB9" s="62">
        <f t="shared" si="3"/>
        <v>4.0000000000000002E-4</v>
      </c>
      <c r="GC9" s="62">
        <f t="shared" si="3"/>
        <v>1.7499999999999998E-3</v>
      </c>
      <c r="GD9" s="62">
        <f t="shared" si="3"/>
        <v>0</v>
      </c>
      <c r="GE9" s="62">
        <f t="shared" si="3"/>
        <v>1.6999999999999999E-3</v>
      </c>
      <c r="GF9" s="62">
        <f t="shared" si="3"/>
        <v>2.7500000000000002E-4</v>
      </c>
      <c r="GG9" s="62">
        <f t="shared" si="3"/>
        <v>1.719E-3</v>
      </c>
      <c r="GH9" s="62">
        <f t="shared" si="3"/>
        <v>3.0000000000000001E-3</v>
      </c>
      <c r="GI9" s="62">
        <f t="shared" si="3"/>
        <v>2.8999999999999998E-3</v>
      </c>
      <c r="GJ9" s="62">
        <f t="shared" si="3"/>
        <v>2.5000000000000001E-3</v>
      </c>
      <c r="GK9" s="62">
        <f t="shared" si="3"/>
        <v>2.7000000000000001E-3</v>
      </c>
      <c r="GL9" s="62">
        <f t="shared" si="3"/>
        <v>2.5000000000000001E-3</v>
      </c>
      <c r="GM9" s="62">
        <f t="shared" si="3"/>
        <v>2.2000000000000001E-3</v>
      </c>
      <c r="GN9" s="62">
        <f t="shared" si="3"/>
        <v>1.6000000000000001E-3</v>
      </c>
      <c r="GO9" s="62">
        <f t="shared" si="3"/>
        <v>1E-4</v>
      </c>
      <c r="GP9" s="62">
        <f t="shared" si="3"/>
        <v>1E-4</v>
      </c>
      <c r="GQ9" s="62">
        <f t="shared" si="3"/>
        <v>1.1000000000000001E-3</v>
      </c>
      <c r="GR9" s="62">
        <f t="shared" si="3"/>
        <v>2.0000000000000001E-4</v>
      </c>
      <c r="GS9" s="62">
        <f t="shared" si="3"/>
        <v>2.5000000000000001E-3</v>
      </c>
      <c r="GT9" s="62">
        <f t="shared" si="3"/>
        <v>3.3E-3</v>
      </c>
      <c r="GU9" s="62">
        <f t="shared" si="3"/>
        <v>4.0000000000000001E-3</v>
      </c>
      <c r="GV9" s="62">
        <f t="shared" si="3"/>
        <v>3.5000000000000001E-3</v>
      </c>
      <c r="GW9" s="62">
        <f t="shared" si="3"/>
        <v>3.3E-3</v>
      </c>
      <c r="GX9" s="62">
        <f t="shared" si="3"/>
        <v>3.3999999999999998E-3</v>
      </c>
      <c r="GY9" s="62">
        <f t="shared" si="3"/>
        <v>5.0000000000000001E-3</v>
      </c>
      <c r="GZ9" s="62">
        <f t="shared" si="3"/>
        <v>2.5000000000000001E-3</v>
      </c>
      <c r="HA9" s="62">
        <f t="shared" si="3"/>
        <v>2.63E-3</v>
      </c>
      <c r="HB9" s="62">
        <f t="shared" si="3"/>
        <v>6.9999999999999999E-4</v>
      </c>
      <c r="HC9" s="62">
        <f t="shared" si="3"/>
        <v>5.0000000000000001E-4</v>
      </c>
      <c r="HD9" s="62">
        <f t="shared" si="3"/>
        <v>6.9999999999999999E-4</v>
      </c>
      <c r="HE9" s="62">
        <f t="shared" si="3"/>
        <v>4.4999999999999997E-3</v>
      </c>
      <c r="HF9" s="62">
        <f t="shared" si="3"/>
        <v>0</v>
      </c>
      <c r="HG9" s="62">
        <f t="shared" si="3"/>
        <v>6.0000000000000001E-3</v>
      </c>
      <c r="HH9" s="62">
        <f t="shared" si="3"/>
        <v>8.9999999999999998E-4</v>
      </c>
      <c r="HI9" s="62">
        <f t="shared" si="3"/>
        <v>6.0000000000000001E-3</v>
      </c>
    </row>
    <row r="10" spans="1:217" x14ac:dyDescent="0.2">
      <c r="B10" s="72">
        <f t="shared" ref="B10:B37" si="4">B9+1</f>
        <v>4</v>
      </c>
      <c r="D10" s="62">
        <v>0</v>
      </c>
      <c r="E10" s="73">
        <v>2.3000000000000001E-4</v>
      </c>
      <c r="F10" s="73">
        <v>8.0000000000000004E-4</v>
      </c>
      <c r="G10" s="73">
        <v>4.7000000000000002E-3</v>
      </c>
      <c r="H10" s="73">
        <v>5.9999999999999995E-4</v>
      </c>
      <c r="I10" s="73">
        <v>2.5999999999999999E-3</v>
      </c>
      <c r="J10" s="73">
        <v>3.5999999999999999E-3</v>
      </c>
      <c r="K10" s="73">
        <v>8.0000000000000004E-4</v>
      </c>
      <c r="L10" s="73">
        <v>1E-4</v>
      </c>
      <c r="M10" s="73">
        <v>6.9999999999999999E-4</v>
      </c>
      <c r="N10" s="73">
        <v>1.8E-3</v>
      </c>
      <c r="O10" s="73">
        <v>2.9999999999999997E-4</v>
      </c>
      <c r="P10" s="73">
        <v>1.7499999999999998E-3</v>
      </c>
      <c r="Q10" s="73">
        <v>6.9999999999999999E-4</v>
      </c>
      <c r="R10" s="73">
        <v>2.5000000000000001E-3</v>
      </c>
      <c r="S10" s="73">
        <v>3.3999999999999998E-3</v>
      </c>
      <c r="T10" s="73">
        <v>6.9999999999999999E-4</v>
      </c>
      <c r="U10" s="73">
        <v>2.3999999999999998E-3</v>
      </c>
      <c r="V10" s="73">
        <v>4.1000000000000003E-3</v>
      </c>
      <c r="W10" s="73">
        <v>3.8999999999999998E-3</v>
      </c>
      <c r="X10" s="73">
        <v>4.0000000000000001E-3</v>
      </c>
      <c r="Y10" s="73">
        <v>3.3999999999999998E-3</v>
      </c>
      <c r="Z10" s="73">
        <v>2.3999999999999998E-3</v>
      </c>
      <c r="AA10" s="73">
        <v>8.0000000000000004E-4</v>
      </c>
      <c r="AB10" s="73">
        <v>2.5000000000000001E-3</v>
      </c>
      <c r="AC10" s="73">
        <v>2.3999999999999998E-3</v>
      </c>
      <c r="AD10" s="73">
        <v>2.5000000000000001E-3</v>
      </c>
      <c r="AE10" s="73">
        <v>8.9999999999999998E-4</v>
      </c>
      <c r="AF10" s="73">
        <v>4.7999999999999996E-3</v>
      </c>
      <c r="AG10" s="73">
        <v>2E-3</v>
      </c>
      <c r="AH10" s="73">
        <v>2.8999999999999998E-3</v>
      </c>
      <c r="AI10" s="73">
        <v>5.0000000000000001E-4</v>
      </c>
      <c r="AJ10" s="73">
        <v>2.5000000000000001E-3</v>
      </c>
      <c r="AK10" s="62">
        <v>3.3E-4</v>
      </c>
      <c r="AL10" s="62">
        <v>9.6000000000000002E-4</v>
      </c>
      <c r="AM10" s="62">
        <f t="shared" si="0"/>
        <v>1E-4</v>
      </c>
      <c r="AN10" s="62">
        <f t="shared" si="0"/>
        <v>0</v>
      </c>
      <c r="AO10" s="62">
        <f t="shared" si="0"/>
        <v>2.5000000000000001E-3</v>
      </c>
      <c r="AP10" s="62">
        <f t="shared" ref="AP10:AQ36" si="5">AP9</f>
        <v>1.6999999999999999E-3</v>
      </c>
      <c r="AQ10" s="62">
        <f t="shared" si="5"/>
        <v>1.8E-3</v>
      </c>
      <c r="AR10" s="62">
        <v>3.5E-4</v>
      </c>
      <c r="AS10" s="62">
        <v>2.5999999999999998E-4</v>
      </c>
      <c r="AT10" s="62">
        <v>3.5E-4</v>
      </c>
      <c r="AU10" s="62">
        <v>8.7000000000000001E-4</v>
      </c>
      <c r="AV10" s="62">
        <v>1.47E-3</v>
      </c>
      <c r="AW10" s="62">
        <v>1E-4</v>
      </c>
      <c r="AX10" s="62">
        <v>1E-4</v>
      </c>
      <c r="AY10" s="62">
        <v>1E-4</v>
      </c>
      <c r="AZ10" s="62">
        <v>1E-4</v>
      </c>
      <c r="BA10" s="62">
        <v>4.0000000000000002E-4</v>
      </c>
      <c r="BB10" s="62">
        <v>4.0000000000000002E-4</v>
      </c>
      <c r="BC10" s="62">
        <v>4.0000000000000002E-4</v>
      </c>
      <c r="BD10" s="62">
        <v>4.0000000000000002E-4</v>
      </c>
      <c r="BE10" s="62">
        <v>4.0000000000000002E-4</v>
      </c>
      <c r="BF10" s="62">
        <v>4.0000000000000002E-4</v>
      </c>
      <c r="BG10" s="62">
        <v>4.0000000000000002E-4</v>
      </c>
      <c r="BH10" s="62">
        <v>4.0000000000000002E-4</v>
      </c>
      <c r="BI10" s="62">
        <v>2.0000000000000001E-4</v>
      </c>
      <c r="BJ10" s="62">
        <v>2.0000000000000001E-4</v>
      </c>
      <c r="BK10" s="62">
        <v>2.0000000000000001E-4</v>
      </c>
      <c r="BL10" s="62">
        <v>2.0000000000000001E-4</v>
      </c>
      <c r="BM10" s="62">
        <v>2.0000000000000001E-4</v>
      </c>
      <c r="BN10" s="62">
        <v>2.0000000000000001E-4</v>
      </c>
      <c r="BO10" s="62">
        <v>2.0000000000000001E-4</v>
      </c>
      <c r="BP10" s="62">
        <v>2.0000000000000001E-4</v>
      </c>
      <c r="BQ10" s="62">
        <v>1E-4</v>
      </c>
      <c r="BR10" s="62">
        <v>1E-4</v>
      </c>
      <c r="BS10" s="62">
        <v>1E-4</v>
      </c>
      <c r="BT10" s="62">
        <v>1E-4</v>
      </c>
      <c r="BU10" s="62">
        <v>2.9999999999999997E-4</v>
      </c>
      <c r="BV10" s="62">
        <v>2.9999999999999997E-4</v>
      </c>
      <c r="BW10" s="62">
        <v>2.9999999999999997E-4</v>
      </c>
      <c r="BX10" s="62">
        <v>2.9999999999999997E-4</v>
      </c>
      <c r="BY10" s="62">
        <v>0</v>
      </c>
      <c r="BZ10" s="62">
        <v>0</v>
      </c>
      <c r="CA10" s="62">
        <v>0</v>
      </c>
      <c r="CB10" s="62">
        <v>0</v>
      </c>
      <c r="CC10" s="69">
        <f t="shared" ref="CC10:CC37" si="6">CC9</f>
        <v>2.5000000000000001E-4</v>
      </c>
      <c r="CD10" s="69">
        <f t="shared" ref="CD10:CD37" si="7">CD9</f>
        <v>2.5000000000000001E-4</v>
      </c>
      <c r="CE10" s="69">
        <f t="shared" ref="CE10:CE37" si="8">CE9</f>
        <v>2.5000000000000001E-4</v>
      </c>
      <c r="CF10" s="69">
        <f t="shared" ref="CF10:CF37" si="9">CF9</f>
        <v>2.5000000000000001E-4</v>
      </c>
      <c r="CG10" s="69">
        <f t="shared" ref="CG10:CG37" si="10">CG9</f>
        <v>5.0000000000000001E-4</v>
      </c>
      <c r="CH10" s="69">
        <f t="shared" ref="CH10:CH37" si="11">CH9</f>
        <v>5.0000000000000001E-4</v>
      </c>
      <c r="CI10" s="69">
        <f t="shared" ref="CI10:CI37" si="12">CI9</f>
        <v>5.0000000000000001E-4</v>
      </c>
      <c r="CJ10" s="69">
        <f t="shared" ref="CJ10:CJ37" si="13">CJ9</f>
        <v>5.0000000000000001E-4</v>
      </c>
      <c r="CK10" s="69">
        <f t="shared" ref="CK10:CK37" si="14">CK9</f>
        <v>1E-3</v>
      </c>
      <c r="CL10" s="69">
        <f t="shared" ref="CL10:CL37" si="15">CL9</f>
        <v>1E-3</v>
      </c>
      <c r="CM10" s="69">
        <f t="shared" ref="CM10:CM37" si="16">CM9</f>
        <v>1E-3</v>
      </c>
      <c r="CN10" s="69">
        <f t="shared" ref="CN10:CN37" si="17">CN9</f>
        <v>1E-3</v>
      </c>
      <c r="CO10" s="69">
        <v>4.0000000000000001E-3</v>
      </c>
      <c r="CP10" s="69">
        <v>4.0000000000000001E-3</v>
      </c>
      <c r="CQ10" s="69">
        <v>2E-3</v>
      </c>
      <c r="CR10" s="69">
        <v>2E-3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2">
        <f t="shared" ref="DA10:DA37" si="18">DA9</f>
        <v>1.5E-3</v>
      </c>
      <c r="DB10" s="62">
        <f t="shared" ref="DB10:DB37" si="19">DB9</f>
        <v>2.5000000000000001E-3</v>
      </c>
      <c r="DC10" s="62">
        <v>3.2000000000000002E-3</v>
      </c>
      <c r="DD10" s="62">
        <f t="shared" ref="DD10:DD37" si="20">DD9</f>
        <v>2.0999999999999999E-3</v>
      </c>
      <c r="DE10" s="62">
        <f t="shared" ref="DE10:DE37" si="21">DE9</f>
        <v>2E-3</v>
      </c>
      <c r="DF10" s="62">
        <f t="shared" ref="DF10:DF37" si="22">DF9</f>
        <v>2.2000000000000001E-3</v>
      </c>
      <c r="DG10" s="62">
        <f t="shared" ref="DG10:DG37" si="23">DG9</f>
        <v>2.3E-3</v>
      </c>
      <c r="DH10" s="62">
        <f t="shared" ref="DH10:DH37" si="24">DH9</f>
        <v>2.5000000000000001E-3</v>
      </c>
      <c r="DI10" s="62">
        <f t="shared" ref="DI10:DI37" si="25">DI9</f>
        <v>2.5999999999999999E-3</v>
      </c>
      <c r="DJ10" s="62">
        <f t="shared" ref="DJ10:DJ37" si="26">DJ9</f>
        <v>3.2000000000000002E-3</v>
      </c>
      <c r="DK10" s="62">
        <f t="shared" ref="DK10:DK37" si="27">DK9</f>
        <v>2.9999999999999997E-4</v>
      </c>
      <c r="DL10" s="62">
        <f t="shared" ref="DL10:DL37" si="28">DL9</f>
        <v>2.5000000000000001E-3</v>
      </c>
      <c r="DM10" s="62">
        <f t="shared" ref="DM10:DM37" si="29">DM9</f>
        <v>5.0000000000000001E-4</v>
      </c>
      <c r="DN10" s="62">
        <f t="shared" ref="DN10:DN37" si="30">DN9</f>
        <v>1.1999999999999999E-3</v>
      </c>
      <c r="DO10" s="62">
        <f t="shared" ref="DO10:DO37" si="31">DO9</f>
        <v>1.9E-3</v>
      </c>
      <c r="DP10" s="62">
        <f t="shared" ref="DP10:DP37" si="32">DP9</f>
        <v>1E-3</v>
      </c>
      <c r="DQ10" s="62">
        <f t="shared" ref="DQ10:DQ37" si="33">DQ9</f>
        <v>2.0999999999999999E-3</v>
      </c>
      <c r="DR10" s="62">
        <f t="shared" ref="DR10:DR37" si="34">DR9</f>
        <v>8.9999999999999998E-4</v>
      </c>
      <c r="DS10" s="62">
        <f t="shared" ref="DS10:DS37" si="35">DS9</f>
        <v>2.0999999999999999E-3</v>
      </c>
      <c r="DT10" s="62">
        <f t="shared" ref="DT10:DT37" si="36">DT9</f>
        <v>1.4E-3</v>
      </c>
      <c r="DU10" s="62">
        <f t="shared" ref="DU10:DU37" si="37">DU9</f>
        <v>1.6000000000000001E-3</v>
      </c>
      <c r="DV10" s="62">
        <f t="shared" ref="DV10:DV37" si="38">DV9</f>
        <v>2.3999999999999998E-3</v>
      </c>
      <c r="DW10" s="62">
        <f t="shared" ref="DW10:DW37" si="39">DW9</f>
        <v>5.0000000000000001E-3</v>
      </c>
      <c r="DX10" s="62">
        <f t="shared" ref="DX10:DX37" si="40">DX9</f>
        <v>2E-3</v>
      </c>
      <c r="DY10" s="62">
        <f t="shared" ref="DY10:DY37" si="41">DY9</f>
        <v>0</v>
      </c>
      <c r="DZ10" s="62">
        <f t="shared" ref="DZ10:DZ37" si="42">DZ9</f>
        <v>1.5E-3</v>
      </c>
      <c r="EA10" s="62">
        <f t="shared" ref="EA10:EA37" si="43">EA9</f>
        <v>2.0000000000000001E-4</v>
      </c>
      <c r="EB10" s="62">
        <f t="shared" ref="EB10:EB37" si="44">EB9</f>
        <v>1.5E-3</v>
      </c>
      <c r="EC10" s="62">
        <f t="shared" ref="EC10:EC37" si="45">EC9</f>
        <v>2.7000000000000001E-3</v>
      </c>
      <c r="ED10" s="62">
        <f t="shared" ref="ED10:ED37" si="46">ED9</f>
        <v>2.5000000000000001E-3</v>
      </c>
      <c r="EE10" s="62">
        <f t="shared" ref="EE10:EE37" si="47">EE9</f>
        <v>0</v>
      </c>
      <c r="EF10" s="62">
        <f t="shared" ref="EF10:EF37" si="48">EF9</f>
        <v>2.5000000000000001E-3</v>
      </c>
      <c r="EG10" s="62">
        <f t="shared" ref="EG10:EG37" si="49">EG9</f>
        <v>1.1000000000000001E-3</v>
      </c>
      <c r="EH10" s="62">
        <f t="shared" ref="EH10:EH37" si="50">EH9</f>
        <v>2.5000000000000001E-3</v>
      </c>
      <c r="EI10" s="62">
        <f t="shared" ref="EI10:EI37" si="51">EI9</f>
        <v>8.0000000000000004E-4</v>
      </c>
      <c r="EJ10" s="62">
        <f t="shared" ref="EJ10:EJ37" si="52">EJ9</f>
        <v>2.5000000000000001E-3</v>
      </c>
      <c r="EK10" s="62">
        <f t="shared" ref="EK10:EK37" si="53">EK9</f>
        <v>7.5000000000000002E-4</v>
      </c>
      <c r="EL10" s="62">
        <f t="shared" ref="EL10:EL37" si="54">EL9</f>
        <v>2.5000000000000001E-3</v>
      </c>
      <c r="EM10" s="62">
        <f t="shared" ref="EM10:EM37" si="55">EM9</f>
        <v>3.2000000000000002E-3</v>
      </c>
      <c r="EN10" s="62">
        <f t="shared" ref="EN10:EN37" si="56">EN9</f>
        <v>2.3999999999999998E-3</v>
      </c>
      <c r="EO10" s="62">
        <f t="shared" ref="EO10:EO37" si="57">EO9</f>
        <v>0</v>
      </c>
      <c r="EP10" s="62">
        <f t="shared" ref="EP10:EP37" si="58">EP9</f>
        <v>2E-3</v>
      </c>
      <c r="EQ10" s="62">
        <f t="shared" ref="EQ10:EQ37" si="59">EQ9</f>
        <v>1.1000000000000001E-3</v>
      </c>
      <c r="ER10" s="62">
        <f t="shared" ref="ER10:ER37" si="60">ER9</f>
        <v>2.2000000000000001E-3</v>
      </c>
      <c r="ES10" s="62">
        <f t="shared" ref="ES10:ES37" si="61">ES9</f>
        <v>1E-3</v>
      </c>
      <c r="ET10" s="62">
        <f t="shared" ref="ET10:ET37" si="62">ET9</f>
        <v>4.0000000000000001E-3</v>
      </c>
      <c r="EU10" s="62">
        <f t="shared" ref="EU10:EU37" si="63">EU9</f>
        <v>3.7000000000000002E-3</v>
      </c>
      <c r="EV10" s="62">
        <f t="shared" ref="EV10:EV37" si="64">EV9</f>
        <v>4.7999999999999996E-3</v>
      </c>
      <c r="EW10" s="62">
        <f t="shared" ref="EW10:EW37" si="65">EW9</f>
        <v>0</v>
      </c>
      <c r="EX10" s="62">
        <f t="shared" ref="EX10:EX37" si="66">EX9</f>
        <v>2.5000000000000001E-3</v>
      </c>
      <c r="EY10" s="62">
        <f t="shared" ref="EY10:EY37" si="67">EY9</f>
        <v>2.5000000000000001E-3</v>
      </c>
      <c r="EZ10" s="62">
        <f t="shared" ref="EZ10:EZ37" si="68">EZ9</f>
        <v>3.8999999999999998E-3</v>
      </c>
      <c r="FA10" s="62">
        <f t="shared" ref="FA10:FA37" si="69">FA9</f>
        <v>6.1999999999999998E-3</v>
      </c>
      <c r="FB10" s="62">
        <f t="shared" ref="FB10:FB37" si="70">FB9</f>
        <v>5.1000000000000004E-3</v>
      </c>
      <c r="FC10" s="62">
        <f t="shared" ref="FC10:FC37" si="71">FC9</f>
        <v>2.8999999999999998E-3</v>
      </c>
      <c r="FD10" s="62">
        <f t="shared" ref="FD10:FD37" si="72">FD9</f>
        <v>1.5E-3</v>
      </c>
      <c r="FE10" s="62">
        <f t="shared" ref="FE10:FE37" si="73">FE9</f>
        <v>2.8E-3</v>
      </c>
      <c r="FF10" s="62">
        <f t="shared" ref="FF10:FF37" si="74">FF9</f>
        <v>1.5E-3</v>
      </c>
      <c r="FG10" s="62">
        <f t="shared" ref="FG10:FG37" si="75">FG9</f>
        <v>2.5999999999999999E-3</v>
      </c>
      <c r="FH10" s="62">
        <f t="shared" ref="FH10:FH37" si="76">FH9</f>
        <v>1.5E-3</v>
      </c>
      <c r="FI10" s="62">
        <f t="shared" ref="FI10:FI37" si="77">FI9</f>
        <v>2.7000000000000001E-3</v>
      </c>
      <c r="FJ10" s="62">
        <f t="shared" ref="FJ10:FJ37" si="78">FJ9</f>
        <v>1.5E-3</v>
      </c>
      <c r="FK10" s="62">
        <f t="shared" ref="FK10:FK37" si="79">FK9</f>
        <v>3.3999999999999998E-3</v>
      </c>
      <c r="FL10" s="62">
        <f t="shared" ref="FL10:FL37" si="80">FL9</f>
        <v>8.9999999999999998E-4</v>
      </c>
      <c r="FM10" s="62">
        <f t="shared" ref="FM10:FM37" si="81">FM9</f>
        <v>2.6999999999999997E-3</v>
      </c>
      <c r="FN10" s="62">
        <f t="shared" ref="FN10:FN37" si="82">FN9</f>
        <v>0</v>
      </c>
      <c r="FO10" s="62">
        <f t="shared" ref="FO10:FO37" si="83">FO9</f>
        <v>2.5000000000000001E-3</v>
      </c>
      <c r="FP10" s="62">
        <f t="shared" ref="FP10:FP37" si="84">FP9</f>
        <v>2.5000000000000001E-3</v>
      </c>
      <c r="FQ10" s="62">
        <f t="shared" ref="FQ10:FQ37" si="85">FQ9</f>
        <v>1.8E-3</v>
      </c>
      <c r="FR10" s="62">
        <f t="shared" ref="FR10:FR37" si="86">FR9</f>
        <v>2E-3</v>
      </c>
      <c r="FS10" s="62">
        <f t="shared" ref="FS10:FS37" si="87">FS9</f>
        <v>1.2999999999999999E-3</v>
      </c>
      <c r="FT10" s="62">
        <f t="shared" ref="FT10:FT37" si="88">FT9</f>
        <v>2.3E-3</v>
      </c>
      <c r="FU10" s="62">
        <f t="shared" ref="FU10:FU37" si="89">FU9</f>
        <v>2E-3</v>
      </c>
      <c r="FV10" s="62">
        <f t="shared" ref="FV10:FV37" si="90">FV9</f>
        <v>2.3999999999999998E-3</v>
      </c>
      <c r="FW10" s="62">
        <f t="shared" ref="FW10:FW37" si="91">FW9</f>
        <v>2.0999999999999999E-3</v>
      </c>
      <c r="FX10" s="62">
        <f t="shared" ref="FX10:FX37" si="92">FX9</f>
        <v>4.0000000000000002E-4</v>
      </c>
      <c r="FY10" s="62">
        <f t="shared" ref="FY10:FY37" si="93">FY9</f>
        <v>2.5000000000000001E-3</v>
      </c>
      <c r="FZ10" s="62">
        <f t="shared" ref="FZ10:FZ37" si="94">FZ9</f>
        <v>5.0000000000000001E-4</v>
      </c>
      <c r="GA10" s="62">
        <f t="shared" ref="GA10:GA37" si="95">GA9</f>
        <v>2.5000000000000001E-3</v>
      </c>
      <c r="GB10" s="62">
        <f t="shared" ref="GB10:GB37" si="96">GB9</f>
        <v>4.0000000000000002E-4</v>
      </c>
      <c r="GC10" s="62">
        <f t="shared" ref="GC10:GC37" si="97">GC9</f>
        <v>1.7499999999999998E-3</v>
      </c>
      <c r="GD10" s="62">
        <f t="shared" ref="GD10:GD37" si="98">GD9</f>
        <v>0</v>
      </c>
      <c r="GE10" s="62">
        <f t="shared" ref="GE10:GE37" si="99">GE9</f>
        <v>1.6999999999999999E-3</v>
      </c>
      <c r="GF10" s="62">
        <f t="shared" ref="GF10:GF37" si="100">GF9</f>
        <v>2.7500000000000002E-4</v>
      </c>
      <c r="GG10" s="62">
        <f t="shared" ref="GG10:GG37" si="101">GG9</f>
        <v>1.719E-3</v>
      </c>
      <c r="GH10" s="62">
        <f t="shared" ref="GH10:GH37" si="102">GH9</f>
        <v>3.0000000000000001E-3</v>
      </c>
      <c r="GI10" s="62">
        <f t="shared" ref="GI10:GI37" si="103">GI9</f>
        <v>2.8999999999999998E-3</v>
      </c>
      <c r="GJ10" s="62">
        <f t="shared" ref="GJ10:GJ37" si="104">GJ9</f>
        <v>2.5000000000000001E-3</v>
      </c>
      <c r="GK10" s="62">
        <f t="shared" ref="GK10:GK37" si="105">GK9</f>
        <v>2.7000000000000001E-3</v>
      </c>
      <c r="GL10" s="62">
        <f t="shared" ref="GL10:GL37" si="106">GL9</f>
        <v>2.5000000000000001E-3</v>
      </c>
      <c r="GM10" s="62">
        <f t="shared" ref="GM10:GM37" si="107">GM9</f>
        <v>2.2000000000000001E-3</v>
      </c>
      <c r="GN10" s="62">
        <f t="shared" ref="GN10:GN37" si="108">GN9</f>
        <v>1.6000000000000001E-3</v>
      </c>
      <c r="GO10" s="62">
        <f t="shared" ref="GO10:GO37" si="109">GO9</f>
        <v>1E-4</v>
      </c>
      <c r="GP10" s="62">
        <f t="shared" ref="GP10:GP37" si="110">GP9</f>
        <v>1E-4</v>
      </c>
      <c r="GQ10" s="62">
        <f t="shared" ref="GQ10:GQ37" si="111">GQ9</f>
        <v>1.1000000000000001E-3</v>
      </c>
      <c r="GR10" s="62">
        <f t="shared" ref="GR10:GR37" si="112">GR9</f>
        <v>2.0000000000000001E-4</v>
      </c>
      <c r="GS10" s="62">
        <f t="shared" ref="GS10:GS37" si="113">GS9</f>
        <v>2.5000000000000001E-3</v>
      </c>
      <c r="GT10" s="62">
        <f t="shared" ref="GT10:GT37" si="114">GT9</f>
        <v>3.3E-3</v>
      </c>
      <c r="GU10" s="62">
        <f t="shared" ref="GU10:GU37" si="115">GU9</f>
        <v>4.0000000000000001E-3</v>
      </c>
      <c r="GV10" s="62">
        <f t="shared" ref="GV10:GV37" si="116">GV9</f>
        <v>3.5000000000000001E-3</v>
      </c>
      <c r="GW10" s="62">
        <f t="shared" ref="GW10:GW37" si="117">GW9</f>
        <v>3.3E-3</v>
      </c>
      <c r="GX10" s="62">
        <f t="shared" ref="GX10:GX37" si="118">GX9</f>
        <v>3.3999999999999998E-3</v>
      </c>
      <c r="GY10" s="62">
        <f t="shared" ref="GY10:GY37" si="119">GY9</f>
        <v>5.0000000000000001E-3</v>
      </c>
      <c r="GZ10" s="62">
        <f t="shared" ref="GZ10:GZ37" si="120">GZ9</f>
        <v>2.5000000000000001E-3</v>
      </c>
      <c r="HA10" s="62">
        <f t="shared" ref="HA10:HA37" si="121">HA9</f>
        <v>2.63E-3</v>
      </c>
      <c r="HB10" s="62">
        <f t="shared" ref="HB10:HB37" si="122">HB9</f>
        <v>6.9999999999999999E-4</v>
      </c>
      <c r="HC10" s="62">
        <f t="shared" ref="HC10:HC37" si="123">HC9</f>
        <v>5.0000000000000001E-4</v>
      </c>
      <c r="HD10" s="62">
        <f t="shared" ref="HD10:HD37" si="124">HD9</f>
        <v>6.9999999999999999E-4</v>
      </c>
      <c r="HE10" s="62">
        <f t="shared" ref="HE10:HE37" si="125">HE9</f>
        <v>4.4999999999999997E-3</v>
      </c>
      <c r="HF10" s="62">
        <f t="shared" ref="HF10:HF37" si="126">HF9</f>
        <v>0</v>
      </c>
      <c r="HG10" s="62">
        <f t="shared" ref="HG10:HG37" si="127">HG9</f>
        <v>6.0000000000000001E-3</v>
      </c>
      <c r="HH10" s="62">
        <f t="shared" ref="HH10:HH37" si="128">HH9</f>
        <v>8.9999999999999998E-4</v>
      </c>
      <c r="HI10" s="62">
        <f t="shared" ref="HI10:HI37" si="129">HI9</f>
        <v>6.0000000000000001E-3</v>
      </c>
    </row>
    <row r="11" spans="1:217" x14ac:dyDescent="0.2">
      <c r="B11" s="72">
        <f t="shared" si="4"/>
        <v>5</v>
      </c>
      <c r="D11" s="62">
        <v>0</v>
      </c>
      <c r="E11" s="73">
        <v>2.3000000000000001E-4</v>
      </c>
      <c r="F11" s="73">
        <v>8.0000000000000004E-4</v>
      </c>
      <c r="G11" s="73">
        <v>4.7000000000000002E-3</v>
      </c>
      <c r="H11" s="73">
        <v>5.9999999999999995E-4</v>
      </c>
      <c r="I11" s="73">
        <v>2.5999999999999999E-3</v>
      </c>
      <c r="J11" s="73">
        <v>3.5999999999999999E-3</v>
      </c>
      <c r="K11" s="73">
        <v>8.0000000000000004E-4</v>
      </c>
      <c r="L11" s="73">
        <v>1E-4</v>
      </c>
      <c r="M11" s="73">
        <v>6.9999999999999999E-4</v>
      </c>
      <c r="N11" s="73">
        <v>1.8E-3</v>
      </c>
      <c r="O11" s="73">
        <v>2.9999999999999997E-4</v>
      </c>
      <c r="P11" s="73">
        <v>1.7499999999999998E-3</v>
      </c>
      <c r="Q11" s="73">
        <v>6.9999999999999999E-4</v>
      </c>
      <c r="R11" s="73">
        <v>2.5000000000000001E-3</v>
      </c>
      <c r="S11" s="73">
        <v>3.3999999999999998E-3</v>
      </c>
      <c r="T11" s="73">
        <v>6.9999999999999999E-4</v>
      </c>
      <c r="U11" s="73">
        <v>2.3999999999999998E-3</v>
      </c>
      <c r="V11" s="73">
        <v>4.1000000000000003E-3</v>
      </c>
      <c r="W11" s="73">
        <v>3.8999999999999998E-3</v>
      </c>
      <c r="X11" s="73">
        <v>4.0000000000000001E-3</v>
      </c>
      <c r="Y11" s="73">
        <v>3.3999999999999998E-3</v>
      </c>
      <c r="Z11" s="73">
        <v>2.3999999999999998E-3</v>
      </c>
      <c r="AA11" s="73">
        <v>8.0000000000000004E-4</v>
      </c>
      <c r="AB11" s="73">
        <v>2.5000000000000001E-3</v>
      </c>
      <c r="AC11" s="73">
        <v>2.3999999999999998E-3</v>
      </c>
      <c r="AD11" s="73">
        <v>2.5000000000000001E-3</v>
      </c>
      <c r="AE11" s="73">
        <v>8.9999999999999998E-4</v>
      </c>
      <c r="AF11" s="73">
        <v>4.7999999999999996E-3</v>
      </c>
      <c r="AG11" s="73">
        <v>2E-3</v>
      </c>
      <c r="AH11" s="73">
        <v>2.8999999999999998E-3</v>
      </c>
      <c r="AI11" s="73">
        <v>5.0000000000000001E-4</v>
      </c>
      <c r="AJ11" s="73">
        <v>2.5000000000000001E-3</v>
      </c>
      <c r="AK11" s="62">
        <v>3.3E-4</v>
      </c>
      <c r="AL11" s="62">
        <v>9.6000000000000002E-4</v>
      </c>
      <c r="AM11" s="62">
        <f t="shared" si="0"/>
        <v>1E-4</v>
      </c>
      <c r="AN11" s="62">
        <f t="shared" si="0"/>
        <v>0</v>
      </c>
      <c r="AO11" s="62">
        <f t="shared" si="0"/>
        <v>2.5000000000000001E-3</v>
      </c>
      <c r="AP11" s="62">
        <f t="shared" si="5"/>
        <v>1.6999999999999999E-3</v>
      </c>
      <c r="AQ11" s="62">
        <f t="shared" si="5"/>
        <v>1.8E-3</v>
      </c>
      <c r="AR11" s="62">
        <v>3.5E-4</v>
      </c>
      <c r="AS11" s="62">
        <v>2.5999999999999998E-4</v>
      </c>
      <c r="AT11" s="62">
        <v>3.5E-4</v>
      </c>
      <c r="AU11" s="62">
        <v>8.7000000000000001E-4</v>
      </c>
      <c r="AV11" s="62">
        <v>1.47E-3</v>
      </c>
      <c r="AW11" s="69">
        <f>0.004%+0.01%</f>
        <v>1.4000000000000001E-4</v>
      </c>
      <c r="AX11" s="69">
        <f t="shared" ref="AX11:AZ11" si="130">0.004%+0.01%</f>
        <v>1.4000000000000001E-4</v>
      </c>
      <c r="AY11" s="69">
        <f t="shared" si="130"/>
        <v>1.4000000000000001E-4</v>
      </c>
      <c r="AZ11" s="69">
        <f t="shared" si="130"/>
        <v>1.4000000000000001E-4</v>
      </c>
      <c r="BA11" s="62">
        <v>4.0000000000000002E-4</v>
      </c>
      <c r="BB11" s="62">
        <v>4.0000000000000002E-4</v>
      </c>
      <c r="BC11" s="62">
        <v>4.0000000000000002E-4</v>
      </c>
      <c r="BD11" s="62">
        <v>4.0000000000000002E-4</v>
      </c>
      <c r="BE11" s="62">
        <v>4.0000000000000002E-4</v>
      </c>
      <c r="BF11" s="62">
        <v>4.0000000000000002E-4</v>
      </c>
      <c r="BG11" s="62">
        <v>4.0000000000000002E-4</v>
      </c>
      <c r="BH11" s="62">
        <v>4.0000000000000002E-4</v>
      </c>
      <c r="BI11" s="62">
        <v>2.0000000000000001E-4</v>
      </c>
      <c r="BJ11" s="62">
        <v>2.0000000000000001E-4</v>
      </c>
      <c r="BK11" s="62">
        <v>2.0000000000000001E-4</v>
      </c>
      <c r="BL11" s="62">
        <v>2.0000000000000001E-4</v>
      </c>
      <c r="BM11" s="62">
        <v>2.0000000000000001E-4</v>
      </c>
      <c r="BN11" s="62">
        <v>2.0000000000000001E-4</v>
      </c>
      <c r="BO11" s="62">
        <v>2.0000000000000001E-4</v>
      </c>
      <c r="BP11" s="62">
        <v>2.0000000000000001E-4</v>
      </c>
      <c r="BQ11" s="62">
        <v>1E-4</v>
      </c>
      <c r="BR11" s="62">
        <v>1E-4</v>
      </c>
      <c r="BS11" s="62">
        <v>1E-4</v>
      </c>
      <c r="BT11" s="62">
        <v>1E-4</v>
      </c>
      <c r="BU11" s="62">
        <v>2.9999999999999997E-4</v>
      </c>
      <c r="BV11" s="62">
        <v>2.9999999999999997E-4</v>
      </c>
      <c r="BW11" s="62">
        <v>2.9999999999999997E-4</v>
      </c>
      <c r="BX11" s="62">
        <v>2.9999999999999997E-4</v>
      </c>
      <c r="BY11" s="62">
        <v>0</v>
      </c>
      <c r="BZ11" s="62">
        <v>0</v>
      </c>
      <c r="CA11" s="62">
        <v>0</v>
      </c>
      <c r="CB11" s="62">
        <v>0</v>
      </c>
      <c r="CC11" s="69">
        <f t="shared" si="6"/>
        <v>2.5000000000000001E-4</v>
      </c>
      <c r="CD11" s="69">
        <f t="shared" si="7"/>
        <v>2.5000000000000001E-4</v>
      </c>
      <c r="CE11" s="69">
        <f t="shared" si="8"/>
        <v>2.5000000000000001E-4</v>
      </c>
      <c r="CF11" s="69">
        <f t="shared" si="9"/>
        <v>2.5000000000000001E-4</v>
      </c>
      <c r="CG11" s="69">
        <f t="shared" si="10"/>
        <v>5.0000000000000001E-4</v>
      </c>
      <c r="CH11" s="69">
        <f t="shared" si="11"/>
        <v>5.0000000000000001E-4</v>
      </c>
      <c r="CI11" s="69">
        <f t="shared" si="12"/>
        <v>5.0000000000000001E-4</v>
      </c>
      <c r="CJ11" s="69">
        <f t="shared" si="13"/>
        <v>5.0000000000000001E-4</v>
      </c>
      <c r="CK11" s="69">
        <f t="shared" si="14"/>
        <v>1E-3</v>
      </c>
      <c r="CL11" s="69">
        <f t="shared" si="15"/>
        <v>1E-3</v>
      </c>
      <c r="CM11" s="69">
        <f t="shared" si="16"/>
        <v>1E-3</v>
      </c>
      <c r="CN11" s="69">
        <f t="shared" si="17"/>
        <v>1E-3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2">
        <f t="shared" si="18"/>
        <v>1.5E-3</v>
      </c>
      <c r="DB11" s="62">
        <f t="shared" si="19"/>
        <v>2.5000000000000001E-3</v>
      </c>
      <c r="DC11" s="62">
        <v>3.2000000000000002E-3</v>
      </c>
      <c r="DD11" s="62">
        <f t="shared" si="20"/>
        <v>2.0999999999999999E-3</v>
      </c>
      <c r="DE11" s="62">
        <f t="shared" si="21"/>
        <v>2E-3</v>
      </c>
      <c r="DF11" s="62">
        <f t="shared" si="22"/>
        <v>2.2000000000000001E-3</v>
      </c>
      <c r="DG11" s="62">
        <f t="shared" si="23"/>
        <v>2.3E-3</v>
      </c>
      <c r="DH11" s="62">
        <f t="shared" si="24"/>
        <v>2.5000000000000001E-3</v>
      </c>
      <c r="DI11" s="62">
        <f t="shared" si="25"/>
        <v>2.5999999999999999E-3</v>
      </c>
      <c r="DJ11" s="62">
        <f t="shared" si="26"/>
        <v>3.2000000000000002E-3</v>
      </c>
      <c r="DK11" s="62">
        <f t="shared" si="27"/>
        <v>2.9999999999999997E-4</v>
      </c>
      <c r="DL11" s="62">
        <f t="shared" si="28"/>
        <v>2.5000000000000001E-3</v>
      </c>
      <c r="DM11" s="62">
        <f t="shared" si="29"/>
        <v>5.0000000000000001E-4</v>
      </c>
      <c r="DN11" s="62">
        <f t="shared" si="30"/>
        <v>1.1999999999999999E-3</v>
      </c>
      <c r="DO11" s="62">
        <f t="shared" si="31"/>
        <v>1.9E-3</v>
      </c>
      <c r="DP11" s="62">
        <f t="shared" si="32"/>
        <v>1E-3</v>
      </c>
      <c r="DQ11" s="62">
        <f t="shared" si="33"/>
        <v>2.0999999999999999E-3</v>
      </c>
      <c r="DR11" s="62">
        <f t="shared" si="34"/>
        <v>8.9999999999999998E-4</v>
      </c>
      <c r="DS11" s="62">
        <f t="shared" si="35"/>
        <v>2.0999999999999999E-3</v>
      </c>
      <c r="DT11" s="62">
        <f t="shared" si="36"/>
        <v>1.4E-3</v>
      </c>
      <c r="DU11" s="62">
        <f t="shared" si="37"/>
        <v>1.6000000000000001E-3</v>
      </c>
      <c r="DV11" s="62">
        <f t="shared" si="38"/>
        <v>2.3999999999999998E-3</v>
      </c>
      <c r="DW11" s="62">
        <f t="shared" si="39"/>
        <v>5.0000000000000001E-3</v>
      </c>
      <c r="DX11" s="62">
        <f t="shared" si="40"/>
        <v>2E-3</v>
      </c>
      <c r="DY11" s="62">
        <f t="shared" si="41"/>
        <v>0</v>
      </c>
      <c r="DZ11" s="62">
        <f t="shared" si="42"/>
        <v>1.5E-3</v>
      </c>
      <c r="EA11" s="62">
        <f t="shared" si="43"/>
        <v>2.0000000000000001E-4</v>
      </c>
      <c r="EB11" s="62">
        <f t="shared" si="44"/>
        <v>1.5E-3</v>
      </c>
      <c r="EC11" s="62">
        <f t="shared" si="45"/>
        <v>2.7000000000000001E-3</v>
      </c>
      <c r="ED11" s="62">
        <f t="shared" si="46"/>
        <v>2.5000000000000001E-3</v>
      </c>
      <c r="EE11" s="62">
        <f t="shared" si="47"/>
        <v>0</v>
      </c>
      <c r="EF11" s="62">
        <f t="shared" si="48"/>
        <v>2.5000000000000001E-3</v>
      </c>
      <c r="EG11" s="62">
        <f t="shared" si="49"/>
        <v>1.1000000000000001E-3</v>
      </c>
      <c r="EH11" s="62">
        <f t="shared" si="50"/>
        <v>2.5000000000000001E-3</v>
      </c>
      <c r="EI11" s="62">
        <f t="shared" si="51"/>
        <v>8.0000000000000004E-4</v>
      </c>
      <c r="EJ11" s="62">
        <f t="shared" si="52"/>
        <v>2.5000000000000001E-3</v>
      </c>
      <c r="EK11" s="62">
        <f t="shared" si="53"/>
        <v>7.5000000000000002E-4</v>
      </c>
      <c r="EL11" s="62">
        <f t="shared" si="54"/>
        <v>2.5000000000000001E-3</v>
      </c>
      <c r="EM11" s="62">
        <f t="shared" si="55"/>
        <v>3.2000000000000002E-3</v>
      </c>
      <c r="EN11" s="62">
        <f t="shared" si="56"/>
        <v>2.3999999999999998E-3</v>
      </c>
      <c r="EO11" s="62">
        <f t="shared" si="57"/>
        <v>0</v>
      </c>
      <c r="EP11" s="62">
        <f t="shared" si="58"/>
        <v>2E-3</v>
      </c>
      <c r="EQ11" s="62">
        <f t="shared" si="59"/>
        <v>1.1000000000000001E-3</v>
      </c>
      <c r="ER11" s="62">
        <f t="shared" si="60"/>
        <v>2.2000000000000001E-3</v>
      </c>
      <c r="ES11" s="62">
        <f t="shared" si="61"/>
        <v>1E-3</v>
      </c>
      <c r="ET11" s="62">
        <f t="shared" si="62"/>
        <v>4.0000000000000001E-3</v>
      </c>
      <c r="EU11" s="62">
        <f t="shared" si="63"/>
        <v>3.7000000000000002E-3</v>
      </c>
      <c r="EV11" s="62">
        <f t="shared" si="64"/>
        <v>4.7999999999999996E-3</v>
      </c>
      <c r="EW11" s="62">
        <f t="shared" si="65"/>
        <v>0</v>
      </c>
      <c r="EX11" s="62">
        <f t="shared" si="66"/>
        <v>2.5000000000000001E-3</v>
      </c>
      <c r="EY11" s="62">
        <f t="shared" si="67"/>
        <v>2.5000000000000001E-3</v>
      </c>
      <c r="EZ11" s="62">
        <f t="shared" si="68"/>
        <v>3.8999999999999998E-3</v>
      </c>
      <c r="FA11" s="62">
        <f t="shared" si="69"/>
        <v>6.1999999999999998E-3</v>
      </c>
      <c r="FB11" s="62">
        <f t="shared" si="70"/>
        <v>5.1000000000000004E-3</v>
      </c>
      <c r="FC11" s="62">
        <f t="shared" si="71"/>
        <v>2.8999999999999998E-3</v>
      </c>
      <c r="FD11" s="62">
        <f t="shared" si="72"/>
        <v>1.5E-3</v>
      </c>
      <c r="FE11" s="62">
        <f t="shared" si="73"/>
        <v>2.8E-3</v>
      </c>
      <c r="FF11" s="62">
        <f t="shared" si="74"/>
        <v>1.5E-3</v>
      </c>
      <c r="FG11" s="62">
        <f t="shared" si="75"/>
        <v>2.5999999999999999E-3</v>
      </c>
      <c r="FH11" s="62">
        <f t="shared" si="76"/>
        <v>1.5E-3</v>
      </c>
      <c r="FI11" s="62">
        <f t="shared" si="77"/>
        <v>2.7000000000000001E-3</v>
      </c>
      <c r="FJ11" s="62">
        <f t="shared" si="78"/>
        <v>1.5E-3</v>
      </c>
      <c r="FK11" s="62">
        <f t="shared" si="79"/>
        <v>3.3999999999999998E-3</v>
      </c>
      <c r="FL11" s="62">
        <f t="shared" si="80"/>
        <v>8.9999999999999998E-4</v>
      </c>
      <c r="FM11" s="62">
        <f t="shared" si="81"/>
        <v>2.6999999999999997E-3</v>
      </c>
      <c r="FN11" s="62">
        <f t="shared" si="82"/>
        <v>0</v>
      </c>
      <c r="FO11" s="62">
        <f t="shared" si="83"/>
        <v>2.5000000000000001E-3</v>
      </c>
      <c r="FP11" s="62">
        <f t="shared" si="84"/>
        <v>2.5000000000000001E-3</v>
      </c>
      <c r="FQ11" s="62">
        <f t="shared" si="85"/>
        <v>1.8E-3</v>
      </c>
      <c r="FR11" s="62">
        <f t="shared" si="86"/>
        <v>2E-3</v>
      </c>
      <c r="FS11" s="62">
        <f t="shared" si="87"/>
        <v>1.2999999999999999E-3</v>
      </c>
      <c r="FT11" s="62">
        <f t="shared" si="88"/>
        <v>2.3E-3</v>
      </c>
      <c r="FU11" s="62">
        <f t="shared" si="89"/>
        <v>2E-3</v>
      </c>
      <c r="FV11" s="62">
        <f t="shared" si="90"/>
        <v>2.3999999999999998E-3</v>
      </c>
      <c r="FW11" s="62">
        <f t="shared" si="91"/>
        <v>2.0999999999999999E-3</v>
      </c>
      <c r="FX11" s="62">
        <f t="shared" si="92"/>
        <v>4.0000000000000002E-4</v>
      </c>
      <c r="FY11" s="62">
        <f t="shared" si="93"/>
        <v>2.5000000000000001E-3</v>
      </c>
      <c r="FZ11" s="62">
        <f t="shared" si="94"/>
        <v>5.0000000000000001E-4</v>
      </c>
      <c r="GA11" s="62">
        <f t="shared" si="95"/>
        <v>2.5000000000000001E-3</v>
      </c>
      <c r="GB11" s="62">
        <f t="shared" si="96"/>
        <v>4.0000000000000002E-4</v>
      </c>
      <c r="GC11" s="62">
        <f t="shared" si="97"/>
        <v>1.7499999999999998E-3</v>
      </c>
      <c r="GD11" s="62">
        <f t="shared" si="98"/>
        <v>0</v>
      </c>
      <c r="GE11" s="62">
        <f t="shared" si="99"/>
        <v>1.6999999999999999E-3</v>
      </c>
      <c r="GF11" s="62">
        <f t="shared" si="100"/>
        <v>2.7500000000000002E-4</v>
      </c>
      <c r="GG11" s="62">
        <f t="shared" si="101"/>
        <v>1.719E-3</v>
      </c>
      <c r="GH11" s="62">
        <f t="shared" si="102"/>
        <v>3.0000000000000001E-3</v>
      </c>
      <c r="GI11" s="62">
        <f t="shared" si="103"/>
        <v>2.8999999999999998E-3</v>
      </c>
      <c r="GJ11" s="62">
        <f t="shared" si="104"/>
        <v>2.5000000000000001E-3</v>
      </c>
      <c r="GK11" s="62">
        <f t="shared" si="105"/>
        <v>2.7000000000000001E-3</v>
      </c>
      <c r="GL11" s="62">
        <f t="shared" si="106"/>
        <v>2.5000000000000001E-3</v>
      </c>
      <c r="GM11" s="62">
        <f t="shared" si="107"/>
        <v>2.2000000000000001E-3</v>
      </c>
      <c r="GN11" s="62">
        <f t="shared" si="108"/>
        <v>1.6000000000000001E-3</v>
      </c>
      <c r="GO11" s="62">
        <f t="shared" si="109"/>
        <v>1E-4</v>
      </c>
      <c r="GP11" s="62">
        <f t="shared" si="110"/>
        <v>1E-4</v>
      </c>
      <c r="GQ11" s="62">
        <f t="shared" si="111"/>
        <v>1.1000000000000001E-3</v>
      </c>
      <c r="GR11" s="62">
        <f t="shared" si="112"/>
        <v>2.0000000000000001E-4</v>
      </c>
      <c r="GS11" s="62">
        <f t="shared" si="113"/>
        <v>2.5000000000000001E-3</v>
      </c>
      <c r="GT11" s="62">
        <f t="shared" si="114"/>
        <v>3.3E-3</v>
      </c>
      <c r="GU11" s="62">
        <f t="shared" si="115"/>
        <v>4.0000000000000001E-3</v>
      </c>
      <c r="GV11" s="62">
        <f t="shared" si="116"/>
        <v>3.5000000000000001E-3</v>
      </c>
      <c r="GW11" s="62">
        <f t="shared" si="117"/>
        <v>3.3E-3</v>
      </c>
      <c r="GX11" s="62">
        <f t="shared" si="118"/>
        <v>3.3999999999999998E-3</v>
      </c>
      <c r="GY11" s="62">
        <f t="shared" si="119"/>
        <v>5.0000000000000001E-3</v>
      </c>
      <c r="GZ11" s="62">
        <f t="shared" si="120"/>
        <v>2.5000000000000001E-3</v>
      </c>
      <c r="HA11" s="62">
        <f t="shared" si="121"/>
        <v>2.63E-3</v>
      </c>
      <c r="HB11" s="62">
        <f t="shared" si="122"/>
        <v>6.9999999999999999E-4</v>
      </c>
      <c r="HC11" s="62">
        <f t="shared" si="123"/>
        <v>5.0000000000000001E-4</v>
      </c>
      <c r="HD11" s="62">
        <f t="shared" si="124"/>
        <v>6.9999999999999999E-4</v>
      </c>
      <c r="HE11" s="62">
        <f t="shared" si="125"/>
        <v>4.4999999999999997E-3</v>
      </c>
      <c r="HF11" s="62">
        <f t="shared" si="126"/>
        <v>0</v>
      </c>
      <c r="HG11" s="62">
        <f t="shared" si="127"/>
        <v>6.0000000000000001E-3</v>
      </c>
      <c r="HH11" s="62">
        <f t="shared" si="128"/>
        <v>8.9999999999999998E-4</v>
      </c>
      <c r="HI11" s="62">
        <f t="shared" si="129"/>
        <v>6.0000000000000001E-3</v>
      </c>
    </row>
    <row r="12" spans="1:217" x14ac:dyDescent="0.2">
      <c r="B12" s="72">
        <f t="shared" si="4"/>
        <v>6</v>
      </c>
      <c r="D12" s="62">
        <v>0</v>
      </c>
      <c r="E12" s="73">
        <v>2.3000000000000001E-4</v>
      </c>
      <c r="F12" s="73">
        <v>8.0000000000000004E-4</v>
      </c>
      <c r="G12" s="73">
        <v>4.7000000000000002E-3</v>
      </c>
      <c r="H12" s="73">
        <v>5.9999999999999995E-4</v>
      </c>
      <c r="I12" s="73">
        <v>2.5999999999999999E-3</v>
      </c>
      <c r="J12" s="73">
        <v>3.5999999999999999E-3</v>
      </c>
      <c r="K12" s="73">
        <v>8.0000000000000004E-4</v>
      </c>
      <c r="L12" s="73">
        <v>1E-4</v>
      </c>
      <c r="M12" s="73">
        <v>6.9999999999999999E-4</v>
      </c>
      <c r="N12" s="73">
        <v>1.8E-3</v>
      </c>
      <c r="O12" s="73">
        <v>2.9999999999999997E-4</v>
      </c>
      <c r="P12" s="73">
        <v>1.7499999999999998E-3</v>
      </c>
      <c r="Q12" s="73">
        <v>6.9999999999999999E-4</v>
      </c>
      <c r="R12" s="73">
        <v>2.5000000000000001E-3</v>
      </c>
      <c r="S12" s="73">
        <v>3.3999999999999998E-3</v>
      </c>
      <c r="T12" s="73">
        <v>6.9999999999999999E-4</v>
      </c>
      <c r="U12" s="73">
        <v>2.3999999999999998E-3</v>
      </c>
      <c r="V12" s="73">
        <v>4.1000000000000003E-3</v>
      </c>
      <c r="W12" s="73">
        <v>3.8999999999999998E-3</v>
      </c>
      <c r="X12" s="73">
        <v>4.0000000000000001E-3</v>
      </c>
      <c r="Y12" s="73">
        <v>3.3999999999999998E-3</v>
      </c>
      <c r="Z12" s="73">
        <v>2.3999999999999998E-3</v>
      </c>
      <c r="AA12" s="73">
        <v>8.0000000000000004E-4</v>
      </c>
      <c r="AB12" s="73">
        <v>2.5000000000000001E-3</v>
      </c>
      <c r="AC12" s="73">
        <v>2.3999999999999998E-3</v>
      </c>
      <c r="AD12" s="73">
        <v>2.5000000000000001E-3</v>
      </c>
      <c r="AE12" s="73">
        <v>8.9999999999999998E-4</v>
      </c>
      <c r="AF12" s="73">
        <v>4.7999999999999996E-3</v>
      </c>
      <c r="AG12" s="73">
        <v>2E-3</v>
      </c>
      <c r="AH12" s="73">
        <v>2.8999999999999998E-3</v>
      </c>
      <c r="AI12" s="73">
        <v>5.0000000000000001E-4</v>
      </c>
      <c r="AJ12" s="73">
        <v>2.5000000000000001E-3</v>
      </c>
      <c r="AK12" s="62">
        <v>3.3E-4</v>
      </c>
      <c r="AL12" s="62">
        <v>9.6000000000000002E-4</v>
      </c>
      <c r="AM12" s="62">
        <f t="shared" si="0"/>
        <v>1E-4</v>
      </c>
      <c r="AN12" s="62">
        <f t="shared" si="0"/>
        <v>0</v>
      </c>
      <c r="AO12" s="62">
        <f t="shared" si="0"/>
        <v>2.5000000000000001E-3</v>
      </c>
      <c r="AP12" s="62">
        <f t="shared" si="5"/>
        <v>1.6999999999999999E-3</v>
      </c>
      <c r="AQ12" s="62">
        <f t="shared" si="5"/>
        <v>1.8E-3</v>
      </c>
      <c r="AR12" s="62">
        <v>3.5E-4</v>
      </c>
      <c r="AS12" s="62">
        <v>2.5999999999999998E-4</v>
      </c>
      <c r="AT12" s="62">
        <v>3.5E-4</v>
      </c>
      <c r="AU12" s="62">
        <v>8.7000000000000001E-4</v>
      </c>
      <c r="AV12" s="62">
        <v>1.47E-3</v>
      </c>
      <c r="AW12" s="69">
        <f>AW11</f>
        <v>1.4000000000000001E-4</v>
      </c>
      <c r="AX12" s="69">
        <f>AX11</f>
        <v>1.4000000000000001E-4</v>
      </c>
      <c r="AY12" s="69">
        <f>AY11</f>
        <v>1.4000000000000001E-4</v>
      </c>
      <c r="AZ12" s="69">
        <f>AZ11</f>
        <v>1.4000000000000001E-4</v>
      </c>
      <c r="BA12" s="69">
        <v>6.6E-4</v>
      </c>
      <c r="BB12" s="69">
        <v>6.6E-4</v>
      </c>
      <c r="BC12" s="69">
        <v>6.6E-4</v>
      </c>
      <c r="BD12" s="69">
        <v>6.6E-4</v>
      </c>
      <c r="BE12" s="62">
        <v>4.0000000000000002E-4</v>
      </c>
      <c r="BF12" s="62">
        <v>4.0000000000000002E-4</v>
      </c>
      <c r="BG12" s="62">
        <v>4.0000000000000002E-4</v>
      </c>
      <c r="BH12" s="62">
        <v>4.0000000000000002E-4</v>
      </c>
      <c r="BI12" s="69">
        <f>0.017%+0.02%</f>
        <v>3.6999999999999999E-4</v>
      </c>
      <c r="BJ12" s="69">
        <f>0.017%+0.02%</f>
        <v>3.6999999999999999E-4</v>
      </c>
      <c r="BK12" s="69">
        <f>0.017%+0.02%</f>
        <v>3.6999999999999999E-4</v>
      </c>
      <c r="BL12" s="69">
        <f>0.017%+0.02%</f>
        <v>3.6999999999999999E-4</v>
      </c>
      <c r="BM12" s="69">
        <f>0.013%+0.02%</f>
        <v>3.3E-4</v>
      </c>
      <c r="BN12" s="69">
        <f>0.013%+0.02%</f>
        <v>3.3E-4</v>
      </c>
      <c r="BO12" s="69">
        <f>0.013%+0.02%</f>
        <v>3.3E-4</v>
      </c>
      <c r="BP12" s="69">
        <f>0.013%+0.02%</f>
        <v>3.3E-4</v>
      </c>
      <c r="BQ12" s="62">
        <v>1E-4</v>
      </c>
      <c r="BR12" s="62">
        <v>1E-4</v>
      </c>
      <c r="BS12" s="62">
        <v>1E-4</v>
      </c>
      <c r="BT12" s="62">
        <v>1E-4</v>
      </c>
      <c r="BU12" s="62">
        <v>2.9999999999999997E-4</v>
      </c>
      <c r="BV12" s="62">
        <v>2.9999999999999997E-4</v>
      </c>
      <c r="BW12" s="62">
        <v>2.9999999999999997E-4</v>
      </c>
      <c r="BX12" s="62">
        <v>2.9999999999999997E-4</v>
      </c>
      <c r="BY12" s="62">
        <v>0</v>
      </c>
      <c r="BZ12" s="62">
        <v>0</v>
      </c>
      <c r="CA12" s="62">
        <v>0</v>
      </c>
      <c r="CB12" s="62">
        <v>0</v>
      </c>
      <c r="CC12" s="69">
        <f t="shared" si="6"/>
        <v>2.5000000000000001E-4</v>
      </c>
      <c r="CD12" s="69">
        <f t="shared" si="7"/>
        <v>2.5000000000000001E-4</v>
      </c>
      <c r="CE12" s="69">
        <f t="shared" si="8"/>
        <v>2.5000000000000001E-4</v>
      </c>
      <c r="CF12" s="69">
        <f t="shared" si="9"/>
        <v>2.5000000000000001E-4</v>
      </c>
      <c r="CG12" s="69">
        <f t="shared" si="10"/>
        <v>5.0000000000000001E-4</v>
      </c>
      <c r="CH12" s="69">
        <f t="shared" si="11"/>
        <v>5.0000000000000001E-4</v>
      </c>
      <c r="CI12" s="69">
        <f t="shared" si="12"/>
        <v>5.0000000000000001E-4</v>
      </c>
      <c r="CJ12" s="69">
        <f t="shared" si="13"/>
        <v>5.0000000000000001E-4</v>
      </c>
      <c r="CK12" s="69">
        <f t="shared" si="14"/>
        <v>1E-3</v>
      </c>
      <c r="CL12" s="69">
        <f t="shared" si="15"/>
        <v>1E-3</v>
      </c>
      <c r="CM12" s="69">
        <f t="shared" si="16"/>
        <v>1E-3</v>
      </c>
      <c r="CN12" s="69">
        <f t="shared" si="17"/>
        <v>1E-3</v>
      </c>
      <c r="CO12" s="69">
        <v>0</v>
      </c>
      <c r="CP12" s="69">
        <v>0</v>
      </c>
      <c r="CQ12" s="69">
        <v>0</v>
      </c>
      <c r="CR12" s="69">
        <v>0</v>
      </c>
      <c r="CS12" s="69">
        <v>5.0000000000000001E-3</v>
      </c>
      <c r="CT12" s="69">
        <v>5.0000000000000001E-3</v>
      </c>
      <c r="CU12" s="69">
        <v>2.5000000000000001E-3</v>
      </c>
      <c r="CV12" s="69">
        <v>2.5000000000000001E-3</v>
      </c>
      <c r="CW12" s="69">
        <v>0</v>
      </c>
      <c r="CX12" s="69">
        <v>0</v>
      </c>
      <c r="CY12" s="69">
        <v>0</v>
      </c>
      <c r="CZ12" s="69">
        <v>0</v>
      </c>
      <c r="DA12" s="62">
        <f t="shared" si="18"/>
        <v>1.5E-3</v>
      </c>
      <c r="DB12" s="62">
        <f t="shared" si="19"/>
        <v>2.5000000000000001E-3</v>
      </c>
      <c r="DC12" s="62">
        <v>3.2000000000000002E-3</v>
      </c>
      <c r="DD12" s="62">
        <f t="shared" si="20"/>
        <v>2.0999999999999999E-3</v>
      </c>
      <c r="DE12" s="62">
        <f t="shared" si="21"/>
        <v>2E-3</v>
      </c>
      <c r="DF12" s="62">
        <f t="shared" si="22"/>
        <v>2.2000000000000001E-3</v>
      </c>
      <c r="DG12" s="62">
        <f t="shared" si="23"/>
        <v>2.3E-3</v>
      </c>
      <c r="DH12" s="62">
        <f t="shared" si="24"/>
        <v>2.5000000000000001E-3</v>
      </c>
      <c r="DI12" s="62">
        <f t="shared" si="25"/>
        <v>2.5999999999999999E-3</v>
      </c>
      <c r="DJ12" s="62">
        <f t="shared" si="26"/>
        <v>3.2000000000000002E-3</v>
      </c>
      <c r="DK12" s="62">
        <f t="shared" si="27"/>
        <v>2.9999999999999997E-4</v>
      </c>
      <c r="DL12" s="62">
        <f t="shared" si="28"/>
        <v>2.5000000000000001E-3</v>
      </c>
      <c r="DM12" s="62">
        <f t="shared" si="29"/>
        <v>5.0000000000000001E-4</v>
      </c>
      <c r="DN12" s="62">
        <f t="shared" si="30"/>
        <v>1.1999999999999999E-3</v>
      </c>
      <c r="DO12" s="62">
        <f t="shared" si="31"/>
        <v>1.9E-3</v>
      </c>
      <c r="DP12" s="62">
        <f t="shared" si="32"/>
        <v>1E-3</v>
      </c>
      <c r="DQ12" s="62">
        <f t="shared" si="33"/>
        <v>2.0999999999999999E-3</v>
      </c>
      <c r="DR12" s="62">
        <f t="shared" si="34"/>
        <v>8.9999999999999998E-4</v>
      </c>
      <c r="DS12" s="62">
        <f t="shared" si="35"/>
        <v>2.0999999999999999E-3</v>
      </c>
      <c r="DT12" s="62">
        <f t="shared" si="36"/>
        <v>1.4E-3</v>
      </c>
      <c r="DU12" s="62">
        <f t="shared" si="37"/>
        <v>1.6000000000000001E-3</v>
      </c>
      <c r="DV12" s="62">
        <f t="shared" si="38"/>
        <v>2.3999999999999998E-3</v>
      </c>
      <c r="DW12" s="62">
        <f t="shared" si="39"/>
        <v>5.0000000000000001E-3</v>
      </c>
      <c r="DX12" s="62">
        <f t="shared" si="40"/>
        <v>2E-3</v>
      </c>
      <c r="DY12" s="62">
        <f t="shared" si="41"/>
        <v>0</v>
      </c>
      <c r="DZ12" s="62">
        <f t="shared" si="42"/>
        <v>1.5E-3</v>
      </c>
      <c r="EA12" s="62">
        <f t="shared" si="43"/>
        <v>2.0000000000000001E-4</v>
      </c>
      <c r="EB12" s="62">
        <f t="shared" si="44"/>
        <v>1.5E-3</v>
      </c>
      <c r="EC12" s="62">
        <f t="shared" si="45"/>
        <v>2.7000000000000001E-3</v>
      </c>
      <c r="ED12" s="62">
        <f t="shared" si="46"/>
        <v>2.5000000000000001E-3</v>
      </c>
      <c r="EE12" s="62">
        <f t="shared" si="47"/>
        <v>0</v>
      </c>
      <c r="EF12" s="62">
        <f t="shared" si="48"/>
        <v>2.5000000000000001E-3</v>
      </c>
      <c r="EG12" s="62">
        <f t="shared" si="49"/>
        <v>1.1000000000000001E-3</v>
      </c>
      <c r="EH12" s="62">
        <f t="shared" si="50"/>
        <v>2.5000000000000001E-3</v>
      </c>
      <c r="EI12" s="62">
        <f t="shared" si="51"/>
        <v>8.0000000000000004E-4</v>
      </c>
      <c r="EJ12" s="62">
        <f t="shared" si="52"/>
        <v>2.5000000000000001E-3</v>
      </c>
      <c r="EK12" s="62">
        <f t="shared" si="53"/>
        <v>7.5000000000000002E-4</v>
      </c>
      <c r="EL12" s="62">
        <f t="shared" si="54"/>
        <v>2.5000000000000001E-3</v>
      </c>
      <c r="EM12" s="62">
        <f t="shared" si="55"/>
        <v>3.2000000000000002E-3</v>
      </c>
      <c r="EN12" s="62">
        <f t="shared" si="56"/>
        <v>2.3999999999999998E-3</v>
      </c>
      <c r="EO12" s="62">
        <f t="shared" si="57"/>
        <v>0</v>
      </c>
      <c r="EP12" s="62">
        <f t="shared" si="58"/>
        <v>2E-3</v>
      </c>
      <c r="EQ12" s="62">
        <f t="shared" si="59"/>
        <v>1.1000000000000001E-3</v>
      </c>
      <c r="ER12" s="62">
        <f t="shared" si="60"/>
        <v>2.2000000000000001E-3</v>
      </c>
      <c r="ES12" s="62">
        <f t="shared" si="61"/>
        <v>1E-3</v>
      </c>
      <c r="ET12" s="62">
        <f t="shared" si="62"/>
        <v>4.0000000000000001E-3</v>
      </c>
      <c r="EU12" s="62">
        <f t="shared" si="63"/>
        <v>3.7000000000000002E-3</v>
      </c>
      <c r="EV12" s="62">
        <f t="shared" si="64"/>
        <v>4.7999999999999996E-3</v>
      </c>
      <c r="EW12" s="62">
        <f t="shared" si="65"/>
        <v>0</v>
      </c>
      <c r="EX12" s="62">
        <f t="shared" si="66"/>
        <v>2.5000000000000001E-3</v>
      </c>
      <c r="EY12" s="62">
        <f t="shared" si="67"/>
        <v>2.5000000000000001E-3</v>
      </c>
      <c r="EZ12" s="62">
        <f t="shared" si="68"/>
        <v>3.8999999999999998E-3</v>
      </c>
      <c r="FA12" s="62">
        <f t="shared" si="69"/>
        <v>6.1999999999999998E-3</v>
      </c>
      <c r="FB12" s="62">
        <f t="shared" si="70"/>
        <v>5.1000000000000004E-3</v>
      </c>
      <c r="FC12" s="62">
        <f t="shared" si="71"/>
        <v>2.8999999999999998E-3</v>
      </c>
      <c r="FD12" s="62">
        <f t="shared" si="72"/>
        <v>1.5E-3</v>
      </c>
      <c r="FE12" s="62">
        <f t="shared" si="73"/>
        <v>2.8E-3</v>
      </c>
      <c r="FF12" s="62">
        <f t="shared" si="74"/>
        <v>1.5E-3</v>
      </c>
      <c r="FG12" s="62">
        <f t="shared" si="75"/>
        <v>2.5999999999999999E-3</v>
      </c>
      <c r="FH12" s="62">
        <f t="shared" si="76"/>
        <v>1.5E-3</v>
      </c>
      <c r="FI12" s="62">
        <f t="shared" si="77"/>
        <v>2.7000000000000001E-3</v>
      </c>
      <c r="FJ12" s="62">
        <f t="shared" si="78"/>
        <v>1.5E-3</v>
      </c>
      <c r="FK12" s="62">
        <f t="shared" si="79"/>
        <v>3.3999999999999998E-3</v>
      </c>
      <c r="FL12" s="62">
        <f t="shared" si="80"/>
        <v>8.9999999999999998E-4</v>
      </c>
      <c r="FM12" s="62">
        <f t="shared" si="81"/>
        <v>2.6999999999999997E-3</v>
      </c>
      <c r="FN12" s="62">
        <f t="shared" si="82"/>
        <v>0</v>
      </c>
      <c r="FO12" s="62">
        <f t="shared" si="83"/>
        <v>2.5000000000000001E-3</v>
      </c>
      <c r="FP12" s="62">
        <f t="shared" si="84"/>
        <v>2.5000000000000001E-3</v>
      </c>
      <c r="FQ12" s="62">
        <f t="shared" si="85"/>
        <v>1.8E-3</v>
      </c>
      <c r="FR12" s="62">
        <f t="shared" si="86"/>
        <v>2E-3</v>
      </c>
      <c r="FS12" s="62">
        <f t="shared" si="87"/>
        <v>1.2999999999999999E-3</v>
      </c>
      <c r="FT12" s="62">
        <f t="shared" si="88"/>
        <v>2.3E-3</v>
      </c>
      <c r="FU12" s="62">
        <f t="shared" si="89"/>
        <v>2E-3</v>
      </c>
      <c r="FV12" s="62">
        <f t="shared" si="90"/>
        <v>2.3999999999999998E-3</v>
      </c>
      <c r="FW12" s="62">
        <f t="shared" si="91"/>
        <v>2.0999999999999999E-3</v>
      </c>
      <c r="FX12" s="62">
        <f t="shared" si="92"/>
        <v>4.0000000000000002E-4</v>
      </c>
      <c r="FY12" s="62">
        <f t="shared" si="93"/>
        <v>2.5000000000000001E-3</v>
      </c>
      <c r="FZ12" s="62">
        <f t="shared" si="94"/>
        <v>5.0000000000000001E-4</v>
      </c>
      <c r="GA12" s="62">
        <f t="shared" si="95"/>
        <v>2.5000000000000001E-3</v>
      </c>
      <c r="GB12" s="62">
        <f t="shared" si="96"/>
        <v>4.0000000000000002E-4</v>
      </c>
      <c r="GC12" s="62">
        <f t="shared" si="97"/>
        <v>1.7499999999999998E-3</v>
      </c>
      <c r="GD12" s="62">
        <f t="shared" si="98"/>
        <v>0</v>
      </c>
      <c r="GE12" s="62">
        <f t="shared" si="99"/>
        <v>1.6999999999999999E-3</v>
      </c>
      <c r="GF12" s="62">
        <f t="shared" si="100"/>
        <v>2.7500000000000002E-4</v>
      </c>
      <c r="GG12" s="62">
        <f t="shared" si="101"/>
        <v>1.719E-3</v>
      </c>
      <c r="GH12" s="62">
        <f t="shared" si="102"/>
        <v>3.0000000000000001E-3</v>
      </c>
      <c r="GI12" s="62">
        <f t="shared" si="103"/>
        <v>2.8999999999999998E-3</v>
      </c>
      <c r="GJ12" s="62">
        <f t="shared" si="104"/>
        <v>2.5000000000000001E-3</v>
      </c>
      <c r="GK12" s="62">
        <f t="shared" si="105"/>
        <v>2.7000000000000001E-3</v>
      </c>
      <c r="GL12" s="62">
        <f t="shared" si="106"/>
        <v>2.5000000000000001E-3</v>
      </c>
      <c r="GM12" s="62">
        <f t="shared" si="107"/>
        <v>2.2000000000000001E-3</v>
      </c>
      <c r="GN12" s="62">
        <f t="shared" si="108"/>
        <v>1.6000000000000001E-3</v>
      </c>
      <c r="GO12" s="62">
        <f t="shared" si="109"/>
        <v>1E-4</v>
      </c>
      <c r="GP12" s="62">
        <f t="shared" si="110"/>
        <v>1E-4</v>
      </c>
      <c r="GQ12" s="62">
        <f t="shared" si="111"/>
        <v>1.1000000000000001E-3</v>
      </c>
      <c r="GR12" s="62">
        <f t="shared" si="112"/>
        <v>2.0000000000000001E-4</v>
      </c>
      <c r="GS12" s="62">
        <f t="shared" si="113"/>
        <v>2.5000000000000001E-3</v>
      </c>
      <c r="GT12" s="62">
        <f t="shared" si="114"/>
        <v>3.3E-3</v>
      </c>
      <c r="GU12" s="62">
        <f t="shared" si="115"/>
        <v>4.0000000000000001E-3</v>
      </c>
      <c r="GV12" s="62">
        <f t="shared" si="116"/>
        <v>3.5000000000000001E-3</v>
      </c>
      <c r="GW12" s="62">
        <f t="shared" si="117"/>
        <v>3.3E-3</v>
      </c>
      <c r="GX12" s="62">
        <f t="shared" si="118"/>
        <v>3.3999999999999998E-3</v>
      </c>
      <c r="GY12" s="62">
        <f t="shared" si="119"/>
        <v>5.0000000000000001E-3</v>
      </c>
      <c r="GZ12" s="62">
        <f t="shared" si="120"/>
        <v>2.5000000000000001E-3</v>
      </c>
      <c r="HA12" s="62">
        <f t="shared" si="121"/>
        <v>2.63E-3</v>
      </c>
      <c r="HB12" s="62">
        <f t="shared" si="122"/>
        <v>6.9999999999999999E-4</v>
      </c>
      <c r="HC12" s="62">
        <f t="shared" si="123"/>
        <v>5.0000000000000001E-4</v>
      </c>
      <c r="HD12" s="62">
        <f t="shared" si="124"/>
        <v>6.9999999999999999E-4</v>
      </c>
      <c r="HE12" s="62">
        <f t="shared" si="125"/>
        <v>4.4999999999999997E-3</v>
      </c>
      <c r="HF12" s="62">
        <f t="shared" si="126"/>
        <v>0</v>
      </c>
      <c r="HG12" s="62">
        <f t="shared" si="127"/>
        <v>6.0000000000000001E-3</v>
      </c>
      <c r="HH12" s="62">
        <f t="shared" si="128"/>
        <v>8.9999999999999998E-4</v>
      </c>
      <c r="HI12" s="62">
        <f t="shared" si="129"/>
        <v>6.0000000000000001E-3</v>
      </c>
    </row>
    <row r="13" spans="1:217" x14ac:dyDescent="0.2">
      <c r="B13" s="72">
        <f t="shared" si="4"/>
        <v>7</v>
      </c>
      <c r="D13" s="62">
        <v>0</v>
      </c>
      <c r="E13" s="73">
        <v>2.3000000000000001E-4</v>
      </c>
      <c r="F13" s="73">
        <v>8.0000000000000004E-4</v>
      </c>
      <c r="G13" s="73">
        <v>4.7000000000000002E-3</v>
      </c>
      <c r="H13" s="73">
        <v>5.9999999999999995E-4</v>
      </c>
      <c r="I13" s="73">
        <v>2.5999999999999999E-3</v>
      </c>
      <c r="J13" s="73">
        <v>3.5999999999999999E-3</v>
      </c>
      <c r="K13" s="73">
        <v>8.0000000000000004E-4</v>
      </c>
      <c r="L13" s="73">
        <v>1E-4</v>
      </c>
      <c r="M13" s="73">
        <v>6.9999999999999999E-4</v>
      </c>
      <c r="N13" s="73">
        <v>1.8E-3</v>
      </c>
      <c r="O13" s="73">
        <v>2.9999999999999997E-4</v>
      </c>
      <c r="P13" s="73">
        <v>1.7499999999999998E-3</v>
      </c>
      <c r="Q13" s="73">
        <v>6.9999999999999999E-4</v>
      </c>
      <c r="R13" s="73">
        <v>2.5000000000000001E-3</v>
      </c>
      <c r="S13" s="73">
        <v>3.3999999999999998E-3</v>
      </c>
      <c r="T13" s="73">
        <v>6.9999999999999999E-4</v>
      </c>
      <c r="U13" s="73">
        <v>2.3999999999999998E-3</v>
      </c>
      <c r="V13" s="73">
        <v>4.1000000000000003E-3</v>
      </c>
      <c r="W13" s="73">
        <v>3.8999999999999998E-3</v>
      </c>
      <c r="X13" s="73">
        <v>4.0000000000000001E-3</v>
      </c>
      <c r="Y13" s="73">
        <v>3.3999999999999998E-3</v>
      </c>
      <c r="Z13" s="73">
        <v>2.3999999999999998E-3</v>
      </c>
      <c r="AA13" s="73">
        <v>8.0000000000000004E-4</v>
      </c>
      <c r="AB13" s="73">
        <v>2.5000000000000001E-3</v>
      </c>
      <c r="AC13" s="73">
        <v>2.3999999999999998E-3</v>
      </c>
      <c r="AD13" s="73">
        <v>2.5000000000000001E-3</v>
      </c>
      <c r="AE13" s="73">
        <v>8.9999999999999998E-4</v>
      </c>
      <c r="AF13" s="73">
        <v>4.7999999999999996E-3</v>
      </c>
      <c r="AG13" s="73">
        <v>2E-3</v>
      </c>
      <c r="AH13" s="73">
        <v>2.8999999999999998E-3</v>
      </c>
      <c r="AI13" s="73">
        <v>5.0000000000000001E-4</v>
      </c>
      <c r="AJ13" s="73">
        <v>2.5000000000000001E-3</v>
      </c>
      <c r="AK13" s="62">
        <v>3.3E-4</v>
      </c>
      <c r="AL13" s="62">
        <v>9.6000000000000002E-4</v>
      </c>
      <c r="AM13" s="62">
        <f t="shared" si="0"/>
        <v>1E-4</v>
      </c>
      <c r="AN13" s="62">
        <f t="shared" si="0"/>
        <v>0</v>
      </c>
      <c r="AO13" s="62">
        <f t="shared" si="0"/>
        <v>2.5000000000000001E-3</v>
      </c>
      <c r="AP13" s="62">
        <f t="shared" si="5"/>
        <v>1.6999999999999999E-3</v>
      </c>
      <c r="AQ13" s="62">
        <f t="shared" si="5"/>
        <v>1.8E-3</v>
      </c>
      <c r="AR13" s="62">
        <v>3.5E-4</v>
      </c>
      <c r="AS13" s="62">
        <v>2.5999999999999998E-4</v>
      </c>
      <c r="AT13" s="62">
        <v>3.5E-4</v>
      </c>
      <c r="AU13" s="62">
        <v>8.7000000000000001E-4</v>
      </c>
      <c r="AV13" s="62">
        <v>1.47E-3</v>
      </c>
      <c r="AW13" s="69">
        <f t="shared" ref="AW13:AW37" si="131">AW12</f>
        <v>1.4000000000000001E-4</v>
      </c>
      <c r="AX13" s="69">
        <f t="shared" ref="AX13:AX37" si="132">AX12</f>
        <v>1.4000000000000001E-4</v>
      </c>
      <c r="AY13" s="69">
        <f t="shared" ref="AY13:AY37" si="133">AY12</f>
        <v>1.4000000000000001E-4</v>
      </c>
      <c r="AZ13" s="69">
        <f t="shared" ref="AZ13:AZ37" si="134">AZ12</f>
        <v>1.4000000000000001E-4</v>
      </c>
      <c r="BA13" s="69">
        <f t="shared" ref="BA13:BJ13" si="135">BA12</f>
        <v>6.6E-4</v>
      </c>
      <c r="BB13" s="69">
        <f t="shared" si="135"/>
        <v>6.6E-4</v>
      </c>
      <c r="BC13" s="69">
        <f t="shared" si="135"/>
        <v>6.6E-4</v>
      </c>
      <c r="BD13" s="69">
        <f t="shared" si="135"/>
        <v>6.6E-4</v>
      </c>
      <c r="BE13" s="69">
        <f t="shared" ref="BE13:BH28" si="136">BE12</f>
        <v>4.0000000000000002E-4</v>
      </c>
      <c r="BF13" s="69">
        <f t="shared" si="136"/>
        <v>4.0000000000000002E-4</v>
      </c>
      <c r="BG13" s="69">
        <f t="shared" si="136"/>
        <v>4.0000000000000002E-4</v>
      </c>
      <c r="BH13" s="69">
        <f t="shared" si="136"/>
        <v>4.0000000000000002E-4</v>
      </c>
      <c r="BI13" s="69">
        <f t="shared" si="135"/>
        <v>3.6999999999999999E-4</v>
      </c>
      <c r="BJ13" s="69">
        <f t="shared" si="135"/>
        <v>3.6999999999999999E-4</v>
      </c>
      <c r="BK13" s="69">
        <f t="shared" ref="BK13:BP13" si="137">BK12</f>
        <v>3.6999999999999999E-4</v>
      </c>
      <c r="BL13" s="69">
        <f t="shared" si="137"/>
        <v>3.6999999999999999E-4</v>
      </c>
      <c r="BM13" s="69">
        <f t="shared" si="137"/>
        <v>3.3E-4</v>
      </c>
      <c r="BN13" s="69">
        <f t="shared" si="137"/>
        <v>3.3E-4</v>
      </c>
      <c r="BO13" s="69">
        <f t="shared" si="137"/>
        <v>3.3E-4</v>
      </c>
      <c r="BP13" s="69">
        <f t="shared" si="137"/>
        <v>3.3E-4</v>
      </c>
      <c r="BQ13" s="62">
        <v>1E-4</v>
      </c>
      <c r="BR13" s="62">
        <v>1E-4</v>
      </c>
      <c r="BS13" s="62">
        <v>1E-4</v>
      </c>
      <c r="BT13" s="62">
        <v>1E-4</v>
      </c>
      <c r="BU13" s="62">
        <v>2.9999999999999997E-4</v>
      </c>
      <c r="BV13" s="62">
        <v>2.9999999999999997E-4</v>
      </c>
      <c r="BW13" s="62">
        <v>2.9999999999999997E-4</v>
      </c>
      <c r="BX13" s="62">
        <v>2.9999999999999997E-4</v>
      </c>
      <c r="BY13" s="62">
        <v>0</v>
      </c>
      <c r="BZ13" s="62">
        <v>0</v>
      </c>
      <c r="CA13" s="62">
        <v>0</v>
      </c>
      <c r="CB13" s="62">
        <v>0</v>
      </c>
      <c r="CC13" s="69">
        <f t="shared" si="6"/>
        <v>2.5000000000000001E-4</v>
      </c>
      <c r="CD13" s="69">
        <f t="shared" si="7"/>
        <v>2.5000000000000001E-4</v>
      </c>
      <c r="CE13" s="69">
        <f t="shared" si="8"/>
        <v>2.5000000000000001E-4</v>
      </c>
      <c r="CF13" s="69">
        <f t="shared" si="9"/>
        <v>2.5000000000000001E-4</v>
      </c>
      <c r="CG13" s="69">
        <f t="shared" si="10"/>
        <v>5.0000000000000001E-4</v>
      </c>
      <c r="CH13" s="69">
        <f t="shared" si="11"/>
        <v>5.0000000000000001E-4</v>
      </c>
      <c r="CI13" s="69">
        <f t="shared" si="12"/>
        <v>5.0000000000000001E-4</v>
      </c>
      <c r="CJ13" s="69">
        <f t="shared" si="13"/>
        <v>5.0000000000000001E-4</v>
      </c>
      <c r="CK13" s="69">
        <f t="shared" si="14"/>
        <v>1E-3</v>
      </c>
      <c r="CL13" s="69">
        <f t="shared" si="15"/>
        <v>1E-3</v>
      </c>
      <c r="CM13" s="69">
        <f t="shared" si="16"/>
        <v>1E-3</v>
      </c>
      <c r="CN13" s="69">
        <f t="shared" si="17"/>
        <v>1E-3</v>
      </c>
      <c r="CO13" s="69">
        <v>4.0000000000000001E-3</v>
      </c>
      <c r="CP13" s="69">
        <v>4.0000000000000001E-3</v>
      </c>
      <c r="CQ13" s="69">
        <v>2E-3</v>
      </c>
      <c r="CR13" s="69">
        <v>2E-3</v>
      </c>
      <c r="CS13" s="69">
        <v>0</v>
      </c>
      <c r="CT13" s="69">
        <v>0</v>
      </c>
      <c r="CU13" s="69">
        <v>0</v>
      </c>
      <c r="CV13" s="69">
        <v>0</v>
      </c>
      <c r="CW13" s="69">
        <v>0</v>
      </c>
      <c r="CX13" s="69">
        <v>0</v>
      </c>
      <c r="CY13" s="69">
        <v>0</v>
      </c>
      <c r="CZ13" s="69">
        <v>0</v>
      </c>
      <c r="DA13" s="62">
        <f t="shared" si="18"/>
        <v>1.5E-3</v>
      </c>
      <c r="DB13" s="62">
        <f t="shared" si="19"/>
        <v>2.5000000000000001E-3</v>
      </c>
      <c r="DC13" s="62">
        <v>3.2000000000000002E-3</v>
      </c>
      <c r="DD13" s="62">
        <f t="shared" si="20"/>
        <v>2.0999999999999999E-3</v>
      </c>
      <c r="DE13" s="62">
        <f t="shared" si="21"/>
        <v>2E-3</v>
      </c>
      <c r="DF13" s="62">
        <f t="shared" si="22"/>
        <v>2.2000000000000001E-3</v>
      </c>
      <c r="DG13" s="62">
        <f t="shared" si="23"/>
        <v>2.3E-3</v>
      </c>
      <c r="DH13" s="62">
        <f t="shared" si="24"/>
        <v>2.5000000000000001E-3</v>
      </c>
      <c r="DI13" s="62">
        <f t="shared" si="25"/>
        <v>2.5999999999999999E-3</v>
      </c>
      <c r="DJ13" s="62">
        <f t="shared" si="26"/>
        <v>3.2000000000000002E-3</v>
      </c>
      <c r="DK13" s="62">
        <f t="shared" si="27"/>
        <v>2.9999999999999997E-4</v>
      </c>
      <c r="DL13" s="62">
        <f t="shared" si="28"/>
        <v>2.5000000000000001E-3</v>
      </c>
      <c r="DM13" s="62">
        <f t="shared" si="29"/>
        <v>5.0000000000000001E-4</v>
      </c>
      <c r="DN13" s="62">
        <f t="shared" si="30"/>
        <v>1.1999999999999999E-3</v>
      </c>
      <c r="DO13" s="62">
        <f t="shared" si="31"/>
        <v>1.9E-3</v>
      </c>
      <c r="DP13" s="62">
        <f t="shared" si="32"/>
        <v>1E-3</v>
      </c>
      <c r="DQ13" s="62">
        <f t="shared" si="33"/>
        <v>2.0999999999999999E-3</v>
      </c>
      <c r="DR13" s="62">
        <f t="shared" si="34"/>
        <v>8.9999999999999998E-4</v>
      </c>
      <c r="DS13" s="62">
        <f t="shared" si="35"/>
        <v>2.0999999999999999E-3</v>
      </c>
      <c r="DT13" s="62">
        <f t="shared" si="36"/>
        <v>1.4E-3</v>
      </c>
      <c r="DU13" s="62">
        <f t="shared" si="37"/>
        <v>1.6000000000000001E-3</v>
      </c>
      <c r="DV13" s="62">
        <f t="shared" si="38"/>
        <v>2.3999999999999998E-3</v>
      </c>
      <c r="DW13" s="62">
        <f t="shared" si="39"/>
        <v>5.0000000000000001E-3</v>
      </c>
      <c r="DX13" s="62">
        <f t="shared" si="40"/>
        <v>2E-3</v>
      </c>
      <c r="DY13" s="62">
        <f t="shared" si="41"/>
        <v>0</v>
      </c>
      <c r="DZ13" s="62">
        <f t="shared" si="42"/>
        <v>1.5E-3</v>
      </c>
      <c r="EA13" s="62">
        <f t="shared" si="43"/>
        <v>2.0000000000000001E-4</v>
      </c>
      <c r="EB13" s="62">
        <f t="shared" si="44"/>
        <v>1.5E-3</v>
      </c>
      <c r="EC13" s="62">
        <f t="shared" si="45"/>
        <v>2.7000000000000001E-3</v>
      </c>
      <c r="ED13" s="62">
        <f t="shared" si="46"/>
        <v>2.5000000000000001E-3</v>
      </c>
      <c r="EE13" s="62">
        <f t="shared" si="47"/>
        <v>0</v>
      </c>
      <c r="EF13" s="62">
        <f t="shared" si="48"/>
        <v>2.5000000000000001E-3</v>
      </c>
      <c r="EG13" s="62">
        <f t="shared" si="49"/>
        <v>1.1000000000000001E-3</v>
      </c>
      <c r="EH13" s="62">
        <f t="shared" si="50"/>
        <v>2.5000000000000001E-3</v>
      </c>
      <c r="EI13" s="62">
        <f t="shared" si="51"/>
        <v>8.0000000000000004E-4</v>
      </c>
      <c r="EJ13" s="62">
        <f t="shared" si="52"/>
        <v>2.5000000000000001E-3</v>
      </c>
      <c r="EK13" s="62">
        <f t="shared" si="53"/>
        <v>7.5000000000000002E-4</v>
      </c>
      <c r="EL13" s="62">
        <f t="shared" si="54"/>
        <v>2.5000000000000001E-3</v>
      </c>
      <c r="EM13" s="62">
        <f t="shared" si="55"/>
        <v>3.2000000000000002E-3</v>
      </c>
      <c r="EN13" s="62">
        <f t="shared" si="56"/>
        <v>2.3999999999999998E-3</v>
      </c>
      <c r="EO13" s="62">
        <f t="shared" si="57"/>
        <v>0</v>
      </c>
      <c r="EP13" s="62">
        <f t="shared" si="58"/>
        <v>2E-3</v>
      </c>
      <c r="EQ13" s="62">
        <f t="shared" si="59"/>
        <v>1.1000000000000001E-3</v>
      </c>
      <c r="ER13" s="62">
        <f t="shared" si="60"/>
        <v>2.2000000000000001E-3</v>
      </c>
      <c r="ES13" s="62">
        <f t="shared" si="61"/>
        <v>1E-3</v>
      </c>
      <c r="ET13" s="62">
        <f t="shared" si="62"/>
        <v>4.0000000000000001E-3</v>
      </c>
      <c r="EU13" s="62">
        <f t="shared" si="63"/>
        <v>3.7000000000000002E-3</v>
      </c>
      <c r="EV13" s="62">
        <f t="shared" si="64"/>
        <v>4.7999999999999996E-3</v>
      </c>
      <c r="EW13" s="62">
        <f t="shared" si="65"/>
        <v>0</v>
      </c>
      <c r="EX13" s="62">
        <f t="shared" si="66"/>
        <v>2.5000000000000001E-3</v>
      </c>
      <c r="EY13" s="62">
        <f t="shared" si="67"/>
        <v>2.5000000000000001E-3</v>
      </c>
      <c r="EZ13" s="62">
        <f t="shared" si="68"/>
        <v>3.8999999999999998E-3</v>
      </c>
      <c r="FA13" s="62">
        <f t="shared" si="69"/>
        <v>6.1999999999999998E-3</v>
      </c>
      <c r="FB13" s="62">
        <f t="shared" si="70"/>
        <v>5.1000000000000004E-3</v>
      </c>
      <c r="FC13" s="62">
        <f t="shared" si="71"/>
        <v>2.8999999999999998E-3</v>
      </c>
      <c r="FD13" s="62">
        <f t="shared" si="72"/>
        <v>1.5E-3</v>
      </c>
      <c r="FE13" s="62">
        <f t="shared" si="73"/>
        <v>2.8E-3</v>
      </c>
      <c r="FF13" s="62">
        <f t="shared" si="74"/>
        <v>1.5E-3</v>
      </c>
      <c r="FG13" s="62">
        <f t="shared" si="75"/>
        <v>2.5999999999999999E-3</v>
      </c>
      <c r="FH13" s="62">
        <f t="shared" si="76"/>
        <v>1.5E-3</v>
      </c>
      <c r="FI13" s="62">
        <f t="shared" si="77"/>
        <v>2.7000000000000001E-3</v>
      </c>
      <c r="FJ13" s="62">
        <f t="shared" si="78"/>
        <v>1.5E-3</v>
      </c>
      <c r="FK13" s="62">
        <f t="shared" si="79"/>
        <v>3.3999999999999998E-3</v>
      </c>
      <c r="FL13" s="62">
        <f t="shared" si="80"/>
        <v>8.9999999999999998E-4</v>
      </c>
      <c r="FM13" s="62">
        <f t="shared" si="81"/>
        <v>2.6999999999999997E-3</v>
      </c>
      <c r="FN13" s="62">
        <f t="shared" si="82"/>
        <v>0</v>
      </c>
      <c r="FO13" s="62">
        <f t="shared" si="83"/>
        <v>2.5000000000000001E-3</v>
      </c>
      <c r="FP13" s="62">
        <f t="shared" si="84"/>
        <v>2.5000000000000001E-3</v>
      </c>
      <c r="FQ13" s="62">
        <f t="shared" si="85"/>
        <v>1.8E-3</v>
      </c>
      <c r="FR13" s="62">
        <f t="shared" si="86"/>
        <v>2E-3</v>
      </c>
      <c r="FS13" s="62">
        <f t="shared" si="87"/>
        <v>1.2999999999999999E-3</v>
      </c>
      <c r="FT13" s="62">
        <f t="shared" si="88"/>
        <v>2.3E-3</v>
      </c>
      <c r="FU13" s="62">
        <f t="shared" si="89"/>
        <v>2E-3</v>
      </c>
      <c r="FV13" s="62">
        <f t="shared" si="90"/>
        <v>2.3999999999999998E-3</v>
      </c>
      <c r="FW13" s="62">
        <f t="shared" si="91"/>
        <v>2.0999999999999999E-3</v>
      </c>
      <c r="FX13" s="62">
        <f t="shared" si="92"/>
        <v>4.0000000000000002E-4</v>
      </c>
      <c r="FY13" s="62">
        <f t="shared" si="93"/>
        <v>2.5000000000000001E-3</v>
      </c>
      <c r="FZ13" s="62">
        <f t="shared" si="94"/>
        <v>5.0000000000000001E-4</v>
      </c>
      <c r="GA13" s="62">
        <f t="shared" si="95"/>
        <v>2.5000000000000001E-3</v>
      </c>
      <c r="GB13" s="62">
        <f t="shared" si="96"/>
        <v>4.0000000000000002E-4</v>
      </c>
      <c r="GC13" s="62">
        <f t="shared" si="97"/>
        <v>1.7499999999999998E-3</v>
      </c>
      <c r="GD13" s="62">
        <f t="shared" si="98"/>
        <v>0</v>
      </c>
      <c r="GE13" s="62">
        <f t="shared" si="99"/>
        <v>1.6999999999999999E-3</v>
      </c>
      <c r="GF13" s="62">
        <f t="shared" si="100"/>
        <v>2.7500000000000002E-4</v>
      </c>
      <c r="GG13" s="62">
        <f t="shared" si="101"/>
        <v>1.719E-3</v>
      </c>
      <c r="GH13" s="62">
        <f t="shared" si="102"/>
        <v>3.0000000000000001E-3</v>
      </c>
      <c r="GI13" s="62">
        <f t="shared" si="103"/>
        <v>2.8999999999999998E-3</v>
      </c>
      <c r="GJ13" s="62">
        <f t="shared" si="104"/>
        <v>2.5000000000000001E-3</v>
      </c>
      <c r="GK13" s="62">
        <f t="shared" si="105"/>
        <v>2.7000000000000001E-3</v>
      </c>
      <c r="GL13" s="62">
        <f t="shared" si="106"/>
        <v>2.5000000000000001E-3</v>
      </c>
      <c r="GM13" s="62">
        <f t="shared" si="107"/>
        <v>2.2000000000000001E-3</v>
      </c>
      <c r="GN13" s="62">
        <f t="shared" si="108"/>
        <v>1.6000000000000001E-3</v>
      </c>
      <c r="GO13" s="62">
        <f t="shared" si="109"/>
        <v>1E-4</v>
      </c>
      <c r="GP13" s="62">
        <f t="shared" si="110"/>
        <v>1E-4</v>
      </c>
      <c r="GQ13" s="62">
        <f t="shared" si="111"/>
        <v>1.1000000000000001E-3</v>
      </c>
      <c r="GR13" s="62">
        <f t="shared" si="112"/>
        <v>2.0000000000000001E-4</v>
      </c>
      <c r="GS13" s="62">
        <f t="shared" si="113"/>
        <v>2.5000000000000001E-3</v>
      </c>
      <c r="GT13" s="62">
        <f t="shared" si="114"/>
        <v>3.3E-3</v>
      </c>
      <c r="GU13" s="62">
        <f t="shared" si="115"/>
        <v>4.0000000000000001E-3</v>
      </c>
      <c r="GV13" s="62">
        <f t="shared" si="116"/>
        <v>3.5000000000000001E-3</v>
      </c>
      <c r="GW13" s="62">
        <f t="shared" si="117"/>
        <v>3.3E-3</v>
      </c>
      <c r="GX13" s="62">
        <f t="shared" si="118"/>
        <v>3.3999999999999998E-3</v>
      </c>
      <c r="GY13" s="62">
        <f t="shared" si="119"/>
        <v>5.0000000000000001E-3</v>
      </c>
      <c r="GZ13" s="62">
        <f t="shared" si="120"/>
        <v>2.5000000000000001E-3</v>
      </c>
      <c r="HA13" s="62">
        <f t="shared" si="121"/>
        <v>2.63E-3</v>
      </c>
      <c r="HB13" s="62">
        <f t="shared" si="122"/>
        <v>6.9999999999999999E-4</v>
      </c>
      <c r="HC13" s="62">
        <f t="shared" si="123"/>
        <v>5.0000000000000001E-4</v>
      </c>
      <c r="HD13" s="62">
        <f t="shared" si="124"/>
        <v>6.9999999999999999E-4</v>
      </c>
      <c r="HE13" s="62">
        <f t="shared" si="125"/>
        <v>4.4999999999999997E-3</v>
      </c>
      <c r="HF13" s="62">
        <f t="shared" si="126"/>
        <v>0</v>
      </c>
      <c r="HG13" s="62">
        <f t="shared" si="127"/>
        <v>6.0000000000000001E-3</v>
      </c>
      <c r="HH13" s="62">
        <f t="shared" si="128"/>
        <v>8.9999999999999998E-4</v>
      </c>
      <c r="HI13" s="62">
        <f t="shared" si="129"/>
        <v>6.0000000000000001E-3</v>
      </c>
    </row>
    <row r="14" spans="1:217" x14ac:dyDescent="0.2">
      <c r="B14" s="72">
        <f t="shared" si="4"/>
        <v>8</v>
      </c>
      <c r="D14" s="62">
        <v>0</v>
      </c>
      <c r="E14" s="73">
        <v>2.3000000000000001E-4</v>
      </c>
      <c r="F14" s="73">
        <v>8.0000000000000004E-4</v>
      </c>
      <c r="G14" s="73">
        <v>4.7000000000000002E-3</v>
      </c>
      <c r="H14" s="73">
        <v>5.9999999999999995E-4</v>
      </c>
      <c r="I14" s="73">
        <v>2.5999999999999999E-3</v>
      </c>
      <c r="J14" s="73">
        <v>3.5999999999999999E-3</v>
      </c>
      <c r="K14" s="73">
        <v>8.0000000000000004E-4</v>
      </c>
      <c r="L14" s="73">
        <v>1E-4</v>
      </c>
      <c r="M14" s="73">
        <v>6.9999999999999999E-4</v>
      </c>
      <c r="N14" s="73">
        <v>1.8E-3</v>
      </c>
      <c r="O14" s="73">
        <v>2.9999999999999997E-4</v>
      </c>
      <c r="P14" s="73">
        <v>1.7499999999999998E-3</v>
      </c>
      <c r="Q14" s="73">
        <v>6.9999999999999999E-4</v>
      </c>
      <c r="R14" s="73">
        <v>2.5000000000000001E-3</v>
      </c>
      <c r="S14" s="73">
        <v>3.3999999999999998E-3</v>
      </c>
      <c r="T14" s="73">
        <v>6.9999999999999999E-4</v>
      </c>
      <c r="U14" s="73">
        <v>2.3999999999999998E-3</v>
      </c>
      <c r="V14" s="73">
        <v>4.1000000000000003E-3</v>
      </c>
      <c r="W14" s="73">
        <v>3.8999999999999998E-3</v>
      </c>
      <c r="X14" s="73">
        <v>4.0000000000000001E-3</v>
      </c>
      <c r="Y14" s="73">
        <v>3.3999999999999998E-3</v>
      </c>
      <c r="Z14" s="73">
        <v>2.3999999999999998E-3</v>
      </c>
      <c r="AA14" s="73">
        <v>8.0000000000000004E-4</v>
      </c>
      <c r="AB14" s="73">
        <v>2.5000000000000001E-3</v>
      </c>
      <c r="AC14" s="73">
        <v>2.3999999999999998E-3</v>
      </c>
      <c r="AD14" s="73">
        <v>2.5000000000000001E-3</v>
      </c>
      <c r="AE14" s="73">
        <v>8.9999999999999998E-4</v>
      </c>
      <c r="AF14" s="73">
        <v>4.7999999999999996E-3</v>
      </c>
      <c r="AG14" s="73">
        <v>2E-3</v>
      </c>
      <c r="AH14" s="73">
        <v>2.8999999999999998E-3</v>
      </c>
      <c r="AI14" s="73">
        <v>5.0000000000000001E-4</v>
      </c>
      <c r="AJ14" s="73">
        <v>2.5000000000000001E-3</v>
      </c>
      <c r="AK14" s="62">
        <v>3.3E-4</v>
      </c>
      <c r="AL14" s="76">
        <f>0.096%+0.16%</f>
        <v>2.5600000000000002E-3</v>
      </c>
      <c r="AM14" s="62">
        <f t="shared" si="0"/>
        <v>1E-4</v>
      </c>
      <c r="AN14" s="62">
        <f t="shared" si="0"/>
        <v>0</v>
      </c>
      <c r="AO14" s="62">
        <f t="shared" si="0"/>
        <v>2.5000000000000001E-3</v>
      </c>
      <c r="AP14" s="62">
        <f t="shared" si="5"/>
        <v>1.6999999999999999E-3</v>
      </c>
      <c r="AQ14" s="62">
        <f t="shared" si="5"/>
        <v>1.8E-3</v>
      </c>
      <c r="AR14" s="62">
        <v>3.5E-4</v>
      </c>
      <c r="AS14" s="62">
        <v>2.5999999999999998E-4</v>
      </c>
      <c r="AT14" s="62">
        <v>3.5E-4</v>
      </c>
      <c r="AU14" s="76">
        <f>0.087%+0.16%</f>
        <v>2.47E-3</v>
      </c>
      <c r="AV14" s="76">
        <f>0.147%+1%</f>
        <v>1.1470000000000001E-2</v>
      </c>
      <c r="AW14" s="69">
        <f t="shared" si="131"/>
        <v>1.4000000000000001E-4</v>
      </c>
      <c r="AX14" s="69">
        <f t="shared" si="132"/>
        <v>1.4000000000000001E-4</v>
      </c>
      <c r="AY14" s="69">
        <f t="shared" si="133"/>
        <v>1.4000000000000001E-4</v>
      </c>
      <c r="AZ14" s="69">
        <f t="shared" si="134"/>
        <v>1.4000000000000001E-4</v>
      </c>
      <c r="BA14" s="69">
        <f t="shared" ref="BA14:BA37" si="138">BA13</f>
        <v>6.6E-4</v>
      </c>
      <c r="BB14" s="69">
        <f t="shared" ref="BB14:BB37" si="139">BB13</f>
        <v>6.6E-4</v>
      </c>
      <c r="BC14" s="69">
        <f t="shared" ref="BC14:BC37" si="140">BC13</f>
        <v>6.6E-4</v>
      </c>
      <c r="BD14" s="69">
        <f t="shared" ref="BD14:BG37" si="141">BD13</f>
        <v>6.6E-4</v>
      </c>
      <c r="BE14" s="69">
        <f t="shared" si="136"/>
        <v>4.0000000000000002E-4</v>
      </c>
      <c r="BF14" s="69">
        <f t="shared" si="136"/>
        <v>4.0000000000000002E-4</v>
      </c>
      <c r="BG14" s="69">
        <f t="shared" si="136"/>
        <v>4.0000000000000002E-4</v>
      </c>
      <c r="BH14" s="69">
        <f t="shared" si="136"/>
        <v>4.0000000000000002E-4</v>
      </c>
      <c r="BI14" s="69">
        <f t="shared" ref="BI14:BI37" si="142">BI13</f>
        <v>3.6999999999999999E-4</v>
      </c>
      <c r="BJ14" s="69">
        <f t="shared" ref="BJ14:BJ37" si="143">BJ13</f>
        <v>3.6999999999999999E-4</v>
      </c>
      <c r="BK14" s="69">
        <f t="shared" ref="BK14:BK37" si="144">BK13</f>
        <v>3.6999999999999999E-4</v>
      </c>
      <c r="BL14" s="69">
        <f t="shared" ref="BL14:BL37" si="145">BL13</f>
        <v>3.6999999999999999E-4</v>
      </c>
      <c r="BM14" s="69">
        <f t="shared" ref="BM14:BM37" si="146">BM13</f>
        <v>3.3E-4</v>
      </c>
      <c r="BN14" s="69">
        <f t="shared" ref="BN14:BN37" si="147">BN13</f>
        <v>3.3E-4</v>
      </c>
      <c r="BO14" s="69">
        <f t="shared" ref="BO14:BO37" si="148">BO13</f>
        <v>3.3E-4</v>
      </c>
      <c r="BP14" s="69">
        <f t="shared" ref="BP14:BP37" si="149">BP13</f>
        <v>3.3E-4</v>
      </c>
      <c r="BQ14" s="69">
        <f>0.018%+0.01%</f>
        <v>2.7999999999999998E-4</v>
      </c>
      <c r="BR14" s="69">
        <f t="shared" ref="BR14:BT14" si="150">0.018%+0.01%</f>
        <v>2.7999999999999998E-4</v>
      </c>
      <c r="BS14" s="69">
        <f t="shared" si="150"/>
        <v>2.7999999999999998E-4</v>
      </c>
      <c r="BT14" s="69">
        <f t="shared" si="150"/>
        <v>2.7999999999999998E-4</v>
      </c>
      <c r="BU14" s="69">
        <f>0.019%+0.03%</f>
        <v>4.8999999999999998E-4</v>
      </c>
      <c r="BV14" s="69">
        <f t="shared" ref="BV14:BX14" si="151">0.019%+0.03%</f>
        <v>4.8999999999999998E-4</v>
      </c>
      <c r="BW14" s="69">
        <f t="shared" si="151"/>
        <v>4.8999999999999998E-4</v>
      </c>
      <c r="BX14" s="69">
        <f t="shared" si="151"/>
        <v>4.8999999999999998E-4</v>
      </c>
      <c r="BY14" s="69">
        <v>4.8999999999999998E-4</v>
      </c>
      <c r="BZ14" s="69">
        <v>4.8999999999999998E-4</v>
      </c>
      <c r="CA14" s="69">
        <v>4.8999999999999998E-4</v>
      </c>
      <c r="CB14" s="69">
        <v>4.8999999999999998E-4</v>
      </c>
      <c r="CC14" s="69">
        <f t="shared" si="6"/>
        <v>2.5000000000000001E-4</v>
      </c>
      <c r="CD14" s="69">
        <f t="shared" si="7"/>
        <v>2.5000000000000001E-4</v>
      </c>
      <c r="CE14" s="69">
        <f t="shared" si="8"/>
        <v>2.5000000000000001E-4</v>
      </c>
      <c r="CF14" s="69">
        <f t="shared" si="9"/>
        <v>2.5000000000000001E-4</v>
      </c>
      <c r="CG14" s="69">
        <f t="shared" si="10"/>
        <v>5.0000000000000001E-4</v>
      </c>
      <c r="CH14" s="69">
        <f t="shared" si="11"/>
        <v>5.0000000000000001E-4</v>
      </c>
      <c r="CI14" s="69">
        <f t="shared" si="12"/>
        <v>5.0000000000000001E-4</v>
      </c>
      <c r="CJ14" s="69">
        <f t="shared" si="13"/>
        <v>5.0000000000000001E-4</v>
      </c>
      <c r="CK14" s="69">
        <f t="shared" si="14"/>
        <v>1E-3</v>
      </c>
      <c r="CL14" s="69">
        <f t="shared" si="15"/>
        <v>1E-3</v>
      </c>
      <c r="CM14" s="69">
        <f t="shared" si="16"/>
        <v>1E-3</v>
      </c>
      <c r="CN14" s="69">
        <f t="shared" si="17"/>
        <v>1E-3</v>
      </c>
      <c r="CO14" s="69">
        <v>0</v>
      </c>
      <c r="CP14" s="69">
        <v>0</v>
      </c>
      <c r="CQ14" s="69">
        <v>0</v>
      </c>
      <c r="CR14" s="69">
        <v>0</v>
      </c>
      <c r="CS14" s="69">
        <v>0</v>
      </c>
      <c r="CT14" s="69">
        <v>0</v>
      </c>
      <c r="CU14" s="69">
        <v>0</v>
      </c>
      <c r="CV14" s="69">
        <v>0</v>
      </c>
      <c r="CW14" s="69">
        <v>7.4999999999999997E-3</v>
      </c>
      <c r="CX14" s="69">
        <v>7.4999999999999997E-3</v>
      </c>
      <c r="CY14" s="69">
        <v>3.5000000000000001E-3</v>
      </c>
      <c r="CZ14" s="69">
        <v>3.5000000000000001E-3</v>
      </c>
      <c r="DA14" s="62">
        <f t="shared" si="18"/>
        <v>1.5E-3</v>
      </c>
      <c r="DB14" s="62">
        <f t="shared" si="19"/>
        <v>2.5000000000000001E-3</v>
      </c>
      <c r="DC14" s="62">
        <v>3.2000000000000002E-3</v>
      </c>
      <c r="DD14" s="62">
        <f t="shared" si="20"/>
        <v>2.0999999999999999E-3</v>
      </c>
      <c r="DE14" s="62">
        <f t="shared" si="21"/>
        <v>2E-3</v>
      </c>
      <c r="DF14" s="62">
        <f t="shared" si="22"/>
        <v>2.2000000000000001E-3</v>
      </c>
      <c r="DG14" s="62">
        <f t="shared" si="23"/>
        <v>2.3E-3</v>
      </c>
      <c r="DH14" s="62">
        <f t="shared" si="24"/>
        <v>2.5000000000000001E-3</v>
      </c>
      <c r="DI14" s="62">
        <f t="shared" si="25"/>
        <v>2.5999999999999999E-3</v>
      </c>
      <c r="DJ14" s="62">
        <f t="shared" si="26"/>
        <v>3.2000000000000002E-3</v>
      </c>
      <c r="DK14" s="62">
        <f t="shared" si="27"/>
        <v>2.9999999999999997E-4</v>
      </c>
      <c r="DL14" s="62">
        <f t="shared" si="28"/>
        <v>2.5000000000000001E-3</v>
      </c>
      <c r="DM14" s="62">
        <f t="shared" si="29"/>
        <v>5.0000000000000001E-4</v>
      </c>
      <c r="DN14" s="62">
        <f t="shared" si="30"/>
        <v>1.1999999999999999E-3</v>
      </c>
      <c r="DO14" s="62">
        <f t="shared" si="31"/>
        <v>1.9E-3</v>
      </c>
      <c r="DP14" s="62">
        <f t="shared" si="32"/>
        <v>1E-3</v>
      </c>
      <c r="DQ14" s="62">
        <f t="shared" si="33"/>
        <v>2.0999999999999999E-3</v>
      </c>
      <c r="DR14" s="62">
        <f t="shared" si="34"/>
        <v>8.9999999999999998E-4</v>
      </c>
      <c r="DS14" s="62">
        <f t="shared" si="35"/>
        <v>2.0999999999999999E-3</v>
      </c>
      <c r="DT14" s="62">
        <f t="shared" si="36"/>
        <v>1.4E-3</v>
      </c>
      <c r="DU14" s="62">
        <f t="shared" si="37"/>
        <v>1.6000000000000001E-3</v>
      </c>
      <c r="DV14" s="62">
        <f t="shared" si="38"/>
        <v>2.3999999999999998E-3</v>
      </c>
      <c r="DW14" s="62">
        <f t="shared" si="39"/>
        <v>5.0000000000000001E-3</v>
      </c>
      <c r="DX14" s="62">
        <f t="shared" si="40"/>
        <v>2E-3</v>
      </c>
      <c r="DY14" s="62">
        <f t="shared" si="41"/>
        <v>0</v>
      </c>
      <c r="DZ14" s="62">
        <f t="shared" si="42"/>
        <v>1.5E-3</v>
      </c>
      <c r="EA14" s="62">
        <f t="shared" si="43"/>
        <v>2.0000000000000001E-4</v>
      </c>
      <c r="EB14" s="62">
        <f t="shared" si="44"/>
        <v>1.5E-3</v>
      </c>
      <c r="EC14" s="62">
        <f t="shared" si="45"/>
        <v>2.7000000000000001E-3</v>
      </c>
      <c r="ED14" s="62">
        <f t="shared" si="46"/>
        <v>2.5000000000000001E-3</v>
      </c>
      <c r="EE14" s="62">
        <f t="shared" si="47"/>
        <v>0</v>
      </c>
      <c r="EF14" s="62">
        <f t="shared" si="48"/>
        <v>2.5000000000000001E-3</v>
      </c>
      <c r="EG14" s="62">
        <f t="shared" si="49"/>
        <v>1.1000000000000001E-3</v>
      </c>
      <c r="EH14" s="62">
        <f t="shared" si="50"/>
        <v>2.5000000000000001E-3</v>
      </c>
      <c r="EI14" s="62">
        <f t="shared" si="51"/>
        <v>8.0000000000000004E-4</v>
      </c>
      <c r="EJ14" s="62">
        <f t="shared" si="52"/>
        <v>2.5000000000000001E-3</v>
      </c>
      <c r="EK14" s="62">
        <f t="shared" si="53"/>
        <v>7.5000000000000002E-4</v>
      </c>
      <c r="EL14" s="62">
        <f t="shared" si="54"/>
        <v>2.5000000000000001E-3</v>
      </c>
      <c r="EM14" s="62">
        <f t="shared" si="55"/>
        <v>3.2000000000000002E-3</v>
      </c>
      <c r="EN14" s="62">
        <f t="shared" si="56"/>
        <v>2.3999999999999998E-3</v>
      </c>
      <c r="EO14" s="62">
        <f t="shared" si="57"/>
        <v>0</v>
      </c>
      <c r="EP14" s="62">
        <f t="shared" si="58"/>
        <v>2E-3</v>
      </c>
      <c r="EQ14" s="62">
        <f t="shared" si="59"/>
        <v>1.1000000000000001E-3</v>
      </c>
      <c r="ER14" s="62">
        <f t="shared" si="60"/>
        <v>2.2000000000000001E-3</v>
      </c>
      <c r="ES14" s="62">
        <f t="shared" si="61"/>
        <v>1E-3</v>
      </c>
      <c r="ET14" s="62">
        <f t="shared" si="62"/>
        <v>4.0000000000000001E-3</v>
      </c>
      <c r="EU14" s="62">
        <f t="shared" si="63"/>
        <v>3.7000000000000002E-3</v>
      </c>
      <c r="EV14" s="62">
        <f t="shared" si="64"/>
        <v>4.7999999999999996E-3</v>
      </c>
      <c r="EW14" s="62">
        <f t="shared" si="65"/>
        <v>0</v>
      </c>
      <c r="EX14" s="62">
        <f t="shared" si="66"/>
        <v>2.5000000000000001E-3</v>
      </c>
      <c r="EY14" s="62">
        <f t="shared" si="67"/>
        <v>2.5000000000000001E-3</v>
      </c>
      <c r="EZ14" s="62">
        <f t="shared" si="68"/>
        <v>3.8999999999999998E-3</v>
      </c>
      <c r="FA14" s="62">
        <f t="shared" si="69"/>
        <v>6.1999999999999998E-3</v>
      </c>
      <c r="FB14" s="62">
        <f t="shared" si="70"/>
        <v>5.1000000000000004E-3</v>
      </c>
      <c r="FC14" s="62">
        <f t="shared" si="71"/>
        <v>2.8999999999999998E-3</v>
      </c>
      <c r="FD14" s="62">
        <f t="shared" si="72"/>
        <v>1.5E-3</v>
      </c>
      <c r="FE14" s="62">
        <f t="shared" si="73"/>
        <v>2.8E-3</v>
      </c>
      <c r="FF14" s="62">
        <f t="shared" si="74"/>
        <v>1.5E-3</v>
      </c>
      <c r="FG14" s="62">
        <f t="shared" si="75"/>
        <v>2.5999999999999999E-3</v>
      </c>
      <c r="FH14" s="62">
        <f t="shared" si="76"/>
        <v>1.5E-3</v>
      </c>
      <c r="FI14" s="62">
        <f t="shared" si="77"/>
        <v>2.7000000000000001E-3</v>
      </c>
      <c r="FJ14" s="62">
        <f t="shared" si="78"/>
        <v>1.5E-3</v>
      </c>
      <c r="FK14" s="62">
        <f t="shared" si="79"/>
        <v>3.3999999999999998E-3</v>
      </c>
      <c r="FL14" s="62">
        <f t="shared" si="80"/>
        <v>8.9999999999999998E-4</v>
      </c>
      <c r="FM14" s="62">
        <f t="shared" si="81"/>
        <v>2.6999999999999997E-3</v>
      </c>
      <c r="FN14" s="62">
        <f t="shared" si="82"/>
        <v>0</v>
      </c>
      <c r="FO14" s="62">
        <f t="shared" si="83"/>
        <v>2.5000000000000001E-3</v>
      </c>
      <c r="FP14" s="62">
        <f t="shared" si="84"/>
        <v>2.5000000000000001E-3</v>
      </c>
      <c r="FQ14" s="62">
        <f t="shared" si="85"/>
        <v>1.8E-3</v>
      </c>
      <c r="FR14" s="62">
        <f t="shared" si="86"/>
        <v>2E-3</v>
      </c>
      <c r="FS14" s="62">
        <f t="shared" si="87"/>
        <v>1.2999999999999999E-3</v>
      </c>
      <c r="FT14" s="62">
        <f t="shared" si="88"/>
        <v>2.3E-3</v>
      </c>
      <c r="FU14" s="62">
        <f t="shared" si="89"/>
        <v>2E-3</v>
      </c>
      <c r="FV14" s="62">
        <f t="shared" si="90"/>
        <v>2.3999999999999998E-3</v>
      </c>
      <c r="FW14" s="62">
        <f t="shared" si="91"/>
        <v>2.0999999999999999E-3</v>
      </c>
      <c r="FX14" s="62">
        <f t="shared" si="92"/>
        <v>4.0000000000000002E-4</v>
      </c>
      <c r="FY14" s="62">
        <f t="shared" si="93"/>
        <v>2.5000000000000001E-3</v>
      </c>
      <c r="FZ14" s="62">
        <f t="shared" si="94"/>
        <v>5.0000000000000001E-4</v>
      </c>
      <c r="GA14" s="62">
        <f t="shared" si="95"/>
        <v>2.5000000000000001E-3</v>
      </c>
      <c r="GB14" s="62">
        <f t="shared" si="96"/>
        <v>4.0000000000000002E-4</v>
      </c>
      <c r="GC14" s="62">
        <f t="shared" si="97"/>
        <v>1.7499999999999998E-3</v>
      </c>
      <c r="GD14" s="62">
        <f t="shared" si="98"/>
        <v>0</v>
      </c>
      <c r="GE14" s="62">
        <f t="shared" si="99"/>
        <v>1.6999999999999999E-3</v>
      </c>
      <c r="GF14" s="62">
        <f t="shared" si="100"/>
        <v>2.7500000000000002E-4</v>
      </c>
      <c r="GG14" s="62">
        <f t="shared" si="101"/>
        <v>1.719E-3</v>
      </c>
      <c r="GH14" s="62">
        <f t="shared" si="102"/>
        <v>3.0000000000000001E-3</v>
      </c>
      <c r="GI14" s="62">
        <f t="shared" si="103"/>
        <v>2.8999999999999998E-3</v>
      </c>
      <c r="GJ14" s="62">
        <f t="shared" si="104"/>
        <v>2.5000000000000001E-3</v>
      </c>
      <c r="GK14" s="62">
        <f t="shared" si="105"/>
        <v>2.7000000000000001E-3</v>
      </c>
      <c r="GL14" s="62">
        <f t="shared" si="106"/>
        <v>2.5000000000000001E-3</v>
      </c>
      <c r="GM14" s="62">
        <f t="shared" si="107"/>
        <v>2.2000000000000001E-3</v>
      </c>
      <c r="GN14" s="62">
        <f t="shared" si="108"/>
        <v>1.6000000000000001E-3</v>
      </c>
      <c r="GO14" s="62">
        <f t="shared" si="109"/>
        <v>1E-4</v>
      </c>
      <c r="GP14" s="62">
        <f t="shared" si="110"/>
        <v>1E-4</v>
      </c>
      <c r="GQ14" s="62">
        <f t="shared" si="111"/>
        <v>1.1000000000000001E-3</v>
      </c>
      <c r="GR14" s="62">
        <f t="shared" si="112"/>
        <v>2.0000000000000001E-4</v>
      </c>
      <c r="GS14" s="62">
        <f t="shared" si="113"/>
        <v>2.5000000000000001E-3</v>
      </c>
      <c r="GT14" s="62">
        <f t="shared" si="114"/>
        <v>3.3E-3</v>
      </c>
      <c r="GU14" s="62">
        <f t="shared" si="115"/>
        <v>4.0000000000000001E-3</v>
      </c>
      <c r="GV14" s="62">
        <f t="shared" si="116"/>
        <v>3.5000000000000001E-3</v>
      </c>
      <c r="GW14" s="62">
        <f t="shared" si="117"/>
        <v>3.3E-3</v>
      </c>
      <c r="GX14" s="62">
        <f t="shared" si="118"/>
        <v>3.3999999999999998E-3</v>
      </c>
      <c r="GY14" s="62">
        <f t="shared" si="119"/>
        <v>5.0000000000000001E-3</v>
      </c>
      <c r="GZ14" s="62">
        <f t="shared" si="120"/>
        <v>2.5000000000000001E-3</v>
      </c>
      <c r="HA14" s="62">
        <f t="shared" si="121"/>
        <v>2.63E-3</v>
      </c>
      <c r="HB14" s="62">
        <f t="shared" si="122"/>
        <v>6.9999999999999999E-4</v>
      </c>
      <c r="HC14" s="62">
        <f t="shared" si="123"/>
        <v>5.0000000000000001E-4</v>
      </c>
      <c r="HD14" s="62">
        <f t="shared" si="124"/>
        <v>6.9999999999999999E-4</v>
      </c>
      <c r="HE14" s="62">
        <f t="shared" si="125"/>
        <v>4.4999999999999997E-3</v>
      </c>
      <c r="HF14" s="62">
        <f t="shared" si="126"/>
        <v>0</v>
      </c>
      <c r="HG14" s="62">
        <f t="shared" si="127"/>
        <v>6.0000000000000001E-3</v>
      </c>
      <c r="HH14" s="62">
        <f t="shared" si="128"/>
        <v>8.9999999999999998E-4</v>
      </c>
      <c r="HI14" s="62">
        <f t="shared" si="129"/>
        <v>6.0000000000000001E-3</v>
      </c>
    </row>
    <row r="15" spans="1:217" x14ac:dyDescent="0.2">
      <c r="B15" s="72">
        <f t="shared" si="4"/>
        <v>9</v>
      </c>
      <c r="D15" s="62">
        <v>0</v>
      </c>
      <c r="E15" s="73">
        <v>2.3000000000000001E-4</v>
      </c>
      <c r="F15" s="73">
        <v>8.0000000000000004E-4</v>
      </c>
      <c r="G15" s="73">
        <v>4.7000000000000002E-3</v>
      </c>
      <c r="H15" s="73">
        <v>5.9999999999999995E-4</v>
      </c>
      <c r="I15" s="73">
        <v>2.5999999999999999E-3</v>
      </c>
      <c r="J15" s="73">
        <v>3.5999999999999999E-3</v>
      </c>
      <c r="K15" s="73">
        <v>8.0000000000000004E-4</v>
      </c>
      <c r="L15" s="73">
        <v>1E-4</v>
      </c>
      <c r="M15" s="73">
        <v>6.9999999999999999E-4</v>
      </c>
      <c r="N15" s="73">
        <v>1.8E-3</v>
      </c>
      <c r="O15" s="73">
        <v>2.9999999999999997E-4</v>
      </c>
      <c r="P15" s="73">
        <v>1.7499999999999998E-3</v>
      </c>
      <c r="Q15" s="73">
        <v>6.9999999999999999E-4</v>
      </c>
      <c r="R15" s="73">
        <v>2.5000000000000001E-3</v>
      </c>
      <c r="S15" s="73">
        <v>3.3999999999999998E-3</v>
      </c>
      <c r="T15" s="73">
        <v>6.9999999999999999E-4</v>
      </c>
      <c r="U15" s="73">
        <v>2.3999999999999998E-3</v>
      </c>
      <c r="V15" s="73">
        <v>4.1000000000000003E-3</v>
      </c>
      <c r="W15" s="73">
        <v>3.8999999999999998E-3</v>
      </c>
      <c r="X15" s="73">
        <v>4.0000000000000001E-3</v>
      </c>
      <c r="Y15" s="73">
        <v>3.3999999999999998E-3</v>
      </c>
      <c r="Z15" s="73">
        <v>2.3999999999999998E-3</v>
      </c>
      <c r="AA15" s="73">
        <v>8.0000000000000004E-4</v>
      </c>
      <c r="AB15" s="73">
        <v>2.5000000000000001E-3</v>
      </c>
      <c r="AC15" s="73">
        <v>2.3999999999999998E-3</v>
      </c>
      <c r="AD15" s="73">
        <v>2.5000000000000001E-3</v>
      </c>
      <c r="AE15" s="73">
        <v>8.9999999999999998E-4</v>
      </c>
      <c r="AF15" s="73">
        <v>4.7999999999999996E-3</v>
      </c>
      <c r="AG15" s="73">
        <v>2E-3</v>
      </c>
      <c r="AH15" s="73">
        <v>2.8999999999999998E-3</v>
      </c>
      <c r="AI15" s="73">
        <v>5.0000000000000001E-4</v>
      </c>
      <c r="AJ15" s="73">
        <v>2.5000000000000001E-3</v>
      </c>
      <c r="AK15" s="62">
        <v>3.3E-4</v>
      </c>
      <c r="AL15" s="62">
        <v>9.6000000000000002E-4</v>
      </c>
      <c r="AM15" s="62">
        <f t="shared" si="0"/>
        <v>1E-4</v>
      </c>
      <c r="AN15" s="62">
        <f t="shared" si="0"/>
        <v>0</v>
      </c>
      <c r="AO15" s="62">
        <f t="shared" si="0"/>
        <v>2.5000000000000001E-3</v>
      </c>
      <c r="AP15" s="62">
        <f t="shared" si="5"/>
        <v>1.6999999999999999E-3</v>
      </c>
      <c r="AQ15" s="62">
        <f t="shared" si="5"/>
        <v>1.8E-3</v>
      </c>
      <c r="AR15" s="62">
        <v>3.5E-4</v>
      </c>
      <c r="AS15" s="62">
        <v>2.5999999999999998E-4</v>
      </c>
      <c r="AT15" s="62">
        <v>3.5E-4</v>
      </c>
      <c r="AU15" s="62">
        <v>8.7000000000000001E-4</v>
      </c>
      <c r="AV15" s="62">
        <v>1.47E-3</v>
      </c>
      <c r="AW15" s="69">
        <f t="shared" si="131"/>
        <v>1.4000000000000001E-4</v>
      </c>
      <c r="AX15" s="69">
        <f t="shared" si="132"/>
        <v>1.4000000000000001E-4</v>
      </c>
      <c r="AY15" s="69">
        <f t="shared" si="133"/>
        <v>1.4000000000000001E-4</v>
      </c>
      <c r="AZ15" s="69">
        <f t="shared" si="134"/>
        <v>1.4000000000000001E-4</v>
      </c>
      <c r="BA15" s="69">
        <f t="shared" si="138"/>
        <v>6.6E-4</v>
      </c>
      <c r="BB15" s="69">
        <f t="shared" si="139"/>
        <v>6.6E-4</v>
      </c>
      <c r="BC15" s="69">
        <f t="shared" si="140"/>
        <v>6.6E-4</v>
      </c>
      <c r="BD15" s="69">
        <f t="shared" si="141"/>
        <v>6.6E-4</v>
      </c>
      <c r="BE15" s="69">
        <f t="shared" si="136"/>
        <v>4.0000000000000002E-4</v>
      </c>
      <c r="BF15" s="69">
        <f t="shared" si="136"/>
        <v>4.0000000000000002E-4</v>
      </c>
      <c r="BG15" s="69">
        <f t="shared" si="136"/>
        <v>4.0000000000000002E-4</v>
      </c>
      <c r="BH15" s="69">
        <f t="shared" si="136"/>
        <v>4.0000000000000002E-4</v>
      </c>
      <c r="BI15" s="69">
        <f t="shared" si="142"/>
        <v>3.6999999999999999E-4</v>
      </c>
      <c r="BJ15" s="69">
        <f t="shared" si="143"/>
        <v>3.6999999999999999E-4</v>
      </c>
      <c r="BK15" s="69">
        <f t="shared" si="144"/>
        <v>3.6999999999999999E-4</v>
      </c>
      <c r="BL15" s="69">
        <f t="shared" si="145"/>
        <v>3.6999999999999999E-4</v>
      </c>
      <c r="BM15" s="69">
        <f t="shared" si="146"/>
        <v>3.3E-4</v>
      </c>
      <c r="BN15" s="69">
        <f t="shared" si="147"/>
        <v>3.3E-4</v>
      </c>
      <c r="BO15" s="69">
        <f t="shared" si="148"/>
        <v>3.3E-4</v>
      </c>
      <c r="BP15" s="69">
        <f t="shared" si="149"/>
        <v>3.3E-4</v>
      </c>
      <c r="BQ15" s="75">
        <f>BQ14</f>
        <v>2.7999999999999998E-4</v>
      </c>
      <c r="BR15" s="75">
        <f t="shared" ref="BR15:CB30" si="152">BR14</f>
        <v>2.7999999999999998E-4</v>
      </c>
      <c r="BS15" s="75">
        <f t="shared" si="152"/>
        <v>2.7999999999999998E-4</v>
      </c>
      <c r="BT15" s="75">
        <f t="shared" si="152"/>
        <v>2.7999999999999998E-4</v>
      </c>
      <c r="BU15" s="75">
        <f t="shared" si="152"/>
        <v>4.8999999999999998E-4</v>
      </c>
      <c r="BV15" s="75">
        <f t="shared" si="152"/>
        <v>4.8999999999999998E-4</v>
      </c>
      <c r="BW15" s="75">
        <f t="shared" si="152"/>
        <v>4.8999999999999998E-4</v>
      </c>
      <c r="BX15" s="75">
        <f t="shared" si="152"/>
        <v>4.8999999999999998E-4</v>
      </c>
      <c r="BY15" s="75">
        <f t="shared" si="152"/>
        <v>4.8999999999999998E-4</v>
      </c>
      <c r="BZ15" s="75">
        <f t="shared" si="152"/>
        <v>4.8999999999999998E-4</v>
      </c>
      <c r="CA15" s="75">
        <f t="shared" si="152"/>
        <v>4.8999999999999998E-4</v>
      </c>
      <c r="CB15" s="75">
        <f t="shared" si="152"/>
        <v>4.8999999999999998E-4</v>
      </c>
      <c r="CC15" s="69">
        <f t="shared" si="6"/>
        <v>2.5000000000000001E-4</v>
      </c>
      <c r="CD15" s="69">
        <f t="shared" si="7"/>
        <v>2.5000000000000001E-4</v>
      </c>
      <c r="CE15" s="69">
        <f t="shared" si="8"/>
        <v>2.5000000000000001E-4</v>
      </c>
      <c r="CF15" s="69">
        <f t="shared" si="9"/>
        <v>2.5000000000000001E-4</v>
      </c>
      <c r="CG15" s="69">
        <f t="shared" si="10"/>
        <v>5.0000000000000001E-4</v>
      </c>
      <c r="CH15" s="69">
        <f t="shared" si="11"/>
        <v>5.0000000000000001E-4</v>
      </c>
      <c r="CI15" s="69">
        <f t="shared" si="12"/>
        <v>5.0000000000000001E-4</v>
      </c>
      <c r="CJ15" s="69">
        <f t="shared" si="13"/>
        <v>5.0000000000000001E-4</v>
      </c>
      <c r="CK15" s="69">
        <f t="shared" si="14"/>
        <v>1E-3</v>
      </c>
      <c r="CL15" s="69">
        <f t="shared" si="15"/>
        <v>1E-3</v>
      </c>
      <c r="CM15" s="69">
        <f t="shared" si="16"/>
        <v>1E-3</v>
      </c>
      <c r="CN15" s="69">
        <f t="shared" si="17"/>
        <v>1E-3</v>
      </c>
      <c r="CO15" s="69">
        <v>0</v>
      </c>
      <c r="CP15" s="69">
        <v>0</v>
      </c>
      <c r="CQ15" s="69">
        <v>0</v>
      </c>
      <c r="CR15" s="69">
        <v>0</v>
      </c>
      <c r="CS15" s="69">
        <v>0</v>
      </c>
      <c r="CT15" s="69">
        <v>0</v>
      </c>
      <c r="CU15" s="69">
        <v>0</v>
      </c>
      <c r="CV15" s="69">
        <v>0</v>
      </c>
      <c r="CW15" s="69">
        <v>0</v>
      </c>
      <c r="CX15" s="69">
        <v>0</v>
      </c>
      <c r="CY15" s="69">
        <v>0</v>
      </c>
      <c r="CZ15" s="69">
        <v>0</v>
      </c>
      <c r="DA15" s="62">
        <f t="shared" si="18"/>
        <v>1.5E-3</v>
      </c>
      <c r="DB15" s="62">
        <f t="shared" si="19"/>
        <v>2.5000000000000001E-3</v>
      </c>
      <c r="DC15" s="62">
        <v>3.2000000000000002E-3</v>
      </c>
      <c r="DD15" s="62">
        <f t="shared" si="20"/>
        <v>2.0999999999999999E-3</v>
      </c>
      <c r="DE15" s="62">
        <f t="shared" si="21"/>
        <v>2E-3</v>
      </c>
      <c r="DF15" s="62">
        <f t="shared" si="22"/>
        <v>2.2000000000000001E-3</v>
      </c>
      <c r="DG15" s="62">
        <f t="shared" si="23"/>
        <v>2.3E-3</v>
      </c>
      <c r="DH15" s="62">
        <f t="shared" si="24"/>
        <v>2.5000000000000001E-3</v>
      </c>
      <c r="DI15" s="62">
        <f t="shared" si="25"/>
        <v>2.5999999999999999E-3</v>
      </c>
      <c r="DJ15" s="62">
        <f t="shared" si="26"/>
        <v>3.2000000000000002E-3</v>
      </c>
      <c r="DK15" s="62">
        <f t="shared" si="27"/>
        <v>2.9999999999999997E-4</v>
      </c>
      <c r="DL15" s="62">
        <f t="shared" si="28"/>
        <v>2.5000000000000001E-3</v>
      </c>
      <c r="DM15" s="62">
        <f t="shared" si="29"/>
        <v>5.0000000000000001E-4</v>
      </c>
      <c r="DN15" s="62">
        <f t="shared" si="30"/>
        <v>1.1999999999999999E-3</v>
      </c>
      <c r="DO15" s="62">
        <f t="shared" si="31"/>
        <v>1.9E-3</v>
      </c>
      <c r="DP15" s="62">
        <f t="shared" si="32"/>
        <v>1E-3</v>
      </c>
      <c r="DQ15" s="62">
        <f t="shared" si="33"/>
        <v>2.0999999999999999E-3</v>
      </c>
      <c r="DR15" s="62">
        <f t="shared" si="34"/>
        <v>8.9999999999999998E-4</v>
      </c>
      <c r="DS15" s="62">
        <f t="shared" si="35"/>
        <v>2.0999999999999999E-3</v>
      </c>
      <c r="DT15" s="62">
        <f t="shared" si="36"/>
        <v>1.4E-3</v>
      </c>
      <c r="DU15" s="62">
        <f t="shared" si="37"/>
        <v>1.6000000000000001E-3</v>
      </c>
      <c r="DV15" s="62">
        <f t="shared" si="38"/>
        <v>2.3999999999999998E-3</v>
      </c>
      <c r="DW15" s="62">
        <f t="shared" si="39"/>
        <v>5.0000000000000001E-3</v>
      </c>
      <c r="DX15" s="62">
        <f t="shared" si="40"/>
        <v>2E-3</v>
      </c>
      <c r="DY15" s="62">
        <f t="shared" si="41"/>
        <v>0</v>
      </c>
      <c r="DZ15" s="62">
        <f t="shared" si="42"/>
        <v>1.5E-3</v>
      </c>
      <c r="EA15" s="62">
        <f t="shared" si="43"/>
        <v>2.0000000000000001E-4</v>
      </c>
      <c r="EB15" s="62">
        <f t="shared" si="44"/>
        <v>1.5E-3</v>
      </c>
      <c r="EC15" s="62">
        <f t="shared" si="45"/>
        <v>2.7000000000000001E-3</v>
      </c>
      <c r="ED15" s="62">
        <f t="shared" si="46"/>
        <v>2.5000000000000001E-3</v>
      </c>
      <c r="EE15" s="62">
        <f t="shared" si="47"/>
        <v>0</v>
      </c>
      <c r="EF15" s="62">
        <f t="shared" si="48"/>
        <v>2.5000000000000001E-3</v>
      </c>
      <c r="EG15" s="62">
        <f t="shared" si="49"/>
        <v>1.1000000000000001E-3</v>
      </c>
      <c r="EH15" s="62">
        <f t="shared" si="50"/>
        <v>2.5000000000000001E-3</v>
      </c>
      <c r="EI15" s="62">
        <f t="shared" si="51"/>
        <v>8.0000000000000004E-4</v>
      </c>
      <c r="EJ15" s="62">
        <f t="shared" si="52"/>
        <v>2.5000000000000001E-3</v>
      </c>
      <c r="EK15" s="62">
        <f t="shared" si="53"/>
        <v>7.5000000000000002E-4</v>
      </c>
      <c r="EL15" s="62">
        <f t="shared" si="54"/>
        <v>2.5000000000000001E-3</v>
      </c>
      <c r="EM15" s="62">
        <f t="shared" si="55"/>
        <v>3.2000000000000002E-3</v>
      </c>
      <c r="EN15" s="62">
        <f t="shared" si="56"/>
        <v>2.3999999999999998E-3</v>
      </c>
      <c r="EO15" s="62">
        <f t="shared" si="57"/>
        <v>0</v>
      </c>
      <c r="EP15" s="62">
        <f t="shared" si="58"/>
        <v>2E-3</v>
      </c>
      <c r="EQ15" s="62">
        <f t="shared" si="59"/>
        <v>1.1000000000000001E-3</v>
      </c>
      <c r="ER15" s="62">
        <f t="shared" si="60"/>
        <v>2.2000000000000001E-3</v>
      </c>
      <c r="ES15" s="62">
        <f t="shared" si="61"/>
        <v>1E-3</v>
      </c>
      <c r="ET15" s="62">
        <f t="shared" si="62"/>
        <v>4.0000000000000001E-3</v>
      </c>
      <c r="EU15" s="62">
        <f t="shared" si="63"/>
        <v>3.7000000000000002E-3</v>
      </c>
      <c r="EV15" s="62">
        <f t="shared" si="64"/>
        <v>4.7999999999999996E-3</v>
      </c>
      <c r="EW15" s="62">
        <f t="shared" si="65"/>
        <v>0</v>
      </c>
      <c r="EX15" s="62">
        <f t="shared" si="66"/>
        <v>2.5000000000000001E-3</v>
      </c>
      <c r="EY15" s="62">
        <f t="shared" si="67"/>
        <v>2.5000000000000001E-3</v>
      </c>
      <c r="EZ15" s="62">
        <f t="shared" si="68"/>
        <v>3.8999999999999998E-3</v>
      </c>
      <c r="FA15" s="62">
        <f t="shared" si="69"/>
        <v>6.1999999999999998E-3</v>
      </c>
      <c r="FB15" s="62">
        <f t="shared" si="70"/>
        <v>5.1000000000000004E-3</v>
      </c>
      <c r="FC15" s="62">
        <f t="shared" si="71"/>
        <v>2.8999999999999998E-3</v>
      </c>
      <c r="FD15" s="62">
        <f t="shared" si="72"/>
        <v>1.5E-3</v>
      </c>
      <c r="FE15" s="62">
        <f t="shared" si="73"/>
        <v>2.8E-3</v>
      </c>
      <c r="FF15" s="62">
        <f t="shared" si="74"/>
        <v>1.5E-3</v>
      </c>
      <c r="FG15" s="62">
        <f t="shared" si="75"/>
        <v>2.5999999999999999E-3</v>
      </c>
      <c r="FH15" s="62">
        <f t="shared" si="76"/>
        <v>1.5E-3</v>
      </c>
      <c r="FI15" s="62">
        <f t="shared" si="77"/>
        <v>2.7000000000000001E-3</v>
      </c>
      <c r="FJ15" s="62">
        <f t="shared" si="78"/>
        <v>1.5E-3</v>
      </c>
      <c r="FK15" s="62">
        <f t="shared" si="79"/>
        <v>3.3999999999999998E-3</v>
      </c>
      <c r="FL15" s="62">
        <f t="shared" si="80"/>
        <v>8.9999999999999998E-4</v>
      </c>
      <c r="FM15" s="62">
        <f t="shared" si="81"/>
        <v>2.6999999999999997E-3</v>
      </c>
      <c r="FN15" s="62">
        <f t="shared" si="82"/>
        <v>0</v>
      </c>
      <c r="FO15" s="62">
        <f t="shared" si="83"/>
        <v>2.5000000000000001E-3</v>
      </c>
      <c r="FP15" s="62">
        <f t="shared" si="84"/>
        <v>2.5000000000000001E-3</v>
      </c>
      <c r="FQ15" s="62">
        <f t="shared" si="85"/>
        <v>1.8E-3</v>
      </c>
      <c r="FR15" s="62">
        <f t="shared" si="86"/>
        <v>2E-3</v>
      </c>
      <c r="FS15" s="62">
        <f t="shared" si="87"/>
        <v>1.2999999999999999E-3</v>
      </c>
      <c r="FT15" s="62">
        <f t="shared" si="88"/>
        <v>2.3E-3</v>
      </c>
      <c r="FU15" s="62">
        <f t="shared" si="89"/>
        <v>2E-3</v>
      </c>
      <c r="FV15" s="62">
        <f t="shared" si="90"/>
        <v>2.3999999999999998E-3</v>
      </c>
      <c r="FW15" s="62">
        <f t="shared" si="91"/>
        <v>2.0999999999999999E-3</v>
      </c>
      <c r="FX15" s="62">
        <f t="shared" si="92"/>
        <v>4.0000000000000002E-4</v>
      </c>
      <c r="FY15" s="62">
        <f t="shared" si="93"/>
        <v>2.5000000000000001E-3</v>
      </c>
      <c r="FZ15" s="62">
        <f t="shared" si="94"/>
        <v>5.0000000000000001E-4</v>
      </c>
      <c r="GA15" s="62">
        <f t="shared" si="95"/>
        <v>2.5000000000000001E-3</v>
      </c>
      <c r="GB15" s="62">
        <f t="shared" si="96"/>
        <v>4.0000000000000002E-4</v>
      </c>
      <c r="GC15" s="62">
        <f t="shared" si="97"/>
        <v>1.7499999999999998E-3</v>
      </c>
      <c r="GD15" s="62">
        <f t="shared" si="98"/>
        <v>0</v>
      </c>
      <c r="GE15" s="62">
        <f t="shared" si="99"/>
        <v>1.6999999999999999E-3</v>
      </c>
      <c r="GF15" s="62">
        <f t="shared" si="100"/>
        <v>2.7500000000000002E-4</v>
      </c>
      <c r="GG15" s="62">
        <f t="shared" si="101"/>
        <v>1.719E-3</v>
      </c>
      <c r="GH15" s="62">
        <f t="shared" si="102"/>
        <v>3.0000000000000001E-3</v>
      </c>
      <c r="GI15" s="62">
        <f t="shared" si="103"/>
        <v>2.8999999999999998E-3</v>
      </c>
      <c r="GJ15" s="62">
        <f t="shared" si="104"/>
        <v>2.5000000000000001E-3</v>
      </c>
      <c r="GK15" s="62">
        <f t="shared" si="105"/>
        <v>2.7000000000000001E-3</v>
      </c>
      <c r="GL15" s="62">
        <f t="shared" si="106"/>
        <v>2.5000000000000001E-3</v>
      </c>
      <c r="GM15" s="62">
        <f t="shared" si="107"/>
        <v>2.2000000000000001E-3</v>
      </c>
      <c r="GN15" s="62">
        <f t="shared" si="108"/>
        <v>1.6000000000000001E-3</v>
      </c>
      <c r="GO15" s="62">
        <f t="shared" si="109"/>
        <v>1E-4</v>
      </c>
      <c r="GP15" s="62">
        <f t="shared" si="110"/>
        <v>1E-4</v>
      </c>
      <c r="GQ15" s="62">
        <f t="shared" si="111"/>
        <v>1.1000000000000001E-3</v>
      </c>
      <c r="GR15" s="62">
        <f t="shared" si="112"/>
        <v>2.0000000000000001E-4</v>
      </c>
      <c r="GS15" s="62">
        <f t="shared" si="113"/>
        <v>2.5000000000000001E-3</v>
      </c>
      <c r="GT15" s="62">
        <f t="shared" si="114"/>
        <v>3.3E-3</v>
      </c>
      <c r="GU15" s="62">
        <f t="shared" si="115"/>
        <v>4.0000000000000001E-3</v>
      </c>
      <c r="GV15" s="62">
        <f t="shared" si="116"/>
        <v>3.5000000000000001E-3</v>
      </c>
      <c r="GW15" s="62">
        <f t="shared" si="117"/>
        <v>3.3E-3</v>
      </c>
      <c r="GX15" s="62">
        <f t="shared" si="118"/>
        <v>3.3999999999999998E-3</v>
      </c>
      <c r="GY15" s="62">
        <f t="shared" si="119"/>
        <v>5.0000000000000001E-3</v>
      </c>
      <c r="GZ15" s="62">
        <f t="shared" si="120"/>
        <v>2.5000000000000001E-3</v>
      </c>
      <c r="HA15" s="62">
        <f t="shared" si="121"/>
        <v>2.63E-3</v>
      </c>
      <c r="HB15" s="62">
        <f t="shared" si="122"/>
        <v>6.9999999999999999E-4</v>
      </c>
      <c r="HC15" s="62">
        <f t="shared" si="123"/>
        <v>5.0000000000000001E-4</v>
      </c>
      <c r="HD15" s="62">
        <f t="shared" si="124"/>
        <v>6.9999999999999999E-4</v>
      </c>
      <c r="HE15" s="62">
        <f t="shared" si="125"/>
        <v>4.4999999999999997E-3</v>
      </c>
      <c r="HF15" s="62">
        <f t="shared" si="126"/>
        <v>0</v>
      </c>
      <c r="HG15" s="62">
        <f t="shared" si="127"/>
        <v>6.0000000000000001E-3</v>
      </c>
      <c r="HH15" s="62">
        <f t="shared" si="128"/>
        <v>8.9999999999999998E-4</v>
      </c>
      <c r="HI15" s="62">
        <f t="shared" si="129"/>
        <v>6.0000000000000001E-3</v>
      </c>
    </row>
    <row r="16" spans="1:217" x14ac:dyDescent="0.2">
      <c r="B16" s="72">
        <f t="shared" si="4"/>
        <v>10</v>
      </c>
      <c r="D16" s="62">
        <v>0</v>
      </c>
      <c r="E16" s="73">
        <v>2.3000000000000001E-4</v>
      </c>
      <c r="F16" s="73">
        <v>8.0000000000000004E-4</v>
      </c>
      <c r="G16" s="73">
        <v>4.7000000000000002E-3</v>
      </c>
      <c r="H16" s="73">
        <v>5.9999999999999995E-4</v>
      </c>
      <c r="I16" s="73">
        <v>2.5999999999999999E-3</v>
      </c>
      <c r="J16" s="73">
        <v>3.5999999999999999E-3</v>
      </c>
      <c r="K16" s="73">
        <v>8.0000000000000004E-4</v>
      </c>
      <c r="L16" s="73">
        <v>1E-4</v>
      </c>
      <c r="M16" s="73">
        <v>6.9999999999999999E-4</v>
      </c>
      <c r="N16" s="73">
        <v>1.8E-3</v>
      </c>
      <c r="O16" s="73">
        <v>2.9999999999999997E-4</v>
      </c>
      <c r="P16" s="73">
        <v>1.7499999999999998E-3</v>
      </c>
      <c r="Q16" s="73">
        <v>6.9999999999999999E-4</v>
      </c>
      <c r="R16" s="73">
        <v>2.5000000000000001E-3</v>
      </c>
      <c r="S16" s="73">
        <v>3.3999999999999998E-3</v>
      </c>
      <c r="T16" s="73">
        <v>6.9999999999999999E-4</v>
      </c>
      <c r="U16" s="73">
        <v>2.3999999999999998E-3</v>
      </c>
      <c r="V16" s="73">
        <v>4.1000000000000003E-3</v>
      </c>
      <c r="W16" s="73">
        <v>3.8999999999999998E-3</v>
      </c>
      <c r="X16" s="73">
        <v>4.0000000000000001E-3</v>
      </c>
      <c r="Y16" s="73">
        <v>3.3999999999999998E-3</v>
      </c>
      <c r="Z16" s="73">
        <v>2.3999999999999998E-3</v>
      </c>
      <c r="AA16" s="73">
        <v>8.0000000000000004E-4</v>
      </c>
      <c r="AB16" s="73">
        <v>2.5000000000000001E-3</v>
      </c>
      <c r="AC16" s="73">
        <v>2.3999999999999998E-3</v>
      </c>
      <c r="AD16" s="73">
        <v>2.5000000000000001E-3</v>
      </c>
      <c r="AE16" s="73">
        <v>8.9999999999999998E-4</v>
      </c>
      <c r="AF16" s="73">
        <v>4.7999999999999996E-3</v>
      </c>
      <c r="AG16" s="73">
        <v>2E-3</v>
      </c>
      <c r="AH16" s="73">
        <v>2.8999999999999998E-3</v>
      </c>
      <c r="AI16" s="73">
        <v>5.0000000000000001E-4</v>
      </c>
      <c r="AJ16" s="73">
        <v>2.5000000000000001E-3</v>
      </c>
      <c r="AK16" s="62">
        <v>3.3E-4</v>
      </c>
      <c r="AL16" s="62">
        <v>9.6000000000000002E-4</v>
      </c>
      <c r="AM16" s="62">
        <f t="shared" si="0"/>
        <v>1E-4</v>
      </c>
      <c r="AN16" s="62">
        <f t="shared" si="0"/>
        <v>0</v>
      </c>
      <c r="AO16" s="62">
        <f t="shared" si="0"/>
        <v>2.5000000000000001E-3</v>
      </c>
      <c r="AP16" s="62">
        <f t="shared" si="5"/>
        <v>1.6999999999999999E-3</v>
      </c>
      <c r="AQ16" s="62">
        <f t="shared" si="5"/>
        <v>1.8E-3</v>
      </c>
      <c r="AR16" s="62">
        <v>3.5E-4</v>
      </c>
      <c r="AS16" s="62">
        <v>2.5999999999999998E-4</v>
      </c>
      <c r="AT16" s="62">
        <v>3.5E-4</v>
      </c>
      <c r="AU16" s="62">
        <v>8.7000000000000001E-4</v>
      </c>
      <c r="AV16" s="62">
        <v>1.47E-3</v>
      </c>
      <c r="AW16" s="69">
        <f t="shared" si="131"/>
        <v>1.4000000000000001E-4</v>
      </c>
      <c r="AX16" s="69">
        <f t="shared" si="132"/>
        <v>1.4000000000000001E-4</v>
      </c>
      <c r="AY16" s="69">
        <f t="shared" si="133"/>
        <v>1.4000000000000001E-4</v>
      </c>
      <c r="AZ16" s="69">
        <f t="shared" si="134"/>
        <v>1.4000000000000001E-4</v>
      </c>
      <c r="BA16" s="69">
        <f t="shared" si="138"/>
        <v>6.6E-4</v>
      </c>
      <c r="BB16" s="69">
        <f t="shared" si="139"/>
        <v>6.6E-4</v>
      </c>
      <c r="BC16" s="69">
        <f t="shared" si="140"/>
        <v>6.6E-4</v>
      </c>
      <c r="BD16" s="69">
        <f t="shared" si="141"/>
        <v>6.6E-4</v>
      </c>
      <c r="BE16" s="69">
        <f t="shared" si="136"/>
        <v>4.0000000000000002E-4</v>
      </c>
      <c r="BF16" s="69">
        <f t="shared" si="136"/>
        <v>4.0000000000000002E-4</v>
      </c>
      <c r="BG16" s="69">
        <f t="shared" si="136"/>
        <v>4.0000000000000002E-4</v>
      </c>
      <c r="BH16" s="69">
        <f t="shared" si="136"/>
        <v>4.0000000000000002E-4</v>
      </c>
      <c r="BI16" s="69">
        <f t="shared" si="142"/>
        <v>3.6999999999999999E-4</v>
      </c>
      <c r="BJ16" s="69">
        <f t="shared" si="143"/>
        <v>3.6999999999999999E-4</v>
      </c>
      <c r="BK16" s="69">
        <f t="shared" si="144"/>
        <v>3.6999999999999999E-4</v>
      </c>
      <c r="BL16" s="69">
        <f t="shared" si="145"/>
        <v>3.6999999999999999E-4</v>
      </c>
      <c r="BM16" s="69">
        <f t="shared" si="146"/>
        <v>3.3E-4</v>
      </c>
      <c r="BN16" s="69">
        <f t="shared" si="147"/>
        <v>3.3E-4</v>
      </c>
      <c r="BO16" s="69">
        <f t="shared" si="148"/>
        <v>3.3E-4</v>
      </c>
      <c r="BP16" s="69">
        <f t="shared" si="149"/>
        <v>3.3E-4</v>
      </c>
      <c r="BQ16" s="75">
        <f t="shared" ref="BQ16:BQ36" si="153">BQ15</f>
        <v>2.7999999999999998E-4</v>
      </c>
      <c r="BR16" s="75">
        <f t="shared" si="152"/>
        <v>2.7999999999999998E-4</v>
      </c>
      <c r="BS16" s="75">
        <f t="shared" si="152"/>
        <v>2.7999999999999998E-4</v>
      </c>
      <c r="BT16" s="75">
        <f t="shared" si="152"/>
        <v>2.7999999999999998E-4</v>
      </c>
      <c r="BU16" s="75">
        <f t="shared" si="152"/>
        <v>4.8999999999999998E-4</v>
      </c>
      <c r="BV16" s="75">
        <f t="shared" si="152"/>
        <v>4.8999999999999998E-4</v>
      </c>
      <c r="BW16" s="75">
        <f t="shared" si="152"/>
        <v>4.8999999999999998E-4</v>
      </c>
      <c r="BX16" s="75">
        <f t="shared" si="152"/>
        <v>4.8999999999999998E-4</v>
      </c>
      <c r="BY16" s="75">
        <f t="shared" si="152"/>
        <v>4.8999999999999998E-4</v>
      </c>
      <c r="BZ16" s="75">
        <f t="shared" si="152"/>
        <v>4.8999999999999998E-4</v>
      </c>
      <c r="CA16" s="75">
        <f t="shared" si="152"/>
        <v>4.8999999999999998E-4</v>
      </c>
      <c r="CB16" s="75">
        <f t="shared" si="152"/>
        <v>4.8999999999999998E-4</v>
      </c>
      <c r="CC16" s="69">
        <f t="shared" si="6"/>
        <v>2.5000000000000001E-4</v>
      </c>
      <c r="CD16" s="69">
        <f t="shared" si="7"/>
        <v>2.5000000000000001E-4</v>
      </c>
      <c r="CE16" s="69">
        <f t="shared" si="8"/>
        <v>2.5000000000000001E-4</v>
      </c>
      <c r="CF16" s="69">
        <f t="shared" si="9"/>
        <v>2.5000000000000001E-4</v>
      </c>
      <c r="CG16" s="69">
        <f t="shared" si="10"/>
        <v>5.0000000000000001E-4</v>
      </c>
      <c r="CH16" s="69">
        <f t="shared" si="11"/>
        <v>5.0000000000000001E-4</v>
      </c>
      <c r="CI16" s="69">
        <f t="shared" si="12"/>
        <v>5.0000000000000001E-4</v>
      </c>
      <c r="CJ16" s="69">
        <f t="shared" si="13"/>
        <v>5.0000000000000001E-4</v>
      </c>
      <c r="CK16" s="69">
        <f t="shared" si="14"/>
        <v>1E-3</v>
      </c>
      <c r="CL16" s="69">
        <f t="shared" si="15"/>
        <v>1E-3</v>
      </c>
      <c r="CM16" s="69">
        <f t="shared" si="16"/>
        <v>1E-3</v>
      </c>
      <c r="CN16" s="69">
        <f t="shared" si="17"/>
        <v>1E-3</v>
      </c>
      <c r="CO16" s="69">
        <v>4.0000000000000001E-3</v>
      </c>
      <c r="CP16" s="69">
        <v>4.0000000000000001E-3</v>
      </c>
      <c r="CQ16" s="69">
        <v>2E-3</v>
      </c>
      <c r="CR16" s="69">
        <v>2E-3</v>
      </c>
      <c r="CS16" s="69">
        <v>0</v>
      </c>
      <c r="CT16" s="69">
        <v>0</v>
      </c>
      <c r="CU16" s="69">
        <v>0</v>
      </c>
      <c r="CV16" s="69">
        <v>0</v>
      </c>
      <c r="CW16" s="69">
        <v>0</v>
      </c>
      <c r="CX16" s="69">
        <v>0</v>
      </c>
      <c r="CY16" s="69">
        <v>0</v>
      </c>
      <c r="CZ16" s="69">
        <v>0</v>
      </c>
      <c r="DA16" s="62">
        <f t="shared" si="18"/>
        <v>1.5E-3</v>
      </c>
      <c r="DB16" s="62">
        <f t="shared" si="19"/>
        <v>2.5000000000000001E-3</v>
      </c>
      <c r="DC16" s="62">
        <v>3.2000000000000002E-3</v>
      </c>
      <c r="DD16" s="62">
        <f t="shared" si="20"/>
        <v>2.0999999999999999E-3</v>
      </c>
      <c r="DE16" s="62">
        <f t="shared" si="21"/>
        <v>2E-3</v>
      </c>
      <c r="DF16" s="62">
        <f t="shared" si="22"/>
        <v>2.2000000000000001E-3</v>
      </c>
      <c r="DG16" s="62">
        <f t="shared" si="23"/>
        <v>2.3E-3</v>
      </c>
      <c r="DH16" s="62">
        <f t="shared" si="24"/>
        <v>2.5000000000000001E-3</v>
      </c>
      <c r="DI16" s="62">
        <f t="shared" si="25"/>
        <v>2.5999999999999999E-3</v>
      </c>
      <c r="DJ16" s="62">
        <f t="shared" si="26"/>
        <v>3.2000000000000002E-3</v>
      </c>
      <c r="DK16" s="62">
        <f t="shared" si="27"/>
        <v>2.9999999999999997E-4</v>
      </c>
      <c r="DL16" s="62">
        <f t="shared" si="28"/>
        <v>2.5000000000000001E-3</v>
      </c>
      <c r="DM16" s="62">
        <f t="shared" si="29"/>
        <v>5.0000000000000001E-4</v>
      </c>
      <c r="DN16" s="62">
        <f t="shared" si="30"/>
        <v>1.1999999999999999E-3</v>
      </c>
      <c r="DO16" s="62">
        <f t="shared" si="31"/>
        <v>1.9E-3</v>
      </c>
      <c r="DP16" s="62">
        <f t="shared" si="32"/>
        <v>1E-3</v>
      </c>
      <c r="DQ16" s="62">
        <f t="shared" si="33"/>
        <v>2.0999999999999999E-3</v>
      </c>
      <c r="DR16" s="62">
        <f t="shared" si="34"/>
        <v>8.9999999999999998E-4</v>
      </c>
      <c r="DS16" s="62">
        <f t="shared" si="35"/>
        <v>2.0999999999999999E-3</v>
      </c>
      <c r="DT16" s="62">
        <f t="shared" si="36"/>
        <v>1.4E-3</v>
      </c>
      <c r="DU16" s="62">
        <f t="shared" si="37"/>
        <v>1.6000000000000001E-3</v>
      </c>
      <c r="DV16" s="62">
        <f t="shared" si="38"/>
        <v>2.3999999999999998E-3</v>
      </c>
      <c r="DW16" s="62">
        <f t="shared" si="39"/>
        <v>5.0000000000000001E-3</v>
      </c>
      <c r="DX16" s="62">
        <f t="shared" si="40"/>
        <v>2E-3</v>
      </c>
      <c r="DY16" s="62">
        <f t="shared" si="41"/>
        <v>0</v>
      </c>
      <c r="DZ16" s="62">
        <f t="shared" si="42"/>
        <v>1.5E-3</v>
      </c>
      <c r="EA16" s="62">
        <f t="shared" si="43"/>
        <v>2.0000000000000001E-4</v>
      </c>
      <c r="EB16" s="62">
        <f t="shared" si="44"/>
        <v>1.5E-3</v>
      </c>
      <c r="EC16" s="62">
        <f t="shared" si="45"/>
        <v>2.7000000000000001E-3</v>
      </c>
      <c r="ED16" s="62">
        <f t="shared" si="46"/>
        <v>2.5000000000000001E-3</v>
      </c>
      <c r="EE16" s="62">
        <f t="shared" si="47"/>
        <v>0</v>
      </c>
      <c r="EF16" s="62">
        <f t="shared" si="48"/>
        <v>2.5000000000000001E-3</v>
      </c>
      <c r="EG16" s="62">
        <f t="shared" si="49"/>
        <v>1.1000000000000001E-3</v>
      </c>
      <c r="EH16" s="62">
        <f t="shared" si="50"/>
        <v>2.5000000000000001E-3</v>
      </c>
      <c r="EI16" s="62">
        <f t="shared" si="51"/>
        <v>8.0000000000000004E-4</v>
      </c>
      <c r="EJ16" s="62">
        <f t="shared" si="52"/>
        <v>2.5000000000000001E-3</v>
      </c>
      <c r="EK16" s="62">
        <f t="shared" si="53"/>
        <v>7.5000000000000002E-4</v>
      </c>
      <c r="EL16" s="62">
        <f t="shared" si="54"/>
        <v>2.5000000000000001E-3</v>
      </c>
      <c r="EM16" s="62">
        <f t="shared" si="55"/>
        <v>3.2000000000000002E-3</v>
      </c>
      <c r="EN16" s="62">
        <f t="shared" si="56"/>
        <v>2.3999999999999998E-3</v>
      </c>
      <c r="EO16" s="62">
        <f t="shared" si="57"/>
        <v>0</v>
      </c>
      <c r="EP16" s="62">
        <f t="shared" si="58"/>
        <v>2E-3</v>
      </c>
      <c r="EQ16" s="62">
        <f t="shared" si="59"/>
        <v>1.1000000000000001E-3</v>
      </c>
      <c r="ER16" s="62">
        <f t="shared" si="60"/>
        <v>2.2000000000000001E-3</v>
      </c>
      <c r="ES16" s="62">
        <f t="shared" si="61"/>
        <v>1E-3</v>
      </c>
      <c r="ET16" s="62">
        <f t="shared" si="62"/>
        <v>4.0000000000000001E-3</v>
      </c>
      <c r="EU16" s="62">
        <f t="shared" si="63"/>
        <v>3.7000000000000002E-3</v>
      </c>
      <c r="EV16" s="62">
        <f t="shared" si="64"/>
        <v>4.7999999999999996E-3</v>
      </c>
      <c r="EW16" s="62">
        <f t="shared" si="65"/>
        <v>0</v>
      </c>
      <c r="EX16" s="62">
        <f t="shared" si="66"/>
        <v>2.5000000000000001E-3</v>
      </c>
      <c r="EY16" s="62">
        <f t="shared" si="67"/>
        <v>2.5000000000000001E-3</v>
      </c>
      <c r="EZ16" s="62">
        <f t="shared" si="68"/>
        <v>3.8999999999999998E-3</v>
      </c>
      <c r="FA16" s="62">
        <f t="shared" si="69"/>
        <v>6.1999999999999998E-3</v>
      </c>
      <c r="FB16" s="62">
        <f t="shared" si="70"/>
        <v>5.1000000000000004E-3</v>
      </c>
      <c r="FC16" s="62">
        <f t="shared" si="71"/>
        <v>2.8999999999999998E-3</v>
      </c>
      <c r="FD16" s="62">
        <f t="shared" si="72"/>
        <v>1.5E-3</v>
      </c>
      <c r="FE16" s="62">
        <f t="shared" si="73"/>
        <v>2.8E-3</v>
      </c>
      <c r="FF16" s="62">
        <f t="shared" si="74"/>
        <v>1.5E-3</v>
      </c>
      <c r="FG16" s="62">
        <f t="shared" si="75"/>
        <v>2.5999999999999999E-3</v>
      </c>
      <c r="FH16" s="62">
        <f t="shared" si="76"/>
        <v>1.5E-3</v>
      </c>
      <c r="FI16" s="62">
        <f t="shared" si="77"/>
        <v>2.7000000000000001E-3</v>
      </c>
      <c r="FJ16" s="62">
        <f t="shared" si="78"/>
        <v>1.5E-3</v>
      </c>
      <c r="FK16" s="62">
        <f t="shared" si="79"/>
        <v>3.3999999999999998E-3</v>
      </c>
      <c r="FL16" s="62">
        <f t="shared" si="80"/>
        <v>8.9999999999999998E-4</v>
      </c>
      <c r="FM16" s="62">
        <f t="shared" si="81"/>
        <v>2.6999999999999997E-3</v>
      </c>
      <c r="FN16" s="62">
        <f t="shared" si="82"/>
        <v>0</v>
      </c>
      <c r="FO16" s="62">
        <f t="shared" si="83"/>
        <v>2.5000000000000001E-3</v>
      </c>
      <c r="FP16" s="62">
        <f t="shared" si="84"/>
        <v>2.5000000000000001E-3</v>
      </c>
      <c r="FQ16" s="62">
        <f t="shared" si="85"/>
        <v>1.8E-3</v>
      </c>
      <c r="FR16" s="62">
        <f t="shared" si="86"/>
        <v>2E-3</v>
      </c>
      <c r="FS16" s="62">
        <f t="shared" si="87"/>
        <v>1.2999999999999999E-3</v>
      </c>
      <c r="FT16" s="62">
        <f t="shared" si="88"/>
        <v>2.3E-3</v>
      </c>
      <c r="FU16" s="62">
        <f t="shared" si="89"/>
        <v>2E-3</v>
      </c>
      <c r="FV16" s="62">
        <f t="shared" si="90"/>
        <v>2.3999999999999998E-3</v>
      </c>
      <c r="FW16" s="62">
        <f t="shared" si="91"/>
        <v>2.0999999999999999E-3</v>
      </c>
      <c r="FX16" s="62">
        <f t="shared" si="92"/>
        <v>4.0000000000000002E-4</v>
      </c>
      <c r="FY16" s="62">
        <f t="shared" si="93"/>
        <v>2.5000000000000001E-3</v>
      </c>
      <c r="FZ16" s="62">
        <f t="shared" si="94"/>
        <v>5.0000000000000001E-4</v>
      </c>
      <c r="GA16" s="62">
        <f t="shared" si="95"/>
        <v>2.5000000000000001E-3</v>
      </c>
      <c r="GB16" s="62">
        <f t="shared" si="96"/>
        <v>4.0000000000000002E-4</v>
      </c>
      <c r="GC16" s="62">
        <f t="shared" si="97"/>
        <v>1.7499999999999998E-3</v>
      </c>
      <c r="GD16" s="62">
        <f t="shared" si="98"/>
        <v>0</v>
      </c>
      <c r="GE16" s="62">
        <f t="shared" si="99"/>
        <v>1.6999999999999999E-3</v>
      </c>
      <c r="GF16" s="62">
        <f t="shared" si="100"/>
        <v>2.7500000000000002E-4</v>
      </c>
      <c r="GG16" s="62">
        <f t="shared" si="101"/>
        <v>1.719E-3</v>
      </c>
      <c r="GH16" s="62">
        <f t="shared" si="102"/>
        <v>3.0000000000000001E-3</v>
      </c>
      <c r="GI16" s="62">
        <f t="shared" si="103"/>
        <v>2.8999999999999998E-3</v>
      </c>
      <c r="GJ16" s="62">
        <f t="shared" si="104"/>
        <v>2.5000000000000001E-3</v>
      </c>
      <c r="GK16" s="62">
        <f t="shared" si="105"/>
        <v>2.7000000000000001E-3</v>
      </c>
      <c r="GL16" s="62">
        <f t="shared" si="106"/>
        <v>2.5000000000000001E-3</v>
      </c>
      <c r="GM16" s="62">
        <f t="shared" si="107"/>
        <v>2.2000000000000001E-3</v>
      </c>
      <c r="GN16" s="62">
        <f t="shared" si="108"/>
        <v>1.6000000000000001E-3</v>
      </c>
      <c r="GO16" s="62">
        <f t="shared" si="109"/>
        <v>1E-4</v>
      </c>
      <c r="GP16" s="62">
        <f t="shared" si="110"/>
        <v>1E-4</v>
      </c>
      <c r="GQ16" s="62">
        <f t="shared" si="111"/>
        <v>1.1000000000000001E-3</v>
      </c>
      <c r="GR16" s="62">
        <f t="shared" si="112"/>
        <v>2.0000000000000001E-4</v>
      </c>
      <c r="GS16" s="62">
        <f t="shared" si="113"/>
        <v>2.5000000000000001E-3</v>
      </c>
      <c r="GT16" s="62">
        <f t="shared" si="114"/>
        <v>3.3E-3</v>
      </c>
      <c r="GU16" s="62">
        <f t="shared" si="115"/>
        <v>4.0000000000000001E-3</v>
      </c>
      <c r="GV16" s="62">
        <f t="shared" si="116"/>
        <v>3.5000000000000001E-3</v>
      </c>
      <c r="GW16" s="62">
        <f t="shared" si="117"/>
        <v>3.3E-3</v>
      </c>
      <c r="GX16" s="62">
        <f t="shared" si="118"/>
        <v>3.3999999999999998E-3</v>
      </c>
      <c r="GY16" s="62">
        <f t="shared" si="119"/>
        <v>5.0000000000000001E-3</v>
      </c>
      <c r="GZ16" s="62">
        <f t="shared" si="120"/>
        <v>2.5000000000000001E-3</v>
      </c>
      <c r="HA16" s="62">
        <f t="shared" si="121"/>
        <v>2.63E-3</v>
      </c>
      <c r="HB16" s="62">
        <f t="shared" si="122"/>
        <v>6.9999999999999999E-4</v>
      </c>
      <c r="HC16" s="62">
        <f t="shared" si="123"/>
        <v>5.0000000000000001E-4</v>
      </c>
      <c r="HD16" s="62">
        <f t="shared" si="124"/>
        <v>6.9999999999999999E-4</v>
      </c>
      <c r="HE16" s="62">
        <f t="shared" si="125"/>
        <v>4.4999999999999997E-3</v>
      </c>
      <c r="HF16" s="62">
        <f t="shared" si="126"/>
        <v>0</v>
      </c>
      <c r="HG16" s="62">
        <f t="shared" si="127"/>
        <v>6.0000000000000001E-3</v>
      </c>
      <c r="HH16" s="62">
        <f t="shared" si="128"/>
        <v>8.9999999999999998E-4</v>
      </c>
      <c r="HI16" s="62">
        <f t="shared" si="129"/>
        <v>6.0000000000000001E-3</v>
      </c>
    </row>
    <row r="17" spans="2:217" x14ac:dyDescent="0.2">
      <c r="B17" s="72">
        <f t="shared" si="4"/>
        <v>11</v>
      </c>
      <c r="D17" s="62">
        <v>0</v>
      </c>
      <c r="E17" s="73">
        <v>2.3000000000000001E-4</v>
      </c>
      <c r="F17" s="73">
        <v>8.0000000000000004E-4</v>
      </c>
      <c r="G17" s="73">
        <v>4.7000000000000002E-3</v>
      </c>
      <c r="H17" s="73">
        <v>5.9999999999999995E-4</v>
      </c>
      <c r="I17" s="73">
        <v>2.5999999999999999E-3</v>
      </c>
      <c r="J17" s="73">
        <v>3.5999999999999999E-3</v>
      </c>
      <c r="K17" s="73">
        <v>8.0000000000000004E-4</v>
      </c>
      <c r="L17" s="73">
        <v>1E-4</v>
      </c>
      <c r="M17" s="73">
        <v>6.9999999999999999E-4</v>
      </c>
      <c r="N17" s="73">
        <v>1.8E-3</v>
      </c>
      <c r="O17" s="73">
        <v>2.9999999999999997E-4</v>
      </c>
      <c r="P17" s="73">
        <v>1.7499999999999998E-3</v>
      </c>
      <c r="Q17" s="73">
        <v>6.9999999999999999E-4</v>
      </c>
      <c r="R17" s="73">
        <v>2.5000000000000001E-3</v>
      </c>
      <c r="S17" s="73">
        <v>3.3999999999999998E-3</v>
      </c>
      <c r="T17" s="73">
        <v>6.9999999999999999E-4</v>
      </c>
      <c r="U17" s="73">
        <v>2.3999999999999998E-3</v>
      </c>
      <c r="V17" s="73">
        <v>4.1000000000000003E-3</v>
      </c>
      <c r="W17" s="73">
        <v>3.8999999999999998E-3</v>
      </c>
      <c r="X17" s="73">
        <v>4.0000000000000001E-3</v>
      </c>
      <c r="Y17" s="73">
        <v>3.3999999999999998E-3</v>
      </c>
      <c r="Z17" s="73">
        <v>2.3999999999999998E-3</v>
      </c>
      <c r="AA17" s="73">
        <v>8.0000000000000004E-4</v>
      </c>
      <c r="AB17" s="73">
        <v>2.5000000000000001E-3</v>
      </c>
      <c r="AC17" s="73">
        <v>2.3999999999999998E-3</v>
      </c>
      <c r="AD17" s="73">
        <v>2.5000000000000001E-3</v>
      </c>
      <c r="AE17" s="73">
        <v>8.9999999999999998E-4</v>
      </c>
      <c r="AF17" s="73">
        <v>4.7999999999999996E-3</v>
      </c>
      <c r="AG17" s="73">
        <v>2E-3</v>
      </c>
      <c r="AH17" s="73">
        <v>2.8999999999999998E-3</v>
      </c>
      <c r="AI17" s="73">
        <v>5.0000000000000001E-4</v>
      </c>
      <c r="AJ17" s="73">
        <v>2.5000000000000001E-3</v>
      </c>
      <c r="AK17" s="62">
        <v>3.3E-4</v>
      </c>
      <c r="AL17" s="62">
        <v>9.6000000000000002E-4</v>
      </c>
      <c r="AM17" s="62">
        <f t="shared" si="0"/>
        <v>1E-4</v>
      </c>
      <c r="AN17" s="62">
        <f t="shared" si="0"/>
        <v>0</v>
      </c>
      <c r="AO17" s="62">
        <f t="shared" si="0"/>
        <v>2.5000000000000001E-3</v>
      </c>
      <c r="AP17" s="62">
        <f t="shared" si="5"/>
        <v>1.6999999999999999E-3</v>
      </c>
      <c r="AQ17" s="62">
        <f t="shared" si="5"/>
        <v>1.8E-3</v>
      </c>
      <c r="AR17" s="62">
        <v>3.5E-4</v>
      </c>
      <c r="AS17" s="62">
        <v>2.5999999999999998E-4</v>
      </c>
      <c r="AT17" s="62">
        <v>3.5E-4</v>
      </c>
      <c r="AU17" s="62">
        <v>8.7000000000000001E-4</v>
      </c>
      <c r="AV17" s="62">
        <v>1.47E-3</v>
      </c>
      <c r="AW17" s="69">
        <f t="shared" si="131"/>
        <v>1.4000000000000001E-4</v>
      </c>
      <c r="AX17" s="69">
        <f t="shared" si="132"/>
        <v>1.4000000000000001E-4</v>
      </c>
      <c r="AY17" s="69">
        <f t="shared" si="133"/>
        <v>1.4000000000000001E-4</v>
      </c>
      <c r="AZ17" s="69">
        <f t="shared" si="134"/>
        <v>1.4000000000000001E-4</v>
      </c>
      <c r="BA17" s="69">
        <f t="shared" si="138"/>
        <v>6.6E-4</v>
      </c>
      <c r="BB17" s="69">
        <f t="shared" si="139"/>
        <v>6.6E-4</v>
      </c>
      <c r="BC17" s="69">
        <f t="shared" si="140"/>
        <v>6.6E-4</v>
      </c>
      <c r="BD17" s="69">
        <f t="shared" si="141"/>
        <v>6.6E-4</v>
      </c>
      <c r="BE17" s="69">
        <f t="shared" si="136"/>
        <v>4.0000000000000002E-4</v>
      </c>
      <c r="BF17" s="69">
        <f t="shared" si="136"/>
        <v>4.0000000000000002E-4</v>
      </c>
      <c r="BG17" s="69">
        <f t="shared" si="136"/>
        <v>4.0000000000000002E-4</v>
      </c>
      <c r="BH17" s="69">
        <f t="shared" si="136"/>
        <v>4.0000000000000002E-4</v>
      </c>
      <c r="BI17" s="69">
        <f t="shared" si="142"/>
        <v>3.6999999999999999E-4</v>
      </c>
      <c r="BJ17" s="69">
        <f t="shared" si="143"/>
        <v>3.6999999999999999E-4</v>
      </c>
      <c r="BK17" s="69">
        <f t="shared" si="144"/>
        <v>3.6999999999999999E-4</v>
      </c>
      <c r="BL17" s="69">
        <f t="shared" si="145"/>
        <v>3.6999999999999999E-4</v>
      </c>
      <c r="BM17" s="69">
        <f t="shared" si="146"/>
        <v>3.3E-4</v>
      </c>
      <c r="BN17" s="69">
        <f t="shared" si="147"/>
        <v>3.3E-4</v>
      </c>
      <c r="BO17" s="69">
        <f t="shared" si="148"/>
        <v>3.3E-4</v>
      </c>
      <c r="BP17" s="69">
        <f t="shared" si="149"/>
        <v>3.3E-4</v>
      </c>
      <c r="BQ17" s="75">
        <f t="shared" si="153"/>
        <v>2.7999999999999998E-4</v>
      </c>
      <c r="BR17" s="75">
        <f t="shared" si="152"/>
        <v>2.7999999999999998E-4</v>
      </c>
      <c r="BS17" s="75">
        <f t="shared" si="152"/>
        <v>2.7999999999999998E-4</v>
      </c>
      <c r="BT17" s="75">
        <f t="shared" si="152"/>
        <v>2.7999999999999998E-4</v>
      </c>
      <c r="BU17" s="75">
        <f t="shared" si="152"/>
        <v>4.8999999999999998E-4</v>
      </c>
      <c r="BV17" s="75">
        <f t="shared" si="152"/>
        <v>4.8999999999999998E-4</v>
      </c>
      <c r="BW17" s="75">
        <f t="shared" si="152"/>
        <v>4.8999999999999998E-4</v>
      </c>
      <c r="BX17" s="75">
        <f t="shared" si="152"/>
        <v>4.8999999999999998E-4</v>
      </c>
      <c r="BY17" s="75">
        <f t="shared" si="152"/>
        <v>4.8999999999999998E-4</v>
      </c>
      <c r="BZ17" s="75">
        <f t="shared" si="152"/>
        <v>4.8999999999999998E-4</v>
      </c>
      <c r="CA17" s="75">
        <f t="shared" si="152"/>
        <v>4.8999999999999998E-4</v>
      </c>
      <c r="CB17" s="75">
        <f t="shared" si="152"/>
        <v>4.8999999999999998E-4</v>
      </c>
      <c r="CC17" s="69">
        <f t="shared" si="6"/>
        <v>2.5000000000000001E-4</v>
      </c>
      <c r="CD17" s="69">
        <f t="shared" si="7"/>
        <v>2.5000000000000001E-4</v>
      </c>
      <c r="CE17" s="69">
        <f t="shared" si="8"/>
        <v>2.5000000000000001E-4</v>
      </c>
      <c r="CF17" s="69">
        <f t="shared" si="9"/>
        <v>2.5000000000000001E-4</v>
      </c>
      <c r="CG17" s="69">
        <f t="shared" si="10"/>
        <v>5.0000000000000001E-4</v>
      </c>
      <c r="CH17" s="69">
        <f t="shared" si="11"/>
        <v>5.0000000000000001E-4</v>
      </c>
      <c r="CI17" s="69">
        <f t="shared" si="12"/>
        <v>5.0000000000000001E-4</v>
      </c>
      <c r="CJ17" s="69">
        <f t="shared" si="13"/>
        <v>5.0000000000000001E-4</v>
      </c>
      <c r="CK17" s="69">
        <f t="shared" si="14"/>
        <v>1E-3</v>
      </c>
      <c r="CL17" s="69">
        <f t="shared" si="15"/>
        <v>1E-3</v>
      </c>
      <c r="CM17" s="69">
        <f t="shared" si="16"/>
        <v>1E-3</v>
      </c>
      <c r="CN17" s="69">
        <f t="shared" si="17"/>
        <v>1E-3</v>
      </c>
      <c r="CO17" s="69">
        <v>0</v>
      </c>
      <c r="CP17" s="69">
        <v>0</v>
      </c>
      <c r="CQ17" s="69">
        <v>0</v>
      </c>
      <c r="CR17" s="69">
        <v>0</v>
      </c>
      <c r="CS17" s="69">
        <v>5.0000000000000001E-3</v>
      </c>
      <c r="CT17" s="69">
        <v>5.0000000000000001E-3</v>
      </c>
      <c r="CU17" s="69">
        <v>2.5000000000000001E-3</v>
      </c>
      <c r="CV17" s="69">
        <v>2.5000000000000001E-3</v>
      </c>
      <c r="CW17" s="69">
        <v>0</v>
      </c>
      <c r="CX17" s="69">
        <v>0</v>
      </c>
      <c r="CY17" s="69">
        <v>0</v>
      </c>
      <c r="CZ17" s="69">
        <v>0</v>
      </c>
      <c r="DA17" s="62">
        <f t="shared" si="18"/>
        <v>1.5E-3</v>
      </c>
      <c r="DB17" s="62">
        <f t="shared" si="19"/>
        <v>2.5000000000000001E-3</v>
      </c>
      <c r="DC17" s="62">
        <v>3.2000000000000002E-3</v>
      </c>
      <c r="DD17" s="62">
        <f t="shared" si="20"/>
        <v>2.0999999999999999E-3</v>
      </c>
      <c r="DE17" s="62">
        <f t="shared" si="21"/>
        <v>2E-3</v>
      </c>
      <c r="DF17" s="62">
        <f t="shared" si="22"/>
        <v>2.2000000000000001E-3</v>
      </c>
      <c r="DG17" s="62">
        <f t="shared" si="23"/>
        <v>2.3E-3</v>
      </c>
      <c r="DH17" s="62">
        <f t="shared" si="24"/>
        <v>2.5000000000000001E-3</v>
      </c>
      <c r="DI17" s="62">
        <f t="shared" si="25"/>
        <v>2.5999999999999999E-3</v>
      </c>
      <c r="DJ17" s="62">
        <f t="shared" si="26"/>
        <v>3.2000000000000002E-3</v>
      </c>
      <c r="DK17" s="62">
        <f t="shared" si="27"/>
        <v>2.9999999999999997E-4</v>
      </c>
      <c r="DL17" s="62">
        <f t="shared" si="28"/>
        <v>2.5000000000000001E-3</v>
      </c>
      <c r="DM17" s="62">
        <f t="shared" si="29"/>
        <v>5.0000000000000001E-4</v>
      </c>
      <c r="DN17" s="62">
        <f t="shared" si="30"/>
        <v>1.1999999999999999E-3</v>
      </c>
      <c r="DO17" s="62">
        <f t="shared" si="31"/>
        <v>1.9E-3</v>
      </c>
      <c r="DP17" s="62">
        <f t="shared" si="32"/>
        <v>1E-3</v>
      </c>
      <c r="DQ17" s="62">
        <f t="shared" si="33"/>
        <v>2.0999999999999999E-3</v>
      </c>
      <c r="DR17" s="62">
        <f t="shared" si="34"/>
        <v>8.9999999999999998E-4</v>
      </c>
      <c r="DS17" s="62">
        <f t="shared" si="35"/>
        <v>2.0999999999999999E-3</v>
      </c>
      <c r="DT17" s="62">
        <f t="shared" si="36"/>
        <v>1.4E-3</v>
      </c>
      <c r="DU17" s="62">
        <f t="shared" si="37"/>
        <v>1.6000000000000001E-3</v>
      </c>
      <c r="DV17" s="62">
        <f t="shared" si="38"/>
        <v>2.3999999999999998E-3</v>
      </c>
      <c r="DW17" s="62">
        <f t="shared" si="39"/>
        <v>5.0000000000000001E-3</v>
      </c>
      <c r="DX17" s="62">
        <f t="shared" si="40"/>
        <v>2E-3</v>
      </c>
      <c r="DY17" s="62">
        <f t="shared" si="41"/>
        <v>0</v>
      </c>
      <c r="DZ17" s="62">
        <f t="shared" si="42"/>
        <v>1.5E-3</v>
      </c>
      <c r="EA17" s="62">
        <f t="shared" si="43"/>
        <v>2.0000000000000001E-4</v>
      </c>
      <c r="EB17" s="62">
        <f t="shared" si="44"/>
        <v>1.5E-3</v>
      </c>
      <c r="EC17" s="62">
        <f t="shared" si="45"/>
        <v>2.7000000000000001E-3</v>
      </c>
      <c r="ED17" s="62">
        <f t="shared" si="46"/>
        <v>2.5000000000000001E-3</v>
      </c>
      <c r="EE17" s="62">
        <f t="shared" si="47"/>
        <v>0</v>
      </c>
      <c r="EF17" s="62">
        <f t="shared" si="48"/>
        <v>2.5000000000000001E-3</v>
      </c>
      <c r="EG17" s="62">
        <f t="shared" si="49"/>
        <v>1.1000000000000001E-3</v>
      </c>
      <c r="EH17" s="62">
        <f t="shared" si="50"/>
        <v>2.5000000000000001E-3</v>
      </c>
      <c r="EI17" s="62">
        <f t="shared" si="51"/>
        <v>8.0000000000000004E-4</v>
      </c>
      <c r="EJ17" s="62">
        <f t="shared" si="52"/>
        <v>2.5000000000000001E-3</v>
      </c>
      <c r="EK17" s="62">
        <f t="shared" si="53"/>
        <v>7.5000000000000002E-4</v>
      </c>
      <c r="EL17" s="62">
        <f t="shared" si="54"/>
        <v>2.5000000000000001E-3</v>
      </c>
      <c r="EM17" s="62">
        <f t="shared" si="55"/>
        <v>3.2000000000000002E-3</v>
      </c>
      <c r="EN17" s="62">
        <f t="shared" si="56"/>
        <v>2.3999999999999998E-3</v>
      </c>
      <c r="EO17" s="62">
        <f t="shared" si="57"/>
        <v>0</v>
      </c>
      <c r="EP17" s="62">
        <f t="shared" si="58"/>
        <v>2E-3</v>
      </c>
      <c r="EQ17" s="62">
        <f t="shared" si="59"/>
        <v>1.1000000000000001E-3</v>
      </c>
      <c r="ER17" s="62">
        <f t="shared" si="60"/>
        <v>2.2000000000000001E-3</v>
      </c>
      <c r="ES17" s="62">
        <f t="shared" si="61"/>
        <v>1E-3</v>
      </c>
      <c r="ET17" s="62">
        <f t="shared" si="62"/>
        <v>4.0000000000000001E-3</v>
      </c>
      <c r="EU17" s="62">
        <f t="shared" si="63"/>
        <v>3.7000000000000002E-3</v>
      </c>
      <c r="EV17" s="62">
        <f t="shared" si="64"/>
        <v>4.7999999999999996E-3</v>
      </c>
      <c r="EW17" s="62">
        <f t="shared" si="65"/>
        <v>0</v>
      </c>
      <c r="EX17" s="62">
        <f t="shared" si="66"/>
        <v>2.5000000000000001E-3</v>
      </c>
      <c r="EY17" s="62">
        <f t="shared" si="67"/>
        <v>2.5000000000000001E-3</v>
      </c>
      <c r="EZ17" s="62">
        <f t="shared" si="68"/>
        <v>3.8999999999999998E-3</v>
      </c>
      <c r="FA17" s="62">
        <f t="shared" si="69"/>
        <v>6.1999999999999998E-3</v>
      </c>
      <c r="FB17" s="62">
        <f t="shared" si="70"/>
        <v>5.1000000000000004E-3</v>
      </c>
      <c r="FC17" s="62">
        <f t="shared" si="71"/>
        <v>2.8999999999999998E-3</v>
      </c>
      <c r="FD17" s="62">
        <f t="shared" si="72"/>
        <v>1.5E-3</v>
      </c>
      <c r="FE17" s="62">
        <f t="shared" si="73"/>
        <v>2.8E-3</v>
      </c>
      <c r="FF17" s="62">
        <f t="shared" si="74"/>
        <v>1.5E-3</v>
      </c>
      <c r="FG17" s="62">
        <f t="shared" si="75"/>
        <v>2.5999999999999999E-3</v>
      </c>
      <c r="FH17" s="62">
        <f t="shared" si="76"/>
        <v>1.5E-3</v>
      </c>
      <c r="FI17" s="62">
        <f t="shared" si="77"/>
        <v>2.7000000000000001E-3</v>
      </c>
      <c r="FJ17" s="62">
        <f t="shared" si="78"/>
        <v>1.5E-3</v>
      </c>
      <c r="FK17" s="62">
        <f t="shared" si="79"/>
        <v>3.3999999999999998E-3</v>
      </c>
      <c r="FL17" s="62">
        <f t="shared" si="80"/>
        <v>8.9999999999999998E-4</v>
      </c>
      <c r="FM17" s="62">
        <f t="shared" si="81"/>
        <v>2.6999999999999997E-3</v>
      </c>
      <c r="FN17" s="62">
        <f t="shared" si="82"/>
        <v>0</v>
      </c>
      <c r="FO17" s="62">
        <f t="shared" si="83"/>
        <v>2.5000000000000001E-3</v>
      </c>
      <c r="FP17" s="62">
        <f t="shared" si="84"/>
        <v>2.5000000000000001E-3</v>
      </c>
      <c r="FQ17" s="62">
        <f t="shared" si="85"/>
        <v>1.8E-3</v>
      </c>
      <c r="FR17" s="62">
        <f t="shared" si="86"/>
        <v>2E-3</v>
      </c>
      <c r="FS17" s="62">
        <f t="shared" si="87"/>
        <v>1.2999999999999999E-3</v>
      </c>
      <c r="FT17" s="62">
        <f t="shared" si="88"/>
        <v>2.3E-3</v>
      </c>
      <c r="FU17" s="62">
        <f t="shared" si="89"/>
        <v>2E-3</v>
      </c>
      <c r="FV17" s="62">
        <f t="shared" si="90"/>
        <v>2.3999999999999998E-3</v>
      </c>
      <c r="FW17" s="62">
        <f t="shared" si="91"/>
        <v>2.0999999999999999E-3</v>
      </c>
      <c r="FX17" s="62">
        <f t="shared" si="92"/>
        <v>4.0000000000000002E-4</v>
      </c>
      <c r="FY17" s="62">
        <f t="shared" si="93"/>
        <v>2.5000000000000001E-3</v>
      </c>
      <c r="FZ17" s="62">
        <f t="shared" si="94"/>
        <v>5.0000000000000001E-4</v>
      </c>
      <c r="GA17" s="62">
        <f t="shared" si="95"/>
        <v>2.5000000000000001E-3</v>
      </c>
      <c r="GB17" s="62">
        <f t="shared" si="96"/>
        <v>4.0000000000000002E-4</v>
      </c>
      <c r="GC17" s="62">
        <f t="shared" si="97"/>
        <v>1.7499999999999998E-3</v>
      </c>
      <c r="GD17" s="62">
        <f t="shared" si="98"/>
        <v>0</v>
      </c>
      <c r="GE17" s="62">
        <f t="shared" si="99"/>
        <v>1.6999999999999999E-3</v>
      </c>
      <c r="GF17" s="62">
        <f t="shared" si="100"/>
        <v>2.7500000000000002E-4</v>
      </c>
      <c r="GG17" s="62">
        <f t="shared" si="101"/>
        <v>1.719E-3</v>
      </c>
      <c r="GH17" s="62">
        <f t="shared" si="102"/>
        <v>3.0000000000000001E-3</v>
      </c>
      <c r="GI17" s="62">
        <f t="shared" si="103"/>
        <v>2.8999999999999998E-3</v>
      </c>
      <c r="GJ17" s="62">
        <f t="shared" si="104"/>
        <v>2.5000000000000001E-3</v>
      </c>
      <c r="GK17" s="62">
        <f t="shared" si="105"/>
        <v>2.7000000000000001E-3</v>
      </c>
      <c r="GL17" s="62">
        <f t="shared" si="106"/>
        <v>2.5000000000000001E-3</v>
      </c>
      <c r="GM17" s="62">
        <f t="shared" si="107"/>
        <v>2.2000000000000001E-3</v>
      </c>
      <c r="GN17" s="62">
        <f t="shared" si="108"/>
        <v>1.6000000000000001E-3</v>
      </c>
      <c r="GO17" s="62">
        <f t="shared" si="109"/>
        <v>1E-4</v>
      </c>
      <c r="GP17" s="62">
        <f t="shared" si="110"/>
        <v>1E-4</v>
      </c>
      <c r="GQ17" s="62">
        <f t="shared" si="111"/>
        <v>1.1000000000000001E-3</v>
      </c>
      <c r="GR17" s="62">
        <f t="shared" si="112"/>
        <v>2.0000000000000001E-4</v>
      </c>
      <c r="GS17" s="62">
        <f t="shared" si="113"/>
        <v>2.5000000000000001E-3</v>
      </c>
      <c r="GT17" s="62">
        <f t="shared" si="114"/>
        <v>3.3E-3</v>
      </c>
      <c r="GU17" s="62">
        <f t="shared" si="115"/>
        <v>4.0000000000000001E-3</v>
      </c>
      <c r="GV17" s="62">
        <f t="shared" si="116"/>
        <v>3.5000000000000001E-3</v>
      </c>
      <c r="GW17" s="62">
        <f t="shared" si="117"/>
        <v>3.3E-3</v>
      </c>
      <c r="GX17" s="62">
        <f t="shared" si="118"/>
        <v>3.3999999999999998E-3</v>
      </c>
      <c r="GY17" s="62">
        <f t="shared" si="119"/>
        <v>5.0000000000000001E-3</v>
      </c>
      <c r="GZ17" s="62">
        <f t="shared" si="120"/>
        <v>2.5000000000000001E-3</v>
      </c>
      <c r="HA17" s="62">
        <f t="shared" si="121"/>
        <v>2.63E-3</v>
      </c>
      <c r="HB17" s="62">
        <f t="shared" si="122"/>
        <v>6.9999999999999999E-4</v>
      </c>
      <c r="HC17" s="62">
        <f t="shared" si="123"/>
        <v>5.0000000000000001E-4</v>
      </c>
      <c r="HD17" s="62">
        <f t="shared" si="124"/>
        <v>6.9999999999999999E-4</v>
      </c>
      <c r="HE17" s="62">
        <f t="shared" si="125"/>
        <v>4.4999999999999997E-3</v>
      </c>
      <c r="HF17" s="62">
        <f t="shared" si="126"/>
        <v>0</v>
      </c>
      <c r="HG17" s="62">
        <f t="shared" si="127"/>
        <v>6.0000000000000001E-3</v>
      </c>
      <c r="HH17" s="62">
        <f t="shared" si="128"/>
        <v>8.9999999999999998E-4</v>
      </c>
      <c r="HI17" s="62">
        <f t="shared" si="129"/>
        <v>6.0000000000000001E-3</v>
      </c>
    </row>
    <row r="18" spans="2:217" x14ac:dyDescent="0.2">
      <c r="B18" s="72">
        <f t="shared" si="4"/>
        <v>12</v>
      </c>
      <c r="D18" s="62">
        <v>0</v>
      </c>
      <c r="E18" s="73">
        <v>2.3000000000000001E-4</v>
      </c>
      <c r="F18" s="73">
        <v>8.0000000000000004E-4</v>
      </c>
      <c r="G18" s="73">
        <v>4.7000000000000002E-3</v>
      </c>
      <c r="H18" s="73">
        <v>5.9999999999999995E-4</v>
      </c>
      <c r="I18" s="73">
        <v>2.5999999999999999E-3</v>
      </c>
      <c r="J18" s="73">
        <v>3.5999999999999999E-3</v>
      </c>
      <c r="K18" s="73">
        <v>8.0000000000000004E-4</v>
      </c>
      <c r="L18" s="73">
        <v>1E-4</v>
      </c>
      <c r="M18" s="73">
        <v>6.9999999999999999E-4</v>
      </c>
      <c r="N18" s="73">
        <v>1.8E-3</v>
      </c>
      <c r="O18" s="73">
        <v>2.9999999999999997E-4</v>
      </c>
      <c r="P18" s="73">
        <v>1.7499999999999998E-3</v>
      </c>
      <c r="Q18" s="73">
        <v>6.9999999999999999E-4</v>
      </c>
      <c r="R18" s="73">
        <v>2.5000000000000001E-3</v>
      </c>
      <c r="S18" s="73">
        <v>3.3999999999999998E-3</v>
      </c>
      <c r="T18" s="73">
        <v>6.9999999999999999E-4</v>
      </c>
      <c r="U18" s="73">
        <v>2.3999999999999998E-3</v>
      </c>
      <c r="V18" s="73">
        <v>4.1000000000000003E-3</v>
      </c>
      <c r="W18" s="73">
        <v>3.8999999999999998E-3</v>
      </c>
      <c r="X18" s="73">
        <v>4.0000000000000001E-3</v>
      </c>
      <c r="Y18" s="73">
        <v>3.3999999999999998E-3</v>
      </c>
      <c r="Z18" s="73">
        <v>2.3999999999999998E-3</v>
      </c>
      <c r="AA18" s="73">
        <v>8.0000000000000004E-4</v>
      </c>
      <c r="AB18" s="73">
        <v>2.5000000000000001E-3</v>
      </c>
      <c r="AC18" s="73">
        <v>2.3999999999999998E-3</v>
      </c>
      <c r="AD18" s="73">
        <v>2.5000000000000001E-3</v>
      </c>
      <c r="AE18" s="73">
        <v>8.9999999999999998E-4</v>
      </c>
      <c r="AF18" s="73">
        <v>4.7999999999999996E-3</v>
      </c>
      <c r="AG18" s="73">
        <v>2E-3</v>
      </c>
      <c r="AH18" s="73">
        <v>2.8999999999999998E-3</v>
      </c>
      <c r="AI18" s="73">
        <v>5.0000000000000001E-4</v>
      </c>
      <c r="AJ18" s="73">
        <v>2.5000000000000001E-3</v>
      </c>
      <c r="AK18" s="62">
        <v>3.3E-4</v>
      </c>
      <c r="AL18" s="62">
        <v>9.6000000000000002E-4</v>
      </c>
      <c r="AM18" s="62">
        <f t="shared" si="0"/>
        <v>1E-4</v>
      </c>
      <c r="AN18" s="62">
        <f t="shared" si="0"/>
        <v>0</v>
      </c>
      <c r="AO18" s="62">
        <f t="shared" si="0"/>
        <v>2.5000000000000001E-3</v>
      </c>
      <c r="AP18" s="62">
        <f t="shared" si="5"/>
        <v>1.6999999999999999E-3</v>
      </c>
      <c r="AQ18" s="62">
        <f t="shared" si="5"/>
        <v>1.8E-3</v>
      </c>
      <c r="AR18" s="62">
        <v>3.5E-4</v>
      </c>
      <c r="AS18" s="62">
        <v>2.5999999999999998E-4</v>
      </c>
      <c r="AT18" s="62">
        <v>3.5E-4</v>
      </c>
      <c r="AU18" s="62">
        <v>8.7000000000000001E-4</v>
      </c>
      <c r="AV18" s="62">
        <v>1.47E-3</v>
      </c>
      <c r="AW18" s="69">
        <f t="shared" si="131"/>
        <v>1.4000000000000001E-4</v>
      </c>
      <c r="AX18" s="69">
        <f t="shared" si="132"/>
        <v>1.4000000000000001E-4</v>
      </c>
      <c r="AY18" s="69">
        <f t="shared" si="133"/>
        <v>1.4000000000000001E-4</v>
      </c>
      <c r="AZ18" s="69">
        <f t="shared" si="134"/>
        <v>1.4000000000000001E-4</v>
      </c>
      <c r="BA18" s="69">
        <f t="shared" si="138"/>
        <v>6.6E-4</v>
      </c>
      <c r="BB18" s="69">
        <f t="shared" si="139"/>
        <v>6.6E-4</v>
      </c>
      <c r="BC18" s="69">
        <f t="shared" si="140"/>
        <v>6.6E-4</v>
      </c>
      <c r="BD18" s="69">
        <f t="shared" si="141"/>
        <v>6.6E-4</v>
      </c>
      <c r="BE18" s="69">
        <f t="shared" si="136"/>
        <v>4.0000000000000002E-4</v>
      </c>
      <c r="BF18" s="69">
        <f t="shared" si="136"/>
        <v>4.0000000000000002E-4</v>
      </c>
      <c r="BG18" s="69">
        <f t="shared" si="136"/>
        <v>4.0000000000000002E-4</v>
      </c>
      <c r="BH18" s="69">
        <f t="shared" si="136"/>
        <v>4.0000000000000002E-4</v>
      </c>
      <c r="BI18" s="69">
        <f t="shared" si="142"/>
        <v>3.6999999999999999E-4</v>
      </c>
      <c r="BJ18" s="69">
        <f t="shared" si="143"/>
        <v>3.6999999999999999E-4</v>
      </c>
      <c r="BK18" s="69">
        <f t="shared" si="144"/>
        <v>3.6999999999999999E-4</v>
      </c>
      <c r="BL18" s="69">
        <f t="shared" si="145"/>
        <v>3.6999999999999999E-4</v>
      </c>
      <c r="BM18" s="69">
        <f t="shared" si="146"/>
        <v>3.3E-4</v>
      </c>
      <c r="BN18" s="69">
        <f t="shared" si="147"/>
        <v>3.3E-4</v>
      </c>
      <c r="BO18" s="69">
        <f t="shared" si="148"/>
        <v>3.3E-4</v>
      </c>
      <c r="BP18" s="69">
        <f t="shared" si="149"/>
        <v>3.3E-4</v>
      </c>
      <c r="BQ18" s="75">
        <f t="shared" si="153"/>
        <v>2.7999999999999998E-4</v>
      </c>
      <c r="BR18" s="75">
        <f t="shared" si="152"/>
        <v>2.7999999999999998E-4</v>
      </c>
      <c r="BS18" s="75">
        <f t="shared" si="152"/>
        <v>2.7999999999999998E-4</v>
      </c>
      <c r="BT18" s="75">
        <f t="shared" si="152"/>
        <v>2.7999999999999998E-4</v>
      </c>
      <c r="BU18" s="75">
        <f t="shared" si="152"/>
        <v>4.8999999999999998E-4</v>
      </c>
      <c r="BV18" s="75">
        <f t="shared" si="152"/>
        <v>4.8999999999999998E-4</v>
      </c>
      <c r="BW18" s="75">
        <f t="shared" si="152"/>
        <v>4.8999999999999998E-4</v>
      </c>
      <c r="BX18" s="75">
        <f t="shared" si="152"/>
        <v>4.8999999999999998E-4</v>
      </c>
      <c r="BY18" s="75">
        <f t="shared" si="152"/>
        <v>4.8999999999999998E-4</v>
      </c>
      <c r="BZ18" s="75">
        <f t="shared" si="152"/>
        <v>4.8999999999999998E-4</v>
      </c>
      <c r="CA18" s="75">
        <f t="shared" si="152"/>
        <v>4.8999999999999998E-4</v>
      </c>
      <c r="CB18" s="75">
        <f t="shared" si="152"/>
        <v>4.8999999999999998E-4</v>
      </c>
      <c r="CC18" s="69">
        <f t="shared" si="6"/>
        <v>2.5000000000000001E-4</v>
      </c>
      <c r="CD18" s="69">
        <f t="shared" si="7"/>
        <v>2.5000000000000001E-4</v>
      </c>
      <c r="CE18" s="69">
        <f t="shared" si="8"/>
        <v>2.5000000000000001E-4</v>
      </c>
      <c r="CF18" s="69">
        <f t="shared" si="9"/>
        <v>2.5000000000000001E-4</v>
      </c>
      <c r="CG18" s="69">
        <f t="shared" si="10"/>
        <v>5.0000000000000001E-4</v>
      </c>
      <c r="CH18" s="69">
        <f t="shared" si="11"/>
        <v>5.0000000000000001E-4</v>
      </c>
      <c r="CI18" s="69">
        <f t="shared" si="12"/>
        <v>5.0000000000000001E-4</v>
      </c>
      <c r="CJ18" s="69">
        <f t="shared" si="13"/>
        <v>5.0000000000000001E-4</v>
      </c>
      <c r="CK18" s="69">
        <f t="shared" si="14"/>
        <v>1E-3</v>
      </c>
      <c r="CL18" s="69">
        <f t="shared" si="15"/>
        <v>1E-3</v>
      </c>
      <c r="CM18" s="69">
        <f t="shared" si="16"/>
        <v>1E-3</v>
      </c>
      <c r="CN18" s="69">
        <f t="shared" si="17"/>
        <v>1E-3</v>
      </c>
      <c r="CO18" s="69">
        <v>0</v>
      </c>
      <c r="CP18" s="69">
        <v>0</v>
      </c>
      <c r="CQ18" s="69">
        <v>0</v>
      </c>
      <c r="CR18" s="69">
        <v>0</v>
      </c>
      <c r="CS18" s="69">
        <v>0</v>
      </c>
      <c r="CT18" s="69">
        <v>0</v>
      </c>
      <c r="CU18" s="69">
        <v>0</v>
      </c>
      <c r="CV18" s="69">
        <v>0</v>
      </c>
      <c r="CW18" s="69">
        <v>0</v>
      </c>
      <c r="CX18" s="69">
        <v>0</v>
      </c>
      <c r="CY18" s="69">
        <v>0</v>
      </c>
      <c r="CZ18" s="69">
        <v>0</v>
      </c>
      <c r="DA18" s="62">
        <f t="shared" si="18"/>
        <v>1.5E-3</v>
      </c>
      <c r="DB18" s="62">
        <f t="shared" si="19"/>
        <v>2.5000000000000001E-3</v>
      </c>
      <c r="DC18" s="62">
        <v>3.2000000000000002E-3</v>
      </c>
      <c r="DD18" s="62">
        <f t="shared" si="20"/>
        <v>2.0999999999999999E-3</v>
      </c>
      <c r="DE18" s="62">
        <f t="shared" si="21"/>
        <v>2E-3</v>
      </c>
      <c r="DF18" s="62">
        <f t="shared" si="22"/>
        <v>2.2000000000000001E-3</v>
      </c>
      <c r="DG18" s="62">
        <f t="shared" si="23"/>
        <v>2.3E-3</v>
      </c>
      <c r="DH18" s="62">
        <f t="shared" si="24"/>
        <v>2.5000000000000001E-3</v>
      </c>
      <c r="DI18" s="62">
        <f t="shared" si="25"/>
        <v>2.5999999999999999E-3</v>
      </c>
      <c r="DJ18" s="62">
        <f t="shared" si="26"/>
        <v>3.2000000000000002E-3</v>
      </c>
      <c r="DK18" s="62">
        <f t="shared" si="27"/>
        <v>2.9999999999999997E-4</v>
      </c>
      <c r="DL18" s="62">
        <f t="shared" si="28"/>
        <v>2.5000000000000001E-3</v>
      </c>
      <c r="DM18" s="62">
        <f t="shared" si="29"/>
        <v>5.0000000000000001E-4</v>
      </c>
      <c r="DN18" s="62">
        <f t="shared" si="30"/>
        <v>1.1999999999999999E-3</v>
      </c>
      <c r="DO18" s="62">
        <f t="shared" si="31"/>
        <v>1.9E-3</v>
      </c>
      <c r="DP18" s="62">
        <f t="shared" si="32"/>
        <v>1E-3</v>
      </c>
      <c r="DQ18" s="62">
        <f t="shared" si="33"/>
        <v>2.0999999999999999E-3</v>
      </c>
      <c r="DR18" s="62">
        <f t="shared" si="34"/>
        <v>8.9999999999999998E-4</v>
      </c>
      <c r="DS18" s="62">
        <f t="shared" si="35"/>
        <v>2.0999999999999999E-3</v>
      </c>
      <c r="DT18" s="62">
        <f t="shared" si="36"/>
        <v>1.4E-3</v>
      </c>
      <c r="DU18" s="62">
        <f t="shared" si="37"/>
        <v>1.6000000000000001E-3</v>
      </c>
      <c r="DV18" s="62">
        <f t="shared" si="38"/>
        <v>2.3999999999999998E-3</v>
      </c>
      <c r="DW18" s="62">
        <f t="shared" si="39"/>
        <v>5.0000000000000001E-3</v>
      </c>
      <c r="DX18" s="62">
        <f t="shared" si="40"/>
        <v>2E-3</v>
      </c>
      <c r="DY18" s="62">
        <f t="shared" si="41"/>
        <v>0</v>
      </c>
      <c r="DZ18" s="62">
        <f t="shared" si="42"/>
        <v>1.5E-3</v>
      </c>
      <c r="EA18" s="62">
        <f t="shared" si="43"/>
        <v>2.0000000000000001E-4</v>
      </c>
      <c r="EB18" s="62">
        <f t="shared" si="44"/>
        <v>1.5E-3</v>
      </c>
      <c r="EC18" s="62">
        <f t="shared" si="45"/>
        <v>2.7000000000000001E-3</v>
      </c>
      <c r="ED18" s="62">
        <f t="shared" si="46"/>
        <v>2.5000000000000001E-3</v>
      </c>
      <c r="EE18" s="62">
        <f t="shared" si="47"/>
        <v>0</v>
      </c>
      <c r="EF18" s="62">
        <f t="shared" si="48"/>
        <v>2.5000000000000001E-3</v>
      </c>
      <c r="EG18" s="62">
        <f t="shared" si="49"/>
        <v>1.1000000000000001E-3</v>
      </c>
      <c r="EH18" s="62">
        <f t="shared" si="50"/>
        <v>2.5000000000000001E-3</v>
      </c>
      <c r="EI18" s="62">
        <f t="shared" si="51"/>
        <v>8.0000000000000004E-4</v>
      </c>
      <c r="EJ18" s="62">
        <f t="shared" si="52"/>
        <v>2.5000000000000001E-3</v>
      </c>
      <c r="EK18" s="62">
        <f t="shared" si="53"/>
        <v>7.5000000000000002E-4</v>
      </c>
      <c r="EL18" s="62">
        <f t="shared" si="54"/>
        <v>2.5000000000000001E-3</v>
      </c>
      <c r="EM18" s="62">
        <f t="shared" si="55"/>
        <v>3.2000000000000002E-3</v>
      </c>
      <c r="EN18" s="62">
        <f t="shared" si="56"/>
        <v>2.3999999999999998E-3</v>
      </c>
      <c r="EO18" s="62">
        <f t="shared" si="57"/>
        <v>0</v>
      </c>
      <c r="EP18" s="62">
        <f t="shared" si="58"/>
        <v>2E-3</v>
      </c>
      <c r="EQ18" s="62">
        <f t="shared" si="59"/>
        <v>1.1000000000000001E-3</v>
      </c>
      <c r="ER18" s="62">
        <f t="shared" si="60"/>
        <v>2.2000000000000001E-3</v>
      </c>
      <c r="ES18" s="62">
        <f t="shared" si="61"/>
        <v>1E-3</v>
      </c>
      <c r="ET18" s="62">
        <f t="shared" si="62"/>
        <v>4.0000000000000001E-3</v>
      </c>
      <c r="EU18" s="62">
        <f t="shared" si="63"/>
        <v>3.7000000000000002E-3</v>
      </c>
      <c r="EV18" s="62">
        <f t="shared" si="64"/>
        <v>4.7999999999999996E-3</v>
      </c>
      <c r="EW18" s="62">
        <f t="shared" si="65"/>
        <v>0</v>
      </c>
      <c r="EX18" s="62">
        <f t="shared" si="66"/>
        <v>2.5000000000000001E-3</v>
      </c>
      <c r="EY18" s="62">
        <f t="shared" si="67"/>
        <v>2.5000000000000001E-3</v>
      </c>
      <c r="EZ18" s="62">
        <f t="shared" si="68"/>
        <v>3.8999999999999998E-3</v>
      </c>
      <c r="FA18" s="62">
        <f t="shared" si="69"/>
        <v>6.1999999999999998E-3</v>
      </c>
      <c r="FB18" s="62">
        <f t="shared" si="70"/>
        <v>5.1000000000000004E-3</v>
      </c>
      <c r="FC18" s="62">
        <f t="shared" si="71"/>
        <v>2.8999999999999998E-3</v>
      </c>
      <c r="FD18" s="62">
        <f t="shared" si="72"/>
        <v>1.5E-3</v>
      </c>
      <c r="FE18" s="62">
        <f t="shared" si="73"/>
        <v>2.8E-3</v>
      </c>
      <c r="FF18" s="62">
        <f t="shared" si="74"/>
        <v>1.5E-3</v>
      </c>
      <c r="FG18" s="62">
        <f t="shared" si="75"/>
        <v>2.5999999999999999E-3</v>
      </c>
      <c r="FH18" s="62">
        <f t="shared" si="76"/>
        <v>1.5E-3</v>
      </c>
      <c r="FI18" s="62">
        <f t="shared" si="77"/>
        <v>2.7000000000000001E-3</v>
      </c>
      <c r="FJ18" s="62">
        <f t="shared" si="78"/>
        <v>1.5E-3</v>
      </c>
      <c r="FK18" s="62">
        <f t="shared" si="79"/>
        <v>3.3999999999999998E-3</v>
      </c>
      <c r="FL18" s="62">
        <f t="shared" si="80"/>
        <v>8.9999999999999998E-4</v>
      </c>
      <c r="FM18" s="62">
        <f t="shared" si="81"/>
        <v>2.6999999999999997E-3</v>
      </c>
      <c r="FN18" s="62">
        <f t="shared" si="82"/>
        <v>0</v>
      </c>
      <c r="FO18" s="62">
        <f t="shared" si="83"/>
        <v>2.5000000000000001E-3</v>
      </c>
      <c r="FP18" s="62">
        <f t="shared" si="84"/>
        <v>2.5000000000000001E-3</v>
      </c>
      <c r="FQ18" s="62">
        <f t="shared" si="85"/>
        <v>1.8E-3</v>
      </c>
      <c r="FR18" s="62">
        <f t="shared" si="86"/>
        <v>2E-3</v>
      </c>
      <c r="FS18" s="62">
        <f t="shared" si="87"/>
        <v>1.2999999999999999E-3</v>
      </c>
      <c r="FT18" s="62">
        <f t="shared" si="88"/>
        <v>2.3E-3</v>
      </c>
      <c r="FU18" s="62">
        <f t="shared" si="89"/>
        <v>2E-3</v>
      </c>
      <c r="FV18" s="62">
        <f t="shared" si="90"/>
        <v>2.3999999999999998E-3</v>
      </c>
      <c r="FW18" s="62">
        <f t="shared" si="91"/>
        <v>2.0999999999999999E-3</v>
      </c>
      <c r="FX18" s="62">
        <f t="shared" si="92"/>
        <v>4.0000000000000002E-4</v>
      </c>
      <c r="FY18" s="62">
        <f t="shared" si="93"/>
        <v>2.5000000000000001E-3</v>
      </c>
      <c r="FZ18" s="62">
        <f t="shared" si="94"/>
        <v>5.0000000000000001E-4</v>
      </c>
      <c r="GA18" s="62">
        <f t="shared" si="95"/>
        <v>2.5000000000000001E-3</v>
      </c>
      <c r="GB18" s="62">
        <f t="shared" si="96"/>
        <v>4.0000000000000002E-4</v>
      </c>
      <c r="GC18" s="62">
        <f t="shared" si="97"/>
        <v>1.7499999999999998E-3</v>
      </c>
      <c r="GD18" s="62">
        <f t="shared" si="98"/>
        <v>0</v>
      </c>
      <c r="GE18" s="62">
        <f t="shared" si="99"/>
        <v>1.6999999999999999E-3</v>
      </c>
      <c r="GF18" s="62">
        <f t="shared" si="100"/>
        <v>2.7500000000000002E-4</v>
      </c>
      <c r="GG18" s="62">
        <f t="shared" si="101"/>
        <v>1.719E-3</v>
      </c>
      <c r="GH18" s="62">
        <f t="shared" si="102"/>
        <v>3.0000000000000001E-3</v>
      </c>
      <c r="GI18" s="62">
        <f t="shared" si="103"/>
        <v>2.8999999999999998E-3</v>
      </c>
      <c r="GJ18" s="62">
        <f t="shared" si="104"/>
        <v>2.5000000000000001E-3</v>
      </c>
      <c r="GK18" s="62">
        <f t="shared" si="105"/>
        <v>2.7000000000000001E-3</v>
      </c>
      <c r="GL18" s="62">
        <f t="shared" si="106"/>
        <v>2.5000000000000001E-3</v>
      </c>
      <c r="GM18" s="62">
        <f t="shared" si="107"/>
        <v>2.2000000000000001E-3</v>
      </c>
      <c r="GN18" s="62">
        <f t="shared" si="108"/>
        <v>1.6000000000000001E-3</v>
      </c>
      <c r="GO18" s="62">
        <f t="shared" si="109"/>
        <v>1E-4</v>
      </c>
      <c r="GP18" s="62">
        <f t="shared" si="110"/>
        <v>1E-4</v>
      </c>
      <c r="GQ18" s="62">
        <f t="shared" si="111"/>
        <v>1.1000000000000001E-3</v>
      </c>
      <c r="GR18" s="62">
        <f t="shared" si="112"/>
        <v>2.0000000000000001E-4</v>
      </c>
      <c r="GS18" s="62">
        <f t="shared" si="113"/>
        <v>2.5000000000000001E-3</v>
      </c>
      <c r="GT18" s="62">
        <f t="shared" si="114"/>
        <v>3.3E-3</v>
      </c>
      <c r="GU18" s="62">
        <f t="shared" si="115"/>
        <v>4.0000000000000001E-3</v>
      </c>
      <c r="GV18" s="62">
        <f t="shared" si="116"/>
        <v>3.5000000000000001E-3</v>
      </c>
      <c r="GW18" s="62">
        <f t="shared" si="117"/>
        <v>3.3E-3</v>
      </c>
      <c r="GX18" s="62">
        <f t="shared" si="118"/>
        <v>3.3999999999999998E-3</v>
      </c>
      <c r="GY18" s="62">
        <f t="shared" si="119"/>
        <v>5.0000000000000001E-3</v>
      </c>
      <c r="GZ18" s="62">
        <f t="shared" si="120"/>
        <v>2.5000000000000001E-3</v>
      </c>
      <c r="HA18" s="62">
        <f t="shared" si="121"/>
        <v>2.63E-3</v>
      </c>
      <c r="HB18" s="62">
        <f t="shared" si="122"/>
        <v>6.9999999999999999E-4</v>
      </c>
      <c r="HC18" s="62">
        <f t="shared" si="123"/>
        <v>5.0000000000000001E-4</v>
      </c>
      <c r="HD18" s="62">
        <f t="shared" si="124"/>
        <v>6.9999999999999999E-4</v>
      </c>
      <c r="HE18" s="62">
        <f t="shared" si="125"/>
        <v>4.4999999999999997E-3</v>
      </c>
      <c r="HF18" s="62">
        <f t="shared" si="126"/>
        <v>0</v>
      </c>
      <c r="HG18" s="62">
        <f t="shared" si="127"/>
        <v>6.0000000000000001E-3</v>
      </c>
      <c r="HH18" s="62">
        <f t="shared" si="128"/>
        <v>8.9999999999999998E-4</v>
      </c>
      <c r="HI18" s="62">
        <f t="shared" si="129"/>
        <v>6.0000000000000001E-3</v>
      </c>
    </row>
    <row r="19" spans="2:217" x14ac:dyDescent="0.2">
      <c r="B19" s="72">
        <f t="shared" si="4"/>
        <v>13</v>
      </c>
      <c r="D19" s="62">
        <v>0</v>
      </c>
      <c r="E19" s="73">
        <v>2.3000000000000001E-4</v>
      </c>
      <c r="F19" s="73">
        <v>8.0000000000000004E-4</v>
      </c>
      <c r="G19" s="73">
        <v>4.7000000000000002E-3</v>
      </c>
      <c r="H19" s="73">
        <v>5.9999999999999995E-4</v>
      </c>
      <c r="I19" s="73">
        <v>2.5999999999999999E-3</v>
      </c>
      <c r="J19" s="73">
        <v>3.5999999999999999E-3</v>
      </c>
      <c r="K19" s="73">
        <v>8.0000000000000004E-4</v>
      </c>
      <c r="L19" s="73">
        <v>1E-4</v>
      </c>
      <c r="M19" s="73">
        <v>6.9999999999999999E-4</v>
      </c>
      <c r="N19" s="73">
        <v>1.8E-3</v>
      </c>
      <c r="O19" s="73">
        <v>2.9999999999999997E-4</v>
      </c>
      <c r="P19" s="73">
        <v>1.7499999999999998E-3</v>
      </c>
      <c r="Q19" s="73">
        <v>6.9999999999999999E-4</v>
      </c>
      <c r="R19" s="73">
        <v>2.5000000000000001E-3</v>
      </c>
      <c r="S19" s="73">
        <v>3.3999999999999998E-3</v>
      </c>
      <c r="T19" s="73">
        <v>6.9999999999999999E-4</v>
      </c>
      <c r="U19" s="73">
        <v>2.3999999999999998E-3</v>
      </c>
      <c r="V19" s="73">
        <v>4.1000000000000003E-3</v>
      </c>
      <c r="W19" s="73">
        <v>3.8999999999999998E-3</v>
      </c>
      <c r="X19" s="73">
        <v>4.0000000000000001E-3</v>
      </c>
      <c r="Y19" s="73">
        <v>3.3999999999999998E-3</v>
      </c>
      <c r="Z19" s="73">
        <v>2.3999999999999998E-3</v>
      </c>
      <c r="AA19" s="73">
        <v>8.0000000000000004E-4</v>
      </c>
      <c r="AB19" s="73">
        <v>2.5000000000000001E-3</v>
      </c>
      <c r="AC19" s="73">
        <v>2.3999999999999998E-3</v>
      </c>
      <c r="AD19" s="73">
        <v>2.5000000000000001E-3</v>
      </c>
      <c r="AE19" s="73">
        <v>8.9999999999999998E-4</v>
      </c>
      <c r="AF19" s="73">
        <v>4.7999999999999996E-3</v>
      </c>
      <c r="AG19" s="73">
        <v>2E-3</v>
      </c>
      <c r="AH19" s="73">
        <v>2.8999999999999998E-3</v>
      </c>
      <c r="AI19" s="73">
        <v>5.0000000000000001E-4</v>
      </c>
      <c r="AJ19" s="73">
        <v>2.5000000000000001E-3</v>
      </c>
      <c r="AK19" s="62">
        <v>3.3E-4</v>
      </c>
      <c r="AL19" s="62">
        <v>9.6000000000000002E-4</v>
      </c>
      <c r="AM19" s="62">
        <f t="shared" si="0"/>
        <v>1E-4</v>
      </c>
      <c r="AN19" s="62">
        <f t="shared" si="0"/>
        <v>0</v>
      </c>
      <c r="AO19" s="62">
        <f t="shared" si="0"/>
        <v>2.5000000000000001E-3</v>
      </c>
      <c r="AP19" s="62">
        <f t="shared" si="5"/>
        <v>1.6999999999999999E-3</v>
      </c>
      <c r="AQ19" s="62">
        <f t="shared" si="5"/>
        <v>1.8E-3</v>
      </c>
      <c r="AR19" s="62">
        <v>3.5E-4</v>
      </c>
      <c r="AS19" s="62">
        <v>2.5999999999999998E-4</v>
      </c>
      <c r="AT19" s="62">
        <v>3.5E-4</v>
      </c>
      <c r="AU19" s="62">
        <v>8.7000000000000001E-4</v>
      </c>
      <c r="AV19" s="62">
        <v>1.47E-3</v>
      </c>
      <c r="AW19" s="69">
        <f t="shared" si="131"/>
        <v>1.4000000000000001E-4</v>
      </c>
      <c r="AX19" s="69">
        <f t="shared" si="132"/>
        <v>1.4000000000000001E-4</v>
      </c>
      <c r="AY19" s="69">
        <f t="shared" si="133"/>
        <v>1.4000000000000001E-4</v>
      </c>
      <c r="AZ19" s="69">
        <f t="shared" si="134"/>
        <v>1.4000000000000001E-4</v>
      </c>
      <c r="BA19" s="69">
        <f t="shared" si="138"/>
        <v>6.6E-4</v>
      </c>
      <c r="BB19" s="69">
        <f t="shared" si="139"/>
        <v>6.6E-4</v>
      </c>
      <c r="BC19" s="69">
        <f t="shared" si="140"/>
        <v>6.6E-4</v>
      </c>
      <c r="BD19" s="69">
        <f t="shared" si="141"/>
        <v>6.6E-4</v>
      </c>
      <c r="BE19" s="69">
        <f t="shared" si="136"/>
        <v>4.0000000000000002E-4</v>
      </c>
      <c r="BF19" s="69">
        <f t="shared" si="136"/>
        <v>4.0000000000000002E-4</v>
      </c>
      <c r="BG19" s="69">
        <f t="shared" si="136"/>
        <v>4.0000000000000002E-4</v>
      </c>
      <c r="BH19" s="69">
        <f t="shared" si="136"/>
        <v>4.0000000000000002E-4</v>
      </c>
      <c r="BI19" s="69">
        <f t="shared" si="142"/>
        <v>3.6999999999999999E-4</v>
      </c>
      <c r="BJ19" s="69">
        <f t="shared" si="143"/>
        <v>3.6999999999999999E-4</v>
      </c>
      <c r="BK19" s="69">
        <f t="shared" si="144"/>
        <v>3.6999999999999999E-4</v>
      </c>
      <c r="BL19" s="69">
        <f t="shared" si="145"/>
        <v>3.6999999999999999E-4</v>
      </c>
      <c r="BM19" s="69">
        <f t="shared" si="146"/>
        <v>3.3E-4</v>
      </c>
      <c r="BN19" s="69">
        <f t="shared" si="147"/>
        <v>3.3E-4</v>
      </c>
      <c r="BO19" s="69">
        <f t="shared" si="148"/>
        <v>3.3E-4</v>
      </c>
      <c r="BP19" s="69">
        <f t="shared" si="149"/>
        <v>3.3E-4</v>
      </c>
      <c r="BQ19" s="75">
        <f t="shared" si="153"/>
        <v>2.7999999999999998E-4</v>
      </c>
      <c r="BR19" s="75">
        <f t="shared" si="152"/>
        <v>2.7999999999999998E-4</v>
      </c>
      <c r="BS19" s="75">
        <f t="shared" si="152"/>
        <v>2.7999999999999998E-4</v>
      </c>
      <c r="BT19" s="75">
        <f t="shared" si="152"/>
        <v>2.7999999999999998E-4</v>
      </c>
      <c r="BU19" s="75">
        <f t="shared" si="152"/>
        <v>4.8999999999999998E-4</v>
      </c>
      <c r="BV19" s="75">
        <f t="shared" si="152"/>
        <v>4.8999999999999998E-4</v>
      </c>
      <c r="BW19" s="75">
        <f t="shared" si="152"/>
        <v>4.8999999999999998E-4</v>
      </c>
      <c r="BX19" s="75">
        <f t="shared" si="152"/>
        <v>4.8999999999999998E-4</v>
      </c>
      <c r="BY19" s="75">
        <f t="shared" si="152"/>
        <v>4.8999999999999998E-4</v>
      </c>
      <c r="BZ19" s="75">
        <f t="shared" si="152"/>
        <v>4.8999999999999998E-4</v>
      </c>
      <c r="CA19" s="75">
        <f t="shared" si="152"/>
        <v>4.8999999999999998E-4</v>
      </c>
      <c r="CB19" s="75">
        <f t="shared" si="152"/>
        <v>4.8999999999999998E-4</v>
      </c>
      <c r="CC19" s="69">
        <f t="shared" si="6"/>
        <v>2.5000000000000001E-4</v>
      </c>
      <c r="CD19" s="69">
        <f t="shared" si="7"/>
        <v>2.5000000000000001E-4</v>
      </c>
      <c r="CE19" s="69">
        <f t="shared" si="8"/>
        <v>2.5000000000000001E-4</v>
      </c>
      <c r="CF19" s="69">
        <f t="shared" si="9"/>
        <v>2.5000000000000001E-4</v>
      </c>
      <c r="CG19" s="69">
        <f t="shared" si="10"/>
        <v>5.0000000000000001E-4</v>
      </c>
      <c r="CH19" s="69">
        <f t="shared" si="11"/>
        <v>5.0000000000000001E-4</v>
      </c>
      <c r="CI19" s="69">
        <f t="shared" si="12"/>
        <v>5.0000000000000001E-4</v>
      </c>
      <c r="CJ19" s="69">
        <f t="shared" si="13"/>
        <v>5.0000000000000001E-4</v>
      </c>
      <c r="CK19" s="69">
        <f t="shared" si="14"/>
        <v>1E-3</v>
      </c>
      <c r="CL19" s="69">
        <f t="shared" si="15"/>
        <v>1E-3</v>
      </c>
      <c r="CM19" s="69">
        <f t="shared" si="16"/>
        <v>1E-3</v>
      </c>
      <c r="CN19" s="69">
        <f t="shared" si="17"/>
        <v>1E-3</v>
      </c>
      <c r="CO19" s="69">
        <v>4.0000000000000001E-3</v>
      </c>
      <c r="CP19" s="69">
        <v>4.0000000000000001E-3</v>
      </c>
      <c r="CQ19" s="69">
        <v>2E-3</v>
      </c>
      <c r="CR19" s="69">
        <v>2E-3</v>
      </c>
      <c r="CS19" s="69">
        <v>0</v>
      </c>
      <c r="CT19" s="69">
        <v>0</v>
      </c>
      <c r="CU19" s="69">
        <v>0</v>
      </c>
      <c r="CV19" s="69">
        <v>0</v>
      </c>
      <c r="CW19" s="69">
        <v>0</v>
      </c>
      <c r="CX19" s="69">
        <v>0</v>
      </c>
      <c r="CY19" s="69">
        <v>0</v>
      </c>
      <c r="CZ19" s="69">
        <v>0</v>
      </c>
      <c r="DA19" s="62">
        <f t="shared" si="18"/>
        <v>1.5E-3</v>
      </c>
      <c r="DB19" s="62">
        <f t="shared" si="19"/>
        <v>2.5000000000000001E-3</v>
      </c>
      <c r="DC19" s="62">
        <v>3.2000000000000002E-3</v>
      </c>
      <c r="DD19" s="62">
        <f t="shared" si="20"/>
        <v>2.0999999999999999E-3</v>
      </c>
      <c r="DE19" s="62">
        <f t="shared" si="21"/>
        <v>2E-3</v>
      </c>
      <c r="DF19" s="62">
        <f t="shared" si="22"/>
        <v>2.2000000000000001E-3</v>
      </c>
      <c r="DG19" s="62">
        <f t="shared" si="23"/>
        <v>2.3E-3</v>
      </c>
      <c r="DH19" s="62">
        <f t="shared" si="24"/>
        <v>2.5000000000000001E-3</v>
      </c>
      <c r="DI19" s="62">
        <f t="shared" si="25"/>
        <v>2.5999999999999999E-3</v>
      </c>
      <c r="DJ19" s="62">
        <f t="shared" si="26"/>
        <v>3.2000000000000002E-3</v>
      </c>
      <c r="DK19" s="62">
        <f t="shared" si="27"/>
        <v>2.9999999999999997E-4</v>
      </c>
      <c r="DL19" s="62">
        <f t="shared" si="28"/>
        <v>2.5000000000000001E-3</v>
      </c>
      <c r="DM19" s="62">
        <f t="shared" si="29"/>
        <v>5.0000000000000001E-4</v>
      </c>
      <c r="DN19" s="62">
        <f t="shared" si="30"/>
        <v>1.1999999999999999E-3</v>
      </c>
      <c r="DO19" s="62">
        <f t="shared" si="31"/>
        <v>1.9E-3</v>
      </c>
      <c r="DP19" s="62">
        <f t="shared" si="32"/>
        <v>1E-3</v>
      </c>
      <c r="DQ19" s="62">
        <f t="shared" si="33"/>
        <v>2.0999999999999999E-3</v>
      </c>
      <c r="DR19" s="62">
        <f t="shared" si="34"/>
        <v>8.9999999999999998E-4</v>
      </c>
      <c r="DS19" s="62">
        <f t="shared" si="35"/>
        <v>2.0999999999999999E-3</v>
      </c>
      <c r="DT19" s="62">
        <f t="shared" si="36"/>
        <v>1.4E-3</v>
      </c>
      <c r="DU19" s="62">
        <f t="shared" si="37"/>
        <v>1.6000000000000001E-3</v>
      </c>
      <c r="DV19" s="62">
        <f t="shared" si="38"/>
        <v>2.3999999999999998E-3</v>
      </c>
      <c r="DW19" s="62">
        <f t="shared" si="39"/>
        <v>5.0000000000000001E-3</v>
      </c>
      <c r="DX19" s="62">
        <f t="shared" si="40"/>
        <v>2E-3</v>
      </c>
      <c r="DY19" s="62">
        <f t="shared" si="41"/>
        <v>0</v>
      </c>
      <c r="DZ19" s="62">
        <f t="shared" si="42"/>
        <v>1.5E-3</v>
      </c>
      <c r="EA19" s="62">
        <f t="shared" si="43"/>
        <v>2.0000000000000001E-4</v>
      </c>
      <c r="EB19" s="62">
        <f t="shared" si="44"/>
        <v>1.5E-3</v>
      </c>
      <c r="EC19" s="62">
        <f t="shared" si="45"/>
        <v>2.7000000000000001E-3</v>
      </c>
      <c r="ED19" s="62">
        <f t="shared" si="46"/>
        <v>2.5000000000000001E-3</v>
      </c>
      <c r="EE19" s="62">
        <f t="shared" si="47"/>
        <v>0</v>
      </c>
      <c r="EF19" s="62">
        <f t="shared" si="48"/>
        <v>2.5000000000000001E-3</v>
      </c>
      <c r="EG19" s="62">
        <f t="shared" si="49"/>
        <v>1.1000000000000001E-3</v>
      </c>
      <c r="EH19" s="62">
        <f t="shared" si="50"/>
        <v>2.5000000000000001E-3</v>
      </c>
      <c r="EI19" s="62">
        <f t="shared" si="51"/>
        <v>8.0000000000000004E-4</v>
      </c>
      <c r="EJ19" s="62">
        <f t="shared" si="52"/>
        <v>2.5000000000000001E-3</v>
      </c>
      <c r="EK19" s="62">
        <f t="shared" si="53"/>
        <v>7.5000000000000002E-4</v>
      </c>
      <c r="EL19" s="62">
        <f t="shared" si="54"/>
        <v>2.5000000000000001E-3</v>
      </c>
      <c r="EM19" s="62">
        <f t="shared" si="55"/>
        <v>3.2000000000000002E-3</v>
      </c>
      <c r="EN19" s="62">
        <f t="shared" si="56"/>
        <v>2.3999999999999998E-3</v>
      </c>
      <c r="EO19" s="62">
        <f t="shared" si="57"/>
        <v>0</v>
      </c>
      <c r="EP19" s="62">
        <f t="shared" si="58"/>
        <v>2E-3</v>
      </c>
      <c r="EQ19" s="62">
        <f t="shared" si="59"/>
        <v>1.1000000000000001E-3</v>
      </c>
      <c r="ER19" s="62">
        <f t="shared" si="60"/>
        <v>2.2000000000000001E-3</v>
      </c>
      <c r="ES19" s="62">
        <f t="shared" si="61"/>
        <v>1E-3</v>
      </c>
      <c r="ET19" s="62">
        <f t="shared" si="62"/>
        <v>4.0000000000000001E-3</v>
      </c>
      <c r="EU19" s="62">
        <f t="shared" si="63"/>
        <v>3.7000000000000002E-3</v>
      </c>
      <c r="EV19" s="62">
        <f t="shared" si="64"/>
        <v>4.7999999999999996E-3</v>
      </c>
      <c r="EW19" s="62">
        <f t="shared" si="65"/>
        <v>0</v>
      </c>
      <c r="EX19" s="62">
        <f t="shared" si="66"/>
        <v>2.5000000000000001E-3</v>
      </c>
      <c r="EY19" s="62">
        <f t="shared" si="67"/>
        <v>2.5000000000000001E-3</v>
      </c>
      <c r="EZ19" s="62">
        <f t="shared" si="68"/>
        <v>3.8999999999999998E-3</v>
      </c>
      <c r="FA19" s="62">
        <f t="shared" si="69"/>
        <v>6.1999999999999998E-3</v>
      </c>
      <c r="FB19" s="62">
        <f t="shared" si="70"/>
        <v>5.1000000000000004E-3</v>
      </c>
      <c r="FC19" s="62">
        <f t="shared" si="71"/>
        <v>2.8999999999999998E-3</v>
      </c>
      <c r="FD19" s="62">
        <f t="shared" si="72"/>
        <v>1.5E-3</v>
      </c>
      <c r="FE19" s="62">
        <f t="shared" si="73"/>
        <v>2.8E-3</v>
      </c>
      <c r="FF19" s="62">
        <f t="shared" si="74"/>
        <v>1.5E-3</v>
      </c>
      <c r="FG19" s="62">
        <f t="shared" si="75"/>
        <v>2.5999999999999999E-3</v>
      </c>
      <c r="FH19" s="62">
        <f t="shared" si="76"/>
        <v>1.5E-3</v>
      </c>
      <c r="FI19" s="62">
        <f t="shared" si="77"/>
        <v>2.7000000000000001E-3</v>
      </c>
      <c r="FJ19" s="62">
        <f t="shared" si="78"/>
        <v>1.5E-3</v>
      </c>
      <c r="FK19" s="62">
        <f t="shared" si="79"/>
        <v>3.3999999999999998E-3</v>
      </c>
      <c r="FL19" s="62">
        <f t="shared" si="80"/>
        <v>8.9999999999999998E-4</v>
      </c>
      <c r="FM19" s="62">
        <f t="shared" si="81"/>
        <v>2.6999999999999997E-3</v>
      </c>
      <c r="FN19" s="62">
        <f t="shared" si="82"/>
        <v>0</v>
      </c>
      <c r="FO19" s="62">
        <f t="shared" si="83"/>
        <v>2.5000000000000001E-3</v>
      </c>
      <c r="FP19" s="62">
        <f t="shared" si="84"/>
        <v>2.5000000000000001E-3</v>
      </c>
      <c r="FQ19" s="62">
        <f t="shared" si="85"/>
        <v>1.8E-3</v>
      </c>
      <c r="FR19" s="62">
        <f t="shared" si="86"/>
        <v>2E-3</v>
      </c>
      <c r="FS19" s="62">
        <f t="shared" si="87"/>
        <v>1.2999999999999999E-3</v>
      </c>
      <c r="FT19" s="62">
        <f t="shared" si="88"/>
        <v>2.3E-3</v>
      </c>
      <c r="FU19" s="62">
        <f t="shared" si="89"/>
        <v>2E-3</v>
      </c>
      <c r="FV19" s="62">
        <f t="shared" si="90"/>
        <v>2.3999999999999998E-3</v>
      </c>
      <c r="FW19" s="62">
        <f t="shared" si="91"/>
        <v>2.0999999999999999E-3</v>
      </c>
      <c r="FX19" s="62">
        <f t="shared" si="92"/>
        <v>4.0000000000000002E-4</v>
      </c>
      <c r="FY19" s="62">
        <f t="shared" si="93"/>
        <v>2.5000000000000001E-3</v>
      </c>
      <c r="FZ19" s="62">
        <f t="shared" si="94"/>
        <v>5.0000000000000001E-4</v>
      </c>
      <c r="GA19" s="62">
        <f t="shared" si="95"/>
        <v>2.5000000000000001E-3</v>
      </c>
      <c r="GB19" s="62">
        <f t="shared" si="96"/>
        <v>4.0000000000000002E-4</v>
      </c>
      <c r="GC19" s="62">
        <f t="shared" si="97"/>
        <v>1.7499999999999998E-3</v>
      </c>
      <c r="GD19" s="62">
        <f t="shared" si="98"/>
        <v>0</v>
      </c>
      <c r="GE19" s="62">
        <f t="shared" si="99"/>
        <v>1.6999999999999999E-3</v>
      </c>
      <c r="GF19" s="62">
        <f t="shared" si="100"/>
        <v>2.7500000000000002E-4</v>
      </c>
      <c r="GG19" s="62">
        <f t="shared" si="101"/>
        <v>1.719E-3</v>
      </c>
      <c r="GH19" s="62">
        <f t="shared" si="102"/>
        <v>3.0000000000000001E-3</v>
      </c>
      <c r="GI19" s="62">
        <f t="shared" si="103"/>
        <v>2.8999999999999998E-3</v>
      </c>
      <c r="GJ19" s="62">
        <f t="shared" si="104"/>
        <v>2.5000000000000001E-3</v>
      </c>
      <c r="GK19" s="62">
        <f t="shared" si="105"/>
        <v>2.7000000000000001E-3</v>
      </c>
      <c r="GL19" s="62">
        <f t="shared" si="106"/>
        <v>2.5000000000000001E-3</v>
      </c>
      <c r="GM19" s="62">
        <f t="shared" si="107"/>
        <v>2.2000000000000001E-3</v>
      </c>
      <c r="GN19" s="62">
        <f t="shared" si="108"/>
        <v>1.6000000000000001E-3</v>
      </c>
      <c r="GO19" s="62">
        <f t="shared" si="109"/>
        <v>1E-4</v>
      </c>
      <c r="GP19" s="62">
        <f t="shared" si="110"/>
        <v>1E-4</v>
      </c>
      <c r="GQ19" s="62">
        <f t="shared" si="111"/>
        <v>1.1000000000000001E-3</v>
      </c>
      <c r="GR19" s="62">
        <f t="shared" si="112"/>
        <v>2.0000000000000001E-4</v>
      </c>
      <c r="GS19" s="62">
        <f t="shared" si="113"/>
        <v>2.5000000000000001E-3</v>
      </c>
      <c r="GT19" s="62">
        <f t="shared" si="114"/>
        <v>3.3E-3</v>
      </c>
      <c r="GU19" s="62">
        <f t="shared" si="115"/>
        <v>4.0000000000000001E-3</v>
      </c>
      <c r="GV19" s="62">
        <f t="shared" si="116"/>
        <v>3.5000000000000001E-3</v>
      </c>
      <c r="GW19" s="62">
        <f t="shared" si="117"/>
        <v>3.3E-3</v>
      </c>
      <c r="GX19" s="62">
        <f t="shared" si="118"/>
        <v>3.3999999999999998E-3</v>
      </c>
      <c r="GY19" s="62">
        <f t="shared" si="119"/>
        <v>5.0000000000000001E-3</v>
      </c>
      <c r="GZ19" s="62">
        <f t="shared" si="120"/>
        <v>2.5000000000000001E-3</v>
      </c>
      <c r="HA19" s="62">
        <f t="shared" si="121"/>
        <v>2.63E-3</v>
      </c>
      <c r="HB19" s="62">
        <f t="shared" si="122"/>
        <v>6.9999999999999999E-4</v>
      </c>
      <c r="HC19" s="62">
        <f t="shared" si="123"/>
        <v>5.0000000000000001E-4</v>
      </c>
      <c r="HD19" s="62">
        <f t="shared" si="124"/>
        <v>6.9999999999999999E-4</v>
      </c>
      <c r="HE19" s="62">
        <f t="shared" si="125"/>
        <v>4.4999999999999997E-3</v>
      </c>
      <c r="HF19" s="62">
        <f t="shared" si="126"/>
        <v>0</v>
      </c>
      <c r="HG19" s="62">
        <f t="shared" si="127"/>
        <v>6.0000000000000001E-3</v>
      </c>
      <c r="HH19" s="62">
        <f t="shared" si="128"/>
        <v>8.9999999999999998E-4</v>
      </c>
      <c r="HI19" s="62">
        <f t="shared" si="129"/>
        <v>6.0000000000000001E-3</v>
      </c>
    </row>
    <row r="20" spans="2:217" x14ac:dyDescent="0.2">
      <c r="B20" s="72">
        <f t="shared" si="4"/>
        <v>14</v>
      </c>
      <c r="D20" s="62">
        <v>0</v>
      </c>
      <c r="E20" s="73">
        <v>2.3000000000000001E-4</v>
      </c>
      <c r="F20" s="73">
        <v>8.0000000000000004E-4</v>
      </c>
      <c r="G20" s="73">
        <v>4.7000000000000002E-3</v>
      </c>
      <c r="H20" s="73">
        <v>5.9999999999999995E-4</v>
      </c>
      <c r="I20" s="73">
        <v>2.5999999999999999E-3</v>
      </c>
      <c r="J20" s="73">
        <v>3.5999999999999999E-3</v>
      </c>
      <c r="K20" s="73">
        <v>8.0000000000000004E-4</v>
      </c>
      <c r="L20" s="73">
        <v>1E-4</v>
      </c>
      <c r="M20" s="73">
        <v>6.9999999999999999E-4</v>
      </c>
      <c r="N20" s="73">
        <v>1.8E-3</v>
      </c>
      <c r="O20" s="73">
        <v>2.9999999999999997E-4</v>
      </c>
      <c r="P20" s="73">
        <v>1.7499999999999998E-3</v>
      </c>
      <c r="Q20" s="73">
        <v>6.9999999999999999E-4</v>
      </c>
      <c r="R20" s="73">
        <v>2.5000000000000001E-3</v>
      </c>
      <c r="S20" s="73">
        <v>3.3999999999999998E-3</v>
      </c>
      <c r="T20" s="73">
        <v>6.9999999999999999E-4</v>
      </c>
      <c r="U20" s="73">
        <v>2.3999999999999998E-3</v>
      </c>
      <c r="V20" s="73">
        <v>4.1000000000000003E-3</v>
      </c>
      <c r="W20" s="73">
        <v>3.8999999999999998E-3</v>
      </c>
      <c r="X20" s="73">
        <v>4.0000000000000001E-3</v>
      </c>
      <c r="Y20" s="73">
        <v>3.3999999999999998E-3</v>
      </c>
      <c r="Z20" s="73">
        <v>2.3999999999999998E-3</v>
      </c>
      <c r="AA20" s="73">
        <v>8.0000000000000004E-4</v>
      </c>
      <c r="AB20" s="73">
        <v>2.5000000000000001E-3</v>
      </c>
      <c r="AC20" s="73">
        <v>2.3999999999999998E-3</v>
      </c>
      <c r="AD20" s="73">
        <v>2.5000000000000001E-3</v>
      </c>
      <c r="AE20" s="73">
        <v>8.9999999999999998E-4</v>
      </c>
      <c r="AF20" s="73">
        <v>4.7999999999999996E-3</v>
      </c>
      <c r="AG20" s="73">
        <v>2E-3</v>
      </c>
      <c r="AH20" s="73">
        <v>2.8999999999999998E-3</v>
      </c>
      <c r="AI20" s="73">
        <v>5.0000000000000001E-4</v>
      </c>
      <c r="AJ20" s="73">
        <v>2.5000000000000001E-3</v>
      </c>
      <c r="AK20" s="62">
        <v>3.3E-4</v>
      </c>
      <c r="AL20" s="62">
        <v>9.6000000000000002E-4</v>
      </c>
      <c r="AM20" s="62">
        <f t="shared" si="0"/>
        <v>1E-4</v>
      </c>
      <c r="AN20" s="62">
        <f t="shared" si="0"/>
        <v>0</v>
      </c>
      <c r="AO20" s="62">
        <f t="shared" si="0"/>
        <v>2.5000000000000001E-3</v>
      </c>
      <c r="AP20" s="62">
        <f t="shared" si="5"/>
        <v>1.6999999999999999E-3</v>
      </c>
      <c r="AQ20" s="62">
        <f t="shared" si="5"/>
        <v>1.8E-3</v>
      </c>
      <c r="AR20" s="62">
        <v>3.5E-4</v>
      </c>
      <c r="AS20" s="62">
        <v>2.5999999999999998E-4</v>
      </c>
      <c r="AT20" s="62">
        <v>3.5E-4</v>
      </c>
      <c r="AU20" s="62">
        <v>8.7000000000000001E-4</v>
      </c>
      <c r="AV20" s="62">
        <v>1.47E-3</v>
      </c>
      <c r="AW20" s="69">
        <f t="shared" si="131"/>
        <v>1.4000000000000001E-4</v>
      </c>
      <c r="AX20" s="69">
        <f t="shared" si="132"/>
        <v>1.4000000000000001E-4</v>
      </c>
      <c r="AY20" s="69">
        <f t="shared" si="133"/>
        <v>1.4000000000000001E-4</v>
      </c>
      <c r="AZ20" s="69">
        <f t="shared" si="134"/>
        <v>1.4000000000000001E-4</v>
      </c>
      <c r="BA20" s="69">
        <f t="shared" si="138"/>
        <v>6.6E-4</v>
      </c>
      <c r="BB20" s="69">
        <f t="shared" si="139"/>
        <v>6.6E-4</v>
      </c>
      <c r="BC20" s="69">
        <f t="shared" si="140"/>
        <v>6.6E-4</v>
      </c>
      <c r="BD20" s="69">
        <f t="shared" si="141"/>
        <v>6.6E-4</v>
      </c>
      <c r="BE20" s="69">
        <f t="shared" si="136"/>
        <v>4.0000000000000002E-4</v>
      </c>
      <c r="BF20" s="69">
        <f t="shared" si="136"/>
        <v>4.0000000000000002E-4</v>
      </c>
      <c r="BG20" s="69">
        <f t="shared" si="136"/>
        <v>4.0000000000000002E-4</v>
      </c>
      <c r="BH20" s="69">
        <f t="shared" si="136"/>
        <v>4.0000000000000002E-4</v>
      </c>
      <c r="BI20" s="69">
        <f t="shared" si="142"/>
        <v>3.6999999999999999E-4</v>
      </c>
      <c r="BJ20" s="69">
        <f t="shared" si="143"/>
        <v>3.6999999999999999E-4</v>
      </c>
      <c r="BK20" s="69">
        <f t="shared" si="144"/>
        <v>3.6999999999999999E-4</v>
      </c>
      <c r="BL20" s="69">
        <f t="shared" si="145"/>
        <v>3.6999999999999999E-4</v>
      </c>
      <c r="BM20" s="69">
        <f t="shared" si="146"/>
        <v>3.3E-4</v>
      </c>
      <c r="BN20" s="69">
        <f t="shared" si="147"/>
        <v>3.3E-4</v>
      </c>
      <c r="BO20" s="69">
        <f t="shared" si="148"/>
        <v>3.3E-4</v>
      </c>
      <c r="BP20" s="69">
        <f t="shared" si="149"/>
        <v>3.3E-4</v>
      </c>
      <c r="BQ20" s="75">
        <f t="shared" si="153"/>
        <v>2.7999999999999998E-4</v>
      </c>
      <c r="BR20" s="75">
        <f t="shared" si="152"/>
        <v>2.7999999999999998E-4</v>
      </c>
      <c r="BS20" s="75">
        <f t="shared" si="152"/>
        <v>2.7999999999999998E-4</v>
      </c>
      <c r="BT20" s="75">
        <f t="shared" si="152"/>
        <v>2.7999999999999998E-4</v>
      </c>
      <c r="BU20" s="75">
        <f t="shared" si="152"/>
        <v>4.8999999999999998E-4</v>
      </c>
      <c r="BV20" s="75">
        <f t="shared" si="152"/>
        <v>4.8999999999999998E-4</v>
      </c>
      <c r="BW20" s="75">
        <f t="shared" si="152"/>
        <v>4.8999999999999998E-4</v>
      </c>
      <c r="BX20" s="75">
        <f t="shared" si="152"/>
        <v>4.8999999999999998E-4</v>
      </c>
      <c r="BY20" s="75">
        <f t="shared" si="152"/>
        <v>4.8999999999999998E-4</v>
      </c>
      <c r="BZ20" s="75">
        <f t="shared" si="152"/>
        <v>4.8999999999999998E-4</v>
      </c>
      <c r="CA20" s="75">
        <f t="shared" si="152"/>
        <v>4.8999999999999998E-4</v>
      </c>
      <c r="CB20" s="75">
        <f t="shared" si="152"/>
        <v>4.8999999999999998E-4</v>
      </c>
      <c r="CC20" s="69">
        <f t="shared" si="6"/>
        <v>2.5000000000000001E-4</v>
      </c>
      <c r="CD20" s="69">
        <f t="shared" si="7"/>
        <v>2.5000000000000001E-4</v>
      </c>
      <c r="CE20" s="69">
        <f t="shared" si="8"/>
        <v>2.5000000000000001E-4</v>
      </c>
      <c r="CF20" s="69">
        <f t="shared" si="9"/>
        <v>2.5000000000000001E-4</v>
      </c>
      <c r="CG20" s="69">
        <f t="shared" si="10"/>
        <v>5.0000000000000001E-4</v>
      </c>
      <c r="CH20" s="69">
        <f t="shared" si="11"/>
        <v>5.0000000000000001E-4</v>
      </c>
      <c r="CI20" s="69">
        <f t="shared" si="12"/>
        <v>5.0000000000000001E-4</v>
      </c>
      <c r="CJ20" s="69">
        <f t="shared" si="13"/>
        <v>5.0000000000000001E-4</v>
      </c>
      <c r="CK20" s="69">
        <f t="shared" si="14"/>
        <v>1E-3</v>
      </c>
      <c r="CL20" s="69">
        <f t="shared" si="15"/>
        <v>1E-3</v>
      </c>
      <c r="CM20" s="69">
        <f t="shared" si="16"/>
        <v>1E-3</v>
      </c>
      <c r="CN20" s="69">
        <f t="shared" si="17"/>
        <v>1E-3</v>
      </c>
      <c r="CO20" s="69">
        <v>0</v>
      </c>
      <c r="CP20" s="69">
        <v>0</v>
      </c>
      <c r="CQ20" s="69">
        <v>0</v>
      </c>
      <c r="CR20" s="69">
        <v>0</v>
      </c>
      <c r="CS20" s="69">
        <v>0</v>
      </c>
      <c r="CT20" s="69">
        <v>0</v>
      </c>
      <c r="CU20" s="69">
        <v>0</v>
      </c>
      <c r="CV20" s="69">
        <v>0</v>
      </c>
      <c r="CW20" s="69">
        <v>0</v>
      </c>
      <c r="CX20" s="69">
        <v>0</v>
      </c>
      <c r="CY20" s="69">
        <v>0</v>
      </c>
      <c r="CZ20" s="69">
        <v>0</v>
      </c>
      <c r="DA20" s="62">
        <f t="shared" si="18"/>
        <v>1.5E-3</v>
      </c>
      <c r="DB20" s="62">
        <f t="shared" si="19"/>
        <v>2.5000000000000001E-3</v>
      </c>
      <c r="DC20" s="62">
        <v>3.2000000000000002E-3</v>
      </c>
      <c r="DD20" s="62">
        <f t="shared" si="20"/>
        <v>2.0999999999999999E-3</v>
      </c>
      <c r="DE20" s="62">
        <f t="shared" si="21"/>
        <v>2E-3</v>
      </c>
      <c r="DF20" s="62">
        <f t="shared" si="22"/>
        <v>2.2000000000000001E-3</v>
      </c>
      <c r="DG20" s="62">
        <f t="shared" si="23"/>
        <v>2.3E-3</v>
      </c>
      <c r="DH20" s="62">
        <f t="shared" si="24"/>
        <v>2.5000000000000001E-3</v>
      </c>
      <c r="DI20" s="62">
        <f t="shared" si="25"/>
        <v>2.5999999999999999E-3</v>
      </c>
      <c r="DJ20" s="62">
        <f t="shared" si="26"/>
        <v>3.2000000000000002E-3</v>
      </c>
      <c r="DK20" s="62">
        <f t="shared" si="27"/>
        <v>2.9999999999999997E-4</v>
      </c>
      <c r="DL20" s="62">
        <f t="shared" si="28"/>
        <v>2.5000000000000001E-3</v>
      </c>
      <c r="DM20" s="62">
        <f t="shared" si="29"/>
        <v>5.0000000000000001E-4</v>
      </c>
      <c r="DN20" s="62">
        <f t="shared" si="30"/>
        <v>1.1999999999999999E-3</v>
      </c>
      <c r="DO20" s="62">
        <f t="shared" si="31"/>
        <v>1.9E-3</v>
      </c>
      <c r="DP20" s="62">
        <f t="shared" si="32"/>
        <v>1E-3</v>
      </c>
      <c r="DQ20" s="62">
        <f t="shared" si="33"/>
        <v>2.0999999999999999E-3</v>
      </c>
      <c r="DR20" s="62">
        <f t="shared" si="34"/>
        <v>8.9999999999999998E-4</v>
      </c>
      <c r="DS20" s="62">
        <f t="shared" si="35"/>
        <v>2.0999999999999999E-3</v>
      </c>
      <c r="DT20" s="62">
        <f t="shared" si="36"/>
        <v>1.4E-3</v>
      </c>
      <c r="DU20" s="62">
        <f t="shared" si="37"/>
        <v>1.6000000000000001E-3</v>
      </c>
      <c r="DV20" s="62">
        <f t="shared" si="38"/>
        <v>2.3999999999999998E-3</v>
      </c>
      <c r="DW20" s="62">
        <f t="shared" si="39"/>
        <v>5.0000000000000001E-3</v>
      </c>
      <c r="DX20" s="62">
        <f t="shared" si="40"/>
        <v>2E-3</v>
      </c>
      <c r="DY20" s="62">
        <f t="shared" si="41"/>
        <v>0</v>
      </c>
      <c r="DZ20" s="62">
        <f t="shared" si="42"/>
        <v>1.5E-3</v>
      </c>
      <c r="EA20" s="62">
        <f t="shared" si="43"/>
        <v>2.0000000000000001E-4</v>
      </c>
      <c r="EB20" s="62">
        <f t="shared" si="44"/>
        <v>1.5E-3</v>
      </c>
      <c r="EC20" s="62">
        <f t="shared" si="45"/>
        <v>2.7000000000000001E-3</v>
      </c>
      <c r="ED20" s="62">
        <f t="shared" si="46"/>
        <v>2.5000000000000001E-3</v>
      </c>
      <c r="EE20" s="62">
        <f t="shared" si="47"/>
        <v>0</v>
      </c>
      <c r="EF20" s="62">
        <f t="shared" si="48"/>
        <v>2.5000000000000001E-3</v>
      </c>
      <c r="EG20" s="62">
        <f t="shared" si="49"/>
        <v>1.1000000000000001E-3</v>
      </c>
      <c r="EH20" s="62">
        <f t="shared" si="50"/>
        <v>2.5000000000000001E-3</v>
      </c>
      <c r="EI20" s="62">
        <f t="shared" si="51"/>
        <v>8.0000000000000004E-4</v>
      </c>
      <c r="EJ20" s="62">
        <f t="shared" si="52"/>
        <v>2.5000000000000001E-3</v>
      </c>
      <c r="EK20" s="62">
        <f t="shared" si="53"/>
        <v>7.5000000000000002E-4</v>
      </c>
      <c r="EL20" s="62">
        <f t="shared" si="54"/>
        <v>2.5000000000000001E-3</v>
      </c>
      <c r="EM20" s="62">
        <f t="shared" si="55"/>
        <v>3.2000000000000002E-3</v>
      </c>
      <c r="EN20" s="62">
        <f t="shared" si="56"/>
        <v>2.3999999999999998E-3</v>
      </c>
      <c r="EO20" s="62">
        <f t="shared" si="57"/>
        <v>0</v>
      </c>
      <c r="EP20" s="62">
        <f t="shared" si="58"/>
        <v>2E-3</v>
      </c>
      <c r="EQ20" s="62">
        <f t="shared" si="59"/>
        <v>1.1000000000000001E-3</v>
      </c>
      <c r="ER20" s="62">
        <f t="shared" si="60"/>
        <v>2.2000000000000001E-3</v>
      </c>
      <c r="ES20" s="62">
        <f t="shared" si="61"/>
        <v>1E-3</v>
      </c>
      <c r="ET20" s="62">
        <f t="shared" si="62"/>
        <v>4.0000000000000001E-3</v>
      </c>
      <c r="EU20" s="62">
        <f t="shared" si="63"/>
        <v>3.7000000000000002E-3</v>
      </c>
      <c r="EV20" s="62">
        <f t="shared" si="64"/>
        <v>4.7999999999999996E-3</v>
      </c>
      <c r="EW20" s="62">
        <f t="shared" si="65"/>
        <v>0</v>
      </c>
      <c r="EX20" s="62">
        <f t="shared" si="66"/>
        <v>2.5000000000000001E-3</v>
      </c>
      <c r="EY20" s="62">
        <f t="shared" si="67"/>
        <v>2.5000000000000001E-3</v>
      </c>
      <c r="EZ20" s="62">
        <f t="shared" si="68"/>
        <v>3.8999999999999998E-3</v>
      </c>
      <c r="FA20" s="62">
        <f t="shared" si="69"/>
        <v>6.1999999999999998E-3</v>
      </c>
      <c r="FB20" s="62">
        <f t="shared" si="70"/>
        <v>5.1000000000000004E-3</v>
      </c>
      <c r="FC20" s="62">
        <f t="shared" si="71"/>
        <v>2.8999999999999998E-3</v>
      </c>
      <c r="FD20" s="62">
        <f t="shared" si="72"/>
        <v>1.5E-3</v>
      </c>
      <c r="FE20" s="62">
        <f t="shared" si="73"/>
        <v>2.8E-3</v>
      </c>
      <c r="FF20" s="62">
        <f t="shared" si="74"/>
        <v>1.5E-3</v>
      </c>
      <c r="FG20" s="62">
        <f t="shared" si="75"/>
        <v>2.5999999999999999E-3</v>
      </c>
      <c r="FH20" s="62">
        <f t="shared" si="76"/>
        <v>1.5E-3</v>
      </c>
      <c r="FI20" s="62">
        <f t="shared" si="77"/>
        <v>2.7000000000000001E-3</v>
      </c>
      <c r="FJ20" s="62">
        <f t="shared" si="78"/>
        <v>1.5E-3</v>
      </c>
      <c r="FK20" s="62">
        <f t="shared" si="79"/>
        <v>3.3999999999999998E-3</v>
      </c>
      <c r="FL20" s="62">
        <f t="shared" si="80"/>
        <v>8.9999999999999998E-4</v>
      </c>
      <c r="FM20" s="62">
        <f t="shared" si="81"/>
        <v>2.6999999999999997E-3</v>
      </c>
      <c r="FN20" s="62">
        <f t="shared" si="82"/>
        <v>0</v>
      </c>
      <c r="FO20" s="62">
        <f t="shared" si="83"/>
        <v>2.5000000000000001E-3</v>
      </c>
      <c r="FP20" s="62">
        <f t="shared" si="84"/>
        <v>2.5000000000000001E-3</v>
      </c>
      <c r="FQ20" s="62">
        <f t="shared" si="85"/>
        <v>1.8E-3</v>
      </c>
      <c r="FR20" s="62">
        <f t="shared" si="86"/>
        <v>2E-3</v>
      </c>
      <c r="FS20" s="62">
        <f t="shared" si="87"/>
        <v>1.2999999999999999E-3</v>
      </c>
      <c r="FT20" s="62">
        <f t="shared" si="88"/>
        <v>2.3E-3</v>
      </c>
      <c r="FU20" s="62">
        <f t="shared" si="89"/>
        <v>2E-3</v>
      </c>
      <c r="FV20" s="62">
        <f t="shared" si="90"/>
        <v>2.3999999999999998E-3</v>
      </c>
      <c r="FW20" s="62">
        <f t="shared" si="91"/>
        <v>2.0999999999999999E-3</v>
      </c>
      <c r="FX20" s="62">
        <f t="shared" si="92"/>
        <v>4.0000000000000002E-4</v>
      </c>
      <c r="FY20" s="62">
        <f t="shared" si="93"/>
        <v>2.5000000000000001E-3</v>
      </c>
      <c r="FZ20" s="62">
        <f t="shared" si="94"/>
        <v>5.0000000000000001E-4</v>
      </c>
      <c r="GA20" s="62">
        <f t="shared" si="95"/>
        <v>2.5000000000000001E-3</v>
      </c>
      <c r="GB20" s="62">
        <f t="shared" si="96"/>
        <v>4.0000000000000002E-4</v>
      </c>
      <c r="GC20" s="62">
        <f t="shared" si="97"/>
        <v>1.7499999999999998E-3</v>
      </c>
      <c r="GD20" s="62">
        <f t="shared" si="98"/>
        <v>0</v>
      </c>
      <c r="GE20" s="62">
        <f t="shared" si="99"/>
        <v>1.6999999999999999E-3</v>
      </c>
      <c r="GF20" s="62">
        <f t="shared" si="100"/>
        <v>2.7500000000000002E-4</v>
      </c>
      <c r="GG20" s="62">
        <f t="shared" si="101"/>
        <v>1.719E-3</v>
      </c>
      <c r="GH20" s="62">
        <f t="shared" si="102"/>
        <v>3.0000000000000001E-3</v>
      </c>
      <c r="GI20" s="62">
        <f t="shared" si="103"/>
        <v>2.8999999999999998E-3</v>
      </c>
      <c r="GJ20" s="62">
        <f t="shared" si="104"/>
        <v>2.5000000000000001E-3</v>
      </c>
      <c r="GK20" s="62">
        <f t="shared" si="105"/>
        <v>2.7000000000000001E-3</v>
      </c>
      <c r="GL20" s="62">
        <f t="shared" si="106"/>
        <v>2.5000000000000001E-3</v>
      </c>
      <c r="GM20" s="62">
        <f t="shared" si="107"/>
        <v>2.2000000000000001E-3</v>
      </c>
      <c r="GN20" s="62">
        <f t="shared" si="108"/>
        <v>1.6000000000000001E-3</v>
      </c>
      <c r="GO20" s="62">
        <f t="shared" si="109"/>
        <v>1E-4</v>
      </c>
      <c r="GP20" s="62">
        <f t="shared" si="110"/>
        <v>1E-4</v>
      </c>
      <c r="GQ20" s="62">
        <f t="shared" si="111"/>
        <v>1.1000000000000001E-3</v>
      </c>
      <c r="GR20" s="62">
        <f t="shared" si="112"/>
        <v>2.0000000000000001E-4</v>
      </c>
      <c r="GS20" s="62">
        <f t="shared" si="113"/>
        <v>2.5000000000000001E-3</v>
      </c>
      <c r="GT20" s="62">
        <f t="shared" si="114"/>
        <v>3.3E-3</v>
      </c>
      <c r="GU20" s="62">
        <f t="shared" si="115"/>
        <v>4.0000000000000001E-3</v>
      </c>
      <c r="GV20" s="62">
        <f t="shared" si="116"/>
        <v>3.5000000000000001E-3</v>
      </c>
      <c r="GW20" s="62">
        <f t="shared" si="117"/>
        <v>3.3E-3</v>
      </c>
      <c r="GX20" s="62">
        <f t="shared" si="118"/>
        <v>3.3999999999999998E-3</v>
      </c>
      <c r="GY20" s="62">
        <f t="shared" si="119"/>
        <v>5.0000000000000001E-3</v>
      </c>
      <c r="GZ20" s="62">
        <f t="shared" si="120"/>
        <v>2.5000000000000001E-3</v>
      </c>
      <c r="HA20" s="62">
        <f t="shared" si="121"/>
        <v>2.63E-3</v>
      </c>
      <c r="HB20" s="62">
        <f t="shared" si="122"/>
        <v>6.9999999999999999E-4</v>
      </c>
      <c r="HC20" s="62">
        <f t="shared" si="123"/>
        <v>5.0000000000000001E-4</v>
      </c>
      <c r="HD20" s="62">
        <f t="shared" si="124"/>
        <v>6.9999999999999999E-4</v>
      </c>
      <c r="HE20" s="62">
        <f t="shared" si="125"/>
        <v>4.4999999999999997E-3</v>
      </c>
      <c r="HF20" s="62">
        <f t="shared" si="126"/>
        <v>0</v>
      </c>
      <c r="HG20" s="62">
        <f t="shared" si="127"/>
        <v>6.0000000000000001E-3</v>
      </c>
      <c r="HH20" s="62">
        <f t="shared" si="128"/>
        <v>8.9999999999999998E-4</v>
      </c>
      <c r="HI20" s="62">
        <f t="shared" si="129"/>
        <v>6.0000000000000001E-3</v>
      </c>
    </row>
    <row r="21" spans="2:217" x14ac:dyDescent="0.2">
      <c r="B21" s="72">
        <f t="shared" si="4"/>
        <v>15</v>
      </c>
      <c r="D21" s="62">
        <v>0</v>
      </c>
      <c r="E21" s="73">
        <v>2.3000000000000001E-4</v>
      </c>
      <c r="F21" s="73">
        <v>8.0000000000000004E-4</v>
      </c>
      <c r="G21" s="73">
        <v>4.7000000000000002E-3</v>
      </c>
      <c r="H21" s="73">
        <v>5.9999999999999995E-4</v>
      </c>
      <c r="I21" s="73">
        <v>2.5999999999999999E-3</v>
      </c>
      <c r="J21" s="73">
        <v>3.5999999999999999E-3</v>
      </c>
      <c r="K21" s="73">
        <v>8.0000000000000004E-4</v>
      </c>
      <c r="L21" s="73">
        <v>1E-4</v>
      </c>
      <c r="M21" s="73">
        <v>6.9999999999999999E-4</v>
      </c>
      <c r="N21" s="73">
        <v>1.8E-3</v>
      </c>
      <c r="O21" s="73">
        <v>2.9999999999999997E-4</v>
      </c>
      <c r="P21" s="73">
        <v>1.7499999999999998E-3</v>
      </c>
      <c r="Q21" s="73">
        <v>6.9999999999999999E-4</v>
      </c>
      <c r="R21" s="73">
        <v>2.5000000000000001E-3</v>
      </c>
      <c r="S21" s="73">
        <v>3.3999999999999998E-3</v>
      </c>
      <c r="T21" s="73">
        <v>6.9999999999999999E-4</v>
      </c>
      <c r="U21" s="73">
        <v>2.3999999999999998E-3</v>
      </c>
      <c r="V21" s="73">
        <v>4.1000000000000003E-3</v>
      </c>
      <c r="W21" s="73">
        <v>3.8999999999999998E-3</v>
      </c>
      <c r="X21" s="73">
        <v>4.0000000000000001E-3</v>
      </c>
      <c r="Y21" s="73">
        <v>3.3999999999999998E-3</v>
      </c>
      <c r="Z21" s="73">
        <v>2.3999999999999998E-3</v>
      </c>
      <c r="AA21" s="73">
        <v>8.0000000000000004E-4</v>
      </c>
      <c r="AB21" s="73">
        <v>2.5000000000000001E-3</v>
      </c>
      <c r="AC21" s="73">
        <v>2.3999999999999998E-3</v>
      </c>
      <c r="AD21" s="73">
        <v>2.5000000000000001E-3</v>
      </c>
      <c r="AE21" s="73">
        <v>8.9999999999999998E-4</v>
      </c>
      <c r="AF21" s="73">
        <v>4.7999999999999996E-3</v>
      </c>
      <c r="AG21" s="73">
        <v>2E-3</v>
      </c>
      <c r="AH21" s="73">
        <v>2.8999999999999998E-3</v>
      </c>
      <c r="AI21" s="73">
        <v>5.0000000000000001E-4</v>
      </c>
      <c r="AJ21" s="73">
        <v>2.5000000000000001E-3</v>
      </c>
      <c r="AK21" s="62">
        <v>3.3E-4</v>
      </c>
      <c r="AL21" s="62">
        <v>9.6000000000000002E-4</v>
      </c>
      <c r="AM21" s="62">
        <f t="shared" si="0"/>
        <v>1E-4</v>
      </c>
      <c r="AN21" s="62">
        <f t="shared" si="0"/>
        <v>0</v>
      </c>
      <c r="AO21" s="62">
        <f t="shared" si="0"/>
        <v>2.5000000000000001E-3</v>
      </c>
      <c r="AP21" s="62">
        <f t="shared" si="5"/>
        <v>1.6999999999999999E-3</v>
      </c>
      <c r="AQ21" s="62">
        <f t="shared" si="5"/>
        <v>1.8E-3</v>
      </c>
      <c r="AR21" s="62">
        <v>3.5E-4</v>
      </c>
      <c r="AS21" s="62">
        <v>2.5999999999999998E-4</v>
      </c>
      <c r="AT21" s="62">
        <v>3.5E-4</v>
      </c>
      <c r="AU21" s="62">
        <v>8.7000000000000001E-4</v>
      </c>
      <c r="AV21" s="62">
        <v>1.47E-3</v>
      </c>
      <c r="AW21" s="69">
        <f t="shared" si="131"/>
        <v>1.4000000000000001E-4</v>
      </c>
      <c r="AX21" s="69">
        <f t="shared" si="132"/>
        <v>1.4000000000000001E-4</v>
      </c>
      <c r="AY21" s="69">
        <f t="shared" si="133"/>
        <v>1.4000000000000001E-4</v>
      </c>
      <c r="AZ21" s="69">
        <f t="shared" si="134"/>
        <v>1.4000000000000001E-4</v>
      </c>
      <c r="BA21" s="69">
        <f t="shared" si="138"/>
        <v>6.6E-4</v>
      </c>
      <c r="BB21" s="69">
        <f t="shared" si="139"/>
        <v>6.6E-4</v>
      </c>
      <c r="BC21" s="69">
        <f t="shared" si="140"/>
        <v>6.6E-4</v>
      </c>
      <c r="BD21" s="69">
        <f t="shared" si="141"/>
        <v>6.6E-4</v>
      </c>
      <c r="BE21" s="69">
        <f t="shared" si="136"/>
        <v>4.0000000000000002E-4</v>
      </c>
      <c r="BF21" s="69">
        <f t="shared" si="136"/>
        <v>4.0000000000000002E-4</v>
      </c>
      <c r="BG21" s="69">
        <f t="shared" si="136"/>
        <v>4.0000000000000002E-4</v>
      </c>
      <c r="BH21" s="69">
        <f t="shared" si="136"/>
        <v>4.0000000000000002E-4</v>
      </c>
      <c r="BI21" s="69">
        <f t="shared" si="142"/>
        <v>3.6999999999999999E-4</v>
      </c>
      <c r="BJ21" s="69">
        <f t="shared" si="143"/>
        <v>3.6999999999999999E-4</v>
      </c>
      <c r="BK21" s="69">
        <f t="shared" si="144"/>
        <v>3.6999999999999999E-4</v>
      </c>
      <c r="BL21" s="69">
        <f t="shared" si="145"/>
        <v>3.6999999999999999E-4</v>
      </c>
      <c r="BM21" s="69">
        <f t="shared" si="146"/>
        <v>3.3E-4</v>
      </c>
      <c r="BN21" s="69">
        <f t="shared" si="147"/>
        <v>3.3E-4</v>
      </c>
      <c r="BO21" s="69">
        <f t="shared" si="148"/>
        <v>3.3E-4</v>
      </c>
      <c r="BP21" s="69">
        <f t="shared" si="149"/>
        <v>3.3E-4</v>
      </c>
      <c r="BQ21" s="75">
        <f t="shared" si="153"/>
        <v>2.7999999999999998E-4</v>
      </c>
      <c r="BR21" s="75">
        <f t="shared" si="152"/>
        <v>2.7999999999999998E-4</v>
      </c>
      <c r="BS21" s="75">
        <f t="shared" si="152"/>
        <v>2.7999999999999998E-4</v>
      </c>
      <c r="BT21" s="75">
        <f t="shared" si="152"/>
        <v>2.7999999999999998E-4</v>
      </c>
      <c r="BU21" s="75">
        <f t="shared" si="152"/>
        <v>4.8999999999999998E-4</v>
      </c>
      <c r="BV21" s="75">
        <f t="shared" si="152"/>
        <v>4.8999999999999998E-4</v>
      </c>
      <c r="BW21" s="75">
        <f t="shared" si="152"/>
        <v>4.8999999999999998E-4</v>
      </c>
      <c r="BX21" s="75">
        <f t="shared" si="152"/>
        <v>4.8999999999999998E-4</v>
      </c>
      <c r="BY21" s="75">
        <f t="shared" si="152"/>
        <v>4.8999999999999998E-4</v>
      </c>
      <c r="BZ21" s="75">
        <f t="shared" si="152"/>
        <v>4.8999999999999998E-4</v>
      </c>
      <c r="CA21" s="75">
        <f t="shared" si="152"/>
        <v>4.8999999999999998E-4</v>
      </c>
      <c r="CB21" s="75">
        <f t="shared" si="152"/>
        <v>4.8999999999999998E-4</v>
      </c>
      <c r="CC21" s="69">
        <f t="shared" si="6"/>
        <v>2.5000000000000001E-4</v>
      </c>
      <c r="CD21" s="69">
        <f t="shared" si="7"/>
        <v>2.5000000000000001E-4</v>
      </c>
      <c r="CE21" s="69">
        <f t="shared" si="8"/>
        <v>2.5000000000000001E-4</v>
      </c>
      <c r="CF21" s="69">
        <f t="shared" si="9"/>
        <v>2.5000000000000001E-4</v>
      </c>
      <c r="CG21" s="69">
        <f t="shared" si="10"/>
        <v>5.0000000000000001E-4</v>
      </c>
      <c r="CH21" s="69">
        <f t="shared" si="11"/>
        <v>5.0000000000000001E-4</v>
      </c>
      <c r="CI21" s="69">
        <f t="shared" si="12"/>
        <v>5.0000000000000001E-4</v>
      </c>
      <c r="CJ21" s="69">
        <f t="shared" si="13"/>
        <v>5.0000000000000001E-4</v>
      </c>
      <c r="CK21" s="69">
        <f t="shared" si="14"/>
        <v>1E-3</v>
      </c>
      <c r="CL21" s="69">
        <f t="shared" si="15"/>
        <v>1E-3</v>
      </c>
      <c r="CM21" s="69">
        <f t="shared" si="16"/>
        <v>1E-3</v>
      </c>
      <c r="CN21" s="69">
        <f t="shared" si="17"/>
        <v>1E-3</v>
      </c>
      <c r="CO21" s="69">
        <v>0</v>
      </c>
      <c r="CP21" s="69">
        <v>0</v>
      </c>
      <c r="CQ21" s="69">
        <v>0</v>
      </c>
      <c r="CR21" s="69">
        <v>0</v>
      </c>
      <c r="CS21" s="69">
        <v>0</v>
      </c>
      <c r="CT21" s="69">
        <v>0</v>
      </c>
      <c r="CU21" s="69">
        <v>0</v>
      </c>
      <c r="CV21" s="69">
        <v>0</v>
      </c>
      <c r="CW21" s="69">
        <v>7.4999999999999997E-3</v>
      </c>
      <c r="CX21" s="69">
        <v>7.4999999999999997E-3</v>
      </c>
      <c r="CY21" s="69">
        <v>3.5000000000000001E-3</v>
      </c>
      <c r="CZ21" s="69">
        <v>3.5000000000000001E-3</v>
      </c>
      <c r="DA21" s="62">
        <f t="shared" si="18"/>
        <v>1.5E-3</v>
      </c>
      <c r="DB21" s="62">
        <f t="shared" si="19"/>
        <v>2.5000000000000001E-3</v>
      </c>
      <c r="DC21" s="62">
        <v>3.2000000000000002E-3</v>
      </c>
      <c r="DD21" s="62">
        <f t="shared" si="20"/>
        <v>2.0999999999999999E-3</v>
      </c>
      <c r="DE21" s="62">
        <f t="shared" si="21"/>
        <v>2E-3</v>
      </c>
      <c r="DF21" s="62">
        <f t="shared" si="22"/>
        <v>2.2000000000000001E-3</v>
      </c>
      <c r="DG21" s="62">
        <f t="shared" si="23"/>
        <v>2.3E-3</v>
      </c>
      <c r="DH21" s="62">
        <f t="shared" si="24"/>
        <v>2.5000000000000001E-3</v>
      </c>
      <c r="DI21" s="62">
        <f t="shared" si="25"/>
        <v>2.5999999999999999E-3</v>
      </c>
      <c r="DJ21" s="62">
        <f t="shared" si="26"/>
        <v>3.2000000000000002E-3</v>
      </c>
      <c r="DK21" s="62">
        <f t="shared" si="27"/>
        <v>2.9999999999999997E-4</v>
      </c>
      <c r="DL21" s="62">
        <f t="shared" si="28"/>
        <v>2.5000000000000001E-3</v>
      </c>
      <c r="DM21" s="62">
        <f t="shared" si="29"/>
        <v>5.0000000000000001E-4</v>
      </c>
      <c r="DN21" s="62">
        <f t="shared" si="30"/>
        <v>1.1999999999999999E-3</v>
      </c>
      <c r="DO21" s="62">
        <f t="shared" si="31"/>
        <v>1.9E-3</v>
      </c>
      <c r="DP21" s="62">
        <f t="shared" si="32"/>
        <v>1E-3</v>
      </c>
      <c r="DQ21" s="62">
        <f t="shared" si="33"/>
        <v>2.0999999999999999E-3</v>
      </c>
      <c r="DR21" s="62">
        <f t="shared" si="34"/>
        <v>8.9999999999999998E-4</v>
      </c>
      <c r="DS21" s="62">
        <f t="shared" si="35"/>
        <v>2.0999999999999999E-3</v>
      </c>
      <c r="DT21" s="62">
        <f t="shared" si="36"/>
        <v>1.4E-3</v>
      </c>
      <c r="DU21" s="62">
        <f t="shared" si="37"/>
        <v>1.6000000000000001E-3</v>
      </c>
      <c r="DV21" s="62">
        <f t="shared" si="38"/>
        <v>2.3999999999999998E-3</v>
      </c>
      <c r="DW21" s="62">
        <f t="shared" si="39"/>
        <v>5.0000000000000001E-3</v>
      </c>
      <c r="DX21" s="62">
        <f t="shared" si="40"/>
        <v>2E-3</v>
      </c>
      <c r="DY21" s="62">
        <f t="shared" si="41"/>
        <v>0</v>
      </c>
      <c r="DZ21" s="62">
        <f t="shared" si="42"/>
        <v>1.5E-3</v>
      </c>
      <c r="EA21" s="62">
        <f t="shared" si="43"/>
        <v>2.0000000000000001E-4</v>
      </c>
      <c r="EB21" s="62">
        <f t="shared" si="44"/>
        <v>1.5E-3</v>
      </c>
      <c r="EC21" s="62">
        <f t="shared" si="45"/>
        <v>2.7000000000000001E-3</v>
      </c>
      <c r="ED21" s="62">
        <f t="shared" si="46"/>
        <v>2.5000000000000001E-3</v>
      </c>
      <c r="EE21" s="62">
        <f t="shared" si="47"/>
        <v>0</v>
      </c>
      <c r="EF21" s="62">
        <f t="shared" si="48"/>
        <v>2.5000000000000001E-3</v>
      </c>
      <c r="EG21" s="62">
        <f t="shared" si="49"/>
        <v>1.1000000000000001E-3</v>
      </c>
      <c r="EH21" s="62">
        <f t="shared" si="50"/>
        <v>2.5000000000000001E-3</v>
      </c>
      <c r="EI21" s="62">
        <f t="shared" si="51"/>
        <v>8.0000000000000004E-4</v>
      </c>
      <c r="EJ21" s="62">
        <f t="shared" si="52"/>
        <v>2.5000000000000001E-3</v>
      </c>
      <c r="EK21" s="62">
        <f t="shared" si="53"/>
        <v>7.5000000000000002E-4</v>
      </c>
      <c r="EL21" s="62">
        <f t="shared" si="54"/>
        <v>2.5000000000000001E-3</v>
      </c>
      <c r="EM21" s="62">
        <f t="shared" si="55"/>
        <v>3.2000000000000002E-3</v>
      </c>
      <c r="EN21" s="62">
        <f t="shared" si="56"/>
        <v>2.3999999999999998E-3</v>
      </c>
      <c r="EO21" s="62">
        <f t="shared" si="57"/>
        <v>0</v>
      </c>
      <c r="EP21" s="62">
        <f t="shared" si="58"/>
        <v>2E-3</v>
      </c>
      <c r="EQ21" s="62">
        <f t="shared" si="59"/>
        <v>1.1000000000000001E-3</v>
      </c>
      <c r="ER21" s="62">
        <f t="shared" si="60"/>
        <v>2.2000000000000001E-3</v>
      </c>
      <c r="ES21" s="62">
        <f t="shared" si="61"/>
        <v>1E-3</v>
      </c>
      <c r="ET21" s="62">
        <f t="shared" si="62"/>
        <v>4.0000000000000001E-3</v>
      </c>
      <c r="EU21" s="62">
        <f t="shared" si="63"/>
        <v>3.7000000000000002E-3</v>
      </c>
      <c r="EV21" s="62">
        <f t="shared" si="64"/>
        <v>4.7999999999999996E-3</v>
      </c>
      <c r="EW21" s="62">
        <f t="shared" si="65"/>
        <v>0</v>
      </c>
      <c r="EX21" s="62">
        <f t="shared" si="66"/>
        <v>2.5000000000000001E-3</v>
      </c>
      <c r="EY21" s="62">
        <f t="shared" si="67"/>
        <v>2.5000000000000001E-3</v>
      </c>
      <c r="EZ21" s="62">
        <f t="shared" si="68"/>
        <v>3.8999999999999998E-3</v>
      </c>
      <c r="FA21" s="62">
        <f t="shared" si="69"/>
        <v>6.1999999999999998E-3</v>
      </c>
      <c r="FB21" s="62">
        <f t="shared" si="70"/>
        <v>5.1000000000000004E-3</v>
      </c>
      <c r="FC21" s="62">
        <f t="shared" si="71"/>
        <v>2.8999999999999998E-3</v>
      </c>
      <c r="FD21" s="62">
        <f t="shared" si="72"/>
        <v>1.5E-3</v>
      </c>
      <c r="FE21" s="62">
        <f t="shared" si="73"/>
        <v>2.8E-3</v>
      </c>
      <c r="FF21" s="62">
        <f t="shared" si="74"/>
        <v>1.5E-3</v>
      </c>
      <c r="FG21" s="62">
        <f t="shared" si="75"/>
        <v>2.5999999999999999E-3</v>
      </c>
      <c r="FH21" s="62">
        <f t="shared" si="76"/>
        <v>1.5E-3</v>
      </c>
      <c r="FI21" s="62">
        <f t="shared" si="77"/>
        <v>2.7000000000000001E-3</v>
      </c>
      <c r="FJ21" s="62">
        <f t="shared" si="78"/>
        <v>1.5E-3</v>
      </c>
      <c r="FK21" s="62">
        <f t="shared" si="79"/>
        <v>3.3999999999999998E-3</v>
      </c>
      <c r="FL21" s="62">
        <f t="shared" si="80"/>
        <v>8.9999999999999998E-4</v>
      </c>
      <c r="FM21" s="62">
        <f t="shared" si="81"/>
        <v>2.6999999999999997E-3</v>
      </c>
      <c r="FN21" s="62">
        <f t="shared" si="82"/>
        <v>0</v>
      </c>
      <c r="FO21" s="62">
        <f t="shared" si="83"/>
        <v>2.5000000000000001E-3</v>
      </c>
      <c r="FP21" s="62">
        <f t="shared" si="84"/>
        <v>2.5000000000000001E-3</v>
      </c>
      <c r="FQ21" s="62">
        <f t="shared" si="85"/>
        <v>1.8E-3</v>
      </c>
      <c r="FR21" s="62">
        <f t="shared" si="86"/>
        <v>2E-3</v>
      </c>
      <c r="FS21" s="62">
        <f t="shared" si="87"/>
        <v>1.2999999999999999E-3</v>
      </c>
      <c r="FT21" s="62">
        <f t="shared" si="88"/>
        <v>2.3E-3</v>
      </c>
      <c r="FU21" s="62">
        <f t="shared" si="89"/>
        <v>2E-3</v>
      </c>
      <c r="FV21" s="62">
        <f t="shared" si="90"/>
        <v>2.3999999999999998E-3</v>
      </c>
      <c r="FW21" s="62">
        <f t="shared" si="91"/>
        <v>2.0999999999999999E-3</v>
      </c>
      <c r="FX21" s="62">
        <f t="shared" si="92"/>
        <v>4.0000000000000002E-4</v>
      </c>
      <c r="FY21" s="62">
        <f t="shared" si="93"/>
        <v>2.5000000000000001E-3</v>
      </c>
      <c r="FZ21" s="62">
        <f t="shared" si="94"/>
        <v>5.0000000000000001E-4</v>
      </c>
      <c r="GA21" s="62">
        <f t="shared" si="95"/>
        <v>2.5000000000000001E-3</v>
      </c>
      <c r="GB21" s="62">
        <f t="shared" si="96"/>
        <v>4.0000000000000002E-4</v>
      </c>
      <c r="GC21" s="62">
        <f t="shared" si="97"/>
        <v>1.7499999999999998E-3</v>
      </c>
      <c r="GD21" s="62">
        <f t="shared" si="98"/>
        <v>0</v>
      </c>
      <c r="GE21" s="62">
        <f t="shared" si="99"/>
        <v>1.6999999999999999E-3</v>
      </c>
      <c r="GF21" s="62">
        <f t="shared" si="100"/>
        <v>2.7500000000000002E-4</v>
      </c>
      <c r="GG21" s="62">
        <f t="shared" si="101"/>
        <v>1.719E-3</v>
      </c>
      <c r="GH21" s="62">
        <f t="shared" si="102"/>
        <v>3.0000000000000001E-3</v>
      </c>
      <c r="GI21" s="62">
        <f t="shared" si="103"/>
        <v>2.8999999999999998E-3</v>
      </c>
      <c r="GJ21" s="62">
        <f t="shared" si="104"/>
        <v>2.5000000000000001E-3</v>
      </c>
      <c r="GK21" s="62">
        <f t="shared" si="105"/>
        <v>2.7000000000000001E-3</v>
      </c>
      <c r="GL21" s="62">
        <f t="shared" si="106"/>
        <v>2.5000000000000001E-3</v>
      </c>
      <c r="GM21" s="62">
        <f t="shared" si="107"/>
        <v>2.2000000000000001E-3</v>
      </c>
      <c r="GN21" s="62">
        <f t="shared" si="108"/>
        <v>1.6000000000000001E-3</v>
      </c>
      <c r="GO21" s="62">
        <f t="shared" si="109"/>
        <v>1E-4</v>
      </c>
      <c r="GP21" s="62">
        <f t="shared" si="110"/>
        <v>1E-4</v>
      </c>
      <c r="GQ21" s="62">
        <f t="shared" si="111"/>
        <v>1.1000000000000001E-3</v>
      </c>
      <c r="GR21" s="62">
        <f t="shared" si="112"/>
        <v>2.0000000000000001E-4</v>
      </c>
      <c r="GS21" s="62">
        <f t="shared" si="113"/>
        <v>2.5000000000000001E-3</v>
      </c>
      <c r="GT21" s="62">
        <f t="shared" si="114"/>
        <v>3.3E-3</v>
      </c>
      <c r="GU21" s="62">
        <f t="shared" si="115"/>
        <v>4.0000000000000001E-3</v>
      </c>
      <c r="GV21" s="62">
        <f t="shared" si="116"/>
        <v>3.5000000000000001E-3</v>
      </c>
      <c r="GW21" s="62">
        <f t="shared" si="117"/>
        <v>3.3E-3</v>
      </c>
      <c r="GX21" s="62">
        <f t="shared" si="118"/>
        <v>3.3999999999999998E-3</v>
      </c>
      <c r="GY21" s="62">
        <f t="shared" si="119"/>
        <v>5.0000000000000001E-3</v>
      </c>
      <c r="GZ21" s="62">
        <f t="shared" si="120"/>
        <v>2.5000000000000001E-3</v>
      </c>
      <c r="HA21" s="62">
        <f t="shared" si="121"/>
        <v>2.63E-3</v>
      </c>
      <c r="HB21" s="62">
        <f t="shared" si="122"/>
        <v>6.9999999999999999E-4</v>
      </c>
      <c r="HC21" s="62">
        <f t="shared" si="123"/>
        <v>5.0000000000000001E-4</v>
      </c>
      <c r="HD21" s="62">
        <f t="shared" si="124"/>
        <v>6.9999999999999999E-4</v>
      </c>
      <c r="HE21" s="62">
        <f t="shared" si="125"/>
        <v>4.4999999999999997E-3</v>
      </c>
      <c r="HF21" s="62">
        <f t="shared" si="126"/>
        <v>0</v>
      </c>
      <c r="HG21" s="62">
        <f t="shared" si="127"/>
        <v>6.0000000000000001E-3</v>
      </c>
      <c r="HH21" s="62">
        <f t="shared" si="128"/>
        <v>8.9999999999999998E-4</v>
      </c>
      <c r="HI21" s="62">
        <f t="shared" si="129"/>
        <v>6.0000000000000001E-3</v>
      </c>
    </row>
    <row r="22" spans="2:217" x14ac:dyDescent="0.2">
      <c r="B22" s="72">
        <f t="shared" si="4"/>
        <v>16</v>
      </c>
      <c r="D22" s="62">
        <v>0</v>
      </c>
      <c r="E22" s="73">
        <v>2.3000000000000001E-4</v>
      </c>
      <c r="F22" s="73">
        <v>8.0000000000000004E-4</v>
      </c>
      <c r="G22" s="73">
        <v>4.7000000000000002E-3</v>
      </c>
      <c r="H22" s="73">
        <v>5.9999999999999995E-4</v>
      </c>
      <c r="I22" s="73">
        <v>2.5999999999999999E-3</v>
      </c>
      <c r="J22" s="73">
        <v>3.5999999999999999E-3</v>
      </c>
      <c r="K22" s="73">
        <v>8.0000000000000004E-4</v>
      </c>
      <c r="L22" s="73">
        <v>1E-4</v>
      </c>
      <c r="M22" s="73">
        <v>6.9999999999999999E-4</v>
      </c>
      <c r="N22" s="73">
        <v>1.8E-3</v>
      </c>
      <c r="O22" s="73">
        <v>2.9999999999999997E-4</v>
      </c>
      <c r="P22" s="73">
        <v>1.7499999999999998E-3</v>
      </c>
      <c r="Q22" s="73">
        <v>6.9999999999999999E-4</v>
      </c>
      <c r="R22" s="73">
        <v>2.5000000000000001E-3</v>
      </c>
      <c r="S22" s="73">
        <v>3.3999999999999998E-3</v>
      </c>
      <c r="T22" s="73">
        <v>6.9999999999999999E-4</v>
      </c>
      <c r="U22" s="73">
        <v>2.3999999999999998E-3</v>
      </c>
      <c r="V22" s="73">
        <v>4.1000000000000003E-3</v>
      </c>
      <c r="W22" s="73">
        <v>3.8999999999999998E-3</v>
      </c>
      <c r="X22" s="73">
        <v>4.0000000000000001E-3</v>
      </c>
      <c r="Y22" s="73">
        <v>3.3999999999999998E-3</v>
      </c>
      <c r="Z22" s="73">
        <v>2.3999999999999998E-3</v>
      </c>
      <c r="AA22" s="73">
        <v>8.0000000000000004E-4</v>
      </c>
      <c r="AB22" s="73">
        <v>2.5000000000000001E-3</v>
      </c>
      <c r="AC22" s="73">
        <v>2.3999999999999998E-3</v>
      </c>
      <c r="AD22" s="73">
        <v>2.5000000000000001E-3</v>
      </c>
      <c r="AE22" s="73">
        <v>8.9999999999999998E-4</v>
      </c>
      <c r="AF22" s="73">
        <v>4.7999999999999996E-3</v>
      </c>
      <c r="AG22" s="73">
        <v>2E-3</v>
      </c>
      <c r="AH22" s="73">
        <v>2.8999999999999998E-3</v>
      </c>
      <c r="AI22" s="73">
        <v>5.0000000000000001E-4</v>
      </c>
      <c r="AJ22" s="73">
        <v>2.5000000000000001E-3</v>
      </c>
      <c r="AK22" s="62">
        <v>3.3E-4</v>
      </c>
      <c r="AL22" s="62">
        <v>9.6000000000000002E-4</v>
      </c>
      <c r="AM22" s="62">
        <f t="shared" si="0"/>
        <v>1E-4</v>
      </c>
      <c r="AN22" s="62">
        <f t="shared" si="0"/>
        <v>0</v>
      </c>
      <c r="AO22" s="62">
        <f t="shared" si="0"/>
        <v>2.5000000000000001E-3</v>
      </c>
      <c r="AP22" s="62">
        <f t="shared" si="5"/>
        <v>1.6999999999999999E-3</v>
      </c>
      <c r="AQ22" s="62">
        <f t="shared" si="5"/>
        <v>1.8E-3</v>
      </c>
      <c r="AR22" s="62">
        <v>3.5E-4</v>
      </c>
      <c r="AS22" s="62">
        <v>2.5999999999999998E-4</v>
      </c>
      <c r="AT22" s="62">
        <v>3.5E-4</v>
      </c>
      <c r="AU22" s="62">
        <v>8.7000000000000001E-4</v>
      </c>
      <c r="AV22" s="62">
        <v>1.47E-3</v>
      </c>
      <c r="AW22" s="69">
        <f t="shared" si="131"/>
        <v>1.4000000000000001E-4</v>
      </c>
      <c r="AX22" s="69">
        <f t="shared" si="132"/>
        <v>1.4000000000000001E-4</v>
      </c>
      <c r="AY22" s="69">
        <f t="shared" si="133"/>
        <v>1.4000000000000001E-4</v>
      </c>
      <c r="AZ22" s="69">
        <f t="shared" si="134"/>
        <v>1.4000000000000001E-4</v>
      </c>
      <c r="BA22" s="69">
        <f t="shared" si="138"/>
        <v>6.6E-4</v>
      </c>
      <c r="BB22" s="69">
        <f t="shared" si="139"/>
        <v>6.6E-4</v>
      </c>
      <c r="BC22" s="69">
        <f t="shared" si="140"/>
        <v>6.6E-4</v>
      </c>
      <c r="BD22" s="69">
        <f t="shared" si="141"/>
        <v>6.6E-4</v>
      </c>
      <c r="BE22" s="69">
        <f t="shared" si="136"/>
        <v>4.0000000000000002E-4</v>
      </c>
      <c r="BF22" s="69">
        <f t="shared" si="136"/>
        <v>4.0000000000000002E-4</v>
      </c>
      <c r="BG22" s="69">
        <f t="shared" si="136"/>
        <v>4.0000000000000002E-4</v>
      </c>
      <c r="BH22" s="69">
        <f t="shared" si="136"/>
        <v>4.0000000000000002E-4</v>
      </c>
      <c r="BI22" s="69">
        <f t="shared" si="142"/>
        <v>3.6999999999999999E-4</v>
      </c>
      <c r="BJ22" s="69">
        <f t="shared" si="143"/>
        <v>3.6999999999999999E-4</v>
      </c>
      <c r="BK22" s="69">
        <f t="shared" si="144"/>
        <v>3.6999999999999999E-4</v>
      </c>
      <c r="BL22" s="69">
        <f t="shared" si="145"/>
        <v>3.6999999999999999E-4</v>
      </c>
      <c r="BM22" s="69">
        <f t="shared" si="146"/>
        <v>3.3E-4</v>
      </c>
      <c r="BN22" s="69">
        <f t="shared" si="147"/>
        <v>3.3E-4</v>
      </c>
      <c r="BO22" s="69">
        <f t="shared" si="148"/>
        <v>3.3E-4</v>
      </c>
      <c r="BP22" s="69">
        <f t="shared" si="149"/>
        <v>3.3E-4</v>
      </c>
      <c r="BQ22" s="75">
        <f t="shared" si="153"/>
        <v>2.7999999999999998E-4</v>
      </c>
      <c r="BR22" s="75">
        <f t="shared" si="152"/>
        <v>2.7999999999999998E-4</v>
      </c>
      <c r="BS22" s="75">
        <f t="shared" si="152"/>
        <v>2.7999999999999998E-4</v>
      </c>
      <c r="BT22" s="75">
        <f t="shared" si="152"/>
        <v>2.7999999999999998E-4</v>
      </c>
      <c r="BU22" s="75">
        <f t="shared" si="152"/>
        <v>4.8999999999999998E-4</v>
      </c>
      <c r="BV22" s="75">
        <f t="shared" si="152"/>
        <v>4.8999999999999998E-4</v>
      </c>
      <c r="BW22" s="75">
        <f t="shared" si="152"/>
        <v>4.8999999999999998E-4</v>
      </c>
      <c r="BX22" s="75">
        <f t="shared" si="152"/>
        <v>4.8999999999999998E-4</v>
      </c>
      <c r="BY22" s="75">
        <f t="shared" si="152"/>
        <v>4.8999999999999998E-4</v>
      </c>
      <c r="BZ22" s="75">
        <f t="shared" si="152"/>
        <v>4.8999999999999998E-4</v>
      </c>
      <c r="CA22" s="75">
        <f t="shared" si="152"/>
        <v>4.8999999999999998E-4</v>
      </c>
      <c r="CB22" s="75">
        <f t="shared" si="152"/>
        <v>4.8999999999999998E-4</v>
      </c>
      <c r="CC22" s="69">
        <f t="shared" si="6"/>
        <v>2.5000000000000001E-4</v>
      </c>
      <c r="CD22" s="69">
        <f t="shared" si="7"/>
        <v>2.5000000000000001E-4</v>
      </c>
      <c r="CE22" s="69">
        <f t="shared" si="8"/>
        <v>2.5000000000000001E-4</v>
      </c>
      <c r="CF22" s="69">
        <f t="shared" si="9"/>
        <v>2.5000000000000001E-4</v>
      </c>
      <c r="CG22" s="69">
        <f t="shared" si="10"/>
        <v>5.0000000000000001E-4</v>
      </c>
      <c r="CH22" s="69">
        <f t="shared" si="11"/>
        <v>5.0000000000000001E-4</v>
      </c>
      <c r="CI22" s="69">
        <f t="shared" si="12"/>
        <v>5.0000000000000001E-4</v>
      </c>
      <c r="CJ22" s="69">
        <f t="shared" si="13"/>
        <v>5.0000000000000001E-4</v>
      </c>
      <c r="CK22" s="69">
        <f t="shared" si="14"/>
        <v>1E-3</v>
      </c>
      <c r="CL22" s="69">
        <f t="shared" si="15"/>
        <v>1E-3</v>
      </c>
      <c r="CM22" s="69">
        <f t="shared" si="16"/>
        <v>1E-3</v>
      </c>
      <c r="CN22" s="69">
        <f t="shared" si="17"/>
        <v>1E-3</v>
      </c>
      <c r="CO22" s="69">
        <v>4.0000000000000001E-3</v>
      </c>
      <c r="CP22" s="69">
        <v>4.0000000000000001E-3</v>
      </c>
      <c r="CQ22" s="69">
        <v>2E-3</v>
      </c>
      <c r="CR22" s="69">
        <v>2E-3</v>
      </c>
      <c r="CS22" s="69">
        <v>5.0000000000000001E-3</v>
      </c>
      <c r="CT22" s="69">
        <v>5.0000000000000001E-3</v>
      </c>
      <c r="CU22" s="69">
        <v>2.5000000000000001E-3</v>
      </c>
      <c r="CV22" s="69">
        <v>2.5000000000000001E-3</v>
      </c>
      <c r="CW22" s="69">
        <v>0</v>
      </c>
      <c r="CX22" s="69">
        <v>0</v>
      </c>
      <c r="CY22" s="69">
        <v>0</v>
      </c>
      <c r="CZ22" s="69">
        <v>0</v>
      </c>
      <c r="DA22" s="62">
        <f t="shared" si="18"/>
        <v>1.5E-3</v>
      </c>
      <c r="DB22" s="62">
        <f t="shared" si="19"/>
        <v>2.5000000000000001E-3</v>
      </c>
      <c r="DC22" s="62">
        <v>3.2000000000000002E-3</v>
      </c>
      <c r="DD22" s="62">
        <f t="shared" si="20"/>
        <v>2.0999999999999999E-3</v>
      </c>
      <c r="DE22" s="62">
        <f t="shared" si="21"/>
        <v>2E-3</v>
      </c>
      <c r="DF22" s="62">
        <f t="shared" si="22"/>
        <v>2.2000000000000001E-3</v>
      </c>
      <c r="DG22" s="62">
        <f t="shared" si="23"/>
        <v>2.3E-3</v>
      </c>
      <c r="DH22" s="62">
        <f t="shared" si="24"/>
        <v>2.5000000000000001E-3</v>
      </c>
      <c r="DI22" s="62">
        <f t="shared" si="25"/>
        <v>2.5999999999999999E-3</v>
      </c>
      <c r="DJ22" s="62">
        <f t="shared" si="26"/>
        <v>3.2000000000000002E-3</v>
      </c>
      <c r="DK22" s="62">
        <f t="shared" si="27"/>
        <v>2.9999999999999997E-4</v>
      </c>
      <c r="DL22" s="62">
        <f t="shared" si="28"/>
        <v>2.5000000000000001E-3</v>
      </c>
      <c r="DM22" s="62">
        <f t="shared" si="29"/>
        <v>5.0000000000000001E-4</v>
      </c>
      <c r="DN22" s="62">
        <f t="shared" si="30"/>
        <v>1.1999999999999999E-3</v>
      </c>
      <c r="DO22" s="62">
        <f t="shared" si="31"/>
        <v>1.9E-3</v>
      </c>
      <c r="DP22" s="62">
        <f t="shared" si="32"/>
        <v>1E-3</v>
      </c>
      <c r="DQ22" s="62">
        <f t="shared" si="33"/>
        <v>2.0999999999999999E-3</v>
      </c>
      <c r="DR22" s="62">
        <f t="shared" si="34"/>
        <v>8.9999999999999998E-4</v>
      </c>
      <c r="DS22" s="62">
        <f t="shared" si="35"/>
        <v>2.0999999999999999E-3</v>
      </c>
      <c r="DT22" s="62">
        <f t="shared" si="36"/>
        <v>1.4E-3</v>
      </c>
      <c r="DU22" s="62">
        <f t="shared" si="37"/>
        <v>1.6000000000000001E-3</v>
      </c>
      <c r="DV22" s="62">
        <f t="shared" si="38"/>
        <v>2.3999999999999998E-3</v>
      </c>
      <c r="DW22" s="62">
        <f t="shared" si="39"/>
        <v>5.0000000000000001E-3</v>
      </c>
      <c r="DX22" s="62">
        <f t="shared" si="40"/>
        <v>2E-3</v>
      </c>
      <c r="DY22" s="62">
        <f t="shared" si="41"/>
        <v>0</v>
      </c>
      <c r="DZ22" s="62">
        <f t="shared" si="42"/>
        <v>1.5E-3</v>
      </c>
      <c r="EA22" s="62">
        <f t="shared" si="43"/>
        <v>2.0000000000000001E-4</v>
      </c>
      <c r="EB22" s="62">
        <f t="shared" si="44"/>
        <v>1.5E-3</v>
      </c>
      <c r="EC22" s="62">
        <f t="shared" si="45"/>
        <v>2.7000000000000001E-3</v>
      </c>
      <c r="ED22" s="62">
        <f t="shared" si="46"/>
        <v>2.5000000000000001E-3</v>
      </c>
      <c r="EE22" s="62">
        <f t="shared" si="47"/>
        <v>0</v>
      </c>
      <c r="EF22" s="62">
        <f t="shared" si="48"/>
        <v>2.5000000000000001E-3</v>
      </c>
      <c r="EG22" s="62">
        <f t="shared" si="49"/>
        <v>1.1000000000000001E-3</v>
      </c>
      <c r="EH22" s="62">
        <f t="shared" si="50"/>
        <v>2.5000000000000001E-3</v>
      </c>
      <c r="EI22" s="62">
        <f t="shared" si="51"/>
        <v>8.0000000000000004E-4</v>
      </c>
      <c r="EJ22" s="62">
        <f t="shared" si="52"/>
        <v>2.5000000000000001E-3</v>
      </c>
      <c r="EK22" s="62">
        <f t="shared" si="53"/>
        <v>7.5000000000000002E-4</v>
      </c>
      <c r="EL22" s="62">
        <f t="shared" si="54"/>
        <v>2.5000000000000001E-3</v>
      </c>
      <c r="EM22" s="62">
        <f t="shared" si="55"/>
        <v>3.2000000000000002E-3</v>
      </c>
      <c r="EN22" s="62">
        <f t="shared" si="56"/>
        <v>2.3999999999999998E-3</v>
      </c>
      <c r="EO22" s="62">
        <f t="shared" si="57"/>
        <v>0</v>
      </c>
      <c r="EP22" s="62">
        <f t="shared" si="58"/>
        <v>2E-3</v>
      </c>
      <c r="EQ22" s="62">
        <f t="shared" si="59"/>
        <v>1.1000000000000001E-3</v>
      </c>
      <c r="ER22" s="62">
        <f t="shared" si="60"/>
        <v>2.2000000000000001E-3</v>
      </c>
      <c r="ES22" s="62">
        <f t="shared" si="61"/>
        <v>1E-3</v>
      </c>
      <c r="ET22" s="62">
        <f t="shared" si="62"/>
        <v>4.0000000000000001E-3</v>
      </c>
      <c r="EU22" s="62">
        <f t="shared" si="63"/>
        <v>3.7000000000000002E-3</v>
      </c>
      <c r="EV22" s="62">
        <f t="shared" si="64"/>
        <v>4.7999999999999996E-3</v>
      </c>
      <c r="EW22" s="62">
        <f t="shared" si="65"/>
        <v>0</v>
      </c>
      <c r="EX22" s="62">
        <f t="shared" si="66"/>
        <v>2.5000000000000001E-3</v>
      </c>
      <c r="EY22" s="62">
        <f t="shared" si="67"/>
        <v>2.5000000000000001E-3</v>
      </c>
      <c r="EZ22" s="62">
        <f t="shared" si="68"/>
        <v>3.8999999999999998E-3</v>
      </c>
      <c r="FA22" s="62">
        <f t="shared" si="69"/>
        <v>6.1999999999999998E-3</v>
      </c>
      <c r="FB22" s="62">
        <f t="shared" si="70"/>
        <v>5.1000000000000004E-3</v>
      </c>
      <c r="FC22" s="62">
        <f t="shared" si="71"/>
        <v>2.8999999999999998E-3</v>
      </c>
      <c r="FD22" s="62">
        <f t="shared" si="72"/>
        <v>1.5E-3</v>
      </c>
      <c r="FE22" s="62">
        <f t="shared" si="73"/>
        <v>2.8E-3</v>
      </c>
      <c r="FF22" s="62">
        <f t="shared" si="74"/>
        <v>1.5E-3</v>
      </c>
      <c r="FG22" s="62">
        <f t="shared" si="75"/>
        <v>2.5999999999999999E-3</v>
      </c>
      <c r="FH22" s="62">
        <f t="shared" si="76"/>
        <v>1.5E-3</v>
      </c>
      <c r="FI22" s="62">
        <f t="shared" si="77"/>
        <v>2.7000000000000001E-3</v>
      </c>
      <c r="FJ22" s="62">
        <f t="shared" si="78"/>
        <v>1.5E-3</v>
      </c>
      <c r="FK22" s="62">
        <f t="shared" si="79"/>
        <v>3.3999999999999998E-3</v>
      </c>
      <c r="FL22" s="62">
        <f t="shared" si="80"/>
        <v>8.9999999999999998E-4</v>
      </c>
      <c r="FM22" s="62">
        <f t="shared" si="81"/>
        <v>2.6999999999999997E-3</v>
      </c>
      <c r="FN22" s="62">
        <f t="shared" si="82"/>
        <v>0</v>
      </c>
      <c r="FO22" s="62">
        <f t="shared" si="83"/>
        <v>2.5000000000000001E-3</v>
      </c>
      <c r="FP22" s="62">
        <f t="shared" si="84"/>
        <v>2.5000000000000001E-3</v>
      </c>
      <c r="FQ22" s="62">
        <f t="shared" si="85"/>
        <v>1.8E-3</v>
      </c>
      <c r="FR22" s="62">
        <f t="shared" si="86"/>
        <v>2E-3</v>
      </c>
      <c r="FS22" s="62">
        <f t="shared" si="87"/>
        <v>1.2999999999999999E-3</v>
      </c>
      <c r="FT22" s="62">
        <f t="shared" si="88"/>
        <v>2.3E-3</v>
      </c>
      <c r="FU22" s="62">
        <f t="shared" si="89"/>
        <v>2E-3</v>
      </c>
      <c r="FV22" s="62">
        <f t="shared" si="90"/>
        <v>2.3999999999999998E-3</v>
      </c>
      <c r="FW22" s="62">
        <f t="shared" si="91"/>
        <v>2.0999999999999999E-3</v>
      </c>
      <c r="FX22" s="62">
        <f t="shared" si="92"/>
        <v>4.0000000000000002E-4</v>
      </c>
      <c r="FY22" s="62">
        <f t="shared" si="93"/>
        <v>2.5000000000000001E-3</v>
      </c>
      <c r="FZ22" s="62">
        <f t="shared" si="94"/>
        <v>5.0000000000000001E-4</v>
      </c>
      <c r="GA22" s="62">
        <f t="shared" si="95"/>
        <v>2.5000000000000001E-3</v>
      </c>
      <c r="GB22" s="62">
        <f t="shared" si="96"/>
        <v>4.0000000000000002E-4</v>
      </c>
      <c r="GC22" s="62">
        <f t="shared" si="97"/>
        <v>1.7499999999999998E-3</v>
      </c>
      <c r="GD22" s="62">
        <f t="shared" si="98"/>
        <v>0</v>
      </c>
      <c r="GE22" s="62">
        <f t="shared" si="99"/>
        <v>1.6999999999999999E-3</v>
      </c>
      <c r="GF22" s="62">
        <f t="shared" si="100"/>
        <v>2.7500000000000002E-4</v>
      </c>
      <c r="GG22" s="62">
        <f t="shared" si="101"/>
        <v>1.719E-3</v>
      </c>
      <c r="GH22" s="62">
        <f t="shared" si="102"/>
        <v>3.0000000000000001E-3</v>
      </c>
      <c r="GI22" s="62">
        <f t="shared" si="103"/>
        <v>2.8999999999999998E-3</v>
      </c>
      <c r="GJ22" s="62">
        <f t="shared" si="104"/>
        <v>2.5000000000000001E-3</v>
      </c>
      <c r="GK22" s="62">
        <f t="shared" si="105"/>
        <v>2.7000000000000001E-3</v>
      </c>
      <c r="GL22" s="62">
        <f t="shared" si="106"/>
        <v>2.5000000000000001E-3</v>
      </c>
      <c r="GM22" s="62">
        <f t="shared" si="107"/>
        <v>2.2000000000000001E-3</v>
      </c>
      <c r="GN22" s="62">
        <f t="shared" si="108"/>
        <v>1.6000000000000001E-3</v>
      </c>
      <c r="GO22" s="62">
        <f t="shared" si="109"/>
        <v>1E-4</v>
      </c>
      <c r="GP22" s="62">
        <f t="shared" si="110"/>
        <v>1E-4</v>
      </c>
      <c r="GQ22" s="62">
        <f t="shared" si="111"/>
        <v>1.1000000000000001E-3</v>
      </c>
      <c r="GR22" s="62">
        <f t="shared" si="112"/>
        <v>2.0000000000000001E-4</v>
      </c>
      <c r="GS22" s="62">
        <f t="shared" si="113"/>
        <v>2.5000000000000001E-3</v>
      </c>
      <c r="GT22" s="62">
        <f t="shared" si="114"/>
        <v>3.3E-3</v>
      </c>
      <c r="GU22" s="62">
        <f t="shared" si="115"/>
        <v>4.0000000000000001E-3</v>
      </c>
      <c r="GV22" s="62">
        <f t="shared" si="116"/>
        <v>3.5000000000000001E-3</v>
      </c>
      <c r="GW22" s="62">
        <f t="shared" si="117"/>
        <v>3.3E-3</v>
      </c>
      <c r="GX22" s="62">
        <f t="shared" si="118"/>
        <v>3.3999999999999998E-3</v>
      </c>
      <c r="GY22" s="62">
        <f t="shared" si="119"/>
        <v>5.0000000000000001E-3</v>
      </c>
      <c r="GZ22" s="62">
        <f t="shared" si="120"/>
        <v>2.5000000000000001E-3</v>
      </c>
      <c r="HA22" s="62">
        <f t="shared" si="121"/>
        <v>2.63E-3</v>
      </c>
      <c r="HB22" s="62">
        <f t="shared" si="122"/>
        <v>6.9999999999999999E-4</v>
      </c>
      <c r="HC22" s="62">
        <f t="shared" si="123"/>
        <v>5.0000000000000001E-4</v>
      </c>
      <c r="HD22" s="62">
        <f t="shared" si="124"/>
        <v>6.9999999999999999E-4</v>
      </c>
      <c r="HE22" s="62">
        <f t="shared" si="125"/>
        <v>4.4999999999999997E-3</v>
      </c>
      <c r="HF22" s="62">
        <f t="shared" si="126"/>
        <v>0</v>
      </c>
      <c r="HG22" s="62">
        <f t="shared" si="127"/>
        <v>6.0000000000000001E-3</v>
      </c>
      <c r="HH22" s="62">
        <f t="shared" si="128"/>
        <v>8.9999999999999998E-4</v>
      </c>
      <c r="HI22" s="62">
        <f t="shared" si="129"/>
        <v>6.0000000000000001E-3</v>
      </c>
    </row>
    <row r="23" spans="2:217" x14ac:dyDescent="0.2">
      <c r="B23" s="72">
        <f t="shared" si="4"/>
        <v>17</v>
      </c>
      <c r="D23" s="62">
        <v>0</v>
      </c>
      <c r="E23" s="73">
        <v>2.3000000000000001E-4</v>
      </c>
      <c r="F23" s="73">
        <v>8.0000000000000004E-4</v>
      </c>
      <c r="G23" s="73">
        <v>4.7000000000000002E-3</v>
      </c>
      <c r="H23" s="73">
        <v>5.9999999999999995E-4</v>
      </c>
      <c r="I23" s="73">
        <v>2.5999999999999999E-3</v>
      </c>
      <c r="J23" s="73">
        <v>3.5999999999999999E-3</v>
      </c>
      <c r="K23" s="73">
        <v>8.0000000000000004E-4</v>
      </c>
      <c r="L23" s="73">
        <v>1E-4</v>
      </c>
      <c r="M23" s="73">
        <v>6.9999999999999999E-4</v>
      </c>
      <c r="N23" s="73">
        <v>1.8E-3</v>
      </c>
      <c r="O23" s="73">
        <v>2.9999999999999997E-4</v>
      </c>
      <c r="P23" s="73">
        <v>1.7499999999999998E-3</v>
      </c>
      <c r="Q23" s="73">
        <v>6.9999999999999999E-4</v>
      </c>
      <c r="R23" s="73">
        <v>2.5000000000000001E-3</v>
      </c>
      <c r="S23" s="73">
        <v>3.3999999999999998E-3</v>
      </c>
      <c r="T23" s="73">
        <v>6.9999999999999999E-4</v>
      </c>
      <c r="U23" s="73">
        <v>2.3999999999999998E-3</v>
      </c>
      <c r="V23" s="73">
        <v>4.1000000000000003E-3</v>
      </c>
      <c r="W23" s="73">
        <v>3.8999999999999998E-3</v>
      </c>
      <c r="X23" s="73">
        <v>4.0000000000000001E-3</v>
      </c>
      <c r="Y23" s="73">
        <v>3.3999999999999998E-3</v>
      </c>
      <c r="Z23" s="73">
        <v>2.3999999999999998E-3</v>
      </c>
      <c r="AA23" s="73">
        <v>8.0000000000000004E-4</v>
      </c>
      <c r="AB23" s="73">
        <v>2.5000000000000001E-3</v>
      </c>
      <c r="AC23" s="73">
        <v>2.3999999999999998E-3</v>
      </c>
      <c r="AD23" s="73">
        <v>2.5000000000000001E-3</v>
      </c>
      <c r="AE23" s="73">
        <v>8.9999999999999998E-4</v>
      </c>
      <c r="AF23" s="73">
        <v>4.7999999999999996E-3</v>
      </c>
      <c r="AG23" s="73">
        <v>2E-3</v>
      </c>
      <c r="AH23" s="73">
        <v>2.8999999999999998E-3</v>
      </c>
      <c r="AI23" s="73">
        <v>5.0000000000000001E-4</v>
      </c>
      <c r="AJ23" s="73">
        <v>2.5000000000000001E-3</v>
      </c>
      <c r="AK23" s="62">
        <v>3.3E-4</v>
      </c>
      <c r="AL23" s="62">
        <v>9.6000000000000002E-4</v>
      </c>
      <c r="AM23" s="62">
        <f t="shared" si="0"/>
        <v>1E-4</v>
      </c>
      <c r="AN23" s="62">
        <f t="shared" si="0"/>
        <v>0</v>
      </c>
      <c r="AO23" s="62">
        <f t="shared" si="0"/>
        <v>2.5000000000000001E-3</v>
      </c>
      <c r="AP23" s="62">
        <f t="shared" si="5"/>
        <v>1.6999999999999999E-3</v>
      </c>
      <c r="AQ23" s="62">
        <f t="shared" si="5"/>
        <v>1.8E-3</v>
      </c>
      <c r="AR23" s="62">
        <v>3.5E-4</v>
      </c>
      <c r="AS23" s="62">
        <v>2.5999999999999998E-4</v>
      </c>
      <c r="AT23" s="62">
        <v>3.5E-4</v>
      </c>
      <c r="AU23" s="62">
        <v>8.7000000000000001E-4</v>
      </c>
      <c r="AV23" s="62">
        <v>1.47E-3</v>
      </c>
      <c r="AW23" s="69">
        <f t="shared" si="131"/>
        <v>1.4000000000000001E-4</v>
      </c>
      <c r="AX23" s="69">
        <f t="shared" si="132"/>
        <v>1.4000000000000001E-4</v>
      </c>
      <c r="AY23" s="69">
        <f t="shared" si="133"/>
        <v>1.4000000000000001E-4</v>
      </c>
      <c r="AZ23" s="69">
        <f t="shared" si="134"/>
        <v>1.4000000000000001E-4</v>
      </c>
      <c r="BA23" s="69">
        <f t="shared" si="138"/>
        <v>6.6E-4</v>
      </c>
      <c r="BB23" s="69">
        <f t="shared" si="139"/>
        <v>6.6E-4</v>
      </c>
      <c r="BC23" s="69">
        <f t="shared" si="140"/>
        <v>6.6E-4</v>
      </c>
      <c r="BD23" s="69">
        <f t="shared" si="141"/>
        <v>6.6E-4</v>
      </c>
      <c r="BE23" s="69">
        <f t="shared" si="136"/>
        <v>4.0000000000000002E-4</v>
      </c>
      <c r="BF23" s="69">
        <f t="shared" si="136"/>
        <v>4.0000000000000002E-4</v>
      </c>
      <c r="BG23" s="69">
        <f t="shared" si="136"/>
        <v>4.0000000000000002E-4</v>
      </c>
      <c r="BH23" s="69">
        <f t="shared" si="136"/>
        <v>4.0000000000000002E-4</v>
      </c>
      <c r="BI23" s="69">
        <f t="shared" si="142"/>
        <v>3.6999999999999999E-4</v>
      </c>
      <c r="BJ23" s="69">
        <f t="shared" si="143"/>
        <v>3.6999999999999999E-4</v>
      </c>
      <c r="BK23" s="69">
        <f t="shared" si="144"/>
        <v>3.6999999999999999E-4</v>
      </c>
      <c r="BL23" s="69">
        <f t="shared" si="145"/>
        <v>3.6999999999999999E-4</v>
      </c>
      <c r="BM23" s="69">
        <f t="shared" si="146"/>
        <v>3.3E-4</v>
      </c>
      <c r="BN23" s="69">
        <f t="shared" si="147"/>
        <v>3.3E-4</v>
      </c>
      <c r="BO23" s="69">
        <f t="shared" si="148"/>
        <v>3.3E-4</v>
      </c>
      <c r="BP23" s="69">
        <f t="shared" si="149"/>
        <v>3.3E-4</v>
      </c>
      <c r="BQ23" s="75">
        <f t="shared" si="153"/>
        <v>2.7999999999999998E-4</v>
      </c>
      <c r="BR23" s="75">
        <f t="shared" si="152"/>
        <v>2.7999999999999998E-4</v>
      </c>
      <c r="BS23" s="75">
        <f t="shared" si="152"/>
        <v>2.7999999999999998E-4</v>
      </c>
      <c r="BT23" s="75">
        <f t="shared" si="152"/>
        <v>2.7999999999999998E-4</v>
      </c>
      <c r="BU23" s="75">
        <f t="shared" si="152"/>
        <v>4.8999999999999998E-4</v>
      </c>
      <c r="BV23" s="75">
        <f t="shared" si="152"/>
        <v>4.8999999999999998E-4</v>
      </c>
      <c r="BW23" s="75">
        <f t="shared" si="152"/>
        <v>4.8999999999999998E-4</v>
      </c>
      <c r="BX23" s="75">
        <f t="shared" si="152"/>
        <v>4.8999999999999998E-4</v>
      </c>
      <c r="BY23" s="75">
        <f t="shared" si="152"/>
        <v>4.8999999999999998E-4</v>
      </c>
      <c r="BZ23" s="75">
        <f t="shared" si="152"/>
        <v>4.8999999999999998E-4</v>
      </c>
      <c r="CA23" s="75">
        <f t="shared" si="152"/>
        <v>4.8999999999999998E-4</v>
      </c>
      <c r="CB23" s="75">
        <f t="shared" si="152"/>
        <v>4.8999999999999998E-4</v>
      </c>
      <c r="CC23" s="69">
        <f t="shared" si="6"/>
        <v>2.5000000000000001E-4</v>
      </c>
      <c r="CD23" s="69">
        <f t="shared" si="7"/>
        <v>2.5000000000000001E-4</v>
      </c>
      <c r="CE23" s="69">
        <f t="shared" si="8"/>
        <v>2.5000000000000001E-4</v>
      </c>
      <c r="CF23" s="69">
        <f t="shared" si="9"/>
        <v>2.5000000000000001E-4</v>
      </c>
      <c r="CG23" s="69">
        <f t="shared" si="10"/>
        <v>5.0000000000000001E-4</v>
      </c>
      <c r="CH23" s="69">
        <f t="shared" si="11"/>
        <v>5.0000000000000001E-4</v>
      </c>
      <c r="CI23" s="69">
        <f t="shared" si="12"/>
        <v>5.0000000000000001E-4</v>
      </c>
      <c r="CJ23" s="69">
        <f t="shared" si="13"/>
        <v>5.0000000000000001E-4</v>
      </c>
      <c r="CK23" s="69">
        <f t="shared" si="14"/>
        <v>1E-3</v>
      </c>
      <c r="CL23" s="69">
        <f t="shared" si="15"/>
        <v>1E-3</v>
      </c>
      <c r="CM23" s="69">
        <f t="shared" si="16"/>
        <v>1E-3</v>
      </c>
      <c r="CN23" s="69">
        <f t="shared" si="17"/>
        <v>1E-3</v>
      </c>
      <c r="CO23" s="69">
        <v>0</v>
      </c>
      <c r="CP23" s="69">
        <v>0</v>
      </c>
      <c r="CQ23" s="69">
        <v>0</v>
      </c>
      <c r="CR23" s="69">
        <v>0</v>
      </c>
      <c r="CS23" s="69">
        <v>0</v>
      </c>
      <c r="CT23" s="69">
        <v>0</v>
      </c>
      <c r="CU23" s="69">
        <v>0</v>
      </c>
      <c r="CV23" s="69">
        <v>0</v>
      </c>
      <c r="CW23" s="69">
        <v>0</v>
      </c>
      <c r="CX23" s="69">
        <v>0</v>
      </c>
      <c r="CY23" s="69">
        <v>0</v>
      </c>
      <c r="CZ23" s="69">
        <v>0</v>
      </c>
      <c r="DA23" s="62">
        <f t="shared" si="18"/>
        <v>1.5E-3</v>
      </c>
      <c r="DB23" s="62">
        <f t="shared" si="19"/>
        <v>2.5000000000000001E-3</v>
      </c>
      <c r="DC23" s="62">
        <v>3.2000000000000002E-3</v>
      </c>
      <c r="DD23" s="62">
        <f t="shared" si="20"/>
        <v>2.0999999999999999E-3</v>
      </c>
      <c r="DE23" s="62">
        <f t="shared" si="21"/>
        <v>2E-3</v>
      </c>
      <c r="DF23" s="62">
        <f t="shared" si="22"/>
        <v>2.2000000000000001E-3</v>
      </c>
      <c r="DG23" s="62">
        <f t="shared" si="23"/>
        <v>2.3E-3</v>
      </c>
      <c r="DH23" s="62">
        <f t="shared" si="24"/>
        <v>2.5000000000000001E-3</v>
      </c>
      <c r="DI23" s="62">
        <f t="shared" si="25"/>
        <v>2.5999999999999999E-3</v>
      </c>
      <c r="DJ23" s="62">
        <f t="shared" si="26"/>
        <v>3.2000000000000002E-3</v>
      </c>
      <c r="DK23" s="62">
        <f t="shared" si="27"/>
        <v>2.9999999999999997E-4</v>
      </c>
      <c r="DL23" s="62">
        <f t="shared" si="28"/>
        <v>2.5000000000000001E-3</v>
      </c>
      <c r="DM23" s="62">
        <f t="shared" si="29"/>
        <v>5.0000000000000001E-4</v>
      </c>
      <c r="DN23" s="62">
        <f t="shared" si="30"/>
        <v>1.1999999999999999E-3</v>
      </c>
      <c r="DO23" s="62">
        <f t="shared" si="31"/>
        <v>1.9E-3</v>
      </c>
      <c r="DP23" s="62">
        <f t="shared" si="32"/>
        <v>1E-3</v>
      </c>
      <c r="DQ23" s="62">
        <f t="shared" si="33"/>
        <v>2.0999999999999999E-3</v>
      </c>
      <c r="DR23" s="62">
        <f t="shared" si="34"/>
        <v>8.9999999999999998E-4</v>
      </c>
      <c r="DS23" s="62">
        <f t="shared" si="35"/>
        <v>2.0999999999999999E-3</v>
      </c>
      <c r="DT23" s="62">
        <f t="shared" si="36"/>
        <v>1.4E-3</v>
      </c>
      <c r="DU23" s="62">
        <f t="shared" si="37"/>
        <v>1.6000000000000001E-3</v>
      </c>
      <c r="DV23" s="62">
        <f t="shared" si="38"/>
        <v>2.3999999999999998E-3</v>
      </c>
      <c r="DW23" s="62">
        <f t="shared" si="39"/>
        <v>5.0000000000000001E-3</v>
      </c>
      <c r="DX23" s="62">
        <f t="shared" si="40"/>
        <v>2E-3</v>
      </c>
      <c r="DY23" s="62">
        <f t="shared" si="41"/>
        <v>0</v>
      </c>
      <c r="DZ23" s="62">
        <f t="shared" si="42"/>
        <v>1.5E-3</v>
      </c>
      <c r="EA23" s="62">
        <f t="shared" si="43"/>
        <v>2.0000000000000001E-4</v>
      </c>
      <c r="EB23" s="62">
        <f t="shared" si="44"/>
        <v>1.5E-3</v>
      </c>
      <c r="EC23" s="62">
        <f t="shared" si="45"/>
        <v>2.7000000000000001E-3</v>
      </c>
      <c r="ED23" s="62">
        <f t="shared" si="46"/>
        <v>2.5000000000000001E-3</v>
      </c>
      <c r="EE23" s="62">
        <f t="shared" si="47"/>
        <v>0</v>
      </c>
      <c r="EF23" s="62">
        <f t="shared" si="48"/>
        <v>2.5000000000000001E-3</v>
      </c>
      <c r="EG23" s="62">
        <f t="shared" si="49"/>
        <v>1.1000000000000001E-3</v>
      </c>
      <c r="EH23" s="62">
        <f t="shared" si="50"/>
        <v>2.5000000000000001E-3</v>
      </c>
      <c r="EI23" s="62">
        <f t="shared" si="51"/>
        <v>8.0000000000000004E-4</v>
      </c>
      <c r="EJ23" s="62">
        <f t="shared" si="52"/>
        <v>2.5000000000000001E-3</v>
      </c>
      <c r="EK23" s="62">
        <f t="shared" si="53"/>
        <v>7.5000000000000002E-4</v>
      </c>
      <c r="EL23" s="62">
        <f t="shared" si="54"/>
        <v>2.5000000000000001E-3</v>
      </c>
      <c r="EM23" s="62">
        <f t="shared" si="55"/>
        <v>3.2000000000000002E-3</v>
      </c>
      <c r="EN23" s="62">
        <f t="shared" si="56"/>
        <v>2.3999999999999998E-3</v>
      </c>
      <c r="EO23" s="62">
        <f t="shared" si="57"/>
        <v>0</v>
      </c>
      <c r="EP23" s="62">
        <f t="shared" si="58"/>
        <v>2E-3</v>
      </c>
      <c r="EQ23" s="62">
        <f t="shared" si="59"/>
        <v>1.1000000000000001E-3</v>
      </c>
      <c r="ER23" s="62">
        <f t="shared" si="60"/>
        <v>2.2000000000000001E-3</v>
      </c>
      <c r="ES23" s="62">
        <f t="shared" si="61"/>
        <v>1E-3</v>
      </c>
      <c r="ET23" s="62">
        <f t="shared" si="62"/>
        <v>4.0000000000000001E-3</v>
      </c>
      <c r="EU23" s="62">
        <f t="shared" si="63"/>
        <v>3.7000000000000002E-3</v>
      </c>
      <c r="EV23" s="62">
        <f t="shared" si="64"/>
        <v>4.7999999999999996E-3</v>
      </c>
      <c r="EW23" s="62">
        <f t="shared" si="65"/>
        <v>0</v>
      </c>
      <c r="EX23" s="62">
        <f t="shared" si="66"/>
        <v>2.5000000000000001E-3</v>
      </c>
      <c r="EY23" s="62">
        <f t="shared" si="67"/>
        <v>2.5000000000000001E-3</v>
      </c>
      <c r="EZ23" s="62">
        <f t="shared" si="68"/>
        <v>3.8999999999999998E-3</v>
      </c>
      <c r="FA23" s="62">
        <f t="shared" si="69"/>
        <v>6.1999999999999998E-3</v>
      </c>
      <c r="FB23" s="62">
        <f t="shared" si="70"/>
        <v>5.1000000000000004E-3</v>
      </c>
      <c r="FC23" s="62">
        <f t="shared" si="71"/>
        <v>2.8999999999999998E-3</v>
      </c>
      <c r="FD23" s="62">
        <f t="shared" si="72"/>
        <v>1.5E-3</v>
      </c>
      <c r="FE23" s="62">
        <f t="shared" si="73"/>
        <v>2.8E-3</v>
      </c>
      <c r="FF23" s="62">
        <f t="shared" si="74"/>
        <v>1.5E-3</v>
      </c>
      <c r="FG23" s="62">
        <f t="shared" si="75"/>
        <v>2.5999999999999999E-3</v>
      </c>
      <c r="FH23" s="62">
        <f t="shared" si="76"/>
        <v>1.5E-3</v>
      </c>
      <c r="FI23" s="62">
        <f t="shared" si="77"/>
        <v>2.7000000000000001E-3</v>
      </c>
      <c r="FJ23" s="62">
        <f t="shared" si="78"/>
        <v>1.5E-3</v>
      </c>
      <c r="FK23" s="62">
        <f t="shared" si="79"/>
        <v>3.3999999999999998E-3</v>
      </c>
      <c r="FL23" s="62">
        <f t="shared" si="80"/>
        <v>8.9999999999999998E-4</v>
      </c>
      <c r="FM23" s="62">
        <f t="shared" si="81"/>
        <v>2.6999999999999997E-3</v>
      </c>
      <c r="FN23" s="62">
        <f t="shared" si="82"/>
        <v>0</v>
      </c>
      <c r="FO23" s="62">
        <f t="shared" si="83"/>
        <v>2.5000000000000001E-3</v>
      </c>
      <c r="FP23" s="62">
        <f t="shared" si="84"/>
        <v>2.5000000000000001E-3</v>
      </c>
      <c r="FQ23" s="62">
        <f t="shared" si="85"/>
        <v>1.8E-3</v>
      </c>
      <c r="FR23" s="62">
        <f t="shared" si="86"/>
        <v>2E-3</v>
      </c>
      <c r="FS23" s="62">
        <f t="shared" si="87"/>
        <v>1.2999999999999999E-3</v>
      </c>
      <c r="FT23" s="62">
        <f t="shared" si="88"/>
        <v>2.3E-3</v>
      </c>
      <c r="FU23" s="62">
        <f t="shared" si="89"/>
        <v>2E-3</v>
      </c>
      <c r="FV23" s="62">
        <f t="shared" si="90"/>
        <v>2.3999999999999998E-3</v>
      </c>
      <c r="FW23" s="62">
        <f t="shared" si="91"/>
        <v>2.0999999999999999E-3</v>
      </c>
      <c r="FX23" s="62">
        <f t="shared" si="92"/>
        <v>4.0000000000000002E-4</v>
      </c>
      <c r="FY23" s="62">
        <f t="shared" si="93"/>
        <v>2.5000000000000001E-3</v>
      </c>
      <c r="FZ23" s="62">
        <f t="shared" si="94"/>
        <v>5.0000000000000001E-4</v>
      </c>
      <c r="GA23" s="62">
        <f t="shared" si="95"/>
        <v>2.5000000000000001E-3</v>
      </c>
      <c r="GB23" s="62">
        <f t="shared" si="96"/>
        <v>4.0000000000000002E-4</v>
      </c>
      <c r="GC23" s="62">
        <f t="shared" si="97"/>
        <v>1.7499999999999998E-3</v>
      </c>
      <c r="GD23" s="62">
        <f t="shared" si="98"/>
        <v>0</v>
      </c>
      <c r="GE23" s="62">
        <f t="shared" si="99"/>
        <v>1.6999999999999999E-3</v>
      </c>
      <c r="GF23" s="62">
        <f t="shared" si="100"/>
        <v>2.7500000000000002E-4</v>
      </c>
      <c r="GG23" s="62">
        <f t="shared" si="101"/>
        <v>1.719E-3</v>
      </c>
      <c r="GH23" s="62">
        <f t="shared" si="102"/>
        <v>3.0000000000000001E-3</v>
      </c>
      <c r="GI23" s="62">
        <f t="shared" si="103"/>
        <v>2.8999999999999998E-3</v>
      </c>
      <c r="GJ23" s="62">
        <f t="shared" si="104"/>
        <v>2.5000000000000001E-3</v>
      </c>
      <c r="GK23" s="62">
        <f t="shared" si="105"/>
        <v>2.7000000000000001E-3</v>
      </c>
      <c r="GL23" s="62">
        <f t="shared" si="106"/>
        <v>2.5000000000000001E-3</v>
      </c>
      <c r="GM23" s="62">
        <f t="shared" si="107"/>
        <v>2.2000000000000001E-3</v>
      </c>
      <c r="GN23" s="62">
        <f t="shared" si="108"/>
        <v>1.6000000000000001E-3</v>
      </c>
      <c r="GO23" s="62">
        <f t="shared" si="109"/>
        <v>1E-4</v>
      </c>
      <c r="GP23" s="62">
        <f t="shared" si="110"/>
        <v>1E-4</v>
      </c>
      <c r="GQ23" s="62">
        <f t="shared" si="111"/>
        <v>1.1000000000000001E-3</v>
      </c>
      <c r="GR23" s="62">
        <f t="shared" si="112"/>
        <v>2.0000000000000001E-4</v>
      </c>
      <c r="GS23" s="62">
        <f t="shared" si="113"/>
        <v>2.5000000000000001E-3</v>
      </c>
      <c r="GT23" s="62">
        <f t="shared" si="114"/>
        <v>3.3E-3</v>
      </c>
      <c r="GU23" s="62">
        <f t="shared" si="115"/>
        <v>4.0000000000000001E-3</v>
      </c>
      <c r="GV23" s="62">
        <f t="shared" si="116"/>
        <v>3.5000000000000001E-3</v>
      </c>
      <c r="GW23" s="62">
        <f t="shared" si="117"/>
        <v>3.3E-3</v>
      </c>
      <c r="GX23" s="62">
        <f t="shared" si="118"/>
        <v>3.3999999999999998E-3</v>
      </c>
      <c r="GY23" s="62">
        <f t="shared" si="119"/>
        <v>5.0000000000000001E-3</v>
      </c>
      <c r="GZ23" s="62">
        <f t="shared" si="120"/>
        <v>2.5000000000000001E-3</v>
      </c>
      <c r="HA23" s="62">
        <f t="shared" si="121"/>
        <v>2.63E-3</v>
      </c>
      <c r="HB23" s="62">
        <f t="shared" si="122"/>
        <v>6.9999999999999999E-4</v>
      </c>
      <c r="HC23" s="62">
        <f t="shared" si="123"/>
        <v>5.0000000000000001E-4</v>
      </c>
      <c r="HD23" s="62">
        <f t="shared" si="124"/>
        <v>6.9999999999999999E-4</v>
      </c>
      <c r="HE23" s="62">
        <f t="shared" si="125"/>
        <v>4.4999999999999997E-3</v>
      </c>
      <c r="HF23" s="62">
        <f t="shared" si="126"/>
        <v>0</v>
      </c>
      <c r="HG23" s="62">
        <f t="shared" si="127"/>
        <v>6.0000000000000001E-3</v>
      </c>
      <c r="HH23" s="62">
        <f t="shared" si="128"/>
        <v>8.9999999999999998E-4</v>
      </c>
      <c r="HI23" s="62">
        <f t="shared" si="129"/>
        <v>6.0000000000000001E-3</v>
      </c>
    </row>
    <row r="24" spans="2:217" x14ac:dyDescent="0.2">
      <c r="B24" s="72">
        <f t="shared" si="4"/>
        <v>18</v>
      </c>
      <c r="D24" s="62">
        <v>0</v>
      </c>
      <c r="E24" s="73">
        <v>2.3000000000000001E-4</v>
      </c>
      <c r="F24" s="73">
        <v>8.0000000000000004E-4</v>
      </c>
      <c r="G24" s="73">
        <v>4.7000000000000002E-3</v>
      </c>
      <c r="H24" s="73">
        <v>5.9999999999999995E-4</v>
      </c>
      <c r="I24" s="73">
        <v>2.5999999999999999E-3</v>
      </c>
      <c r="J24" s="73">
        <v>3.5999999999999999E-3</v>
      </c>
      <c r="K24" s="73">
        <v>8.0000000000000004E-4</v>
      </c>
      <c r="L24" s="73">
        <v>1E-4</v>
      </c>
      <c r="M24" s="73">
        <v>6.9999999999999999E-4</v>
      </c>
      <c r="N24" s="73">
        <v>1.8E-3</v>
      </c>
      <c r="O24" s="73">
        <v>2.9999999999999997E-4</v>
      </c>
      <c r="P24" s="73">
        <v>1.7499999999999998E-3</v>
      </c>
      <c r="Q24" s="73">
        <v>6.9999999999999999E-4</v>
      </c>
      <c r="R24" s="73">
        <v>2.5000000000000001E-3</v>
      </c>
      <c r="S24" s="73">
        <v>3.3999999999999998E-3</v>
      </c>
      <c r="T24" s="73">
        <v>6.9999999999999999E-4</v>
      </c>
      <c r="U24" s="73">
        <v>2.3999999999999998E-3</v>
      </c>
      <c r="V24" s="73">
        <v>4.1000000000000003E-3</v>
      </c>
      <c r="W24" s="73">
        <v>3.8999999999999998E-3</v>
      </c>
      <c r="X24" s="73">
        <v>4.0000000000000001E-3</v>
      </c>
      <c r="Y24" s="73">
        <v>3.3999999999999998E-3</v>
      </c>
      <c r="Z24" s="73">
        <v>2.3999999999999998E-3</v>
      </c>
      <c r="AA24" s="73">
        <v>8.0000000000000004E-4</v>
      </c>
      <c r="AB24" s="73">
        <v>2.5000000000000001E-3</v>
      </c>
      <c r="AC24" s="73">
        <v>2.3999999999999998E-3</v>
      </c>
      <c r="AD24" s="73">
        <v>2.5000000000000001E-3</v>
      </c>
      <c r="AE24" s="73">
        <v>8.9999999999999998E-4</v>
      </c>
      <c r="AF24" s="73">
        <v>4.7999999999999996E-3</v>
      </c>
      <c r="AG24" s="73">
        <v>2E-3</v>
      </c>
      <c r="AH24" s="73">
        <v>2.8999999999999998E-3</v>
      </c>
      <c r="AI24" s="73">
        <v>5.0000000000000001E-4</v>
      </c>
      <c r="AJ24" s="73">
        <v>2.5000000000000001E-3</v>
      </c>
      <c r="AK24" s="62">
        <v>3.3E-4</v>
      </c>
      <c r="AL24" s="62">
        <v>9.6000000000000002E-4</v>
      </c>
      <c r="AM24" s="62">
        <f t="shared" si="0"/>
        <v>1E-4</v>
      </c>
      <c r="AN24" s="62">
        <f t="shared" si="0"/>
        <v>0</v>
      </c>
      <c r="AO24" s="62">
        <f t="shared" si="0"/>
        <v>2.5000000000000001E-3</v>
      </c>
      <c r="AP24" s="62">
        <f t="shared" si="5"/>
        <v>1.6999999999999999E-3</v>
      </c>
      <c r="AQ24" s="62">
        <f t="shared" si="5"/>
        <v>1.8E-3</v>
      </c>
      <c r="AR24" s="62">
        <v>3.5E-4</v>
      </c>
      <c r="AS24" s="62">
        <v>2.5999999999999998E-4</v>
      </c>
      <c r="AT24" s="62">
        <v>3.5E-4</v>
      </c>
      <c r="AU24" s="62">
        <v>8.7000000000000001E-4</v>
      </c>
      <c r="AV24" s="62">
        <v>1.47E-3</v>
      </c>
      <c r="AW24" s="69">
        <f t="shared" si="131"/>
        <v>1.4000000000000001E-4</v>
      </c>
      <c r="AX24" s="69">
        <f t="shared" si="132"/>
        <v>1.4000000000000001E-4</v>
      </c>
      <c r="AY24" s="69">
        <f t="shared" si="133"/>
        <v>1.4000000000000001E-4</v>
      </c>
      <c r="AZ24" s="69">
        <f t="shared" si="134"/>
        <v>1.4000000000000001E-4</v>
      </c>
      <c r="BA24" s="69">
        <f t="shared" si="138"/>
        <v>6.6E-4</v>
      </c>
      <c r="BB24" s="69">
        <f t="shared" si="139"/>
        <v>6.6E-4</v>
      </c>
      <c r="BC24" s="69">
        <f t="shared" si="140"/>
        <v>6.6E-4</v>
      </c>
      <c r="BD24" s="69">
        <f t="shared" si="141"/>
        <v>6.6E-4</v>
      </c>
      <c r="BE24" s="69">
        <f t="shared" si="136"/>
        <v>4.0000000000000002E-4</v>
      </c>
      <c r="BF24" s="69">
        <f t="shared" si="136"/>
        <v>4.0000000000000002E-4</v>
      </c>
      <c r="BG24" s="69">
        <f t="shared" si="136"/>
        <v>4.0000000000000002E-4</v>
      </c>
      <c r="BH24" s="69">
        <f t="shared" si="136"/>
        <v>4.0000000000000002E-4</v>
      </c>
      <c r="BI24" s="69">
        <f t="shared" si="142"/>
        <v>3.6999999999999999E-4</v>
      </c>
      <c r="BJ24" s="69">
        <f t="shared" si="143"/>
        <v>3.6999999999999999E-4</v>
      </c>
      <c r="BK24" s="69">
        <f t="shared" si="144"/>
        <v>3.6999999999999999E-4</v>
      </c>
      <c r="BL24" s="69">
        <f t="shared" si="145"/>
        <v>3.6999999999999999E-4</v>
      </c>
      <c r="BM24" s="69">
        <f t="shared" si="146"/>
        <v>3.3E-4</v>
      </c>
      <c r="BN24" s="69">
        <f t="shared" si="147"/>
        <v>3.3E-4</v>
      </c>
      <c r="BO24" s="69">
        <f t="shared" si="148"/>
        <v>3.3E-4</v>
      </c>
      <c r="BP24" s="69">
        <f t="shared" si="149"/>
        <v>3.3E-4</v>
      </c>
      <c r="BQ24" s="75">
        <f t="shared" si="153"/>
        <v>2.7999999999999998E-4</v>
      </c>
      <c r="BR24" s="75">
        <f t="shared" si="152"/>
        <v>2.7999999999999998E-4</v>
      </c>
      <c r="BS24" s="75">
        <f t="shared" si="152"/>
        <v>2.7999999999999998E-4</v>
      </c>
      <c r="BT24" s="75">
        <f t="shared" si="152"/>
        <v>2.7999999999999998E-4</v>
      </c>
      <c r="BU24" s="75">
        <f t="shared" si="152"/>
        <v>4.8999999999999998E-4</v>
      </c>
      <c r="BV24" s="75">
        <f t="shared" si="152"/>
        <v>4.8999999999999998E-4</v>
      </c>
      <c r="BW24" s="75">
        <f t="shared" si="152"/>
        <v>4.8999999999999998E-4</v>
      </c>
      <c r="BX24" s="75">
        <f t="shared" si="152"/>
        <v>4.8999999999999998E-4</v>
      </c>
      <c r="BY24" s="75">
        <f t="shared" si="152"/>
        <v>4.8999999999999998E-4</v>
      </c>
      <c r="BZ24" s="75">
        <f t="shared" si="152"/>
        <v>4.8999999999999998E-4</v>
      </c>
      <c r="CA24" s="75">
        <f t="shared" si="152"/>
        <v>4.8999999999999998E-4</v>
      </c>
      <c r="CB24" s="75">
        <f t="shared" si="152"/>
        <v>4.8999999999999998E-4</v>
      </c>
      <c r="CC24" s="69">
        <f t="shared" si="6"/>
        <v>2.5000000000000001E-4</v>
      </c>
      <c r="CD24" s="69">
        <f t="shared" si="7"/>
        <v>2.5000000000000001E-4</v>
      </c>
      <c r="CE24" s="69">
        <f t="shared" si="8"/>
        <v>2.5000000000000001E-4</v>
      </c>
      <c r="CF24" s="69">
        <f t="shared" si="9"/>
        <v>2.5000000000000001E-4</v>
      </c>
      <c r="CG24" s="69">
        <f t="shared" si="10"/>
        <v>5.0000000000000001E-4</v>
      </c>
      <c r="CH24" s="69">
        <f t="shared" si="11"/>
        <v>5.0000000000000001E-4</v>
      </c>
      <c r="CI24" s="69">
        <f t="shared" si="12"/>
        <v>5.0000000000000001E-4</v>
      </c>
      <c r="CJ24" s="69">
        <f t="shared" si="13"/>
        <v>5.0000000000000001E-4</v>
      </c>
      <c r="CK24" s="69">
        <f t="shared" si="14"/>
        <v>1E-3</v>
      </c>
      <c r="CL24" s="69">
        <f t="shared" si="15"/>
        <v>1E-3</v>
      </c>
      <c r="CM24" s="69">
        <f t="shared" si="16"/>
        <v>1E-3</v>
      </c>
      <c r="CN24" s="69">
        <f t="shared" si="17"/>
        <v>1E-3</v>
      </c>
      <c r="CO24" s="69">
        <v>0</v>
      </c>
      <c r="CP24" s="69">
        <v>0</v>
      </c>
      <c r="CQ24" s="69">
        <v>0</v>
      </c>
      <c r="CR24" s="69">
        <v>0</v>
      </c>
      <c r="CS24" s="69">
        <v>0</v>
      </c>
      <c r="CT24" s="69">
        <v>0</v>
      </c>
      <c r="CU24" s="69">
        <v>0</v>
      </c>
      <c r="CV24" s="69">
        <v>0</v>
      </c>
      <c r="CW24" s="69">
        <v>0</v>
      </c>
      <c r="CX24" s="69">
        <v>0</v>
      </c>
      <c r="CY24" s="69">
        <v>0</v>
      </c>
      <c r="CZ24" s="69">
        <v>0</v>
      </c>
      <c r="DA24" s="62">
        <f t="shared" si="18"/>
        <v>1.5E-3</v>
      </c>
      <c r="DB24" s="62">
        <f t="shared" si="19"/>
        <v>2.5000000000000001E-3</v>
      </c>
      <c r="DC24" s="62">
        <v>3.2000000000000002E-3</v>
      </c>
      <c r="DD24" s="62">
        <f t="shared" si="20"/>
        <v>2.0999999999999999E-3</v>
      </c>
      <c r="DE24" s="62">
        <f t="shared" si="21"/>
        <v>2E-3</v>
      </c>
      <c r="DF24" s="62">
        <f t="shared" si="22"/>
        <v>2.2000000000000001E-3</v>
      </c>
      <c r="DG24" s="62">
        <f t="shared" si="23"/>
        <v>2.3E-3</v>
      </c>
      <c r="DH24" s="62">
        <f t="shared" si="24"/>
        <v>2.5000000000000001E-3</v>
      </c>
      <c r="DI24" s="62">
        <f t="shared" si="25"/>
        <v>2.5999999999999999E-3</v>
      </c>
      <c r="DJ24" s="62">
        <f t="shared" si="26"/>
        <v>3.2000000000000002E-3</v>
      </c>
      <c r="DK24" s="62">
        <f t="shared" si="27"/>
        <v>2.9999999999999997E-4</v>
      </c>
      <c r="DL24" s="62">
        <f t="shared" si="28"/>
        <v>2.5000000000000001E-3</v>
      </c>
      <c r="DM24" s="62">
        <f t="shared" si="29"/>
        <v>5.0000000000000001E-4</v>
      </c>
      <c r="DN24" s="62">
        <f t="shared" si="30"/>
        <v>1.1999999999999999E-3</v>
      </c>
      <c r="DO24" s="62">
        <f t="shared" si="31"/>
        <v>1.9E-3</v>
      </c>
      <c r="DP24" s="62">
        <f t="shared" si="32"/>
        <v>1E-3</v>
      </c>
      <c r="DQ24" s="62">
        <f t="shared" si="33"/>
        <v>2.0999999999999999E-3</v>
      </c>
      <c r="DR24" s="62">
        <f t="shared" si="34"/>
        <v>8.9999999999999998E-4</v>
      </c>
      <c r="DS24" s="62">
        <f t="shared" si="35"/>
        <v>2.0999999999999999E-3</v>
      </c>
      <c r="DT24" s="62">
        <f t="shared" si="36"/>
        <v>1.4E-3</v>
      </c>
      <c r="DU24" s="62">
        <f t="shared" si="37"/>
        <v>1.6000000000000001E-3</v>
      </c>
      <c r="DV24" s="62">
        <f t="shared" si="38"/>
        <v>2.3999999999999998E-3</v>
      </c>
      <c r="DW24" s="62">
        <f t="shared" si="39"/>
        <v>5.0000000000000001E-3</v>
      </c>
      <c r="DX24" s="62">
        <f t="shared" si="40"/>
        <v>2E-3</v>
      </c>
      <c r="DY24" s="62">
        <f t="shared" si="41"/>
        <v>0</v>
      </c>
      <c r="DZ24" s="62">
        <f t="shared" si="42"/>
        <v>1.5E-3</v>
      </c>
      <c r="EA24" s="62">
        <f t="shared" si="43"/>
        <v>2.0000000000000001E-4</v>
      </c>
      <c r="EB24" s="62">
        <f t="shared" si="44"/>
        <v>1.5E-3</v>
      </c>
      <c r="EC24" s="62">
        <f t="shared" si="45"/>
        <v>2.7000000000000001E-3</v>
      </c>
      <c r="ED24" s="62">
        <f t="shared" si="46"/>
        <v>2.5000000000000001E-3</v>
      </c>
      <c r="EE24" s="62">
        <f t="shared" si="47"/>
        <v>0</v>
      </c>
      <c r="EF24" s="62">
        <f t="shared" si="48"/>
        <v>2.5000000000000001E-3</v>
      </c>
      <c r="EG24" s="62">
        <f t="shared" si="49"/>
        <v>1.1000000000000001E-3</v>
      </c>
      <c r="EH24" s="62">
        <f t="shared" si="50"/>
        <v>2.5000000000000001E-3</v>
      </c>
      <c r="EI24" s="62">
        <f t="shared" si="51"/>
        <v>8.0000000000000004E-4</v>
      </c>
      <c r="EJ24" s="62">
        <f t="shared" si="52"/>
        <v>2.5000000000000001E-3</v>
      </c>
      <c r="EK24" s="62">
        <f t="shared" si="53"/>
        <v>7.5000000000000002E-4</v>
      </c>
      <c r="EL24" s="62">
        <f t="shared" si="54"/>
        <v>2.5000000000000001E-3</v>
      </c>
      <c r="EM24" s="62">
        <f t="shared" si="55"/>
        <v>3.2000000000000002E-3</v>
      </c>
      <c r="EN24" s="62">
        <f t="shared" si="56"/>
        <v>2.3999999999999998E-3</v>
      </c>
      <c r="EO24" s="62">
        <f t="shared" si="57"/>
        <v>0</v>
      </c>
      <c r="EP24" s="62">
        <f t="shared" si="58"/>
        <v>2E-3</v>
      </c>
      <c r="EQ24" s="62">
        <f t="shared" si="59"/>
        <v>1.1000000000000001E-3</v>
      </c>
      <c r="ER24" s="62">
        <f t="shared" si="60"/>
        <v>2.2000000000000001E-3</v>
      </c>
      <c r="ES24" s="62">
        <f t="shared" si="61"/>
        <v>1E-3</v>
      </c>
      <c r="ET24" s="62">
        <f t="shared" si="62"/>
        <v>4.0000000000000001E-3</v>
      </c>
      <c r="EU24" s="62">
        <f t="shared" si="63"/>
        <v>3.7000000000000002E-3</v>
      </c>
      <c r="EV24" s="62">
        <f t="shared" si="64"/>
        <v>4.7999999999999996E-3</v>
      </c>
      <c r="EW24" s="62">
        <f t="shared" si="65"/>
        <v>0</v>
      </c>
      <c r="EX24" s="62">
        <f t="shared" si="66"/>
        <v>2.5000000000000001E-3</v>
      </c>
      <c r="EY24" s="62">
        <f t="shared" si="67"/>
        <v>2.5000000000000001E-3</v>
      </c>
      <c r="EZ24" s="62">
        <f t="shared" si="68"/>
        <v>3.8999999999999998E-3</v>
      </c>
      <c r="FA24" s="62">
        <f t="shared" si="69"/>
        <v>6.1999999999999998E-3</v>
      </c>
      <c r="FB24" s="62">
        <f t="shared" si="70"/>
        <v>5.1000000000000004E-3</v>
      </c>
      <c r="FC24" s="62">
        <f t="shared" si="71"/>
        <v>2.8999999999999998E-3</v>
      </c>
      <c r="FD24" s="62">
        <f t="shared" si="72"/>
        <v>1.5E-3</v>
      </c>
      <c r="FE24" s="62">
        <f t="shared" si="73"/>
        <v>2.8E-3</v>
      </c>
      <c r="FF24" s="62">
        <f t="shared" si="74"/>
        <v>1.5E-3</v>
      </c>
      <c r="FG24" s="62">
        <f t="shared" si="75"/>
        <v>2.5999999999999999E-3</v>
      </c>
      <c r="FH24" s="62">
        <f t="shared" si="76"/>
        <v>1.5E-3</v>
      </c>
      <c r="FI24" s="62">
        <f t="shared" si="77"/>
        <v>2.7000000000000001E-3</v>
      </c>
      <c r="FJ24" s="62">
        <f t="shared" si="78"/>
        <v>1.5E-3</v>
      </c>
      <c r="FK24" s="62">
        <f t="shared" si="79"/>
        <v>3.3999999999999998E-3</v>
      </c>
      <c r="FL24" s="62">
        <f t="shared" si="80"/>
        <v>8.9999999999999998E-4</v>
      </c>
      <c r="FM24" s="62">
        <f t="shared" si="81"/>
        <v>2.6999999999999997E-3</v>
      </c>
      <c r="FN24" s="62">
        <f t="shared" si="82"/>
        <v>0</v>
      </c>
      <c r="FO24" s="62">
        <f t="shared" si="83"/>
        <v>2.5000000000000001E-3</v>
      </c>
      <c r="FP24" s="62">
        <f t="shared" si="84"/>
        <v>2.5000000000000001E-3</v>
      </c>
      <c r="FQ24" s="62">
        <f t="shared" si="85"/>
        <v>1.8E-3</v>
      </c>
      <c r="FR24" s="62">
        <f t="shared" si="86"/>
        <v>2E-3</v>
      </c>
      <c r="FS24" s="62">
        <f t="shared" si="87"/>
        <v>1.2999999999999999E-3</v>
      </c>
      <c r="FT24" s="62">
        <f t="shared" si="88"/>
        <v>2.3E-3</v>
      </c>
      <c r="FU24" s="62">
        <f t="shared" si="89"/>
        <v>2E-3</v>
      </c>
      <c r="FV24" s="62">
        <f t="shared" si="90"/>
        <v>2.3999999999999998E-3</v>
      </c>
      <c r="FW24" s="62">
        <f t="shared" si="91"/>
        <v>2.0999999999999999E-3</v>
      </c>
      <c r="FX24" s="62">
        <f t="shared" si="92"/>
        <v>4.0000000000000002E-4</v>
      </c>
      <c r="FY24" s="62">
        <f t="shared" si="93"/>
        <v>2.5000000000000001E-3</v>
      </c>
      <c r="FZ24" s="62">
        <f t="shared" si="94"/>
        <v>5.0000000000000001E-4</v>
      </c>
      <c r="GA24" s="62">
        <f t="shared" si="95"/>
        <v>2.5000000000000001E-3</v>
      </c>
      <c r="GB24" s="62">
        <f t="shared" si="96"/>
        <v>4.0000000000000002E-4</v>
      </c>
      <c r="GC24" s="62">
        <f t="shared" si="97"/>
        <v>1.7499999999999998E-3</v>
      </c>
      <c r="GD24" s="62">
        <f t="shared" si="98"/>
        <v>0</v>
      </c>
      <c r="GE24" s="62">
        <f t="shared" si="99"/>
        <v>1.6999999999999999E-3</v>
      </c>
      <c r="GF24" s="62">
        <f t="shared" si="100"/>
        <v>2.7500000000000002E-4</v>
      </c>
      <c r="GG24" s="62">
        <f t="shared" si="101"/>
        <v>1.719E-3</v>
      </c>
      <c r="GH24" s="62">
        <f t="shared" si="102"/>
        <v>3.0000000000000001E-3</v>
      </c>
      <c r="GI24" s="62">
        <f t="shared" si="103"/>
        <v>2.8999999999999998E-3</v>
      </c>
      <c r="GJ24" s="62">
        <f t="shared" si="104"/>
        <v>2.5000000000000001E-3</v>
      </c>
      <c r="GK24" s="62">
        <f t="shared" si="105"/>
        <v>2.7000000000000001E-3</v>
      </c>
      <c r="GL24" s="62">
        <f t="shared" si="106"/>
        <v>2.5000000000000001E-3</v>
      </c>
      <c r="GM24" s="62">
        <f t="shared" si="107"/>
        <v>2.2000000000000001E-3</v>
      </c>
      <c r="GN24" s="62">
        <f t="shared" si="108"/>
        <v>1.6000000000000001E-3</v>
      </c>
      <c r="GO24" s="62">
        <f t="shared" si="109"/>
        <v>1E-4</v>
      </c>
      <c r="GP24" s="62">
        <f t="shared" si="110"/>
        <v>1E-4</v>
      </c>
      <c r="GQ24" s="62">
        <f t="shared" si="111"/>
        <v>1.1000000000000001E-3</v>
      </c>
      <c r="GR24" s="62">
        <f t="shared" si="112"/>
        <v>2.0000000000000001E-4</v>
      </c>
      <c r="GS24" s="62">
        <f t="shared" si="113"/>
        <v>2.5000000000000001E-3</v>
      </c>
      <c r="GT24" s="62">
        <f t="shared" si="114"/>
        <v>3.3E-3</v>
      </c>
      <c r="GU24" s="62">
        <f t="shared" si="115"/>
        <v>4.0000000000000001E-3</v>
      </c>
      <c r="GV24" s="62">
        <f t="shared" si="116"/>
        <v>3.5000000000000001E-3</v>
      </c>
      <c r="GW24" s="62">
        <f t="shared" si="117"/>
        <v>3.3E-3</v>
      </c>
      <c r="GX24" s="62">
        <f t="shared" si="118"/>
        <v>3.3999999999999998E-3</v>
      </c>
      <c r="GY24" s="62">
        <f t="shared" si="119"/>
        <v>5.0000000000000001E-3</v>
      </c>
      <c r="GZ24" s="62">
        <f t="shared" si="120"/>
        <v>2.5000000000000001E-3</v>
      </c>
      <c r="HA24" s="62">
        <f t="shared" si="121"/>
        <v>2.63E-3</v>
      </c>
      <c r="HB24" s="62">
        <f t="shared" si="122"/>
        <v>6.9999999999999999E-4</v>
      </c>
      <c r="HC24" s="62">
        <f t="shared" si="123"/>
        <v>5.0000000000000001E-4</v>
      </c>
      <c r="HD24" s="62">
        <f t="shared" si="124"/>
        <v>6.9999999999999999E-4</v>
      </c>
      <c r="HE24" s="62">
        <f t="shared" si="125"/>
        <v>4.4999999999999997E-3</v>
      </c>
      <c r="HF24" s="62">
        <f t="shared" si="126"/>
        <v>0</v>
      </c>
      <c r="HG24" s="62">
        <f t="shared" si="127"/>
        <v>6.0000000000000001E-3</v>
      </c>
      <c r="HH24" s="62">
        <f t="shared" si="128"/>
        <v>8.9999999999999998E-4</v>
      </c>
      <c r="HI24" s="62">
        <f t="shared" si="129"/>
        <v>6.0000000000000001E-3</v>
      </c>
    </row>
    <row r="25" spans="2:217" x14ac:dyDescent="0.2">
      <c r="B25" s="72">
        <f t="shared" si="4"/>
        <v>19</v>
      </c>
      <c r="D25" s="62">
        <v>0</v>
      </c>
      <c r="E25" s="73">
        <v>2.3000000000000001E-4</v>
      </c>
      <c r="F25" s="73">
        <v>8.0000000000000004E-4</v>
      </c>
      <c r="G25" s="73">
        <v>4.7000000000000002E-3</v>
      </c>
      <c r="H25" s="73">
        <v>5.9999999999999995E-4</v>
      </c>
      <c r="I25" s="73">
        <v>2.5999999999999999E-3</v>
      </c>
      <c r="J25" s="73">
        <v>3.5999999999999999E-3</v>
      </c>
      <c r="K25" s="73">
        <v>8.0000000000000004E-4</v>
      </c>
      <c r="L25" s="73">
        <v>1E-4</v>
      </c>
      <c r="M25" s="73">
        <v>6.9999999999999999E-4</v>
      </c>
      <c r="N25" s="73">
        <v>1.8E-3</v>
      </c>
      <c r="O25" s="73">
        <v>2.9999999999999997E-4</v>
      </c>
      <c r="P25" s="73">
        <v>1.7499999999999998E-3</v>
      </c>
      <c r="Q25" s="73">
        <v>6.9999999999999999E-4</v>
      </c>
      <c r="R25" s="73">
        <v>2.5000000000000001E-3</v>
      </c>
      <c r="S25" s="73">
        <v>3.3999999999999998E-3</v>
      </c>
      <c r="T25" s="73">
        <v>6.9999999999999999E-4</v>
      </c>
      <c r="U25" s="73">
        <v>2.3999999999999998E-3</v>
      </c>
      <c r="V25" s="73">
        <v>4.1000000000000003E-3</v>
      </c>
      <c r="W25" s="73">
        <v>3.8999999999999998E-3</v>
      </c>
      <c r="X25" s="73">
        <v>4.0000000000000001E-3</v>
      </c>
      <c r="Y25" s="73">
        <v>3.3999999999999998E-3</v>
      </c>
      <c r="Z25" s="73">
        <v>2.3999999999999998E-3</v>
      </c>
      <c r="AA25" s="73">
        <v>8.0000000000000004E-4</v>
      </c>
      <c r="AB25" s="73">
        <v>2.5000000000000001E-3</v>
      </c>
      <c r="AC25" s="73">
        <v>2.3999999999999998E-3</v>
      </c>
      <c r="AD25" s="73">
        <v>2.5000000000000001E-3</v>
      </c>
      <c r="AE25" s="73">
        <v>8.9999999999999998E-4</v>
      </c>
      <c r="AF25" s="73">
        <v>4.7999999999999996E-3</v>
      </c>
      <c r="AG25" s="73">
        <v>2E-3</v>
      </c>
      <c r="AH25" s="73">
        <v>2.8999999999999998E-3</v>
      </c>
      <c r="AI25" s="73">
        <v>5.0000000000000001E-4</v>
      </c>
      <c r="AJ25" s="73">
        <v>2.5000000000000001E-3</v>
      </c>
      <c r="AK25" s="62">
        <v>3.3E-4</v>
      </c>
      <c r="AL25" s="62">
        <v>9.6000000000000002E-4</v>
      </c>
      <c r="AM25" s="62">
        <f t="shared" ref="AM25:AN37" si="154">AM24</f>
        <v>1E-4</v>
      </c>
      <c r="AN25" s="62">
        <f t="shared" si="154"/>
        <v>0</v>
      </c>
      <c r="AO25" s="62">
        <f t="shared" ref="AO25:AO37" si="155">AO24</f>
        <v>2.5000000000000001E-3</v>
      </c>
      <c r="AP25" s="62">
        <f t="shared" si="5"/>
        <v>1.6999999999999999E-3</v>
      </c>
      <c r="AQ25" s="62">
        <f t="shared" si="5"/>
        <v>1.8E-3</v>
      </c>
      <c r="AR25" s="62">
        <v>3.5E-4</v>
      </c>
      <c r="AS25" s="62">
        <v>2.5999999999999998E-4</v>
      </c>
      <c r="AT25" s="62">
        <v>3.5E-4</v>
      </c>
      <c r="AU25" s="62">
        <v>8.7000000000000001E-4</v>
      </c>
      <c r="AV25" s="62">
        <v>1.47E-3</v>
      </c>
      <c r="AW25" s="69">
        <f t="shared" si="131"/>
        <v>1.4000000000000001E-4</v>
      </c>
      <c r="AX25" s="69">
        <f t="shared" si="132"/>
        <v>1.4000000000000001E-4</v>
      </c>
      <c r="AY25" s="69">
        <f t="shared" si="133"/>
        <v>1.4000000000000001E-4</v>
      </c>
      <c r="AZ25" s="69">
        <f t="shared" si="134"/>
        <v>1.4000000000000001E-4</v>
      </c>
      <c r="BA25" s="69">
        <f t="shared" si="138"/>
        <v>6.6E-4</v>
      </c>
      <c r="BB25" s="69">
        <f t="shared" si="139"/>
        <v>6.6E-4</v>
      </c>
      <c r="BC25" s="69">
        <f t="shared" si="140"/>
        <v>6.6E-4</v>
      </c>
      <c r="BD25" s="69">
        <f t="shared" si="141"/>
        <v>6.6E-4</v>
      </c>
      <c r="BE25" s="69">
        <f t="shared" si="136"/>
        <v>4.0000000000000002E-4</v>
      </c>
      <c r="BF25" s="69">
        <f t="shared" si="136"/>
        <v>4.0000000000000002E-4</v>
      </c>
      <c r="BG25" s="69">
        <f t="shared" si="136"/>
        <v>4.0000000000000002E-4</v>
      </c>
      <c r="BH25" s="69">
        <f t="shared" si="136"/>
        <v>4.0000000000000002E-4</v>
      </c>
      <c r="BI25" s="69">
        <f t="shared" si="142"/>
        <v>3.6999999999999999E-4</v>
      </c>
      <c r="BJ25" s="69">
        <f t="shared" si="143"/>
        <v>3.6999999999999999E-4</v>
      </c>
      <c r="BK25" s="69">
        <f t="shared" si="144"/>
        <v>3.6999999999999999E-4</v>
      </c>
      <c r="BL25" s="69">
        <f t="shared" si="145"/>
        <v>3.6999999999999999E-4</v>
      </c>
      <c r="BM25" s="69">
        <f t="shared" si="146"/>
        <v>3.3E-4</v>
      </c>
      <c r="BN25" s="69">
        <f t="shared" si="147"/>
        <v>3.3E-4</v>
      </c>
      <c r="BO25" s="69">
        <f t="shared" si="148"/>
        <v>3.3E-4</v>
      </c>
      <c r="BP25" s="69">
        <f t="shared" si="149"/>
        <v>3.3E-4</v>
      </c>
      <c r="BQ25" s="75">
        <f t="shared" si="153"/>
        <v>2.7999999999999998E-4</v>
      </c>
      <c r="BR25" s="75">
        <f t="shared" si="152"/>
        <v>2.7999999999999998E-4</v>
      </c>
      <c r="BS25" s="75">
        <f t="shared" si="152"/>
        <v>2.7999999999999998E-4</v>
      </c>
      <c r="BT25" s="75">
        <f t="shared" si="152"/>
        <v>2.7999999999999998E-4</v>
      </c>
      <c r="BU25" s="75">
        <f t="shared" si="152"/>
        <v>4.8999999999999998E-4</v>
      </c>
      <c r="BV25" s="75">
        <f t="shared" si="152"/>
        <v>4.8999999999999998E-4</v>
      </c>
      <c r="BW25" s="75">
        <f t="shared" si="152"/>
        <v>4.8999999999999998E-4</v>
      </c>
      <c r="BX25" s="75">
        <f t="shared" si="152"/>
        <v>4.8999999999999998E-4</v>
      </c>
      <c r="BY25" s="75">
        <f t="shared" si="152"/>
        <v>4.8999999999999998E-4</v>
      </c>
      <c r="BZ25" s="75">
        <f t="shared" si="152"/>
        <v>4.8999999999999998E-4</v>
      </c>
      <c r="CA25" s="75">
        <f t="shared" si="152"/>
        <v>4.8999999999999998E-4</v>
      </c>
      <c r="CB25" s="75">
        <f t="shared" si="152"/>
        <v>4.8999999999999998E-4</v>
      </c>
      <c r="CC25" s="69">
        <f t="shared" si="6"/>
        <v>2.5000000000000001E-4</v>
      </c>
      <c r="CD25" s="69">
        <f t="shared" si="7"/>
        <v>2.5000000000000001E-4</v>
      </c>
      <c r="CE25" s="69">
        <f t="shared" si="8"/>
        <v>2.5000000000000001E-4</v>
      </c>
      <c r="CF25" s="69">
        <f t="shared" si="9"/>
        <v>2.5000000000000001E-4</v>
      </c>
      <c r="CG25" s="69">
        <f t="shared" si="10"/>
        <v>5.0000000000000001E-4</v>
      </c>
      <c r="CH25" s="69">
        <f t="shared" si="11"/>
        <v>5.0000000000000001E-4</v>
      </c>
      <c r="CI25" s="69">
        <f t="shared" si="12"/>
        <v>5.0000000000000001E-4</v>
      </c>
      <c r="CJ25" s="69">
        <f t="shared" si="13"/>
        <v>5.0000000000000001E-4</v>
      </c>
      <c r="CK25" s="69">
        <f t="shared" si="14"/>
        <v>1E-3</v>
      </c>
      <c r="CL25" s="69">
        <f t="shared" si="15"/>
        <v>1E-3</v>
      </c>
      <c r="CM25" s="69">
        <f t="shared" si="16"/>
        <v>1E-3</v>
      </c>
      <c r="CN25" s="69">
        <f t="shared" si="17"/>
        <v>1E-3</v>
      </c>
      <c r="CO25" s="69">
        <v>4.0000000000000001E-3</v>
      </c>
      <c r="CP25" s="69">
        <v>4.0000000000000001E-3</v>
      </c>
      <c r="CQ25" s="69">
        <v>2E-3</v>
      </c>
      <c r="CR25" s="69">
        <v>2E-3</v>
      </c>
      <c r="CS25" s="69">
        <v>0</v>
      </c>
      <c r="CT25" s="69">
        <v>0</v>
      </c>
      <c r="CU25" s="69">
        <v>0</v>
      </c>
      <c r="CV25" s="69">
        <v>0</v>
      </c>
      <c r="CW25" s="69">
        <v>0</v>
      </c>
      <c r="CX25" s="69">
        <v>0</v>
      </c>
      <c r="CY25" s="69">
        <v>0</v>
      </c>
      <c r="CZ25" s="69">
        <v>0</v>
      </c>
      <c r="DA25" s="62">
        <f t="shared" si="18"/>
        <v>1.5E-3</v>
      </c>
      <c r="DB25" s="62">
        <f t="shared" si="19"/>
        <v>2.5000000000000001E-3</v>
      </c>
      <c r="DC25" s="62">
        <v>3.2000000000000002E-3</v>
      </c>
      <c r="DD25" s="62">
        <f t="shared" si="20"/>
        <v>2.0999999999999999E-3</v>
      </c>
      <c r="DE25" s="62">
        <f t="shared" si="21"/>
        <v>2E-3</v>
      </c>
      <c r="DF25" s="62">
        <f t="shared" si="22"/>
        <v>2.2000000000000001E-3</v>
      </c>
      <c r="DG25" s="62">
        <f t="shared" si="23"/>
        <v>2.3E-3</v>
      </c>
      <c r="DH25" s="62">
        <f t="shared" si="24"/>
        <v>2.5000000000000001E-3</v>
      </c>
      <c r="DI25" s="62">
        <f t="shared" si="25"/>
        <v>2.5999999999999999E-3</v>
      </c>
      <c r="DJ25" s="62">
        <f t="shared" si="26"/>
        <v>3.2000000000000002E-3</v>
      </c>
      <c r="DK25" s="62">
        <f t="shared" si="27"/>
        <v>2.9999999999999997E-4</v>
      </c>
      <c r="DL25" s="62">
        <f t="shared" si="28"/>
        <v>2.5000000000000001E-3</v>
      </c>
      <c r="DM25" s="62">
        <f t="shared" si="29"/>
        <v>5.0000000000000001E-4</v>
      </c>
      <c r="DN25" s="62">
        <f t="shared" si="30"/>
        <v>1.1999999999999999E-3</v>
      </c>
      <c r="DO25" s="62">
        <f t="shared" si="31"/>
        <v>1.9E-3</v>
      </c>
      <c r="DP25" s="62">
        <f t="shared" si="32"/>
        <v>1E-3</v>
      </c>
      <c r="DQ25" s="62">
        <f t="shared" si="33"/>
        <v>2.0999999999999999E-3</v>
      </c>
      <c r="DR25" s="62">
        <f t="shared" si="34"/>
        <v>8.9999999999999998E-4</v>
      </c>
      <c r="DS25" s="62">
        <f t="shared" si="35"/>
        <v>2.0999999999999999E-3</v>
      </c>
      <c r="DT25" s="62">
        <f t="shared" si="36"/>
        <v>1.4E-3</v>
      </c>
      <c r="DU25" s="62">
        <f t="shared" si="37"/>
        <v>1.6000000000000001E-3</v>
      </c>
      <c r="DV25" s="62">
        <f t="shared" si="38"/>
        <v>2.3999999999999998E-3</v>
      </c>
      <c r="DW25" s="62">
        <f t="shared" si="39"/>
        <v>5.0000000000000001E-3</v>
      </c>
      <c r="DX25" s="62">
        <f t="shared" si="40"/>
        <v>2E-3</v>
      </c>
      <c r="DY25" s="62">
        <f t="shared" si="41"/>
        <v>0</v>
      </c>
      <c r="DZ25" s="62">
        <f t="shared" si="42"/>
        <v>1.5E-3</v>
      </c>
      <c r="EA25" s="62">
        <f t="shared" si="43"/>
        <v>2.0000000000000001E-4</v>
      </c>
      <c r="EB25" s="62">
        <f t="shared" si="44"/>
        <v>1.5E-3</v>
      </c>
      <c r="EC25" s="62">
        <f t="shared" si="45"/>
        <v>2.7000000000000001E-3</v>
      </c>
      <c r="ED25" s="62">
        <f t="shared" si="46"/>
        <v>2.5000000000000001E-3</v>
      </c>
      <c r="EE25" s="62">
        <f t="shared" si="47"/>
        <v>0</v>
      </c>
      <c r="EF25" s="62">
        <f t="shared" si="48"/>
        <v>2.5000000000000001E-3</v>
      </c>
      <c r="EG25" s="62">
        <f t="shared" si="49"/>
        <v>1.1000000000000001E-3</v>
      </c>
      <c r="EH25" s="62">
        <f t="shared" si="50"/>
        <v>2.5000000000000001E-3</v>
      </c>
      <c r="EI25" s="62">
        <f t="shared" si="51"/>
        <v>8.0000000000000004E-4</v>
      </c>
      <c r="EJ25" s="62">
        <f t="shared" si="52"/>
        <v>2.5000000000000001E-3</v>
      </c>
      <c r="EK25" s="62">
        <f t="shared" si="53"/>
        <v>7.5000000000000002E-4</v>
      </c>
      <c r="EL25" s="62">
        <f t="shared" si="54"/>
        <v>2.5000000000000001E-3</v>
      </c>
      <c r="EM25" s="62">
        <f t="shared" si="55"/>
        <v>3.2000000000000002E-3</v>
      </c>
      <c r="EN25" s="62">
        <f t="shared" si="56"/>
        <v>2.3999999999999998E-3</v>
      </c>
      <c r="EO25" s="62">
        <f t="shared" si="57"/>
        <v>0</v>
      </c>
      <c r="EP25" s="62">
        <f t="shared" si="58"/>
        <v>2E-3</v>
      </c>
      <c r="EQ25" s="62">
        <f t="shared" si="59"/>
        <v>1.1000000000000001E-3</v>
      </c>
      <c r="ER25" s="62">
        <f t="shared" si="60"/>
        <v>2.2000000000000001E-3</v>
      </c>
      <c r="ES25" s="62">
        <f t="shared" si="61"/>
        <v>1E-3</v>
      </c>
      <c r="ET25" s="62">
        <f t="shared" si="62"/>
        <v>4.0000000000000001E-3</v>
      </c>
      <c r="EU25" s="62">
        <f t="shared" si="63"/>
        <v>3.7000000000000002E-3</v>
      </c>
      <c r="EV25" s="62">
        <f t="shared" si="64"/>
        <v>4.7999999999999996E-3</v>
      </c>
      <c r="EW25" s="62">
        <f t="shared" si="65"/>
        <v>0</v>
      </c>
      <c r="EX25" s="62">
        <f t="shared" si="66"/>
        <v>2.5000000000000001E-3</v>
      </c>
      <c r="EY25" s="62">
        <f t="shared" si="67"/>
        <v>2.5000000000000001E-3</v>
      </c>
      <c r="EZ25" s="62">
        <f t="shared" si="68"/>
        <v>3.8999999999999998E-3</v>
      </c>
      <c r="FA25" s="62">
        <f t="shared" si="69"/>
        <v>6.1999999999999998E-3</v>
      </c>
      <c r="FB25" s="62">
        <f t="shared" si="70"/>
        <v>5.1000000000000004E-3</v>
      </c>
      <c r="FC25" s="62">
        <f t="shared" si="71"/>
        <v>2.8999999999999998E-3</v>
      </c>
      <c r="FD25" s="62">
        <f t="shared" si="72"/>
        <v>1.5E-3</v>
      </c>
      <c r="FE25" s="62">
        <f t="shared" si="73"/>
        <v>2.8E-3</v>
      </c>
      <c r="FF25" s="62">
        <f t="shared" si="74"/>
        <v>1.5E-3</v>
      </c>
      <c r="FG25" s="62">
        <f t="shared" si="75"/>
        <v>2.5999999999999999E-3</v>
      </c>
      <c r="FH25" s="62">
        <f t="shared" si="76"/>
        <v>1.5E-3</v>
      </c>
      <c r="FI25" s="62">
        <f t="shared" si="77"/>
        <v>2.7000000000000001E-3</v>
      </c>
      <c r="FJ25" s="62">
        <f t="shared" si="78"/>
        <v>1.5E-3</v>
      </c>
      <c r="FK25" s="62">
        <f t="shared" si="79"/>
        <v>3.3999999999999998E-3</v>
      </c>
      <c r="FL25" s="62">
        <f t="shared" si="80"/>
        <v>8.9999999999999998E-4</v>
      </c>
      <c r="FM25" s="62">
        <f t="shared" si="81"/>
        <v>2.6999999999999997E-3</v>
      </c>
      <c r="FN25" s="62">
        <f t="shared" si="82"/>
        <v>0</v>
      </c>
      <c r="FO25" s="62">
        <f t="shared" si="83"/>
        <v>2.5000000000000001E-3</v>
      </c>
      <c r="FP25" s="62">
        <f t="shared" si="84"/>
        <v>2.5000000000000001E-3</v>
      </c>
      <c r="FQ25" s="62">
        <f t="shared" si="85"/>
        <v>1.8E-3</v>
      </c>
      <c r="FR25" s="62">
        <f t="shared" si="86"/>
        <v>2E-3</v>
      </c>
      <c r="FS25" s="62">
        <f t="shared" si="87"/>
        <v>1.2999999999999999E-3</v>
      </c>
      <c r="FT25" s="62">
        <f t="shared" si="88"/>
        <v>2.3E-3</v>
      </c>
      <c r="FU25" s="62">
        <f t="shared" si="89"/>
        <v>2E-3</v>
      </c>
      <c r="FV25" s="62">
        <f t="shared" si="90"/>
        <v>2.3999999999999998E-3</v>
      </c>
      <c r="FW25" s="62">
        <f t="shared" si="91"/>
        <v>2.0999999999999999E-3</v>
      </c>
      <c r="FX25" s="62">
        <f t="shared" si="92"/>
        <v>4.0000000000000002E-4</v>
      </c>
      <c r="FY25" s="62">
        <f t="shared" si="93"/>
        <v>2.5000000000000001E-3</v>
      </c>
      <c r="FZ25" s="62">
        <f t="shared" si="94"/>
        <v>5.0000000000000001E-4</v>
      </c>
      <c r="GA25" s="62">
        <f t="shared" si="95"/>
        <v>2.5000000000000001E-3</v>
      </c>
      <c r="GB25" s="62">
        <f t="shared" si="96"/>
        <v>4.0000000000000002E-4</v>
      </c>
      <c r="GC25" s="62">
        <f t="shared" si="97"/>
        <v>1.7499999999999998E-3</v>
      </c>
      <c r="GD25" s="62">
        <f t="shared" si="98"/>
        <v>0</v>
      </c>
      <c r="GE25" s="62">
        <f t="shared" si="99"/>
        <v>1.6999999999999999E-3</v>
      </c>
      <c r="GF25" s="62">
        <f t="shared" si="100"/>
        <v>2.7500000000000002E-4</v>
      </c>
      <c r="GG25" s="62">
        <f t="shared" si="101"/>
        <v>1.719E-3</v>
      </c>
      <c r="GH25" s="62">
        <f t="shared" si="102"/>
        <v>3.0000000000000001E-3</v>
      </c>
      <c r="GI25" s="62">
        <f t="shared" si="103"/>
        <v>2.8999999999999998E-3</v>
      </c>
      <c r="GJ25" s="62">
        <f t="shared" si="104"/>
        <v>2.5000000000000001E-3</v>
      </c>
      <c r="GK25" s="62">
        <f t="shared" si="105"/>
        <v>2.7000000000000001E-3</v>
      </c>
      <c r="GL25" s="62">
        <f t="shared" si="106"/>
        <v>2.5000000000000001E-3</v>
      </c>
      <c r="GM25" s="62">
        <f t="shared" si="107"/>
        <v>2.2000000000000001E-3</v>
      </c>
      <c r="GN25" s="62">
        <f t="shared" si="108"/>
        <v>1.6000000000000001E-3</v>
      </c>
      <c r="GO25" s="62">
        <f t="shared" si="109"/>
        <v>1E-4</v>
      </c>
      <c r="GP25" s="62">
        <f t="shared" si="110"/>
        <v>1E-4</v>
      </c>
      <c r="GQ25" s="62">
        <f t="shared" si="111"/>
        <v>1.1000000000000001E-3</v>
      </c>
      <c r="GR25" s="62">
        <f t="shared" si="112"/>
        <v>2.0000000000000001E-4</v>
      </c>
      <c r="GS25" s="62">
        <f t="shared" si="113"/>
        <v>2.5000000000000001E-3</v>
      </c>
      <c r="GT25" s="62">
        <f t="shared" si="114"/>
        <v>3.3E-3</v>
      </c>
      <c r="GU25" s="62">
        <f t="shared" si="115"/>
        <v>4.0000000000000001E-3</v>
      </c>
      <c r="GV25" s="62">
        <f t="shared" si="116"/>
        <v>3.5000000000000001E-3</v>
      </c>
      <c r="GW25" s="62">
        <f t="shared" si="117"/>
        <v>3.3E-3</v>
      </c>
      <c r="GX25" s="62">
        <f t="shared" si="118"/>
        <v>3.3999999999999998E-3</v>
      </c>
      <c r="GY25" s="62">
        <f t="shared" si="119"/>
        <v>5.0000000000000001E-3</v>
      </c>
      <c r="GZ25" s="62">
        <f t="shared" si="120"/>
        <v>2.5000000000000001E-3</v>
      </c>
      <c r="HA25" s="62">
        <f t="shared" si="121"/>
        <v>2.63E-3</v>
      </c>
      <c r="HB25" s="62">
        <f t="shared" si="122"/>
        <v>6.9999999999999999E-4</v>
      </c>
      <c r="HC25" s="62">
        <f t="shared" si="123"/>
        <v>5.0000000000000001E-4</v>
      </c>
      <c r="HD25" s="62">
        <f t="shared" si="124"/>
        <v>6.9999999999999999E-4</v>
      </c>
      <c r="HE25" s="62">
        <f t="shared" si="125"/>
        <v>4.4999999999999997E-3</v>
      </c>
      <c r="HF25" s="62">
        <f t="shared" si="126"/>
        <v>0</v>
      </c>
      <c r="HG25" s="62">
        <f t="shared" si="127"/>
        <v>6.0000000000000001E-3</v>
      </c>
      <c r="HH25" s="62">
        <f t="shared" si="128"/>
        <v>8.9999999999999998E-4</v>
      </c>
      <c r="HI25" s="62">
        <f t="shared" si="129"/>
        <v>6.0000000000000001E-3</v>
      </c>
    </row>
    <row r="26" spans="2:217" x14ac:dyDescent="0.2">
      <c r="B26" s="72">
        <f t="shared" si="4"/>
        <v>20</v>
      </c>
      <c r="D26" s="62">
        <v>0</v>
      </c>
      <c r="E26" s="73">
        <v>2.3000000000000001E-4</v>
      </c>
      <c r="F26" s="73">
        <v>8.0000000000000004E-4</v>
      </c>
      <c r="G26" s="73">
        <v>4.7000000000000002E-3</v>
      </c>
      <c r="H26" s="73">
        <v>5.9999999999999995E-4</v>
      </c>
      <c r="I26" s="73">
        <v>2.5999999999999999E-3</v>
      </c>
      <c r="J26" s="73">
        <v>3.5999999999999999E-3</v>
      </c>
      <c r="K26" s="73">
        <v>8.0000000000000004E-4</v>
      </c>
      <c r="L26" s="73">
        <v>1E-4</v>
      </c>
      <c r="M26" s="73">
        <v>6.9999999999999999E-4</v>
      </c>
      <c r="N26" s="73">
        <v>1.8E-3</v>
      </c>
      <c r="O26" s="73">
        <v>2.9999999999999997E-4</v>
      </c>
      <c r="P26" s="73">
        <v>1.7499999999999998E-3</v>
      </c>
      <c r="Q26" s="73">
        <v>6.9999999999999999E-4</v>
      </c>
      <c r="R26" s="73">
        <v>2.5000000000000001E-3</v>
      </c>
      <c r="S26" s="73">
        <v>3.3999999999999998E-3</v>
      </c>
      <c r="T26" s="73">
        <v>6.9999999999999999E-4</v>
      </c>
      <c r="U26" s="73">
        <v>2.3999999999999998E-3</v>
      </c>
      <c r="V26" s="73">
        <v>4.1000000000000003E-3</v>
      </c>
      <c r="W26" s="73">
        <v>3.8999999999999998E-3</v>
      </c>
      <c r="X26" s="73">
        <v>4.0000000000000001E-3</v>
      </c>
      <c r="Y26" s="73">
        <v>3.3999999999999998E-3</v>
      </c>
      <c r="Z26" s="73">
        <v>2.3999999999999998E-3</v>
      </c>
      <c r="AA26" s="73">
        <v>8.0000000000000004E-4</v>
      </c>
      <c r="AB26" s="73">
        <v>2.5000000000000001E-3</v>
      </c>
      <c r="AC26" s="73">
        <v>2.3999999999999998E-3</v>
      </c>
      <c r="AD26" s="73">
        <v>2.5000000000000001E-3</v>
      </c>
      <c r="AE26" s="73">
        <v>8.9999999999999998E-4</v>
      </c>
      <c r="AF26" s="73">
        <v>4.7999999999999996E-3</v>
      </c>
      <c r="AG26" s="73">
        <v>2E-3</v>
      </c>
      <c r="AH26" s="73">
        <v>2.8999999999999998E-3</v>
      </c>
      <c r="AI26" s="73">
        <v>5.0000000000000001E-4</v>
      </c>
      <c r="AJ26" s="73">
        <v>2.5000000000000001E-3</v>
      </c>
      <c r="AK26" s="62">
        <v>3.3E-4</v>
      </c>
      <c r="AL26" s="62">
        <v>9.6000000000000002E-4</v>
      </c>
      <c r="AM26" s="62">
        <f t="shared" si="154"/>
        <v>1E-4</v>
      </c>
      <c r="AN26" s="62">
        <f t="shared" si="154"/>
        <v>0</v>
      </c>
      <c r="AO26" s="62">
        <f t="shared" si="155"/>
        <v>2.5000000000000001E-3</v>
      </c>
      <c r="AP26" s="62">
        <f t="shared" si="5"/>
        <v>1.6999999999999999E-3</v>
      </c>
      <c r="AQ26" s="62">
        <f t="shared" si="5"/>
        <v>1.8E-3</v>
      </c>
      <c r="AR26" s="62">
        <v>3.5E-4</v>
      </c>
      <c r="AS26" s="62">
        <v>2.5999999999999998E-4</v>
      </c>
      <c r="AT26" s="62">
        <v>3.5E-4</v>
      </c>
      <c r="AU26" s="62">
        <v>8.7000000000000001E-4</v>
      </c>
      <c r="AV26" s="62">
        <v>1.47E-3</v>
      </c>
      <c r="AW26" s="69">
        <f t="shared" si="131"/>
        <v>1.4000000000000001E-4</v>
      </c>
      <c r="AX26" s="69">
        <f t="shared" si="132"/>
        <v>1.4000000000000001E-4</v>
      </c>
      <c r="AY26" s="69">
        <f t="shared" si="133"/>
        <v>1.4000000000000001E-4</v>
      </c>
      <c r="AZ26" s="69">
        <f t="shared" si="134"/>
        <v>1.4000000000000001E-4</v>
      </c>
      <c r="BA26" s="69">
        <f t="shared" si="138"/>
        <v>6.6E-4</v>
      </c>
      <c r="BB26" s="69">
        <f t="shared" si="139"/>
        <v>6.6E-4</v>
      </c>
      <c r="BC26" s="69">
        <f t="shared" si="140"/>
        <v>6.6E-4</v>
      </c>
      <c r="BD26" s="69">
        <f t="shared" si="141"/>
        <v>6.6E-4</v>
      </c>
      <c r="BE26" s="69">
        <f t="shared" si="136"/>
        <v>4.0000000000000002E-4</v>
      </c>
      <c r="BF26" s="69">
        <f t="shared" si="136"/>
        <v>4.0000000000000002E-4</v>
      </c>
      <c r="BG26" s="69">
        <f t="shared" si="136"/>
        <v>4.0000000000000002E-4</v>
      </c>
      <c r="BH26" s="69">
        <f t="shared" si="136"/>
        <v>4.0000000000000002E-4</v>
      </c>
      <c r="BI26" s="69">
        <f t="shared" si="142"/>
        <v>3.6999999999999999E-4</v>
      </c>
      <c r="BJ26" s="69">
        <f t="shared" si="143"/>
        <v>3.6999999999999999E-4</v>
      </c>
      <c r="BK26" s="69">
        <f t="shared" si="144"/>
        <v>3.6999999999999999E-4</v>
      </c>
      <c r="BL26" s="69">
        <f t="shared" si="145"/>
        <v>3.6999999999999999E-4</v>
      </c>
      <c r="BM26" s="69">
        <f t="shared" si="146"/>
        <v>3.3E-4</v>
      </c>
      <c r="BN26" s="69">
        <f t="shared" si="147"/>
        <v>3.3E-4</v>
      </c>
      <c r="BO26" s="69">
        <f t="shared" si="148"/>
        <v>3.3E-4</v>
      </c>
      <c r="BP26" s="69">
        <f t="shared" si="149"/>
        <v>3.3E-4</v>
      </c>
      <c r="BQ26" s="75">
        <f t="shared" si="153"/>
        <v>2.7999999999999998E-4</v>
      </c>
      <c r="BR26" s="75">
        <f t="shared" si="152"/>
        <v>2.7999999999999998E-4</v>
      </c>
      <c r="BS26" s="75">
        <f t="shared" si="152"/>
        <v>2.7999999999999998E-4</v>
      </c>
      <c r="BT26" s="75">
        <f t="shared" si="152"/>
        <v>2.7999999999999998E-4</v>
      </c>
      <c r="BU26" s="75">
        <f t="shared" si="152"/>
        <v>4.8999999999999998E-4</v>
      </c>
      <c r="BV26" s="75">
        <f t="shared" si="152"/>
        <v>4.8999999999999998E-4</v>
      </c>
      <c r="BW26" s="75">
        <f t="shared" si="152"/>
        <v>4.8999999999999998E-4</v>
      </c>
      <c r="BX26" s="75">
        <f t="shared" si="152"/>
        <v>4.8999999999999998E-4</v>
      </c>
      <c r="BY26" s="75">
        <f t="shared" si="152"/>
        <v>4.8999999999999998E-4</v>
      </c>
      <c r="BZ26" s="75">
        <f t="shared" si="152"/>
        <v>4.8999999999999998E-4</v>
      </c>
      <c r="CA26" s="75">
        <f t="shared" si="152"/>
        <v>4.8999999999999998E-4</v>
      </c>
      <c r="CB26" s="75">
        <f t="shared" si="152"/>
        <v>4.8999999999999998E-4</v>
      </c>
      <c r="CC26" s="69">
        <f t="shared" si="6"/>
        <v>2.5000000000000001E-4</v>
      </c>
      <c r="CD26" s="69">
        <f t="shared" si="7"/>
        <v>2.5000000000000001E-4</v>
      </c>
      <c r="CE26" s="69">
        <f t="shared" si="8"/>
        <v>2.5000000000000001E-4</v>
      </c>
      <c r="CF26" s="69">
        <f t="shared" si="9"/>
        <v>2.5000000000000001E-4</v>
      </c>
      <c r="CG26" s="69">
        <f t="shared" si="10"/>
        <v>5.0000000000000001E-4</v>
      </c>
      <c r="CH26" s="69">
        <f t="shared" si="11"/>
        <v>5.0000000000000001E-4</v>
      </c>
      <c r="CI26" s="69">
        <f t="shared" si="12"/>
        <v>5.0000000000000001E-4</v>
      </c>
      <c r="CJ26" s="69">
        <f t="shared" si="13"/>
        <v>5.0000000000000001E-4</v>
      </c>
      <c r="CK26" s="69">
        <f t="shared" si="14"/>
        <v>1E-3</v>
      </c>
      <c r="CL26" s="69">
        <f t="shared" si="15"/>
        <v>1E-3</v>
      </c>
      <c r="CM26" s="69">
        <f t="shared" si="16"/>
        <v>1E-3</v>
      </c>
      <c r="CN26" s="69">
        <f t="shared" si="17"/>
        <v>1E-3</v>
      </c>
      <c r="CO26" s="69">
        <v>0</v>
      </c>
      <c r="CP26" s="69">
        <v>0</v>
      </c>
      <c r="CQ26" s="69">
        <v>0</v>
      </c>
      <c r="CR26" s="69">
        <v>0</v>
      </c>
      <c r="CS26" s="69">
        <v>0</v>
      </c>
      <c r="CT26" s="69">
        <v>0</v>
      </c>
      <c r="CU26" s="69">
        <v>0</v>
      </c>
      <c r="CV26" s="69">
        <v>0</v>
      </c>
      <c r="CW26" s="69">
        <v>0</v>
      </c>
      <c r="CX26" s="69">
        <v>0</v>
      </c>
      <c r="CY26" s="69">
        <v>0</v>
      </c>
      <c r="CZ26" s="69">
        <v>0</v>
      </c>
      <c r="DA26" s="62">
        <f t="shared" si="18"/>
        <v>1.5E-3</v>
      </c>
      <c r="DB26" s="62">
        <f t="shared" si="19"/>
        <v>2.5000000000000001E-3</v>
      </c>
      <c r="DC26" s="62">
        <v>3.2000000000000002E-3</v>
      </c>
      <c r="DD26" s="62">
        <f t="shared" si="20"/>
        <v>2.0999999999999999E-3</v>
      </c>
      <c r="DE26" s="62">
        <f t="shared" si="21"/>
        <v>2E-3</v>
      </c>
      <c r="DF26" s="62">
        <f t="shared" si="22"/>
        <v>2.2000000000000001E-3</v>
      </c>
      <c r="DG26" s="62">
        <f t="shared" si="23"/>
        <v>2.3E-3</v>
      </c>
      <c r="DH26" s="62">
        <f t="shared" si="24"/>
        <v>2.5000000000000001E-3</v>
      </c>
      <c r="DI26" s="62">
        <f t="shared" si="25"/>
        <v>2.5999999999999999E-3</v>
      </c>
      <c r="DJ26" s="62">
        <f t="shared" si="26"/>
        <v>3.2000000000000002E-3</v>
      </c>
      <c r="DK26" s="62">
        <f t="shared" si="27"/>
        <v>2.9999999999999997E-4</v>
      </c>
      <c r="DL26" s="62">
        <f t="shared" si="28"/>
        <v>2.5000000000000001E-3</v>
      </c>
      <c r="DM26" s="62">
        <f t="shared" si="29"/>
        <v>5.0000000000000001E-4</v>
      </c>
      <c r="DN26" s="62">
        <f t="shared" si="30"/>
        <v>1.1999999999999999E-3</v>
      </c>
      <c r="DO26" s="62">
        <f t="shared" si="31"/>
        <v>1.9E-3</v>
      </c>
      <c r="DP26" s="62">
        <f t="shared" si="32"/>
        <v>1E-3</v>
      </c>
      <c r="DQ26" s="62">
        <f t="shared" si="33"/>
        <v>2.0999999999999999E-3</v>
      </c>
      <c r="DR26" s="62">
        <f t="shared" si="34"/>
        <v>8.9999999999999998E-4</v>
      </c>
      <c r="DS26" s="62">
        <f t="shared" si="35"/>
        <v>2.0999999999999999E-3</v>
      </c>
      <c r="DT26" s="62">
        <f t="shared" si="36"/>
        <v>1.4E-3</v>
      </c>
      <c r="DU26" s="62">
        <f t="shared" si="37"/>
        <v>1.6000000000000001E-3</v>
      </c>
      <c r="DV26" s="62">
        <f t="shared" si="38"/>
        <v>2.3999999999999998E-3</v>
      </c>
      <c r="DW26" s="62">
        <f t="shared" si="39"/>
        <v>5.0000000000000001E-3</v>
      </c>
      <c r="DX26" s="62">
        <f t="shared" si="40"/>
        <v>2E-3</v>
      </c>
      <c r="DY26" s="62">
        <f t="shared" si="41"/>
        <v>0</v>
      </c>
      <c r="DZ26" s="62">
        <f t="shared" si="42"/>
        <v>1.5E-3</v>
      </c>
      <c r="EA26" s="62">
        <f t="shared" si="43"/>
        <v>2.0000000000000001E-4</v>
      </c>
      <c r="EB26" s="62">
        <f t="shared" si="44"/>
        <v>1.5E-3</v>
      </c>
      <c r="EC26" s="62">
        <f t="shared" si="45"/>
        <v>2.7000000000000001E-3</v>
      </c>
      <c r="ED26" s="62">
        <f t="shared" si="46"/>
        <v>2.5000000000000001E-3</v>
      </c>
      <c r="EE26" s="62">
        <f t="shared" si="47"/>
        <v>0</v>
      </c>
      <c r="EF26" s="62">
        <f t="shared" si="48"/>
        <v>2.5000000000000001E-3</v>
      </c>
      <c r="EG26" s="62">
        <f t="shared" si="49"/>
        <v>1.1000000000000001E-3</v>
      </c>
      <c r="EH26" s="62">
        <f t="shared" si="50"/>
        <v>2.5000000000000001E-3</v>
      </c>
      <c r="EI26" s="62">
        <f t="shared" si="51"/>
        <v>8.0000000000000004E-4</v>
      </c>
      <c r="EJ26" s="62">
        <f t="shared" si="52"/>
        <v>2.5000000000000001E-3</v>
      </c>
      <c r="EK26" s="62">
        <f t="shared" si="53"/>
        <v>7.5000000000000002E-4</v>
      </c>
      <c r="EL26" s="62">
        <f t="shared" si="54"/>
        <v>2.5000000000000001E-3</v>
      </c>
      <c r="EM26" s="62">
        <f t="shared" si="55"/>
        <v>3.2000000000000002E-3</v>
      </c>
      <c r="EN26" s="62">
        <f t="shared" si="56"/>
        <v>2.3999999999999998E-3</v>
      </c>
      <c r="EO26" s="62">
        <f t="shared" si="57"/>
        <v>0</v>
      </c>
      <c r="EP26" s="62">
        <f t="shared" si="58"/>
        <v>2E-3</v>
      </c>
      <c r="EQ26" s="62">
        <f t="shared" si="59"/>
        <v>1.1000000000000001E-3</v>
      </c>
      <c r="ER26" s="62">
        <f t="shared" si="60"/>
        <v>2.2000000000000001E-3</v>
      </c>
      <c r="ES26" s="62">
        <f t="shared" si="61"/>
        <v>1E-3</v>
      </c>
      <c r="ET26" s="62">
        <f t="shared" si="62"/>
        <v>4.0000000000000001E-3</v>
      </c>
      <c r="EU26" s="62">
        <f t="shared" si="63"/>
        <v>3.7000000000000002E-3</v>
      </c>
      <c r="EV26" s="62">
        <f t="shared" si="64"/>
        <v>4.7999999999999996E-3</v>
      </c>
      <c r="EW26" s="62">
        <f t="shared" si="65"/>
        <v>0</v>
      </c>
      <c r="EX26" s="62">
        <f t="shared" si="66"/>
        <v>2.5000000000000001E-3</v>
      </c>
      <c r="EY26" s="62">
        <f t="shared" si="67"/>
        <v>2.5000000000000001E-3</v>
      </c>
      <c r="EZ26" s="62">
        <f t="shared" si="68"/>
        <v>3.8999999999999998E-3</v>
      </c>
      <c r="FA26" s="62">
        <f t="shared" si="69"/>
        <v>6.1999999999999998E-3</v>
      </c>
      <c r="FB26" s="62">
        <f t="shared" si="70"/>
        <v>5.1000000000000004E-3</v>
      </c>
      <c r="FC26" s="62">
        <f t="shared" si="71"/>
        <v>2.8999999999999998E-3</v>
      </c>
      <c r="FD26" s="62">
        <f t="shared" si="72"/>
        <v>1.5E-3</v>
      </c>
      <c r="FE26" s="62">
        <f t="shared" si="73"/>
        <v>2.8E-3</v>
      </c>
      <c r="FF26" s="62">
        <f t="shared" si="74"/>
        <v>1.5E-3</v>
      </c>
      <c r="FG26" s="62">
        <f t="shared" si="75"/>
        <v>2.5999999999999999E-3</v>
      </c>
      <c r="FH26" s="62">
        <f t="shared" si="76"/>
        <v>1.5E-3</v>
      </c>
      <c r="FI26" s="62">
        <f t="shared" si="77"/>
        <v>2.7000000000000001E-3</v>
      </c>
      <c r="FJ26" s="62">
        <f t="shared" si="78"/>
        <v>1.5E-3</v>
      </c>
      <c r="FK26" s="62">
        <f t="shared" si="79"/>
        <v>3.3999999999999998E-3</v>
      </c>
      <c r="FL26" s="62">
        <f t="shared" si="80"/>
        <v>8.9999999999999998E-4</v>
      </c>
      <c r="FM26" s="62">
        <f t="shared" si="81"/>
        <v>2.6999999999999997E-3</v>
      </c>
      <c r="FN26" s="62">
        <f t="shared" si="82"/>
        <v>0</v>
      </c>
      <c r="FO26" s="62">
        <f t="shared" si="83"/>
        <v>2.5000000000000001E-3</v>
      </c>
      <c r="FP26" s="62">
        <f t="shared" si="84"/>
        <v>2.5000000000000001E-3</v>
      </c>
      <c r="FQ26" s="62">
        <f t="shared" si="85"/>
        <v>1.8E-3</v>
      </c>
      <c r="FR26" s="62">
        <f t="shared" si="86"/>
        <v>2E-3</v>
      </c>
      <c r="FS26" s="62">
        <f t="shared" si="87"/>
        <v>1.2999999999999999E-3</v>
      </c>
      <c r="FT26" s="62">
        <f t="shared" si="88"/>
        <v>2.3E-3</v>
      </c>
      <c r="FU26" s="62">
        <f t="shared" si="89"/>
        <v>2E-3</v>
      </c>
      <c r="FV26" s="62">
        <f t="shared" si="90"/>
        <v>2.3999999999999998E-3</v>
      </c>
      <c r="FW26" s="62">
        <f t="shared" si="91"/>
        <v>2.0999999999999999E-3</v>
      </c>
      <c r="FX26" s="62">
        <f t="shared" si="92"/>
        <v>4.0000000000000002E-4</v>
      </c>
      <c r="FY26" s="62">
        <f t="shared" si="93"/>
        <v>2.5000000000000001E-3</v>
      </c>
      <c r="FZ26" s="62">
        <f t="shared" si="94"/>
        <v>5.0000000000000001E-4</v>
      </c>
      <c r="GA26" s="62">
        <f t="shared" si="95"/>
        <v>2.5000000000000001E-3</v>
      </c>
      <c r="GB26" s="62">
        <f t="shared" si="96"/>
        <v>4.0000000000000002E-4</v>
      </c>
      <c r="GC26" s="62">
        <f t="shared" si="97"/>
        <v>1.7499999999999998E-3</v>
      </c>
      <c r="GD26" s="62">
        <f t="shared" si="98"/>
        <v>0</v>
      </c>
      <c r="GE26" s="62">
        <f t="shared" si="99"/>
        <v>1.6999999999999999E-3</v>
      </c>
      <c r="GF26" s="62">
        <f t="shared" si="100"/>
        <v>2.7500000000000002E-4</v>
      </c>
      <c r="GG26" s="62">
        <f t="shared" si="101"/>
        <v>1.719E-3</v>
      </c>
      <c r="GH26" s="62">
        <f t="shared" si="102"/>
        <v>3.0000000000000001E-3</v>
      </c>
      <c r="GI26" s="62">
        <f t="shared" si="103"/>
        <v>2.8999999999999998E-3</v>
      </c>
      <c r="GJ26" s="62">
        <f t="shared" si="104"/>
        <v>2.5000000000000001E-3</v>
      </c>
      <c r="GK26" s="62">
        <f t="shared" si="105"/>
        <v>2.7000000000000001E-3</v>
      </c>
      <c r="GL26" s="62">
        <f t="shared" si="106"/>
        <v>2.5000000000000001E-3</v>
      </c>
      <c r="GM26" s="62">
        <f t="shared" si="107"/>
        <v>2.2000000000000001E-3</v>
      </c>
      <c r="GN26" s="62">
        <f t="shared" si="108"/>
        <v>1.6000000000000001E-3</v>
      </c>
      <c r="GO26" s="62">
        <f t="shared" si="109"/>
        <v>1E-4</v>
      </c>
      <c r="GP26" s="62">
        <f t="shared" si="110"/>
        <v>1E-4</v>
      </c>
      <c r="GQ26" s="62">
        <f t="shared" si="111"/>
        <v>1.1000000000000001E-3</v>
      </c>
      <c r="GR26" s="62">
        <f t="shared" si="112"/>
        <v>2.0000000000000001E-4</v>
      </c>
      <c r="GS26" s="62">
        <f t="shared" si="113"/>
        <v>2.5000000000000001E-3</v>
      </c>
      <c r="GT26" s="62">
        <f t="shared" si="114"/>
        <v>3.3E-3</v>
      </c>
      <c r="GU26" s="62">
        <f t="shared" si="115"/>
        <v>4.0000000000000001E-3</v>
      </c>
      <c r="GV26" s="62">
        <f t="shared" si="116"/>
        <v>3.5000000000000001E-3</v>
      </c>
      <c r="GW26" s="62">
        <f t="shared" si="117"/>
        <v>3.3E-3</v>
      </c>
      <c r="GX26" s="62">
        <f t="shared" si="118"/>
        <v>3.3999999999999998E-3</v>
      </c>
      <c r="GY26" s="62">
        <f t="shared" si="119"/>
        <v>5.0000000000000001E-3</v>
      </c>
      <c r="GZ26" s="62">
        <f t="shared" si="120"/>
        <v>2.5000000000000001E-3</v>
      </c>
      <c r="HA26" s="62">
        <f t="shared" si="121"/>
        <v>2.63E-3</v>
      </c>
      <c r="HB26" s="62">
        <f t="shared" si="122"/>
        <v>6.9999999999999999E-4</v>
      </c>
      <c r="HC26" s="62">
        <f t="shared" si="123"/>
        <v>5.0000000000000001E-4</v>
      </c>
      <c r="HD26" s="62">
        <f t="shared" si="124"/>
        <v>6.9999999999999999E-4</v>
      </c>
      <c r="HE26" s="62">
        <f t="shared" si="125"/>
        <v>4.4999999999999997E-3</v>
      </c>
      <c r="HF26" s="62">
        <f t="shared" si="126"/>
        <v>0</v>
      </c>
      <c r="HG26" s="62">
        <f t="shared" si="127"/>
        <v>6.0000000000000001E-3</v>
      </c>
      <c r="HH26" s="62">
        <f t="shared" si="128"/>
        <v>8.9999999999999998E-4</v>
      </c>
      <c r="HI26" s="62">
        <f t="shared" si="129"/>
        <v>6.0000000000000001E-3</v>
      </c>
    </row>
    <row r="27" spans="2:217" x14ac:dyDescent="0.2">
      <c r="B27" s="72">
        <f t="shared" si="4"/>
        <v>21</v>
      </c>
      <c r="D27" s="62">
        <v>0</v>
      </c>
      <c r="E27" s="73">
        <v>2.3000000000000001E-4</v>
      </c>
      <c r="F27" s="73">
        <v>8.0000000000000004E-4</v>
      </c>
      <c r="G27" s="73">
        <v>4.7000000000000002E-3</v>
      </c>
      <c r="H27" s="73">
        <v>5.9999999999999995E-4</v>
      </c>
      <c r="I27" s="73">
        <v>2.5999999999999999E-3</v>
      </c>
      <c r="J27" s="73">
        <v>3.5999999999999999E-3</v>
      </c>
      <c r="K27" s="73">
        <v>8.0000000000000004E-4</v>
      </c>
      <c r="L27" s="73">
        <v>1E-4</v>
      </c>
      <c r="M27" s="73">
        <v>6.9999999999999999E-4</v>
      </c>
      <c r="N27" s="73">
        <v>1.8E-3</v>
      </c>
      <c r="O27" s="73">
        <v>2.9999999999999997E-4</v>
      </c>
      <c r="P27" s="73">
        <v>1.7499999999999998E-3</v>
      </c>
      <c r="Q27" s="73">
        <v>6.9999999999999999E-4</v>
      </c>
      <c r="R27" s="73">
        <v>2.5000000000000001E-3</v>
      </c>
      <c r="S27" s="73">
        <v>3.3999999999999998E-3</v>
      </c>
      <c r="T27" s="73">
        <v>6.9999999999999999E-4</v>
      </c>
      <c r="U27" s="73">
        <v>2.3999999999999998E-3</v>
      </c>
      <c r="V27" s="73">
        <v>4.1000000000000003E-3</v>
      </c>
      <c r="W27" s="73">
        <v>3.8999999999999998E-3</v>
      </c>
      <c r="X27" s="73">
        <v>4.0000000000000001E-3</v>
      </c>
      <c r="Y27" s="73">
        <v>3.3999999999999998E-3</v>
      </c>
      <c r="Z27" s="73">
        <v>2.3999999999999998E-3</v>
      </c>
      <c r="AA27" s="73">
        <v>8.0000000000000004E-4</v>
      </c>
      <c r="AB27" s="73">
        <v>2.5000000000000001E-3</v>
      </c>
      <c r="AC27" s="73">
        <v>2.3999999999999998E-3</v>
      </c>
      <c r="AD27" s="73">
        <v>2.5000000000000001E-3</v>
      </c>
      <c r="AE27" s="73">
        <v>8.9999999999999998E-4</v>
      </c>
      <c r="AF27" s="73">
        <v>4.7999999999999996E-3</v>
      </c>
      <c r="AG27" s="73">
        <v>2E-3</v>
      </c>
      <c r="AH27" s="73">
        <v>2.8999999999999998E-3</v>
      </c>
      <c r="AI27" s="73">
        <v>5.0000000000000001E-4</v>
      </c>
      <c r="AJ27" s="73">
        <v>2.5000000000000001E-3</v>
      </c>
      <c r="AK27" s="62">
        <v>3.3E-4</v>
      </c>
      <c r="AL27" s="62">
        <v>9.6000000000000002E-4</v>
      </c>
      <c r="AM27" s="62">
        <f t="shared" si="154"/>
        <v>1E-4</v>
      </c>
      <c r="AN27" s="62">
        <f t="shared" si="154"/>
        <v>0</v>
      </c>
      <c r="AO27" s="62">
        <f t="shared" si="155"/>
        <v>2.5000000000000001E-3</v>
      </c>
      <c r="AP27" s="62">
        <f t="shared" si="5"/>
        <v>1.6999999999999999E-3</v>
      </c>
      <c r="AQ27" s="62">
        <f t="shared" si="5"/>
        <v>1.8E-3</v>
      </c>
      <c r="AR27" s="62">
        <v>3.5E-4</v>
      </c>
      <c r="AS27" s="62">
        <v>2.5999999999999998E-4</v>
      </c>
      <c r="AT27" s="62">
        <v>3.5E-4</v>
      </c>
      <c r="AU27" s="62">
        <v>8.7000000000000001E-4</v>
      </c>
      <c r="AV27" s="62">
        <v>1.47E-3</v>
      </c>
      <c r="AW27" s="69">
        <f t="shared" si="131"/>
        <v>1.4000000000000001E-4</v>
      </c>
      <c r="AX27" s="69">
        <f t="shared" si="132"/>
        <v>1.4000000000000001E-4</v>
      </c>
      <c r="AY27" s="69">
        <f t="shared" si="133"/>
        <v>1.4000000000000001E-4</v>
      </c>
      <c r="AZ27" s="69">
        <f t="shared" si="134"/>
        <v>1.4000000000000001E-4</v>
      </c>
      <c r="BA27" s="69">
        <f t="shared" si="138"/>
        <v>6.6E-4</v>
      </c>
      <c r="BB27" s="69">
        <f t="shared" si="139"/>
        <v>6.6E-4</v>
      </c>
      <c r="BC27" s="69">
        <f t="shared" si="140"/>
        <v>6.6E-4</v>
      </c>
      <c r="BD27" s="69">
        <f t="shared" si="141"/>
        <v>6.6E-4</v>
      </c>
      <c r="BE27" s="69">
        <f t="shared" si="136"/>
        <v>4.0000000000000002E-4</v>
      </c>
      <c r="BF27" s="69">
        <f t="shared" si="136"/>
        <v>4.0000000000000002E-4</v>
      </c>
      <c r="BG27" s="69">
        <f t="shared" si="136"/>
        <v>4.0000000000000002E-4</v>
      </c>
      <c r="BH27" s="69">
        <f t="shared" si="136"/>
        <v>4.0000000000000002E-4</v>
      </c>
      <c r="BI27" s="69">
        <f t="shared" si="142"/>
        <v>3.6999999999999999E-4</v>
      </c>
      <c r="BJ27" s="69">
        <f t="shared" si="143"/>
        <v>3.6999999999999999E-4</v>
      </c>
      <c r="BK27" s="69">
        <f t="shared" si="144"/>
        <v>3.6999999999999999E-4</v>
      </c>
      <c r="BL27" s="69">
        <f t="shared" si="145"/>
        <v>3.6999999999999999E-4</v>
      </c>
      <c r="BM27" s="69">
        <f t="shared" si="146"/>
        <v>3.3E-4</v>
      </c>
      <c r="BN27" s="69">
        <f t="shared" si="147"/>
        <v>3.3E-4</v>
      </c>
      <c r="BO27" s="69">
        <f t="shared" si="148"/>
        <v>3.3E-4</v>
      </c>
      <c r="BP27" s="69">
        <f t="shared" si="149"/>
        <v>3.3E-4</v>
      </c>
      <c r="BQ27" s="75">
        <f t="shared" si="153"/>
        <v>2.7999999999999998E-4</v>
      </c>
      <c r="BR27" s="75">
        <f t="shared" si="152"/>
        <v>2.7999999999999998E-4</v>
      </c>
      <c r="BS27" s="75">
        <f t="shared" si="152"/>
        <v>2.7999999999999998E-4</v>
      </c>
      <c r="BT27" s="75">
        <f t="shared" si="152"/>
        <v>2.7999999999999998E-4</v>
      </c>
      <c r="BU27" s="75">
        <f t="shared" si="152"/>
        <v>4.8999999999999998E-4</v>
      </c>
      <c r="BV27" s="75">
        <f t="shared" si="152"/>
        <v>4.8999999999999998E-4</v>
      </c>
      <c r="BW27" s="75">
        <f t="shared" si="152"/>
        <v>4.8999999999999998E-4</v>
      </c>
      <c r="BX27" s="75">
        <f t="shared" si="152"/>
        <v>4.8999999999999998E-4</v>
      </c>
      <c r="BY27" s="75">
        <f t="shared" si="152"/>
        <v>4.8999999999999998E-4</v>
      </c>
      <c r="BZ27" s="75">
        <f t="shared" si="152"/>
        <v>4.8999999999999998E-4</v>
      </c>
      <c r="CA27" s="75">
        <f t="shared" si="152"/>
        <v>4.8999999999999998E-4</v>
      </c>
      <c r="CB27" s="75">
        <f t="shared" si="152"/>
        <v>4.8999999999999998E-4</v>
      </c>
      <c r="CC27" s="69">
        <f t="shared" si="6"/>
        <v>2.5000000000000001E-4</v>
      </c>
      <c r="CD27" s="69">
        <f t="shared" si="7"/>
        <v>2.5000000000000001E-4</v>
      </c>
      <c r="CE27" s="69">
        <f t="shared" si="8"/>
        <v>2.5000000000000001E-4</v>
      </c>
      <c r="CF27" s="69">
        <f t="shared" si="9"/>
        <v>2.5000000000000001E-4</v>
      </c>
      <c r="CG27" s="69">
        <f t="shared" si="10"/>
        <v>5.0000000000000001E-4</v>
      </c>
      <c r="CH27" s="69">
        <f t="shared" si="11"/>
        <v>5.0000000000000001E-4</v>
      </c>
      <c r="CI27" s="69">
        <f t="shared" si="12"/>
        <v>5.0000000000000001E-4</v>
      </c>
      <c r="CJ27" s="69">
        <f t="shared" si="13"/>
        <v>5.0000000000000001E-4</v>
      </c>
      <c r="CK27" s="69">
        <f t="shared" si="14"/>
        <v>1E-3</v>
      </c>
      <c r="CL27" s="69">
        <f t="shared" si="15"/>
        <v>1E-3</v>
      </c>
      <c r="CM27" s="69">
        <f t="shared" si="16"/>
        <v>1E-3</v>
      </c>
      <c r="CN27" s="69">
        <f t="shared" si="17"/>
        <v>1E-3</v>
      </c>
      <c r="CO27" s="69">
        <v>0</v>
      </c>
      <c r="CP27" s="69">
        <v>0</v>
      </c>
      <c r="CQ27" s="69">
        <v>0</v>
      </c>
      <c r="CR27" s="69">
        <v>0</v>
      </c>
      <c r="CS27" s="69">
        <v>5.0000000000000001E-3</v>
      </c>
      <c r="CT27" s="69">
        <v>5.0000000000000001E-3</v>
      </c>
      <c r="CU27" s="69">
        <v>2.5000000000000001E-3</v>
      </c>
      <c r="CV27" s="69">
        <v>2.5000000000000001E-3</v>
      </c>
      <c r="CW27" s="69">
        <v>0</v>
      </c>
      <c r="CX27" s="69">
        <v>0</v>
      </c>
      <c r="CY27" s="69">
        <v>0</v>
      </c>
      <c r="CZ27" s="69">
        <v>0</v>
      </c>
      <c r="DA27" s="62">
        <f t="shared" si="18"/>
        <v>1.5E-3</v>
      </c>
      <c r="DB27" s="62">
        <f t="shared" si="19"/>
        <v>2.5000000000000001E-3</v>
      </c>
      <c r="DC27" s="62">
        <v>3.2000000000000002E-3</v>
      </c>
      <c r="DD27" s="62">
        <f t="shared" si="20"/>
        <v>2.0999999999999999E-3</v>
      </c>
      <c r="DE27" s="62">
        <f t="shared" si="21"/>
        <v>2E-3</v>
      </c>
      <c r="DF27" s="62">
        <f t="shared" si="22"/>
        <v>2.2000000000000001E-3</v>
      </c>
      <c r="DG27" s="62">
        <f t="shared" si="23"/>
        <v>2.3E-3</v>
      </c>
      <c r="DH27" s="62">
        <f t="shared" si="24"/>
        <v>2.5000000000000001E-3</v>
      </c>
      <c r="DI27" s="62">
        <f t="shared" si="25"/>
        <v>2.5999999999999999E-3</v>
      </c>
      <c r="DJ27" s="62">
        <f t="shared" si="26"/>
        <v>3.2000000000000002E-3</v>
      </c>
      <c r="DK27" s="62">
        <f t="shared" si="27"/>
        <v>2.9999999999999997E-4</v>
      </c>
      <c r="DL27" s="62">
        <f t="shared" si="28"/>
        <v>2.5000000000000001E-3</v>
      </c>
      <c r="DM27" s="62">
        <f t="shared" si="29"/>
        <v>5.0000000000000001E-4</v>
      </c>
      <c r="DN27" s="62">
        <f t="shared" si="30"/>
        <v>1.1999999999999999E-3</v>
      </c>
      <c r="DO27" s="62">
        <f t="shared" si="31"/>
        <v>1.9E-3</v>
      </c>
      <c r="DP27" s="62">
        <f t="shared" si="32"/>
        <v>1E-3</v>
      </c>
      <c r="DQ27" s="62">
        <f t="shared" si="33"/>
        <v>2.0999999999999999E-3</v>
      </c>
      <c r="DR27" s="62">
        <f t="shared" si="34"/>
        <v>8.9999999999999998E-4</v>
      </c>
      <c r="DS27" s="62">
        <f t="shared" si="35"/>
        <v>2.0999999999999999E-3</v>
      </c>
      <c r="DT27" s="62">
        <f t="shared" si="36"/>
        <v>1.4E-3</v>
      </c>
      <c r="DU27" s="62">
        <f t="shared" si="37"/>
        <v>1.6000000000000001E-3</v>
      </c>
      <c r="DV27" s="62">
        <f t="shared" si="38"/>
        <v>2.3999999999999998E-3</v>
      </c>
      <c r="DW27" s="62">
        <f t="shared" si="39"/>
        <v>5.0000000000000001E-3</v>
      </c>
      <c r="DX27" s="62">
        <f t="shared" si="40"/>
        <v>2E-3</v>
      </c>
      <c r="DY27" s="62">
        <f t="shared" si="41"/>
        <v>0</v>
      </c>
      <c r="DZ27" s="62">
        <f t="shared" si="42"/>
        <v>1.5E-3</v>
      </c>
      <c r="EA27" s="62">
        <f t="shared" si="43"/>
        <v>2.0000000000000001E-4</v>
      </c>
      <c r="EB27" s="62">
        <f t="shared" si="44"/>
        <v>1.5E-3</v>
      </c>
      <c r="EC27" s="62">
        <f t="shared" si="45"/>
        <v>2.7000000000000001E-3</v>
      </c>
      <c r="ED27" s="62">
        <f t="shared" si="46"/>
        <v>2.5000000000000001E-3</v>
      </c>
      <c r="EE27" s="62">
        <f t="shared" si="47"/>
        <v>0</v>
      </c>
      <c r="EF27" s="62">
        <f t="shared" si="48"/>
        <v>2.5000000000000001E-3</v>
      </c>
      <c r="EG27" s="62">
        <f t="shared" si="49"/>
        <v>1.1000000000000001E-3</v>
      </c>
      <c r="EH27" s="62">
        <f t="shared" si="50"/>
        <v>2.5000000000000001E-3</v>
      </c>
      <c r="EI27" s="62">
        <f t="shared" si="51"/>
        <v>8.0000000000000004E-4</v>
      </c>
      <c r="EJ27" s="62">
        <f t="shared" si="52"/>
        <v>2.5000000000000001E-3</v>
      </c>
      <c r="EK27" s="62">
        <f t="shared" si="53"/>
        <v>7.5000000000000002E-4</v>
      </c>
      <c r="EL27" s="62">
        <f t="shared" si="54"/>
        <v>2.5000000000000001E-3</v>
      </c>
      <c r="EM27" s="62">
        <f t="shared" si="55"/>
        <v>3.2000000000000002E-3</v>
      </c>
      <c r="EN27" s="62">
        <f t="shared" si="56"/>
        <v>2.3999999999999998E-3</v>
      </c>
      <c r="EO27" s="62">
        <f t="shared" si="57"/>
        <v>0</v>
      </c>
      <c r="EP27" s="62">
        <f t="shared" si="58"/>
        <v>2E-3</v>
      </c>
      <c r="EQ27" s="62">
        <f t="shared" si="59"/>
        <v>1.1000000000000001E-3</v>
      </c>
      <c r="ER27" s="62">
        <f t="shared" si="60"/>
        <v>2.2000000000000001E-3</v>
      </c>
      <c r="ES27" s="62">
        <f t="shared" si="61"/>
        <v>1E-3</v>
      </c>
      <c r="ET27" s="62">
        <f t="shared" si="62"/>
        <v>4.0000000000000001E-3</v>
      </c>
      <c r="EU27" s="62">
        <f t="shared" si="63"/>
        <v>3.7000000000000002E-3</v>
      </c>
      <c r="EV27" s="62">
        <f t="shared" si="64"/>
        <v>4.7999999999999996E-3</v>
      </c>
      <c r="EW27" s="62">
        <f t="shared" si="65"/>
        <v>0</v>
      </c>
      <c r="EX27" s="62">
        <f t="shared" si="66"/>
        <v>2.5000000000000001E-3</v>
      </c>
      <c r="EY27" s="62">
        <f t="shared" si="67"/>
        <v>2.5000000000000001E-3</v>
      </c>
      <c r="EZ27" s="62">
        <f t="shared" si="68"/>
        <v>3.8999999999999998E-3</v>
      </c>
      <c r="FA27" s="62">
        <f t="shared" si="69"/>
        <v>6.1999999999999998E-3</v>
      </c>
      <c r="FB27" s="62">
        <f t="shared" si="70"/>
        <v>5.1000000000000004E-3</v>
      </c>
      <c r="FC27" s="62">
        <f t="shared" si="71"/>
        <v>2.8999999999999998E-3</v>
      </c>
      <c r="FD27" s="62">
        <f t="shared" si="72"/>
        <v>1.5E-3</v>
      </c>
      <c r="FE27" s="62">
        <f t="shared" si="73"/>
        <v>2.8E-3</v>
      </c>
      <c r="FF27" s="62">
        <f t="shared" si="74"/>
        <v>1.5E-3</v>
      </c>
      <c r="FG27" s="62">
        <f t="shared" si="75"/>
        <v>2.5999999999999999E-3</v>
      </c>
      <c r="FH27" s="62">
        <f t="shared" si="76"/>
        <v>1.5E-3</v>
      </c>
      <c r="FI27" s="62">
        <f t="shared" si="77"/>
        <v>2.7000000000000001E-3</v>
      </c>
      <c r="FJ27" s="62">
        <f t="shared" si="78"/>
        <v>1.5E-3</v>
      </c>
      <c r="FK27" s="62">
        <f t="shared" si="79"/>
        <v>3.3999999999999998E-3</v>
      </c>
      <c r="FL27" s="62">
        <f t="shared" si="80"/>
        <v>8.9999999999999998E-4</v>
      </c>
      <c r="FM27" s="62">
        <f t="shared" si="81"/>
        <v>2.6999999999999997E-3</v>
      </c>
      <c r="FN27" s="62">
        <f t="shared" si="82"/>
        <v>0</v>
      </c>
      <c r="FO27" s="62">
        <f t="shared" si="83"/>
        <v>2.5000000000000001E-3</v>
      </c>
      <c r="FP27" s="62">
        <f t="shared" si="84"/>
        <v>2.5000000000000001E-3</v>
      </c>
      <c r="FQ27" s="62">
        <f t="shared" si="85"/>
        <v>1.8E-3</v>
      </c>
      <c r="FR27" s="62">
        <f t="shared" si="86"/>
        <v>2E-3</v>
      </c>
      <c r="FS27" s="62">
        <f t="shared" si="87"/>
        <v>1.2999999999999999E-3</v>
      </c>
      <c r="FT27" s="62">
        <f t="shared" si="88"/>
        <v>2.3E-3</v>
      </c>
      <c r="FU27" s="62">
        <f t="shared" si="89"/>
        <v>2E-3</v>
      </c>
      <c r="FV27" s="62">
        <f t="shared" si="90"/>
        <v>2.3999999999999998E-3</v>
      </c>
      <c r="FW27" s="62">
        <f t="shared" si="91"/>
        <v>2.0999999999999999E-3</v>
      </c>
      <c r="FX27" s="62">
        <f t="shared" si="92"/>
        <v>4.0000000000000002E-4</v>
      </c>
      <c r="FY27" s="62">
        <f t="shared" si="93"/>
        <v>2.5000000000000001E-3</v>
      </c>
      <c r="FZ27" s="62">
        <f t="shared" si="94"/>
        <v>5.0000000000000001E-4</v>
      </c>
      <c r="GA27" s="62">
        <f t="shared" si="95"/>
        <v>2.5000000000000001E-3</v>
      </c>
      <c r="GB27" s="62">
        <f t="shared" si="96"/>
        <v>4.0000000000000002E-4</v>
      </c>
      <c r="GC27" s="62">
        <f t="shared" si="97"/>
        <v>1.7499999999999998E-3</v>
      </c>
      <c r="GD27" s="62">
        <f t="shared" si="98"/>
        <v>0</v>
      </c>
      <c r="GE27" s="62">
        <f t="shared" si="99"/>
        <v>1.6999999999999999E-3</v>
      </c>
      <c r="GF27" s="62">
        <f t="shared" si="100"/>
        <v>2.7500000000000002E-4</v>
      </c>
      <c r="GG27" s="62">
        <f t="shared" si="101"/>
        <v>1.719E-3</v>
      </c>
      <c r="GH27" s="62">
        <f t="shared" si="102"/>
        <v>3.0000000000000001E-3</v>
      </c>
      <c r="GI27" s="62">
        <f t="shared" si="103"/>
        <v>2.8999999999999998E-3</v>
      </c>
      <c r="GJ27" s="62">
        <f t="shared" si="104"/>
        <v>2.5000000000000001E-3</v>
      </c>
      <c r="GK27" s="62">
        <f t="shared" si="105"/>
        <v>2.7000000000000001E-3</v>
      </c>
      <c r="GL27" s="62">
        <f t="shared" si="106"/>
        <v>2.5000000000000001E-3</v>
      </c>
      <c r="GM27" s="62">
        <f t="shared" si="107"/>
        <v>2.2000000000000001E-3</v>
      </c>
      <c r="GN27" s="62">
        <f t="shared" si="108"/>
        <v>1.6000000000000001E-3</v>
      </c>
      <c r="GO27" s="62">
        <f t="shared" si="109"/>
        <v>1E-4</v>
      </c>
      <c r="GP27" s="62">
        <f t="shared" si="110"/>
        <v>1E-4</v>
      </c>
      <c r="GQ27" s="62">
        <f t="shared" si="111"/>
        <v>1.1000000000000001E-3</v>
      </c>
      <c r="GR27" s="62">
        <f t="shared" si="112"/>
        <v>2.0000000000000001E-4</v>
      </c>
      <c r="GS27" s="62">
        <f t="shared" si="113"/>
        <v>2.5000000000000001E-3</v>
      </c>
      <c r="GT27" s="62">
        <f t="shared" si="114"/>
        <v>3.3E-3</v>
      </c>
      <c r="GU27" s="62">
        <f t="shared" si="115"/>
        <v>4.0000000000000001E-3</v>
      </c>
      <c r="GV27" s="62">
        <f t="shared" si="116"/>
        <v>3.5000000000000001E-3</v>
      </c>
      <c r="GW27" s="62">
        <f t="shared" si="117"/>
        <v>3.3E-3</v>
      </c>
      <c r="GX27" s="62">
        <f t="shared" si="118"/>
        <v>3.3999999999999998E-3</v>
      </c>
      <c r="GY27" s="62">
        <f t="shared" si="119"/>
        <v>5.0000000000000001E-3</v>
      </c>
      <c r="GZ27" s="62">
        <f t="shared" si="120"/>
        <v>2.5000000000000001E-3</v>
      </c>
      <c r="HA27" s="62">
        <f t="shared" si="121"/>
        <v>2.63E-3</v>
      </c>
      <c r="HB27" s="62">
        <f t="shared" si="122"/>
        <v>6.9999999999999999E-4</v>
      </c>
      <c r="HC27" s="62">
        <f t="shared" si="123"/>
        <v>5.0000000000000001E-4</v>
      </c>
      <c r="HD27" s="62">
        <f t="shared" si="124"/>
        <v>6.9999999999999999E-4</v>
      </c>
      <c r="HE27" s="62">
        <f t="shared" si="125"/>
        <v>4.4999999999999997E-3</v>
      </c>
      <c r="HF27" s="62">
        <f t="shared" si="126"/>
        <v>0</v>
      </c>
      <c r="HG27" s="62">
        <f t="shared" si="127"/>
        <v>6.0000000000000001E-3</v>
      </c>
      <c r="HH27" s="62">
        <f t="shared" si="128"/>
        <v>8.9999999999999998E-4</v>
      </c>
      <c r="HI27" s="62">
        <f t="shared" si="129"/>
        <v>6.0000000000000001E-3</v>
      </c>
    </row>
    <row r="28" spans="2:217" x14ac:dyDescent="0.2">
      <c r="B28" s="72">
        <f t="shared" si="4"/>
        <v>22</v>
      </c>
      <c r="D28" s="62">
        <v>0</v>
      </c>
      <c r="E28" s="73">
        <v>2.3000000000000001E-4</v>
      </c>
      <c r="F28" s="73">
        <v>8.0000000000000004E-4</v>
      </c>
      <c r="G28" s="73">
        <v>4.7000000000000002E-3</v>
      </c>
      <c r="H28" s="73">
        <v>5.9999999999999995E-4</v>
      </c>
      <c r="I28" s="73">
        <v>2.5999999999999999E-3</v>
      </c>
      <c r="J28" s="73">
        <v>3.5999999999999999E-3</v>
      </c>
      <c r="K28" s="73">
        <v>8.0000000000000004E-4</v>
      </c>
      <c r="L28" s="73">
        <v>1E-4</v>
      </c>
      <c r="M28" s="73">
        <v>6.9999999999999999E-4</v>
      </c>
      <c r="N28" s="73">
        <v>1.8E-3</v>
      </c>
      <c r="O28" s="73">
        <v>2.9999999999999997E-4</v>
      </c>
      <c r="P28" s="73">
        <v>1.7499999999999998E-3</v>
      </c>
      <c r="Q28" s="73">
        <v>6.9999999999999999E-4</v>
      </c>
      <c r="R28" s="73">
        <v>2.5000000000000001E-3</v>
      </c>
      <c r="S28" s="73">
        <v>3.3999999999999998E-3</v>
      </c>
      <c r="T28" s="73">
        <v>6.9999999999999999E-4</v>
      </c>
      <c r="U28" s="73">
        <v>2.3999999999999998E-3</v>
      </c>
      <c r="V28" s="73">
        <v>4.1000000000000003E-3</v>
      </c>
      <c r="W28" s="73">
        <v>3.8999999999999998E-3</v>
      </c>
      <c r="X28" s="73">
        <v>4.0000000000000001E-3</v>
      </c>
      <c r="Y28" s="73">
        <v>3.3999999999999998E-3</v>
      </c>
      <c r="Z28" s="73">
        <v>2.3999999999999998E-3</v>
      </c>
      <c r="AA28" s="73">
        <v>8.0000000000000004E-4</v>
      </c>
      <c r="AB28" s="73">
        <v>2.5000000000000001E-3</v>
      </c>
      <c r="AC28" s="73">
        <v>2.3999999999999998E-3</v>
      </c>
      <c r="AD28" s="73">
        <v>2.5000000000000001E-3</v>
      </c>
      <c r="AE28" s="73">
        <v>8.9999999999999998E-4</v>
      </c>
      <c r="AF28" s="73">
        <v>4.7999999999999996E-3</v>
      </c>
      <c r="AG28" s="73">
        <v>2E-3</v>
      </c>
      <c r="AH28" s="73">
        <v>2.8999999999999998E-3</v>
      </c>
      <c r="AI28" s="73">
        <v>5.0000000000000001E-4</v>
      </c>
      <c r="AJ28" s="73">
        <v>2.5000000000000001E-3</v>
      </c>
      <c r="AK28" s="62">
        <v>3.3E-4</v>
      </c>
      <c r="AL28" s="62">
        <v>9.6000000000000002E-4</v>
      </c>
      <c r="AM28" s="62">
        <f t="shared" si="154"/>
        <v>1E-4</v>
      </c>
      <c r="AN28" s="62">
        <f t="shared" si="154"/>
        <v>0</v>
      </c>
      <c r="AO28" s="62">
        <f t="shared" si="155"/>
        <v>2.5000000000000001E-3</v>
      </c>
      <c r="AP28" s="62">
        <f t="shared" si="5"/>
        <v>1.6999999999999999E-3</v>
      </c>
      <c r="AQ28" s="62">
        <f t="shared" si="5"/>
        <v>1.8E-3</v>
      </c>
      <c r="AR28" s="62">
        <v>3.5E-4</v>
      </c>
      <c r="AS28" s="62">
        <v>2.5999999999999998E-4</v>
      </c>
      <c r="AT28" s="62">
        <v>3.5E-4</v>
      </c>
      <c r="AU28" s="62">
        <v>8.7000000000000001E-4</v>
      </c>
      <c r="AV28" s="62">
        <v>1.47E-3</v>
      </c>
      <c r="AW28" s="69">
        <f t="shared" si="131"/>
        <v>1.4000000000000001E-4</v>
      </c>
      <c r="AX28" s="69">
        <f t="shared" si="132"/>
        <v>1.4000000000000001E-4</v>
      </c>
      <c r="AY28" s="69">
        <f t="shared" si="133"/>
        <v>1.4000000000000001E-4</v>
      </c>
      <c r="AZ28" s="69">
        <f t="shared" si="134"/>
        <v>1.4000000000000001E-4</v>
      </c>
      <c r="BA28" s="69">
        <f t="shared" si="138"/>
        <v>6.6E-4</v>
      </c>
      <c r="BB28" s="69">
        <f t="shared" si="139"/>
        <v>6.6E-4</v>
      </c>
      <c r="BC28" s="69">
        <f t="shared" si="140"/>
        <v>6.6E-4</v>
      </c>
      <c r="BD28" s="69">
        <f t="shared" si="141"/>
        <v>6.6E-4</v>
      </c>
      <c r="BE28" s="69">
        <f t="shared" si="136"/>
        <v>4.0000000000000002E-4</v>
      </c>
      <c r="BF28" s="69">
        <f t="shared" si="136"/>
        <v>4.0000000000000002E-4</v>
      </c>
      <c r="BG28" s="69">
        <f t="shared" si="136"/>
        <v>4.0000000000000002E-4</v>
      </c>
      <c r="BH28" s="69">
        <f t="shared" si="136"/>
        <v>4.0000000000000002E-4</v>
      </c>
      <c r="BI28" s="69">
        <f t="shared" si="142"/>
        <v>3.6999999999999999E-4</v>
      </c>
      <c r="BJ28" s="69">
        <f t="shared" si="143"/>
        <v>3.6999999999999999E-4</v>
      </c>
      <c r="BK28" s="69">
        <f t="shared" si="144"/>
        <v>3.6999999999999999E-4</v>
      </c>
      <c r="BL28" s="69">
        <f t="shared" si="145"/>
        <v>3.6999999999999999E-4</v>
      </c>
      <c r="BM28" s="69">
        <f t="shared" si="146"/>
        <v>3.3E-4</v>
      </c>
      <c r="BN28" s="69">
        <f t="shared" si="147"/>
        <v>3.3E-4</v>
      </c>
      <c r="BO28" s="69">
        <f t="shared" si="148"/>
        <v>3.3E-4</v>
      </c>
      <c r="BP28" s="69">
        <f t="shared" si="149"/>
        <v>3.3E-4</v>
      </c>
      <c r="BQ28" s="75">
        <f t="shared" si="153"/>
        <v>2.7999999999999998E-4</v>
      </c>
      <c r="BR28" s="75">
        <f t="shared" si="152"/>
        <v>2.7999999999999998E-4</v>
      </c>
      <c r="BS28" s="75">
        <f t="shared" si="152"/>
        <v>2.7999999999999998E-4</v>
      </c>
      <c r="BT28" s="75">
        <f t="shared" si="152"/>
        <v>2.7999999999999998E-4</v>
      </c>
      <c r="BU28" s="75">
        <f t="shared" si="152"/>
        <v>4.8999999999999998E-4</v>
      </c>
      <c r="BV28" s="75">
        <f t="shared" si="152"/>
        <v>4.8999999999999998E-4</v>
      </c>
      <c r="BW28" s="75">
        <f t="shared" si="152"/>
        <v>4.8999999999999998E-4</v>
      </c>
      <c r="BX28" s="75">
        <f t="shared" si="152"/>
        <v>4.8999999999999998E-4</v>
      </c>
      <c r="BY28" s="75">
        <f t="shared" si="152"/>
        <v>4.8999999999999998E-4</v>
      </c>
      <c r="BZ28" s="75">
        <f t="shared" si="152"/>
        <v>4.8999999999999998E-4</v>
      </c>
      <c r="CA28" s="75">
        <f t="shared" si="152"/>
        <v>4.8999999999999998E-4</v>
      </c>
      <c r="CB28" s="75">
        <f t="shared" si="152"/>
        <v>4.8999999999999998E-4</v>
      </c>
      <c r="CC28" s="69">
        <f t="shared" si="6"/>
        <v>2.5000000000000001E-4</v>
      </c>
      <c r="CD28" s="69">
        <f t="shared" si="7"/>
        <v>2.5000000000000001E-4</v>
      </c>
      <c r="CE28" s="69">
        <f t="shared" si="8"/>
        <v>2.5000000000000001E-4</v>
      </c>
      <c r="CF28" s="69">
        <f t="shared" si="9"/>
        <v>2.5000000000000001E-4</v>
      </c>
      <c r="CG28" s="69">
        <f t="shared" si="10"/>
        <v>5.0000000000000001E-4</v>
      </c>
      <c r="CH28" s="69">
        <f t="shared" si="11"/>
        <v>5.0000000000000001E-4</v>
      </c>
      <c r="CI28" s="69">
        <f t="shared" si="12"/>
        <v>5.0000000000000001E-4</v>
      </c>
      <c r="CJ28" s="69">
        <f t="shared" si="13"/>
        <v>5.0000000000000001E-4</v>
      </c>
      <c r="CK28" s="69">
        <f t="shared" si="14"/>
        <v>1E-3</v>
      </c>
      <c r="CL28" s="69">
        <f t="shared" si="15"/>
        <v>1E-3</v>
      </c>
      <c r="CM28" s="69">
        <f t="shared" si="16"/>
        <v>1E-3</v>
      </c>
      <c r="CN28" s="69">
        <f t="shared" si="17"/>
        <v>1E-3</v>
      </c>
      <c r="CO28" s="69">
        <v>4.0000000000000001E-3</v>
      </c>
      <c r="CP28" s="69">
        <v>4.0000000000000001E-3</v>
      </c>
      <c r="CQ28" s="69">
        <v>2E-3</v>
      </c>
      <c r="CR28" s="69">
        <v>2E-3</v>
      </c>
      <c r="CS28" s="69">
        <v>0</v>
      </c>
      <c r="CT28" s="69">
        <v>0</v>
      </c>
      <c r="CU28" s="69">
        <v>0</v>
      </c>
      <c r="CV28" s="69">
        <v>0</v>
      </c>
      <c r="CW28" s="69">
        <v>7.4999999999999997E-3</v>
      </c>
      <c r="CX28" s="69">
        <v>7.4999999999999997E-3</v>
      </c>
      <c r="CY28" s="69">
        <v>3.5000000000000001E-3</v>
      </c>
      <c r="CZ28" s="69">
        <v>3.5000000000000001E-3</v>
      </c>
      <c r="DA28" s="62">
        <f t="shared" si="18"/>
        <v>1.5E-3</v>
      </c>
      <c r="DB28" s="62">
        <f t="shared" si="19"/>
        <v>2.5000000000000001E-3</v>
      </c>
      <c r="DC28" s="62">
        <v>3.2000000000000002E-3</v>
      </c>
      <c r="DD28" s="62">
        <f t="shared" si="20"/>
        <v>2.0999999999999999E-3</v>
      </c>
      <c r="DE28" s="62">
        <f t="shared" si="21"/>
        <v>2E-3</v>
      </c>
      <c r="DF28" s="62">
        <f t="shared" si="22"/>
        <v>2.2000000000000001E-3</v>
      </c>
      <c r="DG28" s="62">
        <f t="shared" si="23"/>
        <v>2.3E-3</v>
      </c>
      <c r="DH28" s="62">
        <f t="shared" si="24"/>
        <v>2.5000000000000001E-3</v>
      </c>
      <c r="DI28" s="62">
        <f t="shared" si="25"/>
        <v>2.5999999999999999E-3</v>
      </c>
      <c r="DJ28" s="62">
        <f t="shared" si="26"/>
        <v>3.2000000000000002E-3</v>
      </c>
      <c r="DK28" s="62">
        <f t="shared" si="27"/>
        <v>2.9999999999999997E-4</v>
      </c>
      <c r="DL28" s="62">
        <f t="shared" si="28"/>
        <v>2.5000000000000001E-3</v>
      </c>
      <c r="DM28" s="62">
        <f t="shared" si="29"/>
        <v>5.0000000000000001E-4</v>
      </c>
      <c r="DN28" s="62">
        <f t="shared" si="30"/>
        <v>1.1999999999999999E-3</v>
      </c>
      <c r="DO28" s="62">
        <f t="shared" si="31"/>
        <v>1.9E-3</v>
      </c>
      <c r="DP28" s="62">
        <f t="shared" si="32"/>
        <v>1E-3</v>
      </c>
      <c r="DQ28" s="62">
        <f t="shared" si="33"/>
        <v>2.0999999999999999E-3</v>
      </c>
      <c r="DR28" s="62">
        <f t="shared" si="34"/>
        <v>8.9999999999999998E-4</v>
      </c>
      <c r="DS28" s="62">
        <f t="shared" si="35"/>
        <v>2.0999999999999999E-3</v>
      </c>
      <c r="DT28" s="62">
        <f t="shared" si="36"/>
        <v>1.4E-3</v>
      </c>
      <c r="DU28" s="62">
        <f t="shared" si="37"/>
        <v>1.6000000000000001E-3</v>
      </c>
      <c r="DV28" s="62">
        <f t="shared" si="38"/>
        <v>2.3999999999999998E-3</v>
      </c>
      <c r="DW28" s="62">
        <f t="shared" si="39"/>
        <v>5.0000000000000001E-3</v>
      </c>
      <c r="DX28" s="62">
        <f t="shared" si="40"/>
        <v>2E-3</v>
      </c>
      <c r="DY28" s="62">
        <f t="shared" si="41"/>
        <v>0</v>
      </c>
      <c r="DZ28" s="62">
        <f t="shared" si="42"/>
        <v>1.5E-3</v>
      </c>
      <c r="EA28" s="62">
        <f t="shared" si="43"/>
        <v>2.0000000000000001E-4</v>
      </c>
      <c r="EB28" s="62">
        <f t="shared" si="44"/>
        <v>1.5E-3</v>
      </c>
      <c r="EC28" s="62">
        <f t="shared" si="45"/>
        <v>2.7000000000000001E-3</v>
      </c>
      <c r="ED28" s="62">
        <f t="shared" si="46"/>
        <v>2.5000000000000001E-3</v>
      </c>
      <c r="EE28" s="62">
        <f t="shared" si="47"/>
        <v>0</v>
      </c>
      <c r="EF28" s="62">
        <f t="shared" si="48"/>
        <v>2.5000000000000001E-3</v>
      </c>
      <c r="EG28" s="62">
        <f t="shared" si="49"/>
        <v>1.1000000000000001E-3</v>
      </c>
      <c r="EH28" s="62">
        <f t="shared" si="50"/>
        <v>2.5000000000000001E-3</v>
      </c>
      <c r="EI28" s="62">
        <f t="shared" si="51"/>
        <v>8.0000000000000004E-4</v>
      </c>
      <c r="EJ28" s="62">
        <f t="shared" si="52"/>
        <v>2.5000000000000001E-3</v>
      </c>
      <c r="EK28" s="62">
        <f t="shared" si="53"/>
        <v>7.5000000000000002E-4</v>
      </c>
      <c r="EL28" s="62">
        <f t="shared" si="54"/>
        <v>2.5000000000000001E-3</v>
      </c>
      <c r="EM28" s="62">
        <f t="shared" si="55"/>
        <v>3.2000000000000002E-3</v>
      </c>
      <c r="EN28" s="62">
        <f t="shared" si="56"/>
        <v>2.3999999999999998E-3</v>
      </c>
      <c r="EO28" s="62">
        <f t="shared" si="57"/>
        <v>0</v>
      </c>
      <c r="EP28" s="62">
        <f t="shared" si="58"/>
        <v>2E-3</v>
      </c>
      <c r="EQ28" s="62">
        <f t="shared" si="59"/>
        <v>1.1000000000000001E-3</v>
      </c>
      <c r="ER28" s="62">
        <f t="shared" si="60"/>
        <v>2.2000000000000001E-3</v>
      </c>
      <c r="ES28" s="62">
        <f t="shared" si="61"/>
        <v>1E-3</v>
      </c>
      <c r="ET28" s="62">
        <f t="shared" si="62"/>
        <v>4.0000000000000001E-3</v>
      </c>
      <c r="EU28" s="62">
        <f t="shared" si="63"/>
        <v>3.7000000000000002E-3</v>
      </c>
      <c r="EV28" s="62">
        <f t="shared" si="64"/>
        <v>4.7999999999999996E-3</v>
      </c>
      <c r="EW28" s="62">
        <f t="shared" si="65"/>
        <v>0</v>
      </c>
      <c r="EX28" s="62">
        <f t="shared" si="66"/>
        <v>2.5000000000000001E-3</v>
      </c>
      <c r="EY28" s="62">
        <f t="shared" si="67"/>
        <v>2.5000000000000001E-3</v>
      </c>
      <c r="EZ28" s="62">
        <f t="shared" si="68"/>
        <v>3.8999999999999998E-3</v>
      </c>
      <c r="FA28" s="62">
        <f t="shared" si="69"/>
        <v>6.1999999999999998E-3</v>
      </c>
      <c r="FB28" s="62">
        <f t="shared" si="70"/>
        <v>5.1000000000000004E-3</v>
      </c>
      <c r="FC28" s="62">
        <f t="shared" si="71"/>
        <v>2.8999999999999998E-3</v>
      </c>
      <c r="FD28" s="62">
        <f t="shared" si="72"/>
        <v>1.5E-3</v>
      </c>
      <c r="FE28" s="62">
        <f t="shared" si="73"/>
        <v>2.8E-3</v>
      </c>
      <c r="FF28" s="62">
        <f t="shared" si="74"/>
        <v>1.5E-3</v>
      </c>
      <c r="FG28" s="62">
        <f t="shared" si="75"/>
        <v>2.5999999999999999E-3</v>
      </c>
      <c r="FH28" s="62">
        <f t="shared" si="76"/>
        <v>1.5E-3</v>
      </c>
      <c r="FI28" s="62">
        <f t="shared" si="77"/>
        <v>2.7000000000000001E-3</v>
      </c>
      <c r="FJ28" s="62">
        <f t="shared" si="78"/>
        <v>1.5E-3</v>
      </c>
      <c r="FK28" s="62">
        <f t="shared" si="79"/>
        <v>3.3999999999999998E-3</v>
      </c>
      <c r="FL28" s="62">
        <f t="shared" si="80"/>
        <v>8.9999999999999998E-4</v>
      </c>
      <c r="FM28" s="62">
        <f t="shared" si="81"/>
        <v>2.6999999999999997E-3</v>
      </c>
      <c r="FN28" s="62">
        <f t="shared" si="82"/>
        <v>0</v>
      </c>
      <c r="FO28" s="62">
        <f t="shared" si="83"/>
        <v>2.5000000000000001E-3</v>
      </c>
      <c r="FP28" s="62">
        <f t="shared" si="84"/>
        <v>2.5000000000000001E-3</v>
      </c>
      <c r="FQ28" s="62">
        <f t="shared" si="85"/>
        <v>1.8E-3</v>
      </c>
      <c r="FR28" s="62">
        <f t="shared" si="86"/>
        <v>2E-3</v>
      </c>
      <c r="FS28" s="62">
        <f t="shared" si="87"/>
        <v>1.2999999999999999E-3</v>
      </c>
      <c r="FT28" s="62">
        <f t="shared" si="88"/>
        <v>2.3E-3</v>
      </c>
      <c r="FU28" s="62">
        <f t="shared" si="89"/>
        <v>2E-3</v>
      </c>
      <c r="FV28" s="62">
        <f t="shared" si="90"/>
        <v>2.3999999999999998E-3</v>
      </c>
      <c r="FW28" s="62">
        <f t="shared" si="91"/>
        <v>2.0999999999999999E-3</v>
      </c>
      <c r="FX28" s="62">
        <f t="shared" si="92"/>
        <v>4.0000000000000002E-4</v>
      </c>
      <c r="FY28" s="62">
        <f t="shared" si="93"/>
        <v>2.5000000000000001E-3</v>
      </c>
      <c r="FZ28" s="62">
        <f t="shared" si="94"/>
        <v>5.0000000000000001E-4</v>
      </c>
      <c r="GA28" s="62">
        <f t="shared" si="95"/>
        <v>2.5000000000000001E-3</v>
      </c>
      <c r="GB28" s="62">
        <f t="shared" si="96"/>
        <v>4.0000000000000002E-4</v>
      </c>
      <c r="GC28" s="62">
        <f t="shared" si="97"/>
        <v>1.7499999999999998E-3</v>
      </c>
      <c r="GD28" s="62">
        <f t="shared" si="98"/>
        <v>0</v>
      </c>
      <c r="GE28" s="62">
        <f t="shared" si="99"/>
        <v>1.6999999999999999E-3</v>
      </c>
      <c r="GF28" s="62">
        <f t="shared" si="100"/>
        <v>2.7500000000000002E-4</v>
      </c>
      <c r="GG28" s="62">
        <f t="shared" si="101"/>
        <v>1.719E-3</v>
      </c>
      <c r="GH28" s="62">
        <f t="shared" si="102"/>
        <v>3.0000000000000001E-3</v>
      </c>
      <c r="GI28" s="62">
        <f t="shared" si="103"/>
        <v>2.8999999999999998E-3</v>
      </c>
      <c r="GJ28" s="62">
        <f t="shared" si="104"/>
        <v>2.5000000000000001E-3</v>
      </c>
      <c r="GK28" s="62">
        <f t="shared" si="105"/>
        <v>2.7000000000000001E-3</v>
      </c>
      <c r="GL28" s="62">
        <f t="shared" si="106"/>
        <v>2.5000000000000001E-3</v>
      </c>
      <c r="GM28" s="62">
        <f t="shared" si="107"/>
        <v>2.2000000000000001E-3</v>
      </c>
      <c r="GN28" s="62">
        <f t="shared" si="108"/>
        <v>1.6000000000000001E-3</v>
      </c>
      <c r="GO28" s="62">
        <f t="shared" si="109"/>
        <v>1E-4</v>
      </c>
      <c r="GP28" s="62">
        <f t="shared" si="110"/>
        <v>1E-4</v>
      </c>
      <c r="GQ28" s="62">
        <f t="shared" si="111"/>
        <v>1.1000000000000001E-3</v>
      </c>
      <c r="GR28" s="62">
        <f t="shared" si="112"/>
        <v>2.0000000000000001E-4</v>
      </c>
      <c r="GS28" s="62">
        <f t="shared" si="113"/>
        <v>2.5000000000000001E-3</v>
      </c>
      <c r="GT28" s="62">
        <f t="shared" si="114"/>
        <v>3.3E-3</v>
      </c>
      <c r="GU28" s="62">
        <f t="shared" si="115"/>
        <v>4.0000000000000001E-3</v>
      </c>
      <c r="GV28" s="62">
        <f t="shared" si="116"/>
        <v>3.5000000000000001E-3</v>
      </c>
      <c r="GW28" s="62">
        <f t="shared" si="117"/>
        <v>3.3E-3</v>
      </c>
      <c r="GX28" s="62">
        <f t="shared" si="118"/>
        <v>3.3999999999999998E-3</v>
      </c>
      <c r="GY28" s="62">
        <f t="shared" si="119"/>
        <v>5.0000000000000001E-3</v>
      </c>
      <c r="GZ28" s="62">
        <f t="shared" si="120"/>
        <v>2.5000000000000001E-3</v>
      </c>
      <c r="HA28" s="62">
        <f t="shared" si="121"/>
        <v>2.63E-3</v>
      </c>
      <c r="HB28" s="62">
        <f t="shared" si="122"/>
        <v>6.9999999999999999E-4</v>
      </c>
      <c r="HC28" s="62">
        <f t="shared" si="123"/>
        <v>5.0000000000000001E-4</v>
      </c>
      <c r="HD28" s="62">
        <f t="shared" si="124"/>
        <v>6.9999999999999999E-4</v>
      </c>
      <c r="HE28" s="62">
        <f t="shared" si="125"/>
        <v>4.4999999999999997E-3</v>
      </c>
      <c r="HF28" s="62">
        <f t="shared" si="126"/>
        <v>0</v>
      </c>
      <c r="HG28" s="62">
        <f t="shared" si="127"/>
        <v>6.0000000000000001E-3</v>
      </c>
      <c r="HH28" s="62">
        <f t="shared" si="128"/>
        <v>8.9999999999999998E-4</v>
      </c>
      <c r="HI28" s="62">
        <f t="shared" si="129"/>
        <v>6.0000000000000001E-3</v>
      </c>
    </row>
    <row r="29" spans="2:217" x14ac:dyDescent="0.2">
      <c r="B29" s="72">
        <f t="shared" si="4"/>
        <v>23</v>
      </c>
      <c r="D29" s="62">
        <v>0</v>
      </c>
      <c r="E29" s="73">
        <v>2.3000000000000001E-4</v>
      </c>
      <c r="F29" s="73">
        <v>8.0000000000000004E-4</v>
      </c>
      <c r="G29" s="73">
        <v>4.7000000000000002E-3</v>
      </c>
      <c r="H29" s="73">
        <v>5.9999999999999995E-4</v>
      </c>
      <c r="I29" s="73">
        <v>2.5999999999999999E-3</v>
      </c>
      <c r="J29" s="73">
        <v>3.5999999999999999E-3</v>
      </c>
      <c r="K29" s="73">
        <v>8.0000000000000004E-4</v>
      </c>
      <c r="L29" s="73">
        <v>1E-4</v>
      </c>
      <c r="M29" s="73">
        <v>6.9999999999999999E-4</v>
      </c>
      <c r="N29" s="73">
        <v>1.8E-3</v>
      </c>
      <c r="O29" s="73">
        <v>2.9999999999999997E-4</v>
      </c>
      <c r="P29" s="73">
        <v>1.7499999999999998E-3</v>
      </c>
      <c r="Q29" s="73">
        <v>6.9999999999999999E-4</v>
      </c>
      <c r="R29" s="73">
        <v>2.5000000000000001E-3</v>
      </c>
      <c r="S29" s="73">
        <v>3.3999999999999998E-3</v>
      </c>
      <c r="T29" s="73">
        <v>6.9999999999999999E-4</v>
      </c>
      <c r="U29" s="73">
        <v>2.3999999999999998E-3</v>
      </c>
      <c r="V29" s="73">
        <v>4.1000000000000003E-3</v>
      </c>
      <c r="W29" s="73">
        <v>3.8999999999999998E-3</v>
      </c>
      <c r="X29" s="73">
        <v>4.0000000000000001E-3</v>
      </c>
      <c r="Y29" s="73">
        <v>3.3999999999999998E-3</v>
      </c>
      <c r="Z29" s="73">
        <v>2.3999999999999998E-3</v>
      </c>
      <c r="AA29" s="73">
        <v>8.0000000000000004E-4</v>
      </c>
      <c r="AB29" s="73">
        <v>2.5000000000000001E-3</v>
      </c>
      <c r="AC29" s="73">
        <v>2.3999999999999998E-3</v>
      </c>
      <c r="AD29" s="73">
        <v>2.5000000000000001E-3</v>
      </c>
      <c r="AE29" s="73">
        <v>8.9999999999999998E-4</v>
      </c>
      <c r="AF29" s="73">
        <v>4.7999999999999996E-3</v>
      </c>
      <c r="AG29" s="73">
        <v>2E-3</v>
      </c>
      <c r="AH29" s="73">
        <v>2.8999999999999998E-3</v>
      </c>
      <c r="AI29" s="73">
        <v>5.0000000000000001E-4</v>
      </c>
      <c r="AJ29" s="73">
        <v>2.5000000000000001E-3</v>
      </c>
      <c r="AK29" s="62">
        <v>3.3E-4</v>
      </c>
      <c r="AL29" s="62">
        <v>9.6000000000000002E-4</v>
      </c>
      <c r="AM29" s="62">
        <f t="shared" si="154"/>
        <v>1E-4</v>
      </c>
      <c r="AN29" s="62">
        <f t="shared" si="154"/>
        <v>0</v>
      </c>
      <c r="AO29" s="62">
        <f t="shared" si="155"/>
        <v>2.5000000000000001E-3</v>
      </c>
      <c r="AP29" s="62">
        <f t="shared" si="5"/>
        <v>1.6999999999999999E-3</v>
      </c>
      <c r="AQ29" s="62">
        <f t="shared" si="5"/>
        <v>1.8E-3</v>
      </c>
      <c r="AR29" s="62">
        <v>3.5E-4</v>
      </c>
      <c r="AS29" s="62">
        <v>2.5999999999999998E-4</v>
      </c>
      <c r="AT29" s="62">
        <v>3.5E-4</v>
      </c>
      <c r="AU29" s="62">
        <v>8.7000000000000001E-4</v>
      </c>
      <c r="AV29" s="62">
        <v>1.47E-3</v>
      </c>
      <c r="AW29" s="69">
        <f t="shared" si="131"/>
        <v>1.4000000000000001E-4</v>
      </c>
      <c r="AX29" s="69">
        <f t="shared" si="132"/>
        <v>1.4000000000000001E-4</v>
      </c>
      <c r="AY29" s="69">
        <f t="shared" si="133"/>
        <v>1.4000000000000001E-4</v>
      </c>
      <c r="AZ29" s="69">
        <f t="shared" si="134"/>
        <v>1.4000000000000001E-4</v>
      </c>
      <c r="BA29" s="69">
        <f t="shared" si="138"/>
        <v>6.6E-4</v>
      </c>
      <c r="BB29" s="69">
        <f t="shared" si="139"/>
        <v>6.6E-4</v>
      </c>
      <c r="BC29" s="69">
        <f t="shared" si="140"/>
        <v>6.6E-4</v>
      </c>
      <c r="BD29" s="69">
        <f t="shared" si="141"/>
        <v>6.6E-4</v>
      </c>
      <c r="BE29" s="69">
        <f t="shared" si="141"/>
        <v>4.0000000000000002E-4</v>
      </c>
      <c r="BF29" s="69">
        <f t="shared" si="141"/>
        <v>4.0000000000000002E-4</v>
      </c>
      <c r="BG29" s="69">
        <f t="shared" si="141"/>
        <v>4.0000000000000002E-4</v>
      </c>
      <c r="BH29" s="69">
        <f t="shared" ref="BH29:BH37" si="156">BH28</f>
        <v>4.0000000000000002E-4</v>
      </c>
      <c r="BI29" s="69">
        <f t="shared" si="142"/>
        <v>3.6999999999999999E-4</v>
      </c>
      <c r="BJ29" s="69">
        <f t="shared" si="143"/>
        <v>3.6999999999999999E-4</v>
      </c>
      <c r="BK29" s="69">
        <f t="shared" si="144"/>
        <v>3.6999999999999999E-4</v>
      </c>
      <c r="BL29" s="69">
        <f t="shared" si="145"/>
        <v>3.6999999999999999E-4</v>
      </c>
      <c r="BM29" s="69">
        <f t="shared" si="146"/>
        <v>3.3E-4</v>
      </c>
      <c r="BN29" s="69">
        <f t="shared" si="147"/>
        <v>3.3E-4</v>
      </c>
      <c r="BO29" s="69">
        <f t="shared" si="148"/>
        <v>3.3E-4</v>
      </c>
      <c r="BP29" s="69">
        <f t="shared" si="149"/>
        <v>3.3E-4</v>
      </c>
      <c r="BQ29" s="75">
        <f t="shared" si="153"/>
        <v>2.7999999999999998E-4</v>
      </c>
      <c r="BR29" s="75">
        <f t="shared" si="152"/>
        <v>2.7999999999999998E-4</v>
      </c>
      <c r="BS29" s="75">
        <f t="shared" si="152"/>
        <v>2.7999999999999998E-4</v>
      </c>
      <c r="BT29" s="75">
        <f t="shared" si="152"/>
        <v>2.7999999999999998E-4</v>
      </c>
      <c r="BU29" s="75">
        <f t="shared" si="152"/>
        <v>4.8999999999999998E-4</v>
      </c>
      <c r="BV29" s="75">
        <f t="shared" si="152"/>
        <v>4.8999999999999998E-4</v>
      </c>
      <c r="BW29" s="75">
        <f t="shared" si="152"/>
        <v>4.8999999999999998E-4</v>
      </c>
      <c r="BX29" s="75">
        <f t="shared" si="152"/>
        <v>4.8999999999999998E-4</v>
      </c>
      <c r="BY29" s="75">
        <f t="shared" si="152"/>
        <v>4.8999999999999998E-4</v>
      </c>
      <c r="BZ29" s="75">
        <f t="shared" si="152"/>
        <v>4.8999999999999998E-4</v>
      </c>
      <c r="CA29" s="75">
        <f t="shared" si="152"/>
        <v>4.8999999999999998E-4</v>
      </c>
      <c r="CB29" s="75">
        <f t="shared" si="152"/>
        <v>4.8999999999999998E-4</v>
      </c>
      <c r="CC29" s="69">
        <f t="shared" si="6"/>
        <v>2.5000000000000001E-4</v>
      </c>
      <c r="CD29" s="69">
        <f t="shared" si="7"/>
        <v>2.5000000000000001E-4</v>
      </c>
      <c r="CE29" s="69">
        <f t="shared" si="8"/>
        <v>2.5000000000000001E-4</v>
      </c>
      <c r="CF29" s="69">
        <f t="shared" si="9"/>
        <v>2.5000000000000001E-4</v>
      </c>
      <c r="CG29" s="69">
        <f t="shared" si="10"/>
        <v>5.0000000000000001E-4</v>
      </c>
      <c r="CH29" s="69">
        <f t="shared" si="11"/>
        <v>5.0000000000000001E-4</v>
      </c>
      <c r="CI29" s="69">
        <f t="shared" si="12"/>
        <v>5.0000000000000001E-4</v>
      </c>
      <c r="CJ29" s="69">
        <f t="shared" si="13"/>
        <v>5.0000000000000001E-4</v>
      </c>
      <c r="CK29" s="69">
        <f t="shared" si="14"/>
        <v>1E-3</v>
      </c>
      <c r="CL29" s="69">
        <f t="shared" si="15"/>
        <v>1E-3</v>
      </c>
      <c r="CM29" s="69">
        <f t="shared" si="16"/>
        <v>1E-3</v>
      </c>
      <c r="CN29" s="69">
        <f t="shared" si="17"/>
        <v>1E-3</v>
      </c>
      <c r="CO29" s="69">
        <v>0</v>
      </c>
      <c r="CP29" s="69">
        <v>0</v>
      </c>
      <c r="CQ29" s="69">
        <v>0</v>
      </c>
      <c r="CR29" s="69">
        <v>0</v>
      </c>
      <c r="CS29" s="69">
        <v>0</v>
      </c>
      <c r="CT29" s="69">
        <v>0</v>
      </c>
      <c r="CU29" s="69">
        <v>0</v>
      </c>
      <c r="CV29" s="69">
        <v>0</v>
      </c>
      <c r="CW29" s="69">
        <v>0</v>
      </c>
      <c r="CX29" s="69">
        <v>0</v>
      </c>
      <c r="CY29" s="69">
        <v>0</v>
      </c>
      <c r="CZ29" s="69">
        <v>0</v>
      </c>
      <c r="DA29" s="62">
        <f t="shared" si="18"/>
        <v>1.5E-3</v>
      </c>
      <c r="DB29" s="62">
        <f t="shared" si="19"/>
        <v>2.5000000000000001E-3</v>
      </c>
      <c r="DC29" s="62">
        <v>3.2000000000000002E-3</v>
      </c>
      <c r="DD29" s="62">
        <f t="shared" si="20"/>
        <v>2.0999999999999999E-3</v>
      </c>
      <c r="DE29" s="62">
        <f t="shared" si="21"/>
        <v>2E-3</v>
      </c>
      <c r="DF29" s="62">
        <f t="shared" si="22"/>
        <v>2.2000000000000001E-3</v>
      </c>
      <c r="DG29" s="62">
        <f t="shared" si="23"/>
        <v>2.3E-3</v>
      </c>
      <c r="DH29" s="62">
        <f t="shared" si="24"/>
        <v>2.5000000000000001E-3</v>
      </c>
      <c r="DI29" s="62">
        <f t="shared" si="25"/>
        <v>2.5999999999999999E-3</v>
      </c>
      <c r="DJ29" s="62">
        <f t="shared" si="26"/>
        <v>3.2000000000000002E-3</v>
      </c>
      <c r="DK29" s="62">
        <f t="shared" si="27"/>
        <v>2.9999999999999997E-4</v>
      </c>
      <c r="DL29" s="62">
        <f t="shared" si="28"/>
        <v>2.5000000000000001E-3</v>
      </c>
      <c r="DM29" s="62">
        <f t="shared" si="29"/>
        <v>5.0000000000000001E-4</v>
      </c>
      <c r="DN29" s="62">
        <f t="shared" si="30"/>
        <v>1.1999999999999999E-3</v>
      </c>
      <c r="DO29" s="62">
        <f t="shared" si="31"/>
        <v>1.9E-3</v>
      </c>
      <c r="DP29" s="62">
        <f t="shared" si="32"/>
        <v>1E-3</v>
      </c>
      <c r="DQ29" s="62">
        <f t="shared" si="33"/>
        <v>2.0999999999999999E-3</v>
      </c>
      <c r="DR29" s="62">
        <f t="shared" si="34"/>
        <v>8.9999999999999998E-4</v>
      </c>
      <c r="DS29" s="62">
        <f t="shared" si="35"/>
        <v>2.0999999999999999E-3</v>
      </c>
      <c r="DT29" s="62">
        <f t="shared" si="36"/>
        <v>1.4E-3</v>
      </c>
      <c r="DU29" s="62">
        <f t="shared" si="37"/>
        <v>1.6000000000000001E-3</v>
      </c>
      <c r="DV29" s="62">
        <f t="shared" si="38"/>
        <v>2.3999999999999998E-3</v>
      </c>
      <c r="DW29" s="62">
        <f t="shared" si="39"/>
        <v>5.0000000000000001E-3</v>
      </c>
      <c r="DX29" s="62">
        <f t="shared" si="40"/>
        <v>2E-3</v>
      </c>
      <c r="DY29" s="62">
        <f t="shared" si="41"/>
        <v>0</v>
      </c>
      <c r="DZ29" s="62">
        <f t="shared" si="42"/>
        <v>1.5E-3</v>
      </c>
      <c r="EA29" s="62">
        <f t="shared" si="43"/>
        <v>2.0000000000000001E-4</v>
      </c>
      <c r="EB29" s="62">
        <f t="shared" si="44"/>
        <v>1.5E-3</v>
      </c>
      <c r="EC29" s="62">
        <f t="shared" si="45"/>
        <v>2.7000000000000001E-3</v>
      </c>
      <c r="ED29" s="62">
        <f t="shared" si="46"/>
        <v>2.5000000000000001E-3</v>
      </c>
      <c r="EE29" s="62">
        <f t="shared" si="47"/>
        <v>0</v>
      </c>
      <c r="EF29" s="62">
        <f t="shared" si="48"/>
        <v>2.5000000000000001E-3</v>
      </c>
      <c r="EG29" s="62">
        <f t="shared" si="49"/>
        <v>1.1000000000000001E-3</v>
      </c>
      <c r="EH29" s="62">
        <f t="shared" si="50"/>
        <v>2.5000000000000001E-3</v>
      </c>
      <c r="EI29" s="62">
        <f t="shared" si="51"/>
        <v>8.0000000000000004E-4</v>
      </c>
      <c r="EJ29" s="62">
        <f t="shared" si="52"/>
        <v>2.5000000000000001E-3</v>
      </c>
      <c r="EK29" s="62">
        <f t="shared" si="53"/>
        <v>7.5000000000000002E-4</v>
      </c>
      <c r="EL29" s="62">
        <f t="shared" si="54"/>
        <v>2.5000000000000001E-3</v>
      </c>
      <c r="EM29" s="62">
        <f t="shared" si="55"/>
        <v>3.2000000000000002E-3</v>
      </c>
      <c r="EN29" s="62">
        <f t="shared" si="56"/>
        <v>2.3999999999999998E-3</v>
      </c>
      <c r="EO29" s="62">
        <f t="shared" si="57"/>
        <v>0</v>
      </c>
      <c r="EP29" s="62">
        <f t="shared" si="58"/>
        <v>2E-3</v>
      </c>
      <c r="EQ29" s="62">
        <f t="shared" si="59"/>
        <v>1.1000000000000001E-3</v>
      </c>
      <c r="ER29" s="62">
        <f t="shared" si="60"/>
        <v>2.2000000000000001E-3</v>
      </c>
      <c r="ES29" s="62">
        <f t="shared" si="61"/>
        <v>1E-3</v>
      </c>
      <c r="ET29" s="62">
        <f t="shared" si="62"/>
        <v>4.0000000000000001E-3</v>
      </c>
      <c r="EU29" s="62">
        <f t="shared" si="63"/>
        <v>3.7000000000000002E-3</v>
      </c>
      <c r="EV29" s="62">
        <f t="shared" si="64"/>
        <v>4.7999999999999996E-3</v>
      </c>
      <c r="EW29" s="62">
        <f t="shared" si="65"/>
        <v>0</v>
      </c>
      <c r="EX29" s="62">
        <f t="shared" si="66"/>
        <v>2.5000000000000001E-3</v>
      </c>
      <c r="EY29" s="62">
        <f t="shared" si="67"/>
        <v>2.5000000000000001E-3</v>
      </c>
      <c r="EZ29" s="62">
        <f t="shared" si="68"/>
        <v>3.8999999999999998E-3</v>
      </c>
      <c r="FA29" s="62">
        <f t="shared" si="69"/>
        <v>6.1999999999999998E-3</v>
      </c>
      <c r="FB29" s="62">
        <f t="shared" si="70"/>
        <v>5.1000000000000004E-3</v>
      </c>
      <c r="FC29" s="62">
        <f t="shared" si="71"/>
        <v>2.8999999999999998E-3</v>
      </c>
      <c r="FD29" s="62">
        <f t="shared" si="72"/>
        <v>1.5E-3</v>
      </c>
      <c r="FE29" s="62">
        <f t="shared" si="73"/>
        <v>2.8E-3</v>
      </c>
      <c r="FF29" s="62">
        <f t="shared" si="74"/>
        <v>1.5E-3</v>
      </c>
      <c r="FG29" s="62">
        <f t="shared" si="75"/>
        <v>2.5999999999999999E-3</v>
      </c>
      <c r="FH29" s="62">
        <f t="shared" si="76"/>
        <v>1.5E-3</v>
      </c>
      <c r="FI29" s="62">
        <f t="shared" si="77"/>
        <v>2.7000000000000001E-3</v>
      </c>
      <c r="FJ29" s="62">
        <f t="shared" si="78"/>
        <v>1.5E-3</v>
      </c>
      <c r="FK29" s="62">
        <f t="shared" si="79"/>
        <v>3.3999999999999998E-3</v>
      </c>
      <c r="FL29" s="62">
        <f t="shared" si="80"/>
        <v>8.9999999999999998E-4</v>
      </c>
      <c r="FM29" s="62">
        <f t="shared" si="81"/>
        <v>2.6999999999999997E-3</v>
      </c>
      <c r="FN29" s="62">
        <f t="shared" si="82"/>
        <v>0</v>
      </c>
      <c r="FO29" s="62">
        <f t="shared" si="83"/>
        <v>2.5000000000000001E-3</v>
      </c>
      <c r="FP29" s="62">
        <f t="shared" si="84"/>
        <v>2.5000000000000001E-3</v>
      </c>
      <c r="FQ29" s="62">
        <f t="shared" si="85"/>
        <v>1.8E-3</v>
      </c>
      <c r="FR29" s="62">
        <f t="shared" si="86"/>
        <v>2E-3</v>
      </c>
      <c r="FS29" s="62">
        <f t="shared" si="87"/>
        <v>1.2999999999999999E-3</v>
      </c>
      <c r="FT29" s="62">
        <f t="shared" si="88"/>
        <v>2.3E-3</v>
      </c>
      <c r="FU29" s="62">
        <f t="shared" si="89"/>
        <v>2E-3</v>
      </c>
      <c r="FV29" s="62">
        <f t="shared" si="90"/>
        <v>2.3999999999999998E-3</v>
      </c>
      <c r="FW29" s="62">
        <f t="shared" si="91"/>
        <v>2.0999999999999999E-3</v>
      </c>
      <c r="FX29" s="62">
        <f t="shared" si="92"/>
        <v>4.0000000000000002E-4</v>
      </c>
      <c r="FY29" s="62">
        <f t="shared" si="93"/>
        <v>2.5000000000000001E-3</v>
      </c>
      <c r="FZ29" s="62">
        <f t="shared" si="94"/>
        <v>5.0000000000000001E-4</v>
      </c>
      <c r="GA29" s="62">
        <f t="shared" si="95"/>
        <v>2.5000000000000001E-3</v>
      </c>
      <c r="GB29" s="62">
        <f t="shared" si="96"/>
        <v>4.0000000000000002E-4</v>
      </c>
      <c r="GC29" s="62">
        <f t="shared" si="97"/>
        <v>1.7499999999999998E-3</v>
      </c>
      <c r="GD29" s="62">
        <f t="shared" si="98"/>
        <v>0</v>
      </c>
      <c r="GE29" s="62">
        <f t="shared" si="99"/>
        <v>1.6999999999999999E-3</v>
      </c>
      <c r="GF29" s="62">
        <f t="shared" si="100"/>
        <v>2.7500000000000002E-4</v>
      </c>
      <c r="GG29" s="62">
        <f t="shared" si="101"/>
        <v>1.719E-3</v>
      </c>
      <c r="GH29" s="62">
        <f t="shared" si="102"/>
        <v>3.0000000000000001E-3</v>
      </c>
      <c r="GI29" s="62">
        <f t="shared" si="103"/>
        <v>2.8999999999999998E-3</v>
      </c>
      <c r="GJ29" s="62">
        <f t="shared" si="104"/>
        <v>2.5000000000000001E-3</v>
      </c>
      <c r="GK29" s="62">
        <f t="shared" si="105"/>
        <v>2.7000000000000001E-3</v>
      </c>
      <c r="GL29" s="62">
        <f t="shared" si="106"/>
        <v>2.5000000000000001E-3</v>
      </c>
      <c r="GM29" s="62">
        <f t="shared" si="107"/>
        <v>2.2000000000000001E-3</v>
      </c>
      <c r="GN29" s="62">
        <f t="shared" si="108"/>
        <v>1.6000000000000001E-3</v>
      </c>
      <c r="GO29" s="62">
        <f t="shared" si="109"/>
        <v>1E-4</v>
      </c>
      <c r="GP29" s="62">
        <f t="shared" si="110"/>
        <v>1E-4</v>
      </c>
      <c r="GQ29" s="62">
        <f t="shared" si="111"/>
        <v>1.1000000000000001E-3</v>
      </c>
      <c r="GR29" s="62">
        <f t="shared" si="112"/>
        <v>2.0000000000000001E-4</v>
      </c>
      <c r="GS29" s="62">
        <f t="shared" si="113"/>
        <v>2.5000000000000001E-3</v>
      </c>
      <c r="GT29" s="62">
        <f t="shared" si="114"/>
        <v>3.3E-3</v>
      </c>
      <c r="GU29" s="62">
        <f t="shared" si="115"/>
        <v>4.0000000000000001E-3</v>
      </c>
      <c r="GV29" s="62">
        <f t="shared" si="116"/>
        <v>3.5000000000000001E-3</v>
      </c>
      <c r="GW29" s="62">
        <f t="shared" si="117"/>
        <v>3.3E-3</v>
      </c>
      <c r="GX29" s="62">
        <f t="shared" si="118"/>
        <v>3.3999999999999998E-3</v>
      </c>
      <c r="GY29" s="62">
        <f t="shared" si="119"/>
        <v>5.0000000000000001E-3</v>
      </c>
      <c r="GZ29" s="62">
        <f t="shared" si="120"/>
        <v>2.5000000000000001E-3</v>
      </c>
      <c r="HA29" s="62">
        <f t="shared" si="121"/>
        <v>2.63E-3</v>
      </c>
      <c r="HB29" s="62">
        <f t="shared" si="122"/>
        <v>6.9999999999999999E-4</v>
      </c>
      <c r="HC29" s="62">
        <f t="shared" si="123"/>
        <v>5.0000000000000001E-4</v>
      </c>
      <c r="HD29" s="62">
        <f t="shared" si="124"/>
        <v>6.9999999999999999E-4</v>
      </c>
      <c r="HE29" s="62">
        <f t="shared" si="125"/>
        <v>4.4999999999999997E-3</v>
      </c>
      <c r="HF29" s="62">
        <f t="shared" si="126"/>
        <v>0</v>
      </c>
      <c r="HG29" s="62">
        <f t="shared" si="127"/>
        <v>6.0000000000000001E-3</v>
      </c>
      <c r="HH29" s="62">
        <f t="shared" si="128"/>
        <v>8.9999999999999998E-4</v>
      </c>
      <c r="HI29" s="62">
        <f t="shared" si="129"/>
        <v>6.0000000000000001E-3</v>
      </c>
    </row>
    <row r="30" spans="2:217" x14ac:dyDescent="0.2">
      <c r="B30" s="72">
        <f t="shared" si="4"/>
        <v>24</v>
      </c>
      <c r="D30" s="62">
        <v>0</v>
      </c>
      <c r="E30" s="73">
        <v>2.3000000000000001E-4</v>
      </c>
      <c r="F30" s="73">
        <v>8.0000000000000004E-4</v>
      </c>
      <c r="G30" s="73">
        <v>4.7000000000000002E-3</v>
      </c>
      <c r="H30" s="73">
        <v>5.9999999999999995E-4</v>
      </c>
      <c r="I30" s="73">
        <v>2.5999999999999999E-3</v>
      </c>
      <c r="J30" s="73">
        <v>3.5999999999999999E-3</v>
      </c>
      <c r="K30" s="73">
        <v>8.0000000000000004E-4</v>
      </c>
      <c r="L30" s="73">
        <v>1E-4</v>
      </c>
      <c r="M30" s="73">
        <v>6.9999999999999999E-4</v>
      </c>
      <c r="N30" s="73">
        <v>1.8E-3</v>
      </c>
      <c r="O30" s="73">
        <v>2.9999999999999997E-4</v>
      </c>
      <c r="P30" s="73">
        <v>1.7499999999999998E-3</v>
      </c>
      <c r="Q30" s="73">
        <v>6.9999999999999999E-4</v>
      </c>
      <c r="R30" s="73">
        <v>2.5000000000000001E-3</v>
      </c>
      <c r="S30" s="73">
        <v>3.3999999999999998E-3</v>
      </c>
      <c r="T30" s="73">
        <v>6.9999999999999999E-4</v>
      </c>
      <c r="U30" s="73">
        <v>2.3999999999999998E-3</v>
      </c>
      <c r="V30" s="73">
        <v>4.1000000000000003E-3</v>
      </c>
      <c r="W30" s="73">
        <v>3.8999999999999998E-3</v>
      </c>
      <c r="X30" s="73">
        <v>4.0000000000000001E-3</v>
      </c>
      <c r="Y30" s="73">
        <v>3.3999999999999998E-3</v>
      </c>
      <c r="Z30" s="73">
        <v>2.3999999999999998E-3</v>
      </c>
      <c r="AA30" s="73">
        <v>8.0000000000000004E-4</v>
      </c>
      <c r="AB30" s="73">
        <v>2.5000000000000001E-3</v>
      </c>
      <c r="AC30" s="73">
        <v>2.3999999999999998E-3</v>
      </c>
      <c r="AD30" s="73">
        <v>2.5000000000000001E-3</v>
      </c>
      <c r="AE30" s="73">
        <v>8.9999999999999998E-4</v>
      </c>
      <c r="AF30" s="73">
        <v>4.7999999999999996E-3</v>
      </c>
      <c r="AG30" s="73">
        <v>2E-3</v>
      </c>
      <c r="AH30" s="73">
        <v>2.8999999999999998E-3</v>
      </c>
      <c r="AI30" s="73">
        <v>5.0000000000000001E-4</v>
      </c>
      <c r="AJ30" s="73">
        <v>2.5000000000000001E-3</v>
      </c>
      <c r="AK30" s="62">
        <v>3.3E-4</v>
      </c>
      <c r="AL30" s="62">
        <v>9.6000000000000002E-4</v>
      </c>
      <c r="AM30" s="62">
        <f t="shared" si="154"/>
        <v>1E-4</v>
      </c>
      <c r="AN30" s="62">
        <f t="shared" si="154"/>
        <v>0</v>
      </c>
      <c r="AO30" s="62">
        <f t="shared" si="155"/>
        <v>2.5000000000000001E-3</v>
      </c>
      <c r="AP30" s="62">
        <f t="shared" si="5"/>
        <v>1.6999999999999999E-3</v>
      </c>
      <c r="AQ30" s="62">
        <f t="shared" si="5"/>
        <v>1.8E-3</v>
      </c>
      <c r="AR30" s="62">
        <v>3.5E-4</v>
      </c>
      <c r="AS30" s="62">
        <v>2.5999999999999998E-4</v>
      </c>
      <c r="AT30" s="62">
        <v>3.5E-4</v>
      </c>
      <c r="AU30" s="62">
        <v>8.7000000000000001E-4</v>
      </c>
      <c r="AV30" s="62">
        <v>1.47E-3</v>
      </c>
      <c r="AW30" s="69">
        <f t="shared" si="131"/>
        <v>1.4000000000000001E-4</v>
      </c>
      <c r="AX30" s="69">
        <f t="shared" si="132"/>
        <v>1.4000000000000001E-4</v>
      </c>
      <c r="AY30" s="69">
        <f t="shared" si="133"/>
        <v>1.4000000000000001E-4</v>
      </c>
      <c r="AZ30" s="69">
        <f t="shared" si="134"/>
        <v>1.4000000000000001E-4</v>
      </c>
      <c r="BA30" s="69">
        <f t="shared" si="138"/>
        <v>6.6E-4</v>
      </c>
      <c r="BB30" s="69">
        <f t="shared" si="139"/>
        <v>6.6E-4</v>
      </c>
      <c r="BC30" s="69">
        <f t="shared" si="140"/>
        <v>6.6E-4</v>
      </c>
      <c r="BD30" s="69">
        <f t="shared" si="141"/>
        <v>6.6E-4</v>
      </c>
      <c r="BE30" s="69">
        <f t="shared" si="141"/>
        <v>4.0000000000000002E-4</v>
      </c>
      <c r="BF30" s="69">
        <f t="shared" si="141"/>
        <v>4.0000000000000002E-4</v>
      </c>
      <c r="BG30" s="69">
        <f t="shared" si="141"/>
        <v>4.0000000000000002E-4</v>
      </c>
      <c r="BH30" s="69">
        <f t="shared" si="156"/>
        <v>4.0000000000000002E-4</v>
      </c>
      <c r="BI30" s="69">
        <f t="shared" si="142"/>
        <v>3.6999999999999999E-4</v>
      </c>
      <c r="BJ30" s="69">
        <f t="shared" si="143"/>
        <v>3.6999999999999999E-4</v>
      </c>
      <c r="BK30" s="69">
        <f t="shared" si="144"/>
        <v>3.6999999999999999E-4</v>
      </c>
      <c r="BL30" s="69">
        <f t="shared" si="145"/>
        <v>3.6999999999999999E-4</v>
      </c>
      <c r="BM30" s="69">
        <f t="shared" si="146"/>
        <v>3.3E-4</v>
      </c>
      <c r="BN30" s="69">
        <f t="shared" si="147"/>
        <v>3.3E-4</v>
      </c>
      <c r="BO30" s="69">
        <f t="shared" si="148"/>
        <v>3.3E-4</v>
      </c>
      <c r="BP30" s="69">
        <f t="shared" si="149"/>
        <v>3.3E-4</v>
      </c>
      <c r="BQ30" s="75">
        <f t="shared" si="153"/>
        <v>2.7999999999999998E-4</v>
      </c>
      <c r="BR30" s="75">
        <f t="shared" si="152"/>
        <v>2.7999999999999998E-4</v>
      </c>
      <c r="BS30" s="75">
        <f t="shared" si="152"/>
        <v>2.7999999999999998E-4</v>
      </c>
      <c r="BT30" s="75">
        <f t="shared" si="152"/>
        <v>2.7999999999999998E-4</v>
      </c>
      <c r="BU30" s="75">
        <f t="shared" si="152"/>
        <v>4.8999999999999998E-4</v>
      </c>
      <c r="BV30" s="75">
        <f t="shared" si="152"/>
        <v>4.8999999999999998E-4</v>
      </c>
      <c r="BW30" s="75">
        <f t="shared" si="152"/>
        <v>4.8999999999999998E-4</v>
      </c>
      <c r="BX30" s="75">
        <f t="shared" si="152"/>
        <v>4.8999999999999998E-4</v>
      </c>
      <c r="BY30" s="75">
        <f t="shared" si="152"/>
        <v>4.8999999999999998E-4</v>
      </c>
      <c r="BZ30" s="75">
        <f t="shared" si="152"/>
        <v>4.8999999999999998E-4</v>
      </c>
      <c r="CA30" s="75">
        <f t="shared" si="152"/>
        <v>4.8999999999999998E-4</v>
      </c>
      <c r="CB30" s="75">
        <f t="shared" si="152"/>
        <v>4.8999999999999998E-4</v>
      </c>
      <c r="CC30" s="69">
        <f t="shared" si="6"/>
        <v>2.5000000000000001E-4</v>
      </c>
      <c r="CD30" s="69">
        <f t="shared" si="7"/>
        <v>2.5000000000000001E-4</v>
      </c>
      <c r="CE30" s="69">
        <f t="shared" si="8"/>
        <v>2.5000000000000001E-4</v>
      </c>
      <c r="CF30" s="69">
        <f t="shared" si="9"/>
        <v>2.5000000000000001E-4</v>
      </c>
      <c r="CG30" s="69">
        <f t="shared" si="10"/>
        <v>5.0000000000000001E-4</v>
      </c>
      <c r="CH30" s="69">
        <f t="shared" si="11"/>
        <v>5.0000000000000001E-4</v>
      </c>
      <c r="CI30" s="69">
        <f t="shared" si="12"/>
        <v>5.0000000000000001E-4</v>
      </c>
      <c r="CJ30" s="69">
        <f t="shared" si="13"/>
        <v>5.0000000000000001E-4</v>
      </c>
      <c r="CK30" s="69">
        <f t="shared" si="14"/>
        <v>1E-3</v>
      </c>
      <c r="CL30" s="69">
        <f t="shared" si="15"/>
        <v>1E-3</v>
      </c>
      <c r="CM30" s="69">
        <f t="shared" si="16"/>
        <v>1E-3</v>
      </c>
      <c r="CN30" s="69">
        <f t="shared" si="17"/>
        <v>1E-3</v>
      </c>
      <c r="CO30" s="69">
        <v>0</v>
      </c>
      <c r="CP30" s="69">
        <v>0</v>
      </c>
      <c r="CQ30" s="69">
        <v>0</v>
      </c>
      <c r="CR30" s="69">
        <v>0</v>
      </c>
      <c r="CS30" s="69">
        <v>0</v>
      </c>
      <c r="CT30" s="69">
        <v>0</v>
      </c>
      <c r="CU30" s="69">
        <v>0</v>
      </c>
      <c r="CV30" s="69">
        <v>0</v>
      </c>
      <c r="CW30" s="69">
        <v>0</v>
      </c>
      <c r="CX30" s="69">
        <v>0</v>
      </c>
      <c r="CY30" s="69">
        <v>0</v>
      </c>
      <c r="CZ30" s="69">
        <v>0</v>
      </c>
      <c r="DA30" s="62">
        <f t="shared" si="18"/>
        <v>1.5E-3</v>
      </c>
      <c r="DB30" s="62">
        <f t="shared" si="19"/>
        <v>2.5000000000000001E-3</v>
      </c>
      <c r="DC30" s="62">
        <v>3.2000000000000002E-3</v>
      </c>
      <c r="DD30" s="62">
        <f t="shared" si="20"/>
        <v>2.0999999999999999E-3</v>
      </c>
      <c r="DE30" s="62">
        <f t="shared" si="21"/>
        <v>2E-3</v>
      </c>
      <c r="DF30" s="62">
        <f t="shared" si="22"/>
        <v>2.2000000000000001E-3</v>
      </c>
      <c r="DG30" s="62">
        <f t="shared" si="23"/>
        <v>2.3E-3</v>
      </c>
      <c r="DH30" s="62">
        <f t="shared" si="24"/>
        <v>2.5000000000000001E-3</v>
      </c>
      <c r="DI30" s="62">
        <f t="shared" si="25"/>
        <v>2.5999999999999999E-3</v>
      </c>
      <c r="DJ30" s="62">
        <f t="shared" si="26"/>
        <v>3.2000000000000002E-3</v>
      </c>
      <c r="DK30" s="62">
        <f t="shared" si="27"/>
        <v>2.9999999999999997E-4</v>
      </c>
      <c r="DL30" s="62">
        <f t="shared" si="28"/>
        <v>2.5000000000000001E-3</v>
      </c>
      <c r="DM30" s="62">
        <f t="shared" si="29"/>
        <v>5.0000000000000001E-4</v>
      </c>
      <c r="DN30" s="62">
        <f t="shared" si="30"/>
        <v>1.1999999999999999E-3</v>
      </c>
      <c r="DO30" s="62">
        <f t="shared" si="31"/>
        <v>1.9E-3</v>
      </c>
      <c r="DP30" s="62">
        <f t="shared" si="32"/>
        <v>1E-3</v>
      </c>
      <c r="DQ30" s="62">
        <f t="shared" si="33"/>
        <v>2.0999999999999999E-3</v>
      </c>
      <c r="DR30" s="62">
        <f t="shared" si="34"/>
        <v>8.9999999999999998E-4</v>
      </c>
      <c r="DS30" s="62">
        <f t="shared" si="35"/>
        <v>2.0999999999999999E-3</v>
      </c>
      <c r="DT30" s="62">
        <f t="shared" si="36"/>
        <v>1.4E-3</v>
      </c>
      <c r="DU30" s="62">
        <f t="shared" si="37"/>
        <v>1.6000000000000001E-3</v>
      </c>
      <c r="DV30" s="62">
        <f t="shared" si="38"/>
        <v>2.3999999999999998E-3</v>
      </c>
      <c r="DW30" s="62">
        <f t="shared" si="39"/>
        <v>5.0000000000000001E-3</v>
      </c>
      <c r="DX30" s="62">
        <f t="shared" si="40"/>
        <v>2E-3</v>
      </c>
      <c r="DY30" s="62">
        <f t="shared" si="41"/>
        <v>0</v>
      </c>
      <c r="DZ30" s="62">
        <f t="shared" si="42"/>
        <v>1.5E-3</v>
      </c>
      <c r="EA30" s="62">
        <f t="shared" si="43"/>
        <v>2.0000000000000001E-4</v>
      </c>
      <c r="EB30" s="62">
        <f t="shared" si="44"/>
        <v>1.5E-3</v>
      </c>
      <c r="EC30" s="62">
        <f t="shared" si="45"/>
        <v>2.7000000000000001E-3</v>
      </c>
      <c r="ED30" s="62">
        <f t="shared" si="46"/>
        <v>2.5000000000000001E-3</v>
      </c>
      <c r="EE30" s="62">
        <f t="shared" si="47"/>
        <v>0</v>
      </c>
      <c r="EF30" s="62">
        <f t="shared" si="48"/>
        <v>2.5000000000000001E-3</v>
      </c>
      <c r="EG30" s="62">
        <f t="shared" si="49"/>
        <v>1.1000000000000001E-3</v>
      </c>
      <c r="EH30" s="62">
        <f t="shared" si="50"/>
        <v>2.5000000000000001E-3</v>
      </c>
      <c r="EI30" s="62">
        <f t="shared" si="51"/>
        <v>8.0000000000000004E-4</v>
      </c>
      <c r="EJ30" s="62">
        <f t="shared" si="52"/>
        <v>2.5000000000000001E-3</v>
      </c>
      <c r="EK30" s="62">
        <f t="shared" si="53"/>
        <v>7.5000000000000002E-4</v>
      </c>
      <c r="EL30" s="62">
        <f t="shared" si="54"/>
        <v>2.5000000000000001E-3</v>
      </c>
      <c r="EM30" s="62">
        <f t="shared" si="55"/>
        <v>3.2000000000000002E-3</v>
      </c>
      <c r="EN30" s="62">
        <f t="shared" si="56"/>
        <v>2.3999999999999998E-3</v>
      </c>
      <c r="EO30" s="62">
        <f t="shared" si="57"/>
        <v>0</v>
      </c>
      <c r="EP30" s="62">
        <f t="shared" si="58"/>
        <v>2E-3</v>
      </c>
      <c r="EQ30" s="62">
        <f t="shared" si="59"/>
        <v>1.1000000000000001E-3</v>
      </c>
      <c r="ER30" s="62">
        <f t="shared" si="60"/>
        <v>2.2000000000000001E-3</v>
      </c>
      <c r="ES30" s="62">
        <f t="shared" si="61"/>
        <v>1E-3</v>
      </c>
      <c r="ET30" s="62">
        <f t="shared" si="62"/>
        <v>4.0000000000000001E-3</v>
      </c>
      <c r="EU30" s="62">
        <f t="shared" si="63"/>
        <v>3.7000000000000002E-3</v>
      </c>
      <c r="EV30" s="62">
        <f t="shared" si="64"/>
        <v>4.7999999999999996E-3</v>
      </c>
      <c r="EW30" s="62">
        <f t="shared" si="65"/>
        <v>0</v>
      </c>
      <c r="EX30" s="62">
        <f t="shared" si="66"/>
        <v>2.5000000000000001E-3</v>
      </c>
      <c r="EY30" s="62">
        <f t="shared" si="67"/>
        <v>2.5000000000000001E-3</v>
      </c>
      <c r="EZ30" s="62">
        <f t="shared" si="68"/>
        <v>3.8999999999999998E-3</v>
      </c>
      <c r="FA30" s="62">
        <f t="shared" si="69"/>
        <v>6.1999999999999998E-3</v>
      </c>
      <c r="FB30" s="62">
        <f t="shared" si="70"/>
        <v>5.1000000000000004E-3</v>
      </c>
      <c r="FC30" s="62">
        <f t="shared" si="71"/>
        <v>2.8999999999999998E-3</v>
      </c>
      <c r="FD30" s="62">
        <f t="shared" si="72"/>
        <v>1.5E-3</v>
      </c>
      <c r="FE30" s="62">
        <f t="shared" si="73"/>
        <v>2.8E-3</v>
      </c>
      <c r="FF30" s="62">
        <f t="shared" si="74"/>
        <v>1.5E-3</v>
      </c>
      <c r="FG30" s="62">
        <f t="shared" si="75"/>
        <v>2.5999999999999999E-3</v>
      </c>
      <c r="FH30" s="62">
        <f t="shared" si="76"/>
        <v>1.5E-3</v>
      </c>
      <c r="FI30" s="62">
        <f t="shared" si="77"/>
        <v>2.7000000000000001E-3</v>
      </c>
      <c r="FJ30" s="62">
        <f t="shared" si="78"/>
        <v>1.5E-3</v>
      </c>
      <c r="FK30" s="62">
        <f t="shared" si="79"/>
        <v>3.3999999999999998E-3</v>
      </c>
      <c r="FL30" s="62">
        <f t="shared" si="80"/>
        <v>8.9999999999999998E-4</v>
      </c>
      <c r="FM30" s="62">
        <f t="shared" si="81"/>
        <v>2.6999999999999997E-3</v>
      </c>
      <c r="FN30" s="62">
        <f t="shared" si="82"/>
        <v>0</v>
      </c>
      <c r="FO30" s="62">
        <f t="shared" si="83"/>
        <v>2.5000000000000001E-3</v>
      </c>
      <c r="FP30" s="62">
        <f t="shared" si="84"/>
        <v>2.5000000000000001E-3</v>
      </c>
      <c r="FQ30" s="62">
        <f t="shared" si="85"/>
        <v>1.8E-3</v>
      </c>
      <c r="FR30" s="62">
        <f t="shared" si="86"/>
        <v>2E-3</v>
      </c>
      <c r="FS30" s="62">
        <f t="shared" si="87"/>
        <v>1.2999999999999999E-3</v>
      </c>
      <c r="FT30" s="62">
        <f t="shared" si="88"/>
        <v>2.3E-3</v>
      </c>
      <c r="FU30" s="62">
        <f t="shared" si="89"/>
        <v>2E-3</v>
      </c>
      <c r="FV30" s="62">
        <f t="shared" si="90"/>
        <v>2.3999999999999998E-3</v>
      </c>
      <c r="FW30" s="62">
        <f t="shared" si="91"/>
        <v>2.0999999999999999E-3</v>
      </c>
      <c r="FX30" s="62">
        <f t="shared" si="92"/>
        <v>4.0000000000000002E-4</v>
      </c>
      <c r="FY30" s="62">
        <f t="shared" si="93"/>
        <v>2.5000000000000001E-3</v>
      </c>
      <c r="FZ30" s="62">
        <f t="shared" si="94"/>
        <v>5.0000000000000001E-4</v>
      </c>
      <c r="GA30" s="62">
        <f t="shared" si="95"/>
        <v>2.5000000000000001E-3</v>
      </c>
      <c r="GB30" s="62">
        <f t="shared" si="96"/>
        <v>4.0000000000000002E-4</v>
      </c>
      <c r="GC30" s="62">
        <f t="shared" si="97"/>
        <v>1.7499999999999998E-3</v>
      </c>
      <c r="GD30" s="62">
        <f t="shared" si="98"/>
        <v>0</v>
      </c>
      <c r="GE30" s="62">
        <f t="shared" si="99"/>
        <v>1.6999999999999999E-3</v>
      </c>
      <c r="GF30" s="62">
        <f t="shared" si="100"/>
        <v>2.7500000000000002E-4</v>
      </c>
      <c r="GG30" s="62">
        <f t="shared" si="101"/>
        <v>1.719E-3</v>
      </c>
      <c r="GH30" s="62">
        <f t="shared" si="102"/>
        <v>3.0000000000000001E-3</v>
      </c>
      <c r="GI30" s="62">
        <f t="shared" si="103"/>
        <v>2.8999999999999998E-3</v>
      </c>
      <c r="GJ30" s="62">
        <f t="shared" si="104"/>
        <v>2.5000000000000001E-3</v>
      </c>
      <c r="GK30" s="62">
        <f t="shared" si="105"/>
        <v>2.7000000000000001E-3</v>
      </c>
      <c r="GL30" s="62">
        <f t="shared" si="106"/>
        <v>2.5000000000000001E-3</v>
      </c>
      <c r="GM30" s="62">
        <f t="shared" si="107"/>
        <v>2.2000000000000001E-3</v>
      </c>
      <c r="GN30" s="62">
        <f t="shared" si="108"/>
        <v>1.6000000000000001E-3</v>
      </c>
      <c r="GO30" s="62">
        <f t="shared" si="109"/>
        <v>1E-4</v>
      </c>
      <c r="GP30" s="62">
        <f t="shared" si="110"/>
        <v>1E-4</v>
      </c>
      <c r="GQ30" s="62">
        <f t="shared" si="111"/>
        <v>1.1000000000000001E-3</v>
      </c>
      <c r="GR30" s="62">
        <f t="shared" si="112"/>
        <v>2.0000000000000001E-4</v>
      </c>
      <c r="GS30" s="62">
        <f t="shared" si="113"/>
        <v>2.5000000000000001E-3</v>
      </c>
      <c r="GT30" s="62">
        <f t="shared" si="114"/>
        <v>3.3E-3</v>
      </c>
      <c r="GU30" s="62">
        <f t="shared" si="115"/>
        <v>4.0000000000000001E-3</v>
      </c>
      <c r="GV30" s="62">
        <f t="shared" si="116"/>
        <v>3.5000000000000001E-3</v>
      </c>
      <c r="GW30" s="62">
        <f t="shared" si="117"/>
        <v>3.3E-3</v>
      </c>
      <c r="GX30" s="62">
        <f t="shared" si="118"/>
        <v>3.3999999999999998E-3</v>
      </c>
      <c r="GY30" s="62">
        <f t="shared" si="119"/>
        <v>5.0000000000000001E-3</v>
      </c>
      <c r="GZ30" s="62">
        <f t="shared" si="120"/>
        <v>2.5000000000000001E-3</v>
      </c>
      <c r="HA30" s="62">
        <f t="shared" si="121"/>
        <v>2.63E-3</v>
      </c>
      <c r="HB30" s="62">
        <f t="shared" si="122"/>
        <v>6.9999999999999999E-4</v>
      </c>
      <c r="HC30" s="62">
        <f t="shared" si="123"/>
        <v>5.0000000000000001E-4</v>
      </c>
      <c r="HD30" s="62">
        <f t="shared" si="124"/>
        <v>6.9999999999999999E-4</v>
      </c>
      <c r="HE30" s="62">
        <f t="shared" si="125"/>
        <v>4.4999999999999997E-3</v>
      </c>
      <c r="HF30" s="62">
        <f t="shared" si="126"/>
        <v>0</v>
      </c>
      <c r="HG30" s="62">
        <f t="shared" si="127"/>
        <v>6.0000000000000001E-3</v>
      </c>
      <c r="HH30" s="62">
        <f t="shared" si="128"/>
        <v>8.9999999999999998E-4</v>
      </c>
      <c r="HI30" s="62">
        <f t="shared" si="129"/>
        <v>6.0000000000000001E-3</v>
      </c>
    </row>
    <row r="31" spans="2:217" x14ac:dyDescent="0.2">
      <c r="B31" s="72">
        <f t="shared" si="4"/>
        <v>25</v>
      </c>
      <c r="D31" s="62">
        <v>0</v>
      </c>
      <c r="E31" s="73">
        <v>2.3000000000000001E-4</v>
      </c>
      <c r="F31" s="73">
        <v>8.0000000000000004E-4</v>
      </c>
      <c r="G31" s="73">
        <v>4.7000000000000002E-3</v>
      </c>
      <c r="H31" s="73">
        <v>5.9999999999999995E-4</v>
      </c>
      <c r="I31" s="73">
        <v>2.5999999999999999E-3</v>
      </c>
      <c r="J31" s="73">
        <v>3.5999999999999999E-3</v>
      </c>
      <c r="K31" s="73">
        <v>8.0000000000000004E-4</v>
      </c>
      <c r="L31" s="73">
        <v>1E-4</v>
      </c>
      <c r="M31" s="73">
        <v>6.9999999999999999E-4</v>
      </c>
      <c r="N31" s="73">
        <v>1.8E-3</v>
      </c>
      <c r="O31" s="73">
        <v>2.9999999999999997E-4</v>
      </c>
      <c r="P31" s="73">
        <v>1.7499999999999998E-3</v>
      </c>
      <c r="Q31" s="73">
        <v>6.9999999999999999E-4</v>
      </c>
      <c r="R31" s="73">
        <v>2.5000000000000001E-3</v>
      </c>
      <c r="S31" s="73">
        <v>3.3999999999999998E-3</v>
      </c>
      <c r="T31" s="73">
        <v>6.9999999999999999E-4</v>
      </c>
      <c r="U31" s="73">
        <v>2.3999999999999998E-3</v>
      </c>
      <c r="V31" s="73">
        <v>4.1000000000000003E-3</v>
      </c>
      <c r="W31" s="73">
        <v>3.8999999999999998E-3</v>
      </c>
      <c r="X31" s="73">
        <v>4.0000000000000001E-3</v>
      </c>
      <c r="Y31" s="73">
        <v>3.3999999999999998E-3</v>
      </c>
      <c r="Z31" s="73">
        <v>2.3999999999999998E-3</v>
      </c>
      <c r="AA31" s="73">
        <v>8.0000000000000004E-4</v>
      </c>
      <c r="AB31" s="73">
        <v>2.5000000000000001E-3</v>
      </c>
      <c r="AC31" s="73">
        <v>2.3999999999999998E-3</v>
      </c>
      <c r="AD31" s="73">
        <v>2.5000000000000001E-3</v>
      </c>
      <c r="AE31" s="73">
        <v>8.9999999999999998E-4</v>
      </c>
      <c r="AF31" s="73">
        <v>4.7999999999999996E-3</v>
      </c>
      <c r="AG31" s="73">
        <v>2E-3</v>
      </c>
      <c r="AH31" s="73">
        <v>2.8999999999999998E-3</v>
      </c>
      <c r="AI31" s="73">
        <v>5.0000000000000001E-4</v>
      </c>
      <c r="AJ31" s="73">
        <v>2.5000000000000001E-3</v>
      </c>
      <c r="AK31" s="62">
        <v>3.3E-4</v>
      </c>
      <c r="AL31" s="62">
        <v>9.6000000000000002E-4</v>
      </c>
      <c r="AM31" s="62">
        <f t="shared" si="154"/>
        <v>1E-4</v>
      </c>
      <c r="AN31" s="62">
        <f t="shared" si="154"/>
        <v>0</v>
      </c>
      <c r="AO31" s="62">
        <f t="shared" si="155"/>
        <v>2.5000000000000001E-3</v>
      </c>
      <c r="AP31" s="62">
        <f t="shared" si="5"/>
        <v>1.6999999999999999E-3</v>
      </c>
      <c r="AQ31" s="62">
        <f t="shared" si="5"/>
        <v>1.8E-3</v>
      </c>
      <c r="AR31" s="62">
        <v>3.5E-4</v>
      </c>
      <c r="AS31" s="62">
        <v>2.5999999999999998E-4</v>
      </c>
      <c r="AT31" s="62">
        <v>3.5E-4</v>
      </c>
      <c r="AU31" s="62">
        <v>8.7000000000000001E-4</v>
      </c>
      <c r="AV31" s="62">
        <v>1.47E-3</v>
      </c>
      <c r="AW31" s="69">
        <f t="shared" si="131"/>
        <v>1.4000000000000001E-4</v>
      </c>
      <c r="AX31" s="69">
        <f t="shared" si="132"/>
        <v>1.4000000000000001E-4</v>
      </c>
      <c r="AY31" s="69">
        <f t="shared" si="133"/>
        <v>1.4000000000000001E-4</v>
      </c>
      <c r="AZ31" s="69">
        <f t="shared" si="134"/>
        <v>1.4000000000000001E-4</v>
      </c>
      <c r="BA31" s="69">
        <f t="shared" si="138"/>
        <v>6.6E-4</v>
      </c>
      <c r="BB31" s="69">
        <f t="shared" si="139"/>
        <v>6.6E-4</v>
      </c>
      <c r="BC31" s="69">
        <f t="shared" si="140"/>
        <v>6.6E-4</v>
      </c>
      <c r="BD31" s="69">
        <f t="shared" si="141"/>
        <v>6.6E-4</v>
      </c>
      <c r="BE31" s="69">
        <f t="shared" si="141"/>
        <v>4.0000000000000002E-4</v>
      </c>
      <c r="BF31" s="69">
        <f t="shared" si="141"/>
        <v>4.0000000000000002E-4</v>
      </c>
      <c r="BG31" s="69">
        <f t="shared" si="141"/>
        <v>4.0000000000000002E-4</v>
      </c>
      <c r="BH31" s="69">
        <f t="shared" si="156"/>
        <v>4.0000000000000002E-4</v>
      </c>
      <c r="BI31" s="69">
        <f t="shared" si="142"/>
        <v>3.6999999999999999E-4</v>
      </c>
      <c r="BJ31" s="69">
        <f t="shared" si="143"/>
        <v>3.6999999999999999E-4</v>
      </c>
      <c r="BK31" s="69">
        <f t="shared" si="144"/>
        <v>3.6999999999999999E-4</v>
      </c>
      <c r="BL31" s="69">
        <f t="shared" si="145"/>
        <v>3.6999999999999999E-4</v>
      </c>
      <c r="BM31" s="69">
        <f t="shared" si="146"/>
        <v>3.3E-4</v>
      </c>
      <c r="BN31" s="69">
        <f t="shared" si="147"/>
        <v>3.3E-4</v>
      </c>
      <c r="BO31" s="69">
        <f t="shared" si="148"/>
        <v>3.3E-4</v>
      </c>
      <c r="BP31" s="69">
        <f t="shared" si="149"/>
        <v>3.3E-4</v>
      </c>
      <c r="BQ31" s="75">
        <f t="shared" si="153"/>
        <v>2.7999999999999998E-4</v>
      </c>
      <c r="BR31" s="75">
        <f t="shared" ref="BR31:BR36" si="157">BR30</f>
        <v>2.7999999999999998E-4</v>
      </c>
      <c r="BS31" s="75">
        <f t="shared" ref="BS31:BS36" si="158">BS30</f>
        <v>2.7999999999999998E-4</v>
      </c>
      <c r="BT31" s="75">
        <f t="shared" ref="BT31:BT36" si="159">BT30</f>
        <v>2.7999999999999998E-4</v>
      </c>
      <c r="BU31" s="75">
        <f t="shared" ref="BU31:BU36" si="160">BU30</f>
        <v>4.8999999999999998E-4</v>
      </c>
      <c r="BV31" s="75">
        <f t="shared" ref="BV31:BV36" si="161">BV30</f>
        <v>4.8999999999999998E-4</v>
      </c>
      <c r="BW31" s="75">
        <f t="shared" ref="BW31:BW36" si="162">BW30</f>
        <v>4.8999999999999998E-4</v>
      </c>
      <c r="BX31" s="75">
        <f t="shared" ref="BX31:BX36" si="163">BX30</f>
        <v>4.8999999999999998E-4</v>
      </c>
      <c r="BY31" s="75">
        <f t="shared" ref="BY31:BY36" si="164">BY30</f>
        <v>4.8999999999999998E-4</v>
      </c>
      <c r="BZ31" s="75">
        <f t="shared" ref="BZ31:BZ36" si="165">BZ30</f>
        <v>4.8999999999999998E-4</v>
      </c>
      <c r="CA31" s="75">
        <f t="shared" ref="CA31:CA36" si="166">CA30</f>
        <v>4.8999999999999998E-4</v>
      </c>
      <c r="CB31" s="75">
        <f t="shared" ref="CB31:CB36" si="167">CB30</f>
        <v>4.8999999999999998E-4</v>
      </c>
      <c r="CC31" s="69">
        <f t="shared" si="6"/>
        <v>2.5000000000000001E-4</v>
      </c>
      <c r="CD31" s="69">
        <f t="shared" si="7"/>
        <v>2.5000000000000001E-4</v>
      </c>
      <c r="CE31" s="69">
        <f t="shared" si="8"/>
        <v>2.5000000000000001E-4</v>
      </c>
      <c r="CF31" s="69">
        <f t="shared" si="9"/>
        <v>2.5000000000000001E-4</v>
      </c>
      <c r="CG31" s="69">
        <f t="shared" si="10"/>
        <v>5.0000000000000001E-4</v>
      </c>
      <c r="CH31" s="69">
        <f t="shared" si="11"/>
        <v>5.0000000000000001E-4</v>
      </c>
      <c r="CI31" s="69">
        <f t="shared" si="12"/>
        <v>5.0000000000000001E-4</v>
      </c>
      <c r="CJ31" s="69">
        <f t="shared" si="13"/>
        <v>5.0000000000000001E-4</v>
      </c>
      <c r="CK31" s="69">
        <f t="shared" si="14"/>
        <v>1E-3</v>
      </c>
      <c r="CL31" s="69">
        <f t="shared" si="15"/>
        <v>1E-3</v>
      </c>
      <c r="CM31" s="69">
        <f t="shared" si="16"/>
        <v>1E-3</v>
      </c>
      <c r="CN31" s="69">
        <f t="shared" si="17"/>
        <v>1E-3</v>
      </c>
      <c r="CO31" s="69">
        <v>4.0000000000000001E-3</v>
      </c>
      <c r="CP31" s="69">
        <v>4.0000000000000001E-3</v>
      </c>
      <c r="CQ31" s="69">
        <v>2E-3</v>
      </c>
      <c r="CR31" s="69">
        <v>2E-3</v>
      </c>
      <c r="CS31" s="69">
        <v>0</v>
      </c>
      <c r="CT31" s="69">
        <v>0</v>
      </c>
      <c r="CU31" s="69">
        <v>0</v>
      </c>
      <c r="CV31" s="69">
        <v>0</v>
      </c>
      <c r="CW31" s="69">
        <v>0</v>
      </c>
      <c r="CX31" s="69">
        <v>0</v>
      </c>
      <c r="CY31" s="69">
        <v>0</v>
      </c>
      <c r="CZ31" s="69">
        <v>0</v>
      </c>
      <c r="DA31" s="62">
        <f t="shared" si="18"/>
        <v>1.5E-3</v>
      </c>
      <c r="DB31" s="62">
        <f t="shared" si="19"/>
        <v>2.5000000000000001E-3</v>
      </c>
      <c r="DC31" s="62">
        <v>3.2000000000000002E-3</v>
      </c>
      <c r="DD31" s="62">
        <f t="shared" si="20"/>
        <v>2.0999999999999999E-3</v>
      </c>
      <c r="DE31" s="62">
        <f t="shared" si="21"/>
        <v>2E-3</v>
      </c>
      <c r="DF31" s="62">
        <f t="shared" si="22"/>
        <v>2.2000000000000001E-3</v>
      </c>
      <c r="DG31" s="62">
        <f t="shared" si="23"/>
        <v>2.3E-3</v>
      </c>
      <c r="DH31" s="62">
        <f t="shared" si="24"/>
        <v>2.5000000000000001E-3</v>
      </c>
      <c r="DI31" s="62">
        <f t="shared" si="25"/>
        <v>2.5999999999999999E-3</v>
      </c>
      <c r="DJ31" s="62">
        <f t="shared" si="26"/>
        <v>3.2000000000000002E-3</v>
      </c>
      <c r="DK31" s="62">
        <f t="shared" si="27"/>
        <v>2.9999999999999997E-4</v>
      </c>
      <c r="DL31" s="62">
        <f t="shared" si="28"/>
        <v>2.5000000000000001E-3</v>
      </c>
      <c r="DM31" s="62">
        <f t="shared" si="29"/>
        <v>5.0000000000000001E-4</v>
      </c>
      <c r="DN31" s="62">
        <f t="shared" si="30"/>
        <v>1.1999999999999999E-3</v>
      </c>
      <c r="DO31" s="62">
        <f t="shared" si="31"/>
        <v>1.9E-3</v>
      </c>
      <c r="DP31" s="62">
        <f t="shared" si="32"/>
        <v>1E-3</v>
      </c>
      <c r="DQ31" s="62">
        <f t="shared" si="33"/>
        <v>2.0999999999999999E-3</v>
      </c>
      <c r="DR31" s="62">
        <f t="shared" si="34"/>
        <v>8.9999999999999998E-4</v>
      </c>
      <c r="DS31" s="62">
        <f t="shared" si="35"/>
        <v>2.0999999999999999E-3</v>
      </c>
      <c r="DT31" s="62">
        <f t="shared" si="36"/>
        <v>1.4E-3</v>
      </c>
      <c r="DU31" s="62">
        <f t="shared" si="37"/>
        <v>1.6000000000000001E-3</v>
      </c>
      <c r="DV31" s="62">
        <f t="shared" si="38"/>
        <v>2.3999999999999998E-3</v>
      </c>
      <c r="DW31" s="62">
        <f t="shared" si="39"/>
        <v>5.0000000000000001E-3</v>
      </c>
      <c r="DX31" s="62">
        <f t="shared" si="40"/>
        <v>2E-3</v>
      </c>
      <c r="DY31" s="62">
        <f t="shared" si="41"/>
        <v>0</v>
      </c>
      <c r="DZ31" s="62">
        <f t="shared" si="42"/>
        <v>1.5E-3</v>
      </c>
      <c r="EA31" s="62">
        <f t="shared" si="43"/>
        <v>2.0000000000000001E-4</v>
      </c>
      <c r="EB31" s="62">
        <f t="shared" si="44"/>
        <v>1.5E-3</v>
      </c>
      <c r="EC31" s="62">
        <f t="shared" si="45"/>
        <v>2.7000000000000001E-3</v>
      </c>
      <c r="ED31" s="62">
        <f t="shared" si="46"/>
        <v>2.5000000000000001E-3</v>
      </c>
      <c r="EE31" s="62">
        <f t="shared" si="47"/>
        <v>0</v>
      </c>
      <c r="EF31" s="62">
        <f t="shared" si="48"/>
        <v>2.5000000000000001E-3</v>
      </c>
      <c r="EG31" s="62">
        <f t="shared" si="49"/>
        <v>1.1000000000000001E-3</v>
      </c>
      <c r="EH31" s="62">
        <f t="shared" si="50"/>
        <v>2.5000000000000001E-3</v>
      </c>
      <c r="EI31" s="62">
        <f t="shared" si="51"/>
        <v>8.0000000000000004E-4</v>
      </c>
      <c r="EJ31" s="62">
        <f t="shared" si="52"/>
        <v>2.5000000000000001E-3</v>
      </c>
      <c r="EK31" s="62">
        <f t="shared" si="53"/>
        <v>7.5000000000000002E-4</v>
      </c>
      <c r="EL31" s="62">
        <f t="shared" si="54"/>
        <v>2.5000000000000001E-3</v>
      </c>
      <c r="EM31" s="62">
        <f t="shared" si="55"/>
        <v>3.2000000000000002E-3</v>
      </c>
      <c r="EN31" s="62">
        <f t="shared" si="56"/>
        <v>2.3999999999999998E-3</v>
      </c>
      <c r="EO31" s="62">
        <f t="shared" si="57"/>
        <v>0</v>
      </c>
      <c r="EP31" s="62">
        <f t="shared" si="58"/>
        <v>2E-3</v>
      </c>
      <c r="EQ31" s="62">
        <f t="shared" si="59"/>
        <v>1.1000000000000001E-3</v>
      </c>
      <c r="ER31" s="62">
        <f t="shared" si="60"/>
        <v>2.2000000000000001E-3</v>
      </c>
      <c r="ES31" s="62">
        <f t="shared" si="61"/>
        <v>1E-3</v>
      </c>
      <c r="ET31" s="62">
        <f t="shared" si="62"/>
        <v>4.0000000000000001E-3</v>
      </c>
      <c r="EU31" s="62">
        <f t="shared" si="63"/>
        <v>3.7000000000000002E-3</v>
      </c>
      <c r="EV31" s="62">
        <f t="shared" si="64"/>
        <v>4.7999999999999996E-3</v>
      </c>
      <c r="EW31" s="62">
        <f t="shared" si="65"/>
        <v>0</v>
      </c>
      <c r="EX31" s="62">
        <f t="shared" si="66"/>
        <v>2.5000000000000001E-3</v>
      </c>
      <c r="EY31" s="62">
        <f t="shared" si="67"/>
        <v>2.5000000000000001E-3</v>
      </c>
      <c r="EZ31" s="62">
        <f t="shared" si="68"/>
        <v>3.8999999999999998E-3</v>
      </c>
      <c r="FA31" s="62">
        <f t="shared" si="69"/>
        <v>6.1999999999999998E-3</v>
      </c>
      <c r="FB31" s="62">
        <f t="shared" si="70"/>
        <v>5.1000000000000004E-3</v>
      </c>
      <c r="FC31" s="62">
        <f t="shared" si="71"/>
        <v>2.8999999999999998E-3</v>
      </c>
      <c r="FD31" s="62">
        <f t="shared" si="72"/>
        <v>1.5E-3</v>
      </c>
      <c r="FE31" s="62">
        <f t="shared" si="73"/>
        <v>2.8E-3</v>
      </c>
      <c r="FF31" s="62">
        <f t="shared" si="74"/>
        <v>1.5E-3</v>
      </c>
      <c r="FG31" s="62">
        <f t="shared" si="75"/>
        <v>2.5999999999999999E-3</v>
      </c>
      <c r="FH31" s="62">
        <f t="shared" si="76"/>
        <v>1.5E-3</v>
      </c>
      <c r="FI31" s="62">
        <f t="shared" si="77"/>
        <v>2.7000000000000001E-3</v>
      </c>
      <c r="FJ31" s="62">
        <f t="shared" si="78"/>
        <v>1.5E-3</v>
      </c>
      <c r="FK31" s="62">
        <f t="shared" si="79"/>
        <v>3.3999999999999998E-3</v>
      </c>
      <c r="FL31" s="62">
        <f t="shared" si="80"/>
        <v>8.9999999999999998E-4</v>
      </c>
      <c r="FM31" s="62">
        <f t="shared" si="81"/>
        <v>2.6999999999999997E-3</v>
      </c>
      <c r="FN31" s="62">
        <f t="shared" si="82"/>
        <v>0</v>
      </c>
      <c r="FO31" s="62">
        <f t="shared" si="83"/>
        <v>2.5000000000000001E-3</v>
      </c>
      <c r="FP31" s="62">
        <f t="shared" si="84"/>
        <v>2.5000000000000001E-3</v>
      </c>
      <c r="FQ31" s="62">
        <f t="shared" si="85"/>
        <v>1.8E-3</v>
      </c>
      <c r="FR31" s="62">
        <f t="shared" si="86"/>
        <v>2E-3</v>
      </c>
      <c r="FS31" s="62">
        <f t="shared" si="87"/>
        <v>1.2999999999999999E-3</v>
      </c>
      <c r="FT31" s="62">
        <f t="shared" si="88"/>
        <v>2.3E-3</v>
      </c>
      <c r="FU31" s="62">
        <f t="shared" si="89"/>
        <v>2E-3</v>
      </c>
      <c r="FV31" s="62">
        <f t="shared" si="90"/>
        <v>2.3999999999999998E-3</v>
      </c>
      <c r="FW31" s="62">
        <f t="shared" si="91"/>
        <v>2.0999999999999999E-3</v>
      </c>
      <c r="FX31" s="62">
        <f t="shared" si="92"/>
        <v>4.0000000000000002E-4</v>
      </c>
      <c r="FY31" s="62">
        <f t="shared" si="93"/>
        <v>2.5000000000000001E-3</v>
      </c>
      <c r="FZ31" s="62">
        <f t="shared" si="94"/>
        <v>5.0000000000000001E-4</v>
      </c>
      <c r="GA31" s="62">
        <f t="shared" si="95"/>
        <v>2.5000000000000001E-3</v>
      </c>
      <c r="GB31" s="62">
        <f t="shared" si="96"/>
        <v>4.0000000000000002E-4</v>
      </c>
      <c r="GC31" s="62">
        <f t="shared" si="97"/>
        <v>1.7499999999999998E-3</v>
      </c>
      <c r="GD31" s="62">
        <f t="shared" si="98"/>
        <v>0</v>
      </c>
      <c r="GE31" s="62">
        <f t="shared" si="99"/>
        <v>1.6999999999999999E-3</v>
      </c>
      <c r="GF31" s="62">
        <f t="shared" si="100"/>
        <v>2.7500000000000002E-4</v>
      </c>
      <c r="GG31" s="62">
        <f t="shared" si="101"/>
        <v>1.719E-3</v>
      </c>
      <c r="GH31" s="62">
        <f t="shared" si="102"/>
        <v>3.0000000000000001E-3</v>
      </c>
      <c r="GI31" s="62">
        <f t="shared" si="103"/>
        <v>2.8999999999999998E-3</v>
      </c>
      <c r="GJ31" s="62">
        <f t="shared" si="104"/>
        <v>2.5000000000000001E-3</v>
      </c>
      <c r="GK31" s="62">
        <f t="shared" si="105"/>
        <v>2.7000000000000001E-3</v>
      </c>
      <c r="GL31" s="62">
        <f t="shared" si="106"/>
        <v>2.5000000000000001E-3</v>
      </c>
      <c r="GM31" s="62">
        <f t="shared" si="107"/>
        <v>2.2000000000000001E-3</v>
      </c>
      <c r="GN31" s="62">
        <f t="shared" si="108"/>
        <v>1.6000000000000001E-3</v>
      </c>
      <c r="GO31" s="62">
        <f t="shared" si="109"/>
        <v>1E-4</v>
      </c>
      <c r="GP31" s="62">
        <f t="shared" si="110"/>
        <v>1E-4</v>
      </c>
      <c r="GQ31" s="62">
        <f t="shared" si="111"/>
        <v>1.1000000000000001E-3</v>
      </c>
      <c r="GR31" s="62">
        <f t="shared" si="112"/>
        <v>2.0000000000000001E-4</v>
      </c>
      <c r="GS31" s="62">
        <f t="shared" si="113"/>
        <v>2.5000000000000001E-3</v>
      </c>
      <c r="GT31" s="62">
        <f t="shared" si="114"/>
        <v>3.3E-3</v>
      </c>
      <c r="GU31" s="62">
        <f t="shared" si="115"/>
        <v>4.0000000000000001E-3</v>
      </c>
      <c r="GV31" s="62">
        <f t="shared" si="116"/>
        <v>3.5000000000000001E-3</v>
      </c>
      <c r="GW31" s="62">
        <f t="shared" si="117"/>
        <v>3.3E-3</v>
      </c>
      <c r="GX31" s="62">
        <f t="shared" si="118"/>
        <v>3.3999999999999998E-3</v>
      </c>
      <c r="GY31" s="62">
        <f t="shared" si="119"/>
        <v>5.0000000000000001E-3</v>
      </c>
      <c r="GZ31" s="62">
        <f t="shared" si="120"/>
        <v>2.5000000000000001E-3</v>
      </c>
      <c r="HA31" s="62">
        <f t="shared" si="121"/>
        <v>2.63E-3</v>
      </c>
      <c r="HB31" s="62">
        <f t="shared" si="122"/>
        <v>6.9999999999999999E-4</v>
      </c>
      <c r="HC31" s="62">
        <f t="shared" si="123"/>
        <v>5.0000000000000001E-4</v>
      </c>
      <c r="HD31" s="62">
        <f t="shared" si="124"/>
        <v>6.9999999999999999E-4</v>
      </c>
      <c r="HE31" s="62">
        <f t="shared" si="125"/>
        <v>4.4999999999999997E-3</v>
      </c>
      <c r="HF31" s="62">
        <f t="shared" si="126"/>
        <v>0</v>
      </c>
      <c r="HG31" s="62">
        <f t="shared" si="127"/>
        <v>6.0000000000000001E-3</v>
      </c>
      <c r="HH31" s="62">
        <f t="shared" si="128"/>
        <v>8.9999999999999998E-4</v>
      </c>
      <c r="HI31" s="62">
        <f t="shared" si="129"/>
        <v>6.0000000000000001E-3</v>
      </c>
    </row>
    <row r="32" spans="2:217" x14ac:dyDescent="0.2">
      <c r="B32" s="72">
        <f t="shared" si="4"/>
        <v>26</v>
      </c>
      <c r="D32" s="62">
        <v>0</v>
      </c>
      <c r="E32" s="73">
        <v>2.3000000000000001E-4</v>
      </c>
      <c r="F32" s="73">
        <v>8.0000000000000004E-4</v>
      </c>
      <c r="G32" s="73">
        <v>4.7000000000000002E-3</v>
      </c>
      <c r="H32" s="73">
        <v>5.9999999999999995E-4</v>
      </c>
      <c r="I32" s="73">
        <v>2.5999999999999999E-3</v>
      </c>
      <c r="J32" s="73">
        <v>3.5999999999999999E-3</v>
      </c>
      <c r="K32" s="73">
        <v>8.0000000000000004E-4</v>
      </c>
      <c r="L32" s="73">
        <v>1E-4</v>
      </c>
      <c r="M32" s="73">
        <v>6.9999999999999999E-4</v>
      </c>
      <c r="N32" s="73">
        <v>1.8E-3</v>
      </c>
      <c r="O32" s="73">
        <v>2.9999999999999997E-4</v>
      </c>
      <c r="P32" s="73">
        <v>1.7499999999999998E-3</v>
      </c>
      <c r="Q32" s="73">
        <v>6.9999999999999999E-4</v>
      </c>
      <c r="R32" s="73">
        <v>2.5000000000000001E-3</v>
      </c>
      <c r="S32" s="73">
        <v>3.3999999999999998E-3</v>
      </c>
      <c r="T32" s="73">
        <v>6.9999999999999999E-4</v>
      </c>
      <c r="U32" s="73">
        <v>2.3999999999999998E-3</v>
      </c>
      <c r="V32" s="73">
        <v>4.1000000000000003E-3</v>
      </c>
      <c r="W32" s="73">
        <v>3.8999999999999998E-3</v>
      </c>
      <c r="X32" s="73">
        <v>4.0000000000000001E-3</v>
      </c>
      <c r="Y32" s="73">
        <v>3.3999999999999998E-3</v>
      </c>
      <c r="Z32" s="73">
        <v>2.3999999999999998E-3</v>
      </c>
      <c r="AA32" s="73">
        <v>8.0000000000000004E-4</v>
      </c>
      <c r="AB32" s="73">
        <v>2.5000000000000001E-3</v>
      </c>
      <c r="AC32" s="73">
        <v>2.3999999999999998E-3</v>
      </c>
      <c r="AD32" s="73">
        <v>2.5000000000000001E-3</v>
      </c>
      <c r="AE32" s="73">
        <v>8.9999999999999998E-4</v>
      </c>
      <c r="AF32" s="73">
        <v>4.7999999999999996E-3</v>
      </c>
      <c r="AG32" s="73">
        <v>2E-3</v>
      </c>
      <c r="AH32" s="73">
        <v>2.8999999999999998E-3</v>
      </c>
      <c r="AI32" s="73">
        <v>5.0000000000000001E-4</v>
      </c>
      <c r="AJ32" s="73">
        <v>2.5000000000000001E-3</v>
      </c>
      <c r="AK32" s="62">
        <v>3.3E-4</v>
      </c>
      <c r="AL32" s="62">
        <v>9.6000000000000002E-4</v>
      </c>
      <c r="AM32" s="62">
        <f t="shared" si="154"/>
        <v>1E-4</v>
      </c>
      <c r="AN32" s="62">
        <f t="shared" si="154"/>
        <v>0</v>
      </c>
      <c r="AO32" s="62">
        <f t="shared" si="155"/>
        <v>2.5000000000000001E-3</v>
      </c>
      <c r="AP32" s="62">
        <f t="shared" si="5"/>
        <v>1.6999999999999999E-3</v>
      </c>
      <c r="AQ32" s="62">
        <f t="shared" si="5"/>
        <v>1.8E-3</v>
      </c>
      <c r="AR32" s="62">
        <v>3.5E-4</v>
      </c>
      <c r="AS32" s="62">
        <v>2.5999999999999998E-4</v>
      </c>
      <c r="AT32" s="62">
        <v>3.5E-4</v>
      </c>
      <c r="AU32" s="62">
        <v>8.7000000000000001E-4</v>
      </c>
      <c r="AV32" s="62">
        <v>1.47E-3</v>
      </c>
      <c r="AW32" s="69">
        <f t="shared" si="131"/>
        <v>1.4000000000000001E-4</v>
      </c>
      <c r="AX32" s="69">
        <f t="shared" si="132"/>
        <v>1.4000000000000001E-4</v>
      </c>
      <c r="AY32" s="69">
        <f t="shared" si="133"/>
        <v>1.4000000000000001E-4</v>
      </c>
      <c r="AZ32" s="69">
        <f t="shared" si="134"/>
        <v>1.4000000000000001E-4</v>
      </c>
      <c r="BA32" s="69">
        <f t="shared" si="138"/>
        <v>6.6E-4</v>
      </c>
      <c r="BB32" s="69">
        <f t="shared" si="139"/>
        <v>6.6E-4</v>
      </c>
      <c r="BC32" s="69">
        <f t="shared" si="140"/>
        <v>6.6E-4</v>
      </c>
      <c r="BD32" s="69">
        <f t="shared" si="141"/>
        <v>6.6E-4</v>
      </c>
      <c r="BE32" s="69">
        <f t="shared" si="141"/>
        <v>4.0000000000000002E-4</v>
      </c>
      <c r="BF32" s="69">
        <f t="shared" si="141"/>
        <v>4.0000000000000002E-4</v>
      </c>
      <c r="BG32" s="69">
        <f t="shared" si="141"/>
        <v>4.0000000000000002E-4</v>
      </c>
      <c r="BH32" s="69">
        <f t="shared" si="156"/>
        <v>4.0000000000000002E-4</v>
      </c>
      <c r="BI32" s="69">
        <f t="shared" si="142"/>
        <v>3.6999999999999999E-4</v>
      </c>
      <c r="BJ32" s="69">
        <f t="shared" si="143"/>
        <v>3.6999999999999999E-4</v>
      </c>
      <c r="BK32" s="69">
        <f t="shared" si="144"/>
        <v>3.6999999999999999E-4</v>
      </c>
      <c r="BL32" s="69">
        <f t="shared" si="145"/>
        <v>3.6999999999999999E-4</v>
      </c>
      <c r="BM32" s="69">
        <f t="shared" si="146"/>
        <v>3.3E-4</v>
      </c>
      <c r="BN32" s="69">
        <f t="shared" si="147"/>
        <v>3.3E-4</v>
      </c>
      <c r="BO32" s="69">
        <f t="shared" si="148"/>
        <v>3.3E-4</v>
      </c>
      <c r="BP32" s="69">
        <f t="shared" si="149"/>
        <v>3.3E-4</v>
      </c>
      <c r="BQ32" s="75">
        <f t="shared" si="153"/>
        <v>2.7999999999999998E-4</v>
      </c>
      <c r="BR32" s="75">
        <f t="shared" si="157"/>
        <v>2.7999999999999998E-4</v>
      </c>
      <c r="BS32" s="75">
        <f t="shared" si="158"/>
        <v>2.7999999999999998E-4</v>
      </c>
      <c r="BT32" s="75">
        <f t="shared" si="159"/>
        <v>2.7999999999999998E-4</v>
      </c>
      <c r="BU32" s="75">
        <f t="shared" si="160"/>
        <v>4.8999999999999998E-4</v>
      </c>
      <c r="BV32" s="75">
        <f t="shared" si="161"/>
        <v>4.8999999999999998E-4</v>
      </c>
      <c r="BW32" s="75">
        <f t="shared" si="162"/>
        <v>4.8999999999999998E-4</v>
      </c>
      <c r="BX32" s="75">
        <f t="shared" si="163"/>
        <v>4.8999999999999998E-4</v>
      </c>
      <c r="BY32" s="75">
        <f t="shared" si="164"/>
        <v>4.8999999999999998E-4</v>
      </c>
      <c r="BZ32" s="75">
        <f t="shared" si="165"/>
        <v>4.8999999999999998E-4</v>
      </c>
      <c r="CA32" s="75">
        <f t="shared" si="166"/>
        <v>4.8999999999999998E-4</v>
      </c>
      <c r="CB32" s="75">
        <f t="shared" si="167"/>
        <v>4.8999999999999998E-4</v>
      </c>
      <c r="CC32" s="69">
        <f t="shared" si="6"/>
        <v>2.5000000000000001E-4</v>
      </c>
      <c r="CD32" s="69">
        <f t="shared" si="7"/>
        <v>2.5000000000000001E-4</v>
      </c>
      <c r="CE32" s="69">
        <f t="shared" si="8"/>
        <v>2.5000000000000001E-4</v>
      </c>
      <c r="CF32" s="69">
        <f t="shared" si="9"/>
        <v>2.5000000000000001E-4</v>
      </c>
      <c r="CG32" s="69">
        <f t="shared" si="10"/>
        <v>5.0000000000000001E-4</v>
      </c>
      <c r="CH32" s="69">
        <f t="shared" si="11"/>
        <v>5.0000000000000001E-4</v>
      </c>
      <c r="CI32" s="69">
        <f t="shared" si="12"/>
        <v>5.0000000000000001E-4</v>
      </c>
      <c r="CJ32" s="69">
        <f t="shared" si="13"/>
        <v>5.0000000000000001E-4</v>
      </c>
      <c r="CK32" s="69">
        <f t="shared" si="14"/>
        <v>1E-3</v>
      </c>
      <c r="CL32" s="69">
        <f t="shared" si="15"/>
        <v>1E-3</v>
      </c>
      <c r="CM32" s="69">
        <f t="shared" si="16"/>
        <v>1E-3</v>
      </c>
      <c r="CN32" s="69">
        <f t="shared" si="17"/>
        <v>1E-3</v>
      </c>
      <c r="CO32" s="69">
        <v>0</v>
      </c>
      <c r="CP32" s="69">
        <v>0</v>
      </c>
      <c r="CQ32" s="69">
        <v>0</v>
      </c>
      <c r="CR32" s="69">
        <v>0</v>
      </c>
      <c r="CS32" s="69">
        <v>5.0000000000000001E-3</v>
      </c>
      <c r="CT32" s="69">
        <v>5.0000000000000001E-3</v>
      </c>
      <c r="CU32" s="69">
        <v>2.5000000000000001E-3</v>
      </c>
      <c r="CV32" s="69">
        <v>2.5000000000000001E-3</v>
      </c>
      <c r="CW32" s="69">
        <v>0</v>
      </c>
      <c r="CX32" s="69">
        <v>0</v>
      </c>
      <c r="CY32" s="69">
        <v>0</v>
      </c>
      <c r="CZ32" s="69">
        <v>0</v>
      </c>
      <c r="DA32" s="62">
        <f t="shared" si="18"/>
        <v>1.5E-3</v>
      </c>
      <c r="DB32" s="62">
        <f t="shared" si="19"/>
        <v>2.5000000000000001E-3</v>
      </c>
      <c r="DC32" s="62">
        <v>3.2000000000000002E-3</v>
      </c>
      <c r="DD32" s="62">
        <f t="shared" si="20"/>
        <v>2.0999999999999999E-3</v>
      </c>
      <c r="DE32" s="62">
        <f t="shared" si="21"/>
        <v>2E-3</v>
      </c>
      <c r="DF32" s="62">
        <f t="shared" si="22"/>
        <v>2.2000000000000001E-3</v>
      </c>
      <c r="DG32" s="62">
        <f t="shared" si="23"/>
        <v>2.3E-3</v>
      </c>
      <c r="DH32" s="62">
        <f t="shared" si="24"/>
        <v>2.5000000000000001E-3</v>
      </c>
      <c r="DI32" s="62">
        <f t="shared" si="25"/>
        <v>2.5999999999999999E-3</v>
      </c>
      <c r="DJ32" s="62">
        <f t="shared" si="26"/>
        <v>3.2000000000000002E-3</v>
      </c>
      <c r="DK32" s="62">
        <f t="shared" si="27"/>
        <v>2.9999999999999997E-4</v>
      </c>
      <c r="DL32" s="62">
        <f t="shared" si="28"/>
        <v>2.5000000000000001E-3</v>
      </c>
      <c r="DM32" s="62">
        <f t="shared" si="29"/>
        <v>5.0000000000000001E-4</v>
      </c>
      <c r="DN32" s="62">
        <f t="shared" si="30"/>
        <v>1.1999999999999999E-3</v>
      </c>
      <c r="DO32" s="62">
        <f t="shared" si="31"/>
        <v>1.9E-3</v>
      </c>
      <c r="DP32" s="62">
        <f t="shared" si="32"/>
        <v>1E-3</v>
      </c>
      <c r="DQ32" s="62">
        <f t="shared" si="33"/>
        <v>2.0999999999999999E-3</v>
      </c>
      <c r="DR32" s="62">
        <f t="shared" si="34"/>
        <v>8.9999999999999998E-4</v>
      </c>
      <c r="DS32" s="62">
        <f t="shared" si="35"/>
        <v>2.0999999999999999E-3</v>
      </c>
      <c r="DT32" s="62">
        <f t="shared" si="36"/>
        <v>1.4E-3</v>
      </c>
      <c r="DU32" s="62">
        <f t="shared" si="37"/>
        <v>1.6000000000000001E-3</v>
      </c>
      <c r="DV32" s="62">
        <f t="shared" si="38"/>
        <v>2.3999999999999998E-3</v>
      </c>
      <c r="DW32" s="62">
        <f t="shared" si="39"/>
        <v>5.0000000000000001E-3</v>
      </c>
      <c r="DX32" s="62">
        <f t="shared" si="40"/>
        <v>2E-3</v>
      </c>
      <c r="DY32" s="62">
        <f t="shared" si="41"/>
        <v>0</v>
      </c>
      <c r="DZ32" s="62">
        <f t="shared" si="42"/>
        <v>1.5E-3</v>
      </c>
      <c r="EA32" s="62">
        <f t="shared" si="43"/>
        <v>2.0000000000000001E-4</v>
      </c>
      <c r="EB32" s="62">
        <f t="shared" si="44"/>
        <v>1.5E-3</v>
      </c>
      <c r="EC32" s="62">
        <f t="shared" si="45"/>
        <v>2.7000000000000001E-3</v>
      </c>
      <c r="ED32" s="62">
        <f t="shared" si="46"/>
        <v>2.5000000000000001E-3</v>
      </c>
      <c r="EE32" s="62">
        <f t="shared" si="47"/>
        <v>0</v>
      </c>
      <c r="EF32" s="62">
        <f t="shared" si="48"/>
        <v>2.5000000000000001E-3</v>
      </c>
      <c r="EG32" s="62">
        <f t="shared" si="49"/>
        <v>1.1000000000000001E-3</v>
      </c>
      <c r="EH32" s="62">
        <f t="shared" si="50"/>
        <v>2.5000000000000001E-3</v>
      </c>
      <c r="EI32" s="62">
        <f t="shared" si="51"/>
        <v>8.0000000000000004E-4</v>
      </c>
      <c r="EJ32" s="62">
        <f t="shared" si="52"/>
        <v>2.5000000000000001E-3</v>
      </c>
      <c r="EK32" s="62">
        <f t="shared" si="53"/>
        <v>7.5000000000000002E-4</v>
      </c>
      <c r="EL32" s="62">
        <f t="shared" si="54"/>
        <v>2.5000000000000001E-3</v>
      </c>
      <c r="EM32" s="62">
        <f t="shared" si="55"/>
        <v>3.2000000000000002E-3</v>
      </c>
      <c r="EN32" s="62">
        <f t="shared" si="56"/>
        <v>2.3999999999999998E-3</v>
      </c>
      <c r="EO32" s="62">
        <f t="shared" si="57"/>
        <v>0</v>
      </c>
      <c r="EP32" s="62">
        <f t="shared" si="58"/>
        <v>2E-3</v>
      </c>
      <c r="EQ32" s="62">
        <f t="shared" si="59"/>
        <v>1.1000000000000001E-3</v>
      </c>
      <c r="ER32" s="62">
        <f t="shared" si="60"/>
        <v>2.2000000000000001E-3</v>
      </c>
      <c r="ES32" s="62">
        <f t="shared" si="61"/>
        <v>1E-3</v>
      </c>
      <c r="ET32" s="62">
        <f t="shared" si="62"/>
        <v>4.0000000000000001E-3</v>
      </c>
      <c r="EU32" s="62">
        <f t="shared" si="63"/>
        <v>3.7000000000000002E-3</v>
      </c>
      <c r="EV32" s="62">
        <f t="shared" si="64"/>
        <v>4.7999999999999996E-3</v>
      </c>
      <c r="EW32" s="62">
        <f t="shared" si="65"/>
        <v>0</v>
      </c>
      <c r="EX32" s="62">
        <f t="shared" si="66"/>
        <v>2.5000000000000001E-3</v>
      </c>
      <c r="EY32" s="62">
        <f t="shared" si="67"/>
        <v>2.5000000000000001E-3</v>
      </c>
      <c r="EZ32" s="62">
        <f t="shared" si="68"/>
        <v>3.8999999999999998E-3</v>
      </c>
      <c r="FA32" s="62">
        <f t="shared" si="69"/>
        <v>6.1999999999999998E-3</v>
      </c>
      <c r="FB32" s="62">
        <f t="shared" si="70"/>
        <v>5.1000000000000004E-3</v>
      </c>
      <c r="FC32" s="62">
        <f t="shared" si="71"/>
        <v>2.8999999999999998E-3</v>
      </c>
      <c r="FD32" s="62">
        <f t="shared" si="72"/>
        <v>1.5E-3</v>
      </c>
      <c r="FE32" s="62">
        <f t="shared" si="73"/>
        <v>2.8E-3</v>
      </c>
      <c r="FF32" s="62">
        <f t="shared" si="74"/>
        <v>1.5E-3</v>
      </c>
      <c r="FG32" s="62">
        <f t="shared" si="75"/>
        <v>2.5999999999999999E-3</v>
      </c>
      <c r="FH32" s="62">
        <f t="shared" si="76"/>
        <v>1.5E-3</v>
      </c>
      <c r="FI32" s="62">
        <f t="shared" si="77"/>
        <v>2.7000000000000001E-3</v>
      </c>
      <c r="FJ32" s="62">
        <f t="shared" si="78"/>
        <v>1.5E-3</v>
      </c>
      <c r="FK32" s="62">
        <f t="shared" si="79"/>
        <v>3.3999999999999998E-3</v>
      </c>
      <c r="FL32" s="62">
        <f t="shared" si="80"/>
        <v>8.9999999999999998E-4</v>
      </c>
      <c r="FM32" s="62">
        <f t="shared" si="81"/>
        <v>2.6999999999999997E-3</v>
      </c>
      <c r="FN32" s="62">
        <f t="shared" si="82"/>
        <v>0</v>
      </c>
      <c r="FO32" s="62">
        <f t="shared" si="83"/>
        <v>2.5000000000000001E-3</v>
      </c>
      <c r="FP32" s="62">
        <f t="shared" si="84"/>
        <v>2.5000000000000001E-3</v>
      </c>
      <c r="FQ32" s="62">
        <f t="shared" si="85"/>
        <v>1.8E-3</v>
      </c>
      <c r="FR32" s="62">
        <f t="shared" si="86"/>
        <v>2E-3</v>
      </c>
      <c r="FS32" s="62">
        <f t="shared" si="87"/>
        <v>1.2999999999999999E-3</v>
      </c>
      <c r="FT32" s="62">
        <f t="shared" si="88"/>
        <v>2.3E-3</v>
      </c>
      <c r="FU32" s="62">
        <f t="shared" si="89"/>
        <v>2E-3</v>
      </c>
      <c r="FV32" s="62">
        <f t="shared" si="90"/>
        <v>2.3999999999999998E-3</v>
      </c>
      <c r="FW32" s="62">
        <f t="shared" si="91"/>
        <v>2.0999999999999999E-3</v>
      </c>
      <c r="FX32" s="62">
        <f t="shared" si="92"/>
        <v>4.0000000000000002E-4</v>
      </c>
      <c r="FY32" s="62">
        <f t="shared" si="93"/>
        <v>2.5000000000000001E-3</v>
      </c>
      <c r="FZ32" s="62">
        <f t="shared" si="94"/>
        <v>5.0000000000000001E-4</v>
      </c>
      <c r="GA32" s="62">
        <f t="shared" si="95"/>
        <v>2.5000000000000001E-3</v>
      </c>
      <c r="GB32" s="62">
        <f t="shared" si="96"/>
        <v>4.0000000000000002E-4</v>
      </c>
      <c r="GC32" s="62">
        <f t="shared" si="97"/>
        <v>1.7499999999999998E-3</v>
      </c>
      <c r="GD32" s="62">
        <f t="shared" si="98"/>
        <v>0</v>
      </c>
      <c r="GE32" s="62">
        <f t="shared" si="99"/>
        <v>1.6999999999999999E-3</v>
      </c>
      <c r="GF32" s="62">
        <f t="shared" si="100"/>
        <v>2.7500000000000002E-4</v>
      </c>
      <c r="GG32" s="62">
        <f t="shared" si="101"/>
        <v>1.719E-3</v>
      </c>
      <c r="GH32" s="62">
        <f t="shared" si="102"/>
        <v>3.0000000000000001E-3</v>
      </c>
      <c r="GI32" s="62">
        <f t="shared" si="103"/>
        <v>2.8999999999999998E-3</v>
      </c>
      <c r="GJ32" s="62">
        <f t="shared" si="104"/>
        <v>2.5000000000000001E-3</v>
      </c>
      <c r="GK32" s="62">
        <f t="shared" si="105"/>
        <v>2.7000000000000001E-3</v>
      </c>
      <c r="GL32" s="62">
        <f t="shared" si="106"/>
        <v>2.5000000000000001E-3</v>
      </c>
      <c r="GM32" s="62">
        <f t="shared" si="107"/>
        <v>2.2000000000000001E-3</v>
      </c>
      <c r="GN32" s="62">
        <f t="shared" si="108"/>
        <v>1.6000000000000001E-3</v>
      </c>
      <c r="GO32" s="62">
        <f t="shared" si="109"/>
        <v>1E-4</v>
      </c>
      <c r="GP32" s="62">
        <f t="shared" si="110"/>
        <v>1E-4</v>
      </c>
      <c r="GQ32" s="62">
        <f t="shared" si="111"/>
        <v>1.1000000000000001E-3</v>
      </c>
      <c r="GR32" s="62">
        <f t="shared" si="112"/>
        <v>2.0000000000000001E-4</v>
      </c>
      <c r="GS32" s="62">
        <f t="shared" si="113"/>
        <v>2.5000000000000001E-3</v>
      </c>
      <c r="GT32" s="62">
        <f t="shared" si="114"/>
        <v>3.3E-3</v>
      </c>
      <c r="GU32" s="62">
        <f t="shared" si="115"/>
        <v>4.0000000000000001E-3</v>
      </c>
      <c r="GV32" s="62">
        <f t="shared" si="116"/>
        <v>3.5000000000000001E-3</v>
      </c>
      <c r="GW32" s="62">
        <f t="shared" si="117"/>
        <v>3.3E-3</v>
      </c>
      <c r="GX32" s="62">
        <f t="shared" si="118"/>
        <v>3.3999999999999998E-3</v>
      </c>
      <c r="GY32" s="62">
        <f t="shared" si="119"/>
        <v>5.0000000000000001E-3</v>
      </c>
      <c r="GZ32" s="62">
        <f t="shared" si="120"/>
        <v>2.5000000000000001E-3</v>
      </c>
      <c r="HA32" s="62">
        <f t="shared" si="121"/>
        <v>2.63E-3</v>
      </c>
      <c r="HB32" s="62">
        <f t="shared" si="122"/>
        <v>6.9999999999999999E-4</v>
      </c>
      <c r="HC32" s="62">
        <f t="shared" si="123"/>
        <v>5.0000000000000001E-4</v>
      </c>
      <c r="HD32" s="62">
        <f t="shared" si="124"/>
        <v>6.9999999999999999E-4</v>
      </c>
      <c r="HE32" s="62">
        <f t="shared" si="125"/>
        <v>4.4999999999999997E-3</v>
      </c>
      <c r="HF32" s="62">
        <f t="shared" si="126"/>
        <v>0</v>
      </c>
      <c r="HG32" s="62">
        <f t="shared" si="127"/>
        <v>6.0000000000000001E-3</v>
      </c>
      <c r="HH32" s="62">
        <f t="shared" si="128"/>
        <v>8.9999999999999998E-4</v>
      </c>
      <c r="HI32" s="62">
        <f t="shared" si="129"/>
        <v>6.0000000000000001E-3</v>
      </c>
    </row>
    <row r="33" spans="2:217" x14ac:dyDescent="0.2">
      <c r="B33" s="72">
        <f t="shared" si="4"/>
        <v>27</v>
      </c>
      <c r="D33" s="62">
        <v>0</v>
      </c>
      <c r="E33" s="73">
        <v>2.3000000000000001E-4</v>
      </c>
      <c r="F33" s="73">
        <v>8.0000000000000004E-4</v>
      </c>
      <c r="G33" s="73">
        <v>4.7000000000000002E-3</v>
      </c>
      <c r="H33" s="73">
        <v>5.9999999999999995E-4</v>
      </c>
      <c r="I33" s="73">
        <v>2.5999999999999999E-3</v>
      </c>
      <c r="J33" s="73">
        <v>3.5999999999999999E-3</v>
      </c>
      <c r="K33" s="73">
        <v>8.0000000000000004E-4</v>
      </c>
      <c r="L33" s="73">
        <v>1E-4</v>
      </c>
      <c r="M33" s="73">
        <v>6.9999999999999999E-4</v>
      </c>
      <c r="N33" s="73">
        <v>1.8E-3</v>
      </c>
      <c r="O33" s="73">
        <v>2.9999999999999997E-4</v>
      </c>
      <c r="P33" s="73">
        <v>1.7499999999999998E-3</v>
      </c>
      <c r="Q33" s="73">
        <v>6.9999999999999999E-4</v>
      </c>
      <c r="R33" s="73">
        <v>2.5000000000000001E-3</v>
      </c>
      <c r="S33" s="73">
        <v>3.3999999999999998E-3</v>
      </c>
      <c r="T33" s="73">
        <v>6.9999999999999999E-4</v>
      </c>
      <c r="U33" s="73">
        <v>2.3999999999999998E-3</v>
      </c>
      <c r="V33" s="73">
        <v>4.1000000000000003E-3</v>
      </c>
      <c r="W33" s="73">
        <v>3.8999999999999998E-3</v>
      </c>
      <c r="X33" s="73">
        <v>4.0000000000000001E-3</v>
      </c>
      <c r="Y33" s="73">
        <v>3.3999999999999998E-3</v>
      </c>
      <c r="Z33" s="73">
        <v>2.3999999999999998E-3</v>
      </c>
      <c r="AA33" s="73">
        <v>8.0000000000000004E-4</v>
      </c>
      <c r="AB33" s="73">
        <v>2.5000000000000001E-3</v>
      </c>
      <c r="AC33" s="73">
        <v>2.3999999999999998E-3</v>
      </c>
      <c r="AD33" s="73">
        <v>2.5000000000000001E-3</v>
      </c>
      <c r="AE33" s="73">
        <v>8.9999999999999998E-4</v>
      </c>
      <c r="AF33" s="73">
        <v>4.7999999999999996E-3</v>
      </c>
      <c r="AG33" s="73">
        <v>2E-3</v>
      </c>
      <c r="AH33" s="73">
        <v>2.8999999999999998E-3</v>
      </c>
      <c r="AI33" s="73">
        <v>5.0000000000000001E-4</v>
      </c>
      <c r="AJ33" s="73">
        <v>2.5000000000000001E-3</v>
      </c>
      <c r="AK33" s="62">
        <v>3.3E-4</v>
      </c>
      <c r="AL33" s="62">
        <v>9.6000000000000002E-4</v>
      </c>
      <c r="AM33" s="62">
        <f t="shared" si="154"/>
        <v>1E-4</v>
      </c>
      <c r="AN33" s="62">
        <f t="shared" si="154"/>
        <v>0</v>
      </c>
      <c r="AO33" s="62">
        <f t="shared" si="155"/>
        <v>2.5000000000000001E-3</v>
      </c>
      <c r="AP33" s="62">
        <f t="shared" si="5"/>
        <v>1.6999999999999999E-3</v>
      </c>
      <c r="AQ33" s="62">
        <f t="shared" si="5"/>
        <v>1.8E-3</v>
      </c>
      <c r="AR33" s="62">
        <v>3.5E-4</v>
      </c>
      <c r="AS33" s="62">
        <v>2.5999999999999998E-4</v>
      </c>
      <c r="AT33" s="62">
        <v>3.5E-4</v>
      </c>
      <c r="AU33" s="62">
        <v>8.7000000000000001E-4</v>
      </c>
      <c r="AV33" s="62">
        <v>1.47E-3</v>
      </c>
      <c r="AW33" s="69">
        <f t="shared" si="131"/>
        <v>1.4000000000000001E-4</v>
      </c>
      <c r="AX33" s="69">
        <f t="shared" si="132"/>
        <v>1.4000000000000001E-4</v>
      </c>
      <c r="AY33" s="69">
        <f t="shared" si="133"/>
        <v>1.4000000000000001E-4</v>
      </c>
      <c r="AZ33" s="69">
        <f t="shared" si="134"/>
        <v>1.4000000000000001E-4</v>
      </c>
      <c r="BA33" s="69">
        <f t="shared" si="138"/>
        <v>6.6E-4</v>
      </c>
      <c r="BB33" s="69">
        <f t="shared" si="139"/>
        <v>6.6E-4</v>
      </c>
      <c r="BC33" s="69">
        <f t="shared" si="140"/>
        <v>6.6E-4</v>
      </c>
      <c r="BD33" s="69">
        <f t="shared" si="141"/>
        <v>6.6E-4</v>
      </c>
      <c r="BE33" s="69">
        <f t="shared" si="141"/>
        <v>4.0000000000000002E-4</v>
      </c>
      <c r="BF33" s="69">
        <f t="shared" si="141"/>
        <v>4.0000000000000002E-4</v>
      </c>
      <c r="BG33" s="69">
        <f t="shared" si="141"/>
        <v>4.0000000000000002E-4</v>
      </c>
      <c r="BH33" s="69">
        <f t="shared" si="156"/>
        <v>4.0000000000000002E-4</v>
      </c>
      <c r="BI33" s="69">
        <f t="shared" si="142"/>
        <v>3.6999999999999999E-4</v>
      </c>
      <c r="BJ33" s="69">
        <f t="shared" si="143"/>
        <v>3.6999999999999999E-4</v>
      </c>
      <c r="BK33" s="69">
        <f t="shared" si="144"/>
        <v>3.6999999999999999E-4</v>
      </c>
      <c r="BL33" s="69">
        <f t="shared" si="145"/>
        <v>3.6999999999999999E-4</v>
      </c>
      <c r="BM33" s="69">
        <f t="shared" si="146"/>
        <v>3.3E-4</v>
      </c>
      <c r="BN33" s="69">
        <f t="shared" si="147"/>
        <v>3.3E-4</v>
      </c>
      <c r="BO33" s="69">
        <f t="shared" si="148"/>
        <v>3.3E-4</v>
      </c>
      <c r="BP33" s="69">
        <f t="shared" si="149"/>
        <v>3.3E-4</v>
      </c>
      <c r="BQ33" s="75">
        <f t="shared" si="153"/>
        <v>2.7999999999999998E-4</v>
      </c>
      <c r="BR33" s="75">
        <f t="shared" si="157"/>
        <v>2.7999999999999998E-4</v>
      </c>
      <c r="BS33" s="75">
        <f t="shared" si="158"/>
        <v>2.7999999999999998E-4</v>
      </c>
      <c r="BT33" s="75">
        <f t="shared" si="159"/>
        <v>2.7999999999999998E-4</v>
      </c>
      <c r="BU33" s="75">
        <f t="shared" si="160"/>
        <v>4.8999999999999998E-4</v>
      </c>
      <c r="BV33" s="75">
        <f t="shared" si="161"/>
        <v>4.8999999999999998E-4</v>
      </c>
      <c r="BW33" s="75">
        <f t="shared" si="162"/>
        <v>4.8999999999999998E-4</v>
      </c>
      <c r="BX33" s="75">
        <f t="shared" si="163"/>
        <v>4.8999999999999998E-4</v>
      </c>
      <c r="BY33" s="75">
        <f t="shared" si="164"/>
        <v>4.8999999999999998E-4</v>
      </c>
      <c r="BZ33" s="75">
        <f t="shared" si="165"/>
        <v>4.8999999999999998E-4</v>
      </c>
      <c r="CA33" s="75">
        <f t="shared" si="166"/>
        <v>4.8999999999999998E-4</v>
      </c>
      <c r="CB33" s="75">
        <f t="shared" si="167"/>
        <v>4.8999999999999998E-4</v>
      </c>
      <c r="CC33" s="69">
        <f t="shared" si="6"/>
        <v>2.5000000000000001E-4</v>
      </c>
      <c r="CD33" s="69">
        <f t="shared" si="7"/>
        <v>2.5000000000000001E-4</v>
      </c>
      <c r="CE33" s="69">
        <f t="shared" si="8"/>
        <v>2.5000000000000001E-4</v>
      </c>
      <c r="CF33" s="69">
        <f t="shared" si="9"/>
        <v>2.5000000000000001E-4</v>
      </c>
      <c r="CG33" s="69">
        <f t="shared" si="10"/>
        <v>5.0000000000000001E-4</v>
      </c>
      <c r="CH33" s="69">
        <f t="shared" si="11"/>
        <v>5.0000000000000001E-4</v>
      </c>
      <c r="CI33" s="69">
        <f t="shared" si="12"/>
        <v>5.0000000000000001E-4</v>
      </c>
      <c r="CJ33" s="69">
        <f t="shared" si="13"/>
        <v>5.0000000000000001E-4</v>
      </c>
      <c r="CK33" s="69">
        <f t="shared" si="14"/>
        <v>1E-3</v>
      </c>
      <c r="CL33" s="69">
        <f t="shared" si="15"/>
        <v>1E-3</v>
      </c>
      <c r="CM33" s="69">
        <f t="shared" si="16"/>
        <v>1E-3</v>
      </c>
      <c r="CN33" s="69">
        <f t="shared" si="17"/>
        <v>1E-3</v>
      </c>
      <c r="CO33" s="69">
        <v>0</v>
      </c>
      <c r="CP33" s="69">
        <v>0</v>
      </c>
      <c r="CQ33" s="69">
        <v>0</v>
      </c>
      <c r="CR33" s="69">
        <v>0</v>
      </c>
      <c r="CS33" s="69">
        <v>0</v>
      </c>
      <c r="CT33" s="69">
        <v>0</v>
      </c>
      <c r="CU33" s="69">
        <v>0</v>
      </c>
      <c r="CV33" s="69">
        <v>0</v>
      </c>
      <c r="CW33" s="69">
        <v>0</v>
      </c>
      <c r="CX33" s="69">
        <v>0</v>
      </c>
      <c r="CY33" s="69">
        <v>0</v>
      </c>
      <c r="CZ33" s="69">
        <v>0</v>
      </c>
      <c r="DA33" s="62">
        <f t="shared" si="18"/>
        <v>1.5E-3</v>
      </c>
      <c r="DB33" s="62">
        <f t="shared" si="19"/>
        <v>2.5000000000000001E-3</v>
      </c>
      <c r="DC33" s="62">
        <v>3.2000000000000002E-3</v>
      </c>
      <c r="DD33" s="62">
        <f t="shared" si="20"/>
        <v>2.0999999999999999E-3</v>
      </c>
      <c r="DE33" s="62">
        <f t="shared" si="21"/>
        <v>2E-3</v>
      </c>
      <c r="DF33" s="62">
        <f t="shared" si="22"/>
        <v>2.2000000000000001E-3</v>
      </c>
      <c r="DG33" s="62">
        <f t="shared" si="23"/>
        <v>2.3E-3</v>
      </c>
      <c r="DH33" s="62">
        <f t="shared" si="24"/>
        <v>2.5000000000000001E-3</v>
      </c>
      <c r="DI33" s="62">
        <f t="shared" si="25"/>
        <v>2.5999999999999999E-3</v>
      </c>
      <c r="DJ33" s="62">
        <f t="shared" si="26"/>
        <v>3.2000000000000002E-3</v>
      </c>
      <c r="DK33" s="62">
        <f t="shared" si="27"/>
        <v>2.9999999999999997E-4</v>
      </c>
      <c r="DL33" s="62">
        <f t="shared" si="28"/>
        <v>2.5000000000000001E-3</v>
      </c>
      <c r="DM33" s="62">
        <f t="shared" si="29"/>
        <v>5.0000000000000001E-4</v>
      </c>
      <c r="DN33" s="62">
        <f t="shared" si="30"/>
        <v>1.1999999999999999E-3</v>
      </c>
      <c r="DO33" s="62">
        <f t="shared" si="31"/>
        <v>1.9E-3</v>
      </c>
      <c r="DP33" s="62">
        <f t="shared" si="32"/>
        <v>1E-3</v>
      </c>
      <c r="DQ33" s="62">
        <f t="shared" si="33"/>
        <v>2.0999999999999999E-3</v>
      </c>
      <c r="DR33" s="62">
        <f t="shared" si="34"/>
        <v>8.9999999999999998E-4</v>
      </c>
      <c r="DS33" s="62">
        <f t="shared" si="35"/>
        <v>2.0999999999999999E-3</v>
      </c>
      <c r="DT33" s="62">
        <f t="shared" si="36"/>
        <v>1.4E-3</v>
      </c>
      <c r="DU33" s="62">
        <f t="shared" si="37"/>
        <v>1.6000000000000001E-3</v>
      </c>
      <c r="DV33" s="62">
        <f t="shared" si="38"/>
        <v>2.3999999999999998E-3</v>
      </c>
      <c r="DW33" s="62">
        <f t="shared" si="39"/>
        <v>5.0000000000000001E-3</v>
      </c>
      <c r="DX33" s="62">
        <f t="shared" si="40"/>
        <v>2E-3</v>
      </c>
      <c r="DY33" s="62">
        <f t="shared" si="41"/>
        <v>0</v>
      </c>
      <c r="DZ33" s="62">
        <f t="shared" si="42"/>
        <v>1.5E-3</v>
      </c>
      <c r="EA33" s="62">
        <f t="shared" si="43"/>
        <v>2.0000000000000001E-4</v>
      </c>
      <c r="EB33" s="62">
        <f t="shared" si="44"/>
        <v>1.5E-3</v>
      </c>
      <c r="EC33" s="62">
        <f t="shared" si="45"/>
        <v>2.7000000000000001E-3</v>
      </c>
      <c r="ED33" s="62">
        <f t="shared" si="46"/>
        <v>2.5000000000000001E-3</v>
      </c>
      <c r="EE33" s="62">
        <f t="shared" si="47"/>
        <v>0</v>
      </c>
      <c r="EF33" s="62">
        <f t="shared" si="48"/>
        <v>2.5000000000000001E-3</v>
      </c>
      <c r="EG33" s="62">
        <f t="shared" si="49"/>
        <v>1.1000000000000001E-3</v>
      </c>
      <c r="EH33" s="62">
        <f t="shared" si="50"/>
        <v>2.5000000000000001E-3</v>
      </c>
      <c r="EI33" s="62">
        <f t="shared" si="51"/>
        <v>8.0000000000000004E-4</v>
      </c>
      <c r="EJ33" s="62">
        <f t="shared" si="52"/>
        <v>2.5000000000000001E-3</v>
      </c>
      <c r="EK33" s="62">
        <f t="shared" si="53"/>
        <v>7.5000000000000002E-4</v>
      </c>
      <c r="EL33" s="62">
        <f t="shared" si="54"/>
        <v>2.5000000000000001E-3</v>
      </c>
      <c r="EM33" s="62">
        <f t="shared" si="55"/>
        <v>3.2000000000000002E-3</v>
      </c>
      <c r="EN33" s="62">
        <f t="shared" si="56"/>
        <v>2.3999999999999998E-3</v>
      </c>
      <c r="EO33" s="62">
        <f t="shared" si="57"/>
        <v>0</v>
      </c>
      <c r="EP33" s="62">
        <f t="shared" si="58"/>
        <v>2E-3</v>
      </c>
      <c r="EQ33" s="62">
        <f t="shared" si="59"/>
        <v>1.1000000000000001E-3</v>
      </c>
      <c r="ER33" s="62">
        <f t="shared" si="60"/>
        <v>2.2000000000000001E-3</v>
      </c>
      <c r="ES33" s="62">
        <f t="shared" si="61"/>
        <v>1E-3</v>
      </c>
      <c r="ET33" s="62">
        <f t="shared" si="62"/>
        <v>4.0000000000000001E-3</v>
      </c>
      <c r="EU33" s="62">
        <f t="shared" si="63"/>
        <v>3.7000000000000002E-3</v>
      </c>
      <c r="EV33" s="62">
        <f t="shared" si="64"/>
        <v>4.7999999999999996E-3</v>
      </c>
      <c r="EW33" s="62">
        <f t="shared" si="65"/>
        <v>0</v>
      </c>
      <c r="EX33" s="62">
        <f t="shared" si="66"/>
        <v>2.5000000000000001E-3</v>
      </c>
      <c r="EY33" s="62">
        <f t="shared" si="67"/>
        <v>2.5000000000000001E-3</v>
      </c>
      <c r="EZ33" s="62">
        <f t="shared" si="68"/>
        <v>3.8999999999999998E-3</v>
      </c>
      <c r="FA33" s="62">
        <f t="shared" si="69"/>
        <v>6.1999999999999998E-3</v>
      </c>
      <c r="FB33" s="62">
        <f t="shared" si="70"/>
        <v>5.1000000000000004E-3</v>
      </c>
      <c r="FC33" s="62">
        <f t="shared" si="71"/>
        <v>2.8999999999999998E-3</v>
      </c>
      <c r="FD33" s="62">
        <f t="shared" si="72"/>
        <v>1.5E-3</v>
      </c>
      <c r="FE33" s="62">
        <f t="shared" si="73"/>
        <v>2.8E-3</v>
      </c>
      <c r="FF33" s="62">
        <f t="shared" si="74"/>
        <v>1.5E-3</v>
      </c>
      <c r="FG33" s="62">
        <f t="shared" si="75"/>
        <v>2.5999999999999999E-3</v>
      </c>
      <c r="FH33" s="62">
        <f t="shared" si="76"/>
        <v>1.5E-3</v>
      </c>
      <c r="FI33" s="62">
        <f t="shared" si="77"/>
        <v>2.7000000000000001E-3</v>
      </c>
      <c r="FJ33" s="62">
        <f t="shared" si="78"/>
        <v>1.5E-3</v>
      </c>
      <c r="FK33" s="62">
        <f t="shared" si="79"/>
        <v>3.3999999999999998E-3</v>
      </c>
      <c r="FL33" s="62">
        <f t="shared" si="80"/>
        <v>8.9999999999999998E-4</v>
      </c>
      <c r="FM33" s="62">
        <f t="shared" si="81"/>
        <v>2.6999999999999997E-3</v>
      </c>
      <c r="FN33" s="62">
        <f t="shared" si="82"/>
        <v>0</v>
      </c>
      <c r="FO33" s="62">
        <f t="shared" si="83"/>
        <v>2.5000000000000001E-3</v>
      </c>
      <c r="FP33" s="62">
        <f t="shared" si="84"/>
        <v>2.5000000000000001E-3</v>
      </c>
      <c r="FQ33" s="62">
        <f t="shared" si="85"/>
        <v>1.8E-3</v>
      </c>
      <c r="FR33" s="62">
        <f t="shared" si="86"/>
        <v>2E-3</v>
      </c>
      <c r="FS33" s="62">
        <f t="shared" si="87"/>
        <v>1.2999999999999999E-3</v>
      </c>
      <c r="FT33" s="62">
        <f t="shared" si="88"/>
        <v>2.3E-3</v>
      </c>
      <c r="FU33" s="62">
        <f t="shared" si="89"/>
        <v>2E-3</v>
      </c>
      <c r="FV33" s="62">
        <f t="shared" si="90"/>
        <v>2.3999999999999998E-3</v>
      </c>
      <c r="FW33" s="62">
        <f t="shared" si="91"/>
        <v>2.0999999999999999E-3</v>
      </c>
      <c r="FX33" s="62">
        <f t="shared" si="92"/>
        <v>4.0000000000000002E-4</v>
      </c>
      <c r="FY33" s="62">
        <f t="shared" si="93"/>
        <v>2.5000000000000001E-3</v>
      </c>
      <c r="FZ33" s="62">
        <f t="shared" si="94"/>
        <v>5.0000000000000001E-4</v>
      </c>
      <c r="GA33" s="62">
        <f t="shared" si="95"/>
        <v>2.5000000000000001E-3</v>
      </c>
      <c r="GB33" s="62">
        <f t="shared" si="96"/>
        <v>4.0000000000000002E-4</v>
      </c>
      <c r="GC33" s="62">
        <f t="shared" si="97"/>
        <v>1.7499999999999998E-3</v>
      </c>
      <c r="GD33" s="62">
        <f t="shared" si="98"/>
        <v>0</v>
      </c>
      <c r="GE33" s="62">
        <f t="shared" si="99"/>
        <v>1.6999999999999999E-3</v>
      </c>
      <c r="GF33" s="62">
        <f t="shared" si="100"/>
        <v>2.7500000000000002E-4</v>
      </c>
      <c r="GG33" s="62">
        <f t="shared" si="101"/>
        <v>1.719E-3</v>
      </c>
      <c r="GH33" s="62">
        <f t="shared" si="102"/>
        <v>3.0000000000000001E-3</v>
      </c>
      <c r="GI33" s="62">
        <f t="shared" si="103"/>
        <v>2.8999999999999998E-3</v>
      </c>
      <c r="GJ33" s="62">
        <f t="shared" si="104"/>
        <v>2.5000000000000001E-3</v>
      </c>
      <c r="GK33" s="62">
        <f t="shared" si="105"/>
        <v>2.7000000000000001E-3</v>
      </c>
      <c r="GL33" s="62">
        <f t="shared" si="106"/>
        <v>2.5000000000000001E-3</v>
      </c>
      <c r="GM33" s="62">
        <f t="shared" si="107"/>
        <v>2.2000000000000001E-3</v>
      </c>
      <c r="GN33" s="62">
        <f t="shared" si="108"/>
        <v>1.6000000000000001E-3</v>
      </c>
      <c r="GO33" s="62">
        <f t="shared" si="109"/>
        <v>1E-4</v>
      </c>
      <c r="GP33" s="62">
        <f t="shared" si="110"/>
        <v>1E-4</v>
      </c>
      <c r="GQ33" s="62">
        <f t="shared" si="111"/>
        <v>1.1000000000000001E-3</v>
      </c>
      <c r="GR33" s="62">
        <f t="shared" si="112"/>
        <v>2.0000000000000001E-4</v>
      </c>
      <c r="GS33" s="62">
        <f t="shared" si="113"/>
        <v>2.5000000000000001E-3</v>
      </c>
      <c r="GT33" s="62">
        <f t="shared" si="114"/>
        <v>3.3E-3</v>
      </c>
      <c r="GU33" s="62">
        <f t="shared" si="115"/>
        <v>4.0000000000000001E-3</v>
      </c>
      <c r="GV33" s="62">
        <f t="shared" si="116"/>
        <v>3.5000000000000001E-3</v>
      </c>
      <c r="GW33" s="62">
        <f t="shared" si="117"/>
        <v>3.3E-3</v>
      </c>
      <c r="GX33" s="62">
        <f t="shared" si="118"/>
        <v>3.3999999999999998E-3</v>
      </c>
      <c r="GY33" s="62">
        <f t="shared" si="119"/>
        <v>5.0000000000000001E-3</v>
      </c>
      <c r="GZ33" s="62">
        <f t="shared" si="120"/>
        <v>2.5000000000000001E-3</v>
      </c>
      <c r="HA33" s="62">
        <f t="shared" si="121"/>
        <v>2.63E-3</v>
      </c>
      <c r="HB33" s="62">
        <f t="shared" si="122"/>
        <v>6.9999999999999999E-4</v>
      </c>
      <c r="HC33" s="62">
        <f t="shared" si="123"/>
        <v>5.0000000000000001E-4</v>
      </c>
      <c r="HD33" s="62">
        <f t="shared" si="124"/>
        <v>6.9999999999999999E-4</v>
      </c>
      <c r="HE33" s="62">
        <f t="shared" si="125"/>
        <v>4.4999999999999997E-3</v>
      </c>
      <c r="HF33" s="62">
        <f t="shared" si="126"/>
        <v>0</v>
      </c>
      <c r="HG33" s="62">
        <f t="shared" si="127"/>
        <v>6.0000000000000001E-3</v>
      </c>
      <c r="HH33" s="62">
        <f t="shared" si="128"/>
        <v>8.9999999999999998E-4</v>
      </c>
      <c r="HI33" s="62">
        <f t="shared" si="129"/>
        <v>6.0000000000000001E-3</v>
      </c>
    </row>
    <row r="34" spans="2:217" x14ac:dyDescent="0.2">
      <c r="B34" s="72">
        <f t="shared" si="4"/>
        <v>28</v>
      </c>
      <c r="D34" s="62">
        <v>0</v>
      </c>
      <c r="E34" s="73">
        <v>2.3000000000000001E-4</v>
      </c>
      <c r="F34" s="73">
        <v>8.0000000000000004E-4</v>
      </c>
      <c r="G34" s="73">
        <v>4.7000000000000002E-3</v>
      </c>
      <c r="H34" s="73">
        <v>5.9999999999999995E-4</v>
      </c>
      <c r="I34" s="73">
        <v>2.5999999999999999E-3</v>
      </c>
      <c r="J34" s="73">
        <v>3.5999999999999999E-3</v>
      </c>
      <c r="K34" s="73">
        <v>8.0000000000000004E-4</v>
      </c>
      <c r="L34" s="73">
        <v>1E-4</v>
      </c>
      <c r="M34" s="73">
        <v>6.9999999999999999E-4</v>
      </c>
      <c r="N34" s="73">
        <v>1.8E-3</v>
      </c>
      <c r="O34" s="73">
        <v>2.9999999999999997E-4</v>
      </c>
      <c r="P34" s="73">
        <v>1.7499999999999998E-3</v>
      </c>
      <c r="Q34" s="73">
        <v>6.9999999999999999E-4</v>
      </c>
      <c r="R34" s="73">
        <v>2.5000000000000001E-3</v>
      </c>
      <c r="S34" s="73">
        <v>3.3999999999999998E-3</v>
      </c>
      <c r="T34" s="73">
        <v>6.9999999999999999E-4</v>
      </c>
      <c r="U34" s="73">
        <v>2.3999999999999998E-3</v>
      </c>
      <c r="V34" s="73">
        <v>4.1000000000000003E-3</v>
      </c>
      <c r="W34" s="73">
        <v>3.8999999999999998E-3</v>
      </c>
      <c r="X34" s="73">
        <v>4.0000000000000001E-3</v>
      </c>
      <c r="Y34" s="73">
        <v>3.3999999999999998E-3</v>
      </c>
      <c r="Z34" s="73">
        <v>2.3999999999999998E-3</v>
      </c>
      <c r="AA34" s="73">
        <v>8.0000000000000004E-4</v>
      </c>
      <c r="AB34" s="73">
        <v>2.5000000000000001E-3</v>
      </c>
      <c r="AC34" s="73">
        <v>2.3999999999999998E-3</v>
      </c>
      <c r="AD34" s="73">
        <v>2.5000000000000001E-3</v>
      </c>
      <c r="AE34" s="73">
        <v>8.9999999999999998E-4</v>
      </c>
      <c r="AF34" s="73">
        <v>4.7999999999999996E-3</v>
      </c>
      <c r="AG34" s="73">
        <v>2E-3</v>
      </c>
      <c r="AH34" s="73">
        <v>2.8999999999999998E-3</v>
      </c>
      <c r="AI34" s="73">
        <v>5.0000000000000001E-4</v>
      </c>
      <c r="AJ34" s="73">
        <v>2.5000000000000001E-3</v>
      </c>
      <c r="AK34" s="62">
        <v>3.3E-4</v>
      </c>
      <c r="AL34" s="62">
        <v>9.6000000000000002E-4</v>
      </c>
      <c r="AM34" s="62">
        <f t="shared" si="154"/>
        <v>1E-4</v>
      </c>
      <c r="AN34" s="62">
        <f t="shared" si="154"/>
        <v>0</v>
      </c>
      <c r="AO34" s="62">
        <f t="shared" si="155"/>
        <v>2.5000000000000001E-3</v>
      </c>
      <c r="AP34" s="62">
        <f t="shared" si="5"/>
        <v>1.6999999999999999E-3</v>
      </c>
      <c r="AQ34" s="62">
        <f t="shared" si="5"/>
        <v>1.8E-3</v>
      </c>
      <c r="AR34" s="62">
        <v>3.5E-4</v>
      </c>
      <c r="AS34" s="62">
        <v>2.5999999999999998E-4</v>
      </c>
      <c r="AT34" s="62">
        <v>3.5E-4</v>
      </c>
      <c r="AU34" s="62">
        <v>8.7000000000000001E-4</v>
      </c>
      <c r="AV34" s="62">
        <v>1.47E-3</v>
      </c>
      <c r="AW34" s="69">
        <f t="shared" si="131"/>
        <v>1.4000000000000001E-4</v>
      </c>
      <c r="AX34" s="69">
        <f t="shared" si="132"/>
        <v>1.4000000000000001E-4</v>
      </c>
      <c r="AY34" s="69">
        <f t="shared" si="133"/>
        <v>1.4000000000000001E-4</v>
      </c>
      <c r="AZ34" s="69">
        <f t="shared" si="134"/>
        <v>1.4000000000000001E-4</v>
      </c>
      <c r="BA34" s="69">
        <f t="shared" si="138"/>
        <v>6.6E-4</v>
      </c>
      <c r="BB34" s="69">
        <f t="shared" si="139"/>
        <v>6.6E-4</v>
      </c>
      <c r="BC34" s="69">
        <f t="shared" si="140"/>
        <v>6.6E-4</v>
      </c>
      <c r="BD34" s="69">
        <f t="shared" si="141"/>
        <v>6.6E-4</v>
      </c>
      <c r="BE34" s="69">
        <f t="shared" si="141"/>
        <v>4.0000000000000002E-4</v>
      </c>
      <c r="BF34" s="69">
        <f t="shared" si="141"/>
        <v>4.0000000000000002E-4</v>
      </c>
      <c r="BG34" s="69">
        <f t="shared" si="141"/>
        <v>4.0000000000000002E-4</v>
      </c>
      <c r="BH34" s="69">
        <f t="shared" si="156"/>
        <v>4.0000000000000002E-4</v>
      </c>
      <c r="BI34" s="69">
        <f t="shared" si="142"/>
        <v>3.6999999999999999E-4</v>
      </c>
      <c r="BJ34" s="69">
        <f t="shared" si="143"/>
        <v>3.6999999999999999E-4</v>
      </c>
      <c r="BK34" s="69">
        <f t="shared" si="144"/>
        <v>3.6999999999999999E-4</v>
      </c>
      <c r="BL34" s="69">
        <f t="shared" si="145"/>
        <v>3.6999999999999999E-4</v>
      </c>
      <c r="BM34" s="69">
        <f t="shared" si="146"/>
        <v>3.3E-4</v>
      </c>
      <c r="BN34" s="69">
        <f t="shared" si="147"/>
        <v>3.3E-4</v>
      </c>
      <c r="BO34" s="69">
        <f t="shared" si="148"/>
        <v>3.3E-4</v>
      </c>
      <c r="BP34" s="69">
        <f t="shared" si="149"/>
        <v>3.3E-4</v>
      </c>
      <c r="BQ34" s="75">
        <f t="shared" si="153"/>
        <v>2.7999999999999998E-4</v>
      </c>
      <c r="BR34" s="75">
        <f t="shared" si="157"/>
        <v>2.7999999999999998E-4</v>
      </c>
      <c r="BS34" s="75">
        <f t="shared" si="158"/>
        <v>2.7999999999999998E-4</v>
      </c>
      <c r="BT34" s="75">
        <f t="shared" si="159"/>
        <v>2.7999999999999998E-4</v>
      </c>
      <c r="BU34" s="75">
        <f t="shared" si="160"/>
        <v>4.8999999999999998E-4</v>
      </c>
      <c r="BV34" s="75">
        <f t="shared" si="161"/>
        <v>4.8999999999999998E-4</v>
      </c>
      <c r="BW34" s="75">
        <f t="shared" si="162"/>
        <v>4.8999999999999998E-4</v>
      </c>
      <c r="BX34" s="75">
        <f t="shared" si="163"/>
        <v>4.8999999999999998E-4</v>
      </c>
      <c r="BY34" s="75">
        <f t="shared" si="164"/>
        <v>4.8999999999999998E-4</v>
      </c>
      <c r="BZ34" s="75">
        <f t="shared" si="165"/>
        <v>4.8999999999999998E-4</v>
      </c>
      <c r="CA34" s="75">
        <f t="shared" si="166"/>
        <v>4.8999999999999998E-4</v>
      </c>
      <c r="CB34" s="75">
        <f t="shared" si="167"/>
        <v>4.8999999999999998E-4</v>
      </c>
      <c r="CC34" s="69">
        <f t="shared" si="6"/>
        <v>2.5000000000000001E-4</v>
      </c>
      <c r="CD34" s="69">
        <f t="shared" si="7"/>
        <v>2.5000000000000001E-4</v>
      </c>
      <c r="CE34" s="69">
        <f t="shared" si="8"/>
        <v>2.5000000000000001E-4</v>
      </c>
      <c r="CF34" s="69">
        <f t="shared" si="9"/>
        <v>2.5000000000000001E-4</v>
      </c>
      <c r="CG34" s="69">
        <f t="shared" si="10"/>
        <v>5.0000000000000001E-4</v>
      </c>
      <c r="CH34" s="69">
        <f t="shared" si="11"/>
        <v>5.0000000000000001E-4</v>
      </c>
      <c r="CI34" s="69">
        <f t="shared" si="12"/>
        <v>5.0000000000000001E-4</v>
      </c>
      <c r="CJ34" s="69">
        <f t="shared" si="13"/>
        <v>5.0000000000000001E-4</v>
      </c>
      <c r="CK34" s="69">
        <f t="shared" si="14"/>
        <v>1E-3</v>
      </c>
      <c r="CL34" s="69">
        <f t="shared" si="15"/>
        <v>1E-3</v>
      </c>
      <c r="CM34" s="69">
        <f t="shared" si="16"/>
        <v>1E-3</v>
      </c>
      <c r="CN34" s="69">
        <f t="shared" si="17"/>
        <v>1E-3</v>
      </c>
      <c r="CO34" s="69">
        <v>4.0000000000000001E-3</v>
      </c>
      <c r="CP34" s="69">
        <v>4.0000000000000001E-3</v>
      </c>
      <c r="CQ34" s="69">
        <v>2E-3</v>
      </c>
      <c r="CR34" s="69">
        <v>2E-3</v>
      </c>
      <c r="CS34" s="69">
        <v>0</v>
      </c>
      <c r="CT34" s="69">
        <v>0</v>
      </c>
      <c r="CU34" s="69">
        <v>0</v>
      </c>
      <c r="CV34" s="69">
        <v>0</v>
      </c>
      <c r="CW34" s="69">
        <v>0</v>
      </c>
      <c r="CX34" s="69">
        <v>0</v>
      </c>
      <c r="CY34" s="69">
        <v>0</v>
      </c>
      <c r="CZ34" s="69">
        <v>0</v>
      </c>
      <c r="DA34" s="62">
        <f t="shared" si="18"/>
        <v>1.5E-3</v>
      </c>
      <c r="DB34" s="62">
        <f t="shared" si="19"/>
        <v>2.5000000000000001E-3</v>
      </c>
      <c r="DC34" s="62">
        <v>3.2000000000000002E-3</v>
      </c>
      <c r="DD34" s="62">
        <f t="shared" si="20"/>
        <v>2.0999999999999999E-3</v>
      </c>
      <c r="DE34" s="62">
        <f t="shared" si="21"/>
        <v>2E-3</v>
      </c>
      <c r="DF34" s="62">
        <f t="shared" si="22"/>
        <v>2.2000000000000001E-3</v>
      </c>
      <c r="DG34" s="62">
        <f t="shared" si="23"/>
        <v>2.3E-3</v>
      </c>
      <c r="DH34" s="62">
        <f t="shared" si="24"/>
        <v>2.5000000000000001E-3</v>
      </c>
      <c r="DI34" s="62">
        <f t="shared" si="25"/>
        <v>2.5999999999999999E-3</v>
      </c>
      <c r="DJ34" s="62">
        <f t="shared" si="26"/>
        <v>3.2000000000000002E-3</v>
      </c>
      <c r="DK34" s="62">
        <f t="shared" si="27"/>
        <v>2.9999999999999997E-4</v>
      </c>
      <c r="DL34" s="62">
        <f t="shared" si="28"/>
        <v>2.5000000000000001E-3</v>
      </c>
      <c r="DM34" s="62">
        <f t="shared" si="29"/>
        <v>5.0000000000000001E-4</v>
      </c>
      <c r="DN34" s="62">
        <f t="shared" si="30"/>
        <v>1.1999999999999999E-3</v>
      </c>
      <c r="DO34" s="62">
        <f t="shared" si="31"/>
        <v>1.9E-3</v>
      </c>
      <c r="DP34" s="62">
        <f t="shared" si="32"/>
        <v>1E-3</v>
      </c>
      <c r="DQ34" s="62">
        <f t="shared" si="33"/>
        <v>2.0999999999999999E-3</v>
      </c>
      <c r="DR34" s="62">
        <f t="shared" si="34"/>
        <v>8.9999999999999998E-4</v>
      </c>
      <c r="DS34" s="62">
        <f t="shared" si="35"/>
        <v>2.0999999999999999E-3</v>
      </c>
      <c r="DT34" s="62">
        <f t="shared" si="36"/>
        <v>1.4E-3</v>
      </c>
      <c r="DU34" s="62">
        <f t="shared" si="37"/>
        <v>1.6000000000000001E-3</v>
      </c>
      <c r="DV34" s="62">
        <f t="shared" si="38"/>
        <v>2.3999999999999998E-3</v>
      </c>
      <c r="DW34" s="62">
        <f t="shared" si="39"/>
        <v>5.0000000000000001E-3</v>
      </c>
      <c r="DX34" s="62">
        <f t="shared" si="40"/>
        <v>2E-3</v>
      </c>
      <c r="DY34" s="62">
        <f t="shared" si="41"/>
        <v>0</v>
      </c>
      <c r="DZ34" s="62">
        <f t="shared" si="42"/>
        <v>1.5E-3</v>
      </c>
      <c r="EA34" s="62">
        <f t="shared" si="43"/>
        <v>2.0000000000000001E-4</v>
      </c>
      <c r="EB34" s="62">
        <f t="shared" si="44"/>
        <v>1.5E-3</v>
      </c>
      <c r="EC34" s="62">
        <f t="shared" si="45"/>
        <v>2.7000000000000001E-3</v>
      </c>
      <c r="ED34" s="62">
        <f t="shared" si="46"/>
        <v>2.5000000000000001E-3</v>
      </c>
      <c r="EE34" s="62">
        <f t="shared" si="47"/>
        <v>0</v>
      </c>
      <c r="EF34" s="62">
        <f t="shared" si="48"/>
        <v>2.5000000000000001E-3</v>
      </c>
      <c r="EG34" s="62">
        <f t="shared" si="49"/>
        <v>1.1000000000000001E-3</v>
      </c>
      <c r="EH34" s="62">
        <f t="shared" si="50"/>
        <v>2.5000000000000001E-3</v>
      </c>
      <c r="EI34" s="62">
        <f t="shared" si="51"/>
        <v>8.0000000000000004E-4</v>
      </c>
      <c r="EJ34" s="62">
        <f t="shared" si="52"/>
        <v>2.5000000000000001E-3</v>
      </c>
      <c r="EK34" s="62">
        <f t="shared" si="53"/>
        <v>7.5000000000000002E-4</v>
      </c>
      <c r="EL34" s="62">
        <f t="shared" si="54"/>
        <v>2.5000000000000001E-3</v>
      </c>
      <c r="EM34" s="62">
        <f t="shared" si="55"/>
        <v>3.2000000000000002E-3</v>
      </c>
      <c r="EN34" s="62">
        <f t="shared" si="56"/>
        <v>2.3999999999999998E-3</v>
      </c>
      <c r="EO34" s="62">
        <f t="shared" si="57"/>
        <v>0</v>
      </c>
      <c r="EP34" s="62">
        <f t="shared" si="58"/>
        <v>2E-3</v>
      </c>
      <c r="EQ34" s="62">
        <f t="shared" si="59"/>
        <v>1.1000000000000001E-3</v>
      </c>
      <c r="ER34" s="62">
        <f t="shared" si="60"/>
        <v>2.2000000000000001E-3</v>
      </c>
      <c r="ES34" s="62">
        <f t="shared" si="61"/>
        <v>1E-3</v>
      </c>
      <c r="ET34" s="62">
        <f t="shared" si="62"/>
        <v>4.0000000000000001E-3</v>
      </c>
      <c r="EU34" s="62">
        <f t="shared" si="63"/>
        <v>3.7000000000000002E-3</v>
      </c>
      <c r="EV34" s="62">
        <f t="shared" si="64"/>
        <v>4.7999999999999996E-3</v>
      </c>
      <c r="EW34" s="62">
        <f t="shared" si="65"/>
        <v>0</v>
      </c>
      <c r="EX34" s="62">
        <f t="shared" si="66"/>
        <v>2.5000000000000001E-3</v>
      </c>
      <c r="EY34" s="62">
        <f t="shared" si="67"/>
        <v>2.5000000000000001E-3</v>
      </c>
      <c r="EZ34" s="62">
        <f t="shared" si="68"/>
        <v>3.8999999999999998E-3</v>
      </c>
      <c r="FA34" s="62">
        <f t="shared" si="69"/>
        <v>6.1999999999999998E-3</v>
      </c>
      <c r="FB34" s="62">
        <f t="shared" si="70"/>
        <v>5.1000000000000004E-3</v>
      </c>
      <c r="FC34" s="62">
        <f t="shared" si="71"/>
        <v>2.8999999999999998E-3</v>
      </c>
      <c r="FD34" s="62">
        <f t="shared" si="72"/>
        <v>1.5E-3</v>
      </c>
      <c r="FE34" s="62">
        <f t="shared" si="73"/>
        <v>2.8E-3</v>
      </c>
      <c r="FF34" s="62">
        <f t="shared" si="74"/>
        <v>1.5E-3</v>
      </c>
      <c r="FG34" s="62">
        <f t="shared" si="75"/>
        <v>2.5999999999999999E-3</v>
      </c>
      <c r="FH34" s="62">
        <f t="shared" si="76"/>
        <v>1.5E-3</v>
      </c>
      <c r="FI34" s="62">
        <f t="shared" si="77"/>
        <v>2.7000000000000001E-3</v>
      </c>
      <c r="FJ34" s="62">
        <f t="shared" si="78"/>
        <v>1.5E-3</v>
      </c>
      <c r="FK34" s="62">
        <f t="shared" si="79"/>
        <v>3.3999999999999998E-3</v>
      </c>
      <c r="FL34" s="62">
        <f t="shared" si="80"/>
        <v>8.9999999999999998E-4</v>
      </c>
      <c r="FM34" s="62">
        <f t="shared" si="81"/>
        <v>2.6999999999999997E-3</v>
      </c>
      <c r="FN34" s="62">
        <f t="shared" si="82"/>
        <v>0</v>
      </c>
      <c r="FO34" s="62">
        <f t="shared" si="83"/>
        <v>2.5000000000000001E-3</v>
      </c>
      <c r="FP34" s="62">
        <f t="shared" si="84"/>
        <v>2.5000000000000001E-3</v>
      </c>
      <c r="FQ34" s="62">
        <f t="shared" si="85"/>
        <v>1.8E-3</v>
      </c>
      <c r="FR34" s="62">
        <f t="shared" si="86"/>
        <v>2E-3</v>
      </c>
      <c r="FS34" s="62">
        <f t="shared" si="87"/>
        <v>1.2999999999999999E-3</v>
      </c>
      <c r="FT34" s="62">
        <f t="shared" si="88"/>
        <v>2.3E-3</v>
      </c>
      <c r="FU34" s="62">
        <f t="shared" si="89"/>
        <v>2E-3</v>
      </c>
      <c r="FV34" s="62">
        <f t="shared" si="90"/>
        <v>2.3999999999999998E-3</v>
      </c>
      <c r="FW34" s="62">
        <f t="shared" si="91"/>
        <v>2.0999999999999999E-3</v>
      </c>
      <c r="FX34" s="62">
        <f t="shared" si="92"/>
        <v>4.0000000000000002E-4</v>
      </c>
      <c r="FY34" s="62">
        <f t="shared" si="93"/>
        <v>2.5000000000000001E-3</v>
      </c>
      <c r="FZ34" s="62">
        <f t="shared" si="94"/>
        <v>5.0000000000000001E-4</v>
      </c>
      <c r="GA34" s="62">
        <f t="shared" si="95"/>
        <v>2.5000000000000001E-3</v>
      </c>
      <c r="GB34" s="62">
        <f t="shared" si="96"/>
        <v>4.0000000000000002E-4</v>
      </c>
      <c r="GC34" s="62">
        <f t="shared" si="97"/>
        <v>1.7499999999999998E-3</v>
      </c>
      <c r="GD34" s="62">
        <f t="shared" si="98"/>
        <v>0</v>
      </c>
      <c r="GE34" s="62">
        <f t="shared" si="99"/>
        <v>1.6999999999999999E-3</v>
      </c>
      <c r="GF34" s="62">
        <f t="shared" si="100"/>
        <v>2.7500000000000002E-4</v>
      </c>
      <c r="GG34" s="62">
        <f t="shared" si="101"/>
        <v>1.719E-3</v>
      </c>
      <c r="GH34" s="62">
        <f t="shared" si="102"/>
        <v>3.0000000000000001E-3</v>
      </c>
      <c r="GI34" s="62">
        <f t="shared" si="103"/>
        <v>2.8999999999999998E-3</v>
      </c>
      <c r="GJ34" s="62">
        <f t="shared" si="104"/>
        <v>2.5000000000000001E-3</v>
      </c>
      <c r="GK34" s="62">
        <f t="shared" si="105"/>
        <v>2.7000000000000001E-3</v>
      </c>
      <c r="GL34" s="62">
        <f t="shared" si="106"/>
        <v>2.5000000000000001E-3</v>
      </c>
      <c r="GM34" s="62">
        <f t="shared" si="107"/>
        <v>2.2000000000000001E-3</v>
      </c>
      <c r="GN34" s="62">
        <f t="shared" si="108"/>
        <v>1.6000000000000001E-3</v>
      </c>
      <c r="GO34" s="62">
        <f t="shared" si="109"/>
        <v>1E-4</v>
      </c>
      <c r="GP34" s="62">
        <f t="shared" si="110"/>
        <v>1E-4</v>
      </c>
      <c r="GQ34" s="62">
        <f t="shared" si="111"/>
        <v>1.1000000000000001E-3</v>
      </c>
      <c r="GR34" s="62">
        <f t="shared" si="112"/>
        <v>2.0000000000000001E-4</v>
      </c>
      <c r="GS34" s="62">
        <f t="shared" si="113"/>
        <v>2.5000000000000001E-3</v>
      </c>
      <c r="GT34" s="62">
        <f t="shared" si="114"/>
        <v>3.3E-3</v>
      </c>
      <c r="GU34" s="62">
        <f t="shared" si="115"/>
        <v>4.0000000000000001E-3</v>
      </c>
      <c r="GV34" s="62">
        <f t="shared" si="116"/>
        <v>3.5000000000000001E-3</v>
      </c>
      <c r="GW34" s="62">
        <f t="shared" si="117"/>
        <v>3.3E-3</v>
      </c>
      <c r="GX34" s="62">
        <f t="shared" si="118"/>
        <v>3.3999999999999998E-3</v>
      </c>
      <c r="GY34" s="62">
        <f t="shared" si="119"/>
        <v>5.0000000000000001E-3</v>
      </c>
      <c r="GZ34" s="62">
        <f t="shared" si="120"/>
        <v>2.5000000000000001E-3</v>
      </c>
      <c r="HA34" s="62">
        <f t="shared" si="121"/>
        <v>2.63E-3</v>
      </c>
      <c r="HB34" s="62">
        <f t="shared" si="122"/>
        <v>6.9999999999999999E-4</v>
      </c>
      <c r="HC34" s="62">
        <f t="shared" si="123"/>
        <v>5.0000000000000001E-4</v>
      </c>
      <c r="HD34" s="62">
        <f t="shared" si="124"/>
        <v>6.9999999999999999E-4</v>
      </c>
      <c r="HE34" s="62">
        <f t="shared" si="125"/>
        <v>4.4999999999999997E-3</v>
      </c>
      <c r="HF34" s="62">
        <f t="shared" si="126"/>
        <v>0</v>
      </c>
      <c r="HG34" s="62">
        <f t="shared" si="127"/>
        <v>6.0000000000000001E-3</v>
      </c>
      <c r="HH34" s="62">
        <f t="shared" si="128"/>
        <v>8.9999999999999998E-4</v>
      </c>
      <c r="HI34" s="62">
        <f t="shared" si="129"/>
        <v>6.0000000000000001E-3</v>
      </c>
    </row>
    <row r="35" spans="2:217" x14ac:dyDescent="0.2">
      <c r="B35" s="72">
        <f t="shared" si="4"/>
        <v>29</v>
      </c>
      <c r="D35" s="62">
        <v>0</v>
      </c>
      <c r="E35" s="73">
        <v>2.3000000000000001E-4</v>
      </c>
      <c r="F35" s="73">
        <v>8.0000000000000004E-4</v>
      </c>
      <c r="G35" s="73">
        <v>4.7000000000000002E-3</v>
      </c>
      <c r="H35" s="73">
        <v>5.9999999999999995E-4</v>
      </c>
      <c r="I35" s="73">
        <v>2.5999999999999999E-3</v>
      </c>
      <c r="J35" s="73">
        <v>3.5999999999999999E-3</v>
      </c>
      <c r="K35" s="73">
        <v>8.0000000000000004E-4</v>
      </c>
      <c r="L35" s="73">
        <v>1E-4</v>
      </c>
      <c r="M35" s="73">
        <v>6.9999999999999999E-4</v>
      </c>
      <c r="N35" s="73">
        <v>1.8E-3</v>
      </c>
      <c r="O35" s="73">
        <v>2.9999999999999997E-4</v>
      </c>
      <c r="P35" s="73">
        <v>1.7499999999999998E-3</v>
      </c>
      <c r="Q35" s="73">
        <v>6.9999999999999999E-4</v>
      </c>
      <c r="R35" s="73">
        <v>2.5000000000000001E-3</v>
      </c>
      <c r="S35" s="73">
        <v>3.3999999999999998E-3</v>
      </c>
      <c r="T35" s="73">
        <v>6.9999999999999999E-4</v>
      </c>
      <c r="U35" s="73">
        <v>2.3999999999999998E-3</v>
      </c>
      <c r="V35" s="73">
        <v>4.1000000000000003E-3</v>
      </c>
      <c r="W35" s="73">
        <v>3.8999999999999998E-3</v>
      </c>
      <c r="X35" s="73">
        <v>4.0000000000000001E-3</v>
      </c>
      <c r="Y35" s="73">
        <v>3.3999999999999998E-3</v>
      </c>
      <c r="Z35" s="73">
        <v>2.3999999999999998E-3</v>
      </c>
      <c r="AA35" s="73">
        <v>8.0000000000000004E-4</v>
      </c>
      <c r="AB35" s="73">
        <v>2.5000000000000001E-3</v>
      </c>
      <c r="AC35" s="73">
        <v>2.3999999999999998E-3</v>
      </c>
      <c r="AD35" s="73">
        <v>2.5000000000000001E-3</v>
      </c>
      <c r="AE35" s="73">
        <v>8.9999999999999998E-4</v>
      </c>
      <c r="AF35" s="73">
        <v>4.7999999999999996E-3</v>
      </c>
      <c r="AG35" s="73">
        <v>2E-3</v>
      </c>
      <c r="AH35" s="73">
        <v>2.8999999999999998E-3</v>
      </c>
      <c r="AI35" s="73">
        <v>5.0000000000000001E-4</v>
      </c>
      <c r="AJ35" s="73">
        <v>2.5000000000000001E-3</v>
      </c>
      <c r="AK35" s="62">
        <v>3.3E-4</v>
      </c>
      <c r="AL35" s="62">
        <v>9.6000000000000002E-4</v>
      </c>
      <c r="AM35" s="62">
        <f t="shared" si="154"/>
        <v>1E-4</v>
      </c>
      <c r="AN35" s="62">
        <f t="shared" si="154"/>
        <v>0</v>
      </c>
      <c r="AO35" s="62">
        <f t="shared" si="155"/>
        <v>2.5000000000000001E-3</v>
      </c>
      <c r="AP35" s="62">
        <f t="shared" si="5"/>
        <v>1.6999999999999999E-3</v>
      </c>
      <c r="AQ35" s="62">
        <f t="shared" si="5"/>
        <v>1.8E-3</v>
      </c>
      <c r="AR35" s="62">
        <v>3.5E-4</v>
      </c>
      <c r="AS35" s="62">
        <v>2.5999999999999998E-4</v>
      </c>
      <c r="AT35" s="62">
        <v>3.5E-4</v>
      </c>
      <c r="AU35" s="62">
        <v>8.7000000000000001E-4</v>
      </c>
      <c r="AV35" s="62">
        <v>1.47E-3</v>
      </c>
      <c r="AW35" s="69">
        <f t="shared" si="131"/>
        <v>1.4000000000000001E-4</v>
      </c>
      <c r="AX35" s="69">
        <f t="shared" si="132"/>
        <v>1.4000000000000001E-4</v>
      </c>
      <c r="AY35" s="69">
        <f t="shared" si="133"/>
        <v>1.4000000000000001E-4</v>
      </c>
      <c r="AZ35" s="69">
        <f t="shared" si="134"/>
        <v>1.4000000000000001E-4</v>
      </c>
      <c r="BA35" s="69">
        <f t="shared" si="138"/>
        <v>6.6E-4</v>
      </c>
      <c r="BB35" s="69">
        <f t="shared" si="139"/>
        <v>6.6E-4</v>
      </c>
      <c r="BC35" s="69">
        <f t="shared" si="140"/>
        <v>6.6E-4</v>
      </c>
      <c r="BD35" s="69">
        <f t="shared" si="141"/>
        <v>6.6E-4</v>
      </c>
      <c r="BE35" s="69">
        <f t="shared" si="141"/>
        <v>4.0000000000000002E-4</v>
      </c>
      <c r="BF35" s="69">
        <f t="shared" si="141"/>
        <v>4.0000000000000002E-4</v>
      </c>
      <c r="BG35" s="69">
        <f t="shared" si="141"/>
        <v>4.0000000000000002E-4</v>
      </c>
      <c r="BH35" s="69">
        <f t="shared" si="156"/>
        <v>4.0000000000000002E-4</v>
      </c>
      <c r="BI35" s="69">
        <f t="shared" si="142"/>
        <v>3.6999999999999999E-4</v>
      </c>
      <c r="BJ35" s="69">
        <f t="shared" si="143"/>
        <v>3.6999999999999999E-4</v>
      </c>
      <c r="BK35" s="69">
        <f t="shared" si="144"/>
        <v>3.6999999999999999E-4</v>
      </c>
      <c r="BL35" s="69">
        <f t="shared" si="145"/>
        <v>3.6999999999999999E-4</v>
      </c>
      <c r="BM35" s="69">
        <f t="shared" si="146"/>
        <v>3.3E-4</v>
      </c>
      <c r="BN35" s="69">
        <f t="shared" si="147"/>
        <v>3.3E-4</v>
      </c>
      <c r="BO35" s="69">
        <f t="shared" si="148"/>
        <v>3.3E-4</v>
      </c>
      <c r="BP35" s="69">
        <f t="shared" si="149"/>
        <v>3.3E-4</v>
      </c>
      <c r="BQ35" s="75">
        <f t="shared" si="153"/>
        <v>2.7999999999999998E-4</v>
      </c>
      <c r="BR35" s="75">
        <f t="shared" si="157"/>
        <v>2.7999999999999998E-4</v>
      </c>
      <c r="BS35" s="75">
        <f t="shared" si="158"/>
        <v>2.7999999999999998E-4</v>
      </c>
      <c r="BT35" s="75">
        <f t="shared" si="159"/>
        <v>2.7999999999999998E-4</v>
      </c>
      <c r="BU35" s="75">
        <f t="shared" si="160"/>
        <v>4.8999999999999998E-4</v>
      </c>
      <c r="BV35" s="75">
        <f t="shared" si="161"/>
        <v>4.8999999999999998E-4</v>
      </c>
      <c r="BW35" s="75">
        <f t="shared" si="162"/>
        <v>4.8999999999999998E-4</v>
      </c>
      <c r="BX35" s="75">
        <f t="shared" si="163"/>
        <v>4.8999999999999998E-4</v>
      </c>
      <c r="BY35" s="75">
        <f t="shared" si="164"/>
        <v>4.8999999999999998E-4</v>
      </c>
      <c r="BZ35" s="75">
        <f t="shared" si="165"/>
        <v>4.8999999999999998E-4</v>
      </c>
      <c r="CA35" s="75">
        <f t="shared" si="166"/>
        <v>4.8999999999999998E-4</v>
      </c>
      <c r="CB35" s="75">
        <f t="shared" si="167"/>
        <v>4.8999999999999998E-4</v>
      </c>
      <c r="CC35" s="69">
        <f t="shared" si="6"/>
        <v>2.5000000000000001E-4</v>
      </c>
      <c r="CD35" s="69">
        <f t="shared" si="7"/>
        <v>2.5000000000000001E-4</v>
      </c>
      <c r="CE35" s="69">
        <f t="shared" si="8"/>
        <v>2.5000000000000001E-4</v>
      </c>
      <c r="CF35" s="69">
        <f t="shared" si="9"/>
        <v>2.5000000000000001E-4</v>
      </c>
      <c r="CG35" s="69">
        <f t="shared" si="10"/>
        <v>5.0000000000000001E-4</v>
      </c>
      <c r="CH35" s="69">
        <f t="shared" si="11"/>
        <v>5.0000000000000001E-4</v>
      </c>
      <c r="CI35" s="69">
        <f t="shared" si="12"/>
        <v>5.0000000000000001E-4</v>
      </c>
      <c r="CJ35" s="69">
        <f t="shared" si="13"/>
        <v>5.0000000000000001E-4</v>
      </c>
      <c r="CK35" s="69">
        <f t="shared" si="14"/>
        <v>1E-3</v>
      </c>
      <c r="CL35" s="69">
        <f t="shared" si="15"/>
        <v>1E-3</v>
      </c>
      <c r="CM35" s="69">
        <f t="shared" si="16"/>
        <v>1E-3</v>
      </c>
      <c r="CN35" s="69">
        <f t="shared" si="17"/>
        <v>1E-3</v>
      </c>
      <c r="CO35" s="69">
        <v>0</v>
      </c>
      <c r="CP35" s="69">
        <v>0</v>
      </c>
      <c r="CQ35" s="69">
        <v>0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7.4999999999999997E-3</v>
      </c>
      <c r="CX35" s="69">
        <v>7.4999999999999997E-3</v>
      </c>
      <c r="CY35" s="69">
        <v>3.5000000000000001E-3</v>
      </c>
      <c r="CZ35" s="69">
        <v>3.5000000000000001E-3</v>
      </c>
      <c r="DA35" s="62">
        <f t="shared" si="18"/>
        <v>1.5E-3</v>
      </c>
      <c r="DB35" s="62">
        <f t="shared" si="19"/>
        <v>2.5000000000000001E-3</v>
      </c>
      <c r="DC35" s="62">
        <v>3.2000000000000002E-3</v>
      </c>
      <c r="DD35" s="62">
        <f t="shared" si="20"/>
        <v>2.0999999999999999E-3</v>
      </c>
      <c r="DE35" s="62">
        <f t="shared" si="21"/>
        <v>2E-3</v>
      </c>
      <c r="DF35" s="62">
        <f t="shared" si="22"/>
        <v>2.2000000000000001E-3</v>
      </c>
      <c r="DG35" s="62">
        <f t="shared" si="23"/>
        <v>2.3E-3</v>
      </c>
      <c r="DH35" s="62">
        <f t="shared" si="24"/>
        <v>2.5000000000000001E-3</v>
      </c>
      <c r="DI35" s="62">
        <f t="shared" si="25"/>
        <v>2.5999999999999999E-3</v>
      </c>
      <c r="DJ35" s="62">
        <f t="shared" si="26"/>
        <v>3.2000000000000002E-3</v>
      </c>
      <c r="DK35" s="62">
        <f t="shared" si="27"/>
        <v>2.9999999999999997E-4</v>
      </c>
      <c r="DL35" s="62">
        <f t="shared" si="28"/>
        <v>2.5000000000000001E-3</v>
      </c>
      <c r="DM35" s="62">
        <f t="shared" si="29"/>
        <v>5.0000000000000001E-4</v>
      </c>
      <c r="DN35" s="62">
        <f t="shared" si="30"/>
        <v>1.1999999999999999E-3</v>
      </c>
      <c r="DO35" s="62">
        <f t="shared" si="31"/>
        <v>1.9E-3</v>
      </c>
      <c r="DP35" s="62">
        <f t="shared" si="32"/>
        <v>1E-3</v>
      </c>
      <c r="DQ35" s="62">
        <f t="shared" si="33"/>
        <v>2.0999999999999999E-3</v>
      </c>
      <c r="DR35" s="62">
        <f t="shared" si="34"/>
        <v>8.9999999999999998E-4</v>
      </c>
      <c r="DS35" s="62">
        <f t="shared" si="35"/>
        <v>2.0999999999999999E-3</v>
      </c>
      <c r="DT35" s="62">
        <f t="shared" si="36"/>
        <v>1.4E-3</v>
      </c>
      <c r="DU35" s="62">
        <f t="shared" si="37"/>
        <v>1.6000000000000001E-3</v>
      </c>
      <c r="DV35" s="62">
        <f t="shared" si="38"/>
        <v>2.3999999999999998E-3</v>
      </c>
      <c r="DW35" s="62">
        <f t="shared" si="39"/>
        <v>5.0000000000000001E-3</v>
      </c>
      <c r="DX35" s="62">
        <f t="shared" si="40"/>
        <v>2E-3</v>
      </c>
      <c r="DY35" s="62">
        <f t="shared" si="41"/>
        <v>0</v>
      </c>
      <c r="DZ35" s="62">
        <f t="shared" si="42"/>
        <v>1.5E-3</v>
      </c>
      <c r="EA35" s="62">
        <f t="shared" si="43"/>
        <v>2.0000000000000001E-4</v>
      </c>
      <c r="EB35" s="62">
        <f t="shared" si="44"/>
        <v>1.5E-3</v>
      </c>
      <c r="EC35" s="62">
        <f t="shared" si="45"/>
        <v>2.7000000000000001E-3</v>
      </c>
      <c r="ED35" s="62">
        <f t="shared" si="46"/>
        <v>2.5000000000000001E-3</v>
      </c>
      <c r="EE35" s="62">
        <f t="shared" si="47"/>
        <v>0</v>
      </c>
      <c r="EF35" s="62">
        <f t="shared" si="48"/>
        <v>2.5000000000000001E-3</v>
      </c>
      <c r="EG35" s="62">
        <f t="shared" si="49"/>
        <v>1.1000000000000001E-3</v>
      </c>
      <c r="EH35" s="62">
        <f t="shared" si="50"/>
        <v>2.5000000000000001E-3</v>
      </c>
      <c r="EI35" s="62">
        <f t="shared" si="51"/>
        <v>8.0000000000000004E-4</v>
      </c>
      <c r="EJ35" s="62">
        <f t="shared" si="52"/>
        <v>2.5000000000000001E-3</v>
      </c>
      <c r="EK35" s="62">
        <f t="shared" si="53"/>
        <v>7.5000000000000002E-4</v>
      </c>
      <c r="EL35" s="62">
        <f t="shared" si="54"/>
        <v>2.5000000000000001E-3</v>
      </c>
      <c r="EM35" s="62">
        <f t="shared" si="55"/>
        <v>3.2000000000000002E-3</v>
      </c>
      <c r="EN35" s="62">
        <f t="shared" si="56"/>
        <v>2.3999999999999998E-3</v>
      </c>
      <c r="EO35" s="62">
        <f t="shared" si="57"/>
        <v>0</v>
      </c>
      <c r="EP35" s="62">
        <f t="shared" si="58"/>
        <v>2E-3</v>
      </c>
      <c r="EQ35" s="62">
        <f t="shared" si="59"/>
        <v>1.1000000000000001E-3</v>
      </c>
      <c r="ER35" s="62">
        <f t="shared" si="60"/>
        <v>2.2000000000000001E-3</v>
      </c>
      <c r="ES35" s="62">
        <f t="shared" si="61"/>
        <v>1E-3</v>
      </c>
      <c r="ET35" s="62">
        <f t="shared" si="62"/>
        <v>4.0000000000000001E-3</v>
      </c>
      <c r="EU35" s="62">
        <f t="shared" si="63"/>
        <v>3.7000000000000002E-3</v>
      </c>
      <c r="EV35" s="62">
        <f t="shared" si="64"/>
        <v>4.7999999999999996E-3</v>
      </c>
      <c r="EW35" s="62">
        <f t="shared" si="65"/>
        <v>0</v>
      </c>
      <c r="EX35" s="62">
        <f t="shared" si="66"/>
        <v>2.5000000000000001E-3</v>
      </c>
      <c r="EY35" s="62">
        <f t="shared" si="67"/>
        <v>2.5000000000000001E-3</v>
      </c>
      <c r="EZ35" s="62">
        <f t="shared" si="68"/>
        <v>3.8999999999999998E-3</v>
      </c>
      <c r="FA35" s="62">
        <f t="shared" si="69"/>
        <v>6.1999999999999998E-3</v>
      </c>
      <c r="FB35" s="62">
        <f t="shared" si="70"/>
        <v>5.1000000000000004E-3</v>
      </c>
      <c r="FC35" s="62">
        <f t="shared" si="71"/>
        <v>2.8999999999999998E-3</v>
      </c>
      <c r="FD35" s="62">
        <f t="shared" si="72"/>
        <v>1.5E-3</v>
      </c>
      <c r="FE35" s="62">
        <f t="shared" si="73"/>
        <v>2.8E-3</v>
      </c>
      <c r="FF35" s="62">
        <f t="shared" si="74"/>
        <v>1.5E-3</v>
      </c>
      <c r="FG35" s="62">
        <f t="shared" si="75"/>
        <v>2.5999999999999999E-3</v>
      </c>
      <c r="FH35" s="62">
        <f t="shared" si="76"/>
        <v>1.5E-3</v>
      </c>
      <c r="FI35" s="62">
        <f t="shared" si="77"/>
        <v>2.7000000000000001E-3</v>
      </c>
      <c r="FJ35" s="62">
        <f t="shared" si="78"/>
        <v>1.5E-3</v>
      </c>
      <c r="FK35" s="62">
        <f t="shared" si="79"/>
        <v>3.3999999999999998E-3</v>
      </c>
      <c r="FL35" s="62">
        <f t="shared" si="80"/>
        <v>8.9999999999999998E-4</v>
      </c>
      <c r="FM35" s="62">
        <f t="shared" si="81"/>
        <v>2.6999999999999997E-3</v>
      </c>
      <c r="FN35" s="62">
        <f t="shared" si="82"/>
        <v>0</v>
      </c>
      <c r="FO35" s="62">
        <f t="shared" si="83"/>
        <v>2.5000000000000001E-3</v>
      </c>
      <c r="FP35" s="62">
        <f t="shared" si="84"/>
        <v>2.5000000000000001E-3</v>
      </c>
      <c r="FQ35" s="62">
        <f t="shared" si="85"/>
        <v>1.8E-3</v>
      </c>
      <c r="FR35" s="62">
        <f t="shared" si="86"/>
        <v>2E-3</v>
      </c>
      <c r="FS35" s="62">
        <f t="shared" si="87"/>
        <v>1.2999999999999999E-3</v>
      </c>
      <c r="FT35" s="62">
        <f t="shared" si="88"/>
        <v>2.3E-3</v>
      </c>
      <c r="FU35" s="62">
        <f t="shared" si="89"/>
        <v>2E-3</v>
      </c>
      <c r="FV35" s="62">
        <f t="shared" si="90"/>
        <v>2.3999999999999998E-3</v>
      </c>
      <c r="FW35" s="62">
        <f t="shared" si="91"/>
        <v>2.0999999999999999E-3</v>
      </c>
      <c r="FX35" s="62">
        <f t="shared" si="92"/>
        <v>4.0000000000000002E-4</v>
      </c>
      <c r="FY35" s="62">
        <f t="shared" si="93"/>
        <v>2.5000000000000001E-3</v>
      </c>
      <c r="FZ35" s="62">
        <f t="shared" si="94"/>
        <v>5.0000000000000001E-4</v>
      </c>
      <c r="GA35" s="62">
        <f t="shared" si="95"/>
        <v>2.5000000000000001E-3</v>
      </c>
      <c r="GB35" s="62">
        <f t="shared" si="96"/>
        <v>4.0000000000000002E-4</v>
      </c>
      <c r="GC35" s="62">
        <f t="shared" si="97"/>
        <v>1.7499999999999998E-3</v>
      </c>
      <c r="GD35" s="62">
        <f t="shared" si="98"/>
        <v>0</v>
      </c>
      <c r="GE35" s="62">
        <f t="shared" si="99"/>
        <v>1.6999999999999999E-3</v>
      </c>
      <c r="GF35" s="62">
        <f t="shared" si="100"/>
        <v>2.7500000000000002E-4</v>
      </c>
      <c r="GG35" s="62">
        <f t="shared" si="101"/>
        <v>1.719E-3</v>
      </c>
      <c r="GH35" s="62">
        <f t="shared" si="102"/>
        <v>3.0000000000000001E-3</v>
      </c>
      <c r="GI35" s="62">
        <f t="shared" si="103"/>
        <v>2.8999999999999998E-3</v>
      </c>
      <c r="GJ35" s="62">
        <f t="shared" si="104"/>
        <v>2.5000000000000001E-3</v>
      </c>
      <c r="GK35" s="62">
        <f t="shared" si="105"/>
        <v>2.7000000000000001E-3</v>
      </c>
      <c r="GL35" s="62">
        <f t="shared" si="106"/>
        <v>2.5000000000000001E-3</v>
      </c>
      <c r="GM35" s="62">
        <f t="shared" si="107"/>
        <v>2.2000000000000001E-3</v>
      </c>
      <c r="GN35" s="62">
        <f t="shared" si="108"/>
        <v>1.6000000000000001E-3</v>
      </c>
      <c r="GO35" s="62">
        <f t="shared" si="109"/>
        <v>1E-4</v>
      </c>
      <c r="GP35" s="62">
        <f t="shared" si="110"/>
        <v>1E-4</v>
      </c>
      <c r="GQ35" s="62">
        <f t="shared" si="111"/>
        <v>1.1000000000000001E-3</v>
      </c>
      <c r="GR35" s="62">
        <f t="shared" si="112"/>
        <v>2.0000000000000001E-4</v>
      </c>
      <c r="GS35" s="62">
        <f t="shared" si="113"/>
        <v>2.5000000000000001E-3</v>
      </c>
      <c r="GT35" s="62">
        <f t="shared" si="114"/>
        <v>3.3E-3</v>
      </c>
      <c r="GU35" s="62">
        <f t="shared" si="115"/>
        <v>4.0000000000000001E-3</v>
      </c>
      <c r="GV35" s="62">
        <f t="shared" si="116"/>
        <v>3.5000000000000001E-3</v>
      </c>
      <c r="GW35" s="62">
        <f t="shared" si="117"/>
        <v>3.3E-3</v>
      </c>
      <c r="GX35" s="62">
        <f t="shared" si="118"/>
        <v>3.3999999999999998E-3</v>
      </c>
      <c r="GY35" s="62">
        <f t="shared" si="119"/>
        <v>5.0000000000000001E-3</v>
      </c>
      <c r="GZ35" s="62">
        <f t="shared" si="120"/>
        <v>2.5000000000000001E-3</v>
      </c>
      <c r="HA35" s="62">
        <f t="shared" si="121"/>
        <v>2.63E-3</v>
      </c>
      <c r="HB35" s="62">
        <f t="shared" si="122"/>
        <v>6.9999999999999999E-4</v>
      </c>
      <c r="HC35" s="62">
        <f t="shared" si="123"/>
        <v>5.0000000000000001E-4</v>
      </c>
      <c r="HD35" s="62">
        <f t="shared" si="124"/>
        <v>6.9999999999999999E-4</v>
      </c>
      <c r="HE35" s="62">
        <f t="shared" si="125"/>
        <v>4.4999999999999997E-3</v>
      </c>
      <c r="HF35" s="62">
        <f t="shared" si="126"/>
        <v>0</v>
      </c>
      <c r="HG35" s="62">
        <f t="shared" si="127"/>
        <v>6.0000000000000001E-3</v>
      </c>
      <c r="HH35" s="62">
        <f t="shared" si="128"/>
        <v>8.9999999999999998E-4</v>
      </c>
      <c r="HI35" s="62">
        <f t="shared" si="129"/>
        <v>6.0000000000000001E-3</v>
      </c>
    </row>
    <row r="36" spans="2:217" x14ac:dyDescent="0.2">
      <c r="B36" s="72">
        <f t="shared" si="4"/>
        <v>30</v>
      </c>
      <c r="D36" s="62">
        <v>0</v>
      </c>
      <c r="E36" s="73">
        <v>2.3000000000000001E-4</v>
      </c>
      <c r="F36" s="73">
        <v>8.0000000000000004E-4</v>
      </c>
      <c r="G36" s="73">
        <v>4.7000000000000002E-3</v>
      </c>
      <c r="H36" s="73">
        <v>5.9999999999999995E-4</v>
      </c>
      <c r="I36" s="73">
        <v>2.5999999999999999E-3</v>
      </c>
      <c r="J36" s="73">
        <v>3.5999999999999999E-3</v>
      </c>
      <c r="K36" s="73">
        <v>8.0000000000000004E-4</v>
      </c>
      <c r="L36" s="73">
        <v>1E-4</v>
      </c>
      <c r="M36" s="73">
        <v>6.9999999999999999E-4</v>
      </c>
      <c r="N36" s="73">
        <v>1.8E-3</v>
      </c>
      <c r="O36" s="73">
        <v>2.9999999999999997E-4</v>
      </c>
      <c r="P36" s="73">
        <v>1.7499999999999998E-3</v>
      </c>
      <c r="Q36" s="73">
        <v>6.9999999999999999E-4</v>
      </c>
      <c r="R36" s="73">
        <v>2.5000000000000001E-3</v>
      </c>
      <c r="S36" s="73">
        <v>3.3999999999999998E-3</v>
      </c>
      <c r="T36" s="73">
        <v>6.9999999999999999E-4</v>
      </c>
      <c r="U36" s="73">
        <v>2.3999999999999998E-3</v>
      </c>
      <c r="V36" s="73">
        <v>4.1000000000000003E-3</v>
      </c>
      <c r="W36" s="73">
        <v>3.8999999999999998E-3</v>
      </c>
      <c r="X36" s="73">
        <v>4.0000000000000001E-3</v>
      </c>
      <c r="Y36" s="73">
        <v>3.3999999999999998E-3</v>
      </c>
      <c r="Z36" s="73">
        <v>2.3999999999999998E-3</v>
      </c>
      <c r="AA36" s="73">
        <v>8.0000000000000004E-4</v>
      </c>
      <c r="AB36" s="73">
        <v>2.5000000000000001E-3</v>
      </c>
      <c r="AC36" s="73">
        <v>2.3999999999999998E-3</v>
      </c>
      <c r="AD36" s="73">
        <v>2.5000000000000001E-3</v>
      </c>
      <c r="AE36" s="73">
        <v>8.9999999999999998E-4</v>
      </c>
      <c r="AF36" s="73">
        <v>4.7999999999999996E-3</v>
      </c>
      <c r="AG36" s="73">
        <v>2E-3</v>
      </c>
      <c r="AH36" s="73">
        <v>2.8999999999999998E-3</v>
      </c>
      <c r="AI36" s="73">
        <v>5.0000000000000001E-4</v>
      </c>
      <c r="AJ36" s="73">
        <v>2.5000000000000001E-3</v>
      </c>
      <c r="AK36" s="62">
        <v>3.3E-4</v>
      </c>
      <c r="AL36" s="62">
        <v>9.6000000000000002E-4</v>
      </c>
      <c r="AM36" s="62">
        <f t="shared" si="154"/>
        <v>1E-4</v>
      </c>
      <c r="AN36" s="62">
        <f t="shared" si="154"/>
        <v>0</v>
      </c>
      <c r="AO36" s="62">
        <f t="shared" si="155"/>
        <v>2.5000000000000001E-3</v>
      </c>
      <c r="AP36" s="62">
        <f t="shared" si="5"/>
        <v>1.6999999999999999E-3</v>
      </c>
      <c r="AQ36" s="62">
        <f t="shared" si="5"/>
        <v>1.8E-3</v>
      </c>
      <c r="AR36" s="62">
        <v>3.5E-4</v>
      </c>
      <c r="AS36" s="62">
        <v>2.5999999999999998E-4</v>
      </c>
      <c r="AT36" s="62">
        <v>3.5E-4</v>
      </c>
      <c r="AU36" s="62">
        <v>8.7000000000000001E-4</v>
      </c>
      <c r="AV36" s="62">
        <v>1.47E-3</v>
      </c>
      <c r="AW36" s="69">
        <f t="shared" si="131"/>
        <v>1.4000000000000001E-4</v>
      </c>
      <c r="AX36" s="69">
        <f t="shared" si="132"/>
        <v>1.4000000000000001E-4</v>
      </c>
      <c r="AY36" s="69">
        <f t="shared" si="133"/>
        <v>1.4000000000000001E-4</v>
      </c>
      <c r="AZ36" s="69">
        <f t="shared" si="134"/>
        <v>1.4000000000000001E-4</v>
      </c>
      <c r="BA36" s="69">
        <f t="shared" si="138"/>
        <v>6.6E-4</v>
      </c>
      <c r="BB36" s="69">
        <f t="shared" si="139"/>
        <v>6.6E-4</v>
      </c>
      <c r="BC36" s="69">
        <f t="shared" si="140"/>
        <v>6.6E-4</v>
      </c>
      <c r="BD36" s="69">
        <f t="shared" si="141"/>
        <v>6.6E-4</v>
      </c>
      <c r="BE36" s="69">
        <f t="shared" si="141"/>
        <v>4.0000000000000002E-4</v>
      </c>
      <c r="BF36" s="69">
        <f t="shared" si="141"/>
        <v>4.0000000000000002E-4</v>
      </c>
      <c r="BG36" s="69">
        <f t="shared" si="141"/>
        <v>4.0000000000000002E-4</v>
      </c>
      <c r="BH36" s="69">
        <f t="shared" si="156"/>
        <v>4.0000000000000002E-4</v>
      </c>
      <c r="BI36" s="69">
        <f t="shared" si="142"/>
        <v>3.6999999999999999E-4</v>
      </c>
      <c r="BJ36" s="69">
        <f t="shared" si="143"/>
        <v>3.6999999999999999E-4</v>
      </c>
      <c r="BK36" s="69">
        <f t="shared" si="144"/>
        <v>3.6999999999999999E-4</v>
      </c>
      <c r="BL36" s="69">
        <f t="shared" si="145"/>
        <v>3.6999999999999999E-4</v>
      </c>
      <c r="BM36" s="69">
        <f t="shared" si="146"/>
        <v>3.3E-4</v>
      </c>
      <c r="BN36" s="69">
        <f t="shared" si="147"/>
        <v>3.3E-4</v>
      </c>
      <c r="BO36" s="69">
        <f t="shared" si="148"/>
        <v>3.3E-4</v>
      </c>
      <c r="BP36" s="69">
        <f t="shared" si="149"/>
        <v>3.3E-4</v>
      </c>
      <c r="BQ36" s="75">
        <f t="shared" si="153"/>
        <v>2.7999999999999998E-4</v>
      </c>
      <c r="BR36" s="75">
        <f t="shared" si="157"/>
        <v>2.7999999999999998E-4</v>
      </c>
      <c r="BS36" s="75">
        <f t="shared" si="158"/>
        <v>2.7999999999999998E-4</v>
      </c>
      <c r="BT36" s="75">
        <f t="shared" si="159"/>
        <v>2.7999999999999998E-4</v>
      </c>
      <c r="BU36" s="75">
        <f t="shared" si="160"/>
        <v>4.8999999999999998E-4</v>
      </c>
      <c r="BV36" s="75">
        <f t="shared" si="161"/>
        <v>4.8999999999999998E-4</v>
      </c>
      <c r="BW36" s="75">
        <f t="shared" si="162"/>
        <v>4.8999999999999998E-4</v>
      </c>
      <c r="BX36" s="75">
        <f t="shared" si="163"/>
        <v>4.8999999999999998E-4</v>
      </c>
      <c r="BY36" s="75">
        <f t="shared" si="164"/>
        <v>4.8999999999999998E-4</v>
      </c>
      <c r="BZ36" s="75">
        <f t="shared" si="165"/>
        <v>4.8999999999999998E-4</v>
      </c>
      <c r="CA36" s="75">
        <f t="shared" si="166"/>
        <v>4.8999999999999998E-4</v>
      </c>
      <c r="CB36" s="75">
        <f t="shared" si="167"/>
        <v>4.8999999999999998E-4</v>
      </c>
      <c r="CC36" s="69">
        <f t="shared" si="6"/>
        <v>2.5000000000000001E-4</v>
      </c>
      <c r="CD36" s="69">
        <f t="shared" si="7"/>
        <v>2.5000000000000001E-4</v>
      </c>
      <c r="CE36" s="69">
        <f t="shared" si="8"/>
        <v>2.5000000000000001E-4</v>
      </c>
      <c r="CF36" s="69">
        <f t="shared" si="9"/>
        <v>2.5000000000000001E-4</v>
      </c>
      <c r="CG36" s="69">
        <f t="shared" si="10"/>
        <v>5.0000000000000001E-4</v>
      </c>
      <c r="CH36" s="69">
        <f t="shared" si="11"/>
        <v>5.0000000000000001E-4</v>
      </c>
      <c r="CI36" s="69">
        <f t="shared" si="12"/>
        <v>5.0000000000000001E-4</v>
      </c>
      <c r="CJ36" s="69">
        <f t="shared" si="13"/>
        <v>5.0000000000000001E-4</v>
      </c>
      <c r="CK36" s="69">
        <f t="shared" si="14"/>
        <v>1E-3</v>
      </c>
      <c r="CL36" s="69">
        <f t="shared" si="15"/>
        <v>1E-3</v>
      </c>
      <c r="CM36" s="69">
        <f t="shared" si="16"/>
        <v>1E-3</v>
      </c>
      <c r="CN36" s="69">
        <f t="shared" si="17"/>
        <v>1E-3</v>
      </c>
      <c r="CO36" s="69">
        <v>0</v>
      </c>
      <c r="CP36" s="69">
        <v>0</v>
      </c>
      <c r="CQ36" s="69">
        <v>0</v>
      </c>
      <c r="CR36" s="69">
        <v>0</v>
      </c>
      <c r="CS36" s="69">
        <v>0</v>
      </c>
      <c r="CT36" s="69">
        <v>0</v>
      </c>
      <c r="CU36" s="69">
        <v>0</v>
      </c>
      <c r="CV36" s="69">
        <v>0</v>
      </c>
      <c r="CW36" s="69">
        <v>0</v>
      </c>
      <c r="CX36" s="69">
        <v>0</v>
      </c>
      <c r="CY36" s="69">
        <v>0</v>
      </c>
      <c r="CZ36" s="69">
        <v>0</v>
      </c>
      <c r="DA36" s="62">
        <f t="shared" si="18"/>
        <v>1.5E-3</v>
      </c>
      <c r="DB36" s="62">
        <f t="shared" si="19"/>
        <v>2.5000000000000001E-3</v>
      </c>
      <c r="DC36" s="62">
        <v>3.2000000000000002E-3</v>
      </c>
      <c r="DD36" s="62">
        <f t="shared" si="20"/>
        <v>2.0999999999999999E-3</v>
      </c>
      <c r="DE36" s="62">
        <f t="shared" si="21"/>
        <v>2E-3</v>
      </c>
      <c r="DF36" s="62">
        <f t="shared" si="22"/>
        <v>2.2000000000000001E-3</v>
      </c>
      <c r="DG36" s="62">
        <f t="shared" si="23"/>
        <v>2.3E-3</v>
      </c>
      <c r="DH36" s="62">
        <f t="shared" si="24"/>
        <v>2.5000000000000001E-3</v>
      </c>
      <c r="DI36" s="62">
        <f t="shared" si="25"/>
        <v>2.5999999999999999E-3</v>
      </c>
      <c r="DJ36" s="62">
        <f t="shared" si="26"/>
        <v>3.2000000000000002E-3</v>
      </c>
      <c r="DK36" s="62">
        <f t="shared" si="27"/>
        <v>2.9999999999999997E-4</v>
      </c>
      <c r="DL36" s="62">
        <f t="shared" si="28"/>
        <v>2.5000000000000001E-3</v>
      </c>
      <c r="DM36" s="62">
        <f t="shared" si="29"/>
        <v>5.0000000000000001E-4</v>
      </c>
      <c r="DN36" s="62">
        <f t="shared" si="30"/>
        <v>1.1999999999999999E-3</v>
      </c>
      <c r="DO36" s="62">
        <f t="shared" si="31"/>
        <v>1.9E-3</v>
      </c>
      <c r="DP36" s="62">
        <f t="shared" si="32"/>
        <v>1E-3</v>
      </c>
      <c r="DQ36" s="62">
        <f t="shared" si="33"/>
        <v>2.0999999999999999E-3</v>
      </c>
      <c r="DR36" s="62">
        <f t="shared" si="34"/>
        <v>8.9999999999999998E-4</v>
      </c>
      <c r="DS36" s="62">
        <f t="shared" si="35"/>
        <v>2.0999999999999999E-3</v>
      </c>
      <c r="DT36" s="62">
        <f t="shared" si="36"/>
        <v>1.4E-3</v>
      </c>
      <c r="DU36" s="62">
        <f t="shared" si="37"/>
        <v>1.6000000000000001E-3</v>
      </c>
      <c r="DV36" s="62">
        <f t="shared" si="38"/>
        <v>2.3999999999999998E-3</v>
      </c>
      <c r="DW36" s="62">
        <f t="shared" si="39"/>
        <v>5.0000000000000001E-3</v>
      </c>
      <c r="DX36" s="62">
        <f t="shared" si="40"/>
        <v>2E-3</v>
      </c>
      <c r="DY36" s="62">
        <f t="shared" si="41"/>
        <v>0</v>
      </c>
      <c r="DZ36" s="62">
        <f t="shared" si="42"/>
        <v>1.5E-3</v>
      </c>
      <c r="EA36" s="62">
        <f t="shared" si="43"/>
        <v>2.0000000000000001E-4</v>
      </c>
      <c r="EB36" s="62">
        <f t="shared" si="44"/>
        <v>1.5E-3</v>
      </c>
      <c r="EC36" s="62">
        <f t="shared" si="45"/>
        <v>2.7000000000000001E-3</v>
      </c>
      <c r="ED36" s="62">
        <f t="shared" si="46"/>
        <v>2.5000000000000001E-3</v>
      </c>
      <c r="EE36" s="62">
        <f t="shared" si="47"/>
        <v>0</v>
      </c>
      <c r="EF36" s="62">
        <f t="shared" si="48"/>
        <v>2.5000000000000001E-3</v>
      </c>
      <c r="EG36" s="62">
        <f t="shared" si="49"/>
        <v>1.1000000000000001E-3</v>
      </c>
      <c r="EH36" s="62">
        <f t="shared" si="50"/>
        <v>2.5000000000000001E-3</v>
      </c>
      <c r="EI36" s="62">
        <f t="shared" si="51"/>
        <v>8.0000000000000004E-4</v>
      </c>
      <c r="EJ36" s="62">
        <f t="shared" si="52"/>
        <v>2.5000000000000001E-3</v>
      </c>
      <c r="EK36" s="62">
        <f t="shared" si="53"/>
        <v>7.5000000000000002E-4</v>
      </c>
      <c r="EL36" s="62">
        <f t="shared" si="54"/>
        <v>2.5000000000000001E-3</v>
      </c>
      <c r="EM36" s="62">
        <f t="shared" si="55"/>
        <v>3.2000000000000002E-3</v>
      </c>
      <c r="EN36" s="62">
        <f t="shared" si="56"/>
        <v>2.3999999999999998E-3</v>
      </c>
      <c r="EO36" s="62">
        <f t="shared" si="57"/>
        <v>0</v>
      </c>
      <c r="EP36" s="62">
        <f t="shared" si="58"/>
        <v>2E-3</v>
      </c>
      <c r="EQ36" s="62">
        <f t="shared" si="59"/>
        <v>1.1000000000000001E-3</v>
      </c>
      <c r="ER36" s="62">
        <f t="shared" si="60"/>
        <v>2.2000000000000001E-3</v>
      </c>
      <c r="ES36" s="62">
        <f t="shared" si="61"/>
        <v>1E-3</v>
      </c>
      <c r="ET36" s="62">
        <f t="shared" si="62"/>
        <v>4.0000000000000001E-3</v>
      </c>
      <c r="EU36" s="62">
        <f t="shared" si="63"/>
        <v>3.7000000000000002E-3</v>
      </c>
      <c r="EV36" s="62">
        <f t="shared" si="64"/>
        <v>4.7999999999999996E-3</v>
      </c>
      <c r="EW36" s="62">
        <f t="shared" si="65"/>
        <v>0</v>
      </c>
      <c r="EX36" s="62">
        <f t="shared" si="66"/>
        <v>2.5000000000000001E-3</v>
      </c>
      <c r="EY36" s="62">
        <f t="shared" si="67"/>
        <v>2.5000000000000001E-3</v>
      </c>
      <c r="EZ36" s="62">
        <f t="shared" si="68"/>
        <v>3.8999999999999998E-3</v>
      </c>
      <c r="FA36" s="62">
        <f t="shared" si="69"/>
        <v>6.1999999999999998E-3</v>
      </c>
      <c r="FB36" s="62">
        <f t="shared" si="70"/>
        <v>5.1000000000000004E-3</v>
      </c>
      <c r="FC36" s="62">
        <f t="shared" si="71"/>
        <v>2.8999999999999998E-3</v>
      </c>
      <c r="FD36" s="62">
        <f t="shared" si="72"/>
        <v>1.5E-3</v>
      </c>
      <c r="FE36" s="62">
        <f t="shared" si="73"/>
        <v>2.8E-3</v>
      </c>
      <c r="FF36" s="62">
        <f t="shared" si="74"/>
        <v>1.5E-3</v>
      </c>
      <c r="FG36" s="62">
        <f t="shared" si="75"/>
        <v>2.5999999999999999E-3</v>
      </c>
      <c r="FH36" s="62">
        <f t="shared" si="76"/>
        <v>1.5E-3</v>
      </c>
      <c r="FI36" s="62">
        <f t="shared" si="77"/>
        <v>2.7000000000000001E-3</v>
      </c>
      <c r="FJ36" s="62">
        <f t="shared" si="78"/>
        <v>1.5E-3</v>
      </c>
      <c r="FK36" s="62">
        <f t="shared" si="79"/>
        <v>3.3999999999999998E-3</v>
      </c>
      <c r="FL36" s="62">
        <f t="shared" si="80"/>
        <v>8.9999999999999998E-4</v>
      </c>
      <c r="FM36" s="62">
        <f t="shared" si="81"/>
        <v>2.6999999999999997E-3</v>
      </c>
      <c r="FN36" s="62">
        <f t="shared" si="82"/>
        <v>0</v>
      </c>
      <c r="FO36" s="62">
        <f t="shared" si="83"/>
        <v>2.5000000000000001E-3</v>
      </c>
      <c r="FP36" s="62">
        <f t="shared" si="84"/>
        <v>2.5000000000000001E-3</v>
      </c>
      <c r="FQ36" s="62">
        <f t="shared" si="85"/>
        <v>1.8E-3</v>
      </c>
      <c r="FR36" s="62">
        <f t="shared" si="86"/>
        <v>2E-3</v>
      </c>
      <c r="FS36" s="62">
        <f t="shared" si="87"/>
        <v>1.2999999999999999E-3</v>
      </c>
      <c r="FT36" s="62">
        <f t="shared" si="88"/>
        <v>2.3E-3</v>
      </c>
      <c r="FU36" s="62">
        <f t="shared" si="89"/>
        <v>2E-3</v>
      </c>
      <c r="FV36" s="62">
        <f t="shared" si="90"/>
        <v>2.3999999999999998E-3</v>
      </c>
      <c r="FW36" s="62">
        <f t="shared" si="91"/>
        <v>2.0999999999999999E-3</v>
      </c>
      <c r="FX36" s="62">
        <f t="shared" si="92"/>
        <v>4.0000000000000002E-4</v>
      </c>
      <c r="FY36" s="62">
        <f t="shared" si="93"/>
        <v>2.5000000000000001E-3</v>
      </c>
      <c r="FZ36" s="62">
        <f t="shared" si="94"/>
        <v>5.0000000000000001E-4</v>
      </c>
      <c r="GA36" s="62">
        <f t="shared" si="95"/>
        <v>2.5000000000000001E-3</v>
      </c>
      <c r="GB36" s="62">
        <f t="shared" si="96"/>
        <v>4.0000000000000002E-4</v>
      </c>
      <c r="GC36" s="62">
        <f t="shared" si="97"/>
        <v>1.7499999999999998E-3</v>
      </c>
      <c r="GD36" s="62">
        <f t="shared" si="98"/>
        <v>0</v>
      </c>
      <c r="GE36" s="62">
        <f t="shared" si="99"/>
        <v>1.6999999999999999E-3</v>
      </c>
      <c r="GF36" s="62">
        <f t="shared" si="100"/>
        <v>2.7500000000000002E-4</v>
      </c>
      <c r="GG36" s="62">
        <f t="shared" si="101"/>
        <v>1.719E-3</v>
      </c>
      <c r="GH36" s="62">
        <f t="shared" si="102"/>
        <v>3.0000000000000001E-3</v>
      </c>
      <c r="GI36" s="62">
        <f t="shared" si="103"/>
        <v>2.8999999999999998E-3</v>
      </c>
      <c r="GJ36" s="62">
        <f t="shared" si="104"/>
        <v>2.5000000000000001E-3</v>
      </c>
      <c r="GK36" s="62">
        <f t="shared" si="105"/>
        <v>2.7000000000000001E-3</v>
      </c>
      <c r="GL36" s="62">
        <f t="shared" si="106"/>
        <v>2.5000000000000001E-3</v>
      </c>
      <c r="GM36" s="62">
        <f t="shared" si="107"/>
        <v>2.2000000000000001E-3</v>
      </c>
      <c r="GN36" s="62">
        <f t="shared" si="108"/>
        <v>1.6000000000000001E-3</v>
      </c>
      <c r="GO36" s="62">
        <f t="shared" si="109"/>
        <v>1E-4</v>
      </c>
      <c r="GP36" s="62">
        <f t="shared" si="110"/>
        <v>1E-4</v>
      </c>
      <c r="GQ36" s="62">
        <f t="shared" si="111"/>
        <v>1.1000000000000001E-3</v>
      </c>
      <c r="GR36" s="62">
        <f t="shared" si="112"/>
        <v>2.0000000000000001E-4</v>
      </c>
      <c r="GS36" s="62">
        <f t="shared" si="113"/>
        <v>2.5000000000000001E-3</v>
      </c>
      <c r="GT36" s="62">
        <f t="shared" si="114"/>
        <v>3.3E-3</v>
      </c>
      <c r="GU36" s="62">
        <f t="shared" si="115"/>
        <v>4.0000000000000001E-3</v>
      </c>
      <c r="GV36" s="62">
        <f t="shared" si="116"/>
        <v>3.5000000000000001E-3</v>
      </c>
      <c r="GW36" s="62">
        <f t="shared" si="117"/>
        <v>3.3E-3</v>
      </c>
      <c r="GX36" s="62">
        <f t="shared" si="118"/>
        <v>3.3999999999999998E-3</v>
      </c>
      <c r="GY36" s="62">
        <f t="shared" si="119"/>
        <v>5.0000000000000001E-3</v>
      </c>
      <c r="GZ36" s="62">
        <f t="shared" si="120"/>
        <v>2.5000000000000001E-3</v>
      </c>
      <c r="HA36" s="62">
        <f t="shared" si="121"/>
        <v>2.63E-3</v>
      </c>
      <c r="HB36" s="62">
        <f t="shared" si="122"/>
        <v>6.9999999999999999E-4</v>
      </c>
      <c r="HC36" s="62">
        <f t="shared" si="123"/>
        <v>5.0000000000000001E-4</v>
      </c>
      <c r="HD36" s="62">
        <f t="shared" si="124"/>
        <v>6.9999999999999999E-4</v>
      </c>
      <c r="HE36" s="62">
        <f t="shared" si="125"/>
        <v>4.4999999999999997E-3</v>
      </c>
      <c r="HF36" s="62">
        <f t="shared" si="126"/>
        <v>0</v>
      </c>
      <c r="HG36" s="62">
        <f t="shared" si="127"/>
        <v>6.0000000000000001E-3</v>
      </c>
      <c r="HH36" s="62">
        <f t="shared" si="128"/>
        <v>8.9999999999999998E-4</v>
      </c>
      <c r="HI36" s="62">
        <f t="shared" si="129"/>
        <v>6.0000000000000001E-3</v>
      </c>
    </row>
    <row r="37" spans="2:217" x14ac:dyDescent="0.2">
      <c r="B37" s="72">
        <f t="shared" si="4"/>
        <v>31</v>
      </c>
      <c r="D37" s="62">
        <v>0</v>
      </c>
      <c r="E37" s="73">
        <v>2.3000000000000001E-4</v>
      </c>
      <c r="F37" s="73">
        <v>8.0000000000000004E-4</v>
      </c>
      <c r="G37" s="73">
        <v>4.7000000000000002E-3</v>
      </c>
      <c r="H37" s="73">
        <v>5.9999999999999995E-4</v>
      </c>
      <c r="I37" s="73">
        <v>2.5999999999999999E-3</v>
      </c>
      <c r="J37" s="73">
        <v>3.5999999999999999E-3</v>
      </c>
      <c r="K37" s="73">
        <v>8.0000000000000004E-4</v>
      </c>
      <c r="L37" s="73">
        <v>1E-4</v>
      </c>
      <c r="M37" s="73">
        <v>6.9999999999999999E-4</v>
      </c>
      <c r="N37" s="73">
        <v>1.8E-3</v>
      </c>
      <c r="O37" s="73">
        <v>2.9999999999999997E-4</v>
      </c>
      <c r="P37" s="73">
        <v>1.7499999999999998E-3</v>
      </c>
      <c r="Q37" s="73">
        <v>6.9999999999999999E-4</v>
      </c>
      <c r="R37" s="73">
        <v>2.5000000000000001E-3</v>
      </c>
      <c r="S37" s="73">
        <v>3.3999999999999998E-3</v>
      </c>
      <c r="T37" s="73">
        <v>6.9999999999999999E-4</v>
      </c>
      <c r="U37" s="73">
        <v>2.3999999999999998E-3</v>
      </c>
      <c r="V37" s="73">
        <v>4.1000000000000003E-3</v>
      </c>
      <c r="W37" s="73">
        <v>3.8999999999999998E-3</v>
      </c>
      <c r="X37" s="73">
        <v>4.0000000000000001E-3</v>
      </c>
      <c r="Y37" s="73">
        <v>3.3999999999999998E-3</v>
      </c>
      <c r="Z37" s="73">
        <v>2.3999999999999998E-3</v>
      </c>
      <c r="AA37" s="73">
        <v>8.0000000000000004E-4</v>
      </c>
      <c r="AB37" s="73">
        <v>2.5000000000000001E-3</v>
      </c>
      <c r="AC37" s="73">
        <v>2.3999999999999998E-3</v>
      </c>
      <c r="AD37" s="73">
        <v>2.5000000000000001E-3</v>
      </c>
      <c r="AE37" s="73">
        <v>8.9999999999999998E-4</v>
      </c>
      <c r="AF37" s="73">
        <v>4.7999999999999996E-3</v>
      </c>
      <c r="AG37" s="73">
        <v>2E-3</v>
      </c>
      <c r="AH37" s="73">
        <v>2.8999999999999998E-3</v>
      </c>
      <c r="AI37" s="73">
        <v>5.0000000000000001E-4</v>
      </c>
      <c r="AJ37" s="73">
        <v>2.5000000000000001E-3</v>
      </c>
      <c r="AK37" s="62">
        <v>3.3E-4</v>
      </c>
      <c r="AL37" s="62">
        <v>9.6000000000000002E-4</v>
      </c>
      <c r="AM37" s="62">
        <f t="shared" si="154"/>
        <v>1E-4</v>
      </c>
      <c r="AN37" s="62">
        <f t="shared" si="154"/>
        <v>0</v>
      </c>
      <c r="AO37" s="62">
        <f t="shared" si="155"/>
        <v>2.5000000000000001E-3</v>
      </c>
      <c r="AP37" s="62">
        <f>AP36</f>
        <v>1.6999999999999999E-3</v>
      </c>
      <c r="AQ37" s="62">
        <f>AQ36</f>
        <v>1.8E-3</v>
      </c>
      <c r="AR37" s="62">
        <v>3.5E-4</v>
      </c>
      <c r="AS37" s="62">
        <v>2.5999999999999998E-4</v>
      </c>
      <c r="AT37" s="62">
        <v>3.5E-4</v>
      </c>
      <c r="AU37" s="62">
        <v>8.7000000000000001E-4</v>
      </c>
      <c r="AV37" s="62">
        <v>1.47E-3</v>
      </c>
      <c r="AW37" s="69">
        <f t="shared" si="131"/>
        <v>1.4000000000000001E-4</v>
      </c>
      <c r="AX37" s="69">
        <f t="shared" si="132"/>
        <v>1.4000000000000001E-4</v>
      </c>
      <c r="AY37" s="69">
        <f t="shared" si="133"/>
        <v>1.4000000000000001E-4</v>
      </c>
      <c r="AZ37" s="69">
        <f t="shared" si="134"/>
        <v>1.4000000000000001E-4</v>
      </c>
      <c r="BA37" s="69">
        <f t="shared" si="138"/>
        <v>6.6E-4</v>
      </c>
      <c r="BB37" s="69">
        <f t="shared" si="139"/>
        <v>6.6E-4</v>
      </c>
      <c r="BC37" s="69">
        <f t="shared" si="140"/>
        <v>6.6E-4</v>
      </c>
      <c r="BD37" s="69">
        <f t="shared" si="141"/>
        <v>6.6E-4</v>
      </c>
      <c r="BE37" s="69">
        <f t="shared" si="141"/>
        <v>4.0000000000000002E-4</v>
      </c>
      <c r="BF37" s="69">
        <f t="shared" si="141"/>
        <v>4.0000000000000002E-4</v>
      </c>
      <c r="BG37" s="69">
        <f t="shared" si="141"/>
        <v>4.0000000000000002E-4</v>
      </c>
      <c r="BH37" s="69">
        <f t="shared" si="156"/>
        <v>4.0000000000000002E-4</v>
      </c>
      <c r="BI37" s="69">
        <f t="shared" si="142"/>
        <v>3.6999999999999999E-4</v>
      </c>
      <c r="BJ37" s="69">
        <f t="shared" si="143"/>
        <v>3.6999999999999999E-4</v>
      </c>
      <c r="BK37" s="69">
        <f t="shared" si="144"/>
        <v>3.6999999999999999E-4</v>
      </c>
      <c r="BL37" s="69">
        <f t="shared" si="145"/>
        <v>3.6999999999999999E-4</v>
      </c>
      <c r="BM37" s="69">
        <f t="shared" si="146"/>
        <v>3.3E-4</v>
      </c>
      <c r="BN37" s="69">
        <f t="shared" si="147"/>
        <v>3.3E-4</v>
      </c>
      <c r="BO37" s="69">
        <f t="shared" si="148"/>
        <v>3.3E-4</v>
      </c>
      <c r="BP37" s="69">
        <f t="shared" si="149"/>
        <v>3.3E-4</v>
      </c>
      <c r="BQ37" s="75">
        <f>BQ36</f>
        <v>2.7999999999999998E-4</v>
      </c>
      <c r="BR37" s="75">
        <f t="shared" ref="BR37" si="168">BR36</f>
        <v>2.7999999999999998E-4</v>
      </c>
      <c r="BS37" s="75">
        <f t="shared" ref="BS37" si="169">BS36</f>
        <v>2.7999999999999998E-4</v>
      </c>
      <c r="BT37" s="75">
        <f t="shared" ref="BT37" si="170">BT36</f>
        <v>2.7999999999999998E-4</v>
      </c>
      <c r="BU37" s="75">
        <f t="shared" ref="BU37" si="171">BU36</f>
        <v>4.8999999999999998E-4</v>
      </c>
      <c r="BV37" s="75">
        <f t="shared" ref="BV37" si="172">BV36</f>
        <v>4.8999999999999998E-4</v>
      </c>
      <c r="BW37" s="75">
        <f t="shared" ref="BW37" si="173">BW36</f>
        <v>4.8999999999999998E-4</v>
      </c>
      <c r="BX37" s="75">
        <f t="shared" ref="BX37" si="174">BX36</f>
        <v>4.8999999999999998E-4</v>
      </c>
      <c r="BY37" s="75">
        <f t="shared" ref="BY37" si="175">BY36</f>
        <v>4.8999999999999998E-4</v>
      </c>
      <c r="BZ37" s="75">
        <f t="shared" ref="BZ37" si="176">BZ36</f>
        <v>4.8999999999999998E-4</v>
      </c>
      <c r="CA37" s="75">
        <f t="shared" ref="CA37" si="177">CA36</f>
        <v>4.8999999999999998E-4</v>
      </c>
      <c r="CB37" s="75">
        <f t="shared" ref="CB37" si="178">CB36</f>
        <v>4.8999999999999998E-4</v>
      </c>
      <c r="CC37" s="69">
        <f t="shared" si="6"/>
        <v>2.5000000000000001E-4</v>
      </c>
      <c r="CD37" s="69">
        <f t="shared" si="7"/>
        <v>2.5000000000000001E-4</v>
      </c>
      <c r="CE37" s="69">
        <f t="shared" si="8"/>
        <v>2.5000000000000001E-4</v>
      </c>
      <c r="CF37" s="69">
        <f t="shared" si="9"/>
        <v>2.5000000000000001E-4</v>
      </c>
      <c r="CG37" s="69">
        <f t="shared" si="10"/>
        <v>5.0000000000000001E-4</v>
      </c>
      <c r="CH37" s="69">
        <f t="shared" si="11"/>
        <v>5.0000000000000001E-4</v>
      </c>
      <c r="CI37" s="69">
        <f t="shared" si="12"/>
        <v>5.0000000000000001E-4</v>
      </c>
      <c r="CJ37" s="69">
        <f t="shared" si="13"/>
        <v>5.0000000000000001E-4</v>
      </c>
      <c r="CK37" s="69">
        <f t="shared" si="14"/>
        <v>1E-3</v>
      </c>
      <c r="CL37" s="69">
        <f t="shared" si="15"/>
        <v>1E-3</v>
      </c>
      <c r="CM37" s="69">
        <f t="shared" si="16"/>
        <v>1E-3</v>
      </c>
      <c r="CN37" s="69">
        <f t="shared" si="17"/>
        <v>1E-3</v>
      </c>
      <c r="CO37" s="69">
        <v>4.0000000000000001E-3</v>
      </c>
      <c r="CP37" s="69">
        <v>4.0000000000000001E-3</v>
      </c>
      <c r="CQ37" s="69">
        <v>2E-3</v>
      </c>
      <c r="CR37" s="69">
        <v>2E-3</v>
      </c>
      <c r="CS37" s="69">
        <v>5.0000000000000001E-3</v>
      </c>
      <c r="CT37" s="69">
        <v>5.0000000000000001E-3</v>
      </c>
      <c r="CU37" s="69">
        <v>2.5000000000000001E-3</v>
      </c>
      <c r="CV37" s="69">
        <v>2.5000000000000001E-3</v>
      </c>
      <c r="CW37" s="69">
        <v>0</v>
      </c>
      <c r="CX37" s="69">
        <v>0</v>
      </c>
      <c r="CY37" s="69">
        <v>0</v>
      </c>
      <c r="CZ37" s="69">
        <v>0</v>
      </c>
      <c r="DA37" s="62">
        <f t="shared" si="18"/>
        <v>1.5E-3</v>
      </c>
      <c r="DB37" s="62">
        <f t="shared" si="19"/>
        <v>2.5000000000000001E-3</v>
      </c>
      <c r="DC37" s="62">
        <v>3.2000000000000002E-3</v>
      </c>
      <c r="DD37" s="62">
        <f t="shared" si="20"/>
        <v>2.0999999999999999E-3</v>
      </c>
      <c r="DE37" s="62">
        <f t="shared" si="21"/>
        <v>2E-3</v>
      </c>
      <c r="DF37" s="62">
        <f t="shared" si="22"/>
        <v>2.2000000000000001E-3</v>
      </c>
      <c r="DG37" s="62">
        <f t="shared" si="23"/>
        <v>2.3E-3</v>
      </c>
      <c r="DH37" s="62">
        <f t="shared" si="24"/>
        <v>2.5000000000000001E-3</v>
      </c>
      <c r="DI37" s="62">
        <f t="shared" si="25"/>
        <v>2.5999999999999999E-3</v>
      </c>
      <c r="DJ37" s="62">
        <f t="shared" si="26"/>
        <v>3.2000000000000002E-3</v>
      </c>
      <c r="DK37" s="62">
        <f t="shared" si="27"/>
        <v>2.9999999999999997E-4</v>
      </c>
      <c r="DL37" s="62">
        <f t="shared" si="28"/>
        <v>2.5000000000000001E-3</v>
      </c>
      <c r="DM37" s="62">
        <f t="shared" si="29"/>
        <v>5.0000000000000001E-4</v>
      </c>
      <c r="DN37" s="62">
        <f t="shared" si="30"/>
        <v>1.1999999999999999E-3</v>
      </c>
      <c r="DO37" s="62">
        <f t="shared" si="31"/>
        <v>1.9E-3</v>
      </c>
      <c r="DP37" s="62">
        <f t="shared" si="32"/>
        <v>1E-3</v>
      </c>
      <c r="DQ37" s="62">
        <f t="shared" si="33"/>
        <v>2.0999999999999999E-3</v>
      </c>
      <c r="DR37" s="62">
        <f t="shared" si="34"/>
        <v>8.9999999999999998E-4</v>
      </c>
      <c r="DS37" s="62">
        <f t="shared" si="35"/>
        <v>2.0999999999999999E-3</v>
      </c>
      <c r="DT37" s="62">
        <f t="shared" si="36"/>
        <v>1.4E-3</v>
      </c>
      <c r="DU37" s="62">
        <f t="shared" si="37"/>
        <v>1.6000000000000001E-3</v>
      </c>
      <c r="DV37" s="62">
        <f t="shared" si="38"/>
        <v>2.3999999999999998E-3</v>
      </c>
      <c r="DW37" s="62">
        <f t="shared" si="39"/>
        <v>5.0000000000000001E-3</v>
      </c>
      <c r="DX37" s="62">
        <f t="shared" si="40"/>
        <v>2E-3</v>
      </c>
      <c r="DY37" s="62">
        <f t="shared" si="41"/>
        <v>0</v>
      </c>
      <c r="DZ37" s="62">
        <f t="shared" si="42"/>
        <v>1.5E-3</v>
      </c>
      <c r="EA37" s="62">
        <f t="shared" si="43"/>
        <v>2.0000000000000001E-4</v>
      </c>
      <c r="EB37" s="62">
        <f t="shared" si="44"/>
        <v>1.5E-3</v>
      </c>
      <c r="EC37" s="62">
        <f t="shared" si="45"/>
        <v>2.7000000000000001E-3</v>
      </c>
      <c r="ED37" s="62">
        <f t="shared" si="46"/>
        <v>2.5000000000000001E-3</v>
      </c>
      <c r="EE37" s="62">
        <f t="shared" si="47"/>
        <v>0</v>
      </c>
      <c r="EF37" s="62">
        <f t="shared" si="48"/>
        <v>2.5000000000000001E-3</v>
      </c>
      <c r="EG37" s="62">
        <f t="shared" si="49"/>
        <v>1.1000000000000001E-3</v>
      </c>
      <c r="EH37" s="62">
        <f t="shared" si="50"/>
        <v>2.5000000000000001E-3</v>
      </c>
      <c r="EI37" s="62">
        <f t="shared" si="51"/>
        <v>8.0000000000000004E-4</v>
      </c>
      <c r="EJ37" s="62">
        <f t="shared" si="52"/>
        <v>2.5000000000000001E-3</v>
      </c>
      <c r="EK37" s="62">
        <f t="shared" si="53"/>
        <v>7.5000000000000002E-4</v>
      </c>
      <c r="EL37" s="62">
        <f t="shared" si="54"/>
        <v>2.5000000000000001E-3</v>
      </c>
      <c r="EM37" s="62">
        <f t="shared" si="55"/>
        <v>3.2000000000000002E-3</v>
      </c>
      <c r="EN37" s="62">
        <f t="shared" si="56"/>
        <v>2.3999999999999998E-3</v>
      </c>
      <c r="EO37" s="62">
        <f t="shared" si="57"/>
        <v>0</v>
      </c>
      <c r="EP37" s="62">
        <f t="shared" si="58"/>
        <v>2E-3</v>
      </c>
      <c r="EQ37" s="62">
        <f t="shared" si="59"/>
        <v>1.1000000000000001E-3</v>
      </c>
      <c r="ER37" s="62">
        <f t="shared" si="60"/>
        <v>2.2000000000000001E-3</v>
      </c>
      <c r="ES37" s="62">
        <f t="shared" si="61"/>
        <v>1E-3</v>
      </c>
      <c r="ET37" s="62">
        <f t="shared" si="62"/>
        <v>4.0000000000000001E-3</v>
      </c>
      <c r="EU37" s="62">
        <f t="shared" si="63"/>
        <v>3.7000000000000002E-3</v>
      </c>
      <c r="EV37" s="62">
        <f t="shared" si="64"/>
        <v>4.7999999999999996E-3</v>
      </c>
      <c r="EW37" s="62">
        <f t="shared" si="65"/>
        <v>0</v>
      </c>
      <c r="EX37" s="62">
        <f t="shared" si="66"/>
        <v>2.5000000000000001E-3</v>
      </c>
      <c r="EY37" s="62">
        <f t="shared" si="67"/>
        <v>2.5000000000000001E-3</v>
      </c>
      <c r="EZ37" s="62">
        <f t="shared" si="68"/>
        <v>3.8999999999999998E-3</v>
      </c>
      <c r="FA37" s="62">
        <f t="shared" si="69"/>
        <v>6.1999999999999998E-3</v>
      </c>
      <c r="FB37" s="62">
        <f t="shared" si="70"/>
        <v>5.1000000000000004E-3</v>
      </c>
      <c r="FC37" s="62">
        <f t="shared" si="71"/>
        <v>2.8999999999999998E-3</v>
      </c>
      <c r="FD37" s="62">
        <f t="shared" si="72"/>
        <v>1.5E-3</v>
      </c>
      <c r="FE37" s="62">
        <f t="shared" si="73"/>
        <v>2.8E-3</v>
      </c>
      <c r="FF37" s="62">
        <f t="shared" si="74"/>
        <v>1.5E-3</v>
      </c>
      <c r="FG37" s="62">
        <f t="shared" si="75"/>
        <v>2.5999999999999999E-3</v>
      </c>
      <c r="FH37" s="62">
        <f t="shared" si="76"/>
        <v>1.5E-3</v>
      </c>
      <c r="FI37" s="62">
        <f t="shared" si="77"/>
        <v>2.7000000000000001E-3</v>
      </c>
      <c r="FJ37" s="62">
        <f t="shared" si="78"/>
        <v>1.5E-3</v>
      </c>
      <c r="FK37" s="62">
        <f t="shared" si="79"/>
        <v>3.3999999999999998E-3</v>
      </c>
      <c r="FL37" s="62">
        <f t="shared" si="80"/>
        <v>8.9999999999999998E-4</v>
      </c>
      <c r="FM37" s="62">
        <f t="shared" si="81"/>
        <v>2.6999999999999997E-3</v>
      </c>
      <c r="FN37" s="62">
        <f t="shared" si="82"/>
        <v>0</v>
      </c>
      <c r="FO37" s="62">
        <f t="shared" si="83"/>
        <v>2.5000000000000001E-3</v>
      </c>
      <c r="FP37" s="62">
        <f t="shared" si="84"/>
        <v>2.5000000000000001E-3</v>
      </c>
      <c r="FQ37" s="62">
        <f t="shared" si="85"/>
        <v>1.8E-3</v>
      </c>
      <c r="FR37" s="62">
        <f t="shared" si="86"/>
        <v>2E-3</v>
      </c>
      <c r="FS37" s="62">
        <f t="shared" si="87"/>
        <v>1.2999999999999999E-3</v>
      </c>
      <c r="FT37" s="62">
        <f t="shared" si="88"/>
        <v>2.3E-3</v>
      </c>
      <c r="FU37" s="62">
        <f t="shared" si="89"/>
        <v>2E-3</v>
      </c>
      <c r="FV37" s="62">
        <f t="shared" si="90"/>
        <v>2.3999999999999998E-3</v>
      </c>
      <c r="FW37" s="62">
        <f t="shared" si="91"/>
        <v>2.0999999999999999E-3</v>
      </c>
      <c r="FX37" s="62">
        <f t="shared" si="92"/>
        <v>4.0000000000000002E-4</v>
      </c>
      <c r="FY37" s="62">
        <f t="shared" si="93"/>
        <v>2.5000000000000001E-3</v>
      </c>
      <c r="FZ37" s="62">
        <f t="shared" si="94"/>
        <v>5.0000000000000001E-4</v>
      </c>
      <c r="GA37" s="62">
        <f t="shared" si="95"/>
        <v>2.5000000000000001E-3</v>
      </c>
      <c r="GB37" s="62">
        <f t="shared" si="96"/>
        <v>4.0000000000000002E-4</v>
      </c>
      <c r="GC37" s="62">
        <f t="shared" si="97"/>
        <v>1.7499999999999998E-3</v>
      </c>
      <c r="GD37" s="62">
        <f t="shared" si="98"/>
        <v>0</v>
      </c>
      <c r="GE37" s="62">
        <f t="shared" si="99"/>
        <v>1.6999999999999999E-3</v>
      </c>
      <c r="GF37" s="62">
        <f t="shared" si="100"/>
        <v>2.7500000000000002E-4</v>
      </c>
      <c r="GG37" s="62">
        <f t="shared" si="101"/>
        <v>1.719E-3</v>
      </c>
      <c r="GH37" s="62">
        <f t="shared" si="102"/>
        <v>3.0000000000000001E-3</v>
      </c>
      <c r="GI37" s="62">
        <f t="shared" si="103"/>
        <v>2.8999999999999998E-3</v>
      </c>
      <c r="GJ37" s="62">
        <f t="shared" si="104"/>
        <v>2.5000000000000001E-3</v>
      </c>
      <c r="GK37" s="62">
        <f t="shared" si="105"/>
        <v>2.7000000000000001E-3</v>
      </c>
      <c r="GL37" s="62">
        <f t="shared" si="106"/>
        <v>2.5000000000000001E-3</v>
      </c>
      <c r="GM37" s="62">
        <f t="shared" si="107"/>
        <v>2.2000000000000001E-3</v>
      </c>
      <c r="GN37" s="62">
        <f t="shared" si="108"/>
        <v>1.6000000000000001E-3</v>
      </c>
      <c r="GO37" s="62">
        <f t="shared" si="109"/>
        <v>1E-4</v>
      </c>
      <c r="GP37" s="62">
        <f t="shared" si="110"/>
        <v>1E-4</v>
      </c>
      <c r="GQ37" s="62">
        <f t="shared" si="111"/>
        <v>1.1000000000000001E-3</v>
      </c>
      <c r="GR37" s="62">
        <f t="shared" si="112"/>
        <v>2.0000000000000001E-4</v>
      </c>
      <c r="GS37" s="62">
        <f t="shared" si="113"/>
        <v>2.5000000000000001E-3</v>
      </c>
      <c r="GT37" s="62">
        <f t="shared" si="114"/>
        <v>3.3E-3</v>
      </c>
      <c r="GU37" s="62">
        <f t="shared" si="115"/>
        <v>4.0000000000000001E-3</v>
      </c>
      <c r="GV37" s="62">
        <f t="shared" si="116"/>
        <v>3.5000000000000001E-3</v>
      </c>
      <c r="GW37" s="62">
        <f t="shared" si="117"/>
        <v>3.3E-3</v>
      </c>
      <c r="GX37" s="62">
        <f t="shared" si="118"/>
        <v>3.3999999999999998E-3</v>
      </c>
      <c r="GY37" s="62">
        <f t="shared" si="119"/>
        <v>5.0000000000000001E-3</v>
      </c>
      <c r="GZ37" s="62">
        <f t="shared" si="120"/>
        <v>2.5000000000000001E-3</v>
      </c>
      <c r="HA37" s="62">
        <f t="shared" si="121"/>
        <v>2.63E-3</v>
      </c>
      <c r="HB37" s="62">
        <f t="shared" si="122"/>
        <v>6.9999999999999999E-4</v>
      </c>
      <c r="HC37" s="62">
        <f t="shared" si="123"/>
        <v>5.0000000000000001E-4</v>
      </c>
      <c r="HD37" s="62">
        <f t="shared" si="124"/>
        <v>6.9999999999999999E-4</v>
      </c>
      <c r="HE37" s="62">
        <f t="shared" si="125"/>
        <v>4.4999999999999997E-3</v>
      </c>
      <c r="HF37" s="62">
        <f t="shared" si="126"/>
        <v>0</v>
      </c>
      <c r="HG37" s="62">
        <f t="shared" si="127"/>
        <v>6.0000000000000001E-3</v>
      </c>
      <c r="HH37" s="62">
        <f t="shared" si="128"/>
        <v>8.9999999999999998E-4</v>
      </c>
      <c r="HI37" s="62">
        <f t="shared" si="129"/>
        <v>6.0000000000000001E-3</v>
      </c>
    </row>
    <row r="38" spans="2:217" x14ac:dyDescent="0.2">
      <c r="B38" s="74"/>
    </row>
    <row r="39" spans="2:217" x14ac:dyDescent="0.2">
      <c r="B39" s="74"/>
    </row>
    <row r="40" spans="2:217" x14ac:dyDescent="0.2">
      <c r="B40" s="74"/>
    </row>
  </sheetData>
  <hyperlinks>
    <hyperlink ref="A1" location="'Table of Contents'!A1" display="Go to TOC" xr:uid="{00000000-0004-0000-0300-000000000000}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L23"/>
  <sheetViews>
    <sheetView zoomScaleNormal="100" workbookViewId="0">
      <pane xSplit="2" ySplit="5" topLeftCell="C6" activePane="bottomRight" state="frozen"/>
      <selection pane="topRight" activeCell="C1" sqref="C1"/>
      <selection pane="bottomLeft" activeCell="A7" sqref="A7"/>
      <selection pane="bottomRight" activeCell="L41" sqref="L41"/>
    </sheetView>
  </sheetViews>
  <sheetFormatPr defaultRowHeight="12.75" x14ac:dyDescent="0.2"/>
  <cols>
    <col min="1" max="1" width="9.85546875" bestFit="1" customWidth="1"/>
    <col min="2" max="10" width="9.140625" style="30"/>
    <col min="12" max="12" width="9.140625" style="30"/>
    <col min="13" max="13" width="9.140625" style="27"/>
    <col min="14" max="14" width="10.5703125" style="27" customWidth="1"/>
    <col min="15" max="17" width="9.140625" style="30"/>
    <col min="18" max="18" width="12.7109375" style="30" customWidth="1"/>
    <col min="19" max="19" width="8.85546875" style="30"/>
    <col min="20" max="20" width="9.140625" style="27" customWidth="1"/>
    <col min="21" max="21" width="10.5703125" style="27" customWidth="1"/>
    <col min="22" max="26" width="8.85546875" style="30"/>
    <col min="27" max="28" width="9.140625" style="30"/>
    <col min="29" max="29" width="15.140625" style="27" customWidth="1"/>
    <col min="30" max="30" width="10.5703125" style="27" customWidth="1"/>
    <col min="31" max="31" width="17.28515625" style="27" customWidth="1"/>
    <col min="32" max="32" width="14.42578125" style="27" customWidth="1"/>
  </cols>
  <sheetData>
    <row r="1" spans="1:38" ht="15.75" x14ac:dyDescent="0.2">
      <c r="A1" s="13" t="s">
        <v>6</v>
      </c>
      <c r="B1" s="12" t="s">
        <v>51</v>
      </c>
      <c r="C1" s="12"/>
      <c r="D1" s="12"/>
      <c r="E1" s="12"/>
      <c r="F1" s="12"/>
      <c r="G1" s="12"/>
      <c r="H1" s="12"/>
      <c r="I1" s="12"/>
      <c r="J1" s="12"/>
      <c r="L1" s="12"/>
      <c r="M1" s="22"/>
      <c r="N1" s="22"/>
      <c r="O1" s="12"/>
      <c r="P1" s="12"/>
      <c r="Q1" s="12"/>
      <c r="R1" s="12"/>
      <c r="S1" s="12"/>
      <c r="T1" s="22"/>
      <c r="U1" s="22"/>
      <c r="V1" s="12"/>
      <c r="W1" s="12"/>
      <c r="X1" s="12"/>
      <c r="Y1" s="12"/>
      <c r="Z1" s="12"/>
      <c r="AA1" s="12"/>
      <c r="AB1" s="12"/>
      <c r="AC1" s="22"/>
      <c r="AD1" s="22"/>
      <c r="AE1" s="22"/>
      <c r="AF1" s="22"/>
    </row>
    <row r="2" spans="1:38" ht="15.75" x14ac:dyDescent="0.2">
      <c r="A2" s="13"/>
      <c r="B2" s="12"/>
      <c r="C2" s="12"/>
      <c r="D2" s="12"/>
      <c r="E2" s="12"/>
      <c r="F2" s="12"/>
      <c r="G2" s="12"/>
      <c r="H2" s="12"/>
      <c r="I2" s="12"/>
      <c r="J2" s="12"/>
      <c r="L2" s="12"/>
      <c r="M2" s="22"/>
      <c r="N2" s="22"/>
      <c r="O2" s="12"/>
      <c r="P2" s="12"/>
      <c r="Q2" s="12"/>
      <c r="R2" s="12"/>
      <c r="S2" s="12"/>
      <c r="T2" s="22"/>
      <c r="U2" s="22"/>
      <c r="V2" s="12"/>
      <c r="W2" s="12"/>
      <c r="X2" s="12"/>
      <c r="Y2" s="12"/>
      <c r="Z2" s="12"/>
      <c r="AA2" s="12"/>
      <c r="AB2" s="12"/>
      <c r="AC2" s="22"/>
      <c r="AD2" s="22"/>
      <c r="AE2" s="22"/>
      <c r="AF2" s="22"/>
    </row>
    <row r="3" spans="1:38" x14ac:dyDescent="0.2">
      <c r="A3" s="14"/>
      <c r="B3" s="15" t="str">
        <f ca="1">GetNameRange(B5)</f>
        <v>LicensingFee</v>
      </c>
      <c r="C3" s="15"/>
      <c r="D3" s="15"/>
      <c r="E3" s="15"/>
      <c r="F3" s="15"/>
      <c r="G3" s="15"/>
      <c r="H3" s="15"/>
      <c r="I3" s="15"/>
      <c r="J3" s="15"/>
      <c r="L3" s="15"/>
      <c r="M3" s="24"/>
      <c r="N3" s="23"/>
      <c r="O3" s="15"/>
      <c r="P3" s="15"/>
      <c r="Q3" s="15"/>
      <c r="R3" s="15"/>
      <c r="S3" s="15"/>
      <c r="T3" s="24"/>
      <c r="U3" s="23"/>
      <c r="V3" s="15"/>
      <c r="W3" s="15"/>
      <c r="X3" s="15"/>
      <c r="Y3" s="15"/>
      <c r="Z3" s="15"/>
      <c r="AA3" s="15"/>
      <c r="AB3" s="15"/>
      <c r="AC3" s="24"/>
      <c r="AD3" s="23"/>
      <c r="AE3" s="23"/>
      <c r="AF3" s="23"/>
    </row>
    <row r="4" spans="1:38" ht="22.5" customHeight="1" x14ac:dyDescent="0.2">
      <c r="A4" s="14" t="s">
        <v>7</v>
      </c>
      <c r="B4" s="28" t="s">
        <v>9</v>
      </c>
      <c r="C4" s="38"/>
      <c r="D4" s="34" t="s">
        <v>47</v>
      </c>
      <c r="E4" s="77" t="s">
        <v>326</v>
      </c>
      <c r="F4" s="77" t="s">
        <v>327</v>
      </c>
      <c r="G4" s="77" t="s">
        <v>328</v>
      </c>
      <c r="H4" s="77" t="s">
        <v>329</v>
      </c>
      <c r="I4" s="77" t="s">
        <v>330</v>
      </c>
      <c r="J4" s="34" t="s">
        <v>171</v>
      </c>
      <c r="K4" s="34" t="s">
        <v>172</v>
      </c>
      <c r="L4" s="34" t="s">
        <v>138</v>
      </c>
      <c r="M4" s="34" t="s">
        <v>139</v>
      </c>
      <c r="N4" s="34" t="s">
        <v>140</v>
      </c>
      <c r="O4" s="34" t="s">
        <v>141</v>
      </c>
      <c r="P4" s="34" t="s">
        <v>41</v>
      </c>
      <c r="Q4" s="34" t="s">
        <v>331</v>
      </c>
      <c r="R4" s="34" t="s">
        <v>118</v>
      </c>
      <c r="S4" s="34" t="s">
        <v>119</v>
      </c>
      <c r="T4" s="34" t="s">
        <v>120</v>
      </c>
      <c r="U4" s="34" t="s">
        <v>121</v>
      </c>
      <c r="V4" s="34" t="s">
        <v>122</v>
      </c>
      <c r="W4" s="34" t="s">
        <v>123</v>
      </c>
      <c r="X4" s="34" t="s">
        <v>117</v>
      </c>
      <c r="Y4" s="34" t="s">
        <v>109</v>
      </c>
      <c r="Z4" s="34" t="s">
        <v>110</v>
      </c>
      <c r="AA4" s="34" t="s">
        <v>111</v>
      </c>
      <c r="AB4" s="34" t="s">
        <v>112</v>
      </c>
      <c r="AC4" s="34" t="s">
        <v>113</v>
      </c>
      <c r="AD4" s="34" t="s">
        <v>108</v>
      </c>
      <c r="AE4" s="34" t="s">
        <v>114</v>
      </c>
      <c r="AF4" s="34" t="s">
        <v>64</v>
      </c>
      <c r="AG4" s="34" t="s">
        <v>57</v>
      </c>
      <c r="AH4" s="34" t="s">
        <v>39</v>
      </c>
      <c r="AI4" s="34" t="s">
        <v>40</v>
      </c>
      <c r="AJ4" s="34" t="s">
        <v>62</v>
      </c>
      <c r="AK4" s="34" t="s">
        <v>42</v>
      </c>
      <c r="AL4" s="34" t="s">
        <v>38</v>
      </c>
    </row>
    <row r="5" spans="1:38" x14ac:dyDescent="0.2">
      <c r="A5" s="21" t="s">
        <v>5</v>
      </c>
      <c r="B5" s="31" t="s">
        <v>8</v>
      </c>
      <c r="C5" s="31"/>
      <c r="D5" s="31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1"/>
      <c r="R5" s="31"/>
      <c r="S5" s="26"/>
      <c r="T5" s="26"/>
      <c r="U5" s="50"/>
      <c r="V5" s="52"/>
      <c r="W5" s="52"/>
      <c r="X5" s="52"/>
      <c r="Y5" s="31"/>
      <c r="Z5" s="26"/>
      <c r="AA5" s="26"/>
      <c r="AB5" s="50"/>
      <c r="AC5" s="52"/>
      <c r="AD5" s="52"/>
      <c r="AE5" s="50"/>
      <c r="AF5" s="31"/>
      <c r="AG5" s="31"/>
      <c r="AH5" s="31"/>
      <c r="AI5" s="32"/>
      <c r="AJ5" s="32"/>
      <c r="AK5" s="32"/>
      <c r="AL5" s="32"/>
    </row>
    <row r="6" spans="1:38" x14ac:dyDescent="0.2">
      <c r="A6" s="14"/>
      <c r="B6" s="29">
        <v>1</v>
      </c>
      <c r="C6" s="29"/>
      <c r="D6" s="42">
        <v>0</v>
      </c>
      <c r="E6" s="51">
        <f>J6+0.07%</f>
        <v>3.0000000000000001E-3</v>
      </c>
      <c r="F6" s="57">
        <f>J6+0.06%</f>
        <v>2.8999999999999998E-3</v>
      </c>
      <c r="G6" s="57">
        <f t="shared" ref="G6:G18" si="0">J6+0.05%</f>
        <v>2.8E-3</v>
      </c>
      <c r="H6" s="57">
        <f>J6+0.02%</f>
        <v>2.5000000000000001E-3</v>
      </c>
      <c r="I6" s="57">
        <f>J6+0.01%</f>
        <v>2.3999999999999998E-3</v>
      </c>
      <c r="J6" s="57">
        <f t="shared" ref="J6:K18" si="1">L6+0.05%</f>
        <v>2.3E-3</v>
      </c>
      <c r="K6" s="57">
        <f>M6+0.05%</f>
        <v>4.0999999999999995E-3</v>
      </c>
      <c r="L6" s="57">
        <f>$P6+0.02%+0.05%+0.04%</f>
        <v>1.8E-3</v>
      </c>
      <c r="M6" s="57">
        <f>L6+0.18%</f>
        <v>3.5999999999999999E-3</v>
      </c>
      <c r="N6" s="57">
        <f>$P6+0.05%+0.05%+0.04%</f>
        <v>2.1000000000000003E-3</v>
      </c>
      <c r="O6" s="57">
        <f>N6+0.2%</f>
        <v>4.1000000000000003E-3</v>
      </c>
      <c r="P6" s="42">
        <v>6.9999999999999999E-4</v>
      </c>
      <c r="Q6" s="42">
        <v>2.0999999999999999E-3</v>
      </c>
      <c r="R6" s="42">
        <f>R$9+IF($B6&lt;=3,0.07%,0)</f>
        <v>1.4000000000000002E-3</v>
      </c>
      <c r="S6" s="42">
        <f t="shared" ref="S6:X6" si="2">S$9+IF($B6&lt;=3,0.07%,0)</f>
        <v>1.9E-3</v>
      </c>
      <c r="T6" s="42">
        <f t="shared" si="2"/>
        <v>2E-3</v>
      </c>
      <c r="U6" s="42">
        <f t="shared" si="2"/>
        <v>2.1000000000000003E-3</v>
      </c>
      <c r="V6" s="42">
        <f t="shared" si="2"/>
        <v>1.8000000000000002E-3</v>
      </c>
      <c r="W6" s="42">
        <f t="shared" si="2"/>
        <v>2.2000000000000001E-3</v>
      </c>
      <c r="X6" s="42">
        <f t="shared" si="2"/>
        <v>1.7000000000000001E-3</v>
      </c>
      <c r="Y6" s="42">
        <v>1.1999999999999999E-3</v>
      </c>
      <c r="Z6" s="42">
        <v>1.6000000000000001E-3</v>
      </c>
      <c r="AA6" s="42">
        <v>2.2000000000000001E-3</v>
      </c>
      <c r="AB6" s="42">
        <v>2.2000000000000001E-3</v>
      </c>
      <c r="AC6" s="42">
        <v>1.9E-3</v>
      </c>
      <c r="AD6" s="42">
        <v>2.2000000000000001E-3</v>
      </c>
      <c r="AE6" s="42">
        <v>3.2000000000000002E-3</v>
      </c>
      <c r="AF6" s="42">
        <v>1.1999999999999999E-3</v>
      </c>
      <c r="AG6" s="42">
        <v>1.9E-3</v>
      </c>
      <c r="AH6" s="42">
        <v>1.5E-3</v>
      </c>
      <c r="AI6" s="42">
        <v>2.2000000000000001E-3</v>
      </c>
      <c r="AJ6" s="42">
        <v>2.2000000000000001E-3</v>
      </c>
      <c r="AK6" s="42">
        <v>2.2000000000000001E-3</v>
      </c>
      <c r="AL6" s="42">
        <v>3.2000000000000002E-3</v>
      </c>
    </row>
    <row r="7" spans="1:38" x14ac:dyDescent="0.2">
      <c r="A7" s="14"/>
      <c r="B7" s="29">
        <f>B6+1</f>
        <v>2</v>
      </c>
      <c r="C7" s="29"/>
      <c r="D7" s="42">
        <v>0</v>
      </c>
      <c r="E7" s="51">
        <f t="shared" ref="E7:E18" si="3">J7+0.07%</f>
        <v>3.0000000000000001E-3</v>
      </c>
      <c r="F7" s="57">
        <f t="shared" ref="F7:F18" si="4">J7+0.06%</f>
        <v>2.8999999999999998E-3</v>
      </c>
      <c r="G7" s="57">
        <f t="shared" si="0"/>
        <v>2.8E-3</v>
      </c>
      <c r="H7" s="57">
        <f t="shared" ref="H7:H18" si="5">J7+0.02%</f>
        <v>2.5000000000000001E-3</v>
      </c>
      <c r="I7" s="57">
        <f t="shared" ref="I7:I18" si="6">J7+0.01%</f>
        <v>2.3999999999999998E-3</v>
      </c>
      <c r="J7" s="57">
        <f t="shared" si="1"/>
        <v>2.3E-3</v>
      </c>
      <c r="K7" s="57">
        <f t="shared" si="1"/>
        <v>4.0999999999999995E-3</v>
      </c>
      <c r="L7" s="57">
        <f t="shared" ref="L7:L18" si="7">$P7+0.02%+0.05%+0.04%</f>
        <v>1.8E-3</v>
      </c>
      <c r="M7" s="57">
        <f t="shared" ref="M7:M18" si="8">L7+0.18%</f>
        <v>3.5999999999999999E-3</v>
      </c>
      <c r="N7" s="57">
        <f t="shared" ref="N7:N18" si="9">$P7+0.05%+0.05%+0.04%</f>
        <v>2.1000000000000003E-3</v>
      </c>
      <c r="O7" s="57">
        <f t="shared" ref="O7:O18" si="10">N7+0.2%</f>
        <v>4.1000000000000003E-3</v>
      </c>
      <c r="P7" s="42">
        <v>6.9999999999999999E-4</v>
      </c>
      <c r="Q7" s="42">
        <v>2.0999999999999999E-3</v>
      </c>
      <c r="R7" s="42">
        <f t="shared" ref="R7:X8" si="11">R$9+IF($B7&lt;=3,0.07%,0)</f>
        <v>1.4000000000000002E-3</v>
      </c>
      <c r="S7" s="42">
        <f t="shared" si="11"/>
        <v>1.9E-3</v>
      </c>
      <c r="T7" s="42">
        <f t="shared" si="11"/>
        <v>2E-3</v>
      </c>
      <c r="U7" s="42">
        <f t="shared" si="11"/>
        <v>2.1000000000000003E-3</v>
      </c>
      <c r="V7" s="42">
        <f t="shared" si="11"/>
        <v>1.8000000000000002E-3</v>
      </c>
      <c r="W7" s="42">
        <f t="shared" si="11"/>
        <v>2.2000000000000001E-3</v>
      </c>
      <c r="X7" s="42">
        <f t="shared" si="11"/>
        <v>1.7000000000000001E-3</v>
      </c>
      <c r="Y7" s="42">
        <v>1.1999999999999999E-3</v>
      </c>
      <c r="Z7" s="42">
        <v>1.6000000000000001E-3</v>
      </c>
      <c r="AA7" s="42">
        <v>1.8999999999999998E-3</v>
      </c>
      <c r="AB7" s="42">
        <v>2.2000000000000001E-3</v>
      </c>
      <c r="AC7" s="42">
        <v>1.6999999999999999E-3</v>
      </c>
      <c r="AD7" s="42">
        <v>2.2000000000000001E-3</v>
      </c>
      <c r="AE7" s="42">
        <v>3.2000000000000002E-3</v>
      </c>
      <c r="AF7" s="42">
        <v>1.1999999999999999E-3</v>
      </c>
      <c r="AG7" s="42">
        <v>1.9E-3</v>
      </c>
      <c r="AH7" s="42">
        <v>1.5E-3</v>
      </c>
      <c r="AI7" s="42">
        <v>1.6999999999999999E-3</v>
      </c>
      <c r="AJ7" s="42">
        <v>1.8999999999999998E-3</v>
      </c>
      <c r="AK7" s="42">
        <v>1.6999999999999999E-3</v>
      </c>
      <c r="AL7" s="42">
        <v>2.7000000000000001E-3</v>
      </c>
    </row>
    <row r="8" spans="1:38" x14ac:dyDescent="0.2">
      <c r="A8" s="14"/>
      <c r="B8" s="29">
        <f t="shared" ref="B8:B18" si="12">B7+1</f>
        <v>3</v>
      </c>
      <c r="C8" s="29"/>
      <c r="D8" s="42">
        <v>0</v>
      </c>
      <c r="E8" s="51">
        <f t="shared" si="3"/>
        <v>3.0000000000000001E-3</v>
      </c>
      <c r="F8" s="57">
        <f t="shared" si="4"/>
        <v>2.8999999999999998E-3</v>
      </c>
      <c r="G8" s="57">
        <f t="shared" si="0"/>
        <v>2.8E-3</v>
      </c>
      <c r="H8" s="57">
        <f t="shared" si="5"/>
        <v>2.5000000000000001E-3</v>
      </c>
      <c r="I8" s="57">
        <f t="shared" si="6"/>
        <v>2.3999999999999998E-3</v>
      </c>
      <c r="J8" s="57">
        <f t="shared" si="1"/>
        <v>2.3E-3</v>
      </c>
      <c r="K8" s="57">
        <f t="shared" si="1"/>
        <v>4.0999999999999995E-3</v>
      </c>
      <c r="L8" s="57">
        <f t="shared" si="7"/>
        <v>1.8E-3</v>
      </c>
      <c r="M8" s="57">
        <f t="shared" si="8"/>
        <v>3.5999999999999999E-3</v>
      </c>
      <c r="N8" s="57">
        <f t="shared" si="9"/>
        <v>2.1000000000000003E-3</v>
      </c>
      <c r="O8" s="57">
        <f t="shared" si="10"/>
        <v>4.1000000000000003E-3</v>
      </c>
      <c r="P8" s="42">
        <v>6.9999999999999999E-4</v>
      </c>
      <c r="Q8" s="42">
        <v>2.0999999999999999E-3</v>
      </c>
      <c r="R8" s="42">
        <f t="shared" si="11"/>
        <v>1.4000000000000002E-3</v>
      </c>
      <c r="S8" s="42">
        <f t="shared" si="11"/>
        <v>1.9E-3</v>
      </c>
      <c r="T8" s="42">
        <f t="shared" si="11"/>
        <v>2E-3</v>
      </c>
      <c r="U8" s="42">
        <f t="shared" si="11"/>
        <v>2.1000000000000003E-3</v>
      </c>
      <c r="V8" s="42">
        <f t="shared" si="11"/>
        <v>1.8000000000000002E-3</v>
      </c>
      <c r="W8" s="42">
        <f t="shared" si="11"/>
        <v>2.2000000000000001E-3</v>
      </c>
      <c r="X8" s="42">
        <f t="shared" si="11"/>
        <v>1.7000000000000001E-3</v>
      </c>
      <c r="Y8" s="42">
        <v>1.1999999999999999E-3</v>
      </c>
      <c r="Z8" s="42">
        <v>1.6000000000000001E-3</v>
      </c>
      <c r="AA8" s="42">
        <v>1.8999999999999998E-3</v>
      </c>
      <c r="AB8" s="42">
        <v>2.2000000000000001E-3</v>
      </c>
      <c r="AC8" s="42">
        <v>1.6999999999999999E-3</v>
      </c>
      <c r="AD8" s="42">
        <v>2.2000000000000001E-3</v>
      </c>
      <c r="AE8" s="42">
        <v>3.2000000000000002E-3</v>
      </c>
      <c r="AF8" s="42">
        <v>1.1999999999999999E-3</v>
      </c>
      <c r="AG8" s="42">
        <v>1.9E-3</v>
      </c>
      <c r="AH8" s="42">
        <v>1.5E-3</v>
      </c>
      <c r="AI8" s="42">
        <v>1.6999999999999999E-3</v>
      </c>
      <c r="AJ8" s="42">
        <v>1.7000000000000001E-3</v>
      </c>
      <c r="AK8" s="42">
        <v>1.5E-3</v>
      </c>
      <c r="AL8" s="42">
        <v>2.2000000000000001E-3</v>
      </c>
    </row>
    <row r="9" spans="1:38" x14ac:dyDescent="0.2">
      <c r="A9" s="14"/>
      <c r="B9" s="29">
        <f t="shared" si="12"/>
        <v>4</v>
      </c>
      <c r="C9" s="29"/>
      <c r="D9" s="42">
        <v>0</v>
      </c>
      <c r="E9" s="51">
        <f t="shared" si="3"/>
        <v>2.3E-3</v>
      </c>
      <c r="F9" s="57">
        <f t="shared" si="4"/>
        <v>2.2000000000000001E-3</v>
      </c>
      <c r="G9" s="57">
        <f t="shared" si="0"/>
        <v>2.1000000000000003E-3</v>
      </c>
      <c r="H9" s="57">
        <f t="shared" si="5"/>
        <v>1.8000000000000002E-3</v>
      </c>
      <c r="I9" s="57">
        <f t="shared" si="6"/>
        <v>1.7000000000000001E-3</v>
      </c>
      <c r="J9" s="57">
        <f t="shared" si="1"/>
        <v>1.6000000000000001E-3</v>
      </c>
      <c r="K9" s="57">
        <f t="shared" si="1"/>
        <v>3.3999999999999998E-3</v>
      </c>
      <c r="L9" s="57">
        <f t="shared" si="7"/>
        <v>1.1000000000000001E-3</v>
      </c>
      <c r="M9" s="57">
        <f t="shared" si="8"/>
        <v>2.8999999999999998E-3</v>
      </c>
      <c r="N9" s="57">
        <f t="shared" si="9"/>
        <v>1.4E-3</v>
      </c>
      <c r="O9" s="57">
        <f t="shared" si="10"/>
        <v>3.4000000000000002E-3</v>
      </c>
      <c r="P9" s="42">
        <v>0</v>
      </c>
      <c r="Q9" s="54">
        <v>1.4E-3</v>
      </c>
      <c r="R9" s="54">
        <v>6.9999999999999999E-4</v>
      </c>
      <c r="S9" s="54">
        <v>1.1999999999999999E-3</v>
      </c>
      <c r="T9" s="54">
        <v>1.2999999999999999E-3</v>
      </c>
      <c r="U9" s="54">
        <v>1.4E-3</v>
      </c>
      <c r="V9" s="54">
        <v>1.1000000000000001E-3</v>
      </c>
      <c r="W9" s="54">
        <v>1.5E-3</v>
      </c>
      <c r="X9" s="54">
        <v>1E-3</v>
      </c>
      <c r="Y9" s="42">
        <v>5.0000000000000001E-4</v>
      </c>
      <c r="Z9" s="42">
        <v>8.9999999999999998E-4</v>
      </c>
      <c r="AA9" s="42">
        <v>1E-3</v>
      </c>
      <c r="AB9" s="42">
        <v>1.1999999999999999E-3</v>
      </c>
      <c r="AC9" s="42">
        <v>1E-3</v>
      </c>
      <c r="AD9" s="42">
        <v>1.5E-3</v>
      </c>
      <c r="AE9" s="42">
        <v>2.5000000000000001E-3</v>
      </c>
      <c r="AF9" s="42">
        <v>5.0000000000000001E-4</v>
      </c>
      <c r="AG9" s="42">
        <v>1.1999999999999999E-3</v>
      </c>
      <c r="AH9" s="42">
        <v>8.0000000000000004E-4</v>
      </c>
      <c r="AI9" s="42">
        <v>1E-3</v>
      </c>
      <c r="AJ9" s="42">
        <v>1E-3</v>
      </c>
      <c r="AK9" s="42">
        <v>8.0000000000000004E-4</v>
      </c>
      <c r="AL9" s="42">
        <v>1E-3</v>
      </c>
    </row>
    <row r="10" spans="1:38" x14ac:dyDescent="0.2">
      <c r="A10" s="14"/>
      <c r="B10" s="29">
        <f t="shared" si="12"/>
        <v>5</v>
      </c>
      <c r="C10" s="29"/>
      <c r="D10" s="42">
        <v>0</v>
      </c>
      <c r="E10" s="51">
        <f t="shared" si="3"/>
        <v>2.3E-3</v>
      </c>
      <c r="F10" s="57">
        <f t="shared" si="4"/>
        <v>2.2000000000000001E-3</v>
      </c>
      <c r="G10" s="57">
        <f t="shared" si="0"/>
        <v>2.1000000000000003E-3</v>
      </c>
      <c r="H10" s="57">
        <f t="shared" si="5"/>
        <v>1.8000000000000002E-3</v>
      </c>
      <c r="I10" s="57">
        <f t="shared" si="6"/>
        <v>1.7000000000000001E-3</v>
      </c>
      <c r="J10" s="57">
        <f t="shared" si="1"/>
        <v>1.6000000000000001E-3</v>
      </c>
      <c r="K10" s="57">
        <f t="shared" si="1"/>
        <v>3.3999999999999998E-3</v>
      </c>
      <c r="L10" s="57">
        <f t="shared" si="7"/>
        <v>1.1000000000000001E-3</v>
      </c>
      <c r="M10" s="57">
        <f t="shared" si="8"/>
        <v>2.8999999999999998E-3</v>
      </c>
      <c r="N10" s="57">
        <f t="shared" si="9"/>
        <v>1.4E-3</v>
      </c>
      <c r="O10" s="57">
        <f t="shared" si="10"/>
        <v>3.4000000000000002E-3</v>
      </c>
      <c r="P10" s="42">
        <v>0</v>
      </c>
      <c r="Q10" s="42">
        <f t="shared" ref="Q10:Q18" si="13">Q$9+IF($B10&lt;=3,0.07%,0)</f>
        <v>1.4E-3</v>
      </c>
      <c r="R10" s="42">
        <f t="shared" ref="R10:X18" si="14">R$9+IF($B10&lt;=3,0.07%,0)</f>
        <v>6.9999999999999999E-4</v>
      </c>
      <c r="S10" s="42">
        <f t="shared" si="14"/>
        <v>1.1999999999999999E-3</v>
      </c>
      <c r="T10" s="42">
        <f t="shared" si="14"/>
        <v>1.2999999999999999E-3</v>
      </c>
      <c r="U10" s="42">
        <f t="shared" si="14"/>
        <v>1.4E-3</v>
      </c>
      <c r="V10" s="42">
        <f t="shared" si="14"/>
        <v>1.1000000000000001E-3</v>
      </c>
      <c r="W10" s="42">
        <f t="shared" si="14"/>
        <v>1.5E-3</v>
      </c>
      <c r="X10" s="42">
        <f t="shared" si="14"/>
        <v>1E-3</v>
      </c>
      <c r="Y10" s="42">
        <v>5.0000000000000001E-4</v>
      </c>
      <c r="Z10" s="42">
        <v>8.9999999999999998E-4</v>
      </c>
      <c r="AA10" s="42">
        <v>1E-3</v>
      </c>
      <c r="AB10" s="42">
        <v>1.1999999999999999E-3</v>
      </c>
      <c r="AC10" s="42">
        <v>1E-3</v>
      </c>
      <c r="AD10" s="42">
        <v>1.5E-3</v>
      </c>
      <c r="AE10" s="42">
        <v>2E-3</v>
      </c>
      <c r="AF10" s="42">
        <v>5.0000000000000001E-4</v>
      </c>
      <c r="AG10" s="42">
        <v>1.1999999999999999E-3</v>
      </c>
      <c r="AH10" s="42">
        <v>8.0000000000000004E-4</v>
      </c>
      <c r="AI10" s="42">
        <v>1E-3</v>
      </c>
      <c r="AJ10" s="42">
        <v>1E-3</v>
      </c>
      <c r="AK10" s="42">
        <v>8.0000000000000004E-4</v>
      </c>
      <c r="AL10" s="42">
        <v>1E-3</v>
      </c>
    </row>
    <row r="11" spans="1:38" x14ac:dyDescent="0.2">
      <c r="A11" s="14"/>
      <c r="B11" s="29">
        <f t="shared" si="12"/>
        <v>6</v>
      </c>
      <c r="C11" s="29"/>
      <c r="D11" s="42">
        <v>0</v>
      </c>
      <c r="E11" s="51">
        <f t="shared" si="3"/>
        <v>2.3E-3</v>
      </c>
      <c r="F11" s="57">
        <f t="shared" si="4"/>
        <v>2.2000000000000001E-3</v>
      </c>
      <c r="G11" s="57">
        <f t="shared" si="0"/>
        <v>2.1000000000000003E-3</v>
      </c>
      <c r="H11" s="57">
        <f t="shared" si="5"/>
        <v>1.8000000000000002E-3</v>
      </c>
      <c r="I11" s="57">
        <f t="shared" si="6"/>
        <v>1.7000000000000001E-3</v>
      </c>
      <c r="J11" s="57">
        <f t="shared" si="1"/>
        <v>1.6000000000000001E-3</v>
      </c>
      <c r="K11" s="57">
        <f t="shared" si="1"/>
        <v>3.3999999999999998E-3</v>
      </c>
      <c r="L11" s="57">
        <f t="shared" si="7"/>
        <v>1.1000000000000001E-3</v>
      </c>
      <c r="M11" s="57">
        <f t="shared" si="8"/>
        <v>2.8999999999999998E-3</v>
      </c>
      <c r="N11" s="57">
        <f t="shared" si="9"/>
        <v>1.4E-3</v>
      </c>
      <c r="O11" s="57">
        <f t="shared" si="10"/>
        <v>3.4000000000000002E-3</v>
      </c>
      <c r="P11" s="42">
        <v>0</v>
      </c>
      <c r="Q11" s="42">
        <f t="shared" si="13"/>
        <v>1.4E-3</v>
      </c>
      <c r="R11" s="42">
        <f t="shared" si="14"/>
        <v>6.9999999999999999E-4</v>
      </c>
      <c r="S11" s="42">
        <f t="shared" si="14"/>
        <v>1.1999999999999999E-3</v>
      </c>
      <c r="T11" s="42">
        <f t="shared" si="14"/>
        <v>1.2999999999999999E-3</v>
      </c>
      <c r="U11" s="42">
        <f t="shared" si="14"/>
        <v>1.4E-3</v>
      </c>
      <c r="V11" s="42">
        <f t="shared" si="14"/>
        <v>1.1000000000000001E-3</v>
      </c>
      <c r="W11" s="42">
        <f t="shared" si="14"/>
        <v>1.5E-3</v>
      </c>
      <c r="X11" s="42">
        <f t="shared" si="14"/>
        <v>1E-3</v>
      </c>
      <c r="Y11" s="42">
        <v>5.0000000000000001E-4</v>
      </c>
      <c r="Z11" s="42">
        <v>8.9999999999999998E-4</v>
      </c>
      <c r="AA11" s="42">
        <v>1E-3</v>
      </c>
      <c r="AB11" s="42">
        <v>1.1999999999999999E-3</v>
      </c>
      <c r="AC11" s="51">
        <v>7.5000000000000002E-4</v>
      </c>
      <c r="AD11" s="42">
        <v>1.5E-3</v>
      </c>
      <c r="AE11" s="42">
        <v>2E-3</v>
      </c>
      <c r="AF11" s="42">
        <v>5.0000000000000001E-4</v>
      </c>
      <c r="AG11" s="42">
        <v>1.1999999999999999E-3</v>
      </c>
      <c r="AH11" s="42">
        <v>8.0000000000000004E-4</v>
      </c>
      <c r="AI11" s="42">
        <v>1E-3</v>
      </c>
      <c r="AJ11" s="42">
        <v>1E-3</v>
      </c>
      <c r="AK11" s="42">
        <v>8.0000000000000004E-4</v>
      </c>
      <c r="AL11" s="42">
        <v>1E-3</v>
      </c>
    </row>
    <row r="12" spans="1:38" x14ac:dyDescent="0.2">
      <c r="A12" s="14"/>
      <c r="B12" s="29">
        <f t="shared" si="12"/>
        <v>7</v>
      </c>
      <c r="C12" s="29"/>
      <c r="D12" s="42">
        <v>0</v>
      </c>
      <c r="E12" s="51">
        <f t="shared" si="3"/>
        <v>2.3E-3</v>
      </c>
      <c r="F12" s="57">
        <f t="shared" si="4"/>
        <v>2.2000000000000001E-3</v>
      </c>
      <c r="G12" s="57">
        <f t="shared" si="0"/>
        <v>2.1000000000000003E-3</v>
      </c>
      <c r="H12" s="57">
        <f t="shared" si="5"/>
        <v>1.8000000000000002E-3</v>
      </c>
      <c r="I12" s="57">
        <f t="shared" si="6"/>
        <v>1.7000000000000001E-3</v>
      </c>
      <c r="J12" s="57">
        <f t="shared" si="1"/>
        <v>1.6000000000000001E-3</v>
      </c>
      <c r="K12" s="57">
        <f t="shared" si="1"/>
        <v>3.3999999999999998E-3</v>
      </c>
      <c r="L12" s="57">
        <f t="shared" si="7"/>
        <v>1.1000000000000001E-3</v>
      </c>
      <c r="M12" s="57">
        <f t="shared" si="8"/>
        <v>2.8999999999999998E-3</v>
      </c>
      <c r="N12" s="57">
        <f t="shared" si="9"/>
        <v>1.4E-3</v>
      </c>
      <c r="O12" s="57">
        <f t="shared" si="10"/>
        <v>3.4000000000000002E-3</v>
      </c>
      <c r="P12" s="42">
        <v>0</v>
      </c>
      <c r="Q12" s="42">
        <f t="shared" si="13"/>
        <v>1.4E-3</v>
      </c>
      <c r="R12" s="42">
        <f t="shared" si="14"/>
        <v>6.9999999999999999E-4</v>
      </c>
      <c r="S12" s="42">
        <f t="shared" si="14"/>
        <v>1.1999999999999999E-3</v>
      </c>
      <c r="T12" s="42">
        <f t="shared" si="14"/>
        <v>1.2999999999999999E-3</v>
      </c>
      <c r="U12" s="42">
        <f t="shared" si="14"/>
        <v>1.4E-3</v>
      </c>
      <c r="V12" s="42">
        <f t="shared" si="14"/>
        <v>1.1000000000000001E-3</v>
      </c>
      <c r="W12" s="42">
        <f t="shared" si="14"/>
        <v>1.5E-3</v>
      </c>
      <c r="X12" s="42">
        <f t="shared" si="14"/>
        <v>1E-3</v>
      </c>
      <c r="Y12" s="42">
        <v>5.0000000000000001E-4</v>
      </c>
      <c r="Z12" s="42">
        <v>8.9999999999999998E-4</v>
      </c>
      <c r="AA12" s="42">
        <v>1E-3</v>
      </c>
      <c r="AB12" s="42">
        <v>1.1999999999999999E-3</v>
      </c>
      <c r="AC12" s="51">
        <v>7.5000000000000002E-4</v>
      </c>
      <c r="AD12" s="42">
        <v>1.5E-3</v>
      </c>
      <c r="AE12" s="42">
        <v>2E-3</v>
      </c>
      <c r="AF12" s="42">
        <v>5.0000000000000001E-4</v>
      </c>
      <c r="AG12" s="42">
        <v>1.1999999999999999E-3</v>
      </c>
      <c r="AH12" s="42">
        <v>8.0000000000000004E-4</v>
      </c>
      <c r="AI12" s="42">
        <v>1E-3</v>
      </c>
      <c r="AJ12" s="42">
        <v>1E-3</v>
      </c>
      <c r="AK12" s="42">
        <v>8.0000000000000004E-4</v>
      </c>
      <c r="AL12" s="42">
        <v>1E-3</v>
      </c>
    </row>
    <row r="13" spans="1:38" x14ac:dyDescent="0.2">
      <c r="A13" s="14"/>
      <c r="B13" s="29">
        <f t="shared" si="12"/>
        <v>8</v>
      </c>
      <c r="C13" s="29"/>
      <c r="D13" s="42">
        <v>0</v>
      </c>
      <c r="E13" s="51">
        <f t="shared" si="3"/>
        <v>2.3E-3</v>
      </c>
      <c r="F13" s="57">
        <f t="shared" si="4"/>
        <v>2.2000000000000001E-3</v>
      </c>
      <c r="G13" s="57">
        <f t="shared" si="0"/>
        <v>2.1000000000000003E-3</v>
      </c>
      <c r="H13" s="57">
        <f t="shared" si="5"/>
        <v>1.8000000000000002E-3</v>
      </c>
      <c r="I13" s="57">
        <f t="shared" si="6"/>
        <v>1.7000000000000001E-3</v>
      </c>
      <c r="J13" s="57">
        <f t="shared" si="1"/>
        <v>1.6000000000000001E-3</v>
      </c>
      <c r="K13" s="57">
        <f t="shared" si="1"/>
        <v>3.3999999999999998E-3</v>
      </c>
      <c r="L13" s="57">
        <f t="shared" si="7"/>
        <v>1.1000000000000001E-3</v>
      </c>
      <c r="M13" s="57">
        <f t="shared" si="8"/>
        <v>2.8999999999999998E-3</v>
      </c>
      <c r="N13" s="57">
        <f t="shared" si="9"/>
        <v>1.4E-3</v>
      </c>
      <c r="O13" s="57">
        <f t="shared" si="10"/>
        <v>3.4000000000000002E-3</v>
      </c>
      <c r="P13" s="42">
        <v>0</v>
      </c>
      <c r="Q13" s="42">
        <f t="shared" si="13"/>
        <v>1.4E-3</v>
      </c>
      <c r="R13" s="42">
        <f t="shared" si="14"/>
        <v>6.9999999999999999E-4</v>
      </c>
      <c r="S13" s="42">
        <f t="shared" si="14"/>
        <v>1.1999999999999999E-3</v>
      </c>
      <c r="T13" s="42">
        <f t="shared" si="14"/>
        <v>1.2999999999999999E-3</v>
      </c>
      <c r="U13" s="42">
        <f t="shared" si="14"/>
        <v>1.4E-3</v>
      </c>
      <c r="V13" s="42">
        <f t="shared" si="14"/>
        <v>1.1000000000000001E-3</v>
      </c>
      <c r="W13" s="42">
        <f t="shared" si="14"/>
        <v>1.5E-3</v>
      </c>
      <c r="X13" s="42">
        <f t="shared" si="14"/>
        <v>1E-3</v>
      </c>
      <c r="Y13" s="42">
        <v>5.0000000000000001E-4</v>
      </c>
      <c r="Z13" s="42">
        <v>8.9999999999999998E-4</v>
      </c>
      <c r="AA13" s="42">
        <v>1E-3</v>
      </c>
      <c r="AB13" s="42">
        <v>1E-3</v>
      </c>
      <c r="AC13" s="51">
        <v>7.5000000000000002E-4</v>
      </c>
      <c r="AD13" s="42">
        <v>1.5E-3</v>
      </c>
      <c r="AE13" s="42">
        <v>2E-3</v>
      </c>
      <c r="AF13" s="42">
        <v>5.0000000000000001E-4</v>
      </c>
      <c r="AG13" s="42">
        <v>1.1999999999999999E-3</v>
      </c>
      <c r="AH13" s="42">
        <v>8.0000000000000004E-4</v>
      </c>
      <c r="AI13" s="42">
        <v>1E-3</v>
      </c>
      <c r="AJ13" s="42">
        <v>1E-3</v>
      </c>
      <c r="AK13" s="42">
        <v>8.0000000000000004E-4</v>
      </c>
      <c r="AL13" s="42">
        <v>1E-3</v>
      </c>
    </row>
    <row r="14" spans="1:38" x14ac:dyDescent="0.2">
      <c r="A14" s="14"/>
      <c r="B14" s="29">
        <f t="shared" si="12"/>
        <v>9</v>
      </c>
      <c r="C14" s="29"/>
      <c r="D14" s="42">
        <v>0</v>
      </c>
      <c r="E14" s="51">
        <f t="shared" si="3"/>
        <v>2.3E-3</v>
      </c>
      <c r="F14" s="57">
        <f t="shared" si="4"/>
        <v>2.2000000000000001E-3</v>
      </c>
      <c r="G14" s="57">
        <f t="shared" si="0"/>
        <v>2.1000000000000003E-3</v>
      </c>
      <c r="H14" s="57">
        <f t="shared" si="5"/>
        <v>1.8000000000000002E-3</v>
      </c>
      <c r="I14" s="57">
        <f t="shared" si="6"/>
        <v>1.7000000000000001E-3</v>
      </c>
      <c r="J14" s="57">
        <f t="shared" si="1"/>
        <v>1.6000000000000001E-3</v>
      </c>
      <c r="K14" s="57">
        <f t="shared" si="1"/>
        <v>3.3999999999999998E-3</v>
      </c>
      <c r="L14" s="57">
        <f t="shared" si="7"/>
        <v>1.1000000000000001E-3</v>
      </c>
      <c r="M14" s="57">
        <f t="shared" si="8"/>
        <v>2.8999999999999998E-3</v>
      </c>
      <c r="N14" s="57">
        <f t="shared" si="9"/>
        <v>1.4E-3</v>
      </c>
      <c r="O14" s="57">
        <f t="shared" si="10"/>
        <v>3.4000000000000002E-3</v>
      </c>
      <c r="P14" s="42">
        <v>0</v>
      </c>
      <c r="Q14" s="42">
        <f t="shared" si="13"/>
        <v>1.4E-3</v>
      </c>
      <c r="R14" s="42">
        <f t="shared" si="14"/>
        <v>6.9999999999999999E-4</v>
      </c>
      <c r="S14" s="42">
        <f t="shared" si="14"/>
        <v>1.1999999999999999E-3</v>
      </c>
      <c r="T14" s="42">
        <f t="shared" si="14"/>
        <v>1.2999999999999999E-3</v>
      </c>
      <c r="U14" s="42">
        <f t="shared" si="14"/>
        <v>1.4E-3</v>
      </c>
      <c r="V14" s="42">
        <f t="shared" si="14"/>
        <v>1.1000000000000001E-3</v>
      </c>
      <c r="W14" s="42">
        <f t="shared" si="14"/>
        <v>1.5E-3</v>
      </c>
      <c r="X14" s="42">
        <f t="shared" si="14"/>
        <v>1E-3</v>
      </c>
      <c r="Y14" s="42">
        <v>5.0000000000000001E-4</v>
      </c>
      <c r="Z14" s="42">
        <v>8.9999999999999998E-4</v>
      </c>
      <c r="AA14" s="42">
        <v>1E-3</v>
      </c>
      <c r="AB14" s="42">
        <v>1E-3</v>
      </c>
      <c r="AC14" s="51">
        <v>7.5000000000000002E-4</v>
      </c>
      <c r="AD14" s="42">
        <v>1.5E-3</v>
      </c>
      <c r="AE14" s="42">
        <v>2E-3</v>
      </c>
      <c r="AF14" s="42">
        <v>5.0000000000000001E-4</v>
      </c>
      <c r="AG14" s="42">
        <v>1.1999999999999999E-3</v>
      </c>
      <c r="AH14" s="42">
        <v>8.0000000000000004E-4</v>
      </c>
      <c r="AI14" s="42">
        <v>1E-3</v>
      </c>
      <c r="AJ14" s="42">
        <v>1E-3</v>
      </c>
      <c r="AK14" s="42">
        <v>8.0000000000000004E-4</v>
      </c>
      <c r="AL14" s="42">
        <v>1E-3</v>
      </c>
    </row>
    <row r="15" spans="1:38" x14ac:dyDescent="0.2">
      <c r="A15" s="14"/>
      <c r="B15" s="29">
        <f t="shared" si="12"/>
        <v>10</v>
      </c>
      <c r="C15" s="29"/>
      <c r="D15" s="42">
        <v>0</v>
      </c>
      <c r="E15" s="51">
        <f t="shared" si="3"/>
        <v>2.3E-3</v>
      </c>
      <c r="F15" s="57">
        <f t="shared" si="4"/>
        <v>2.2000000000000001E-3</v>
      </c>
      <c r="G15" s="57">
        <f t="shared" si="0"/>
        <v>2.1000000000000003E-3</v>
      </c>
      <c r="H15" s="57">
        <f t="shared" si="5"/>
        <v>1.8000000000000002E-3</v>
      </c>
      <c r="I15" s="57">
        <f t="shared" si="6"/>
        <v>1.7000000000000001E-3</v>
      </c>
      <c r="J15" s="57">
        <f t="shared" si="1"/>
        <v>1.6000000000000001E-3</v>
      </c>
      <c r="K15" s="57">
        <f t="shared" si="1"/>
        <v>3.3999999999999998E-3</v>
      </c>
      <c r="L15" s="57">
        <f t="shared" si="7"/>
        <v>1.1000000000000001E-3</v>
      </c>
      <c r="M15" s="57">
        <f t="shared" si="8"/>
        <v>2.8999999999999998E-3</v>
      </c>
      <c r="N15" s="57">
        <f t="shared" si="9"/>
        <v>1.4E-3</v>
      </c>
      <c r="O15" s="57">
        <f t="shared" si="10"/>
        <v>3.4000000000000002E-3</v>
      </c>
      <c r="P15" s="42">
        <v>0</v>
      </c>
      <c r="Q15" s="42">
        <f t="shared" si="13"/>
        <v>1.4E-3</v>
      </c>
      <c r="R15" s="42">
        <f t="shared" si="14"/>
        <v>6.9999999999999999E-4</v>
      </c>
      <c r="S15" s="42">
        <f t="shared" si="14"/>
        <v>1.1999999999999999E-3</v>
      </c>
      <c r="T15" s="42">
        <f t="shared" si="14"/>
        <v>1.2999999999999999E-3</v>
      </c>
      <c r="U15" s="42">
        <f t="shared" si="14"/>
        <v>1.4E-3</v>
      </c>
      <c r="V15" s="42">
        <f t="shared" si="14"/>
        <v>1.1000000000000001E-3</v>
      </c>
      <c r="W15" s="42">
        <f t="shared" si="14"/>
        <v>1.5E-3</v>
      </c>
      <c r="X15" s="42">
        <f t="shared" si="14"/>
        <v>1E-3</v>
      </c>
      <c r="Y15" s="42">
        <v>5.0000000000000001E-4</v>
      </c>
      <c r="Z15" s="42">
        <v>8.9999999999999998E-4</v>
      </c>
      <c r="AA15" s="42">
        <v>1E-3</v>
      </c>
      <c r="AB15" s="42">
        <v>1E-3</v>
      </c>
      <c r="AC15" s="51">
        <v>7.5000000000000002E-4</v>
      </c>
      <c r="AD15" s="42">
        <v>1.5E-3</v>
      </c>
      <c r="AE15" s="42">
        <v>2E-3</v>
      </c>
      <c r="AF15" s="42">
        <v>5.0000000000000001E-4</v>
      </c>
      <c r="AG15" s="42">
        <v>1.1999999999999999E-3</v>
      </c>
      <c r="AH15" s="42">
        <v>8.0000000000000004E-4</v>
      </c>
      <c r="AI15" s="42">
        <v>1E-3</v>
      </c>
      <c r="AJ15" s="42">
        <v>1E-3</v>
      </c>
      <c r="AK15" s="42">
        <v>8.0000000000000004E-4</v>
      </c>
      <c r="AL15" s="42">
        <v>1E-3</v>
      </c>
    </row>
    <row r="16" spans="1:38" x14ac:dyDescent="0.2">
      <c r="A16" s="14"/>
      <c r="B16" s="29">
        <f t="shared" si="12"/>
        <v>11</v>
      </c>
      <c r="C16" s="29"/>
      <c r="D16" s="42">
        <v>0</v>
      </c>
      <c r="E16" s="51">
        <f t="shared" si="3"/>
        <v>2.3E-3</v>
      </c>
      <c r="F16" s="57">
        <f t="shared" si="4"/>
        <v>2.2000000000000001E-3</v>
      </c>
      <c r="G16" s="57">
        <f t="shared" si="0"/>
        <v>2.1000000000000003E-3</v>
      </c>
      <c r="H16" s="57">
        <f t="shared" si="5"/>
        <v>1.8000000000000002E-3</v>
      </c>
      <c r="I16" s="57">
        <f t="shared" si="6"/>
        <v>1.7000000000000001E-3</v>
      </c>
      <c r="J16" s="57">
        <f t="shared" si="1"/>
        <v>1.6000000000000001E-3</v>
      </c>
      <c r="K16" s="57">
        <f t="shared" si="1"/>
        <v>3.3999999999999998E-3</v>
      </c>
      <c r="L16" s="57">
        <f t="shared" si="7"/>
        <v>1.1000000000000001E-3</v>
      </c>
      <c r="M16" s="57">
        <f t="shared" si="8"/>
        <v>2.8999999999999998E-3</v>
      </c>
      <c r="N16" s="57">
        <f t="shared" si="9"/>
        <v>1.4E-3</v>
      </c>
      <c r="O16" s="57">
        <f t="shared" si="10"/>
        <v>3.4000000000000002E-3</v>
      </c>
      <c r="P16" s="42">
        <v>0</v>
      </c>
      <c r="Q16" s="42">
        <f t="shared" si="13"/>
        <v>1.4E-3</v>
      </c>
      <c r="R16" s="42">
        <f t="shared" si="14"/>
        <v>6.9999999999999999E-4</v>
      </c>
      <c r="S16" s="42">
        <f t="shared" si="14"/>
        <v>1.1999999999999999E-3</v>
      </c>
      <c r="T16" s="42">
        <f t="shared" si="14"/>
        <v>1.2999999999999999E-3</v>
      </c>
      <c r="U16" s="42">
        <f t="shared" si="14"/>
        <v>1.4E-3</v>
      </c>
      <c r="V16" s="42">
        <f t="shared" si="14"/>
        <v>1.1000000000000001E-3</v>
      </c>
      <c r="W16" s="42">
        <f t="shared" si="14"/>
        <v>1.5E-3</v>
      </c>
      <c r="X16" s="42">
        <f t="shared" si="14"/>
        <v>1E-3</v>
      </c>
      <c r="Y16" s="42">
        <v>5.0000000000000001E-4</v>
      </c>
      <c r="Z16" s="42">
        <v>8.9999999999999998E-4</v>
      </c>
      <c r="AA16" s="42">
        <v>8.0000000000000004E-4</v>
      </c>
      <c r="AB16" s="42">
        <v>1E-3</v>
      </c>
      <c r="AC16" s="51">
        <v>7.5000000000000002E-4</v>
      </c>
      <c r="AD16" s="42">
        <v>1.5E-3</v>
      </c>
      <c r="AE16" s="42">
        <v>2E-3</v>
      </c>
      <c r="AF16" s="42">
        <v>5.0000000000000001E-4</v>
      </c>
      <c r="AG16" s="42">
        <v>1.1999999999999999E-3</v>
      </c>
      <c r="AH16" s="42">
        <v>8.0000000000000004E-4</v>
      </c>
      <c r="AI16" s="42">
        <v>1E-3</v>
      </c>
      <c r="AJ16" s="42">
        <v>8.0000000000000004E-4</v>
      </c>
      <c r="AK16" s="42">
        <v>8.0000000000000004E-4</v>
      </c>
      <c r="AL16" s="42">
        <v>8.0000000000000004E-4</v>
      </c>
    </row>
    <row r="17" spans="1:38" x14ac:dyDescent="0.2">
      <c r="A17" s="14"/>
      <c r="B17" s="29">
        <f t="shared" si="12"/>
        <v>12</v>
      </c>
      <c r="C17" s="29"/>
      <c r="D17" s="42">
        <v>0</v>
      </c>
      <c r="E17" s="51">
        <f t="shared" si="3"/>
        <v>2.3E-3</v>
      </c>
      <c r="F17" s="57">
        <f t="shared" si="4"/>
        <v>2.2000000000000001E-3</v>
      </c>
      <c r="G17" s="57">
        <f t="shared" si="0"/>
        <v>2.1000000000000003E-3</v>
      </c>
      <c r="H17" s="57">
        <f t="shared" si="5"/>
        <v>1.8000000000000002E-3</v>
      </c>
      <c r="I17" s="57">
        <f t="shared" si="6"/>
        <v>1.7000000000000001E-3</v>
      </c>
      <c r="J17" s="57">
        <f t="shared" si="1"/>
        <v>1.6000000000000001E-3</v>
      </c>
      <c r="K17" s="57">
        <f t="shared" si="1"/>
        <v>3.3999999999999998E-3</v>
      </c>
      <c r="L17" s="57">
        <f t="shared" si="7"/>
        <v>1.1000000000000001E-3</v>
      </c>
      <c r="M17" s="57">
        <f t="shared" si="8"/>
        <v>2.8999999999999998E-3</v>
      </c>
      <c r="N17" s="57">
        <f t="shared" si="9"/>
        <v>1.4E-3</v>
      </c>
      <c r="O17" s="57">
        <f t="shared" si="10"/>
        <v>3.4000000000000002E-3</v>
      </c>
      <c r="P17" s="42">
        <v>0</v>
      </c>
      <c r="Q17" s="42">
        <f t="shared" si="13"/>
        <v>1.4E-3</v>
      </c>
      <c r="R17" s="42">
        <f t="shared" si="14"/>
        <v>6.9999999999999999E-4</v>
      </c>
      <c r="S17" s="42">
        <f t="shared" si="14"/>
        <v>1.1999999999999999E-3</v>
      </c>
      <c r="T17" s="42">
        <f t="shared" si="14"/>
        <v>1.2999999999999999E-3</v>
      </c>
      <c r="U17" s="42">
        <f t="shared" si="14"/>
        <v>1.4E-3</v>
      </c>
      <c r="V17" s="42">
        <f t="shared" si="14"/>
        <v>1.1000000000000001E-3</v>
      </c>
      <c r="W17" s="42">
        <f t="shared" si="14"/>
        <v>1.5E-3</v>
      </c>
      <c r="X17" s="42">
        <f t="shared" si="14"/>
        <v>1E-3</v>
      </c>
      <c r="Y17" s="42">
        <v>5.0000000000000001E-4</v>
      </c>
      <c r="Z17" s="42">
        <v>8.9999999999999998E-4</v>
      </c>
      <c r="AA17" s="42">
        <v>8.0000000000000004E-4</v>
      </c>
      <c r="AB17" s="42">
        <v>1E-3</v>
      </c>
      <c r="AC17" s="51">
        <v>7.5000000000000002E-4</v>
      </c>
      <c r="AD17" s="42">
        <v>1.5E-3</v>
      </c>
      <c r="AE17" s="42">
        <v>2E-3</v>
      </c>
      <c r="AF17" s="42">
        <v>5.0000000000000001E-4</v>
      </c>
      <c r="AG17" s="42">
        <v>1.1999999999999999E-3</v>
      </c>
      <c r="AH17" s="42">
        <v>8.0000000000000004E-4</v>
      </c>
      <c r="AI17" s="42">
        <v>1E-3</v>
      </c>
      <c r="AJ17" s="42">
        <v>8.0000000000000004E-4</v>
      </c>
      <c r="AK17" s="42">
        <v>8.0000000000000004E-4</v>
      </c>
      <c r="AL17" s="42">
        <v>8.0000000000000004E-4</v>
      </c>
    </row>
    <row r="18" spans="1:38" x14ac:dyDescent="0.2">
      <c r="A18" s="14"/>
      <c r="B18" s="29">
        <f t="shared" si="12"/>
        <v>13</v>
      </c>
      <c r="C18" s="29"/>
      <c r="D18" s="42">
        <v>0</v>
      </c>
      <c r="E18" s="51">
        <f t="shared" si="3"/>
        <v>2.3E-3</v>
      </c>
      <c r="F18" s="57">
        <f t="shared" si="4"/>
        <v>2.2000000000000001E-3</v>
      </c>
      <c r="G18" s="57">
        <f t="shared" si="0"/>
        <v>2.1000000000000003E-3</v>
      </c>
      <c r="H18" s="57">
        <f t="shared" si="5"/>
        <v>1.8000000000000002E-3</v>
      </c>
      <c r="I18" s="57">
        <f t="shared" si="6"/>
        <v>1.7000000000000001E-3</v>
      </c>
      <c r="J18" s="57">
        <f t="shared" si="1"/>
        <v>1.6000000000000001E-3</v>
      </c>
      <c r="K18" s="57">
        <f t="shared" si="1"/>
        <v>3.3999999999999998E-3</v>
      </c>
      <c r="L18" s="57">
        <f t="shared" si="7"/>
        <v>1.1000000000000001E-3</v>
      </c>
      <c r="M18" s="57">
        <f t="shared" si="8"/>
        <v>2.8999999999999998E-3</v>
      </c>
      <c r="N18" s="57">
        <f t="shared" si="9"/>
        <v>1.4E-3</v>
      </c>
      <c r="O18" s="57">
        <f t="shared" si="10"/>
        <v>3.4000000000000002E-3</v>
      </c>
      <c r="P18" s="42">
        <v>0</v>
      </c>
      <c r="Q18" s="42">
        <f t="shared" si="13"/>
        <v>1.4E-3</v>
      </c>
      <c r="R18" s="42">
        <f t="shared" si="14"/>
        <v>6.9999999999999999E-4</v>
      </c>
      <c r="S18" s="42">
        <f t="shared" si="14"/>
        <v>1.1999999999999999E-3</v>
      </c>
      <c r="T18" s="42">
        <f t="shared" si="14"/>
        <v>1.2999999999999999E-3</v>
      </c>
      <c r="U18" s="42">
        <f t="shared" si="14"/>
        <v>1.4E-3</v>
      </c>
      <c r="V18" s="42">
        <f t="shared" si="14"/>
        <v>1.1000000000000001E-3</v>
      </c>
      <c r="W18" s="42">
        <f t="shared" si="14"/>
        <v>1.5E-3</v>
      </c>
      <c r="X18" s="42">
        <f t="shared" si="14"/>
        <v>1E-3</v>
      </c>
      <c r="Y18" s="42">
        <v>5.0000000000000001E-4</v>
      </c>
      <c r="Z18" s="42">
        <v>8.9999999999999998E-4</v>
      </c>
      <c r="AA18" s="42">
        <v>8.0000000000000004E-4</v>
      </c>
      <c r="AB18" s="42">
        <v>1E-3</v>
      </c>
      <c r="AC18" s="51">
        <v>7.5000000000000002E-4</v>
      </c>
      <c r="AD18" s="42">
        <v>1.5E-3</v>
      </c>
      <c r="AE18" s="42">
        <v>1.5E-3</v>
      </c>
      <c r="AF18" s="42">
        <v>5.0000000000000001E-4</v>
      </c>
      <c r="AG18" s="42">
        <v>1.1999999999999999E-3</v>
      </c>
      <c r="AH18" s="42">
        <v>8.0000000000000004E-4</v>
      </c>
      <c r="AI18" s="42">
        <v>1E-3</v>
      </c>
      <c r="AJ18" s="42">
        <v>8.0000000000000004E-4</v>
      </c>
      <c r="AK18" s="42">
        <v>8.0000000000000004E-4</v>
      </c>
      <c r="AL18" s="42">
        <v>8.0000000000000004E-4</v>
      </c>
    </row>
    <row r="19" spans="1:38" x14ac:dyDescent="0.2">
      <c r="P19" s="53"/>
      <c r="W19" s="53"/>
    </row>
    <row r="21" spans="1:38" x14ac:dyDescent="0.2">
      <c r="B21" s="61" t="s">
        <v>196</v>
      </c>
    </row>
    <row r="22" spans="1:38" x14ac:dyDescent="0.2">
      <c r="B22" s="61" t="s">
        <v>197</v>
      </c>
    </row>
    <row r="23" spans="1:38" x14ac:dyDescent="0.2">
      <c r="B23" s="61" t="s">
        <v>198</v>
      </c>
    </row>
  </sheetData>
  <hyperlinks>
    <hyperlink ref="A1" location="'Table of Contents'!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11"/>
  <sheetViews>
    <sheetView zoomScaleNormal="100" workbookViewId="0">
      <pane xSplit="2" ySplit="5" topLeftCell="C6" activePane="bottomRight" state="frozen"/>
      <selection pane="topRight" activeCell="C1" sqref="C1"/>
      <selection pane="bottomLeft" activeCell="A7" sqref="A7"/>
      <selection pane="bottomRight" activeCell="M24" sqref="M24"/>
    </sheetView>
  </sheetViews>
  <sheetFormatPr defaultRowHeight="12.75" x14ac:dyDescent="0.2"/>
  <cols>
    <col min="1" max="1" width="9.85546875" bestFit="1" customWidth="1"/>
    <col min="2" max="2" width="9.140625" style="30"/>
    <col min="3" max="3" width="3.42578125" style="30" customWidth="1"/>
    <col min="4" max="13" width="12.140625" style="30" customWidth="1"/>
    <col min="14" max="17" width="15.140625" style="27" customWidth="1"/>
  </cols>
  <sheetData>
    <row r="1" spans="1:17" ht="15.75" x14ac:dyDescent="0.2">
      <c r="A1" s="13" t="s">
        <v>6</v>
      </c>
      <c r="B1" s="12" t="s">
        <v>52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22"/>
      <c r="O1" s="22"/>
      <c r="P1" s="22"/>
      <c r="Q1" s="22"/>
    </row>
    <row r="2" spans="1:17" ht="15.75" x14ac:dyDescent="0.2">
      <c r="A2" s="13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22"/>
      <c r="O2" s="22"/>
      <c r="P2" s="22"/>
      <c r="Q2" s="22"/>
    </row>
    <row r="3" spans="1:17" x14ac:dyDescent="0.2">
      <c r="A3" s="14"/>
      <c r="B3" s="15" t="str">
        <f ca="1">GetNameRange(B5)</f>
        <v>InflationRate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24"/>
      <c r="O3" s="25"/>
      <c r="P3" s="25"/>
      <c r="Q3" s="25"/>
    </row>
    <row r="4" spans="1:17" ht="22.5" customHeight="1" x14ac:dyDescent="0.2">
      <c r="A4" s="14" t="s">
        <v>7</v>
      </c>
      <c r="B4" s="28" t="s">
        <v>9</v>
      </c>
      <c r="C4" s="34"/>
      <c r="D4" s="34" t="s">
        <v>193</v>
      </c>
      <c r="E4" s="34" t="s">
        <v>192</v>
      </c>
      <c r="F4" s="34" t="s">
        <v>115</v>
      </c>
      <c r="G4" s="34" t="s">
        <v>124</v>
      </c>
      <c r="H4" s="34" t="s">
        <v>106</v>
      </c>
      <c r="I4" s="34" t="s">
        <v>107</v>
      </c>
      <c r="J4" s="34" t="s">
        <v>65</v>
      </c>
      <c r="K4" s="34" t="s">
        <v>66</v>
      </c>
      <c r="L4" s="34" t="s">
        <v>45</v>
      </c>
      <c r="M4" s="34" t="s">
        <v>49</v>
      </c>
      <c r="N4" s="34" t="s">
        <v>44</v>
      </c>
      <c r="O4" s="34" t="s">
        <v>46</v>
      </c>
      <c r="P4" s="48" t="s">
        <v>173</v>
      </c>
      <c r="Q4" s="34" t="s">
        <v>43</v>
      </c>
    </row>
    <row r="5" spans="1:17" x14ac:dyDescent="0.2">
      <c r="A5" s="21" t="s">
        <v>5</v>
      </c>
      <c r="B5" s="31" t="s">
        <v>8</v>
      </c>
      <c r="C5" s="31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41"/>
      <c r="P5" s="41"/>
      <c r="Q5" s="31"/>
    </row>
    <row r="6" spans="1:17" x14ac:dyDescent="0.2">
      <c r="A6" s="14"/>
      <c r="B6" s="29">
        <v>1</v>
      </c>
      <c r="C6" s="39"/>
      <c r="D6" s="42">
        <f>E6+1%</f>
        <v>-6.3E-2</v>
      </c>
      <c r="E6" s="42">
        <v>-7.2999999999999995E-2</v>
      </c>
      <c r="F6" s="42">
        <v>-5.1999999999999998E-2</v>
      </c>
      <c r="G6" s="42">
        <f>F6+1%</f>
        <v>-4.1999999999999996E-2</v>
      </c>
      <c r="H6" s="42">
        <v>-5.3999999999999999E-2</v>
      </c>
      <c r="I6" s="42">
        <v>-4.0000000000000001E-3</v>
      </c>
      <c r="J6" s="42">
        <v>-3.9E-2</v>
      </c>
      <c r="K6" s="42">
        <v>-5.0000000000000001E-3</v>
      </c>
      <c r="L6" s="42">
        <v>-5.7000000000000002E-2</v>
      </c>
      <c r="M6" s="42">
        <v>-3.7999999999999999E-2</v>
      </c>
      <c r="N6" s="42">
        <v>-0.11</v>
      </c>
      <c r="O6" s="42">
        <v>-0.19</v>
      </c>
      <c r="P6" s="42">
        <f>Q6+1%</f>
        <v>0.03</v>
      </c>
      <c r="Q6" s="42">
        <v>0.02</v>
      </c>
    </row>
    <row r="7" spans="1:17" x14ac:dyDescent="0.2">
      <c r="A7" s="14"/>
      <c r="B7" s="29">
        <f>B6+1</f>
        <v>2</v>
      </c>
      <c r="C7" s="39"/>
      <c r="D7" s="42">
        <f t="shared" ref="D7:D11" si="0">E7+1%</f>
        <v>-6.9000000000000006E-2</v>
      </c>
      <c r="E7" s="42">
        <v>-7.9000000000000001E-2</v>
      </c>
      <c r="F7" s="42">
        <v>-5.5E-2</v>
      </c>
      <c r="G7" s="42">
        <f t="shared" ref="G7:G11" si="1">F7+1%</f>
        <v>-4.4999999999999998E-2</v>
      </c>
      <c r="H7" s="42">
        <v>-5.8000000000000003E-2</v>
      </c>
      <c r="I7" s="42">
        <v>-4.0000000000000001E-3</v>
      </c>
      <c r="J7" s="42">
        <v>-4.1000000000000002E-2</v>
      </c>
      <c r="K7" s="42">
        <v>-6.0000000000000001E-3</v>
      </c>
      <c r="L7" s="42">
        <v>-0.06</v>
      </c>
      <c r="M7" s="42">
        <v>-0.04</v>
      </c>
      <c r="N7" s="42">
        <v>-0.1</v>
      </c>
      <c r="O7" s="42">
        <v>-0.12</v>
      </c>
      <c r="P7" s="42">
        <f t="shared" ref="P7:P11" si="2">Q7+1%</f>
        <v>0.03</v>
      </c>
      <c r="Q7" s="42">
        <v>0.02</v>
      </c>
    </row>
    <row r="8" spans="1:17" x14ac:dyDescent="0.2">
      <c r="A8" s="14"/>
      <c r="B8" s="29">
        <f t="shared" ref="B8:B9" si="3">B7+1</f>
        <v>3</v>
      </c>
      <c r="C8" s="39"/>
      <c r="D8" s="42">
        <f t="shared" si="0"/>
        <v>-7.5000000000000011E-2</v>
      </c>
      <c r="E8" s="42">
        <v>-8.5000000000000006E-2</v>
      </c>
      <c r="F8" s="42">
        <v>-5.8000000000000003E-2</v>
      </c>
      <c r="G8" s="42">
        <f t="shared" si="1"/>
        <v>-4.8000000000000001E-2</v>
      </c>
      <c r="H8" s="42">
        <v>-6.0999999999999999E-2</v>
      </c>
      <c r="I8" s="42">
        <v>-4.0000000000000001E-3</v>
      </c>
      <c r="J8" s="42">
        <v>-4.2999999999999997E-2</v>
      </c>
      <c r="K8" s="42">
        <v>-6.0000000000000001E-3</v>
      </c>
      <c r="L8" s="42">
        <v>-6.4000000000000001E-2</v>
      </c>
      <c r="M8" s="42">
        <v>-4.1000000000000002E-2</v>
      </c>
      <c r="N8" s="42">
        <v>-7.0000000000000007E-2</v>
      </c>
      <c r="O8" s="42">
        <v>-7.0000000000000007E-2</v>
      </c>
      <c r="P8" s="42">
        <f t="shared" si="2"/>
        <v>0.03</v>
      </c>
      <c r="Q8" s="42">
        <v>0.02</v>
      </c>
    </row>
    <row r="9" spans="1:17" x14ac:dyDescent="0.2">
      <c r="A9" s="14"/>
      <c r="B9" s="29">
        <f t="shared" si="3"/>
        <v>4</v>
      </c>
      <c r="C9" s="39"/>
      <c r="D9" s="42">
        <f t="shared" si="0"/>
        <v>0.03</v>
      </c>
      <c r="E9" s="42">
        <v>0.02</v>
      </c>
      <c r="F9" s="42">
        <v>0.02</v>
      </c>
      <c r="G9" s="42">
        <f t="shared" si="1"/>
        <v>0.03</v>
      </c>
      <c r="H9" s="42">
        <v>0.02</v>
      </c>
      <c r="I9" s="42">
        <v>0.02</v>
      </c>
      <c r="J9" s="42">
        <v>0.02</v>
      </c>
      <c r="K9" s="42">
        <v>0.02</v>
      </c>
      <c r="L9" s="42">
        <v>-6.9000000000000006E-2</v>
      </c>
      <c r="M9" s="42">
        <v>-4.2999999999999997E-2</v>
      </c>
      <c r="N9" s="42">
        <v>-0.04</v>
      </c>
      <c r="O9" s="42">
        <v>-0.03</v>
      </c>
      <c r="P9" s="42">
        <f t="shared" si="2"/>
        <v>0.03</v>
      </c>
      <c r="Q9" s="42">
        <v>0.02</v>
      </c>
    </row>
    <row r="10" spans="1:17" x14ac:dyDescent="0.2">
      <c r="A10" s="14"/>
      <c r="B10" s="29">
        <f t="shared" ref="B10" si="4">B9+1</f>
        <v>5</v>
      </c>
      <c r="C10" s="39"/>
      <c r="D10" s="42">
        <f t="shared" si="0"/>
        <v>0.03</v>
      </c>
      <c r="E10" s="42">
        <v>0.02</v>
      </c>
      <c r="F10" s="42">
        <v>0.02</v>
      </c>
      <c r="G10" s="42">
        <f t="shared" si="1"/>
        <v>0.03</v>
      </c>
      <c r="H10" s="42">
        <v>0.02</v>
      </c>
      <c r="I10" s="42">
        <v>0.02</v>
      </c>
      <c r="J10" s="42">
        <v>0.02</v>
      </c>
      <c r="K10" s="42">
        <v>0.02</v>
      </c>
      <c r="L10" s="42">
        <v>0.02</v>
      </c>
      <c r="M10" s="42">
        <v>0.02</v>
      </c>
      <c r="N10" s="42">
        <v>0</v>
      </c>
      <c r="O10" s="42">
        <v>0</v>
      </c>
      <c r="P10" s="42">
        <f t="shared" si="2"/>
        <v>0.03</v>
      </c>
      <c r="Q10" s="42">
        <v>0.02</v>
      </c>
    </row>
    <row r="11" spans="1:17" x14ac:dyDescent="0.2">
      <c r="A11" s="14"/>
      <c r="B11" s="29">
        <v>6</v>
      </c>
      <c r="C11" s="39"/>
      <c r="D11" s="42">
        <f t="shared" si="0"/>
        <v>0.03</v>
      </c>
      <c r="E11" s="42">
        <v>0.02</v>
      </c>
      <c r="F11" s="42">
        <v>0.02</v>
      </c>
      <c r="G11" s="42">
        <f t="shared" si="1"/>
        <v>0.03</v>
      </c>
      <c r="H11" s="42">
        <v>0.02</v>
      </c>
      <c r="I11" s="42">
        <v>0.02</v>
      </c>
      <c r="J11" s="42">
        <v>0.02</v>
      </c>
      <c r="K11" s="42">
        <v>0.02</v>
      </c>
      <c r="L11" s="42">
        <v>0.02</v>
      </c>
      <c r="M11" s="42">
        <v>0.02</v>
      </c>
      <c r="N11" s="42">
        <v>0.02</v>
      </c>
      <c r="O11" s="42">
        <v>0.02</v>
      </c>
      <c r="P11" s="42">
        <f t="shared" si="2"/>
        <v>0.03</v>
      </c>
      <c r="Q11" s="42">
        <v>0.02</v>
      </c>
    </row>
  </sheetData>
  <hyperlinks>
    <hyperlink ref="A1" location="'Table of Contents'!A1" display="Go to TOC" xr:uid="{00000000-0004-0000-0500-000000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4D6E80-2345-45FA-BD69-575C46F8AC22}">
  <ds:schemaRefs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Change Log</vt:lpstr>
      <vt:lpstr>Table of Contents</vt:lpstr>
      <vt:lpstr>Upfront</vt:lpstr>
      <vt:lpstr>Trail</vt:lpstr>
      <vt:lpstr>LicensingFee</vt:lpstr>
      <vt:lpstr>InflationRate</vt:lpstr>
      <vt:lpstr>InflationRate</vt:lpstr>
      <vt:lpstr>LicensingFee</vt:lpstr>
      <vt:lpstr>trail_comm_rate</vt:lpstr>
      <vt:lpstr>Upfront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Edgel, Kiara</cp:lastModifiedBy>
  <cp:lastPrinted>2013-07-12T20:12:54Z</cp:lastPrinted>
  <dcterms:created xsi:type="dcterms:W3CDTF">2013-06-26T20:08:07Z</dcterms:created>
  <dcterms:modified xsi:type="dcterms:W3CDTF">2026-01-05T19:02:48Z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